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029"/>
  <workbookPr defaultThemeVersion="124226"/>
  <mc:AlternateContent xmlns:mc="http://schemas.openxmlformats.org/markup-compatibility/2006">
    <mc:Choice Requires="x15">
      <x15ac:absPath xmlns:x15ac="http://schemas.microsoft.com/office/spreadsheetml/2010/11/ac" url="D:\1. 삼화당 업무자료\A. ESG (환경, 안전, 지속경영)\$$ 중소기업 기후공시 컨설팅 증빙자료\"/>
    </mc:Choice>
  </mc:AlternateContent>
  <xr:revisionPtr revIDLastSave="0" documentId="8_{3A1A11D8-457A-4F95-BF44-95169F81EFF7}" xr6:coauthVersionLast="47" xr6:coauthVersionMax="47" xr10:uidLastSave="{00000000-0000-0000-0000-000000000000}"/>
  <bookViews>
    <workbookView xWindow="-120" yWindow="-120" windowWidth="29040" windowHeight="15840" xr2:uid="{00000000-000D-0000-FFFF-FFFF00000000}"/>
  </bookViews>
  <sheets>
    <sheet name="조사양식" sheetId="1" r:id="rId1"/>
  </sheets>
  <externalReferences>
    <externalReference r:id="rId2"/>
  </externalReferences>
  <definedNames>
    <definedName name="_xlnm._FilterDatabase" localSheetId="0" hidden="1">조사양식!$A$1:$CD$77</definedName>
    <definedName name="_xlnm.Criteria" localSheetId="0">조사양식!$B$2:$B$3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73" i="1" l="1"/>
  <c r="AI73" i="1"/>
  <c r="AR73" i="1"/>
  <c r="AS73" i="1"/>
  <c r="AT73" i="1"/>
  <c r="AU73" i="1"/>
  <c r="AV73" i="1"/>
  <c r="AW73" i="1"/>
  <c r="AX73" i="1"/>
  <c r="AY73" i="1"/>
  <c r="AZ73" i="1"/>
  <c r="BA73" i="1"/>
  <c r="BB73" i="1"/>
  <c r="BC73" i="1"/>
  <c r="BD73" i="1"/>
  <c r="BE73" i="1"/>
  <c r="BF73" i="1"/>
  <c r="BG73" i="1"/>
  <c r="BH73" i="1"/>
  <c r="BI73" i="1"/>
  <c r="BJ73" i="1"/>
  <c r="BK73" i="1"/>
  <c r="BM73" i="1"/>
  <c r="BN73" i="1"/>
  <c r="BO73" i="1"/>
  <c r="BP73" i="1"/>
  <c r="BQ73" i="1"/>
  <c r="BR73" i="1"/>
  <c r="BS73" i="1"/>
  <c r="BT73" i="1"/>
  <c r="BU73" i="1"/>
  <c r="CA73" i="1"/>
  <c r="CB73" i="1"/>
  <c r="CC73" i="1"/>
  <c r="CD73" i="1"/>
  <c r="W74" i="1"/>
  <c r="AI74" i="1"/>
  <c r="AR74" i="1"/>
  <c r="AS74" i="1"/>
  <c r="AT74" i="1"/>
  <c r="AU74" i="1"/>
  <c r="AV74" i="1"/>
  <c r="AW74" i="1"/>
  <c r="AX74" i="1"/>
  <c r="AY74" i="1"/>
  <c r="AZ74" i="1"/>
  <c r="BA74" i="1"/>
  <c r="BB74" i="1"/>
  <c r="BC74" i="1"/>
  <c r="BD74" i="1"/>
  <c r="BE74" i="1"/>
  <c r="BF74" i="1"/>
  <c r="BG74" i="1"/>
  <c r="BH74" i="1"/>
  <c r="BI74" i="1"/>
  <c r="BJ74" i="1"/>
  <c r="BK74" i="1"/>
  <c r="BM74" i="1"/>
  <c r="BN74" i="1"/>
  <c r="BO74" i="1"/>
  <c r="BP74" i="1"/>
  <c r="BQ74" i="1"/>
  <c r="BR74" i="1"/>
  <c r="BS74" i="1"/>
  <c r="BT74" i="1"/>
  <c r="BU74" i="1"/>
  <c r="CA74" i="1"/>
  <c r="CB74" i="1"/>
  <c r="CC74" i="1"/>
  <c r="CD74" i="1"/>
  <c r="W75" i="1"/>
  <c r="AI75" i="1"/>
  <c r="AR75" i="1"/>
  <c r="AS75" i="1"/>
  <c r="AT75" i="1"/>
  <c r="AU75" i="1"/>
  <c r="AV75" i="1"/>
  <c r="AW75" i="1"/>
  <c r="AX75" i="1"/>
  <c r="AY75" i="1"/>
  <c r="AZ75" i="1"/>
  <c r="BA75" i="1"/>
  <c r="BB75" i="1"/>
  <c r="BC75" i="1"/>
  <c r="BD75" i="1"/>
  <c r="BE75" i="1"/>
  <c r="BF75" i="1"/>
  <c r="BG75" i="1"/>
  <c r="BH75" i="1"/>
  <c r="BI75" i="1"/>
  <c r="BJ75" i="1"/>
  <c r="BK75" i="1"/>
  <c r="BM75" i="1"/>
  <c r="BO75" i="1"/>
  <c r="BP75" i="1"/>
  <c r="BQ75" i="1"/>
  <c r="BR75" i="1"/>
  <c r="BS75" i="1"/>
  <c r="BT75" i="1"/>
  <c r="BU75" i="1"/>
  <c r="CA75" i="1"/>
  <c r="CB75" i="1"/>
  <c r="CC75" i="1"/>
  <c r="CD75" i="1"/>
  <c r="W76" i="1"/>
  <c r="AI76" i="1"/>
  <c r="AR76" i="1"/>
  <c r="AS76" i="1"/>
  <c r="AT76" i="1"/>
  <c r="AU76" i="1"/>
  <c r="AV76" i="1"/>
  <c r="AW76" i="1"/>
  <c r="AX76" i="1"/>
  <c r="AY76" i="1"/>
  <c r="AZ76" i="1"/>
  <c r="BA76" i="1"/>
  <c r="BB76" i="1"/>
  <c r="BC76" i="1"/>
  <c r="BD76" i="1"/>
  <c r="BF76" i="1"/>
  <c r="BG76" i="1"/>
  <c r="BH76" i="1"/>
  <c r="BI76" i="1"/>
  <c r="BJ76" i="1"/>
  <c r="BK76" i="1"/>
  <c r="BM76" i="1"/>
  <c r="BN76" i="1"/>
  <c r="BO76" i="1"/>
  <c r="BP76" i="1"/>
  <c r="BQ76" i="1"/>
  <c r="BR76" i="1"/>
  <c r="BS76" i="1"/>
  <c r="BT76" i="1"/>
  <c r="BU76" i="1"/>
  <c r="CA76" i="1"/>
  <c r="CB76" i="1"/>
  <c r="CC76" i="1"/>
  <c r="CD76" i="1"/>
  <c r="W77" i="1"/>
  <c r="AI77" i="1"/>
  <c r="AR77" i="1"/>
  <c r="AS77" i="1"/>
  <c r="AT77" i="1"/>
  <c r="AU77" i="1"/>
  <c r="AV77" i="1"/>
  <c r="AW77" i="1"/>
  <c r="AX77" i="1"/>
  <c r="AY77" i="1"/>
  <c r="AZ77" i="1"/>
  <c r="BA77" i="1"/>
  <c r="BB77" i="1"/>
  <c r="BC77" i="1"/>
  <c r="BD77" i="1"/>
  <c r="BE77" i="1"/>
  <c r="BF77" i="1"/>
  <c r="BG77" i="1"/>
  <c r="BH77" i="1"/>
  <c r="BI77" i="1"/>
  <c r="BJ77" i="1"/>
  <c r="BK77" i="1"/>
  <c r="BM77" i="1"/>
  <c r="BN77" i="1"/>
  <c r="BO77" i="1"/>
  <c r="BP77" i="1"/>
  <c r="BQ77" i="1"/>
  <c r="BR77" i="1"/>
  <c r="BS77" i="1"/>
  <c r="BT77" i="1"/>
  <c r="BU77" i="1"/>
  <c r="CA77" i="1"/>
  <c r="CB77" i="1"/>
  <c r="CC77" i="1"/>
  <c r="CD77" i="1"/>
  <c r="CD72" i="1"/>
  <c r="CC72" i="1"/>
  <c r="CB72" i="1"/>
  <c r="CA72" i="1"/>
  <c r="BZ72" i="1"/>
  <c r="BY72" i="1"/>
  <c r="BX72" i="1"/>
  <c r="BW72" i="1"/>
  <c r="BV72" i="1"/>
  <c r="BU72" i="1"/>
  <c r="BT72" i="1"/>
  <c r="BS72" i="1"/>
  <c r="BR72" i="1"/>
  <c r="BQ72" i="1"/>
  <c r="BP72" i="1"/>
  <c r="BO72" i="1"/>
  <c r="BN72" i="1"/>
  <c r="BM72" i="1"/>
  <c r="BK72" i="1"/>
  <c r="BJ72" i="1"/>
  <c r="BI72" i="1"/>
  <c r="BH72" i="1"/>
  <c r="BG72" i="1"/>
  <c r="BF72" i="1"/>
  <c r="BE72" i="1"/>
  <c r="BD72" i="1"/>
  <c r="BC72" i="1"/>
  <c r="BB72" i="1"/>
  <c r="BA72" i="1"/>
  <c r="AZ72" i="1"/>
  <c r="AY72" i="1"/>
  <c r="AX72" i="1"/>
  <c r="AW72" i="1"/>
  <c r="AV72" i="1"/>
  <c r="AU72" i="1"/>
  <c r="AT72" i="1"/>
  <c r="AS72" i="1"/>
  <c r="AR72" i="1"/>
  <c r="AI72" i="1"/>
  <c r="W72" i="1"/>
  <c r="CD71" i="1"/>
  <c r="CC71" i="1"/>
  <c r="CB71" i="1"/>
  <c r="CA71" i="1"/>
  <c r="BU71" i="1"/>
  <c r="BT71" i="1"/>
  <c r="BS71" i="1"/>
  <c r="BR71" i="1"/>
  <c r="BQ71" i="1"/>
  <c r="BP71" i="1"/>
  <c r="BO71" i="1"/>
  <c r="BN71" i="1"/>
  <c r="BM71" i="1"/>
  <c r="BK71" i="1"/>
  <c r="BJ71" i="1"/>
  <c r="BI71" i="1"/>
  <c r="BH71" i="1"/>
  <c r="BG71" i="1"/>
  <c r="BF71" i="1"/>
  <c r="BE71" i="1"/>
  <c r="BD71" i="1"/>
  <c r="BC71" i="1"/>
  <c r="BB71" i="1"/>
  <c r="BA71" i="1"/>
  <c r="AZ71" i="1"/>
  <c r="AY71" i="1"/>
  <c r="AX71" i="1"/>
  <c r="AW71" i="1"/>
  <c r="AV71" i="1"/>
  <c r="AU71" i="1"/>
  <c r="AT71" i="1"/>
  <c r="AS71" i="1"/>
  <c r="AR71" i="1"/>
  <c r="AI71" i="1"/>
  <c r="W71" i="1"/>
  <c r="CD70" i="1"/>
  <c r="CC70" i="1"/>
  <c r="CB70" i="1"/>
  <c r="CA70" i="1"/>
  <c r="BU70" i="1"/>
  <c r="BT70" i="1"/>
  <c r="BS70" i="1"/>
  <c r="BR70" i="1"/>
  <c r="BQ70" i="1"/>
  <c r="BP70" i="1"/>
  <c r="BO70" i="1"/>
  <c r="BN70" i="1"/>
  <c r="BM70" i="1"/>
  <c r="BK70" i="1"/>
  <c r="BJ70" i="1"/>
  <c r="BI70" i="1"/>
  <c r="BH70" i="1"/>
  <c r="BG70" i="1"/>
  <c r="BF70" i="1"/>
  <c r="BE70" i="1"/>
  <c r="BD70" i="1"/>
  <c r="BC70" i="1"/>
  <c r="BB70" i="1"/>
  <c r="BA70" i="1"/>
  <c r="AZ70" i="1"/>
  <c r="AY70" i="1"/>
  <c r="AX70" i="1"/>
  <c r="AW70" i="1"/>
  <c r="AV70" i="1"/>
  <c r="AU70" i="1"/>
  <c r="AT70" i="1"/>
  <c r="AS70" i="1"/>
  <c r="AR70" i="1"/>
  <c r="AI70" i="1"/>
  <c r="W70" i="1"/>
  <c r="CD69" i="1"/>
  <c r="CC69" i="1"/>
  <c r="CB69" i="1"/>
  <c r="CA69" i="1"/>
  <c r="BU69" i="1"/>
  <c r="BT69" i="1"/>
  <c r="BS69" i="1"/>
  <c r="BR69" i="1"/>
  <c r="BQ69" i="1"/>
  <c r="BP69" i="1"/>
  <c r="BO69" i="1"/>
  <c r="BN69" i="1"/>
  <c r="BM69" i="1"/>
  <c r="BK69" i="1"/>
  <c r="BJ69" i="1"/>
  <c r="BI69" i="1"/>
  <c r="BH69" i="1"/>
  <c r="BG69" i="1"/>
  <c r="BF69" i="1"/>
  <c r="BE69" i="1"/>
  <c r="BD69" i="1"/>
  <c r="BC69" i="1"/>
  <c r="BB69" i="1"/>
  <c r="BA69" i="1"/>
  <c r="AZ69" i="1"/>
  <c r="AY69" i="1"/>
  <c r="AX69" i="1"/>
  <c r="AW69" i="1"/>
  <c r="AV69" i="1"/>
  <c r="AU69" i="1"/>
  <c r="AT69" i="1"/>
  <c r="AS69" i="1"/>
  <c r="AR69" i="1"/>
  <c r="AI69" i="1"/>
  <c r="W69" i="1"/>
  <c r="CD68" i="1"/>
  <c r="CC68" i="1"/>
  <c r="CB68" i="1"/>
  <c r="CA68" i="1"/>
  <c r="BU68" i="1"/>
  <c r="BT68" i="1"/>
  <c r="BS68" i="1"/>
  <c r="BR68" i="1"/>
  <c r="BQ68" i="1"/>
  <c r="BP68" i="1"/>
  <c r="BO68" i="1"/>
  <c r="BN68" i="1"/>
  <c r="BM68" i="1"/>
  <c r="BK68" i="1"/>
  <c r="BJ68" i="1"/>
  <c r="BI68" i="1"/>
  <c r="BH68" i="1"/>
  <c r="BG68" i="1"/>
  <c r="BF68" i="1"/>
  <c r="BE68" i="1"/>
  <c r="BD68" i="1"/>
  <c r="BC68" i="1"/>
  <c r="BB68" i="1"/>
  <c r="BA68" i="1"/>
  <c r="AZ68" i="1"/>
  <c r="AY68" i="1"/>
  <c r="AX68" i="1"/>
  <c r="AW68" i="1"/>
  <c r="AV68" i="1"/>
  <c r="AU68" i="1"/>
  <c r="AT68" i="1"/>
  <c r="AS68" i="1"/>
  <c r="AR68" i="1"/>
  <c r="AI68" i="1"/>
  <c r="W68" i="1"/>
  <c r="CD67" i="1"/>
  <c r="CC67" i="1"/>
  <c r="CB67" i="1"/>
  <c r="CA67" i="1"/>
  <c r="BU67" i="1"/>
  <c r="BT67" i="1"/>
  <c r="BS67" i="1"/>
  <c r="BR67" i="1"/>
  <c r="BQ67" i="1"/>
  <c r="BP67" i="1"/>
  <c r="BO67" i="1"/>
  <c r="BN67" i="1"/>
  <c r="BM67" i="1"/>
  <c r="BK67" i="1"/>
  <c r="BJ67" i="1"/>
  <c r="BI67" i="1"/>
  <c r="BH67" i="1"/>
  <c r="BG67" i="1"/>
  <c r="BF67" i="1"/>
  <c r="BD67" i="1"/>
  <c r="BC67" i="1"/>
  <c r="BB67" i="1"/>
  <c r="BA67" i="1"/>
  <c r="AZ67" i="1"/>
  <c r="AY67" i="1"/>
  <c r="AX67" i="1"/>
  <c r="AW67" i="1"/>
  <c r="AV67" i="1"/>
  <c r="AU67" i="1"/>
  <c r="AT67" i="1"/>
  <c r="AS67" i="1"/>
  <c r="AR67" i="1"/>
  <c r="AI67" i="1"/>
  <c r="W67" i="1"/>
  <c r="CD66" i="1"/>
  <c r="CC66" i="1"/>
  <c r="CB66" i="1"/>
  <c r="CA66" i="1"/>
  <c r="BU66" i="1"/>
  <c r="BT66" i="1"/>
  <c r="BS66" i="1"/>
  <c r="BR66" i="1"/>
  <c r="BQ66" i="1"/>
  <c r="BP66" i="1"/>
  <c r="BO66" i="1"/>
  <c r="BM66" i="1"/>
  <c r="BK66" i="1"/>
  <c r="BJ66" i="1"/>
  <c r="BI66" i="1"/>
  <c r="BH66" i="1"/>
  <c r="BG66" i="1"/>
  <c r="BF66" i="1"/>
  <c r="BE66" i="1"/>
  <c r="BD66" i="1"/>
  <c r="BC66" i="1"/>
  <c r="BB66" i="1"/>
  <c r="BA66" i="1"/>
  <c r="AZ66" i="1"/>
  <c r="AY66" i="1"/>
  <c r="AX66" i="1"/>
  <c r="AW66" i="1"/>
  <c r="AV66" i="1"/>
  <c r="AU66" i="1"/>
  <c r="AT66" i="1"/>
  <c r="AS66" i="1"/>
  <c r="AR66" i="1"/>
  <c r="AI66" i="1"/>
  <c r="W66" i="1"/>
  <c r="CD65" i="1"/>
  <c r="CC65" i="1"/>
  <c r="CB65" i="1"/>
  <c r="CA65" i="1"/>
  <c r="BU65" i="1"/>
  <c r="BT65" i="1"/>
  <c r="BS65" i="1"/>
  <c r="BR65" i="1"/>
  <c r="BQ65" i="1"/>
  <c r="BP65" i="1"/>
  <c r="BO65" i="1"/>
  <c r="BN65" i="1"/>
  <c r="BM65" i="1"/>
  <c r="BK65" i="1"/>
  <c r="BJ65" i="1"/>
  <c r="BI65" i="1"/>
  <c r="BH65" i="1"/>
  <c r="BG65" i="1"/>
  <c r="BF65" i="1"/>
  <c r="BE65" i="1"/>
  <c r="BD65" i="1"/>
  <c r="BC65" i="1"/>
  <c r="BB65" i="1"/>
  <c r="BA65" i="1"/>
  <c r="AZ65" i="1"/>
  <c r="AY65" i="1"/>
  <c r="AX65" i="1"/>
  <c r="AW65" i="1"/>
  <c r="AV65" i="1"/>
  <c r="AU65" i="1"/>
  <c r="AT65" i="1"/>
  <c r="AS65" i="1"/>
  <c r="AR65" i="1"/>
  <c r="AI65" i="1"/>
  <c r="W65" i="1"/>
  <c r="CD64" i="1"/>
  <c r="CC64" i="1"/>
  <c r="CB64" i="1"/>
  <c r="CA64" i="1"/>
  <c r="BU64" i="1"/>
  <c r="BT64" i="1"/>
  <c r="BS64" i="1"/>
  <c r="BR64" i="1"/>
  <c r="BQ64" i="1"/>
  <c r="BP64" i="1"/>
  <c r="BO64" i="1"/>
  <c r="BN64" i="1"/>
  <c r="BM64" i="1"/>
  <c r="BK64" i="1"/>
  <c r="BJ64" i="1"/>
  <c r="BI64" i="1"/>
  <c r="BH64" i="1"/>
  <c r="BG64" i="1"/>
  <c r="BF64" i="1"/>
  <c r="BE64" i="1"/>
  <c r="BD64" i="1"/>
  <c r="BC64" i="1"/>
  <c r="BB64" i="1"/>
  <c r="BA64" i="1"/>
  <c r="AZ64" i="1"/>
  <c r="AY64" i="1"/>
  <c r="AX64" i="1"/>
  <c r="AW64" i="1"/>
  <c r="AV64" i="1"/>
  <c r="AU64" i="1"/>
  <c r="AT64" i="1"/>
  <c r="AS64" i="1"/>
  <c r="AR64" i="1"/>
  <c r="AI64" i="1"/>
  <c r="W64" i="1"/>
  <c r="CD63" i="1"/>
  <c r="CC63" i="1"/>
  <c r="CB63" i="1"/>
  <c r="CA63" i="1"/>
  <c r="BU63" i="1"/>
  <c r="BT63" i="1"/>
  <c r="BS63" i="1"/>
  <c r="BR63" i="1"/>
  <c r="BQ63" i="1"/>
  <c r="BP63" i="1"/>
  <c r="BO63" i="1"/>
  <c r="BN63" i="1"/>
  <c r="BM63" i="1"/>
  <c r="BK63" i="1"/>
  <c r="BJ63" i="1"/>
  <c r="BI63" i="1"/>
  <c r="BH63" i="1"/>
  <c r="BG63" i="1"/>
  <c r="BF63" i="1"/>
  <c r="BD63" i="1"/>
  <c r="BC63" i="1"/>
  <c r="BB63" i="1"/>
  <c r="BA63" i="1"/>
  <c r="AZ63" i="1"/>
  <c r="AY63" i="1"/>
  <c r="AX63" i="1"/>
  <c r="AW63" i="1"/>
  <c r="AV63" i="1"/>
  <c r="AU63" i="1"/>
  <c r="AT63" i="1"/>
  <c r="AS63" i="1"/>
  <c r="AR63" i="1"/>
  <c r="AI63" i="1"/>
  <c r="W63" i="1"/>
  <c r="CD62" i="1"/>
  <c r="CC62" i="1"/>
  <c r="CB62" i="1"/>
  <c r="CA62" i="1"/>
  <c r="BU62" i="1"/>
  <c r="BT62" i="1"/>
  <c r="BS62" i="1"/>
  <c r="BR62" i="1"/>
  <c r="BQ62" i="1"/>
  <c r="BP62" i="1"/>
  <c r="BO62" i="1"/>
  <c r="BN62" i="1"/>
  <c r="BM62" i="1"/>
  <c r="BK62" i="1"/>
  <c r="BJ62" i="1"/>
  <c r="BI62" i="1"/>
  <c r="BH62" i="1"/>
  <c r="BG62" i="1"/>
  <c r="BF62" i="1"/>
  <c r="BE62" i="1"/>
  <c r="BD62" i="1"/>
  <c r="BC62" i="1"/>
  <c r="BB62" i="1"/>
  <c r="BA62" i="1"/>
  <c r="AZ62" i="1"/>
  <c r="AY62" i="1"/>
  <c r="AX62" i="1"/>
  <c r="AW62" i="1"/>
  <c r="AV62" i="1"/>
  <c r="AU62" i="1"/>
  <c r="AT62" i="1"/>
  <c r="AS62" i="1"/>
  <c r="AR62" i="1"/>
  <c r="AI62" i="1"/>
  <c r="W62" i="1"/>
  <c r="CD61" i="1"/>
  <c r="CC61" i="1"/>
  <c r="CB61" i="1"/>
  <c r="CA61" i="1"/>
  <c r="BU61" i="1"/>
  <c r="BT61" i="1"/>
  <c r="BS61" i="1"/>
  <c r="BR61" i="1"/>
  <c r="BQ61" i="1"/>
  <c r="BP61" i="1"/>
  <c r="BO61" i="1"/>
  <c r="BN61" i="1"/>
  <c r="BM61" i="1"/>
  <c r="BK61" i="1"/>
  <c r="BJ61" i="1"/>
  <c r="BI61" i="1"/>
  <c r="BH61" i="1"/>
  <c r="BG61" i="1"/>
  <c r="BF61" i="1"/>
  <c r="BE61" i="1"/>
  <c r="BD61" i="1"/>
  <c r="BC61" i="1"/>
  <c r="BB61" i="1"/>
  <c r="BA61" i="1"/>
  <c r="AZ61" i="1"/>
  <c r="AY61" i="1"/>
  <c r="AX61" i="1"/>
  <c r="AW61" i="1"/>
  <c r="AV61" i="1"/>
  <c r="AU61" i="1"/>
  <c r="AT61" i="1"/>
  <c r="AS61" i="1"/>
  <c r="AR61" i="1"/>
  <c r="AI61" i="1"/>
  <c r="W61" i="1"/>
  <c r="CD60" i="1"/>
  <c r="CC60" i="1"/>
  <c r="CB60" i="1"/>
  <c r="CA60" i="1"/>
  <c r="BU60" i="1"/>
  <c r="BT60" i="1"/>
  <c r="BS60" i="1"/>
  <c r="BR60" i="1"/>
  <c r="BQ60" i="1"/>
  <c r="BP60" i="1"/>
  <c r="BO60" i="1"/>
  <c r="BN60" i="1"/>
  <c r="BM60" i="1"/>
  <c r="BK60" i="1"/>
  <c r="BJ60" i="1"/>
  <c r="BI60" i="1"/>
  <c r="BH60" i="1"/>
  <c r="BG60" i="1"/>
  <c r="BF60" i="1"/>
  <c r="BE60" i="1"/>
  <c r="BD60" i="1"/>
  <c r="BC60" i="1"/>
  <c r="BB60" i="1"/>
  <c r="BA60" i="1"/>
  <c r="AZ60" i="1"/>
  <c r="AY60" i="1"/>
  <c r="AX60" i="1"/>
  <c r="AW60" i="1"/>
  <c r="AV60" i="1"/>
  <c r="AU60" i="1"/>
  <c r="AT60" i="1"/>
  <c r="AS60" i="1"/>
  <c r="AR60" i="1"/>
  <c r="AI60" i="1"/>
  <c r="W60" i="1"/>
  <c r="CD59" i="1"/>
  <c r="CC59" i="1"/>
  <c r="CB59" i="1"/>
  <c r="CA59" i="1"/>
  <c r="BU59" i="1"/>
  <c r="BT59" i="1"/>
  <c r="BS59" i="1"/>
  <c r="BR59" i="1"/>
  <c r="BQ59" i="1"/>
  <c r="BP59" i="1"/>
  <c r="BO59" i="1"/>
  <c r="BN59" i="1"/>
  <c r="BM59" i="1"/>
  <c r="BK59" i="1"/>
  <c r="BJ59" i="1"/>
  <c r="BI59" i="1"/>
  <c r="BH59" i="1"/>
  <c r="BG59" i="1"/>
  <c r="BF59" i="1"/>
  <c r="BE59" i="1"/>
  <c r="BD59" i="1"/>
  <c r="BC59" i="1"/>
  <c r="BB59" i="1"/>
  <c r="BA59" i="1"/>
  <c r="AZ59" i="1"/>
  <c r="AY59" i="1"/>
  <c r="AX59" i="1"/>
  <c r="AW59" i="1"/>
  <c r="AV59" i="1"/>
  <c r="AU59" i="1"/>
  <c r="AT59" i="1"/>
  <c r="AS59" i="1"/>
  <c r="AR59" i="1"/>
  <c r="AI59" i="1"/>
  <c r="W59" i="1"/>
  <c r="CD58" i="1"/>
  <c r="CC58" i="1"/>
  <c r="CB58" i="1"/>
  <c r="CA58" i="1"/>
  <c r="BU58" i="1"/>
  <c r="BT58" i="1"/>
  <c r="BS58" i="1"/>
  <c r="BR58" i="1"/>
  <c r="BQ58" i="1"/>
  <c r="BP58" i="1"/>
  <c r="BO58" i="1"/>
  <c r="BN58" i="1"/>
  <c r="BM58" i="1"/>
  <c r="BK58" i="1"/>
  <c r="BJ58" i="1"/>
  <c r="BI58" i="1"/>
  <c r="BH58" i="1"/>
  <c r="BG58" i="1"/>
  <c r="BF58" i="1"/>
  <c r="BE58" i="1"/>
  <c r="BD58" i="1"/>
  <c r="BC58" i="1"/>
  <c r="BB58" i="1"/>
  <c r="BA58" i="1"/>
  <c r="AZ58" i="1"/>
  <c r="AY58" i="1"/>
  <c r="AX58" i="1"/>
  <c r="AW58" i="1"/>
  <c r="AV58" i="1"/>
  <c r="AU58" i="1"/>
  <c r="AT58" i="1"/>
  <c r="AS58" i="1"/>
  <c r="AR58" i="1"/>
  <c r="AI58" i="1"/>
  <c r="W58" i="1"/>
  <c r="CD57" i="1"/>
  <c r="CC57" i="1"/>
  <c r="CB57" i="1"/>
  <c r="CA57" i="1"/>
  <c r="BU57" i="1"/>
  <c r="BT57" i="1"/>
  <c r="BS57" i="1"/>
  <c r="BR57" i="1"/>
  <c r="BQ57" i="1"/>
  <c r="BP57" i="1"/>
  <c r="BO57" i="1"/>
  <c r="BN57" i="1"/>
  <c r="BM57" i="1"/>
  <c r="BK57" i="1"/>
  <c r="BJ57" i="1"/>
  <c r="BI57" i="1"/>
  <c r="BH57" i="1"/>
  <c r="BG57" i="1"/>
  <c r="BF57" i="1"/>
  <c r="BE57" i="1"/>
  <c r="BD57" i="1"/>
  <c r="BC57" i="1"/>
  <c r="BB57" i="1"/>
  <c r="BA57" i="1"/>
  <c r="AZ57" i="1"/>
  <c r="AY57" i="1"/>
  <c r="AX57" i="1"/>
  <c r="AW57" i="1"/>
  <c r="AV57" i="1"/>
  <c r="AU57" i="1"/>
  <c r="AT57" i="1"/>
  <c r="AS57" i="1"/>
  <c r="AR57" i="1"/>
  <c r="AI57" i="1"/>
  <c r="W57" i="1"/>
  <c r="CD56" i="1"/>
  <c r="CC56" i="1"/>
  <c r="CB56" i="1"/>
  <c r="CA56" i="1"/>
  <c r="BU56" i="1"/>
  <c r="BT56" i="1"/>
  <c r="BS56" i="1"/>
  <c r="BR56" i="1"/>
  <c r="BQ56" i="1"/>
  <c r="BP56" i="1"/>
  <c r="BO56" i="1"/>
  <c r="BN56" i="1"/>
  <c r="BM56" i="1"/>
  <c r="BK56" i="1"/>
  <c r="BJ56" i="1"/>
  <c r="BI56" i="1"/>
  <c r="BH56" i="1"/>
  <c r="BG56" i="1"/>
  <c r="BF56" i="1"/>
  <c r="BE56" i="1"/>
  <c r="BD56" i="1"/>
  <c r="BC56" i="1"/>
  <c r="BB56" i="1"/>
  <c r="BA56" i="1"/>
  <c r="AZ56" i="1"/>
  <c r="AY56" i="1"/>
  <c r="AX56" i="1"/>
  <c r="AW56" i="1"/>
  <c r="AV56" i="1"/>
  <c r="AU56" i="1"/>
  <c r="AT56" i="1"/>
  <c r="AS56" i="1"/>
  <c r="AR56" i="1"/>
  <c r="AI56" i="1"/>
  <c r="W56" i="1"/>
  <c r="CD55" i="1"/>
  <c r="CC55" i="1"/>
  <c r="CB55" i="1"/>
  <c r="CA55" i="1"/>
  <c r="BU55" i="1"/>
  <c r="BT55" i="1"/>
  <c r="BS55" i="1"/>
  <c r="BR55" i="1"/>
  <c r="BQ55" i="1"/>
  <c r="BP55" i="1"/>
  <c r="BO55" i="1"/>
  <c r="BN55" i="1"/>
  <c r="BM55" i="1"/>
  <c r="BK55" i="1"/>
  <c r="BJ55" i="1"/>
  <c r="BI55" i="1"/>
  <c r="BH55" i="1"/>
  <c r="BG55" i="1"/>
  <c r="BF55" i="1"/>
  <c r="BE55" i="1"/>
  <c r="BD55" i="1"/>
  <c r="BC55" i="1"/>
  <c r="BB55" i="1"/>
  <c r="BA55" i="1"/>
  <c r="AZ55" i="1"/>
  <c r="AY55" i="1"/>
  <c r="AX55" i="1"/>
  <c r="AW55" i="1"/>
  <c r="AV55" i="1"/>
  <c r="AU55" i="1"/>
  <c r="AT55" i="1"/>
  <c r="AS55" i="1"/>
  <c r="AR55" i="1"/>
  <c r="AI55" i="1"/>
  <c r="W55" i="1"/>
  <c r="CD54" i="1"/>
  <c r="CC54" i="1"/>
  <c r="CB54" i="1"/>
  <c r="CA54" i="1"/>
  <c r="BU54" i="1"/>
  <c r="BT54" i="1"/>
  <c r="BS54" i="1"/>
  <c r="BR54" i="1"/>
  <c r="BQ54" i="1"/>
  <c r="BP54" i="1"/>
  <c r="BO54" i="1"/>
  <c r="BN54" i="1"/>
  <c r="BM54" i="1"/>
  <c r="BK54" i="1"/>
  <c r="BJ54" i="1"/>
  <c r="BI54" i="1"/>
  <c r="BH54" i="1"/>
  <c r="BG54" i="1"/>
  <c r="BF54" i="1"/>
  <c r="BE54" i="1"/>
  <c r="BD54" i="1"/>
  <c r="BC54" i="1"/>
  <c r="BB54" i="1"/>
  <c r="BA54" i="1"/>
  <c r="AZ54" i="1"/>
  <c r="AY54" i="1"/>
  <c r="AX54" i="1"/>
  <c r="AW54" i="1"/>
  <c r="AV54" i="1"/>
  <c r="AU54" i="1"/>
  <c r="AT54" i="1"/>
  <c r="AS54" i="1"/>
  <c r="AR54" i="1"/>
  <c r="AI54" i="1"/>
  <c r="W54" i="1"/>
  <c r="CD53" i="1"/>
  <c r="CC53" i="1"/>
  <c r="CB53" i="1"/>
  <c r="CA53" i="1"/>
  <c r="BZ53" i="1"/>
  <c r="BY53" i="1"/>
  <c r="BX53" i="1"/>
  <c r="BW53" i="1"/>
  <c r="BV53" i="1"/>
  <c r="BU53" i="1"/>
  <c r="BT53" i="1"/>
  <c r="BS53" i="1"/>
  <c r="BR53" i="1"/>
  <c r="BQ53" i="1"/>
  <c r="BP53" i="1"/>
  <c r="BO53" i="1"/>
  <c r="BN53" i="1"/>
  <c r="BM53" i="1"/>
  <c r="BK53" i="1"/>
  <c r="BJ53" i="1"/>
  <c r="BI53" i="1"/>
  <c r="BH53" i="1"/>
  <c r="BG53" i="1"/>
  <c r="BF53" i="1"/>
  <c r="BE53" i="1"/>
  <c r="BD53" i="1"/>
  <c r="BC53" i="1"/>
  <c r="BB53" i="1"/>
  <c r="BA53" i="1"/>
  <c r="AZ53" i="1"/>
  <c r="AY53" i="1"/>
  <c r="AX53" i="1"/>
  <c r="AW53" i="1"/>
  <c r="AV53" i="1"/>
  <c r="AU53" i="1"/>
  <c r="AT53" i="1"/>
  <c r="AS53" i="1"/>
  <c r="AR53" i="1"/>
  <c r="AI53" i="1"/>
  <c r="W53" i="1"/>
  <c r="CD52" i="1"/>
  <c r="CC52" i="1"/>
  <c r="CB52" i="1"/>
  <c r="CA52" i="1"/>
  <c r="BZ52" i="1"/>
  <c r="BY52" i="1"/>
  <c r="BX52" i="1"/>
  <c r="BW52" i="1"/>
  <c r="BV52" i="1"/>
  <c r="BU52" i="1"/>
  <c r="BT52" i="1"/>
  <c r="BS52" i="1"/>
  <c r="BR52" i="1"/>
  <c r="BQ52" i="1"/>
  <c r="BP52" i="1"/>
  <c r="BO52" i="1"/>
  <c r="BN52" i="1"/>
  <c r="BM52" i="1"/>
  <c r="BK52" i="1"/>
  <c r="BJ52" i="1"/>
  <c r="BI52" i="1"/>
  <c r="BH52" i="1"/>
  <c r="BG52" i="1"/>
  <c r="BF52" i="1"/>
  <c r="BE52" i="1"/>
  <c r="BD52" i="1"/>
  <c r="BC52" i="1"/>
  <c r="BB52" i="1"/>
  <c r="BA52" i="1"/>
  <c r="AZ52" i="1"/>
  <c r="AY52" i="1"/>
  <c r="AX52" i="1"/>
  <c r="AW52" i="1"/>
  <c r="AV52" i="1"/>
  <c r="AU52" i="1"/>
  <c r="AT52" i="1"/>
  <c r="AS52" i="1"/>
  <c r="AR52" i="1"/>
  <c r="AI52" i="1"/>
  <c r="W52" i="1"/>
  <c r="CD51" i="1"/>
  <c r="CC51" i="1"/>
  <c r="CB51" i="1"/>
  <c r="CA51" i="1"/>
  <c r="BZ51" i="1"/>
  <c r="BY51" i="1"/>
  <c r="BX51" i="1"/>
  <c r="BW51" i="1"/>
  <c r="BV51" i="1"/>
  <c r="BU51" i="1"/>
  <c r="BT51" i="1"/>
  <c r="BS51" i="1"/>
  <c r="BR51" i="1"/>
  <c r="BQ51" i="1"/>
  <c r="BP51" i="1"/>
  <c r="BO51" i="1"/>
  <c r="BN51" i="1"/>
  <c r="BM51" i="1"/>
  <c r="BK51" i="1"/>
  <c r="BJ51" i="1"/>
  <c r="BI51" i="1"/>
  <c r="BH51" i="1"/>
  <c r="BG51" i="1"/>
  <c r="BF51" i="1"/>
  <c r="BD51" i="1"/>
  <c r="BC51" i="1"/>
  <c r="BB51" i="1"/>
  <c r="BA51" i="1"/>
  <c r="AZ51" i="1"/>
  <c r="AY51" i="1"/>
  <c r="AX51" i="1"/>
  <c r="AW51" i="1"/>
  <c r="AV51" i="1"/>
  <c r="AU51" i="1"/>
  <c r="AT51" i="1"/>
  <c r="AS51" i="1"/>
  <c r="AR51" i="1"/>
  <c r="AI51" i="1"/>
  <c r="W51" i="1"/>
  <c r="CD50" i="1"/>
  <c r="CC50" i="1"/>
  <c r="CB50" i="1"/>
  <c r="CA50" i="1"/>
  <c r="BZ50" i="1"/>
  <c r="BY50" i="1"/>
  <c r="BX50" i="1"/>
  <c r="BW50" i="1"/>
  <c r="BV50" i="1"/>
  <c r="BU50" i="1"/>
  <c r="BT50" i="1"/>
  <c r="BS50" i="1"/>
  <c r="BR50" i="1"/>
  <c r="BQ50" i="1"/>
  <c r="BP50" i="1"/>
  <c r="BO50" i="1"/>
  <c r="BN50" i="1"/>
  <c r="BM50" i="1"/>
  <c r="BK50" i="1"/>
  <c r="BJ50" i="1"/>
  <c r="BI50" i="1"/>
  <c r="BH50" i="1"/>
  <c r="BG50" i="1"/>
  <c r="BF50" i="1"/>
  <c r="BD50" i="1"/>
  <c r="BC50" i="1"/>
  <c r="BB50" i="1"/>
  <c r="BA50" i="1"/>
  <c r="AZ50" i="1"/>
  <c r="AY50" i="1"/>
  <c r="AX50" i="1"/>
  <c r="AW50" i="1"/>
  <c r="AV50" i="1"/>
  <c r="AU50" i="1"/>
  <c r="AT50" i="1"/>
  <c r="AS50" i="1"/>
  <c r="AR50" i="1"/>
  <c r="AI50" i="1"/>
  <c r="W50" i="1"/>
  <c r="CD49" i="1"/>
  <c r="CC49" i="1"/>
  <c r="CB49" i="1"/>
  <c r="CA49" i="1"/>
  <c r="BZ49" i="1"/>
  <c r="BY49" i="1"/>
  <c r="BX49" i="1"/>
  <c r="BW49" i="1"/>
  <c r="BV49" i="1"/>
  <c r="BU49" i="1"/>
  <c r="BT49" i="1"/>
  <c r="BS49" i="1"/>
  <c r="BR49" i="1"/>
  <c r="BQ49" i="1"/>
  <c r="BP49" i="1"/>
  <c r="BO49" i="1"/>
  <c r="BN49" i="1"/>
  <c r="BM49" i="1"/>
  <c r="BK49" i="1"/>
  <c r="BJ49" i="1"/>
  <c r="BI49" i="1"/>
  <c r="BH49" i="1"/>
  <c r="BG49" i="1"/>
  <c r="BF49" i="1"/>
  <c r="BD49" i="1"/>
  <c r="BC49" i="1"/>
  <c r="BB49" i="1"/>
  <c r="BA49" i="1"/>
  <c r="AZ49" i="1"/>
  <c r="AY49" i="1"/>
  <c r="AX49" i="1"/>
  <c r="AW49" i="1"/>
  <c r="AV49" i="1"/>
  <c r="AU49" i="1"/>
  <c r="AT49" i="1"/>
  <c r="AS49" i="1"/>
  <c r="AR49" i="1"/>
  <c r="AI49" i="1"/>
  <c r="W49" i="1"/>
  <c r="CD48" i="1"/>
  <c r="CC48" i="1"/>
  <c r="CB48" i="1"/>
  <c r="CA48" i="1"/>
  <c r="BZ48" i="1"/>
  <c r="BY48" i="1"/>
  <c r="BX48" i="1"/>
  <c r="BW48" i="1"/>
  <c r="BV48" i="1"/>
  <c r="BU48" i="1"/>
  <c r="BT48" i="1"/>
  <c r="BS48" i="1"/>
  <c r="BR48" i="1"/>
  <c r="BQ48" i="1"/>
  <c r="BP48" i="1"/>
  <c r="BO48" i="1"/>
  <c r="BN48" i="1"/>
  <c r="BM48" i="1"/>
  <c r="BK48" i="1"/>
  <c r="BJ48" i="1"/>
  <c r="BI48" i="1"/>
  <c r="BH48" i="1"/>
  <c r="BG48" i="1"/>
  <c r="BF48" i="1"/>
  <c r="BD48" i="1"/>
  <c r="BC48" i="1"/>
  <c r="BB48" i="1"/>
  <c r="BA48" i="1"/>
  <c r="AZ48" i="1"/>
  <c r="AY48" i="1"/>
  <c r="AX48" i="1"/>
  <c r="AW48" i="1"/>
  <c r="AV48" i="1"/>
  <c r="AU48" i="1"/>
  <c r="AT48" i="1"/>
  <c r="AS48" i="1"/>
  <c r="AR48" i="1"/>
  <c r="AI48" i="1"/>
  <c r="W48" i="1"/>
  <c r="CD47" i="1"/>
  <c r="CC47" i="1"/>
  <c r="CB47" i="1"/>
  <c r="CA47" i="1"/>
  <c r="BZ47" i="1"/>
  <c r="BY47" i="1"/>
  <c r="BX47" i="1"/>
  <c r="BW47" i="1"/>
  <c r="BV47" i="1"/>
  <c r="BU47" i="1"/>
  <c r="BT47" i="1"/>
  <c r="BS47" i="1"/>
  <c r="BR47" i="1"/>
  <c r="BQ47" i="1"/>
  <c r="BP47" i="1"/>
  <c r="BO47" i="1"/>
  <c r="BN47" i="1"/>
  <c r="BM47" i="1"/>
  <c r="BK47" i="1"/>
  <c r="BJ47" i="1"/>
  <c r="BI47" i="1"/>
  <c r="BH47" i="1"/>
  <c r="BG47" i="1"/>
  <c r="BF47" i="1"/>
  <c r="BD47" i="1"/>
  <c r="BC47" i="1"/>
  <c r="BB47" i="1"/>
  <c r="BA47" i="1"/>
  <c r="AZ47" i="1"/>
  <c r="AY47" i="1"/>
  <c r="AX47" i="1"/>
  <c r="AW47" i="1"/>
  <c r="AV47" i="1"/>
  <c r="AU47" i="1"/>
  <c r="AT47" i="1"/>
  <c r="AS47" i="1"/>
  <c r="AR47" i="1"/>
  <c r="AI47" i="1"/>
  <c r="W47" i="1"/>
  <c r="CD46" i="1"/>
  <c r="CC46" i="1"/>
  <c r="CB46" i="1"/>
  <c r="CA46" i="1"/>
  <c r="BZ46" i="1"/>
  <c r="BY46" i="1"/>
  <c r="BX46" i="1"/>
  <c r="BW46" i="1"/>
  <c r="BV46" i="1"/>
  <c r="BU46" i="1"/>
  <c r="BT46" i="1"/>
  <c r="BS46" i="1"/>
  <c r="BR46" i="1"/>
  <c r="BQ46" i="1"/>
  <c r="BP46" i="1"/>
  <c r="BO46" i="1"/>
  <c r="BN46" i="1"/>
  <c r="BM46" i="1"/>
  <c r="BK46" i="1"/>
  <c r="BJ46" i="1"/>
  <c r="BI46" i="1"/>
  <c r="BH46" i="1"/>
  <c r="BG46" i="1"/>
  <c r="BF46" i="1"/>
  <c r="BD46" i="1"/>
  <c r="BC46" i="1"/>
  <c r="BB46" i="1"/>
  <c r="BA46" i="1"/>
  <c r="AZ46" i="1"/>
  <c r="AY46" i="1"/>
  <c r="AX46" i="1"/>
  <c r="AW46" i="1"/>
  <c r="AV46" i="1"/>
  <c r="AU46" i="1"/>
  <c r="AT46" i="1"/>
  <c r="AS46" i="1"/>
  <c r="AR46" i="1"/>
  <c r="AI46" i="1"/>
  <c r="W46" i="1"/>
  <c r="CD45" i="1"/>
  <c r="CC45" i="1"/>
  <c r="CB45" i="1"/>
  <c r="CA45" i="1"/>
  <c r="BZ45" i="1"/>
  <c r="BX45" i="1"/>
  <c r="BW45" i="1"/>
  <c r="BV45" i="1"/>
  <c r="BU45" i="1"/>
  <c r="BT45" i="1"/>
  <c r="BS45" i="1"/>
  <c r="BR45" i="1"/>
  <c r="BQ45" i="1"/>
  <c r="BP45" i="1"/>
  <c r="BO45" i="1"/>
  <c r="BN45" i="1"/>
  <c r="BM45" i="1"/>
  <c r="BK45" i="1"/>
  <c r="BJ45" i="1"/>
  <c r="BI45" i="1"/>
  <c r="BH45" i="1"/>
  <c r="BG45" i="1"/>
  <c r="BF45" i="1"/>
  <c r="BD45" i="1"/>
  <c r="BC45" i="1"/>
  <c r="BB45" i="1"/>
  <c r="BA45" i="1"/>
  <c r="AZ45" i="1"/>
  <c r="AY45" i="1"/>
  <c r="AX45" i="1"/>
  <c r="AW45" i="1"/>
  <c r="AV45" i="1"/>
  <c r="AU45" i="1"/>
  <c r="AT45" i="1"/>
  <c r="AS45" i="1"/>
  <c r="AR45" i="1"/>
  <c r="AI45" i="1"/>
  <c r="W45" i="1"/>
  <c r="CD44" i="1"/>
  <c r="CC44" i="1"/>
  <c r="CB44" i="1"/>
  <c r="CA44" i="1"/>
  <c r="BZ44" i="1"/>
  <c r="BX44" i="1"/>
  <c r="BW44" i="1"/>
  <c r="BV44" i="1"/>
  <c r="BU44" i="1"/>
  <c r="BT44" i="1"/>
  <c r="BS44" i="1"/>
  <c r="BR44" i="1"/>
  <c r="BQ44" i="1"/>
  <c r="BP44" i="1"/>
  <c r="BO44" i="1"/>
  <c r="BN44" i="1"/>
  <c r="BM44" i="1"/>
  <c r="BK44" i="1"/>
  <c r="BJ44" i="1"/>
  <c r="BI44" i="1"/>
  <c r="BH44" i="1"/>
  <c r="BG44" i="1"/>
  <c r="BF44" i="1"/>
  <c r="BD44" i="1"/>
  <c r="BC44" i="1"/>
  <c r="BB44" i="1"/>
  <c r="BA44" i="1"/>
  <c r="AZ44" i="1"/>
  <c r="AY44" i="1"/>
  <c r="AX44" i="1"/>
  <c r="AW44" i="1"/>
  <c r="AV44" i="1"/>
  <c r="AU44" i="1"/>
  <c r="AT44" i="1"/>
  <c r="AS44" i="1"/>
  <c r="AR44" i="1"/>
  <c r="AI44" i="1"/>
  <c r="W44" i="1"/>
  <c r="CD43" i="1"/>
  <c r="CC43" i="1"/>
  <c r="CB43" i="1"/>
  <c r="CA43" i="1"/>
  <c r="BZ43" i="1"/>
  <c r="BX43" i="1"/>
  <c r="BW43" i="1"/>
  <c r="BV43" i="1"/>
  <c r="BU43" i="1"/>
  <c r="BT43" i="1"/>
  <c r="BS43" i="1"/>
  <c r="BR43" i="1"/>
  <c r="BQ43" i="1"/>
  <c r="BP43" i="1"/>
  <c r="BO43" i="1"/>
  <c r="BN43" i="1"/>
  <c r="BM43" i="1"/>
  <c r="BK43" i="1"/>
  <c r="BJ43" i="1"/>
  <c r="BI43" i="1"/>
  <c r="BH43" i="1"/>
  <c r="BG43" i="1"/>
  <c r="BF43" i="1"/>
  <c r="BD43" i="1"/>
  <c r="BC43" i="1"/>
  <c r="BB43" i="1"/>
  <c r="BA43" i="1"/>
  <c r="AZ43" i="1"/>
  <c r="AY43" i="1"/>
  <c r="AX43" i="1"/>
  <c r="AW43" i="1"/>
  <c r="AV43" i="1"/>
  <c r="AU43" i="1"/>
  <c r="AT43" i="1"/>
  <c r="AS43" i="1"/>
  <c r="AR43" i="1"/>
  <c r="AI43" i="1"/>
  <c r="W43" i="1"/>
  <c r="CD42" i="1"/>
  <c r="CC42" i="1"/>
  <c r="CB42" i="1"/>
  <c r="CA42" i="1"/>
  <c r="BZ42" i="1"/>
  <c r="BX42" i="1"/>
  <c r="BW42" i="1"/>
  <c r="BV42" i="1"/>
  <c r="BU42" i="1"/>
  <c r="BT42" i="1"/>
  <c r="BS42" i="1"/>
  <c r="BR42" i="1"/>
  <c r="BQ42" i="1"/>
  <c r="BP42" i="1"/>
  <c r="BO42" i="1"/>
  <c r="BN42" i="1"/>
  <c r="BM42" i="1"/>
  <c r="BK42" i="1"/>
  <c r="BJ42" i="1"/>
  <c r="BI42" i="1"/>
  <c r="BH42" i="1"/>
  <c r="BG42" i="1"/>
  <c r="BF42" i="1"/>
  <c r="BD42" i="1"/>
  <c r="BC42" i="1"/>
  <c r="BB42" i="1"/>
  <c r="BA42" i="1"/>
  <c r="AZ42" i="1"/>
  <c r="AY42" i="1"/>
  <c r="AX42" i="1"/>
  <c r="AW42" i="1"/>
  <c r="AV42" i="1"/>
  <c r="AU42" i="1"/>
  <c r="AT42" i="1"/>
  <c r="AS42" i="1"/>
  <c r="AR42" i="1"/>
  <c r="AI42" i="1"/>
  <c r="W42" i="1"/>
  <c r="CD41" i="1"/>
  <c r="CC41" i="1"/>
  <c r="CB41" i="1"/>
  <c r="CA41" i="1"/>
  <c r="BZ41" i="1"/>
  <c r="BX41" i="1"/>
  <c r="BW41" i="1"/>
  <c r="BV41" i="1"/>
  <c r="BU41" i="1"/>
  <c r="BT41" i="1"/>
  <c r="BS41" i="1"/>
  <c r="BR41" i="1"/>
  <c r="BQ41" i="1"/>
  <c r="BP41" i="1"/>
  <c r="BO41" i="1"/>
  <c r="BN41" i="1"/>
  <c r="BM41" i="1"/>
  <c r="BK41" i="1"/>
  <c r="BJ41" i="1"/>
  <c r="BI41" i="1"/>
  <c r="BH41" i="1"/>
  <c r="BG41" i="1"/>
  <c r="BF41" i="1"/>
  <c r="BD41" i="1"/>
  <c r="BC41" i="1"/>
  <c r="BB41" i="1"/>
  <c r="BA41" i="1"/>
  <c r="AZ41" i="1"/>
  <c r="AY41" i="1"/>
  <c r="AX41" i="1"/>
  <c r="AW41" i="1"/>
  <c r="AV41" i="1"/>
  <c r="AU41" i="1"/>
  <c r="AT41" i="1"/>
  <c r="AS41" i="1"/>
  <c r="AR41" i="1"/>
  <c r="AI41" i="1"/>
  <c r="W41" i="1"/>
  <c r="CD40" i="1"/>
  <c r="CC40" i="1"/>
  <c r="CB40" i="1"/>
  <c r="CA40" i="1"/>
  <c r="BZ40" i="1"/>
  <c r="BX40" i="1"/>
  <c r="BW40" i="1"/>
  <c r="BV40" i="1"/>
  <c r="BS40" i="1"/>
  <c r="BR40" i="1"/>
  <c r="BQ40" i="1"/>
  <c r="BM40" i="1"/>
  <c r="BK40" i="1"/>
  <c r="BJ40" i="1"/>
  <c r="BH40" i="1"/>
  <c r="BG40" i="1"/>
  <c r="BF40" i="1"/>
  <c r="BD40" i="1"/>
  <c r="BC40" i="1"/>
  <c r="BB40" i="1"/>
  <c r="BA40" i="1"/>
  <c r="AZ40" i="1"/>
  <c r="AY40" i="1"/>
  <c r="AX40" i="1"/>
  <c r="AW40" i="1"/>
  <c r="AV40" i="1"/>
  <c r="AU40" i="1"/>
  <c r="AT40" i="1"/>
  <c r="AS40" i="1"/>
  <c r="AR40" i="1"/>
  <c r="AI40" i="1"/>
  <c r="W40" i="1"/>
  <c r="CD39" i="1"/>
  <c r="CC39" i="1"/>
  <c r="CB39" i="1"/>
  <c r="CA39" i="1"/>
  <c r="BZ39" i="1"/>
  <c r="BX39" i="1"/>
  <c r="BW39" i="1"/>
  <c r="BV39" i="1"/>
  <c r="BS39" i="1"/>
  <c r="BR39" i="1"/>
  <c r="BQ39" i="1"/>
  <c r="BP39" i="1"/>
  <c r="BO39" i="1"/>
  <c r="BN39" i="1"/>
  <c r="BM39" i="1"/>
  <c r="BK39" i="1"/>
  <c r="BJ39" i="1"/>
  <c r="BI39" i="1"/>
  <c r="BH39" i="1"/>
  <c r="BG39" i="1"/>
  <c r="BF39" i="1"/>
  <c r="BD39" i="1"/>
  <c r="BC39" i="1"/>
  <c r="BB39" i="1"/>
  <c r="BA39" i="1"/>
  <c r="AZ39" i="1"/>
  <c r="AY39" i="1"/>
  <c r="AX39" i="1"/>
  <c r="AW39" i="1"/>
  <c r="AV39" i="1"/>
  <c r="AU39" i="1"/>
  <c r="AT39" i="1"/>
  <c r="AS39" i="1"/>
  <c r="AR39" i="1"/>
  <c r="AI39" i="1"/>
  <c r="W39" i="1"/>
  <c r="CD38" i="1"/>
  <c r="CC38" i="1"/>
  <c r="CB38" i="1"/>
  <c r="CA38" i="1"/>
  <c r="BZ38" i="1"/>
  <c r="BX38" i="1"/>
  <c r="BW38" i="1"/>
  <c r="BV38" i="1"/>
  <c r="BU38" i="1"/>
  <c r="BT38" i="1"/>
  <c r="BS38" i="1"/>
  <c r="BR38" i="1"/>
  <c r="BQ38" i="1"/>
  <c r="BP38" i="1"/>
  <c r="BO38" i="1"/>
  <c r="BN38" i="1"/>
  <c r="BM38" i="1"/>
  <c r="BK38" i="1"/>
  <c r="BJ38" i="1"/>
  <c r="BI38" i="1"/>
  <c r="BH38" i="1"/>
  <c r="BG38" i="1"/>
  <c r="BF38" i="1"/>
  <c r="BD38" i="1"/>
  <c r="BC38" i="1"/>
  <c r="BB38" i="1"/>
  <c r="BA38" i="1"/>
  <c r="AZ38" i="1"/>
  <c r="AY38" i="1"/>
  <c r="AX38" i="1"/>
  <c r="AW38" i="1"/>
  <c r="AV38" i="1"/>
  <c r="AU38" i="1"/>
  <c r="AT38" i="1"/>
  <c r="AS38" i="1"/>
  <c r="AR38" i="1"/>
  <c r="AI38" i="1"/>
  <c r="W38" i="1"/>
  <c r="CD37" i="1"/>
  <c r="CC37" i="1"/>
  <c r="CB37" i="1"/>
  <c r="CA37" i="1"/>
  <c r="BZ37" i="1"/>
  <c r="BX37" i="1"/>
  <c r="BW37" i="1"/>
  <c r="BV37" i="1"/>
  <c r="BU37" i="1"/>
  <c r="BT37" i="1"/>
  <c r="BS37" i="1"/>
  <c r="BR37" i="1"/>
  <c r="BQ37" i="1"/>
  <c r="BP37" i="1"/>
  <c r="BO37" i="1"/>
  <c r="BN37" i="1"/>
  <c r="BM37" i="1"/>
  <c r="BK37" i="1"/>
  <c r="BJ37" i="1"/>
  <c r="BI37" i="1"/>
  <c r="BH37" i="1"/>
  <c r="BG37" i="1"/>
  <c r="BF37" i="1"/>
  <c r="BD37" i="1"/>
  <c r="BC37" i="1"/>
  <c r="BB37" i="1"/>
  <c r="BA37" i="1"/>
  <c r="AZ37" i="1"/>
  <c r="AY37" i="1"/>
  <c r="AX37" i="1"/>
  <c r="AW37" i="1"/>
  <c r="AV37" i="1"/>
  <c r="AU37" i="1"/>
  <c r="AT37" i="1"/>
  <c r="AS37" i="1"/>
  <c r="AR37" i="1"/>
  <c r="AI37" i="1"/>
  <c r="W37" i="1"/>
  <c r="CD36" i="1"/>
  <c r="CC36" i="1"/>
  <c r="CB36" i="1"/>
  <c r="CA36" i="1"/>
  <c r="BZ36" i="1"/>
  <c r="BX36" i="1"/>
  <c r="BW36" i="1"/>
  <c r="BV36" i="1"/>
  <c r="BU36" i="1"/>
  <c r="BT36" i="1"/>
  <c r="BS36" i="1"/>
  <c r="BR36" i="1"/>
  <c r="BQ36" i="1"/>
  <c r="BP36" i="1"/>
  <c r="BO36" i="1"/>
  <c r="BN36" i="1"/>
  <c r="BM36" i="1"/>
  <c r="BK36" i="1"/>
  <c r="BJ36" i="1"/>
  <c r="BI36" i="1"/>
  <c r="BH36" i="1"/>
  <c r="BG36" i="1"/>
  <c r="BF36" i="1"/>
  <c r="BD36" i="1"/>
  <c r="BC36" i="1"/>
  <c r="BB36" i="1"/>
  <c r="BA36" i="1"/>
  <c r="AZ36" i="1"/>
  <c r="AY36" i="1"/>
  <c r="AX36" i="1"/>
  <c r="AW36" i="1"/>
  <c r="AV36" i="1"/>
  <c r="AU36" i="1"/>
  <c r="AT36" i="1"/>
  <c r="AS36" i="1"/>
  <c r="AR36" i="1"/>
  <c r="AI36" i="1"/>
  <c r="W36" i="1"/>
  <c r="CD35" i="1"/>
  <c r="CC35" i="1"/>
  <c r="CB35" i="1"/>
  <c r="CA35" i="1"/>
  <c r="BZ35" i="1"/>
  <c r="BX35" i="1"/>
  <c r="BW35" i="1"/>
  <c r="BV35" i="1"/>
  <c r="BU35" i="1"/>
  <c r="BT35" i="1"/>
  <c r="BS35" i="1"/>
  <c r="BR35" i="1"/>
  <c r="BQ35" i="1"/>
  <c r="BP35" i="1"/>
  <c r="BO35" i="1"/>
  <c r="BN35" i="1"/>
  <c r="BM35" i="1"/>
  <c r="BK35" i="1"/>
  <c r="BJ35" i="1"/>
  <c r="BI35" i="1"/>
  <c r="BH35" i="1"/>
  <c r="BG35" i="1"/>
  <c r="BF35" i="1"/>
  <c r="BD35" i="1"/>
  <c r="BC35" i="1"/>
  <c r="BB35" i="1"/>
  <c r="BA35" i="1"/>
  <c r="AZ35" i="1"/>
  <c r="AY35" i="1"/>
  <c r="AX35" i="1"/>
  <c r="AW35" i="1"/>
  <c r="AV35" i="1"/>
  <c r="AU35" i="1"/>
  <c r="AT35" i="1"/>
  <c r="AS35" i="1"/>
  <c r="AR35" i="1"/>
  <c r="AI35" i="1"/>
  <c r="W35" i="1"/>
  <c r="CD34" i="1"/>
  <c r="CC34" i="1"/>
  <c r="CB34" i="1"/>
  <c r="CA34" i="1"/>
  <c r="BZ34" i="1"/>
  <c r="BX34" i="1"/>
  <c r="BW34" i="1"/>
  <c r="BV34" i="1"/>
  <c r="BU34" i="1"/>
  <c r="BT34" i="1"/>
  <c r="BS34" i="1"/>
  <c r="BR34" i="1"/>
  <c r="BQ34" i="1"/>
  <c r="BP34" i="1"/>
  <c r="BO34" i="1"/>
  <c r="BN34" i="1"/>
  <c r="BM34" i="1"/>
  <c r="BK34" i="1"/>
  <c r="BJ34" i="1"/>
  <c r="BI34" i="1"/>
  <c r="BH34" i="1"/>
  <c r="BG34" i="1"/>
  <c r="BF34" i="1"/>
  <c r="BD34" i="1"/>
  <c r="BC34" i="1"/>
  <c r="BB34" i="1"/>
  <c r="BA34" i="1"/>
  <c r="AZ34" i="1"/>
  <c r="AY34" i="1"/>
  <c r="AX34" i="1"/>
  <c r="AW34" i="1"/>
  <c r="AV34" i="1"/>
  <c r="AU34" i="1"/>
  <c r="AT34" i="1"/>
  <c r="AS34" i="1"/>
  <c r="AR34" i="1"/>
  <c r="AI34" i="1"/>
  <c r="W34" i="1"/>
  <c r="CD33" i="1"/>
  <c r="CC33" i="1"/>
  <c r="CB33" i="1"/>
  <c r="CA33" i="1"/>
  <c r="BZ33" i="1"/>
  <c r="BX33" i="1"/>
  <c r="BW33" i="1"/>
  <c r="BV33" i="1"/>
  <c r="BU33" i="1"/>
  <c r="BT33" i="1"/>
  <c r="BS33" i="1"/>
  <c r="BR33" i="1"/>
  <c r="BQ33" i="1"/>
  <c r="BP33" i="1"/>
  <c r="BO33" i="1"/>
  <c r="BN33" i="1"/>
  <c r="BM33" i="1"/>
  <c r="BK33" i="1"/>
  <c r="BJ33" i="1"/>
  <c r="BI33" i="1"/>
  <c r="BH33" i="1"/>
  <c r="BG33" i="1"/>
  <c r="BF33" i="1"/>
  <c r="BD33" i="1"/>
  <c r="BC33" i="1"/>
  <c r="BB33" i="1"/>
  <c r="BA33" i="1"/>
  <c r="AZ33" i="1"/>
  <c r="AY33" i="1"/>
  <c r="AX33" i="1"/>
  <c r="AW33" i="1"/>
  <c r="AV33" i="1"/>
  <c r="AU33" i="1"/>
  <c r="AT33" i="1"/>
  <c r="AS33" i="1"/>
  <c r="AR33" i="1"/>
  <c r="AI33" i="1"/>
  <c r="W33" i="1"/>
  <c r="CD32" i="1"/>
  <c r="CC32" i="1"/>
  <c r="CB32" i="1"/>
  <c r="CA32" i="1"/>
  <c r="BZ32" i="1"/>
  <c r="BX32" i="1"/>
  <c r="BW32" i="1"/>
  <c r="BV32" i="1"/>
  <c r="BU32" i="1"/>
  <c r="BT32" i="1"/>
  <c r="BS32" i="1"/>
  <c r="BR32" i="1"/>
  <c r="BQ32" i="1"/>
  <c r="BP32" i="1"/>
  <c r="BO32" i="1"/>
  <c r="BN32" i="1"/>
  <c r="BM32" i="1"/>
  <c r="BK32" i="1"/>
  <c r="BJ32" i="1"/>
  <c r="BI32" i="1"/>
  <c r="BH32" i="1"/>
  <c r="BG32" i="1"/>
  <c r="BF32" i="1"/>
  <c r="BD32" i="1"/>
  <c r="BC32" i="1"/>
  <c r="BB32" i="1"/>
  <c r="BA32" i="1"/>
  <c r="AZ32" i="1"/>
  <c r="AY32" i="1"/>
  <c r="AX32" i="1"/>
  <c r="AW32" i="1"/>
  <c r="AV32" i="1"/>
  <c r="AU32" i="1"/>
  <c r="AT32" i="1"/>
  <c r="AS32" i="1"/>
  <c r="AR32" i="1"/>
  <c r="AI32" i="1"/>
  <c r="W32" i="1"/>
  <c r="CD31" i="1"/>
  <c r="CC31" i="1"/>
  <c r="CB31" i="1"/>
  <c r="CA31" i="1"/>
  <c r="BZ31" i="1"/>
  <c r="BX31" i="1"/>
  <c r="BW31" i="1"/>
  <c r="BV31" i="1"/>
  <c r="BU31" i="1"/>
  <c r="BT31" i="1"/>
  <c r="BS31" i="1"/>
  <c r="BR31" i="1"/>
  <c r="BQ31" i="1"/>
  <c r="BP31" i="1"/>
  <c r="BO31" i="1"/>
  <c r="BN31" i="1"/>
  <c r="BM31" i="1"/>
  <c r="BK31" i="1"/>
  <c r="BJ31" i="1"/>
  <c r="BI31" i="1"/>
  <c r="BH31" i="1"/>
  <c r="BG31" i="1"/>
  <c r="BF31" i="1"/>
  <c r="BD31" i="1"/>
  <c r="BC31" i="1"/>
  <c r="BB31" i="1"/>
  <c r="BA31" i="1"/>
  <c r="AZ31" i="1"/>
  <c r="AY31" i="1"/>
  <c r="AX31" i="1"/>
  <c r="AW31" i="1"/>
  <c r="AV31" i="1"/>
  <c r="AU31" i="1"/>
  <c r="AT31" i="1"/>
  <c r="AS31" i="1"/>
  <c r="AR31" i="1"/>
  <c r="AI31" i="1"/>
  <c r="W31" i="1"/>
  <c r="CD30" i="1"/>
  <c r="CC30" i="1"/>
  <c r="CB30" i="1"/>
  <c r="CA30" i="1"/>
  <c r="BZ30" i="1"/>
  <c r="BX30" i="1"/>
  <c r="BW30" i="1"/>
  <c r="BV30" i="1"/>
  <c r="BU30" i="1"/>
  <c r="BT30" i="1"/>
  <c r="BS30" i="1"/>
  <c r="BR30" i="1"/>
  <c r="BQ30" i="1"/>
  <c r="BP30" i="1"/>
  <c r="BO30" i="1"/>
  <c r="BN30" i="1"/>
  <c r="BM30" i="1"/>
  <c r="BK30" i="1"/>
  <c r="BJ30" i="1"/>
  <c r="BI30" i="1"/>
  <c r="BH30" i="1"/>
  <c r="BG30" i="1"/>
  <c r="BF30" i="1"/>
  <c r="BD30" i="1"/>
  <c r="BC30" i="1"/>
  <c r="BB30" i="1"/>
  <c r="BA30" i="1"/>
  <c r="AZ30" i="1"/>
  <c r="AY30" i="1"/>
  <c r="AX30" i="1"/>
  <c r="AW30" i="1"/>
  <c r="AV30" i="1"/>
  <c r="AU30" i="1"/>
  <c r="AT30" i="1"/>
  <c r="AS30" i="1"/>
  <c r="AR30" i="1"/>
  <c r="AI30" i="1"/>
  <c r="W30" i="1"/>
  <c r="CD29" i="1"/>
  <c r="CC29" i="1"/>
  <c r="CB29" i="1"/>
  <c r="CA29" i="1"/>
  <c r="BZ29" i="1"/>
  <c r="BX29" i="1"/>
  <c r="BW29" i="1"/>
  <c r="BV29" i="1"/>
  <c r="BU29" i="1"/>
  <c r="BT29" i="1"/>
  <c r="BS29" i="1"/>
  <c r="BR29" i="1"/>
  <c r="BQ29" i="1"/>
  <c r="BP29" i="1"/>
  <c r="BO29" i="1"/>
  <c r="BN29" i="1"/>
  <c r="BM29" i="1"/>
  <c r="BK29" i="1"/>
  <c r="BJ29" i="1"/>
  <c r="BI29" i="1"/>
  <c r="BH29" i="1"/>
  <c r="BG29" i="1"/>
  <c r="BF29" i="1"/>
  <c r="BD29" i="1"/>
  <c r="BC29" i="1"/>
  <c r="BB29" i="1"/>
  <c r="BA29" i="1"/>
  <c r="AZ29" i="1"/>
  <c r="AY29" i="1"/>
  <c r="AX29" i="1"/>
  <c r="AW29" i="1"/>
  <c r="AV29" i="1"/>
  <c r="AU29" i="1"/>
  <c r="AT29" i="1"/>
  <c r="AS29" i="1"/>
  <c r="AR29" i="1"/>
  <c r="AI29" i="1"/>
  <c r="W29" i="1"/>
  <c r="CD28" i="1"/>
  <c r="CC28" i="1"/>
  <c r="CB28" i="1"/>
  <c r="CA28" i="1"/>
  <c r="BZ28" i="1"/>
  <c r="BX28" i="1"/>
  <c r="BW28" i="1"/>
  <c r="BV28" i="1"/>
  <c r="BU28" i="1"/>
  <c r="BT28" i="1"/>
  <c r="BS28" i="1"/>
  <c r="BR28" i="1"/>
  <c r="BQ28" i="1"/>
  <c r="BP28" i="1"/>
  <c r="BO28" i="1"/>
  <c r="BN28" i="1"/>
  <c r="BM28" i="1"/>
  <c r="BK28" i="1"/>
  <c r="BJ28" i="1"/>
  <c r="BI28" i="1"/>
  <c r="BH28" i="1"/>
  <c r="BG28" i="1"/>
  <c r="BF28" i="1"/>
  <c r="BD28" i="1"/>
  <c r="BC28" i="1"/>
  <c r="BB28" i="1"/>
  <c r="BA28" i="1"/>
  <c r="AZ28" i="1"/>
  <c r="AY28" i="1"/>
  <c r="AX28" i="1"/>
  <c r="AW28" i="1"/>
  <c r="AV28" i="1"/>
  <c r="AU28" i="1"/>
  <c r="AT28" i="1"/>
  <c r="AS28" i="1"/>
  <c r="AR28" i="1"/>
  <c r="AI28" i="1"/>
  <c r="W28" i="1"/>
  <c r="CD27" i="1"/>
  <c r="CC27" i="1"/>
  <c r="CB27" i="1"/>
  <c r="CA27" i="1"/>
  <c r="BZ27" i="1"/>
  <c r="BX27" i="1"/>
  <c r="BW27" i="1"/>
  <c r="BU27" i="1"/>
  <c r="BT27" i="1"/>
  <c r="BS27" i="1"/>
  <c r="BR27" i="1"/>
  <c r="BQ27" i="1"/>
  <c r="BP27" i="1"/>
  <c r="BO27" i="1"/>
  <c r="BM27" i="1"/>
  <c r="BK27" i="1"/>
  <c r="BJ27" i="1"/>
  <c r="BI27" i="1"/>
  <c r="BH27" i="1"/>
  <c r="BG27" i="1"/>
  <c r="BF27" i="1"/>
  <c r="BD27" i="1"/>
  <c r="BC27" i="1"/>
  <c r="BB27" i="1"/>
  <c r="BA27" i="1"/>
  <c r="AZ27" i="1"/>
  <c r="AY27" i="1"/>
  <c r="AX27" i="1"/>
  <c r="AW27" i="1"/>
  <c r="AV27" i="1"/>
  <c r="AU27" i="1"/>
  <c r="AT27" i="1"/>
  <c r="AS27" i="1"/>
  <c r="AR27" i="1"/>
  <c r="AI27" i="1"/>
  <c r="W27" i="1"/>
  <c r="CD26" i="1"/>
  <c r="CC26" i="1"/>
  <c r="CB26" i="1"/>
  <c r="CA26" i="1"/>
  <c r="BZ26" i="1"/>
  <c r="BX26" i="1"/>
  <c r="BW26" i="1"/>
  <c r="BV26" i="1"/>
  <c r="BU26" i="1"/>
  <c r="BT26" i="1"/>
  <c r="BS26" i="1"/>
  <c r="BR26" i="1"/>
  <c r="BQ26" i="1"/>
  <c r="BP26" i="1"/>
  <c r="BO26" i="1"/>
  <c r="BN26" i="1"/>
  <c r="BM26" i="1"/>
  <c r="BK26" i="1"/>
  <c r="BJ26" i="1"/>
  <c r="BI26" i="1"/>
  <c r="BH26" i="1"/>
  <c r="BG26" i="1"/>
  <c r="BF26" i="1"/>
  <c r="BD26" i="1"/>
  <c r="BC26" i="1"/>
  <c r="BB26" i="1"/>
  <c r="BA26" i="1"/>
  <c r="AZ26" i="1"/>
  <c r="AY26" i="1"/>
  <c r="AX26" i="1"/>
  <c r="AW26" i="1"/>
  <c r="AV26" i="1"/>
  <c r="AU26" i="1"/>
  <c r="AT26" i="1"/>
  <c r="AS26" i="1"/>
  <c r="AR26" i="1"/>
  <c r="AI26" i="1"/>
  <c r="W26" i="1"/>
  <c r="CD25" i="1"/>
  <c r="CC25" i="1"/>
  <c r="CB25" i="1"/>
  <c r="CA25" i="1"/>
  <c r="BZ25" i="1"/>
  <c r="BY25" i="1"/>
  <c r="BX25" i="1"/>
  <c r="BW25" i="1"/>
  <c r="BV25" i="1"/>
  <c r="BU25" i="1"/>
  <c r="BT25" i="1"/>
  <c r="BS25" i="1"/>
  <c r="BR25" i="1"/>
  <c r="BQ25" i="1"/>
  <c r="BP25" i="1"/>
  <c r="BO25" i="1"/>
  <c r="BN25" i="1"/>
  <c r="BM25" i="1"/>
  <c r="BK25" i="1"/>
  <c r="BJ25" i="1"/>
  <c r="BI25" i="1"/>
  <c r="BH25" i="1"/>
  <c r="BG25" i="1"/>
  <c r="BF25" i="1"/>
  <c r="BD25" i="1"/>
  <c r="BC25" i="1"/>
  <c r="BB25" i="1"/>
  <c r="BA25" i="1"/>
  <c r="AZ25" i="1"/>
  <c r="AY25" i="1"/>
  <c r="AX25" i="1"/>
  <c r="AW25" i="1"/>
  <c r="AV25" i="1"/>
  <c r="AU25" i="1"/>
  <c r="AT25" i="1"/>
  <c r="AS25" i="1"/>
  <c r="AR25" i="1"/>
  <c r="AI25" i="1"/>
  <c r="W25" i="1"/>
  <c r="CD24" i="1"/>
  <c r="CC24" i="1"/>
  <c r="CB24" i="1"/>
  <c r="CA24" i="1"/>
  <c r="BZ24" i="1"/>
  <c r="BY24" i="1"/>
  <c r="BX24" i="1"/>
  <c r="BW24" i="1"/>
  <c r="BV24" i="1"/>
  <c r="BU24" i="1"/>
  <c r="BT24" i="1"/>
  <c r="BS24" i="1"/>
  <c r="BR24" i="1"/>
  <c r="BQ24" i="1"/>
  <c r="BP24" i="1"/>
  <c r="BO24" i="1"/>
  <c r="BN24" i="1"/>
  <c r="BM24" i="1"/>
  <c r="BK24" i="1"/>
  <c r="BJ24" i="1"/>
  <c r="BI24" i="1"/>
  <c r="BH24" i="1"/>
  <c r="BG24" i="1"/>
  <c r="BF24" i="1"/>
  <c r="BD24" i="1"/>
  <c r="BC24" i="1"/>
  <c r="BB24" i="1"/>
  <c r="BA24" i="1"/>
  <c r="AZ24" i="1"/>
  <c r="AY24" i="1"/>
  <c r="AX24" i="1"/>
  <c r="AW24" i="1"/>
  <c r="AV24" i="1"/>
  <c r="AU24" i="1"/>
  <c r="AT24" i="1"/>
  <c r="AS24" i="1"/>
  <c r="AR24" i="1"/>
  <c r="AI24" i="1"/>
  <c r="W24" i="1"/>
  <c r="CD23" i="1"/>
  <c r="CC23" i="1"/>
  <c r="CB23" i="1"/>
  <c r="CA23" i="1"/>
  <c r="BZ23" i="1"/>
  <c r="BY23" i="1"/>
  <c r="BX23" i="1"/>
  <c r="BW23" i="1"/>
  <c r="BV23" i="1"/>
  <c r="BU23" i="1"/>
  <c r="BT23" i="1"/>
  <c r="BS23" i="1"/>
  <c r="BR23" i="1"/>
  <c r="BQ23" i="1"/>
  <c r="BK23" i="1"/>
  <c r="BJ23" i="1"/>
  <c r="BI23" i="1"/>
  <c r="BH23" i="1"/>
  <c r="BG23" i="1"/>
  <c r="BF23" i="1"/>
  <c r="BE23" i="1"/>
  <c r="BD23" i="1"/>
  <c r="BC23" i="1"/>
  <c r="BB23" i="1"/>
  <c r="BA23" i="1"/>
  <c r="AZ23" i="1"/>
  <c r="AY23" i="1"/>
  <c r="AX23" i="1"/>
  <c r="AW23" i="1"/>
  <c r="AV23" i="1"/>
  <c r="AU23" i="1"/>
  <c r="AT23" i="1"/>
  <c r="AS23" i="1"/>
  <c r="AR23" i="1"/>
  <c r="AI23" i="1"/>
  <c r="W23" i="1"/>
  <c r="CD22" i="1"/>
  <c r="CC22" i="1"/>
  <c r="CB22" i="1"/>
  <c r="CA22" i="1"/>
  <c r="BZ22" i="1"/>
  <c r="BY22" i="1"/>
  <c r="BX22" i="1"/>
  <c r="BW22" i="1"/>
  <c r="BV22" i="1"/>
  <c r="BU22" i="1"/>
  <c r="BT22" i="1"/>
  <c r="BS22" i="1"/>
  <c r="BR22" i="1"/>
  <c r="BQ22" i="1"/>
  <c r="BK22" i="1"/>
  <c r="BJ22" i="1"/>
  <c r="BH22" i="1"/>
  <c r="BG22" i="1"/>
  <c r="BF22" i="1"/>
  <c r="BD22" i="1"/>
  <c r="BC22" i="1"/>
  <c r="BB22" i="1"/>
  <c r="BA22" i="1"/>
  <c r="AZ22" i="1"/>
  <c r="AY22" i="1"/>
  <c r="AX22" i="1"/>
  <c r="AW22" i="1"/>
  <c r="AV22" i="1"/>
  <c r="AU22" i="1"/>
  <c r="AT22" i="1"/>
  <c r="AS22" i="1"/>
  <c r="AR22" i="1"/>
  <c r="AI22" i="1"/>
  <c r="W22" i="1"/>
  <c r="CD21" i="1"/>
  <c r="CC21" i="1"/>
  <c r="CB21" i="1"/>
  <c r="CA21" i="1"/>
  <c r="BZ21" i="1"/>
  <c r="BY21" i="1"/>
  <c r="BX21" i="1"/>
  <c r="BW21" i="1"/>
  <c r="BV21" i="1"/>
  <c r="BS21" i="1"/>
  <c r="BR21" i="1"/>
  <c r="BQ21" i="1"/>
  <c r="BK21" i="1"/>
  <c r="BJ21" i="1"/>
  <c r="BH21" i="1"/>
  <c r="BG21" i="1"/>
  <c r="BF21" i="1"/>
  <c r="BD21" i="1"/>
  <c r="BC21" i="1"/>
  <c r="BB21" i="1"/>
  <c r="BA21" i="1"/>
  <c r="AZ21" i="1"/>
  <c r="AY21" i="1"/>
  <c r="AX21" i="1"/>
  <c r="AW21" i="1"/>
  <c r="AV21" i="1"/>
  <c r="AU21" i="1"/>
  <c r="AT21" i="1"/>
  <c r="AS21" i="1"/>
  <c r="AR21" i="1"/>
  <c r="AI21" i="1"/>
  <c r="W21" i="1"/>
  <c r="CD20" i="1"/>
  <c r="CC20" i="1"/>
  <c r="CB20" i="1"/>
  <c r="CA20" i="1"/>
  <c r="BZ20" i="1"/>
  <c r="BW20" i="1"/>
  <c r="BS20" i="1"/>
  <c r="BR20" i="1"/>
  <c r="BQ20" i="1"/>
  <c r="BK20" i="1"/>
  <c r="BJ20" i="1"/>
  <c r="BH20" i="1"/>
  <c r="BG20" i="1"/>
  <c r="BF20" i="1"/>
  <c r="BD20" i="1"/>
  <c r="BC20" i="1"/>
  <c r="BB20" i="1"/>
  <c r="BA20" i="1"/>
  <c r="AV20" i="1"/>
  <c r="AU20" i="1"/>
  <c r="AT20" i="1"/>
  <c r="AS20" i="1"/>
  <c r="AR20" i="1"/>
  <c r="AI20" i="1"/>
  <c r="W20" i="1"/>
  <c r="CD19" i="1"/>
  <c r="CC19" i="1"/>
  <c r="CB19" i="1"/>
  <c r="CA19" i="1"/>
  <c r="BZ19" i="1"/>
  <c r="BW19" i="1"/>
  <c r="BV19" i="1"/>
  <c r="BS19" i="1"/>
  <c r="BR19" i="1"/>
  <c r="BQ19" i="1"/>
  <c r="BK19" i="1"/>
  <c r="BJ19" i="1"/>
  <c r="BH19" i="1"/>
  <c r="BG19" i="1"/>
  <c r="BF19" i="1"/>
  <c r="BD19" i="1"/>
  <c r="BC19" i="1"/>
  <c r="BB19" i="1"/>
  <c r="BA19" i="1"/>
  <c r="AV19" i="1"/>
  <c r="AU19" i="1"/>
  <c r="AT19" i="1"/>
  <c r="AS19" i="1"/>
  <c r="AR19" i="1"/>
  <c r="AI19" i="1"/>
  <c r="W19" i="1"/>
  <c r="CD18" i="1"/>
  <c r="CC18" i="1"/>
  <c r="CB18" i="1"/>
  <c r="CA18" i="1"/>
  <c r="BZ18" i="1"/>
  <c r="BW18" i="1"/>
  <c r="BV18" i="1"/>
  <c r="BS18" i="1"/>
  <c r="BR18" i="1"/>
  <c r="BQ18" i="1"/>
  <c r="BK18" i="1"/>
  <c r="BJ18" i="1"/>
  <c r="BH18" i="1"/>
  <c r="BG18" i="1"/>
  <c r="BF18" i="1"/>
  <c r="BD18" i="1"/>
  <c r="BC18" i="1"/>
  <c r="BB18" i="1"/>
  <c r="BA18" i="1"/>
  <c r="AV18" i="1"/>
  <c r="AU18" i="1"/>
  <c r="AT18" i="1"/>
  <c r="AS18" i="1"/>
  <c r="AR18" i="1"/>
  <c r="AI18" i="1"/>
  <c r="W18" i="1"/>
  <c r="CD17" i="1"/>
  <c r="CC17" i="1"/>
  <c r="CB17" i="1"/>
  <c r="CA17" i="1"/>
  <c r="BZ17" i="1"/>
  <c r="BW17" i="1"/>
  <c r="BV17" i="1"/>
  <c r="BS17" i="1"/>
  <c r="BR17" i="1"/>
  <c r="BQ17" i="1"/>
  <c r="BK17" i="1"/>
  <c r="BJ17" i="1"/>
  <c r="BH17" i="1"/>
  <c r="BG17" i="1"/>
  <c r="BF17" i="1"/>
  <c r="BD17" i="1"/>
  <c r="BC17" i="1"/>
  <c r="BB17" i="1"/>
  <c r="BA17" i="1"/>
  <c r="AV17" i="1"/>
  <c r="AU17" i="1"/>
  <c r="AT17" i="1"/>
  <c r="AS17" i="1"/>
  <c r="AR17" i="1"/>
  <c r="AI17" i="1"/>
  <c r="W17" i="1"/>
  <c r="CD16" i="1"/>
  <c r="CC16" i="1"/>
  <c r="CB16" i="1"/>
  <c r="CA16" i="1"/>
  <c r="BZ16" i="1"/>
  <c r="BW16" i="1"/>
  <c r="BV16" i="1"/>
  <c r="BS16" i="1"/>
  <c r="BR16" i="1"/>
  <c r="BQ16" i="1"/>
  <c r="BK16" i="1"/>
  <c r="BJ16" i="1"/>
  <c r="BH16" i="1"/>
  <c r="BG16" i="1"/>
  <c r="BF16" i="1"/>
  <c r="BD16" i="1"/>
  <c r="BC16" i="1"/>
  <c r="BB16" i="1"/>
  <c r="BA16" i="1"/>
  <c r="AV16" i="1"/>
  <c r="AU16" i="1"/>
  <c r="AT16" i="1"/>
  <c r="AS16" i="1"/>
  <c r="AR16" i="1"/>
  <c r="AI16" i="1"/>
  <c r="W16" i="1"/>
  <c r="CD15" i="1"/>
  <c r="CC15" i="1"/>
  <c r="CB15" i="1"/>
  <c r="CA15" i="1"/>
  <c r="BZ15" i="1"/>
  <c r="BW15" i="1"/>
  <c r="BV15" i="1"/>
  <c r="BS15" i="1"/>
  <c r="BR15" i="1"/>
  <c r="BQ15" i="1"/>
  <c r="BK15" i="1"/>
  <c r="BJ15" i="1"/>
  <c r="BH15" i="1"/>
  <c r="BG15" i="1"/>
  <c r="BF15" i="1"/>
  <c r="BD15" i="1"/>
  <c r="BC15" i="1"/>
  <c r="BB15" i="1"/>
  <c r="BA15" i="1"/>
  <c r="AV15" i="1"/>
  <c r="AU15" i="1"/>
  <c r="AT15" i="1"/>
  <c r="AS15" i="1"/>
  <c r="AR15" i="1"/>
  <c r="AI15" i="1"/>
  <c r="W15" i="1"/>
  <c r="CD14" i="1"/>
  <c r="CC14" i="1"/>
  <c r="CB14" i="1"/>
  <c r="CA14" i="1"/>
  <c r="BZ14" i="1"/>
  <c r="BW14" i="1"/>
  <c r="BV14" i="1"/>
  <c r="BS14" i="1"/>
  <c r="BR14" i="1"/>
  <c r="BQ14" i="1"/>
  <c r="BK14" i="1"/>
  <c r="BJ14" i="1"/>
  <c r="BH14" i="1"/>
  <c r="BG14" i="1"/>
  <c r="BF14" i="1"/>
  <c r="BD14" i="1"/>
  <c r="BC14" i="1"/>
  <c r="BB14" i="1"/>
  <c r="BA14" i="1"/>
  <c r="AV14" i="1"/>
  <c r="AU14" i="1"/>
  <c r="AT14" i="1"/>
  <c r="AS14" i="1"/>
  <c r="AR14" i="1"/>
  <c r="AI14" i="1"/>
  <c r="W14" i="1"/>
  <c r="CD13" i="1"/>
  <c r="CC13" i="1"/>
  <c r="CB13" i="1"/>
  <c r="CA13" i="1"/>
  <c r="BZ13" i="1"/>
  <c r="BW13" i="1"/>
  <c r="BV13" i="1"/>
  <c r="BS13" i="1"/>
  <c r="BR13" i="1"/>
  <c r="BQ13" i="1"/>
  <c r="BK13" i="1"/>
  <c r="BJ13" i="1"/>
  <c r="BH13" i="1"/>
  <c r="BG13" i="1"/>
  <c r="BF13" i="1"/>
  <c r="BD13" i="1"/>
  <c r="BC13" i="1"/>
  <c r="BB13" i="1"/>
  <c r="BA13" i="1"/>
  <c r="AV13" i="1"/>
  <c r="AU13" i="1"/>
  <c r="AT13" i="1"/>
  <c r="AS13" i="1"/>
  <c r="AR13" i="1"/>
  <c r="AI13" i="1"/>
  <c r="W13" i="1"/>
  <c r="CD12" i="1"/>
  <c r="CC12" i="1"/>
  <c r="CB12" i="1"/>
  <c r="CA12" i="1"/>
  <c r="BZ12" i="1"/>
  <c r="BW12" i="1"/>
  <c r="BV12" i="1"/>
  <c r="BS12" i="1"/>
  <c r="BR12" i="1"/>
  <c r="BQ12" i="1"/>
  <c r="BK12" i="1"/>
  <c r="BJ12" i="1"/>
  <c r="BH12" i="1"/>
  <c r="BG12" i="1"/>
  <c r="BF12" i="1"/>
  <c r="BD12" i="1"/>
  <c r="BC12" i="1"/>
  <c r="BB12" i="1"/>
  <c r="BA12" i="1"/>
  <c r="AV12" i="1"/>
  <c r="AU12" i="1"/>
  <c r="AT12" i="1"/>
  <c r="AS12" i="1"/>
  <c r="AR12" i="1"/>
  <c r="AI12" i="1"/>
  <c r="W12" i="1"/>
  <c r="CD11" i="1"/>
  <c r="CC11" i="1"/>
  <c r="CB11" i="1"/>
  <c r="CA11" i="1"/>
  <c r="BZ11" i="1"/>
  <c r="BW11" i="1"/>
  <c r="BV11" i="1"/>
  <c r="BS11" i="1"/>
  <c r="BR11" i="1"/>
  <c r="BQ11" i="1"/>
  <c r="BK11" i="1"/>
  <c r="BJ11" i="1"/>
  <c r="BH11" i="1"/>
  <c r="BG11" i="1"/>
  <c r="BF11" i="1"/>
  <c r="BD11" i="1"/>
  <c r="BC11" i="1"/>
  <c r="BB11" i="1"/>
  <c r="BA11" i="1"/>
  <c r="AV11" i="1"/>
  <c r="AU11" i="1"/>
  <c r="AT11" i="1"/>
  <c r="AS11" i="1"/>
  <c r="AR11" i="1"/>
  <c r="AI11" i="1"/>
  <c r="W11" i="1"/>
  <c r="CD10" i="1"/>
  <c r="CC10" i="1"/>
  <c r="CB10" i="1"/>
  <c r="CA10" i="1"/>
  <c r="BZ10" i="1"/>
  <c r="BX10" i="1"/>
  <c r="BW10" i="1"/>
  <c r="BV10" i="1"/>
  <c r="BS10" i="1"/>
  <c r="BR10" i="1"/>
  <c r="BQ10" i="1"/>
  <c r="BK10" i="1"/>
  <c r="BJ10" i="1"/>
  <c r="BH10" i="1"/>
  <c r="BG10" i="1"/>
  <c r="BF10" i="1"/>
  <c r="BD10" i="1"/>
  <c r="BC10" i="1"/>
  <c r="BB10" i="1"/>
  <c r="BA10" i="1"/>
  <c r="AV10" i="1"/>
  <c r="AU10" i="1"/>
  <c r="AT10" i="1"/>
  <c r="AS10" i="1"/>
  <c r="AR10" i="1"/>
  <c r="AI10" i="1"/>
  <c r="W10" i="1"/>
  <c r="CD9" i="1"/>
  <c r="CC9" i="1"/>
  <c r="CB9" i="1"/>
  <c r="CA9" i="1"/>
  <c r="BZ9" i="1"/>
  <c r="BY9" i="1"/>
  <c r="BX9" i="1"/>
  <c r="BW9" i="1"/>
  <c r="BV9" i="1"/>
  <c r="BS9" i="1"/>
  <c r="BR9" i="1"/>
  <c r="BQ9" i="1"/>
  <c r="BK9" i="1"/>
  <c r="BJ9" i="1"/>
  <c r="BH9" i="1"/>
  <c r="BG9" i="1"/>
  <c r="BF9" i="1"/>
  <c r="BD9" i="1"/>
  <c r="BC9" i="1"/>
  <c r="BB9" i="1"/>
  <c r="BA9" i="1"/>
  <c r="AV9" i="1"/>
  <c r="AU9" i="1"/>
  <c r="AT9" i="1"/>
  <c r="AS9" i="1"/>
  <c r="AR9" i="1"/>
  <c r="AI9" i="1"/>
  <c r="W9" i="1"/>
  <c r="CD8" i="1"/>
  <c r="CC8" i="1"/>
  <c r="CB8" i="1"/>
  <c r="BY8" i="1"/>
  <c r="BX8" i="1"/>
  <c r="BW8" i="1"/>
  <c r="BV8" i="1"/>
  <c r="BS8" i="1"/>
  <c r="BR8" i="1"/>
  <c r="BQ8" i="1"/>
  <c r="BK8" i="1"/>
  <c r="BJ8" i="1"/>
  <c r="BH8" i="1"/>
  <c r="BG8" i="1"/>
  <c r="BF8" i="1"/>
  <c r="BD8" i="1"/>
  <c r="BC8" i="1"/>
  <c r="BB8" i="1"/>
  <c r="BA8" i="1"/>
  <c r="AV8" i="1"/>
  <c r="AU8" i="1"/>
  <c r="AT8" i="1"/>
  <c r="AS8" i="1"/>
  <c r="AR8" i="1"/>
  <c r="AI8" i="1"/>
  <c r="W8" i="1"/>
  <c r="CD7" i="1"/>
  <c r="CC7" i="1"/>
  <c r="CB7" i="1"/>
  <c r="CA7" i="1"/>
  <c r="BZ7" i="1"/>
  <c r="BY7" i="1"/>
  <c r="BX7" i="1"/>
  <c r="BW7" i="1"/>
  <c r="BV7" i="1"/>
  <c r="BS7" i="1"/>
  <c r="BR7" i="1"/>
  <c r="BQ7" i="1"/>
  <c r="BK7" i="1"/>
  <c r="BJ7" i="1"/>
  <c r="BH7" i="1"/>
  <c r="BG7" i="1"/>
  <c r="BF7" i="1"/>
  <c r="BE7" i="1"/>
  <c r="BD7" i="1"/>
  <c r="BC7" i="1"/>
  <c r="BB7" i="1"/>
  <c r="BA7" i="1"/>
  <c r="AV7" i="1"/>
  <c r="AU7" i="1"/>
  <c r="AT7" i="1"/>
  <c r="AS7" i="1"/>
  <c r="AR7" i="1"/>
  <c r="AI7" i="1"/>
  <c r="W7" i="1"/>
  <c r="CD6" i="1"/>
  <c r="CC6" i="1"/>
  <c r="CB6" i="1"/>
  <c r="CA6" i="1"/>
  <c r="BZ6" i="1"/>
  <c r="BY6" i="1"/>
  <c r="BX6" i="1"/>
  <c r="BW6" i="1"/>
  <c r="BV6" i="1"/>
  <c r="BS6" i="1"/>
  <c r="BR6" i="1"/>
  <c r="BQ6" i="1"/>
  <c r="BK6" i="1"/>
  <c r="BJ6" i="1"/>
  <c r="BI6" i="1"/>
  <c r="BH6" i="1"/>
  <c r="BG6" i="1"/>
  <c r="BF6" i="1"/>
  <c r="BE6" i="1"/>
  <c r="BD6" i="1"/>
  <c r="BC6" i="1"/>
  <c r="BB6" i="1"/>
  <c r="BA6" i="1"/>
  <c r="AV6" i="1"/>
  <c r="AU6" i="1"/>
  <c r="AT6" i="1"/>
  <c r="AS6" i="1"/>
  <c r="AR6" i="1"/>
  <c r="AI6" i="1"/>
  <c r="W6" i="1"/>
  <c r="CD5" i="1"/>
  <c r="CC5" i="1"/>
  <c r="CB5" i="1"/>
  <c r="CA5" i="1"/>
  <c r="BZ5" i="1"/>
  <c r="BY5" i="1"/>
  <c r="BX5" i="1"/>
  <c r="BW5" i="1"/>
  <c r="BV5" i="1"/>
  <c r="BS5" i="1"/>
  <c r="BR5" i="1"/>
  <c r="BQ5" i="1"/>
  <c r="BK5" i="1"/>
  <c r="BJ5" i="1"/>
  <c r="BI5" i="1"/>
  <c r="BH5" i="1"/>
  <c r="BG5" i="1"/>
  <c r="BF5" i="1"/>
  <c r="BE5" i="1"/>
  <c r="BD5" i="1"/>
  <c r="BC5" i="1"/>
  <c r="BB5" i="1"/>
  <c r="BA5" i="1"/>
  <c r="AV5" i="1"/>
  <c r="AU5" i="1"/>
  <c r="AT5" i="1"/>
  <c r="AS5" i="1"/>
  <c r="AR5" i="1"/>
  <c r="AI5" i="1"/>
  <c r="W5" i="1"/>
  <c r="CD4" i="1"/>
  <c r="CC4" i="1"/>
  <c r="CB4" i="1"/>
  <c r="CA4" i="1"/>
  <c r="BZ4" i="1"/>
  <c r="BY4" i="1"/>
  <c r="BX4" i="1"/>
  <c r="BW4" i="1"/>
  <c r="BV4" i="1"/>
  <c r="BS4" i="1"/>
  <c r="BR4" i="1"/>
  <c r="BQ4" i="1"/>
  <c r="BK4" i="1"/>
  <c r="BJ4" i="1"/>
  <c r="BI4" i="1"/>
  <c r="BH4" i="1"/>
  <c r="BG4" i="1"/>
  <c r="BF4" i="1"/>
  <c r="BE4" i="1"/>
  <c r="BD4" i="1"/>
  <c r="BC4" i="1"/>
  <c r="BB4" i="1"/>
  <c r="BA4" i="1"/>
  <c r="AV4" i="1"/>
  <c r="AU4" i="1"/>
  <c r="AT4" i="1"/>
  <c r="AS4" i="1"/>
  <c r="AR4" i="1"/>
  <c r="AI4" i="1"/>
  <c r="W4" i="1"/>
  <c r="CD3" i="1"/>
  <c r="CC3" i="1"/>
  <c r="CB3" i="1"/>
  <c r="CA3" i="1"/>
  <c r="BZ3" i="1"/>
  <c r="BY3" i="1"/>
  <c r="BX3" i="1"/>
  <c r="BW3" i="1"/>
  <c r="BV3" i="1"/>
  <c r="BS3" i="1"/>
  <c r="BR3" i="1"/>
  <c r="BQ3" i="1"/>
  <c r="BK3" i="1"/>
  <c r="BJ3" i="1"/>
  <c r="BI3" i="1"/>
  <c r="BH3" i="1"/>
  <c r="BG3" i="1"/>
  <c r="BF3" i="1"/>
  <c r="BE3" i="1"/>
  <c r="BD3" i="1"/>
  <c r="BC3" i="1"/>
  <c r="BB3" i="1"/>
  <c r="BA3" i="1"/>
  <c r="AV3" i="1"/>
  <c r="AU3" i="1"/>
  <c r="AT3" i="1"/>
  <c r="AS3" i="1"/>
  <c r="AR3" i="1"/>
  <c r="AI3" i="1"/>
  <c r="W3" i="1"/>
  <c r="CD2" i="1"/>
  <c r="CC2" i="1"/>
  <c r="CB2" i="1"/>
  <c r="CA2" i="1"/>
  <c r="BZ2" i="1"/>
  <c r="BY2" i="1"/>
  <c r="BX2" i="1"/>
  <c r="BW2" i="1"/>
  <c r="BV2" i="1"/>
  <c r="BS2" i="1"/>
  <c r="BR2" i="1"/>
  <c r="BQ2" i="1"/>
  <c r="BK2" i="1"/>
  <c r="BJ2" i="1"/>
  <c r="BI2" i="1"/>
  <c r="BH2" i="1"/>
  <c r="BG2" i="1"/>
  <c r="BF2" i="1"/>
  <c r="BE2" i="1"/>
  <c r="BD2" i="1"/>
  <c r="BC2" i="1"/>
  <c r="BB2" i="1"/>
  <c r="BA2" i="1"/>
  <c r="AV2" i="1"/>
  <c r="AU2" i="1"/>
  <c r="AT2" i="1"/>
  <c r="AS2" i="1"/>
  <c r="AR2" i="1"/>
  <c r="AI2" i="1"/>
  <c r="W2" i="1"/>
  <c r="BE63" i="1" l="1"/>
</calcChain>
</file>

<file path=xl/sharedStrings.xml><?xml version="1.0" encoding="utf-8"?>
<sst xmlns="http://schemas.openxmlformats.org/spreadsheetml/2006/main" count="1443" uniqueCount="218">
  <si>
    <t>NewSerials</t>
    <phoneticPr fontId="3" type="noConversion"/>
  </si>
  <si>
    <t>NewNo.</t>
    <phoneticPr fontId="3" type="noConversion"/>
  </si>
  <si>
    <t>사업장명</t>
    <phoneticPr fontId="3" type="noConversion"/>
  </si>
  <si>
    <t>자재코드</t>
    <phoneticPr fontId="3" type="noConversion"/>
  </si>
  <si>
    <t>자재명</t>
    <phoneticPr fontId="3" type="noConversion"/>
  </si>
  <si>
    <t>내자/외자</t>
    <phoneticPr fontId="3" type="noConversion"/>
  </si>
  <si>
    <t>현재 취급 유무 
(O/X 선택)</t>
    <phoneticPr fontId="3" type="noConversion"/>
  </si>
  <si>
    <t>공정명</t>
    <phoneticPr fontId="3" type="noConversion"/>
  </si>
  <si>
    <t>사용부서명</t>
    <phoneticPr fontId="3" type="noConversion"/>
  </si>
  <si>
    <t>제조업체명</t>
    <phoneticPr fontId="3" type="noConversion"/>
  </si>
  <si>
    <t>공급업체명</t>
    <phoneticPr fontId="3" type="noConversion"/>
  </si>
  <si>
    <t>공급업체코드</t>
    <phoneticPr fontId="3" type="noConversion"/>
  </si>
  <si>
    <t>자재용도</t>
    <phoneticPr fontId="3" type="noConversion"/>
  </si>
  <si>
    <t>자재용도(세부)</t>
    <phoneticPr fontId="3" type="noConversion"/>
  </si>
  <si>
    <t>자재구분</t>
    <phoneticPr fontId="3" type="noConversion"/>
  </si>
  <si>
    <t>성상</t>
  </si>
  <si>
    <t>사용량(kg)</t>
    <phoneticPr fontId="3" type="noConversion"/>
  </si>
  <si>
    <r>
      <rPr>
        <b/>
        <sz val="9"/>
        <color rgb="FFFF0000"/>
        <rFont val="맑은 고딕"/>
        <family val="3"/>
        <charset val="129"/>
        <scheme val="minor"/>
      </rPr>
      <t>(*자동생성)</t>
    </r>
    <r>
      <rPr>
        <b/>
        <sz val="9"/>
        <color theme="0"/>
        <rFont val="맑은 고딕"/>
        <family val="3"/>
        <charset val="129"/>
        <scheme val="minor"/>
      </rPr>
      <t>MSDS 명
(사용부서_자재명_제조업체명)</t>
    </r>
    <phoneticPr fontId="3" type="noConversion"/>
  </si>
  <si>
    <t>구성성분 명</t>
    <phoneticPr fontId="3" type="noConversion"/>
  </si>
  <si>
    <t>함량(wt%)
평균값</t>
    <phoneticPr fontId="3" type="noConversion"/>
  </si>
  <si>
    <t>함량 최소값
(수치)</t>
    <phoneticPr fontId="3" type="noConversion"/>
  </si>
  <si>
    <t>함량 최대값
(수치)</t>
    <phoneticPr fontId="3" type="noConversion"/>
  </si>
  <si>
    <t>함량(W%)</t>
    <phoneticPr fontId="3" type="noConversion"/>
  </si>
  <si>
    <t xml:space="preserve">성분용도 </t>
    <phoneticPr fontId="3" type="noConversion"/>
  </si>
  <si>
    <t>대외비여부</t>
    <phoneticPr fontId="3" type="noConversion"/>
  </si>
  <si>
    <t>MSDS여부</t>
    <phoneticPr fontId="3" type="noConversion"/>
  </si>
  <si>
    <t>GHS여부</t>
    <phoneticPr fontId="3" type="noConversion"/>
  </si>
  <si>
    <t>비고</t>
    <phoneticPr fontId="3" type="noConversion"/>
  </si>
  <si>
    <t>CAS No.</t>
    <phoneticPr fontId="3" type="noConversion"/>
  </si>
  <si>
    <t>물질량(kg)</t>
    <phoneticPr fontId="3" type="noConversion"/>
  </si>
  <si>
    <t>EC No.</t>
    <phoneticPr fontId="3" type="noConversion"/>
  </si>
  <si>
    <t>UN No.</t>
    <phoneticPr fontId="3" type="noConversion"/>
  </si>
  <si>
    <t>물질명</t>
    <phoneticPr fontId="3" type="noConversion"/>
  </si>
  <si>
    <t>MSDS 내 CAS No.
(수화물)</t>
    <phoneticPr fontId="3" type="noConversion"/>
  </si>
  <si>
    <t>신규물질</t>
    <phoneticPr fontId="3" type="noConversion"/>
  </si>
  <si>
    <t>등록대상기존화학물질</t>
    <phoneticPr fontId="3" type="noConversion"/>
  </si>
  <si>
    <t>기존화학물질번호</t>
    <phoneticPr fontId="3" type="noConversion"/>
  </si>
  <si>
    <t>유독물질 고시번호</t>
    <phoneticPr fontId="3" type="noConversion"/>
  </si>
  <si>
    <t>제품_유독물질</t>
    <phoneticPr fontId="3" type="noConversion"/>
  </si>
  <si>
    <t>금지물질 고시번호</t>
    <phoneticPr fontId="3" type="noConversion"/>
  </si>
  <si>
    <t>제품_금지물질</t>
    <phoneticPr fontId="3" type="noConversion"/>
  </si>
  <si>
    <t>제한물질 고시번호</t>
    <phoneticPr fontId="3" type="noConversion"/>
  </si>
  <si>
    <t>제품_제한물질</t>
    <phoneticPr fontId="3" type="noConversion"/>
  </si>
  <si>
    <t>사고대비물질명</t>
    <phoneticPr fontId="3" type="noConversion"/>
  </si>
  <si>
    <t>제품 사고대비물질</t>
    <phoneticPr fontId="3" type="noConversion"/>
  </si>
  <si>
    <t>사고대비물질 저장(kg)</t>
    <phoneticPr fontId="3" type="noConversion"/>
  </si>
  <si>
    <t>사고대비물질 취급량 기준(kg/yr)</t>
    <phoneticPr fontId="3" type="noConversion"/>
  </si>
  <si>
    <t>사고대비물질_호흡보호구</t>
    <phoneticPr fontId="3" type="noConversion"/>
  </si>
  <si>
    <t>사고대비물질_보호복</t>
    <phoneticPr fontId="3" type="noConversion"/>
  </si>
  <si>
    <t>사고대비물질_보호장갑</t>
    <phoneticPr fontId="3" type="noConversion"/>
  </si>
  <si>
    <t>배출량조사 I(1ton)</t>
    <phoneticPr fontId="3" type="noConversion"/>
  </si>
  <si>
    <t>배출량조사 II(10ton)</t>
    <phoneticPr fontId="3" type="noConversion"/>
  </si>
  <si>
    <t>산안법_금지물질</t>
    <phoneticPr fontId="3" type="noConversion"/>
  </si>
  <si>
    <t>산안법_허가물질 제품</t>
    <phoneticPr fontId="3" type="noConversion"/>
  </si>
  <si>
    <t>산안법_특별관리물질 제품</t>
    <phoneticPr fontId="3" type="noConversion"/>
  </si>
  <si>
    <t>산안법_관리대상유해물질 제품</t>
    <phoneticPr fontId="3" type="noConversion"/>
  </si>
  <si>
    <t>산안법_허용기준이하물질 제품</t>
    <phoneticPr fontId="3" type="noConversion"/>
  </si>
  <si>
    <t>산안법_허용기준이하물질 농도(TWA_mg/m3)</t>
    <phoneticPr fontId="3" type="noConversion"/>
  </si>
  <si>
    <t>산안법_노출기준설정물질 제품</t>
    <phoneticPr fontId="3" type="noConversion"/>
  </si>
  <si>
    <t>산안법_노출기준설정물질(TWA_ppm)</t>
    <phoneticPr fontId="3" type="noConversion"/>
  </si>
  <si>
    <t>산안법_노출기준설정물질(TWA_mg/m3)</t>
    <phoneticPr fontId="3" type="noConversion"/>
  </si>
  <si>
    <t>산안법_노출기준설정물질(STEL_ppm)</t>
    <phoneticPr fontId="3" type="noConversion"/>
  </si>
  <si>
    <t>산안법_노출기준설정물질(STEL_mg/m3)</t>
    <phoneticPr fontId="3" type="noConversion"/>
  </si>
  <si>
    <t>산안법_노출기준설정물질(Ceiling_ppm)</t>
    <phoneticPr fontId="3" type="noConversion"/>
  </si>
  <si>
    <t>산안법_노출기준설정물질(Ceiling_mg/m3)</t>
    <phoneticPr fontId="3" type="noConversion"/>
  </si>
  <si>
    <t>산안법_노출기준설정물질(skin notation)</t>
    <phoneticPr fontId="3" type="noConversion"/>
  </si>
  <si>
    <t>산안법_작업환경측정대상유해인자</t>
    <phoneticPr fontId="3" type="noConversion"/>
  </si>
  <si>
    <t>산안법_특수건강진단대상유해인자</t>
    <phoneticPr fontId="3" type="noConversion"/>
  </si>
  <si>
    <t>고용노동부고시_발암성물질</t>
    <phoneticPr fontId="3" type="noConversion"/>
  </si>
  <si>
    <t>고용노동부고시_생식세포변이원성물질</t>
    <phoneticPr fontId="3" type="noConversion"/>
  </si>
  <si>
    <t>고용노동부고시_생식독성물질</t>
    <phoneticPr fontId="3" type="noConversion"/>
  </si>
  <si>
    <t>위험물안전관리법_위험물분류</t>
    <phoneticPr fontId="3" type="noConversion"/>
  </si>
  <si>
    <t>고압가스안전관리법_독성가스</t>
    <phoneticPr fontId="3" type="noConversion"/>
  </si>
  <si>
    <t>고압가스안전관리법_가연성가스</t>
    <phoneticPr fontId="3" type="noConversion"/>
  </si>
  <si>
    <t>고압가스안전관리법_특수고압가스</t>
    <phoneticPr fontId="3" type="noConversion"/>
  </si>
  <si>
    <t>고압가스안전관리법_특정고압가스</t>
    <phoneticPr fontId="3" type="noConversion"/>
  </si>
  <si>
    <t>화관법_개별화학물질_취급기준(별표1)</t>
    <phoneticPr fontId="3" type="noConversion"/>
  </si>
  <si>
    <t>내자</t>
    <phoneticPr fontId="3" type="noConversion"/>
  </si>
  <si>
    <t>O</t>
  </si>
  <si>
    <t>윤전</t>
    <phoneticPr fontId="3" type="noConversion"/>
  </si>
  <si>
    <t>원부자재</t>
  </si>
  <si>
    <t>혼합물</t>
    <phoneticPr fontId="3" type="noConversion"/>
  </si>
  <si>
    <t>안료</t>
    <phoneticPr fontId="3" type="noConversion"/>
  </si>
  <si>
    <t>X</t>
  </si>
  <si>
    <t>O</t>
    <phoneticPr fontId="3" type="noConversion"/>
  </si>
  <si>
    <t>471-34-1</t>
  </si>
  <si>
    <t>첨가제</t>
    <phoneticPr fontId="3" type="noConversion"/>
  </si>
  <si>
    <t>주성분</t>
    <phoneticPr fontId="3" type="noConversion"/>
  </si>
  <si>
    <t>첨가제</t>
    <phoneticPr fontId="3" type="noConversion"/>
  </si>
  <si>
    <t>O</t>
    <phoneticPr fontId="3" type="noConversion"/>
  </si>
  <si>
    <t>내자</t>
    <phoneticPr fontId="3" type="noConversion"/>
  </si>
  <si>
    <t>윤전</t>
    <phoneticPr fontId="3" type="noConversion"/>
  </si>
  <si>
    <t>혼합물</t>
    <phoneticPr fontId="3" type="noConversion"/>
  </si>
  <si>
    <t>안료</t>
    <phoneticPr fontId="3" type="noConversion"/>
  </si>
  <si>
    <t>첨가제</t>
  </si>
  <si>
    <t>액체</t>
  </si>
  <si>
    <t>7732-18-5</t>
  </si>
  <si>
    <t>67-63-0</t>
  </si>
  <si>
    <t>고체</t>
  </si>
  <si>
    <t>64742-95-6</t>
  </si>
  <si>
    <t>24937-78-8</t>
  </si>
  <si>
    <t>108-88-3</t>
  </si>
  <si>
    <t>인쇄</t>
  </si>
  <si>
    <t>삼화당피앤티</t>
    <phoneticPr fontId="3" type="noConversion"/>
  </si>
  <si>
    <t>ho 402</t>
  </si>
  <si>
    <t>ho402</t>
  </si>
  <si>
    <t>hb-302</t>
  </si>
  <si>
    <t>hb 302</t>
  </si>
  <si>
    <t>soocoat av-208mf</t>
  </si>
  <si>
    <t>dh-237</t>
  </si>
  <si>
    <t>kaizen power plus plate cleaner</t>
  </si>
  <si>
    <t>SPRAY POWDER FOR ANTI SET-OFF</t>
  </si>
  <si>
    <t>NEW BEST ONE SW-QS</t>
  </si>
  <si>
    <t>NEW BEST ONE-QS</t>
  </si>
  <si>
    <t>NEW BEST ONE DRY</t>
  </si>
  <si>
    <t>BEST SG COMPOUND</t>
  </si>
  <si>
    <t>BEST VIVA BLUE</t>
  </si>
  <si>
    <t>BEST SG SUPER GOLD</t>
  </si>
  <si>
    <t>BEST SG 중간색 D(MEDIUM,금적,군청,감남,목단)</t>
  </si>
  <si>
    <t>BSET SG 중간색 D(MEDIUM,금적,군청,감남,목단)</t>
  </si>
  <si>
    <t>BEST SG RUB OP 니스</t>
  </si>
  <si>
    <t>BEST SG MEDIUM</t>
  </si>
  <si>
    <t>BEST SG MAT OP 니스</t>
  </si>
  <si>
    <t>BEST IMPACT</t>
  </si>
  <si>
    <t>BETST IMPACT</t>
  </si>
  <si>
    <t>접착</t>
  </si>
  <si>
    <t>국내 구매량(kg)
2022</t>
    <phoneticPr fontId="3" type="noConversion"/>
  </si>
  <si>
    <t>국내 구매량(kg)
2022 계획</t>
    <phoneticPr fontId="3" type="noConversion"/>
  </si>
  <si>
    <t>실리카 수화물</t>
  </si>
  <si>
    <t>폴리에틸렌(POLYETHYLENE)</t>
  </si>
  <si>
    <t>에틸렌-프로필렌 공중합체(ETHYLENE-PROPYLENE COPOLYMER)</t>
  </si>
  <si>
    <t>폴리프로필렌(POLYPROPYLENE)</t>
  </si>
  <si>
    <t>암모니아</t>
  </si>
  <si>
    <t>물(WATER)</t>
  </si>
  <si>
    <t>이소프로필 알코올</t>
  </si>
  <si>
    <t>스타이렌-부타디엔 고무(STYRENE-BUTADIENE RUBBER)</t>
  </si>
  <si>
    <t>로신; 에스테르 WITH 2,2-비스(하이드록시메틸)-1,3-프로판디올</t>
  </si>
  <si>
    <t>로신, 폴리머 위드 페놀(ROSIN, POLYMER WITH PHENOL)</t>
  </si>
  <si>
    <t>석유탄화수소 수지(PETROLEUM HYDROCARBON RESIN)</t>
  </si>
  <si>
    <t>에틸렌-비닐 아세트산 공중합체(ETHYLENE-VINYL ACETATE COPOLYMER)</t>
  </si>
  <si>
    <t>톨루엔</t>
  </si>
  <si>
    <t>솔벤트 나프타 (석유), 경질 방향족화합물(SOLVENT NAPHTHA (PETROLEUM), LIGHT AROMATIC)</t>
  </si>
  <si>
    <t>전분</t>
  </si>
  <si>
    <t>카본블랙</t>
  </si>
  <si>
    <t>구리 프탈로시아닌</t>
  </si>
  <si>
    <t>C.I. 색소 적색 57 칼슘 염(C.I. PIGMENT RED 57 CALCIUM SALT)</t>
  </si>
  <si>
    <t>C.I. 색소 황색 12(C.I. PIGMENT YELLOW 12)</t>
  </si>
  <si>
    <t>수소탈황화 중간 정제유 (석유)(DISTILLATES (PETROLEUM), HYDRODESULFURIZED MIDDLE)</t>
  </si>
  <si>
    <t>수소처리된 경질 파라핀 정제유 (석유)(DISTILLATES (PETROLEUM), HYDROTREATED LIGHT PARAFFINIC)</t>
  </si>
  <si>
    <t>아마씨 기름(LINSEED OIL)</t>
  </si>
  <si>
    <t>수소처리된 경질 정제유 (석유)(DISTILLATES (PETROLEUM), HYDROTREATED LIGHT)</t>
  </si>
  <si>
    <t>유동기름(TUNG OIL)</t>
  </si>
  <si>
    <t>알루미늄 트리스테아린산(ALUMINUM TRISTEARATE)</t>
  </si>
  <si>
    <t>아연</t>
  </si>
  <si>
    <t>구리</t>
  </si>
  <si>
    <t>수소처리된 중간 정제유 (석유)(DISTILLATES (PETROLEUM), HYDROTREATED MIDDLE)</t>
  </si>
  <si>
    <t>탄산 칼슘</t>
  </si>
  <si>
    <t>C.I. 색소 적색 81(C.I. PIGMENT RED 81)</t>
  </si>
  <si>
    <t>C.I. 색소 청색 61</t>
  </si>
  <si>
    <t>D&amp;C 적색 NO. 9</t>
  </si>
  <si>
    <t>폴리테트라플루오르에틸렌(POLYTETRAFLUOROETHYLENE)</t>
  </si>
  <si>
    <t>대두 기름(SOYBEAN OIL)</t>
  </si>
  <si>
    <t>요소-포름알데하이드(UREA-FORMALDEHYDE)</t>
  </si>
  <si>
    <t>대두유</t>
  </si>
  <si>
    <t>9003-07-0</t>
  </si>
  <si>
    <t>7664-41-7</t>
  </si>
  <si>
    <t>한국특수잉크공업</t>
    <phoneticPr fontId="3" type="noConversion"/>
  </si>
  <si>
    <t>대현화학</t>
    <phoneticPr fontId="3" type="noConversion"/>
  </si>
  <si>
    <t>접착</t>
    <phoneticPr fontId="3" type="noConversion"/>
  </si>
  <si>
    <t xml:space="preserve"> 접착 장비용 접착제</t>
    <phoneticPr fontId="3" type="noConversion"/>
  </si>
  <si>
    <t>수입량(kg) 
2022</t>
    <phoneticPr fontId="3" type="noConversion"/>
  </si>
  <si>
    <t>수입량(kg) 
2022 계획</t>
    <phoneticPr fontId="3" type="noConversion"/>
  </si>
  <si>
    <t>대우피앤씨</t>
    <phoneticPr fontId="3" type="noConversion"/>
  </si>
  <si>
    <t>옵셋 윤전 인쇄용 세척제</t>
    <phoneticPr fontId="3" type="noConversion"/>
  </si>
  <si>
    <t>세척제</t>
    <phoneticPr fontId="3" type="noConversion"/>
  </si>
  <si>
    <t>삼신케미칼</t>
    <phoneticPr fontId="3" type="noConversion"/>
  </si>
  <si>
    <t>㈜화승인더스트리</t>
    <phoneticPr fontId="3" type="noConversion"/>
  </si>
  <si>
    <t>코팅제</t>
    <phoneticPr fontId="3" type="noConversion"/>
  </si>
  <si>
    <t>㈜수케미칼</t>
    <phoneticPr fontId="3" type="noConversion"/>
  </si>
  <si>
    <t xml:space="preserve">옵셋 윤전 인쇄용 </t>
    <phoneticPr fontId="3" type="noConversion"/>
  </si>
  <si>
    <t>112926-00-8</t>
    <phoneticPr fontId="3" type="noConversion"/>
  </si>
  <si>
    <t>9002-88-4</t>
    <phoneticPr fontId="3" type="noConversion"/>
  </si>
  <si>
    <t>9010-79-1</t>
    <phoneticPr fontId="3" type="noConversion"/>
  </si>
  <si>
    <t>9003-07-0</t>
    <phoneticPr fontId="3" type="noConversion"/>
  </si>
  <si>
    <t>9003-55-8</t>
    <phoneticPr fontId="3" type="noConversion"/>
  </si>
  <si>
    <t>8050-26-8</t>
    <phoneticPr fontId="3" type="noConversion"/>
  </si>
  <si>
    <t>7732-18-5</t>
    <phoneticPr fontId="3" type="noConversion"/>
  </si>
  <si>
    <t>68083-03-4</t>
    <phoneticPr fontId="3" type="noConversion"/>
  </si>
  <si>
    <t>64742-16-1</t>
    <phoneticPr fontId="3" type="noConversion"/>
  </si>
  <si>
    <t>9005-25-8</t>
    <phoneticPr fontId="3" type="noConversion"/>
  </si>
  <si>
    <t>1333-86-4</t>
    <phoneticPr fontId="3" type="noConversion"/>
  </si>
  <si>
    <t>147-14-8</t>
    <phoneticPr fontId="3" type="noConversion"/>
  </si>
  <si>
    <t>6358-85-6</t>
    <phoneticPr fontId="3" type="noConversion"/>
  </si>
  <si>
    <t>64742-80-9</t>
    <phoneticPr fontId="3" type="noConversion"/>
  </si>
  <si>
    <t>64742-55-8</t>
    <phoneticPr fontId="3" type="noConversion"/>
  </si>
  <si>
    <t>8001-26-1</t>
    <phoneticPr fontId="3" type="noConversion"/>
  </si>
  <si>
    <t>64742-47-8</t>
    <phoneticPr fontId="3" type="noConversion"/>
  </si>
  <si>
    <t>8001-20-5</t>
    <phoneticPr fontId="3" type="noConversion"/>
  </si>
  <si>
    <t>637-12-7</t>
    <phoneticPr fontId="3" type="noConversion"/>
  </si>
  <si>
    <t>7440-66-6</t>
    <phoneticPr fontId="3" type="noConversion"/>
  </si>
  <si>
    <t>7440-50-8</t>
    <phoneticPr fontId="3" type="noConversion"/>
  </si>
  <si>
    <t>64742-46-7</t>
    <phoneticPr fontId="3" type="noConversion"/>
  </si>
  <si>
    <t>471-34-1</t>
    <phoneticPr fontId="3" type="noConversion"/>
  </si>
  <si>
    <t>12224-98-5</t>
    <phoneticPr fontId="3" type="noConversion"/>
  </si>
  <si>
    <t>1324-76-1</t>
    <phoneticPr fontId="3" type="noConversion"/>
  </si>
  <si>
    <t>9002-84-0</t>
    <phoneticPr fontId="3" type="noConversion"/>
  </si>
  <si>
    <t>8001-22-7</t>
    <phoneticPr fontId="3" type="noConversion"/>
  </si>
  <si>
    <t>64742-80-10</t>
  </si>
  <si>
    <t>8001-26-2</t>
  </si>
  <si>
    <t>1333-86-5</t>
  </si>
  <si>
    <t>147-14-9</t>
  </si>
  <si>
    <t>중질 등유</t>
  </si>
  <si>
    <t>S-OIL</t>
    <phoneticPr fontId="3" type="noConversion"/>
  </si>
  <si>
    <t>액체</t>
    <phoneticPr fontId="3" type="noConversion"/>
  </si>
  <si>
    <t>사용량(kg) 
2023 계획</t>
    <phoneticPr fontId="3" type="noConversion"/>
  </si>
  <si>
    <t>저 유황 등유</t>
    <phoneticPr fontId="3" type="noConversion"/>
  </si>
  <si>
    <t>케로젠</t>
  </si>
  <si>
    <t>황(SULFUR)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</si>
</sst>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 #,##0_-;_-* &quot;-&quot;_-;_-@_-"/>
    <numFmt numFmtId="43" formatCode="_-* #,##0.00_-;\-* #,##0.00_-;_-* &quot;-&quot;??_-;_-@_-"/>
    <numFmt numFmtId="176" formatCode="0000000000"/>
    <numFmt numFmtId="177" formatCode="_-* #,##0.00_-;\-* #,##0.00_-;_-* &quot;-&quot;_-;_-@_-"/>
    <numFmt numFmtId="178" formatCode="_-* #,##0.000_-;\-* #,##0.000_-;_-* &quot;-&quot;_-;_-@_-"/>
  </numFmts>
  <fonts count="40">
    <font>
      <sz val="11"/>
      <color theme="1"/>
      <name val="맑은 고딕"/>
      <family val="2"/>
      <charset val="129"/>
      <scheme val="minor"/>
    </font>
    <font>
      <sz val="11"/>
      <color theme="1"/>
      <name val="맑은 고딕"/>
      <family val="2"/>
      <charset val="129"/>
      <scheme val="minor"/>
    </font>
    <font>
      <b/>
      <sz val="9"/>
      <color theme="0"/>
      <name val="맑은 고딕"/>
      <family val="3"/>
      <charset val="129"/>
      <scheme val="minor"/>
    </font>
    <font>
      <sz val="8"/>
      <name val="맑은 고딕"/>
      <family val="2"/>
      <charset val="129"/>
      <scheme val="minor"/>
    </font>
    <font>
      <b/>
      <sz val="9"/>
      <color rgb="FFFF0000"/>
      <name val="맑은 고딕"/>
      <family val="3"/>
      <charset val="129"/>
      <scheme val="minor"/>
    </font>
    <font>
      <sz val="9"/>
      <color theme="1"/>
      <name val="맑은 고딕"/>
      <family val="3"/>
      <charset val="129"/>
      <scheme val="minor"/>
    </font>
    <font>
      <sz val="9"/>
      <name val="맑은 고딕"/>
      <family val="3"/>
      <charset val="129"/>
      <scheme val="minor"/>
    </font>
    <font>
      <i/>
      <sz val="9"/>
      <name val="맑은 고딕"/>
      <family val="3"/>
      <charset val="129"/>
      <scheme val="minor"/>
    </font>
    <font>
      <sz val="9"/>
      <color rgb="FF000000"/>
      <name val="맑은 고딕"/>
      <family val="3"/>
      <charset val="129"/>
    </font>
    <font>
      <sz val="9"/>
      <color rgb="FF000000"/>
      <name val="맑은 고딕"/>
      <family val="3"/>
      <charset val="129"/>
      <scheme val="minor"/>
    </font>
    <font>
      <sz val="9"/>
      <color rgb="FFFF0000"/>
      <name val="맑은 고딕"/>
      <family val="3"/>
      <charset val="129"/>
      <scheme val="minor"/>
    </font>
    <font>
      <sz val="9"/>
      <name val="맑은 고딕"/>
      <family val="3"/>
      <charset val="129"/>
    </font>
    <font>
      <sz val="11"/>
      <color indexed="8"/>
      <name val="맑은 고딕"/>
      <family val="3"/>
      <charset val="129"/>
    </font>
    <font>
      <sz val="11"/>
      <color indexed="9"/>
      <name val="맑은 고딕"/>
      <family val="3"/>
      <charset val="129"/>
    </font>
    <font>
      <sz val="12"/>
      <name val="굴림체"/>
      <family val="3"/>
      <charset val="129"/>
    </font>
    <font>
      <b/>
      <sz val="12"/>
      <name val="Arial"/>
      <family val="2"/>
    </font>
    <font>
      <sz val="12"/>
      <name val="바탕체"/>
      <family val="1"/>
      <charset val="129"/>
    </font>
    <font>
      <sz val="11"/>
      <color indexed="10"/>
      <name val="맑은 고딕"/>
      <family val="3"/>
      <charset val="129"/>
    </font>
    <font>
      <b/>
      <sz val="11"/>
      <color indexed="52"/>
      <name val="맑은 고딕"/>
      <family val="3"/>
      <charset val="129"/>
    </font>
    <font>
      <sz val="11"/>
      <color indexed="20"/>
      <name val="맑은 고딕"/>
      <family val="3"/>
      <charset val="129"/>
    </font>
    <font>
      <sz val="11"/>
      <name val="돋움"/>
      <family val="3"/>
      <charset val="129"/>
    </font>
    <font>
      <sz val="11"/>
      <color indexed="60"/>
      <name val="맑은 고딕"/>
      <family val="3"/>
      <charset val="129"/>
    </font>
    <font>
      <sz val="12"/>
      <name val="뼻뮝"/>
      <family val="1"/>
      <charset val="129"/>
    </font>
    <font>
      <sz val="12"/>
      <name val="Times New Roman"/>
      <family val="1"/>
    </font>
    <font>
      <i/>
      <sz val="11"/>
      <color indexed="23"/>
      <name val="맑은 고딕"/>
      <family val="3"/>
      <charset val="129"/>
    </font>
    <font>
      <b/>
      <sz val="11"/>
      <color indexed="9"/>
      <name val="맑은 고딕"/>
      <family val="3"/>
      <charset val="129"/>
    </font>
    <font>
      <sz val="11"/>
      <color theme="1"/>
      <name val="맑은 고딕"/>
      <family val="3"/>
      <charset val="129"/>
      <scheme val="minor"/>
    </font>
    <font>
      <sz val="11"/>
      <color indexed="52"/>
      <name val="맑은 고딕"/>
      <family val="3"/>
      <charset val="129"/>
    </font>
    <font>
      <b/>
      <sz val="11"/>
      <color indexed="8"/>
      <name val="맑은 고딕"/>
      <family val="3"/>
      <charset val="129"/>
    </font>
    <font>
      <sz val="12"/>
      <name val="新細明體"/>
      <family val="1"/>
      <charset val="136"/>
    </font>
    <font>
      <sz val="11"/>
      <color indexed="62"/>
      <name val="맑은 고딕"/>
      <family val="3"/>
      <charset val="129"/>
    </font>
    <font>
      <b/>
      <sz val="15"/>
      <color indexed="56"/>
      <name val="맑은 고딕"/>
      <family val="3"/>
      <charset val="129"/>
    </font>
    <font>
      <b/>
      <sz val="13"/>
      <color indexed="56"/>
      <name val="맑은 고딕"/>
      <family val="3"/>
      <charset val="129"/>
    </font>
    <font>
      <b/>
      <sz val="11"/>
      <color indexed="56"/>
      <name val="맑은 고딕"/>
      <family val="3"/>
      <charset val="129"/>
    </font>
    <font>
      <b/>
      <sz val="18"/>
      <color indexed="56"/>
      <name val="맑은 고딕"/>
      <family val="3"/>
      <charset val="129"/>
    </font>
    <font>
      <sz val="11"/>
      <color indexed="17"/>
      <name val="맑은 고딕"/>
      <family val="3"/>
      <charset val="129"/>
    </font>
    <font>
      <b/>
      <sz val="11"/>
      <color indexed="63"/>
      <name val="맑은 고딕"/>
      <family val="3"/>
      <charset val="129"/>
    </font>
    <font>
      <sz val="10"/>
      <name val="Arial"/>
      <family val="2"/>
    </font>
    <font>
      <sz val="8"/>
      <name val="ＭＳ Ｐゴシック"/>
      <family val="2"/>
      <charset val="128"/>
    </font>
    <font>
      <sz val="10"/>
      <color theme="1"/>
      <name val="맑은 고딕"/>
      <family val="3"/>
      <charset val="129"/>
      <scheme val="minor"/>
    </font>
  </fonts>
  <fills count="33">
    <fill>
      <patternFill patternType="none"/>
    </fill>
    <fill>
      <patternFill patternType="gray125"/>
    </fill>
    <fill>
      <patternFill patternType="solid">
        <fgColor rgb="FF0070C0"/>
        <bgColor indexed="64"/>
      </patternFill>
    </fill>
    <fill>
      <patternFill patternType="solid">
        <fgColor rgb="FF00B050"/>
        <bgColor indexed="64"/>
      </patternFill>
    </fill>
    <fill>
      <patternFill patternType="solid">
        <fgColor rgb="FFFFC000"/>
        <bgColor indexed="64"/>
      </patternFill>
    </fill>
    <fill>
      <patternFill patternType="solid">
        <fgColor theme="7" tint="-0.249977111117893"/>
        <bgColor indexed="64"/>
      </patternFill>
    </fill>
    <fill>
      <patternFill patternType="solid">
        <fgColor theme="5" tint="-0.249977111117893"/>
        <bgColor indexed="64"/>
      </patternFill>
    </fill>
    <fill>
      <patternFill patternType="solid">
        <fgColor theme="2" tint="-0.499984740745262"/>
        <bgColor indexed="64"/>
      </patternFill>
    </fill>
    <fill>
      <patternFill patternType="solid">
        <fgColor theme="3" tint="-0.249977111117893"/>
        <bgColor indexed="64"/>
      </patternFill>
    </fill>
    <fill>
      <patternFill patternType="solid">
        <fgColor theme="9" tint="-0.249977111117893"/>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26"/>
      </patternFill>
    </fill>
    <fill>
      <patternFill patternType="solid">
        <fgColor indexed="43"/>
      </patternFill>
    </fill>
    <fill>
      <patternFill patternType="solid">
        <fgColor indexed="55"/>
      </patternFill>
    </fill>
    <fill>
      <patternFill patternType="solid">
        <fgColor theme="4" tint="0.79998168889431442"/>
        <bgColor indexed="64"/>
      </patternFill>
    </fill>
  </fills>
  <borders count="20">
    <border>
      <left/>
      <right/>
      <top/>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63"/>
      </left>
      <right style="thin">
        <color indexed="63"/>
      </right>
      <top style="thin">
        <color indexed="63"/>
      </top>
      <bottom style="thin">
        <color indexed="63"/>
      </bottom>
      <diagonal/>
    </border>
    <border>
      <left style="hair">
        <color indexed="64"/>
      </left>
      <right/>
      <top/>
      <bottom/>
      <diagonal/>
    </border>
    <border>
      <left/>
      <right style="hair">
        <color indexed="64"/>
      </right>
      <top/>
      <bottom/>
      <diagonal/>
    </border>
    <border>
      <left style="hair">
        <color auto="1"/>
      </left>
      <right style="hair">
        <color auto="1"/>
      </right>
      <top/>
      <bottom/>
      <diagonal/>
    </border>
    <border>
      <left style="hair">
        <color rgb="FF000000"/>
      </left>
      <right style="hair">
        <color rgb="FF000000"/>
      </right>
      <top style="hair">
        <color rgb="FF000000"/>
      </top>
      <bottom style="hair">
        <color rgb="FF000000"/>
      </bottom>
      <diagonal/>
    </border>
    <border>
      <left style="thin">
        <color rgb="FF000000"/>
      </left>
      <right style="thin">
        <color rgb="FF000000"/>
      </right>
      <top style="thin">
        <color rgb="FF000000"/>
      </top>
      <bottom style="thin">
        <color rgb="FF000000"/>
      </bottom>
      <diagonal/>
    </border>
  </borders>
  <cellStyleXfs count="64">
    <xf numFmtId="0" fontId="0" fillId="0" borderId="0">
      <alignment vertical="center"/>
    </xf>
    <xf numFmtId="41" fontId="1" fillId="0" borderId="0" applyFont="0" applyFill="0" applyBorder="0" applyAlignment="0" applyProtection="0">
      <alignment vertical="center"/>
    </xf>
    <xf numFmtId="0" fontId="12" fillId="10" borderId="0" applyNumberFormat="0" applyBorder="0" applyAlignment="0" applyProtection="0">
      <alignment vertical="center"/>
    </xf>
    <xf numFmtId="0" fontId="12" fillId="11" borderId="0" applyNumberFormat="0" applyBorder="0" applyAlignment="0" applyProtection="0">
      <alignment vertical="center"/>
    </xf>
    <xf numFmtId="0" fontId="12" fillId="12" borderId="0" applyNumberFormat="0" applyBorder="0" applyAlignment="0" applyProtection="0">
      <alignment vertical="center"/>
    </xf>
    <xf numFmtId="0" fontId="12" fillId="13" borderId="0" applyNumberFormat="0" applyBorder="0" applyAlignment="0" applyProtection="0">
      <alignment vertical="center"/>
    </xf>
    <xf numFmtId="0" fontId="12" fillId="14" borderId="0" applyNumberFormat="0" applyBorder="0" applyAlignment="0" applyProtection="0">
      <alignment vertical="center"/>
    </xf>
    <xf numFmtId="0" fontId="12" fillId="15" borderId="0" applyNumberFormat="0" applyBorder="0" applyAlignment="0" applyProtection="0">
      <alignment vertical="center"/>
    </xf>
    <xf numFmtId="0" fontId="12" fillId="16" borderId="0" applyNumberFormat="0" applyBorder="0" applyAlignment="0" applyProtection="0">
      <alignment vertical="center"/>
    </xf>
    <xf numFmtId="0" fontId="12" fillId="17" borderId="0" applyNumberFormat="0" applyBorder="0" applyAlignment="0" applyProtection="0">
      <alignment vertical="center"/>
    </xf>
    <xf numFmtId="0" fontId="12" fillId="18" borderId="0" applyNumberFormat="0" applyBorder="0" applyAlignment="0" applyProtection="0">
      <alignment vertical="center"/>
    </xf>
    <xf numFmtId="0" fontId="12" fillId="13" borderId="0" applyNumberFormat="0" applyBorder="0" applyAlignment="0" applyProtection="0">
      <alignment vertical="center"/>
    </xf>
    <xf numFmtId="0" fontId="12" fillId="16" borderId="0" applyNumberFormat="0" applyBorder="0" applyAlignment="0" applyProtection="0">
      <alignment vertical="center"/>
    </xf>
    <xf numFmtId="0" fontId="12" fillId="19" borderId="0" applyNumberFormat="0" applyBorder="0" applyAlignment="0" applyProtection="0">
      <alignment vertical="center"/>
    </xf>
    <xf numFmtId="0" fontId="13" fillId="20" borderId="0" applyNumberFormat="0" applyBorder="0" applyAlignment="0" applyProtection="0">
      <alignment vertical="center"/>
    </xf>
    <xf numFmtId="0" fontId="13" fillId="17" borderId="0" applyNumberFormat="0" applyBorder="0" applyAlignment="0" applyProtection="0">
      <alignment vertical="center"/>
    </xf>
    <xf numFmtId="0" fontId="13" fillId="18" borderId="0" applyNumberFormat="0" applyBorder="0" applyAlignment="0" applyProtection="0">
      <alignment vertical="center"/>
    </xf>
    <xf numFmtId="0" fontId="13" fillId="21" borderId="0" applyNumberFormat="0" applyBorder="0" applyAlignment="0" applyProtection="0">
      <alignment vertical="center"/>
    </xf>
    <xf numFmtId="0" fontId="13" fillId="22" borderId="0" applyNumberFormat="0" applyBorder="0" applyAlignment="0" applyProtection="0">
      <alignment vertical="center"/>
    </xf>
    <xf numFmtId="0" fontId="13" fillId="23" borderId="0" applyNumberFormat="0" applyBorder="0" applyAlignment="0" applyProtection="0">
      <alignment vertical="center"/>
    </xf>
    <xf numFmtId="0" fontId="14" fillId="0" borderId="0"/>
    <xf numFmtId="0" fontId="15" fillId="0" borderId="4" applyNumberFormat="0" applyAlignment="0" applyProtection="0">
      <alignment horizontal="left" vertical="center"/>
    </xf>
    <xf numFmtId="0" fontId="15" fillId="0" borderId="5">
      <alignment horizontal="left" vertical="center"/>
    </xf>
    <xf numFmtId="41" fontId="16" fillId="0" borderId="0"/>
    <xf numFmtId="0" fontId="13" fillId="24" borderId="0" applyNumberFormat="0" applyBorder="0" applyAlignment="0" applyProtection="0">
      <alignment vertical="center"/>
    </xf>
    <xf numFmtId="0" fontId="13" fillId="25" borderId="0" applyNumberFormat="0" applyBorder="0" applyAlignment="0" applyProtection="0">
      <alignment vertical="center"/>
    </xf>
    <xf numFmtId="0" fontId="13" fillId="26" borderId="0" applyNumberFormat="0" applyBorder="0" applyAlignment="0" applyProtection="0">
      <alignment vertical="center"/>
    </xf>
    <xf numFmtId="0" fontId="13" fillId="21" borderId="0" applyNumberFormat="0" applyBorder="0" applyAlignment="0" applyProtection="0">
      <alignment vertical="center"/>
    </xf>
    <xf numFmtId="0" fontId="13" fillId="22" borderId="0" applyNumberFormat="0" applyBorder="0" applyAlignment="0" applyProtection="0">
      <alignment vertical="center"/>
    </xf>
    <xf numFmtId="0" fontId="13" fillId="27" borderId="0" applyNumberFormat="0" applyBorder="0" applyAlignment="0" applyProtection="0">
      <alignment vertical="center"/>
    </xf>
    <xf numFmtId="0" fontId="17" fillId="0" borderId="0" applyNumberFormat="0" applyFill="0" applyBorder="0" applyAlignment="0" applyProtection="0">
      <alignment vertical="center"/>
    </xf>
    <xf numFmtId="0" fontId="18" fillId="28" borderId="6" applyNumberFormat="0" applyAlignment="0" applyProtection="0">
      <alignment vertical="center"/>
    </xf>
    <xf numFmtId="0" fontId="19" fillId="11" borderId="0" applyNumberFormat="0" applyBorder="0" applyAlignment="0" applyProtection="0">
      <alignment vertical="center"/>
    </xf>
    <xf numFmtId="0" fontId="20" fillId="29" borderId="7" applyNumberFormat="0" applyFont="0" applyAlignment="0" applyProtection="0">
      <alignment vertical="center"/>
    </xf>
    <xf numFmtId="0" fontId="21" fillId="30" borderId="0" applyNumberFormat="0" applyBorder="0" applyAlignment="0" applyProtection="0">
      <alignment vertical="center"/>
    </xf>
    <xf numFmtId="0" fontId="22" fillId="0" borderId="0"/>
    <xf numFmtId="0" fontId="23" fillId="0" borderId="0"/>
    <xf numFmtId="0" fontId="24" fillId="0" borderId="0" applyNumberFormat="0" applyFill="0" applyBorder="0" applyAlignment="0" applyProtection="0">
      <alignment vertical="center"/>
    </xf>
    <xf numFmtId="0" fontId="25" fillId="31" borderId="8" applyNumberFormat="0" applyAlignment="0" applyProtection="0">
      <alignment vertical="center"/>
    </xf>
    <xf numFmtId="41" fontId="20" fillId="0" borderId="0" applyFont="0" applyFill="0" applyBorder="0" applyAlignment="0" applyProtection="0"/>
    <xf numFmtId="41" fontId="20" fillId="0" borderId="0" applyFont="0" applyFill="0" applyBorder="0" applyAlignment="0" applyProtection="0"/>
    <xf numFmtId="41" fontId="26" fillId="0" borderId="0" applyFont="0" applyFill="0" applyBorder="0" applyAlignment="0" applyProtection="0">
      <alignment vertical="center"/>
    </xf>
    <xf numFmtId="0" fontId="27" fillId="0" borderId="9" applyNumberFormat="0" applyFill="0" applyAlignment="0" applyProtection="0">
      <alignment vertical="center"/>
    </xf>
    <xf numFmtId="0" fontId="28" fillId="0" borderId="10" applyNumberFormat="0" applyFill="0" applyAlignment="0" applyProtection="0">
      <alignment vertical="center"/>
    </xf>
    <xf numFmtId="0" fontId="29" fillId="0" borderId="0"/>
    <xf numFmtId="0" fontId="30" fillId="15" borderId="6" applyNumberFormat="0" applyAlignment="0" applyProtection="0">
      <alignment vertical="center"/>
    </xf>
    <xf numFmtId="0" fontId="31" fillId="0" borderId="11" applyNumberFormat="0" applyFill="0" applyAlignment="0" applyProtection="0">
      <alignment vertical="center"/>
    </xf>
    <xf numFmtId="0" fontId="32" fillId="0" borderId="12" applyNumberFormat="0" applyFill="0" applyAlignment="0" applyProtection="0">
      <alignment vertical="center"/>
    </xf>
    <xf numFmtId="0" fontId="33" fillId="0" borderId="13" applyNumberFormat="0" applyFill="0" applyAlignment="0" applyProtection="0">
      <alignment vertical="center"/>
    </xf>
    <xf numFmtId="0" fontId="33"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5" fillId="12" borderId="0" applyNumberFormat="0" applyBorder="0" applyAlignment="0" applyProtection="0">
      <alignment vertical="center"/>
    </xf>
    <xf numFmtId="0" fontId="36" fillId="28" borderId="14" applyNumberFormat="0" applyAlignment="0" applyProtection="0">
      <alignment vertical="center"/>
    </xf>
    <xf numFmtId="41" fontId="20" fillId="0" borderId="0" applyFont="0" applyFill="0" applyBorder="0" applyAlignment="0" applyProtection="0"/>
    <xf numFmtId="43" fontId="20" fillId="0" borderId="0" applyFont="0" applyFill="0" applyBorder="0" applyAlignment="0" applyProtection="0"/>
    <xf numFmtId="0" fontId="37" fillId="0" borderId="0">
      <alignment vertical="center"/>
    </xf>
    <xf numFmtId="0" fontId="20" fillId="0" borderId="0"/>
    <xf numFmtId="0" fontId="20" fillId="0" borderId="0">
      <alignment vertical="center"/>
    </xf>
    <xf numFmtId="0" fontId="26" fillId="0" borderId="0">
      <alignment vertical="center"/>
    </xf>
    <xf numFmtId="0" fontId="37" fillId="0" borderId="0"/>
    <xf numFmtId="0" fontId="37" fillId="0" borderId="0"/>
    <xf numFmtId="0" fontId="26" fillId="0" borderId="0">
      <alignment vertical="center"/>
    </xf>
    <xf numFmtId="0" fontId="26" fillId="0" borderId="0">
      <alignment vertical="center"/>
    </xf>
    <xf numFmtId="0" fontId="38" fillId="0" borderId="0"/>
  </cellStyleXfs>
  <cellXfs count="58">
    <xf numFmtId="0" fontId="0" fillId="0" borderId="0" xfId="0">
      <alignment vertical="center"/>
    </xf>
    <xf numFmtId="0" fontId="2" fillId="0" borderId="0" xfId="0" applyFont="1" applyAlignment="1">
      <alignment horizontal="center" vertical="center"/>
    </xf>
    <xf numFmtId="0" fontId="6" fillId="0" borderId="2" xfId="0" applyFont="1" applyBorder="1" applyAlignment="1">
      <alignment horizontal="center" vertical="center"/>
    </xf>
    <xf numFmtId="0" fontId="6" fillId="0" borderId="2" xfId="0" applyFont="1" applyBorder="1" applyAlignment="1">
      <alignment horizontal="left" vertical="center" wrapText="1"/>
    </xf>
    <xf numFmtId="176" fontId="6" fillId="0" borderId="2" xfId="0" quotePrefix="1" applyNumberFormat="1" applyFont="1" applyBorder="1" applyAlignment="1">
      <alignment horizontal="left" vertical="center" wrapText="1"/>
    </xf>
    <xf numFmtId="0" fontId="6" fillId="0" borderId="2" xfId="0" applyFont="1" applyBorder="1" applyAlignment="1">
      <alignment horizontal="left" vertical="center"/>
    </xf>
    <xf numFmtId="41" fontId="6" fillId="0" borderId="2" xfId="1" applyFont="1" applyFill="1" applyBorder="1" applyAlignment="1">
      <alignment horizontal="left" vertical="center"/>
    </xf>
    <xf numFmtId="41" fontId="6" fillId="0" borderId="2" xfId="1" applyFont="1" applyFill="1" applyBorder="1" applyAlignment="1">
      <alignment horizontal="center" vertical="center"/>
    </xf>
    <xf numFmtId="0" fontId="7" fillId="0" borderId="2" xfId="0" applyFont="1" applyBorder="1" applyAlignment="1">
      <alignment vertical="center" wrapText="1"/>
    </xf>
    <xf numFmtId="0" fontId="6" fillId="0" borderId="2" xfId="0" applyFont="1" applyBorder="1">
      <alignment vertical="center"/>
    </xf>
    <xf numFmtId="0" fontId="8" fillId="0" borderId="2" xfId="0" applyFont="1" applyBorder="1" applyAlignment="1">
      <alignment horizontal="center" vertical="center"/>
    </xf>
    <xf numFmtId="0" fontId="9" fillId="0" borderId="2" xfId="0" applyFont="1" applyBorder="1">
      <alignment vertical="center"/>
    </xf>
    <xf numFmtId="178" fontId="5" fillId="0" borderId="2" xfId="1" applyNumberFormat="1" applyFont="1" applyFill="1" applyBorder="1" applyAlignment="1">
      <alignment horizontal="center" vertical="center"/>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10" fillId="0" borderId="2" xfId="0" applyFont="1" applyBorder="1" applyAlignment="1">
      <alignment horizontal="left" vertical="center"/>
    </xf>
    <xf numFmtId="41" fontId="5" fillId="0" borderId="2" xfId="0" applyNumberFormat="1" applyFont="1" applyBorder="1" applyAlignment="1">
      <alignment horizontal="center" vertical="center"/>
    </xf>
    <xf numFmtId="41" fontId="5" fillId="0" borderId="2" xfId="1" applyFont="1" applyFill="1" applyBorder="1" applyAlignment="1">
      <alignment horizontal="center" vertical="center"/>
    </xf>
    <xf numFmtId="0" fontId="5" fillId="0" borderId="2" xfId="1" applyNumberFormat="1" applyFont="1" applyFill="1" applyBorder="1" applyAlignment="1">
      <alignment horizontal="center" vertical="center"/>
    </xf>
    <xf numFmtId="0" fontId="5" fillId="0" borderId="0" xfId="0" applyFont="1" applyAlignment="1">
      <alignment horizontal="center" vertical="center"/>
    </xf>
    <xf numFmtId="0" fontId="5" fillId="0" borderId="2" xfId="0" applyFont="1" applyBorder="1" applyAlignment="1">
      <alignment vertical="center" wrapText="1"/>
    </xf>
    <xf numFmtId="0" fontId="6" fillId="0" borderId="2" xfId="0" applyFont="1" applyBorder="1" applyAlignment="1">
      <alignment vertical="center" wrapText="1"/>
    </xf>
    <xf numFmtId="0" fontId="11" fillId="0" borderId="2" xfId="0" applyFont="1" applyBorder="1" applyAlignment="1">
      <alignment horizontal="center" vertical="center"/>
    </xf>
    <xf numFmtId="0" fontId="10" fillId="0" borderId="2" xfId="0" applyFont="1" applyBorder="1">
      <alignment vertical="center"/>
    </xf>
    <xf numFmtId="0" fontId="0" fillId="0" borderId="0" xfId="0" applyAlignment="1">
      <alignment horizontal="left" vertical="center"/>
    </xf>
    <xf numFmtId="41" fontId="5" fillId="0" borderId="0" xfId="1" applyFont="1" applyAlignment="1">
      <alignment horizontal="center" vertical="center"/>
    </xf>
    <xf numFmtId="177" fontId="5" fillId="0" borderId="0" xfId="1" applyNumberFormat="1" applyFont="1" applyAlignment="1">
      <alignment horizontal="center" vertical="center"/>
    </xf>
    <xf numFmtId="0" fontId="5" fillId="0" borderId="0" xfId="0" applyFont="1" applyAlignment="1">
      <alignment horizontal="center" vertical="center" wrapText="1"/>
    </xf>
    <xf numFmtId="178" fontId="5" fillId="0" borderId="0" xfId="1" applyNumberFormat="1" applyFont="1" applyAlignment="1">
      <alignment horizontal="center" vertical="center"/>
    </xf>
    <xf numFmtId="0" fontId="5" fillId="0" borderId="0" xfId="0" applyFont="1" applyAlignment="1">
      <alignment horizontal="left" vertical="center"/>
    </xf>
    <xf numFmtId="0" fontId="5" fillId="32" borderId="2" xfId="0" applyFont="1" applyFill="1" applyBorder="1" applyAlignment="1">
      <alignment horizontal="center" vertical="center"/>
    </xf>
    <xf numFmtId="0" fontId="6" fillId="32" borderId="2" xfId="0" applyFont="1" applyFill="1" applyBorder="1" applyAlignment="1">
      <alignment horizontal="center" vertical="center"/>
    </xf>
    <xf numFmtId="0" fontId="2" fillId="2" borderId="16" xfId="0" applyFont="1" applyFill="1" applyBorder="1" applyAlignment="1">
      <alignment horizontal="center" vertical="center"/>
    </xf>
    <xf numFmtId="0" fontId="2" fillId="2" borderId="17" xfId="0" applyFont="1" applyFill="1" applyBorder="1" applyAlignment="1">
      <alignment horizontal="center" vertical="center"/>
    </xf>
    <xf numFmtId="0" fontId="2" fillId="2" borderId="17" xfId="0" applyFont="1" applyFill="1" applyBorder="1" applyAlignment="1">
      <alignment horizontal="left" vertical="center"/>
    </xf>
    <xf numFmtId="176" fontId="2" fillId="2" borderId="17" xfId="0" applyNumberFormat="1" applyFont="1" applyFill="1" applyBorder="1" applyAlignment="1">
      <alignment horizontal="center" vertical="center"/>
    </xf>
    <xf numFmtId="0" fontId="2" fillId="3" borderId="17" xfId="0" applyFont="1" applyFill="1" applyBorder="1" applyAlignment="1">
      <alignment horizontal="center" vertical="center" wrapText="1"/>
    </xf>
    <xf numFmtId="0" fontId="2" fillId="3" borderId="17" xfId="0" applyFont="1" applyFill="1" applyBorder="1" applyAlignment="1">
      <alignment horizontal="center" vertical="center"/>
    </xf>
    <xf numFmtId="41" fontId="2" fillId="3" borderId="17" xfId="1" applyFont="1" applyFill="1" applyBorder="1" applyAlignment="1">
      <alignment horizontal="center" vertical="center" wrapText="1"/>
    </xf>
    <xf numFmtId="177" fontId="4" fillId="4" borderId="17" xfId="1" applyNumberFormat="1" applyFont="1" applyFill="1" applyBorder="1" applyAlignment="1">
      <alignment horizontal="center" vertical="center" wrapText="1"/>
    </xf>
    <xf numFmtId="0" fontId="2" fillId="3" borderId="17" xfId="0" applyFont="1" applyFill="1" applyBorder="1" applyAlignment="1">
      <alignment horizontal="left" vertical="center" wrapText="1"/>
    </xf>
    <xf numFmtId="0" fontId="4" fillId="4" borderId="17" xfId="0" applyFont="1" applyFill="1" applyBorder="1" applyAlignment="1">
      <alignment horizontal="center" vertical="center" wrapText="1"/>
    </xf>
    <xf numFmtId="0" fontId="2" fillId="5" borderId="17" xfId="0" applyFont="1" applyFill="1" applyBorder="1" applyAlignment="1">
      <alignment horizontal="center" vertical="center" wrapText="1"/>
    </xf>
    <xf numFmtId="178" fontId="2" fillId="3" borderId="17" xfId="1" applyNumberFormat="1" applyFont="1" applyFill="1" applyBorder="1" applyAlignment="1">
      <alignment horizontal="center" vertical="center" wrapText="1"/>
    </xf>
    <xf numFmtId="0" fontId="2" fillId="6" borderId="17" xfId="0" applyFont="1" applyFill="1" applyBorder="1" applyAlignment="1">
      <alignment horizontal="center" vertical="center" wrapText="1"/>
    </xf>
    <xf numFmtId="0" fontId="2" fillId="5" borderId="17" xfId="0" applyFont="1" applyFill="1" applyBorder="1" applyAlignment="1">
      <alignment horizontal="center" vertical="center"/>
    </xf>
    <xf numFmtId="41" fontId="2" fillId="5" borderId="17" xfId="1" applyFont="1" applyFill="1" applyBorder="1" applyAlignment="1">
      <alignment horizontal="center" vertical="center" wrapText="1"/>
    </xf>
    <xf numFmtId="0" fontId="2" fillId="7" borderId="17" xfId="0" applyFont="1" applyFill="1" applyBorder="1" applyAlignment="1">
      <alignment horizontal="center" vertical="center" wrapText="1"/>
    </xf>
    <xf numFmtId="0" fontId="2" fillId="8" borderId="17" xfId="0" applyFont="1" applyFill="1" applyBorder="1" applyAlignment="1">
      <alignment horizontal="center" vertical="center" wrapText="1"/>
    </xf>
    <xf numFmtId="0" fontId="2" fillId="9" borderId="15" xfId="0" applyFont="1" applyFill="1" applyBorder="1" applyAlignment="1">
      <alignment horizontal="center" vertical="center"/>
    </xf>
    <xf numFmtId="0" fontId="39" fillId="0" borderId="2" xfId="0" applyFont="1" applyBorder="1" applyAlignment="1">
      <alignment horizontal="center" vertical="center" wrapText="1"/>
    </xf>
    <xf numFmtId="0" fontId="39" fillId="0" borderId="2" xfId="0" applyFont="1" applyBorder="1" applyAlignment="1">
      <alignment horizontal="left" vertical="center" wrapText="1"/>
    </xf>
    <xf numFmtId="14" fontId="39" fillId="0" borderId="2" xfId="0" applyNumberFormat="1" applyFont="1" applyBorder="1" applyAlignment="1">
      <alignment horizontal="center" vertical="center" wrapText="1"/>
    </xf>
    <xf numFmtId="0" fontId="6" fillId="0" borderId="3" xfId="0" applyFont="1" applyBorder="1" applyAlignment="1">
      <alignment horizontal="left" vertical="center"/>
    </xf>
    <xf numFmtId="41" fontId="6" fillId="0" borderId="1" xfId="1" applyFont="1" applyFill="1" applyBorder="1" applyAlignment="1">
      <alignment horizontal="left" vertical="center"/>
    </xf>
    <xf numFmtId="0" fontId="39" fillId="0" borderId="18" xfId="0" applyFont="1" applyBorder="1" applyAlignment="1">
      <alignment horizontal="center" vertical="center" wrapText="1"/>
    </xf>
    <xf numFmtId="0" fontId="39" fillId="0" borderId="19" xfId="0" applyFont="1" applyBorder="1" applyAlignment="1">
      <alignment horizontal="center" vertical="center" wrapText="1"/>
    </xf>
    <xf numFmtId="0" fontId="39" fillId="0" borderId="19" xfId="0" applyFont="1" applyBorder="1" applyAlignment="1">
      <alignment horizontal="left" vertical="center" wrapText="1"/>
    </xf>
  </cellXfs>
  <cellStyles count="64">
    <cellStyle name="20% - 강조색1 2" xfId="2" xr:uid="{00000000-0005-0000-0000-000000000000}"/>
    <cellStyle name="20% - 강조색2 2" xfId="3" xr:uid="{00000000-0005-0000-0000-000001000000}"/>
    <cellStyle name="20% - 강조색3 2" xfId="4" xr:uid="{00000000-0005-0000-0000-000002000000}"/>
    <cellStyle name="20% - 강조색4 2" xfId="5" xr:uid="{00000000-0005-0000-0000-000003000000}"/>
    <cellStyle name="20% - 강조색5 2" xfId="6" xr:uid="{00000000-0005-0000-0000-000004000000}"/>
    <cellStyle name="20% - 강조색6 2" xfId="7" xr:uid="{00000000-0005-0000-0000-000005000000}"/>
    <cellStyle name="40% - 강조색1 2" xfId="8" xr:uid="{00000000-0005-0000-0000-000006000000}"/>
    <cellStyle name="40% - 강조색2 2" xfId="9" xr:uid="{00000000-0005-0000-0000-000007000000}"/>
    <cellStyle name="40% - 강조색3 2" xfId="10" xr:uid="{00000000-0005-0000-0000-000008000000}"/>
    <cellStyle name="40% - 강조색4 2" xfId="11" xr:uid="{00000000-0005-0000-0000-000009000000}"/>
    <cellStyle name="40% - 강조색5 2" xfId="12" xr:uid="{00000000-0005-0000-0000-00000A000000}"/>
    <cellStyle name="40% - 강조색6 2" xfId="13" xr:uid="{00000000-0005-0000-0000-00000B000000}"/>
    <cellStyle name="60% - 강조색1 2" xfId="14" xr:uid="{00000000-0005-0000-0000-00000C000000}"/>
    <cellStyle name="60% - 강조색2 2" xfId="15" xr:uid="{00000000-0005-0000-0000-00000D000000}"/>
    <cellStyle name="60% - 강조색3 2" xfId="16" xr:uid="{00000000-0005-0000-0000-00000E000000}"/>
    <cellStyle name="60% - 강조색4 2" xfId="17" xr:uid="{00000000-0005-0000-0000-00000F000000}"/>
    <cellStyle name="60% - 강조색5 2" xfId="18" xr:uid="{00000000-0005-0000-0000-000010000000}"/>
    <cellStyle name="60% - 강조색6 2" xfId="19" xr:uid="{00000000-0005-0000-0000-000011000000}"/>
    <cellStyle name="Currency1" xfId="20" xr:uid="{00000000-0005-0000-0000-000012000000}"/>
    <cellStyle name="Header1" xfId="21" xr:uid="{00000000-0005-0000-0000-000013000000}"/>
    <cellStyle name="Header2" xfId="22" xr:uid="{00000000-0005-0000-0000-000014000000}"/>
    <cellStyle name="Normal - Style1" xfId="23" xr:uid="{00000000-0005-0000-0000-000015000000}"/>
    <cellStyle name="강조색1 2" xfId="24" xr:uid="{00000000-0005-0000-0000-000016000000}"/>
    <cellStyle name="강조색2 2" xfId="25" xr:uid="{00000000-0005-0000-0000-000017000000}"/>
    <cellStyle name="강조색3 2" xfId="26" xr:uid="{00000000-0005-0000-0000-000018000000}"/>
    <cellStyle name="강조색4 2" xfId="27" xr:uid="{00000000-0005-0000-0000-000019000000}"/>
    <cellStyle name="강조색5 2" xfId="28" xr:uid="{00000000-0005-0000-0000-00001A000000}"/>
    <cellStyle name="강조색6 2" xfId="29" xr:uid="{00000000-0005-0000-0000-00001B000000}"/>
    <cellStyle name="경고문 2" xfId="30" xr:uid="{00000000-0005-0000-0000-00001C000000}"/>
    <cellStyle name="계산 2" xfId="31" xr:uid="{00000000-0005-0000-0000-00001D000000}"/>
    <cellStyle name="나쁨 2" xfId="32" xr:uid="{00000000-0005-0000-0000-00001E000000}"/>
    <cellStyle name="메모 2" xfId="33" xr:uid="{00000000-0005-0000-0000-00001F000000}"/>
    <cellStyle name="보통 2" xfId="34" xr:uid="{00000000-0005-0000-0000-000020000000}"/>
    <cellStyle name="뷭?_BOOKSHIP" xfId="35" xr:uid="{00000000-0005-0000-0000-000021000000}"/>
    <cellStyle name="常规_Memo" xfId="36" xr:uid="{00000000-0005-0000-0000-000022000000}"/>
    <cellStyle name="설명 텍스트 2" xfId="37" xr:uid="{00000000-0005-0000-0000-000023000000}"/>
    <cellStyle name="셀 확인 2" xfId="38" xr:uid="{00000000-0005-0000-0000-000024000000}"/>
    <cellStyle name="쉼표 [0]" xfId="1" builtinId="6"/>
    <cellStyle name="쉼표 [0] 2" xfId="39" xr:uid="{00000000-0005-0000-0000-000026000000}"/>
    <cellStyle name="쉼표 [0] 2 2" xfId="40" xr:uid="{00000000-0005-0000-0000-000027000000}"/>
    <cellStyle name="쉼표 [0] 2 3" xfId="41" xr:uid="{00000000-0005-0000-0000-000028000000}"/>
    <cellStyle name="연결된 셀 2" xfId="42" xr:uid="{00000000-0005-0000-0000-000029000000}"/>
    <cellStyle name="요약 2" xfId="43" xr:uid="{00000000-0005-0000-0000-00002A000000}"/>
    <cellStyle name="一般_summary" xfId="44" xr:uid="{00000000-0005-0000-0000-00002B000000}"/>
    <cellStyle name="입력 2" xfId="45" xr:uid="{00000000-0005-0000-0000-00002C000000}"/>
    <cellStyle name="제목 1 2" xfId="46" xr:uid="{00000000-0005-0000-0000-00002D000000}"/>
    <cellStyle name="제목 2 2" xfId="47" xr:uid="{00000000-0005-0000-0000-00002E000000}"/>
    <cellStyle name="제목 3 2" xfId="48" xr:uid="{00000000-0005-0000-0000-00002F000000}"/>
    <cellStyle name="제목 4 2" xfId="49" xr:uid="{00000000-0005-0000-0000-000030000000}"/>
    <cellStyle name="제목 5" xfId="50" xr:uid="{00000000-0005-0000-0000-000031000000}"/>
    <cellStyle name="좋음 2" xfId="51" xr:uid="{00000000-0005-0000-0000-000032000000}"/>
    <cellStyle name="출력 2" xfId="52" xr:uid="{00000000-0005-0000-0000-000033000000}"/>
    <cellStyle name="콤마 [0]_.1.2-LS-080" xfId="53" xr:uid="{00000000-0005-0000-0000-000034000000}"/>
    <cellStyle name="콤마_.1.2-LS-080" xfId="54" xr:uid="{00000000-0005-0000-0000-000035000000}"/>
    <cellStyle name="표준" xfId="0" builtinId="0"/>
    <cellStyle name="표준 2" xfId="55" xr:uid="{00000000-0005-0000-0000-000037000000}"/>
    <cellStyle name="표준 2 2" xfId="56" xr:uid="{00000000-0005-0000-0000-000038000000}"/>
    <cellStyle name="표준 3" xfId="57" xr:uid="{00000000-0005-0000-0000-000039000000}"/>
    <cellStyle name="표준 4" xfId="58" xr:uid="{00000000-0005-0000-0000-00003A000000}"/>
    <cellStyle name="표준 4 6" xfId="59" xr:uid="{00000000-0005-0000-0000-00003B000000}"/>
    <cellStyle name="표준 4 8" xfId="60" xr:uid="{00000000-0005-0000-0000-00003C000000}"/>
    <cellStyle name="표준 5" xfId="61" xr:uid="{00000000-0005-0000-0000-00003D000000}"/>
    <cellStyle name="표준 6" xfId="62" xr:uid="{00000000-0005-0000-0000-00003E000000}"/>
    <cellStyle name="標準_NEWGQR~4" xfId="63" xr:uid="{00000000-0005-0000-0000-00003F000000}"/>
  </cellStyles>
  <dxfs count="98">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00B050"/>
        </patternFill>
      </fill>
    </dxf>
    <dxf>
      <font>
        <b val="0"/>
        <i val="0"/>
        <strike val="0"/>
        <condense val="0"/>
        <extend val="0"/>
        <outline val="0"/>
        <shadow val="0"/>
        <u val="none"/>
        <vertAlign val="baseline"/>
        <sz val="9"/>
        <color theme="1"/>
        <name val="맑은 고딕"/>
        <scheme val="minor"/>
      </font>
      <numFmt numFmtId="0" formatCode="General"/>
      <fill>
        <patternFill patternType="none">
          <fgColor indexed="64"/>
          <bgColor auto="1"/>
        </patternFill>
      </fill>
      <alignment horizontal="center" vertical="center"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font>
        <b val="0"/>
        <i val="0"/>
        <strike val="0"/>
        <condense val="0"/>
        <extend val="0"/>
        <outline val="0"/>
        <shadow val="0"/>
        <u val="none"/>
        <vertAlign val="baseline"/>
        <sz val="9"/>
        <color theme="1"/>
        <name val="맑은 고딕"/>
        <scheme val="minor"/>
      </font>
      <numFmt numFmtId="0" formatCode="General"/>
      <fill>
        <patternFill patternType="none">
          <fgColor indexed="64"/>
          <bgColor auto="1"/>
        </patternFill>
      </fill>
      <alignment horizontal="center" vertical="center"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font>
        <b val="0"/>
        <i val="0"/>
        <strike val="0"/>
        <condense val="0"/>
        <extend val="0"/>
        <outline val="0"/>
        <shadow val="0"/>
        <u val="none"/>
        <vertAlign val="baseline"/>
        <sz val="9"/>
        <color theme="1"/>
        <name val="맑은 고딕"/>
        <scheme val="minor"/>
      </font>
      <numFmt numFmtId="0" formatCode="General"/>
      <fill>
        <patternFill patternType="none">
          <fgColor indexed="64"/>
          <bgColor auto="1"/>
        </patternFill>
      </fill>
      <alignment horizontal="center" vertical="center"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font>
        <b val="0"/>
        <i val="0"/>
        <strike val="0"/>
        <condense val="0"/>
        <extend val="0"/>
        <outline val="0"/>
        <shadow val="0"/>
        <u val="none"/>
        <vertAlign val="baseline"/>
        <sz val="9"/>
        <color theme="1"/>
        <name val="맑은 고딕"/>
        <scheme val="minor"/>
      </font>
      <numFmt numFmtId="0" formatCode="General"/>
      <fill>
        <patternFill patternType="none">
          <fgColor indexed="64"/>
          <bgColor auto="1"/>
        </patternFill>
      </fill>
      <alignment horizontal="center" vertical="center"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font>
        <b val="0"/>
        <i val="0"/>
        <strike val="0"/>
        <condense val="0"/>
        <extend val="0"/>
        <outline val="0"/>
        <shadow val="0"/>
        <u val="none"/>
        <vertAlign val="baseline"/>
        <sz val="9"/>
        <color theme="1"/>
        <name val="맑은 고딕"/>
        <scheme val="minor"/>
      </font>
      <numFmt numFmtId="0" formatCode="General"/>
      <fill>
        <patternFill patternType="none">
          <fgColor indexed="64"/>
          <bgColor auto="1"/>
        </patternFill>
      </fill>
      <alignment horizontal="center" vertical="center"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font>
        <b val="0"/>
        <i val="0"/>
        <strike val="0"/>
        <condense val="0"/>
        <extend val="0"/>
        <outline val="0"/>
        <shadow val="0"/>
        <u val="none"/>
        <vertAlign val="baseline"/>
        <sz val="9"/>
        <color theme="1"/>
        <name val="맑은 고딕"/>
        <scheme val="minor"/>
      </font>
      <numFmt numFmtId="0" formatCode="General"/>
      <fill>
        <patternFill patternType="none">
          <fgColor indexed="64"/>
          <bgColor auto="1"/>
        </patternFill>
      </fill>
      <alignment horizontal="center" vertical="center"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font>
        <b val="0"/>
        <i val="0"/>
        <strike val="0"/>
        <condense val="0"/>
        <extend val="0"/>
        <outline val="0"/>
        <shadow val="0"/>
        <u val="none"/>
        <vertAlign val="baseline"/>
        <sz val="9"/>
        <color theme="1"/>
        <name val="맑은 고딕"/>
        <scheme val="minor"/>
      </font>
      <numFmt numFmtId="0" formatCode="General"/>
      <fill>
        <patternFill patternType="none">
          <fgColor indexed="64"/>
          <bgColor auto="1"/>
        </patternFill>
      </fill>
      <alignment horizontal="center" vertical="center"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font>
        <b val="0"/>
        <i val="0"/>
        <strike val="0"/>
        <condense val="0"/>
        <extend val="0"/>
        <outline val="0"/>
        <shadow val="0"/>
        <u val="none"/>
        <vertAlign val="baseline"/>
        <sz val="9"/>
        <color theme="1"/>
        <name val="맑은 고딕"/>
        <scheme val="minor"/>
      </font>
      <numFmt numFmtId="0" formatCode="General"/>
      <fill>
        <patternFill patternType="none">
          <fgColor indexed="64"/>
          <bgColor auto="1"/>
        </patternFill>
      </fill>
      <alignment horizontal="center" vertical="center"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font>
        <b val="0"/>
        <i val="0"/>
        <strike val="0"/>
        <condense val="0"/>
        <extend val="0"/>
        <outline val="0"/>
        <shadow val="0"/>
        <u val="none"/>
        <vertAlign val="baseline"/>
        <sz val="9"/>
        <color theme="1"/>
        <name val="맑은 고딕"/>
        <scheme val="minor"/>
      </font>
      <numFmt numFmtId="0" formatCode="General"/>
      <fill>
        <patternFill patternType="none">
          <fgColor indexed="64"/>
          <bgColor auto="1"/>
        </patternFill>
      </fill>
      <alignment horizontal="center" vertical="center"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font>
        <b val="0"/>
        <i val="0"/>
        <strike val="0"/>
        <condense val="0"/>
        <extend val="0"/>
        <outline val="0"/>
        <shadow val="0"/>
        <u val="none"/>
        <vertAlign val="baseline"/>
        <sz val="9"/>
        <color theme="1"/>
        <name val="맑은 고딕"/>
        <scheme val="minor"/>
      </font>
      <numFmt numFmtId="0" formatCode="General"/>
      <fill>
        <patternFill patternType="none">
          <fgColor indexed="64"/>
          <bgColor auto="1"/>
        </patternFill>
      </fill>
      <alignment horizontal="center" vertical="center"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font>
        <b val="0"/>
        <i val="0"/>
        <strike val="0"/>
        <condense val="0"/>
        <extend val="0"/>
        <outline val="0"/>
        <shadow val="0"/>
        <u val="none"/>
        <vertAlign val="baseline"/>
        <sz val="9"/>
        <color theme="1"/>
        <name val="맑은 고딕"/>
        <scheme val="minor"/>
      </font>
      <numFmt numFmtId="0" formatCode="General"/>
      <fill>
        <patternFill patternType="none">
          <fgColor indexed="64"/>
          <bgColor auto="1"/>
        </patternFill>
      </fill>
      <alignment horizontal="center" vertical="center"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font>
        <b val="0"/>
        <i val="0"/>
        <strike val="0"/>
        <condense val="0"/>
        <extend val="0"/>
        <outline val="0"/>
        <shadow val="0"/>
        <u val="none"/>
        <vertAlign val="baseline"/>
        <sz val="9"/>
        <color theme="1"/>
        <name val="맑은 고딕"/>
        <scheme val="minor"/>
      </font>
      <numFmt numFmtId="0" formatCode="General"/>
      <fill>
        <patternFill patternType="none">
          <fgColor indexed="64"/>
          <bgColor auto="1"/>
        </patternFill>
      </fill>
      <alignment horizontal="center" vertical="center"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font>
        <b val="0"/>
        <i val="0"/>
        <strike val="0"/>
        <condense val="0"/>
        <extend val="0"/>
        <outline val="0"/>
        <shadow val="0"/>
        <u val="none"/>
        <vertAlign val="baseline"/>
        <sz val="9"/>
        <color theme="1"/>
        <name val="맑은 고딕"/>
        <scheme val="minor"/>
      </font>
      <numFmt numFmtId="0" formatCode="General"/>
      <fill>
        <patternFill patternType="none">
          <fgColor indexed="64"/>
          <bgColor auto="1"/>
        </patternFill>
      </fill>
      <alignment horizontal="center" vertical="center"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font>
        <b val="0"/>
        <i val="0"/>
        <strike val="0"/>
        <condense val="0"/>
        <extend val="0"/>
        <outline val="0"/>
        <shadow val="0"/>
        <u val="none"/>
        <vertAlign val="baseline"/>
        <sz val="9"/>
        <color theme="1"/>
        <name val="맑은 고딕"/>
        <scheme val="minor"/>
      </font>
      <numFmt numFmtId="0" formatCode="General"/>
      <fill>
        <patternFill patternType="none">
          <fgColor indexed="64"/>
          <bgColor auto="1"/>
        </patternFill>
      </fill>
      <alignment horizontal="center" vertical="center"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font>
        <b val="0"/>
        <i val="0"/>
        <strike val="0"/>
        <condense val="0"/>
        <extend val="0"/>
        <outline val="0"/>
        <shadow val="0"/>
        <u val="none"/>
        <vertAlign val="baseline"/>
        <sz val="9"/>
        <color theme="1"/>
        <name val="맑은 고딕"/>
        <scheme val="minor"/>
      </font>
      <numFmt numFmtId="0" formatCode="General"/>
      <fill>
        <patternFill patternType="none">
          <fgColor indexed="64"/>
          <bgColor auto="1"/>
        </patternFill>
      </fill>
      <alignment horizontal="center" vertical="center"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font>
        <b val="0"/>
        <i val="0"/>
        <strike val="0"/>
        <condense val="0"/>
        <extend val="0"/>
        <outline val="0"/>
        <shadow val="0"/>
        <u val="none"/>
        <vertAlign val="baseline"/>
        <sz val="9"/>
        <color theme="1"/>
        <name val="맑은 고딕"/>
        <scheme val="minor"/>
      </font>
      <numFmt numFmtId="0" formatCode="General"/>
      <fill>
        <patternFill patternType="none">
          <fgColor indexed="64"/>
          <bgColor auto="1"/>
        </patternFill>
      </fill>
      <alignment horizontal="center" vertical="center"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font>
        <b val="0"/>
        <i val="0"/>
        <strike val="0"/>
        <condense val="0"/>
        <extend val="0"/>
        <outline val="0"/>
        <shadow val="0"/>
        <u val="none"/>
        <vertAlign val="baseline"/>
        <sz val="9"/>
        <color theme="1"/>
        <name val="맑은 고딕"/>
        <scheme val="minor"/>
      </font>
      <numFmt numFmtId="0" formatCode="General"/>
      <fill>
        <patternFill patternType="none">
          <fgColor indexed="64"/>
          <bgColor auto="1"/>
        </patternFill>
      </fill>
      <alignment horizontal="center" vertical="center"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font>
        <b val="0"/>
        <i val="0"/>
        <strike val="0"/>
        <condense val="0"/>
        <extend val="0"/>
        <outline val="0"/>
        <shadow val="0"/>
        <u val="none"/>
        <vertAlign val="baseline"/>
        <sz val="9"/>
        <color theme="1"/>
        <name val="맑은 고딕"/>
        <scheme val="minor"/>
      </font>
      <numFmt numFmtId="0" formatCode="General"/>
      <fill>
        <patternFill patternType="none">
          <fgColor indexed="64"/>
          <bgColor auto="1"/>
        </patternFill>
      </fill>
      <alignment horizontal="center" vertical="center"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font>
        <b val="0"/>
        <i val="0"/>
        <strike val="0"/>
        <condense val="0"/>
        <extend val="0"/>
        <outline val="0"/>
        <shadow val="0"/>
        <u val="none"/>
        <vertAlign val="baseline"/>
        <sz val="9"/>
        <color theme="1"/>
        <name val="맑은 고딕"/>
        <scheme val="minor"/>
      </font>
      <numFmt numFmtId="0" formatCode="General"/>
      <fill>
        <patternFill patternType="none">
          <fgColor indexed="64"/>
          <bgColor auto="1"/>
        </patternFill>
      </fill>
      <alignment horizontal="center" vertical="center"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font>
        <b val="0"/>
        <i val="0"/>
        <strike val="0"/>
        <condense val="0"/>
        <extend val="0"/>
        <outline val="0"/>
        <shadow val="0"/>
        <u val="none"/>
        <vertAlign val="baseline"/>
        <sz val="9"/>
        <color theme="1"/>
        <name val="맑은 고딕"/>
        <scheme val="minor"/>
      </font>
      <numFmt numFmtId="0" formatCode="General"/>
      <fill>
        <patternFill patternType="none">
          <fgColor indexed="64"/>
          <bgColor auto="1"/>
        </patternFill>
      </fill>
      <alignment horizontal="center" vertical="center"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font>
        <b val="0"/>
        <i val="0"/>
        <strike val="0"/>
        <condense val="0"/>
        <extend val="0"/>
        <outline val="0"/>
        <shadow val="0"/>
        <u val="none"/>
        <vertAlign val="baseline"/>
        <sz val="9"/>
        <color theme="1"/>
        <name val="맑은 고딕"/>
        <scheme val="minor"/>
      </font>
      <numFmt numFmtId="0" formatCode="General"/>
      <fill>
        <patternFill patternType="none">
          <fgColor indexed="64"/>
          <bgColor auto="1"/>
        </patternFill>
      </fill>
      <alignment horizontal="center" vertical="center"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font>
        <b val="0"/>
        <i val="0"/>
        <strike val="0"/>
        <condense val="0"/>
        <extend val="0"/>
        <outline val="0"/>
        <shadow val="0"/>
        <u val="none"/>
        <vertAlign val="baseline"/>
        <sz val="9"/>
        <color theme="1"/>
        <name val="맑은 고딕"/>
        <scheme val="minor"/>
      </font>
      <numFmt numFmtId="0" formatCode="General"/>
      <fill>
        <patternFill patternType="none">
          <fgColor indexed="64"/>
          <bgColor auto="1"/>
        </patternFill>
      </fill>
      <alignment horizontal="center" vertical="center"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font>
        <b val="0"/>
        <i val="0"/>
        <strike val="0"/>
        <condense val="0"/>
        <extend val="0"/>
        <outline val="0"/>
        <shadow val="0"/>
        <u val="none"/>
        <vertAlign val="baseline"/>
        <sz val="9"/>
        <color theme="1"/>
        <name val="맑은 고딕"/>
        <scheme val="minor"/>
      </font>
      <numFmt numFmtId="0" formatCode="General"/>
      <fill>
        <patternFill patternType="none">
          <fgColor indexed="64"/>
          <bgColor auto="1"/>
        </patternFill>
      </fill>
      <alignment horizontal="center" vertical="center"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font>
        <b val="0"/>
        <i val="0"/>
        <strike val="0"/>
        <condense val="0"/>
        <extend val="0"/>
        <outline val="0"/>
        <shadow val="0"/>
        <u val="none"/>
        <vertAlign val="baseline"/>
        <sz val="9"/>
        <color theme="1"/>
        <name val="맑은 고딕"/>
        <scheme val="minor"/>
      </font>
      <numFmt numFmtId="0" formatCode="General"/>
      <fill>
        <patternFill patternType="none">
          <fgColor indexed="64"/>
          <bgColor auto="1"/>
        </patternFill>
      </fill>
      <alignment horizontal="center" vertical="center"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font>
        <b val="0"/>
        <i val="0"/>
        <strike val="0"/>
        <condense val="0"/>
        <extend val="0"/>
        <outline val="0"/>
        <shadow val="0"/>
        <u val="none"/>
        <vertAlign val="baseline"/>
        <sz val="9"/>
        <color theme="1"/>
        <name val="맑은 고딕"/>
        <scheme val="minor"/>
      </font>
      <numFmt numFmtId="0" formatCode="General"/>
      <fill>
        <patternFill patternType="none">
          <fgColor indexed="64"/>
          <bgColor auto="1"/>
        </patternFill>
      </fill>
      <alignment horizontal="center" vertical="center"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font>
        <b val="0"/>
        <i val="0"/>
        <strike val="0"/>
        <condense val="0"/>
        <extend val="0"/>
        <outline val="0"/>
        <shadow val="0"/>
        <u val="none"/>
        <vertAlign val="baseline"/>
        <sz val="9"/>
        <color theme="1"/>
        <name val="맑은 고딕"/>
        <scheme val="minor"/>
      </font>
      <numFmt numFmtId="0" formatCode="General"/>
      <fill>
        <patternFill patternType="none">
          <fgColor indexed="64"/>
          <bgColor auto="1"/>
        </patternFill>
      </fill>
      <alignment horizontal="center" vertical="center"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font>
        <b val="0"/>
        <i val="0"/>
        <strike val="0"/>
        <condense val="0"/>
        <extend val="0"/>
        <outline val="0"/>
        <shadow val="0"/>
        <u val="none"/>
        <vertAlign val="baseline"/>
        <sz val="9"/>
        <color theme="1"/>
        <name val="맑은 고딕"/>
        <scheme val="minor"/>
      </font>
      <numFmt numFmtId="0" formatCode="General"/>
      <fill>
        <patternFill patternType="none">
          <fgColor indexed="64"/>
          <bgColor auto="1"/>
        </patternFill>
      </fill>
      <alignment horizontal="center" vertical="center"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font>
        <b val="0"/>
        <i val="0"/>
        <strike val="0"/>
        <condense val="0"/>
        <extend val="0"/>
        <outline val="0"/>
        <shadow val="0"/>
        <u val="none"/>
        <vertAlign val="baseline"/>
        <sz val="9"/>
        <color theme="1"/>
        <name val="맑은 고딕"/>
        <scheme val="minor"/>
      </font>
      <numFmt numFmtId="33" formatCode="_-* #,##0_-;\-* #,##0_-;_-* &quot;-&quot;_-;_-@_-"/>
      <fill>
        <patternFill patternType="none">
          <fgColor indexed="64"/>
          <bgColor auto="1"/>
        </patternFill>
      </fill>
      <alignment horizontal="center" vertical="center"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font>
        <b val="0"/>
        <i val="0"/>
        <strike val="0"/>
        <condense val="0"/>
        <extend val="0"/>
        <outline val="0"/>
        <shadow val="0"/>
        <u val="none"/>
        <vertAlign val="baseline"/>
        <sz val="9"/>
        <color theme="1"/>
        <name val="맑은 고딕"/>
        <scheme val="minor"/>
      </font>
      <numFmt numFmtId="33" formatCode="_-* #,##0_-;\-* #,##0_-;_-* &quot;-&quot;_-;_-@_-"/>
      <fill>
        <patternFill patternType="none">
          <fgColor indexed="64"/>
          <bgColor auto="1"/>
        </patternFill>
      </fill>
      <alignment horizontal="center" vertical="center"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font>
        <b val="0"/>
        <i val="0"/>
        <strike val="0"/>
        <condense val="0"/>
        <extend val="0"/>
        <outline val="0"/>
        <shadow val="0"/>
        <u val="none"/>
        <vertAlign val="baseline"/>
        <sz val="9"/>
        <color theme="1"/>
        <name val="맑은 고딕"/>
        <scheme val="minor"/>
      </font>
      <numFmt numFmtId="33" formatCode="_-* #,##0_-;\-* #,##0_-;_-* &quot;-&quot;_-;_-@_-"/>
      <fill>
        <patternFill patternType="none">
          <fgColor indexed="64"/>
          <bgColor auto="1"/>
        </patternFill>
      </fill>
      <alignment horizontal="center" vertical="center"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font>
        <b val="0"/>
        <i val="0"/>
        <strike val="0"/>
        <condense val="0"/>
        <extend val="0"/>
        <outline val="0"/>
        <shadow val="0"/>
        <u val="none"/>
        <vertAlign val="baseline"/>
        <sz val="9"/>
        <color theme="1"/>
        <name val="맑은 고딕"/>
        <scheme val="minor"/>
      </font>
      <numFmt numFmtId="33" formatCode="_-* #,##0_-;\-* #,##0_-;_-* &quot;-&quot;_-;_-@_-"/>
      <fill>
        <patternFill patternType="none">
          <fgColor indexed="64"/>
          <bgColor auto="1"/>
        </patternFill>
      </fill>
      <alignment horizontal="center" vertical="center"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font>
        <b val="0"/>
        <i val="0"/>
        <strike val="0"/>
        <condense val="0"/>
        <extend val="0"/>
        <outline val="0"/>
        <shadow val="0"/>
        <u val="none"/>
        <vertAlign val="baseline"/>
        <sz val="9"/>
        <color theme="1"/>
        <name val="맑은 고딕"/>
        <scheme val="minor"/>
      </font>
      <numFmt numFmtId="33" formatCode="_-* #,##0_-;\-* #,##0_-;_-* &quot;-&quot;_-;_-@_-"/>
      <fill>
        <patternFill patternType="none">
          <fgColor indexed="64"/>
          <bgColor auto="1"/>
        </patternFill>
      </fill>
      <alignment horizontal="center" vertical="center"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font>
        <b val="0"/>
        <i val="0"/>
        <strike val="0"/>
        <condense val="0"/>
        <extend val="0"/>
        <outline val="0"/>
        <shadow val="0"/>
        <u val="none"/>
        <vertAlign val="baseline"/>
        <sz val="9"/>
        <color theme="1"/>
        <name val="맑은 고딕"/>
        <scheme val="minor"/>
      </font>
      <numFmt numFmtId="0" formatCode="General"/>
      <fill>
        <patternFill patternType="none">
          <fgColor indexed="64"/>
          <bgColor auto="1"/>
        </patternFill>
      </fill>
      <alignment horizontal="center" vertical="center"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font>
        <b val="0"/>
        <i val="0"/>
        <strike val="0"/>
        <condense val="0"/>
        <extend val="0"/>
        <outline val="0"/>
        <shadow val="0"/>
        <u val="none"/>
        <vertAlign val="baseline"/>
        <sz val="9"/>
        <color theme="1"/>
        <name val="맑은 고딕"/>
        <scheme val="minor"/>
      </font>
      <numFmt numFmtId="0" formatCode="General"/>
      <fill>
        <patternFill patternType="none">
          <fgColor indexed="64"/>
          <bgColor auto="1"/>
        </patternFill>
      </fill>
      <alignment horizontal="center" vertical="center"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font>
        <b val="0"/>
        <i val="0"/>
        <strike val="0"/>
        <condense val="0"/>
        <extend val="0"/>
        <outline val="0"/>
        <shadow val="0"/>
        <u val="none"/>
        <vertAlign val="baseline"/>
        <sz val="9"/>
        <color theme="1"/>
        <name val="맑은 고딕"/>
        <scheme val="minor"/>
      </font>
      <numFmt numFmtId="0" formatCode="General"/>
      <fill>
        <patternFill patternType="none">
          <fgColor indexed="64"/>
          <bgColor auto="1"/>
        </patternFill>
      </fill>
      <alignment horizontal="center" vertical="center"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font>
        <b val="0"/>
        <i val="0"/>
        <strike val="0"/>
        <condense val="0"/>
        <extend val="0"/>
        <outline val="0"/>
        <shadow val="0"/>
        <u val="none"/>
        <vertAlign val="baseline"/>
        <sz val="9"/>
        <color theme="1"/>
        <name val="맑은 고딕"/>
        <scheme val="minor"/>
      </font>
      <numFmt numFmtId="0" formatCode="General"/>
      <fill>
        <patternFill patternType="none">
          <fgColor indexed="64"/>
          <bgColor auto="1"/>
        </patternFill>
      </fill>
      <alignment horizontal="center" vertical="center"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font>
        <b val="0"/>
        <i val="0"/>
        <strike val="0"/>
        <condense val="0"/>
        <extend val="0"/>
        <outline val="0"/>
        <shadow val="0"/>
        <u val="none"/>
        <vertAlign val="baseline"/>
        <sz val="9"/>
        <color theme="1"/>
        <name val="맑은 고딕"/>
        <scheme val="minor"/>
      </font>
      <numFmt numFmtId="0" formatCode="General"/>
      <fill>
        <patternFill patternType="none">
          <fgColor indexed="64"/>
          <bgColor auto="1"/>
        </patternFill>
      </fill>
      <alignment horizontal="center" vertical="center"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font>
        <b val="0"/>
        <i val="0"/>
        <strike val="0"/>
        <condense val="0"/>
        <extend val="0"/>
        <outline val="0"/>
        <shadow val="0"/>
        <u val="none"/>
        <vertAlign val="baseline"/>
        <sz val="9"/>
        <color theme="1"/>
        <name val="맑은 고딕"/>
        <scheme val="minor"/>
      </font>
      <numFmt numFmtId="0" formatCode="General"/>
      <fill>
        <patternFill patternType="none">
          <fgColor indexed="64"/>
          <bgColor auto="1"/>
        </patternFill>
      </fill>
      <alignment horizontal="center" vertical="center"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font>
        <b val="0"/>
        <i val="0"/>
        <strike val="0"/>
        <condense val="0"/>
        <extend val="0"/>
        <outline val="0"/>
        <shadow val="0"/>
        <u val="none"/>
        <vertAlign val="baseline"/>
        <sz val="9"/>
        <color theme="1"/>
        <name val="맑은 고딕"/>
        <scheme val="minor"/>
      </font>
      <numFmt numFmtId="0" formatCode="General"/>
      <fill>
        <patternFill patternType="none">
          <fgColor indexed="64"/>
          <bgColor auto="1"/>
        </patternFill>
      </fill>
      <alignment horizontal="center" vertical="center"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font>
        <b val="0"/>
        <i val="0"/>
        <strike val="0"/>
        <condense val="0"/>
        <extend val="0"/>
        <outline val="0"/>
        <shadow val="0"/>
        <u val="none"/>
        <vertAlign val="baseline"/>
        <sz val="9"/>
        <color theme="1"/>
        <name val="맑은 고딕"/>
        <scheme val="minor"/>
      </font>
      <numFmt numFmtId="0" formatCode="General"/>
      <fill>
        <patternFill patternType="none">
          <fgColor indexed="64"/>
          <bgColor auto="1"/>
        </patternFill>
      </fill>
      <alignment horizontal="center" vertical="center"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font>
        <b val="0"/>
        <i val="0"/>
        <strike val="0"/>
        <condense val="0"/>
        <extend val="0"/>
        <outline val="0"/>
        <shadow val="0"/>
        <u val="none"/>
        <vertAlign val="baseline"/>
        <sz val="9"/>
        <color theme="1"/>
        <name val="맑은 고딕"/>
        <scheme val="minor"/>
      </font>
      <numFmt numFmtId="0" formatCode="General"/>
      <fill>
        <patternFill patternType="none">
          <fgColor indexed="64"/>
          <bgColor auto="1"/>
        </patternFill>
      </fill>
      <alignment horizontal="center" vertical="center"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font>
        <b val="0"/>
        <i val="0"/>
        <strike val="0"/>
        <condense val="0"/>
        <extend val="0"/>
        <outline val="0"/>
        <shadow val="0"/>
        <u val="none"/>
        <vertAlign val="baseline"/>
        <sz val="9"/>
        <color theme="1"/>
        <name val="맑은 고딕"/>
        <scheme val="minor"/>
      </font>
      <numFmt numFmtId="0" formatCode="General"/>
      <fill>
        <patternFill patternType="none">
          <fgColor indexed="64"/>
          <bgColor auto="1"/>
        </patternFill>
      </fill>
      <alignment horizontal="center" vertical="center"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font>
        <b val="0"/>
        <i val="0"/>
        <strike val="0"/>
        <condense val="0"/>
        <extend val="0"/>
        <outline val="0"/>
        <shadow val="0"/>
        <u val="none"/>
        <vertAlign val="baseline"/>
        <sz val="9"/>
        <color theme="1"/>
        <name val="맑은 고딕"/>
        <scheme val="minor"/>
      </font>
      <fill>
        <patternFill patternType="none">
          <fgColor indexed="64"/>
          <bgColor auto="1"/>
        </patternFill>
      </fill>
      <alignment horizontal="center" vertical="center"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font>
        <b val="0"/>
        <i val="0"/>
        <strike val="0"/>
        <condense val="0"/>
        <extend val="0"/>
        <outline val="0"/>
        <shadow val="0"/>
        <u val="none"/>
        <vertAlign val="baseline"/>
        <sz val="9"/>
        <color rgb="FFFF0000"/>
        <name val="맑은 고딕"/>
        <scheme val="minor"/>
      </font>
      <numFmt numFmtId="0" formatCode="General"/>
      <fill>
        <patternFill patternType="none">
          <fgColor indexed="64"/>
          <bgColor auto="1"/>
        </patternFill>
      </fill>
      <alignment horizontal="left" vertical="center"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font>
        <b val="0"/>
        <i val="0"/>
        <strike val="0"/>
        <condense val="0"/>
        <extend val="0"/>
        <outline val="0"/>
        <shadow val="0"/>
        <u val="none"/>
        <vertAlign val="baseline"/>
        <sz val="9"/>
        <color theme="1"/>
        <name val="맑은 고딕"/>
        <scheme val="minor"/>
      </font>
      <numFmt numFmtId="0" formatCode="General"/>
      <fill>
        <patternFill patternType="none">
          <fgColor indexed="64"/>
          <bgColor auto="1"/>
        </patternFill>
      </fill>
      <alignment horizontal="left" vertical="center"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font>
        <b val="0"/>
        <i val="0"/>
        <strike val="0"/>
        <condense val="0"/>
        <extend val="0"/>
        <outline val="0"/>
        <shadow val="0"/>
        <u val="none"/>
        <vertAlign val="baseline"/>
        <sz val="9"/>
        <color theme="1"/>
        <name val="맑은 고딕"/>
        <scheme val="minor"/>
      </font>
      <numFmt numFmtId="0" formatCode="General"/>
      <fill>
        <patternFill patternType="none">
          <fgColor indexed="64"/>
          <bgColor auto="1"/>
        </patternFill>
      </fill>
      <alignment horizontal="center" vertical="center"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font>
        <b val="0"/>
        <i val="0"/>
        <strike val="0"/>
        <condense val="0"/>
        <extend val="0"/>
        <outline val="0"/>
        <shadow val="0"/>
        <u val="none"/>
        <vertAlign val="baseline"/>
        <sz val="9"/>
        <color theme="1"/>
        <name val="맑은 고딕"/>
        <scheme val="minor"/>
      </font>
      <numFmt numFmtId="0" formatCode="General"/>
      <fill>
        <patternFill patternType="none">
          <fgColor indexed="64"/>
          <bgColor auto="1"/>
        </patternFill>
      </fill>
      <alignment horizontal="center" vertical="center"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font>
        <b val="0"/>
        <i val="0"/>
        <strike val="0"/>
        <condense val="0"/>
        <extend val="0"/>
        <outline val="0"/>
        <shadow val="0"/>
        <u val="none"/>
        <vertAlign val="baseline"/>
        <sz val="9"/>
        <color theme="1"/>
        <name val="맑은 고딕"/>
        <scheme val="minor"/>
      </font>
      <numFmt numFmtId="178" formatCode="_-* #,##0.000_-;\-* #,##0.000_-;_-* &quot;-&quot;_-;_-@_-"/>
      <fill>
        <patternFill patternType="none">
          <fgColor indexed="64"/>
          <bgColor auto="1"/>
        </patternFill>
      </fill>
      <alignment horizontal="center" vertical="center"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font>
        <b val="0"/>
        <i val="0"/>
        <strike val="0"/>
        <condense val="0"/>
        <extend val="0"/>
        <outline val="0"/>
        <shadow val="0"/>
        <u val="none"/>
        <vertAlign val="baseline"/>
        <sz val="10"/>
        <color theme="1"/>
        <name val="맑은 고딕"/>
        <family val="3"/>
        <scheme val="minor"/>
      </font>
      <numFmt numFmtId="0" formatCode="General"/>
      <fill>
        <patternFill patternType="none">
          <fgColor indexed="64"/>
          <bgColor auto="1"/>
        </patternFill>
      </fill>
      <alignment horizontal="center" vertical="center" textRotation="0" wrapText="1"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font>
        <b val="0"/>
        <i val="0"/>
        <strike val="0"/>
        <condense val="0"/>
        <extend val="0"/>
        <outline val="0"/>
        <shadow val="0"/>
        <u val="none"/>
        <vertAlign val="baseline"/>
        <sz val="9"/>
        <color rgb="FF000000"/>
        <name val="맑은 고딕"/>
        <scheme val="minor"/>
      </font>
      <fill>
        <patternFill patternType="none">
          <fgColor indexed="64"/>
          <bgColor auto="1"/>
        </patternFill>
      </fill>
      <alignment horizontal="general" vertical="center"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font>
        <b val="0"/>
        <i val="0"/>
        <strike val="0"/>
        <condense val="0"/>
        <extend val="0"/>
        <outline val="0"/>
        <shadow val="0"/>
        <u val="none"/>
        <vertAlign val="baseline"/>
        <sz val="9"/>
        <color rgb="FF000000"/>
        <name val="맑은 고딕"/>
        <scheme val="minor"/>
      </font>
      <fill>
        <patternFill patternType="none">
          <fgColor indexed="64"/>
          <bgColor auto="1"/>
        </patternFill>
      </fill>
      <alignment horizontal="center" vertical="center"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font>
        <b val="0"/>
        <i val="0"/>
        <strike val="0"/>
        <condense val="0"/>
        <extend val="0"/>
        <outline val="0"/>
        <shadow val="0"/>
        <u val="none"/>
        <vertAlign val="baseline"/>
        <sz val="9"/>
        <color rgb="FF000000"/>
        <name val="맑은 고딕"/>
        <scheme val="minor"/>
      </font>
      <fill>
        <patternFill patternType="none">
          <fgColor indexed="64"/>
          <bgColor auto="1"/>
        </patternFill>
      </fill>
      <alignment horizontal="center" vertical="center"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font>
        <b val="0"/>
        <i val="0"/>
        <strike val="0"/>
        <condense val="0"/>
        <extend val="0"/>
        <outline val="0"/>
        <shadow val="0"/>
        <u val="none"/>
        <vertAlign val="baseline"/>
        <sz val="9"/>
        <color auto="1"/>
        <name val="맑은 고딕"/>
        <scheme val="minor"/>
      </font>
      <fill>
        <patternFill patternType="none">
          <fgColor indexed="64"/>
          <bgColor auto="1"/>
        </patternFill>
      </fill>
      <alignment horizontal="left" vertical="center"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font>
        <b val="0"/>
        <i val="0"/>
        <strike val="0"/>
        <condense val="0"/>
        <extend val="0"/>
        <outline val="0"/>
        <shadow val="0"/>
        <u val="none"/>
        <vertAlign val="baseline"/>
        <sz val="9"/>
        <color theme="1"/>
        <name val="맑은 고딕"/>
        <scheme val="minor"/>
      </font>
      <fill>
        <patternFill patternType="none">
          <fgColor indexed="64"/>
          <bgColor auto="1"/>
        </patternFill>
      </fill>
      <alignment horizontal="left" vertical="center" textRotation="0" wrapText="1"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font>
        <b val="0"/>
        <i val="0"/>
        <strike val="0"/>
        <condense val="0"/>
        <extend val="0"/>
        <outline val="0"/>
        <shadow val="0"/>
        <u val="none"/>
        <vertAlign val="baseline"/>
        <sz val="10"/>
        <color theme="1"/>
        <name val="맑은 고딕"/>
        <family val="3"/>
        <scheme val="minor"/>
      </font>
      <numFmt numFmtId="2" formatCode="0.00"/>
      <fill>
        <patternFill patternType="none">
          <fgColor indexed="64"/>
          <bgColor auto="1"/>
        </patternFill>
      </fill>
      <alignment horizontal="center" vertical="center" textRotation="0" wrapText="1"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font>
        <b val="0"/>
        <i val="0"/>
        <strike val="0"/>
        <condense val="0"/>
        <extend val="0"/>
        <outline val="0"/>
        <shadow val="0"/>
        <u val="none"/>
        <vertAlign val="baseline"/>
        <sz val="9"/>
        <color theme="1"/>
        <name val="맑은 고딕"/>
        <scheme val="minor"/>
      </font>
      <fill>
        <patternFill patternType="none">
          <fgColor indexed="64"/>
          <bgColor auto="1"/>
        </patternFill>
      </fill>
      <alignment horizontal="center" vertical="center"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font>
        <b val="0"/>
        <i val="0"/>
        <strike val="0"/>
        <condense val="0"/>
        <extend val="0"/>
        <outline val="0"/>
        <shadow val="0"/>
        <u val="none"/>
        <vertAlign val="baseline"/>
        <sz val="9"/>
        <color theme="1"/>
        <name val="맑은 고딕"/>
        <scheme val="minor"/>
      </font>
      <fill>
        <patternFill patternType="none">
          <fgColor indexed="64"/>
          <bgColor auto="1"/>
        </patternFill>
      </fill>
      <alignment horizontal="center" vertical="center"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font>
        <b val="0"/>
        <i val="0"/>
        <strike val="0"/>
        <condense val="0"/>
        <extend val="0"/>
        <outline val="0"/>
        <shadow val="0"/>
        <u val="none"/>
        <vertAlign val="baseline"/>
        <sz val="9"/>
        <color theme="1"/>
        <name val="맑은 고딕"/>
        <scheme val="minor"/>
      </font>
      <fill>
        <patternFill patternType="none">
          <fgColor indexed="64"/>
          <bgColor auto="1"/>
        </patternFill>
      </fill>
      <alignment horizontal="center" vertical="center"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font>
        <b val="0"/>
        <i val="0"/>
        <strike val="0"/>
        <condense val="0"/>
        <extend val="0"/>
        <outline val="0"/>
        <shadow val="0"/>
        <u val="none"/>
        <vertAlign val="baseline"/>
        <sz val="10"/>
        <color theme="1"/>
        <name val="맑은 고딕"/>
        <family val="3"/>
        <scheme val="minor"/>
      </font>
      <fill>
        <patternFill patternType="none">
          <fgColor indexed="64"/>
          <bgColor auto="1"/>
        </patternFill>
      </fill>
      <alignment horizontal="left" vertical="center" textRotation="0" wrapText="1"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font>
        <b val="0"/>
        <i val="0"/>
        <strike val="0"/>
        <condense val="0"/>
        <extend val="0"/>
        <outline val="0"/>
        <shadow val="0"/>
        <u val="none"/>
        <vertAlign val="baseline"/>
        <sz val="9"/>
        <color auto="1"/>
        <name val="맑은 고딕"/>
        <scheme val="minor"/>
      </font>
      <numFmt numFmtId="0" formatCode="General"/>
      <fill>
        <patternFill patternType="none">
          <fgColor indexed="64"/>
          <bgColor auto="1"/>
        </patternFill>
      </fill>
      <alignment horizontal="left" vertical="center" textRotation="0" wrapText="1"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font>
        <sz val="9"/>
      </font>
      <numFmt numFmtId="33" formatCode="_-* #,##0_-;\-* #,##0_-;_-* &quot;-&quot;_-;_-@_-"/>
      <fill>
        <patternFill patternType="none">
          <fgColor indexed="64"/>
          <bgColor indexed="65"/>
        </patternFill>
      </fill>
      <alignment horizontal="center" vertical="center"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font>
        <b val="0"/>
        <i val="0"/>
        <strike val="0"/>
        <condense val="0"/>
        <extend val="0"/>
        <outline val="0"/>
        <shadow val="0"/>
        <u val="none"/>
        <vertAlign val="baseline"/>
        <sz val="9"/>
        <color theme="1"/>
        <name val="맑은 고딕"/>
        <scheme val="minor"/>
      </font>
      <numFmt numFmtId="33" formatCode="_-* #,##0_-;\-* #,##0_-;_-* &quot;-&quot;_-;_-@_-"/>
      <fill>
        <patternFill patternType="none">
          <fgColor indexed="64"/>
          <bgColor auto="1"/>
        </patternFill>
      </fill>
      <alignment horizontal="center" vertical="center"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font>
        <b val="0"/>
        <i val="0"/>
        <strike val="0"/>
        <condense val="0"/>
        <extend val="0"/>
        <outline val="0"/>
        <shadow val="0"/>
        <u val="none"/>
        <vertAlign val="baseline"/>
        <sz val="9"/>
        <color theme="1"/>
        <name val="맑은 고딕"/>
        <scheme val="minor"/>
      </font>
      <numFmt numFmtId="33" formatCode="_-* #,##0_-;\-* #,##0_-;_-* &quot;-&quot;_-;_-@_-"/>
      <fill>
        <patternFill patternType="none">
          <fgColor indexed="64"/>
          <bgColor auto="1"/>
        </patternFill>
      </fill>
      <alignment horizontal="center" vertical="center"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fill>
        <patternFill patternType="none">
          <fgColor indexed="64"/>
          <bgColor auto="1"/>
        </patternFill>
      </fill>
      <alignment horizontal="center" vertical="center" textRotation="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font>
        <b val="0"/>
        <i val="0"/>
        <strike val="0"/>
        <condense val="0"/>
        <extend val="0"/>
        <outline val="0"/>
        <shadow val="0"/>
        <u val="none"/>
        <vertAlign val="baseline"/>
        <sz val="9"/>
        <color theme="1"/>
        <name val="맑은 고딕"/>
        <scheme val="minor"/>
      </font>
      <numFmt numFmtId="33" formatCode="_-* #,##0_-;\-* #,##0_-;_-* &quot;-&quot;_-;_-@_-"/>
      <fill>
        <patternFill patternType="none">
          <fgColor indexed="64"/>
          <bgColor auto="1"/>
        </patternFill>
      </fill>
      <alignment horizontal="center" vertical="center"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font>
        <b val="0"/>
        <i val="0"/>
        <strike val="0"/>
        <condense val="0"/>
        <extend val="0"/>
        <outline val="0"/>
        <shadow val="0"/>
        <u val="none"/>
        <vertAlign val="baseline"/>
        <sz val="9"/>
        <color theme="1"/>
        <name val="맑은 고딕"/>
        <scheme val="minor"/>
      </font>
      <numFmt numFmtId="177" formatCode="_-* #,##0.00_-;\-* #,##0.00_-;_-* &quot;-&quot;_-;_-@_-"/>
      <fill>
        <patternFill patternType="none">
          <fgColor indexed="64"/>
          <bgColor auto="1"/>
        </patternFill>
      </fill>
      <alignment horizontal="center" vertical="center"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font>
        <b val="0"/>
        <i val="0"/>
        <strike val="0"/>
        <condense val="0"/>
        <extend val="0"/>
        <outline val="0"/>
        <shadow val="0"/>
        <u val="none"/>
        <vertAlign val="baseline"/>
        <sz val="10"/>
        <color theme="1"/>
        <name val="맑은 고딕"/>
        <family val="3"/>
        <scheme val="minor"/>
      </font>
      <fill>
        <patternFill patternType="none">
          <fgColor indexed="64"/>
          <bgColor auto="1"/>
        </patternFill>
      </fill>
      <alignment horizontal="center" vertical="center" textRotation="0" wrapText="1" indent="0" justifyLastLine="0" shrinkToFit="0" readingOrder="0"/>
      <border diagonalUp="0" diagonalDown="0">
        <left style="hair">
          <color rgb="FF000000"/>
        </left>
        <right style="hair">
          <color rgb="FF000000"/>
        </right>
        <top style="hair">
          <color rgb="FF000000"/>
        </top>
        <bottom style="hair">
          <color rgb="FF000000"/>
        </bottom>
        <vertical/>
        <horizontal style="hair">
          <color rgb="FF000000"/>
        </horizontal>
      </border>
    </dxf>
    <dxf>
      <font>
        <b val="0"/>
        <i val="0"/>
        <strike val="0"/>
        <condense val="0"/>
        <extend val="0"/>
        <outline val="0"/>
        <shadow val="0"/>
        <u val="none"/>
        <vertAlign val="baseline"/>
        <sz val="9"/>
        <color theme="1"/>
        <name val="맑은 고딕"/>
        <scheme val="minor"/>
      </font>
      <fill>
        <patternFill patternType="none">
          <fgColor indexed="64"/>
          <bgColor auto="1"/>
        </patternFill>
      </fill>
      <alignment horizontal="left" vertical="center"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font>
        <b val="0"/>
        <i val="0"/>
        <strike val="0"/>
        <condense val="0"/>
        <extend val="0"/>
        <outline val="0"/>
        <shadow val="0"/>
        <u val="none"/>
        <vertAlign val="baseline"/>
        <sz val="9"/>
        <color theme="1"/>
        <name val="맑은 고딕"/>
        <scheme val="minor"/>
      </font>
      <fill>
        <patternFill patternType="none">
          <fgColor indexed="64"/>
          <bgColor auto="1"/>
        </patternFill>
      </fill>
      <alignment horizontal="left" vertical="center"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font>
        <b val="0"/>
        <i val="0"/>
        <strike val="0"/>
        <condense val="0"/>
        <extend val="0"/>
        <outline val="0"/>
        <shadow val="0"/>
        <u val="none"/>
        <vertAlign val="baseline"/>
        <sz val="9"/>
        <color theme="1"/>
        <name val="맑은 고딕"/>
        <scheme val="minor"/>
      </font>
      <fill>
        <patternFill patternType="none">
          <fgColor indexed="64"/>
          <bgColor auto="1"/>
        </patternFill>
      </fill>
      <alignment horizontal="left" vertical="center"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font>
        <b val="0"/>
        <i val="0"/>
        <strike val="0"/>
        <condense val="0"/>
        <extend val="0"/>
        <outline val="0"/>
        <shadow val="0"/>
        <u val="none"/>
        <vertAlign val="baseline"/>
        <sz val="9"/>
        <color theme="1"/>
        <name val="맑은 고딕"/>
        <scheme val="minor"/>
      </font>
      <fill>
        <patternFill patternType="none">
          <fgColor indexed="64"/>
          <bgColor auto="1"/>
        </patternFill>
      </fill>
      <alignment horizontal="left" vertical="center"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font>
        <b val="0"/>
        <i val="0"/>
        <strike val="0"/>
        <condense val="0"/>
        <extend val="0"/>
        <outline val="0"/>
        <shadow val="0"/>
        <u val="none"/>
        <vertAlign val="baseline"/>
        <sz val="9"/>
        <color theme="1"/>
        <name val="맑은 고딕"/>
        <scheme val="minor"/>
      </font>
      <fill>
        <patternFill patternType="none">
          <fgColor indexed="64"/>
          <bgColor auto="1"/>
        </patternFill>
      </fill>
      <alignment horizontal="left" vertical="center"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font>
        <b val="0"/>
        <i val="0"/>
        <strike val="0"/>
        <condense val="0"/>
        <extend val="0"/>
        <outline val="0"/>
        <shadow val="0"/>
        <u val="none"/>
        <vertAlign val="baseline"/>
        <sz val="9"/>
        <color theme="1"/>
        <name val="맑은 고딕"/>
        <scheme val="minor"/>
      </font>
      <fill>
        <patternFill patternType="none">
          <fgColor indexed="64"/>
          <bgColor auto="1"/>
        </patternFill>
      </fill>
      <alignment horizontal="left" vertical="center"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font>
        <b val="0"/>
        <i val="0"/>
        <strike val="0"/>
        <condense val="0"/>
        <extend val="0"/>
        <outline val="0"/>
        <shadow val="0"/>
        <u val="none"/>
        <vertAlign val="baseline"/>
        <sz val="9"/>
        <color theme="1"/>
        <name val="맑은 고딕"/>
        <scheme val="minor"/>
      </font>
      <fill>
        <patternFill patternType="none">
          <fgColor indexed="64"/>
          <bgColor auto="1"/>
        </patternFill>
      </fill>
      <alignment horizontal="left" vertical="center"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font>
        <b val="0"/>
        <i val="0"/>
        <strike val="0"/>
        <condense val="0"/>
        <extend val="0"/>
        <outline val="0"/>
        <shadow val="0"/>
        <u val="none"/>
        <vertAlign val="baseline"/>
        <sz val="9"/>
        <color theme="1"/>
        <name val="맑은 고딕"/>
        <scheme val="minor"/>
      </font>
      <fill>
        <patternFill patternType="none">
          <fgColor indexed="64"/>
          <bgColor auto="1"/>
        </patternFill>
      </fill>
      <alignment horizontal="left" vertical="center"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font>
        <b val="0"/>
        <i val="0"/>
        <strike val="0"/>
        <condense val="0"/>
        <extend val="0"/>
        <outline val="0"/>
        <shadow val="0"/>
        <u val="none"/>
        <vertAlign val="baseline"/>
        <sz val="9"/>
        <color theme="1"/>
        <name val="맑은 고딕"/>
        <scheme val="minor"/>
      </font>
      <fill>
        <patternFill patternType="none">
          <fgColor indexed="64"/>
          <bgColor auto="1"/>
        </patternFill>
      </fill>
      <alignment horizontal="left" vertical="center"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font>
        <b val="0"/>
        <i val="0"/>
        <strike val="0"/>
        <condense val="0"/>
        <extend val="0"/>
        <outline val="0"/>
        <shadow val="0"/>
        <u val="none"/>
        <vertAlign val="baseline"/>
        <sz val="9"/>
        <color theme="1"/>
        <name val="맑은 고딕"/>
        <scheme val="minor"/>
      </font>
      <fill>
        <patternFill patternType="none">
          <fgColor indexed="64"/>
          <bgColor auto="1"/>
        </patternFill>
      </fill>
      <alignment horizontal="left" vertical="center"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font>
        <b val="0"/>
        <i val="0"/>
        <strike val="0"/>
        <condense val="0"/>
        <extend val="0"/>
        <outline val="0"/>
        <shadow val="0"/>
        <u val="none"/>
        <vertAlign val="baseline"/>
        <sz val="9"/>
        <color theme="1"/>
        <name val="맑은 고딕"/>
        <scheme val="minor"/>
      </font>
      <fill>
        <patternFill patternType="none">
          <fgColor indexed="64"/>
          <bgColor auto="1"/>
        </patternFill>
      </fill>
      <alignment horizontal="left" vertical="center" textRotation="0" wrapText="1"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font>
        <b val="0"/>
        <i val="0"/>
        <strike val="0"/>
        <condense val="0"/>
        <extend val="0"/>
        <outline val="0"/>
        <shadow val="0"/>
        <u val="none"/>
        <vertAlign val="baseline"/>
        <sz val="9"/>
        <color theme="1"/>
        <name val="맑은 고딕"/>
        <scheme val="minor"/>
      </font>
      <fill>
        <patternFill patternType="none">
          <fgColor indexed="64"/>
          <bgColor auto="1"/>
        </patternFill>
      </fill>
      <alignment horizontal="left" vertical="center"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font>
        <b val="0"/>
        <i val="0"/>
        <strike val="0"/>
        <condense val="0"/>
        <extend val="0"/>
        <outline val="0"/>
        <shadow val="0"/>
        <u val="none"/>
        <vertAlign val="baseline"/>
        <sz val="9"/>
        <color theme="1"/>
        <name val="맑은 고딕"/>
        <scheme val="minor"/>
      </font>
      <fill>
        <patternFill patternType="none">
          <fgColor indexed="64"/>
          <bgColor auto="1"/>
        </patternFill>
      </fill>
      <alignment horizontal="left" vertical="center"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font>
        <b val="0"/>
        <i val="0"/>
        <strike val="0"/>
        <condense val="0"/>
        <extend val="0"/>
        <outline val="0"/>
        <shadow val="0"/>
        <u val="none"/>
        <vertAlign val="baseline"/>
        <sz val="9"/>
        <color auto="1"/>
        <name val="맑은 고딕"/>
        <scheme val="minor"/>
      </font>
      <numFmt numFmtId="0" formatCode="General"/>
      <fill>
        <patternFill patternType="none">
          <fgColor indexed="64"/>
          <bgColor auto="1"/>
        </patternFill>
      </fill>
      <alignment horizontal="center" vertical="center"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font>
        <b val="0"/>
        <i val="0"/>
        <strike val="0"/>
        <condense val="0"/>
        <extend val="0"/>
        <outline val="0"/>
        <shadow val="0"/>
        <u val="none"/>
        <vertAlign val="baseline"/>
        <sz val="9"/>
        <color theme="1"/>
        <name val="맑은 고딕"/>
        <scheme val="minor"/>
      </font>
      <fill>
        <patternFill patternType="none">
          <fgColor indexed="64"/>
          <bgColor auto="1"/>
        </patternFill>
      </fill>
      <alignment horizontal="center" vertical="center"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border>
        <top style="hair">
          <color indexed="64"/>
        </top>
      </border>
    </dxf>
    <dxf>
      <border diagonalUp="0" diagonalDown="0">
        <left style="hair">
          <color indexed="64"/>
        </left>
        <right style="hair">
          <color indexed="64"/>
        </right>
        <top style="hair">
          <color indexed="64"/>
        </top>
        <bottom style="hair">
          <color indexed="64"/>
        </bottom>
      </border>
    </dxf>
    <dxf>
      <font>
        <b val="0"/>
        <i val="0"/>
        <strike val="0"/>
        <condense val="0"/>
        <extend val="0"/>
        <outline val="0"/>
        <shadow val="0"/>
        <u val="none"/>
        <vertAlign val="baseline"/>
        <sz val="9"/>
        <color theme="1"/>
        <name val="맑은 고딕"/>
        <scheme val="minor"/>
      </font>
      <fill>
        <patternFill patternType="none">
          <bgColor auto="1"/>
        </patternFill>
      </fill>
      <alignment horizontal="center" vertical="center" textRotation="0" wrapText="0" indent="0" justifyLastLine="0" shrinkToFit="0" readingOrder="0"/>
    </dxf>
    <dxf>
      <border>
        <bottom style="hair">
          <color indexed="64"/>
        </bottom>
      </border>
    </dxf>
    <dxf>
      <font>
        <b/>
        <i val="0"/>
        <strike val="0"/>
        <condense val="0"/>
        <extend val="0"/>
        <outline val="0"/>
        <shadow val="0"/>
        <u val="none"/>
        <vertAlign val="baseline"/>
        <sz val="9"/>
        <color theme="0"/>
        <name val="맑은 고딕"/>
        <scheme val="minor"/>
      </font>
      <fill>
        <patternFill patternType="solid">
          <fgColor indexed="64"/>
          <bgColor theme="3" tint="-0.249977111117893"/>
        </patternFill>
      </fill>
      <alignment horizontal="center" vertical="center" textRotation="0" wrapText="1" indent="0" justifyLastLine="0" shrinkToFit="0" readingOrder="0"/>
      <border diagonalUp="0" diagonalDown="0">
        <left style="hair">
          <color indexed="64"/>
        </left>
        <right style="hair">
          <color indexed="64"/>
        </right>
        <top/>
        <bottom/>
        <vertical style="hair">
          <color indexed="64"/>
        </vertical>
        <horizontal style="hair">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oneCellAnchor>
    <xdr:from>
      <xdr:col>37</xdr:col>
      <xdr:colOff>0</xdr:colOff>
      <xdr:row>7</xdr:row>
      <xdr:rowOff>0</xdr:rowOff>
    </xdr:from>
    <xdr:ext cx="304800" cy="304800"/>
    <xdr:sp macro="" textlink="">
      <xdr:nvSpPr>
        <xdr:cNvPr id="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2000000}"/>
            </a:ext>
          </a:extLst>
        </xdr:cNvPr>
        <xdr:cNvSpPr>
          <a:spLocks noChangeAspect="1" noChangeArrowheads="1"/>
        </xdr:cNvSpPr>
      </xdr:nvSpPr>
      <xdr:spPr bwMode="auto">
        <a:xfrm>
          <a:off x="39300150" y="2228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xdr:row>
      <xdr:rowOff>0</xdr:rowOff>
    </xdr:from>
    <xdr:ext cx="304800" cy="304800"/>
    <xdr:sp macro="" textlink="">
      <xdr:nvSpPr>
        <xdr:cNvPr id="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3000000}"/>
            </a:ext>
          </a:extLst>
        </xdr:cNvPr>
        <xdr:cNvSpPr>
          <a:spLocks noChangeAspect="1" noChangeArrowheads="1"/>
        </xdr:cNvSpPr>
      </xdr:nvSpPr>
      <xdr:spPr bwMode="auto">
        <a:xfrm>
          <a:off x="39300150" y="2228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8</xdr:row>
      <xdr:rowOff>0</xdr:rowOff>
    </xdr:from>
    <xdr:ext cx="304800" cy="304800"/>
    <xdr:sp macro="" textlink="">
      <xdr:nvSpPr>
        <xdr:cNvPr id="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4000000}"/>
            </a:ext>
          </a:extLst>
        </xdr:cNvPr>
        <xdr:cNvSpPr>
          <a:spLocks noChangeAspect="1" noChangeArrowheads="1"/>
        </xdr:cNvSpPr>
      </xdr:nvSpPr>
      <xdr:spPr bwMode="auto">
        <a:xfrm>
          <a:off x="39300150" y="25241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8</xdr:row>
      <xdr:rowOff>0</xdr:rowOff>
    </xdr:from>
    <xdr:ext cx="304800" cy="304800"/>
    <xdr:sp macro="" textlink="">
      <xdr:nvSpPr>
        <xdr:cNvPr id="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5000000}"/>
            </a:ext>
          </a:extLst>
        </xdr:cNvPr>
        <xdr:cNvSpPr>
          <a:spLocks noChangeAspect="1" noChangeArrowheads="1"/>
        </xdr:cNvSpPr>
      </xdr:nvSpPr>
      <xdr:spPr bwMode="auto">
        <a:xfrm>
          <a:off x="39300150" y="25241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9</xdr:row>
      <xdr:rowOff>0</xdr:rowOff>
    </xdr:from>
    <xdr:ext cx="304800" cy="304800"/>
    <xdr:sp macro="" textlink="">
      <xdr:nvSpPr>
        <xdr:cNvPr id="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6000000}"/>
            </a:ext>
          </a:extLst>
        </xdr:cNvPr>
        <xdr:cNvSpPr>
          <a:spLocks noChangeAspect="1" noChangeArrowheads="1"/>
        </xdr:cNvSpPr>
      </xdr:nvSpPr>
      <xdr:spPr bwMode="auto">
        <a:xfrm>
          <a:off x="39300150" y="2819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9</xdr:row>
      <xdr:rowOff>0</xdr:rowOff>
    </xdr:from>
    <xdr:ext cx="304800" cy="304800"/>
    <xdr:sp macro="" textlink="">
      <xdr:nvSpPr>
        <xdr:cNvPr id="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7000000}"/>
            </a:ext>
          </a:extLst>
        </xdr:cNvPr>
        <xdr:cNvSpPr>
          <a:spLocks noChangeAspect="1" noChangeArrowheads="1"/>
        </xdr:cNvSpPr>
      </xdr:nvSpPr>
      <xdr:spPr bwMode="auto">
        <a:xfrm>
          <a:off x="39300150" y="2819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10</xdr:row>
      <xdr:rowOff>0</xdr:rowOff>
    </xdr:from>
    <xdr:ext cx="304800" cy="304800"/>
    <xdr:sp macro="" textlink="">
      <xdr:nvSpPr>
        <xdr:cNvPr id="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8000000}"/>
            </a:ext>
          </a:extLst>
        </xdr:cNvPr>
        <xdr:cNvSpPr>
          <a:spLocks noChangeAspect="1" noChangeArrowheads="1"/>
        </xdr:cNvSpPr>
      </xdr:nvSpPr>
      <xdr:spPr bwMode="auto">
        <a:xfrm>
          <a:off x="39300150" y="3114675"/>
          <a:ext cx="304800" cy="304800"/>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ko-KR" altLang="en-US"/>
        </a:p>
      </xdr:txBody>
    </xdr:sp>
    <xdr:clientData/>
  </xdr:oneCellAnchor>
  <xdr:oneCellAnchor>
    <xdr:from>
      <xdr:col>37</xdr:col>
      <xdr:colOff>0</xdr:colOff>
      <xdr:row>10</xdr:row>
      <xdr:rowOff>0</xdr:rowOff>
    </xdr:from>
    <xdr:ext cx="304800" cy="304800"/>
    <xdr:sp macro="" textlink="">
      <xdr:nvSpPr>
        <xdr:cNvPr id="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9000000}"/>
            </a:ext>
          </a:extLst>
        </xdr:cNvPr>
        <xdr:cNvSpPr>
          <a:spLocks noChangeAspect="1" noChangeArrowheads="1"/>
        </xdr:cNvSpPr>
      </xdr:nvSpPr>
      <xdr:spPr bwMode="auto">
        <a:xfrm>
          <a:off x="39300150" y="31146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11</xdr:row>
      <xdr:rowOff>0</xdr:rowOff>
    </xdr:from>
    <xdr:ext cx="304800" cy="304800"/>
    <xdr:sp macro="" textlink="">
      <xdr:nvSpPr>
        <xdr:cNvPr id="1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A000000}"/>
            </a:ext>
          </a:extLst>
        </xdr:cNvPr>
        <xdr:cNvSpPr>
          <a:spLocks noChangeAspect="1" noChangeArrowheads="1"/>
        </xdr:cNvSpPr>
      </xdr:nvSpPr>
      <xdr:spPr bwMode="auto">
        <a:xfrm>
          <a:off x="39300150" y="3409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11</xdr:row>
      <xdr:rowOff>0</xdr:rowOff>
    </xdr:from>
    <xdr:ext cx="304800" cy="304800"/>
    <xdr:sp macro="" textlink="">
      <xdr:nvSpPr>
        <xdr:cNvPr id="1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B000000}"/>
            </a:ext>
          </a:extLst>
        </xdr:cNvPr>
        <xdr:cNvSpPr>
          <a:spLocks noChangeAspect="1" noChangeArrowheads="1"/>
        </xdr:cNvSpPr>
      </xdr:nvSpPr>
      <xdr:spPr bwMode="auto">
        <a:xfrm>
          <a:off x="39300150" y="3409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12</xdr:row>
      <xdr:rowOff>0</xdr:rowOff>
    </xdr:from>
    <xdr:ext cx="304800" cy="304800"/>
    <xdr:sp macro="" textlink="">
      <xdr:nvSpPr>
        <xdr:cNvPr id="1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C000000}"/>
            </a:ext>
          </a:extLst>
        </xdr:cNvPr>
        <xdr:cNvSpPr>
          <a:spLocks noChangeAspect="1" noChangeArrowheads="1"/>
        </xdr:cNvSpPr>
      </xdr:nvSpPr>
      <xdr:spPr bwMode="auto">
        <a:xfrm>
          <a:off x="39300150" y="3705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12</xdr:row>
      <xdr:rowOff>0</xdr:rowOff>
    </xdr:from>
    <xdr:ext cx="304800" cy="304800"/>
    <xdr:sp macro="" textlink="">
      <xdr:nvSpPr>
        <xdr:cNvPr id="1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D000000}"/>
            </a:ext>
          </a:extLst>
        </xdr:cNvPr>
        <xdr:cNvSpPr>
          <a:spLocks noChangeAspect="1" noChangeArrowheads="1"/>
        </xdr:cNvSpPr>
      </xdr:nvSpPr>
      <xdr:spPr bwMode="auto">
        <a:xfrm>
          <a:off x="39300150" y="3705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13</xdr:row>
      <xdr:rowOff>0</xdr:rowOff>
    </xdr:from>
    <xdr:ext cx="304800" cy="304800"/>
    <xdr:sp macro="" textlink="">
      <xdr:nvSpPr>
        <xdr:cNvPr id="1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E000000}"/>
            </a:ext>
          </a:extLst>
        </xdr:cNvPr>
        <xdr:cNvSpPr>
          <a:spLocks noChangeAspect="1" noChangeArrowheads="1"/>
        </xdr:cNvSpPr>
      </xdr:nvSpPr>
      <xdr:spPr bwMode="auto">
        <a:xfrm>
          <a:off x="39300150" y="400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13</xdr:row>
      <xdr:rowOff>0</xdr:rowOff>
    </xdr:from>
    <xdr:ext cx="304800" cy="304800"/>
    <xdr:sp macro="" textlink="">
      <xdr:nvSpPr>
        <xdr:cNvPr id="1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F000000}"/>
            </a:ext>
          </a:extLst>
        </xdr:cNvPr>
        <xdr:cNvSpPr>
          <a:spLocks noChangeAspect="1" noChangeArrowheads="1"/>
        </xdr:cNvSpPr>
      </xdr:nvSpPr>
      <xdr:spPr bwMode="auto">
        <a:xfrm>
          <a:off x="39300150" y="400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14</xdr:row>
      <xdr:rowOff>0</xdr:rowOff>
    </xdr:from>
    <xdr:ext cx="304800" cy="304800"/>
    <xdr:sp macro="" textlink="">
      <xdr:nvSpPr>
        <xdr:cNvPr id="1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0000000}"/>
            </a:ext>
          </a:extLst>
        </xdr:cNvPr>
        <xdr:cNvSpPr>
          <a:spLocks noChangeAspect="1" noChangeArrowheads="1"/>
        </xdr:cNvSpPr>
      </xdr:nvSpPr>
      <xdr:spPr bwMode="auto">
        <a:xfrm>
          <a:off x="39300150" y="42957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14</xdr:row>
      <xdr:rowOff>0</xdr:rowOff>
    </xdr:from>
    <xdr:ext cx="304800" cy="304800"/>
    <xdr:sp macro="" textlink="">
      <xdr:nvSpPr>
        <xdr:cNvPr id="1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1000000}"/>
            </a:ext>
          </a:extLst>
        </xdr:cNvPr>
        <xdr:cNvSpPr>
          <a:spLocks noChangeAspect="1" noChangeArrowheads="1"/>
        </xdr:cNvSpPr>
      </xdr:nvSpPr>
      <xdr:spPr bwMode="auto">
        <a:xfrm>
          <a:off x="39300150" y="42957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15</xdr:row>
      <xdr:rowOff>0</xdr:rowOff>
    </xdr:from>
    <xdr:ext cx="304800" cy="304800"/>
    <xdr:sp macro="" textlink="">
      <xdr:nvSpPr>
        <xdr:cNvPr id="1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2000000}"/>
            </a:ext>
          </a:extLst>
        </xdr:cNvPr>
        <xdr:cNvSpPr>
          <a:spLocks noChangeAspect="1" noChangeArrowheads="1"/>
        </xdr:cNvSpPr>
      </xdr:nvSpPr>
      <xdr:spPr bwMode="auto">
        <a:xfrm>
          <a:off x="39300150" y="4591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15</xdr:row>
      <xdr:rowOff>0</xdr:rowOff>
    </xdr:from>
    <xdr:ext cx="304800" cy="304800"/>
    <xdr:sp macro="" textlink="">
      <xdr:nvSpPr>
        <xdr:cNvPr id="1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3000000}"/>
            </a:ext>
          </a:extLst>
        </xdr:cNvPr>
        <xdr:cNvSpPr>
          <a:spLocks noChangeAspect="1" noChangeArrowheads="1"/>
        </xdr:cNvSpPr>
      </xdr:nvSpPr>
      <xdr:spPr bwMode="auto">
        <a:xfrm>
          <a:off x="39300150" y="4591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16</xdr:row>
      <xdr:rowOff>0</xdr:rowOff>
    </xdr:from>
    <xdr:ext cx="304800" cy="304800"/>
    <xdr:sp macro="" textlink="">
      <xdr:nvSpPr>
        <xdr:cNvPr id="2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4000000}"/>
            </a:ext>
          </a:extLst>
        </xdr:cNvPr>
        <xdr:cNvSpPr>
          <a:spLocks noChangeAspect="1" noChangeArrowheads="1"/>
        </xdr:cNvSpPr>
      </xdr:nvSpPr>
      <xdr:spPr bwMode="auto">
        <a:xfrm>
          <a:off x="39300150" y="4886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16</xdr:row>
      <xdr:rowOff>0</xdr:rowOff>
    </xdr:from>
    <xdr:ext cx="304800" cy="304800"/>
    <xdr:sp macro="" textlink="">
      <xdr:nvSpPr>
        <xdr:cNvPr id="2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5000000}"/>
            </a:ext>
          </a:extLst>
        </xdr:cNvPr>
        <xdr:cNvSpPr>
          <a:spLocks noChangeAspect="1" noChangeArrowheads="1"/>
        </xdr:cNvSpPr>
      </xdr:nvSpPr>
      <xdr:spPr bwMode="auto">
        <a:xfrm>
          <a:off x="39300150" y="4886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17</xdr:row>
      <xdr:rowOff>0</xdr:rowOff>
    </xdr:from>
    <xdr:ext cx="304800" cy="304800"/>
    <xdr:sp macro="" textlink="">
      <xdr:nvSpPr>
        <xdr:cNvPr id="2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6000000}"/>
            </a:ext>
          </a:extLst>
        </xdr:cNvPr>
        <xdr:cNvSpPr>
          <a:spLocks noChangeAspect="1" noChangeArrowheads="1"/>
        </xdr:cNvSpPr>
      </xdr:nvSpPr>
      <xdr:spPr bwMode="auto">
        <a:xfrm>
          <a:off x="39300150" y="5181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17</xdr:row>
      <xdr:rowOff>0</xdr:rowOff>
    </xdr:from>
    <xdr:ext cx="304800" cy="304800"/>
    <xdr:sp macro="" textlink="">
      <xdr:nvSpPr>
        <xdr:cNvPr id="2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7000000}"/>
            </a:ext>
          </a:extLst>
        </xdr:cNvPr>
        <xdr:cNvSpPr>
          <a:spLocks noChangeAspect="1" noChangeArrowheads="1"/>
        </xdr:cNvSpPr>
      </xdr:nvSpPr>
      <xdr:spPr bwMode="auto">
        <a:xfrm>
          <a:off x="39300150" y="5181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18</xdr:row>
      <xdr:rowOff>0</xdr:rowOff>
    </xdr:from>
    <xdr:ext cx="304800" cy="304800"/>
    <xdr:sp macro="" textlink="">
      <xdr:nvSpPr>
        <xdr:cNvPr id="2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8000000}"/>
            </a:ext>
          </a:extLst>
        </xdr:cNvPr>
        <xdr:cNvSpPr>
          <a:spLocks noChangeAspect="1" noChangeArrowheads="1"/>
        </xdr:cNvSpPr>
      </xdr:nvSpPr>
      <xdr:spPr bwMode="auto">
        <a:xfrm>
          <a:off x="39300150" y="5476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18</xdr:row>
      <xdr:rowOff>0</xdr:rowOff>
    </xdr:from>
    <xdr:ext cx="304800" cy="304800"/>
    <xdr:sp macro="" textlink="">
      <xdr:nvSpPr>
        <xdr:cNvPr id="2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9000000}"/>
            </a:ext>
          </a:extLst>
        </xdr:cNvPr>
        <xdr:cNvSpPr>
          <a:spLocks noChangeAspect="1" noChangeArrowheads="1"/>
        </xdr:cNvSpPr>
      </xdr:nvSpPr>
      <xdr:spPr bwMode="auto">
        <a:xfrm>
          <a:off x="39300150" y="5476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18</xdr:row>
      <xdr:rowOff>0</xdr:rowOff>
    </xdr:from>
    <xdr:ext cx="304800" cy="304800"/>
    <xdr:sp macro="" textlink="">
      <xdr:nvSpPr>
        <xdr:cNvPr id="2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A000000}"/>
            </a:ext>
          </a:extLst>
        </xdr:cNvPr>
        <xdr:cNvSpPr>
          <a:spLocks noChangeAspect="1" noChangeArrowheads="1"/>
        </xdr:cNvSpPr>
      </xdr:nvSpPr>
      <xdr:spPr bwMode="auto">
        <a:xfrm>
          <a:off x="39300150" y="5772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18</xdr:row>
      <xdr:rowOff>0</xdr:rowOff>
    </xdr:from>
    <xdr:ext cx="304800" cy="304800"/>
    <xdr:sp macro="" textlink="">
      <xdr:nvSpPr>
        <xdr:cNvPr id="2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B000000}"/>
            </a:ext>
          </a:extLst>
        </xdr:cNvPr>
        <xdr:cNvSpPr>
          <a:spLocks noChangeAspect="1" noChangeArrowheads="1"/>
        </xdr:cNvSpPr>
      </xdr:nvSpPr>
      <xdr:spPr bwMode="auto">
        <a:xfrm>
          <a:off x="39300150" y="5772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18</xdr:row>
      <xdr:rowOff>0</xdr:rowOff>
    </xdr:from>
    <xdr:ext cx="304800" cy="304800"/>
    <xdr:sp macro="" textlink="">
      <xdr:nvSpPr>
        <xdr:cNvPr id="2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C000000}"/>
            </a:ext>
          </a:extLst>
        </xdr:cNvPr>
        <xdr:cNvSpPr>
          <a:spLocks noChangeAspect="1" noChangeArrowheads="1"/>
        </xdr:cNvSpPr>
      </xdr:nvSpPr>
      <xdr:spPr bwMode="auto">
        <a:xfrm>
          <a:off x="39300150" y="60674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18</xdr:row>
      <xdr:rowOff>0</xdr:rowOff>
    </xdr:from>
    <xdr:ext cx="304800" cy="304800"/>
    <xdr:sp macro="" textlink="">
      <xdr:nvSpPr>
        <xdr:cNvPr id="2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D000000}"/>
            </a:ext>
          </a:extLst>
        </xdr:cNvPr>
        <xdr:cNvSpPr>
          <a:spLocks noChangeAspect="1" noChangeArrowheads="1"/>
        </xdr:cNvSpPr>
      </xdr:nvSpPr>
      <xdr:spPr bwMode="auto">
        <a:xfrm>
          <a:off x="39300150" y="60674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18</xdr:row>
      <xdr:rowOff>0</xdr:rowOff>
    </xdr:from>
    <xdr:ext cx="304800" cy="304800"/>
    <xdr:sp macro="" textlink="">
      <xdr:nvSpPr>
        <xdr:cNvPr id="3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E000000}"/>
            </a:ext>
          </a:extLst>
        </xdr:cNvPr>
        <xdr:cNvSpPr>
          <a:spLocks noChangeAspect="1" noChangeArrowheads="1"/>
        </xdr:cNvSpPr>
      </xdr:nvSpPr>
      <xdr:spPr bwMode="auto">
        <a:xfrm>
          <a:off x="39300150" y="6362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18</xdr:row>
      <xdr:rowOff>0</xdr:rowOff>
    </xdr:from>
    <xdr:ext cx="304800" cy="304800"/>
    <xdr:sp macro="" textlink="">
      <xdr:nvSpPr>
        <xdr:cNvPr id="3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F000000}"/>
            </a:ext>
          </a:extLst>
        </xdr:cNvPr>
        <xdr:cNvSpPr>
          <a:spLocks noChangeAspect="1" noChangeArrowheads="1"/>
        </xdr:cNvSpPr>
      </xdr:nvSpPr>
      <xdr:spPr bwMode="auto">
        <a:xfrm>
          <a:off x="39300150" y="6362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18</xdr:row>
      <xdr:rowOff>0</xdr:rowOff>
    </xdr:from>
    <xdr:ext cx="304800" cy="304800"/>
    <xdr:sp macro="" textlink="">
      <xdr:nvSpPr>
        <xdr:cNvPr id="3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0000000}"/>
            </a:ext>
          </a:extLst>
        </xdr:cNvPr>
        <xdr:cNvSpPr>
          <a:spLocks noChangeAspect="1" noChangeArrowheads="1"/>
        </xdr:cNvSpPr>
      </xdr:nvSpPr>
      <xdr:spPr bwMode="auto">
        <a:xfrm>
          <a:off x="39300150" y="66579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18</xdr:row>
      <xdr:rowOff>0</xdr:rowOff>
    </xdr:from>
    <xdr:ext cx="304800" cy="304800"/>
    <xdr:sp macro="" textlink="">
      <xdr:nvSpPr>
        <xdr:cNvPr id="3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1000000}"/>
            </a:ext>
          </a:extLst>
        </xdr:cNvPr>
        <xdr:cNvSpPr>
          <a:spLocks noChangeAspect="1" noChangeArrowheads="1"/>
        </xdr:cNvSpPr>
      </xdr:nvSpPr>
      <xdr:spPr bwMode="auto">
        <a:xfrm>
          <a:off x="39300150" y="66579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18</xdr:row>
      <xdr:rowOff>0</xdr:rowOff>
    </xdr:from>
    <xdr:ext cx="304800" cy="304800"/>
    <xdr:sp macro="" textlink="">
      <xdr:nvSpPr>
        <xdr:cNvPr id="3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2000000}"/>
            </a:ext>
          </a:extLst>
        </xdr:cNvPr>
        <xdr:cNvSpPr>
          <a:spLocks noChangeAspect="1" noChangeArrowheads="1"/>
        </xdr:cNvSpPr>
      </xdr:nvSpPr>
      <xdr:spPr bwMode="auto">
        <a:xfrm>
          <a:off x="39300150" y="6953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18</xdr:row>
      <xdr:rowOff>0</xdr:rowOff>
    </xdr:from>
    <xdr:ext cx="304800" cy="304800"/>
    <xdr:sp macro="" textlink="">
      <xdr:nvSpPr>
        <xdr:cNvPr id="3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3000000}"/>
            </a:ext>
          </a:extLst>
        </xdr:cNvPr>
        <xdr:cNvSpPr>
          <a:spLocks noChangeAspect="1" noChangeArrowheads="1"/>
        </xdr:cNvSpPr>
      </xdr:nvSpPr>
      <xdr:spPr bwMode="auto">
        <a:xfrm>
          <a:off x="39300150" y="6953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18</xdr:row>
      <xdr:rowOff>0</xdr:rowOff>
    </xdr:from>
    <xdr:ext cx="304800" cy="304800"/>
    <xdr:sp macro="" textlink="">
      <xdr:nvSpPr>
        <xdr:cNvPr id="3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4000000}"/>
            </a:ext>
          </a:extLst>
        </xdr:cNvPr>
        <xdr:cNvSpPr>
          <a:spLocks noChangeAspect="1" noChangeArrowheads="1"/>
        </xdr:cNvSpPr>
      </xdr:nvSpPr>
      <xdr:spPr bwMode="auto">
        <a:xfrm>
          <a:off x="39300150" y="7248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18</xdr:row>
      <xdr:rowOff>0</xdr:rowOff>
    </xdr:from>
    <xdr:ext cx="304800" cy="304800"/>
    <xdr:sp macro="" textlink="">
      <xdr:nvSpPr>
        <xdr:cNvPr id="3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5000000}"/>
            </a:ext>
          </a:extLst>
        </xdr:cNvPr>
        <xdr:cNvSpPr>
          <a:spLocks noChangeAspect="1" noChangeArrowheads="1"/>
        </xdr:cNvSpPr>
      </xdr:nvSpPr>
      <xdr:spPr bwMode="auto">
        <a:xfrm>
          <a:off x="39300150" y="7248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18</xdr:row>
      <xdr:rowOff>0</xdr:rowOff>
    </xdr:from>
    <xdr:ext cx="304800" cy="304800"/>
    <xdr:sp macro="" textlink="">
      <xdr:nvSpPr>
        <xdr:cNvPr id="3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6000000}"/>
            </a:ext>
          </a:extLst>
        </xdr:cNvPr>
        <xdr:cNvSpPr>
          <a:spLocks noChangeAspect="1" noChangeArrowheads="1"/>
        </xdr:cNvSpPr>
      </xdr:nvSpPr>
      <xdr:spPr bwMode="auto">
        <a:xfrm>
          <a:off x="39300150" y="7543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18</xdr:row>
      <xdr:rowOff>0</xdr:rowOff>
    </xdr:from>
    <xdr:ext cx="304800" cy="304800"/>
    <xdr:sp macro="" textlink="">
      <xdr:nvSpPr>
        <xdr:cNvPr id="3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7000000}"/>
            </a:ext>
          </a:extLst>
        </xdr:cNvPr>
        <xdr:cNvSpPr>
          <a:spLocks noChangeAspect="1" noChangeArrowheads="1"/>
        </xdr:cNvSpPr>
      </xdr:nvSpPr>
      <xdr:spPr bwMode="auto">
        <a:xfrm>
          <a:off x="39300150" y="7543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19</xdr:row>
      <xdr:rowOff>0</xdr:rowOff>
    </xdr:from>
    <xdr:ext cx="304800" cy="304800"/>
    <xdr:sp macro="" textlink="">
      <xdr:nvSpPr>
        <xdr:cNvPr id="4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8000000}"/>
            </a:ext>
          </a:extLst>
        </xdr:cNvPr>
        <xdr:cNvSpPr>
          <a:spLocks noChangeAspect="1" noChangeArrowheads="1"/>
        </xdr:cNvSpPr>
      </xdr:nvSpPr>
      <xdr:spPr bwMode="auto">
        <a:xfrm>
          <a:off x="39300150" y="7839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19</xdr:row>
      <xdr:rowOff>0</xdr:rowOff>
    </xdr:from>
    <xdr:ext cx="304800" cy="304800"/>
    <xdr:sp macro="" textlink="">
      <xdr:nvSpPr>
        <xdr:cNvPr id="4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9000000}"/>
            </a:ext>
          </a:extLst>
        </xdr:cNvPr>
        <xdr:cNvSpPr>
          <a:spLocks noChangeAspect="1" noChangeArrowheads="1"/>
        </xdr:cNvSpPr>
      </xdr:nvSpPr>
      <xdr:spPr bwMode="auto">
        <a:xfrm>
          <a:off x="39300150" y="7839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20</xdr:row>
      <xdr:rowOff>0</xdr:rowOff>
    </xdr:from>
    <xdr:ext cx="304800" cy="304800"/>
    <xdr:sp macro="" textlink="">
      <xdr:nvSpPr>
        <xdr:cNvPr id="4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A000000}"/>
            </a:ext>
          </a:extLst>
        </xdr:cNvPr>
        <xdr:cNvSpPr>
          <a:spLocks noChangeAspect="1" noChangeArrowheads="1"/>
        </xdr:cNvSpPr>
      </xdr:nvSpPr>
      <xdr:spPr bwMode="auto">
        <a:xfrm>
          <a:off x="39300150" y="8134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20</xdr:row>
      <xdr:rowOff>0</xdr:rowOff>
    </xdr:from>
    <xdr:ext cx="304800" cy="304800"/>
    <xdr:sp macro="" textlink="">
      <xdr:nvSpPr>
        <xdr:cNvPr id="4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B000000}"/>
            </a:ext>
          </a:extLst>
        </xdr:cNvPr>
        <xdr:cNvSpPr>
          <a:spLocks noChangeAspect="1" noChangeArrowheads="1"/>
        </xdr:cNvSpPr>
      </xdr:nvSpPr>
      <xdr:spPr bwMode="auto">
        <a:xfrm>
          <a:off x="39300150" y="8134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21</xdr:row>
      <xdr:rowOff>0</xdr:rowOff>
    </xdr:from>
    <xdr:ext cx="304800" cy="304800"/>
    <xdr:sp macro="" textlink="">
      <xdr:nvSpPr>
        <xdr:cNvPr id="4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C000000}"/>
            </a:ext>
          </a:extLst>
        </xdr:cNvPr>
        <xdr:cNvSpPr>
          <a:spLocks noChangeAspect="1" noChangeArrowheads="1"/>
        </xdr:cNvSpPr>
      </xdr:nvSpPr>
      <xdr:spPr bwMode="auto">
        <a:xfrm>
          <a:off x="39300150" y="8429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21</xdr:row>
      <xdr:rowOff>0</xdr:rowOff>
    </xdr:from>
    <xdr:ext cx="304800" cy="304800"/>
    <xdr:sp macro="" textlink="">
      <xdr:nvSpPr>
        <xdr:cNvPr id="4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D000000}"/>
            </a:ext>
          </a:extLst>
        </xdr:cNvPr>
        <xdr:cNvSpPr>
          <a:spLocks noChangeAspect="1" noChangeArrowheads="1"/>
        </xdr:cNvSpPr>
      </xdr:nvSpPr>
      <xdr:spPr bwMode="auto">
        <a:xfrm>
          <a:off x="39300150" y="8429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22</xdr:row>
      <xdr:rowOff>0</xdr:rowOff>
    </xdr:from>
    <xdr:ext cx="304800" cy="304800"/>
    <xdr:sp macro="" textlink="">
      <xdr:nvSpPr>
        <xdr:cNvPr id="4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E000000}"/>
            </a:ext>
          </a:extLst>
        </xdr:cNvPr>
        <xdr:cNvSpPr>
          <a:spLocks noChangeAspect="1" noChangeArrowheads="1"/>
        </xdr:cNvSpPr>
      </xdr:nvSpPr>
      <xdr:spPr bwMode="auto">
        <a:xfrm>
          <a:off x="39300150" y="8724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22</xdr:row>
      <xdr:rowOff>0</xdr:rowOff>
    </xdr:from>
    <xdr:ext cx="304800" cy="304800"/>
    <xdr:sp macro="" textlink="">
      <xdr:nvSpPr>
        <xdr:cNvPr id="4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F000000}"/>
            </a:ext>
          </a:extLst>
        </xdr:cNvPr>
        <xdr:cNvSpPr>
          <a:spLocks noChangeAspect="1" noChangeArrowheads="1"/>
        </xdr:cNvSpPr>
      </xdr:nvSpPr>
      <xdr:spPr bwMode="auto">
        <a:xfrm>
          <a:off x="39300150" y="8724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23</xdr:row>
      <xdr:rowOff>0</xdr:rowOff>
    </xdr:from>
    <xdr:ext cx="304800" cy="304800"/>
    <xdr:sp macro="" textlink="">
      <xdr:nvSpPr>
        <xdr:cNvPr id="4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0000000}"/>
            </a:ext>
          </a:extLst>
        </xdr:cNvPr>
        <xdr:cNvSpPr>
          <a:spLocks noChangeAspect="1" noChangeArrowheads="1"/>
        </xdr:cNvSpPr>
      </xdr:nvSpPr>
      <xdr:spPr bwMode="auto">
        <a:xfrm>
          <a:off x="39300150" y="90201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23</xdr:row>
      <xdr:rowOff>0</xdr:rowOff>
    </xdr:from>
    <xdr:ext cx="304800" cy="304800"/>
    <xdr:sp macro="" textlink="">
      <xdr:nvSpPr>
        <xdr:cNvPr id="4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1000000}"/>
            </a:ext>
          </a:extLst>
        </xdr:cNvPr>
        <xdr:cNvSpPr>
          <a:spLocks noChangeAspect="1" noChangeArrowheads="1"/>
        </xdr:cNvSpPr>
      </xdr:nvSpPr>
      <xdr:spPr bwMode="auto">
        <a:xfrm>
          <a:off x="39300150" y="90201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24</xdr:row>
      <xdr:rowOff>0</xdr:rowOff>
    </xdr:from>
    <xdr:ext cx="304800" cy="304800"/>
    <xdr:sp macro="" textlink="">
      <xdr:nvSpPr>
        <xdr:cNvPr id="5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2000000}"/>
            </a:ext>
          </a:extLst>
        </xdr:cNvPr>
        <xdr:cNvSpPr>
          <a:spLocks noChangeAspect="1" noChangeArrowheads="1"/>
        </xdr:cNvSpPr>
      </xdr:nvSpPr>
      <xdr:spPr bwMode="auto">
        <a:xfrm>
          <a:off x="39300150" y="9315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24</xdr:row>
      <xdr:rowOff>0</xdr:rowOff>
    </xdr:from>
    <xdr:ext cx="304800" cy="304800"/>
    <xdr:sp macro="" textlink="">
      <xdr:nvSpPr>
        <xdr:cNvPr id="5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3000000}"/>
            </a:ext>
          </a:extLst>
        </xdr:cNvPr>
        <xdr:cNvSpPr>
          <a:spLocks noChangeAspect="1" noChangeArrowheads="1"/>
        </xdr:cNvSpPr>
      </xdr:nvSpPr>
      <xdr:spPr bwMode="auto">
        <a:xfrm>
          <a:off x="39300150" y="9315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25</xdr:row>
      <xdr:rowOff>0</xdr:rowOff>
    </xdr:from>
    <xdr:ext cx="304800" cy="304800"/>
    <xdr:sp macro="" textlink="">
      <xdr:nvSpPr>
        <xdr:cNvPr id="5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4000000}"/>
            </a:ext>
          </a:extLst>
        </xdr:cNvPr>
        <xdr:cNvSpPr>
          <a:spLocks noChangeAspect="1" noChangeArrowheads="1"/>
        </xdr:cNvSpPr>
      </xdr:nvSpPr>
      <xdr:spPr bwMode="auto">
        <a:xfrm>
          <a:off x="39300150" y="96107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25</xdr:row>
      <xdr:rowOff>0</xdr:rowOff>
    </xdr:from>
    <xdr:ext cx="304800" cy="304800"/>
    <xdr:sp macro="" textlink="">
      <xdr:nvSpPr>
        <xdr:cNvPr id="5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5000000}"/>
            </a:ext>
          </a:extLst>
        </xdr:cNvPr>
        <xdr:cNvSpPr>
          <a:spLocks noChangeAspect="1" noChangeArrowheads="1"/>
        </xdr:cNvSpPr>
      </xdr:nvSpPr>
      <xdr:spPr bwMode="auto">
        <a:xfrm>
          <a:off x="39300150" y="96107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26</xdr:row>
      <xdr:rowOff>0</xdr:rowOff>
    </xdr:from>
    <xdr:ext cx="304800" cy="304800"/>
    <xdr:sp macro="" textlink="">
      <xdr:nvSpPr>
        <xdr:cNvPr id="5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6000000}"/>
            </a:ext>
          </a:extLst>
        </xdr:cNvPr>
        <xdr:cNvSpPr>
          <a:spLocks noChangeAspect="1" noChangeArrowheads="1"/>
        </xdr:cNvSpPr>
      </xdr:nvSpPr>
      <xdr:spPr bwMode="auto">
        <a:xfrm>
          <a:off x="39300150" y="9906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26</xdr:row>
      <xdr:rowOff>0</xdr:rowOff>
    </xdr:from>
    <xdr:ext cx="304800" cy="304800"/>
    <xdr:sp macro="" textlink="">
      <xdr:nvSpPr>
        <xdr:cNvPr id="5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7000000}"/>
            </a:ext>
          </a:extLst>
        </xdr:cNvPr>
        <xdr:cNvSpPr>
          <a:spLocks noChangeAspect="1" noChangeArrowheads="1"/>
        </xdr:cNvSpPr>
      </xdr:nvSpPr>
      <xdr:spPr bwMode="auto">
        <a:xfrm>
          <a:off x="39300150" y="9906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27</xdr:row>
      <xdr:rowOff>0</xdr:rowOff>
    </xdr:from>
    <xdr:ext cx="304800" cy="304800"/>
    <xdr:sp macro="" textlink="">
      <xdr:nvSpPr>
        <xdr:cNvPr id="5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8000000}"/>
            </a:ext>
          </a:extLst>
        </xdr:cNvPr>
        <xdr:cNvSpPr>
          <a:spLocks noChangeAspect="1" noChangeArrowheads="1"/>
        </xdr:cNvSpPr>
      </xdr:nvSpPr>
      <xdr:spPr bwMode="auto">
        <a:xfrm>
          <a:off x="39300150" y="102012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27</xdr:row>
      <xdr:rowOff>0</xdr:rowOff>
    </xdr:from>
    <xdr:ext cx="304800" cy="304800"/>
    <xdr:sp macro="" textlink="">
      <xdr:nvSpPr>
        <xdr:cNvPr id="5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9000000}"/>
            </a:ext>
          </a:extLst>
        </xdr:cNvPr>
        <xdr:cNvSpPr>
          <a:spLocks noChangeAspect="1" noChangeArrowheads="1"/>
        </xdr:cNvSpPr>
      </xdr:nvSpPr>
      <xdr:spPr bwMode="auto">
        <a:xfrm>
          <a:off x="39300150" y="102012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28</xdr:row>
      <xdr:rowOff>0</xdr:rowOff>
    </xdr:from>
    <xdr:ext cx="304800" cy="304800"/>
    <xdr:sp macro="" textlink="">
      <xdr:nvSpPr>
        <xdr:cNvPr id="5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A000000}"/>
            </a:ext>
          </a:extLst>
        </xdr:cNvPr>
        <xdr:cNvSpPr>
          <a:spLocks noChangeAspect="1" noChangeArrowheads="1"/>
        </xdr:cNvSpPr>
      </xdr:nvSpPr>
      <xdr:spPr bwMode="auto">
        <a:xfrm>
          <a:off x="39300150" y="10496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28</xdr:row>
      <xdr:rowOff>0</xdr:rowOff>
    </xdr:from>
    <xdr:ext cx="304800" cy="304800"/>
    <xdr:sp macro="" textlink="">
      <xdr:nvSpPr>
        <xdr:cNvPr id="5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B000000}"/>
            </a:ext>
          </a:extLst>
        </xdr:cNvPr>
        <xdr:cNvSpPr>
          <a:spLocks noChangeAspect="1" noChangeArrowheads="1"/>
        </xdr:cNvSpPr>
      </xdr:nvSpPr>
      <xdr:spPr bwMode="auto">
        <a:xfrm>
          <a:off x="39300150" y="10496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29</xdr:row>
      <xdr:rowOff>0</xdr:rowOff>
    </xdr:from>
    <xdr:ext cx="304800" cy="304800"/>
    <xdr:sp macro="" textlink="">
      <xdr:nvSpPr>
        <xdr:cNvPr id="6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C000000}"/>
            </a:ext>
          </a:extLst>
        </xdr:cNvPr>
        <xdr:cNvSpPr>
          <a:spLocks noChangeAspect="1" noChangeArrowheads="1"/>
        </xdr:cNvSpPr>
      </xdr:nvSpPr>
      <xdr:spPr bwMode="auto">
        <a:xfrm>
          <a:off x="39300150" y="10791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29</xdr:row>
      <xdr:rowOff>0</xdr:rowOff>
    </xdr:from>
    <xdr:ext cx="304800" cy="304800"/>
    <xdr:sp macro="" textlink="">
      <xdr:nvSpPr>
        <xdr:cNvPr id="6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D000000}"/>
            </a:ext>
          </a:extLst>
        </xdr:cNvPr>
        <xdr:cNvSpPr>
          <a:spLocks noChangeAspect="1" noChangeArrowheads="1"/>
        </xdr:cNvSpPr>
      </xdr:nvSpPr>
      <xdr:spPr bwMode="auto">
        <a:xfrm>
          <a:off x="39300150" y="10791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30</xdr:row>
      <xdr:rowOff>0</xdr:rowOff>
    </xdr:from>
    <xdr:ext cx="304800" cy="304800"/>
    <xdr:sp macro="" textlink="">
      <xdr:nvSpPr>
        <xdr:cNvPr id="6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E000000}"/>
            </a:ext>
          </a:extLst>
        </xdr:cNvPr>
        <xdr:cNvSpPr>
          <a:spLocks noChangeAspect="1" noChangeArrowheads="1"/>
        </xdr:cNvSpPr>
      </xdr:nvSpPr>
      <xdr:spPr bwMode="auto">
        <a:xfrm>
          <a:off x="39300150" y="11087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30</xdr:row>
      <xdr:rowOff>0</xdr:rowOff>
    </xdr:from>
    <xdr:ext cx="304800" cy="304800"/>
    <xdr:sp macro="" textlink="">
      <xdr:nvSpPr>
        <xdr:cNvPr id="6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F000000}"/>
            </a:ext>
          </a:extLst>
        </xdr:cNvPr>
        <xdr:cNvSpPr>
          <a:spLocks noChangeAspect="1" noChangeArrowheads="1"/>
        </xdr:cNvSpPr>
      </xdr:nvSpPr>
      <xdr:spPr bwMode="auto">
        <a:xfrm>
          <a:off x="39300150" y="11087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31</xdr:row>
      <xdr:rowOff>0</xdr:rowOff>
    </xdr:from>
    <xdr:ext cx="304800" cy="304800"/>
    <xdr:sp macro="" textlink="">
      <xdr:nvSpPr>
        <xdr:cNvPr id="6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0000000}"/>
            </a:ext>
          </a:extLst>
        </xdr:cNvPr>
        <xdr:cNvSpPr>
          <a:spLocks noChangeAspect="1" noChangeArrowheads="1"/>
        </xdr:cNvSpPr>
      </xdr:nvSpPr>
      <xdr:spPr bwMode="auto">
        <a:xfrm>
          <a:off x="39300150" y="11382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31</xdr:row>
      <xdr:rowOff>0</xdr:rowOff>
    </xdr:from>
    <xdr:ext cx="304800" cy="304800"/>
    <xdr:sp macro="" textlink="">
      <xdr:nvSpPr>
        <xdr:cNvPr id="6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1000000}"/>
            </a:ext>
          </a:extLst>
        </xdr:cNvPr>
        <xdr:cNvSpPr>
          <a:spLocks noChangeAspect="1" noChangeArrowheads="1"/>
        </xdr:cNvSpPr>
      </xdr:nvSpPr>
      <xdr:spPr bwMode="auto">
        <a:xfrm>
          <a:off x="39300150" y="11382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32</xdr:row>
      <xdr:rowOff>0</xdr:rowOff>
    </xdr:from>
    <xdr:ext cx="304800" cy="304800"/>
    <xdr:sp macro="" textlink="">
      <xdr:nvSpPr>
        <xdr:cNvPr id="6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2000000}"/>
            </a:ext>
          </a:extLst>
        </xdr:cNvPr>
        <xdr:cNvSpPr>
          <a:spLocks noChangeAspect="1" noChangeArrowheads="1"/>
        </xdr:cNvSpPr>
      </xdr:nvSpPr>
      <xdr:spPr bwMode="auto">
        <a:xfrm>
          <a:off x="39300150" y="11677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32</xdr:row>
      <xdr:rowOff>0</xdr:rowOff>
    </xdr:from>
    <xdr:ext cx="304800" cy="304800"/>
    <xdr:sp macro="" textlink="">
      <xdr:nvSpPr>
        <xdr:cNvPr id="6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3000000}"/>
            </a:ext>
          </a:extLst>
        </xdr:cNvPr>
        <xdr:cNvSpPr>
          <a:spLocks noChangeAspect="1" noChangeArrowheads="1"/>
        </xdr:cNvSpPr>
      </xdr:nvSpPr>
      <xdr:spPr bwMode="auto">
        <a:xfrm>
          <a:off x="39300150" y="11677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33</xdr:row>
      <xdr:rowOff>0</xdr:rowOff>
    </xdr:from>
    <xdr:ext cx="304800" cy="304800"/>
    <xdr:sp macro="" textlink="">
      <xdr:nvSpPr>
        <xdr:cNvPr id="6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4000000}"/>
            </a:ext>
          </a:extLst>
        </xdr:cNvPr>
        <xdr:cNvSpPr>
          <a:spLocks noChangeAspect="1" noChangeArrowheads="1"/>
        </xdr:cNvSpPr>
      </xdr:nvSpPr>
      <xdr:spPr bwMode="auto">
        <a:xfrm>
          <a:off x="39300150" y="119729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33</xdr:row>
      <xdr:rowOff>0</xdr:rowOff>
    </xdr:from>
    <xdr:ext cx="304800" cy="304800"/>
    <xdr:sp macro="" textlink="">
      <xdr:nvSpPr>
        <xdr:cNvPr id="6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5000000}"/>
            </a:ext>
          </a:extLst>
        </xdr:cNvPr>
        <xdr:cNvSpPr>
          <a:spLocks noChangeAspect="1" noChangeArrowheads="1"/>
        </xdr:cNvSpPr>
      </xdr:nvSpPr>
      <xdr:spPr bwMode="auto">
        <a:xfrm>
          <a:off x="39300150" y="119729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34</xdr:row>
      <xdr:rowOff>0</xdr:rowOff>
    </xdr:from>
    <xdr:ext cx="304800" cy="304800"/>
    <xdr:sp macro="" textlink="">
      <xdr:nvSpPr>
        <xdr:cNvPr id="7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6000000}"/>
            </a:ext>
          </a:extLst>
        </xdr:cNvPr>
        <xdr:cNvSpPr>
          <a:spLocks noChangeAspect="1" noChangeArrowheads="1"/>
        </xdr:cNvSpPr>
      </xdr:nvSpPr>
      <xdr:spPr bwMode="auto">
        <a:xfrm>
          <a:off x="39300150" y="1226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34</xdr:row>
      <xdr:rowOff>0</xdr:rowOff>
    </xdr:from>
    <xdr:ext cx="304800" cy="304800"/>
    <xdr:sp macro="" textlink="">
      <xdr:nvSpPr>
        <xdr:cNvPr id="7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7000000}"/>
            </a:ext>
          </a:extLst>
        </xdr:cNvPr>
        <xdr:cNvSpPr>
          <a:spLocks noChangeAspect="1" noChangeArrowheads="1"/>
        </xdr:cNvSpPr>
      </xdr:nvSpPr>
      <xdr:spPr bwMode="auto">
        <a:xfrm>
          <a:off x="39300150" y="1226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35</xdr:row>
      <xdr:rowOff>0</xdr:rowOff>
    </xdr:from>
    <xdr:ext cx="304800" cy="304800"/>
    <xdr:sp macro="" textlink="">
      <xdr:nvSpPr>
        <xdr:cNvPr id="7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8000000}"/>
            </a:ext>
          </a:extLst>
        </xdr:cNvPr>
        <xdr:cNvSpPr>
          <a:spLocks noChangeAspect="1" noChangeArrowheads="1"/>
        </xdr:cNvSpPr>
      </xdr:nvSpPr>
      <xdr:spPr bwMode="auto">
        <a:xfrm>
          <a:off x="39300150" y="125634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35</xdr:row>
      <xdr:rowOff>0</xdr:rowOff>
    </xdr:from>
    <xdr:ext cx="304800" cy="304800"/>
    <xdr:sp macro="" textlink="">
      <xdr:nvSpPr>
        <xdr:cNvPr id="7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9000000}"/>
            </a:ext>
          </a:extLst>
        </xdr:cNvPr>
        <xdr:cNvSpPr>
          <a:spLocks noChangeAspect="1" noChangeArrowheads="1"/>
        </xdr:cNvSpPr>
      </xdr:nvSpPr>
      <xdr:spPr bwMode="auto">
        <a:xfrm>
          <a:off x="39300150" y="125634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36</xdr:row>
      <xdr:rowOff>0</xdr:rowOff>
    </xdr:from>
    <xdr:ext cx="304800" cy="304800"/>
    <xdr:sp macro="" textlink="">
      <xdr:nvSpPr>
        <xdr:cNvPr id="7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A000000}"/>
            </a:ext>
          </a:extLst>
        </xdr:cNvPr>
        <xdr:cNvSpPr>
          <a:spLocks noChangeAspect="1" noChangeArrowheads="1"/>
        </xdr:cNvSpPr>
      </xdr:nvSpPr>
      <xdr:spPr bwMode="auto">
        <a:xfrm>
          <a:off x="39300150" y="12858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36</xdr:row>
      <xdr:rowOff>0</xdr:rowOff>
    </xdr:from>
    <xdr:ext cx="304800" cy="304800"/>
    <xdr:sp macro="" textlink="">
      <xdr:nvSpPr>
        <xdr:cNvPr id="7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B000000}"/>
            </a:ext>
          </a:extLst>
        </xdr:cNvPr>
        <xdr:cNvSpPr>
          <a:spLocks noChangeAspect="1" noChangeArrowheads="1"/>
        </xdr:cNvSpPr>
      </xdr:nvSpPr>
      <xdr:spPr bwMode="auto">
        <a:xfrm>
          <a:off x="39300150" y="12858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37</xdr:row>
      <xdr:rowOff>0</xdr:rowOff>
    </xdr:from>
    <xdr:ext cx="304800" cy="304800"/>
    <xdr:sp macro="" textlink="">
      <xdr:nvSpPr>
        <xdr:cNvPr id="7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C000000}"/>
            </a:ext>
          </a:extLst>
        </xdr:cNvPr>
        <xdr:cNvSpPr>
          <a:spLocks noChangeAspect="1" noChangeArrowheads="1"/>
        </xdr:cNvSpPr>
      </xdr:nvSpPr>
      <xdr:spPr bwMode="auto">
        <a:xfrm>
          <a:off x="39300150" y="13154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37</xdr:row>
      <xdr:rowOff>0</xdr:rowOff>
    </xdr:from>
    <xdr:ext cx="304800" cy="304800"/>
    <xdr:sp macro="" textlink="">
      <xdr:nvSpPr>
        <xdr:cNvPr id="7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D000000}"/>
            </a:ext>
          </a:extLst>
        </xdr:cNvPr>
        <xdr:cNvSpPr>
          <a:spLocks noChangeAspect="1" noChangeArrowheads="1"/>
        </xdr:cNvSpPr>
      </xdr:nvSpPr>
      <xdr:spPr bwMode="auto">
        <a:xfrm>
          <a:off x="39300150" y="13154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38</xdr:row>
      <xdr:rowOff>0</xdr:rowOff>
    </xdr:from>
    <xdr:ext cx="304800" cy="304800"/>
    <xdr:sp macro="" textlink="">
      <xdr:nvSpPr>
        <xdr:cNvPr id="7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E000000}"/>
            </a:ext>
          </a:extLst>
        </xdr:cNvPr>
        <xdr:cNvSpPr>
          <a:spLocks noChangeAspect="1" noChangeArrowheads="1"/>
        </xdr:cNvSpPr>
      </xdr:nvSpPr>
      <xdr:spPr bwMode="auto">
        <a:xfrm>
          <a:off x="39300150" y="13449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38</xdr:row>
      <xdr:rowOff>0</xdr:rowOff>
    </xdr:from>
    <xdr:ext cx="304800" cy="304800"/>
    <xdr:sp macro="" textlink="">
      <xdr:nvSpPr>
        <xdr:cNvPr id="7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F000000}"/>
            </a:ext>
          </a:extLst>
        </xdr:cNvPr>
        <xdr:cNvSpPr>
          <a:spLocks noChangeAspect="1" noChangeArrowheads="1"/>
        </xdr:cNvSpPr>
      </xdr:nvSpPr>
      <xdr:spPr bwMode="auto">
        <a:xfrm>
          <a:off x="39300150" y="13449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39</xdr:row>
      <xdr:rowOff>0</xdr:rowOff>
    </xdr:from>
    <xdr:ext cx="304800" cy="304800"/>
    <xdr:sp macro="" textlink="">
      <xdr:nvSpPr>
        <xdr:cNvPr id="8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0000000}"/>
            </a:ext>
          </a:extLst>
        </xdr:cNvPr>
        <xdr:cNvSpPr>
          <a:spLocks noChangeAspect="1" noChangeArrowheads="1"/>
        </xdr:cNvSpPr>
      </xdr:nvSpPr>
      <xdr:spPr bwMode="auto">
        <a:xfrm>
          <a:off x="39300150" y="13744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39</xdr:row>
      <xdr:rowOff>0</xdr:rowOff>
    </xdr:from>
    <xdr:ext cx="304800" cy="304800"/>
    <xdr:sp macro="" textlink="">
      <xdr:nvSpPr>
        <xdr:cNvPr id="8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1000000}"/>
            </a:ext>
          </a:extLst>
        </xdr:cNvPr>
        <xdr:cNvSpPr>
          <a:spLocks noChangeAspect="1" noChangeArrowheads="1"/>
        </xdr:cNvSpPr>
      </xdr:nvSpPr>
      <xdr:spPr bwMode="auto">
        <a:xfrm>
          <a:off x="39300150" y="13744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40</xdr:row>
      <xdr:rowOff>0</xdr:rowOff>
    </xdr:from>
    <xdr:ext cx="304800" cy="304800"/>
    <xdr:sp macro="" textlink="">
      <xdr:nvSpPr>
        <xdr:cNvPr id="8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2000000}"/>
            </a:ext>
          </a:extLst>
        </xdr:cNvPr>
        <xdr:cNvSpPr>
          <a:spLocks noChangeAspect="1" noChangeArrowheads="1"/>
        </xdr:cNvSpPr>
      </xdr:nvSpPr>
      <xdr:spPr bwMode="auto">
        <a:xfrm>
          <a:off x="39300150" y="14039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40</xdr:row>
      <xdr:rowOff>0</xdr:rowOff>
    </xdr:from>
    <xdr:ext cx="304800" cy="304800"/>
    <xdr:sp macro="" textlink="">
      <xdr:nvSpPr>
        <xdr:cNvPr id="8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3000000}"/>
            </a:ext>
          </a:extLst>
        </xdr:cNvPr>
        <xdr:cNvSpPr>
          <a:spLocks noChangeAspect="1" noChangeArrowheads="1"/>
        </xdr:cNvSpPr>
      </xdr:nvSpPr>
      <xdr:spPr bwMode="auto">
        <a:xfrm>
          <a:off x="39300150" y="14039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41</xdr:row>
      <xdr:rowOff>0</xdr:rowOff>
    </xdr:from>
    <xdr:ext cx="304800" cy="304800"/>
    <xdr:sp macro="" textlink="">
      <xdr:nvSpPr>
        <xdr:cNvPr id="8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4000000}"/>
            </a:ext>
          </a:extLst>
        </xdr:cNvPr>
        <xdr:cNvSpPr>
          <a:spLocks noChangeAspect="1" noChangeArrowheads="1"/>
        </xdr:cNvSpPr>
      </xdr:nvSpPr>
      <xdr:spPr bwMode="auto">
        <a:xfrm>
          <a:off x="39300150" y="143351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41</xdr:row>
      <xdr:rowOff>0</xdr:rowOff>
    </xdr:from>
    <xdr:ext cx="304800" cy="304800"/>
    <xdr:sp macro="" textlink="">
      <xdr:nvSpPr>
        <xdr:cNvPr id="8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5000000}"/>
            </a:ext>
          </a:extLst>
        </xdr:cNvPr>
        <xdr:cNvSpPr>
          <a:spLocks noChangeAspect="1" noChangeArrowheads="1"/>
        </xdr:cNvSpPr>
      </xdr:nvSpPr>
      <xdr:spPr bwMode="auto">
        <a:xfrm>
          <a:off x="39300150" y="143351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42</xdr:row>
      <xdr:rowOff>0</xdr:rowOff>
    </xdr:from>
    <xdr:ext cx="304800" cy="304800"/>
    <xdr:sp macro="" textlink="">
      <xdr:nvSpPr>
        <xdr:cNvPr id="8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6000000}"/>
            </a:ext>
          </a:extLst>
        </xdr:cNvPr>
        <xdr:cNvSpPr>
          <a:spLocks noChangeAspect="1" noChangeArrowheads="1"/>
        </xdr:cNvSpPr>
      </xdr:nvSpPr>
      <xdr:spPr bwMode="auto">
        <a:xfrm>
          <a:off x="39300150" y="14630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42</xdr:row>
      <xdr:rowOff>0</xdr:rowOff>
    </xdr:from>
    <xdr:ext cx="304800" cy="304800"/>
    <xdr:sp macro="" textlink="">
      <xdr:nvSpPr>
        <xdr:cNvPr id="8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7000000}"/>
            </a:ext>
          </a:extLst>
        </xdr:cNvPr>
        <xdr:cNvSpPr>
          <a:spLocks noChangeAspect="1" noChangeArrowheads="1"/>
        </xdr:cNvSpPr>
      </xdr:nvSpPr>
      <xdr:spPr bwMode="auto">
        <a:xfrm>
          <a:off x="39300150" y="14630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43</xdr:row>
      <xdr:rowOff>0</xdr:rowOff>
    </xdr:from>
    <xdr:ext cx="304800" cy="304800"/>
    <xdr:sp macro="" textlink="">
      <xdr:nvSpPr>
        <xdr:cNvPr id="8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8000000}"/>
            </a:ext>
          </a:extLst>
        </xdr:cNvPr>
        <xdr:cNvSpPr>
          <a:spLocks noChangeAspect="1" noChangeArrowheads="1"/>
        </xdr:cNvSpPr>
      </xdr:nvSpPr>
      <xdr:spPr bwMode="auto">
        <a:xfrm>
          <a:off x="39300150" y="149256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43</xdr:row>
      <xdr:rowOff>0</xdr:rowOff>
    </xdr:from>
    <xdr:ext cx="304800" cy="304800"/>
    <xdr:sp macro="" textlink="">
      <xdr:nvSpPr>
        <xdr:cNvPr id="8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9000000}"/>
            </a:ext>
          </a:extLst>
        </xdr:cNvPr>
        <xdr:cNvSpPr>
          <a:spLocks noChangeAspect="1" noChangeArrowheads="1"/>
        </xdr:cNvSpPr>
      </xdr:nvSpPr>
      <xdr:spPr bwMode="auto">
        <a:xfrm>
          <a:off x="39300150" y="149256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44</xdr:row>
      <xdr:rowOff>0</xdr:rowOff>
    </xdr:from>
    <xdr:ext cx="304800" cy="304800"/>
    <xdr:sp macro="" textlink="">
      <xdr:nvSpPr>
        <xdr:cNvPr id="9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A000000}"/>
            </a:ext>
          </a:extLst>
        </xdr:cNvPr>
        <xdr:cNvSpPr>
          <a:spLocks noChangeAspect="1" noChangeArrowheads="1"/>
        </xdr:cNvSpPr>
      </xdr:nvSpPr>
      <xdr:spPr bwMode="auto">
        <a:xfrm>
          <a:off x="39300150" y="15220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44</xdr:row>
      <xdr:rowOff>0</xdr:rowOff>
    </xdr:from>
    <xdr:ext cx="304800" cy="304800"/>
    <xdr:sp macro="" textlink="">
      <xdr:nvSpPr>
        <xdr:cNvPr id="9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B000000}"/>
            </a:ext>
          </a:extLst>
        </xdr:cNvPr>
        <xdr:cNvSpPr>
          <a:spLocks noChangeAspect="1" noChangeArrowheads="1"/>
        </xdr:cNvSpPr>
      </xdr:nvSpPr>
      <xdr:spPr bwMode="auto">
        <a:xfrm>
          <a:off x="39300150" y="15220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45</xdr:row>
      <xdr:rowOff>0</xdr:rowOff>
    </xdr:from>
    <xdr:ext cx="304800" cy="304800"/>
    <xdr:sp macro="" textlink="">
      <xdr:nvSpPr>
        <xdr:cNvPr id="9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C000000}"/>
            </a:ext>
          </a:extLst>
        </xdr:cNvPr>
        <xdr:cNvSpPr>
          <a:spLocks noChangeAspect="1" noChangeArrowheads="1"/>
        </xdr:cNvSpPr>
      </xdr:nvSpPr>
      <xdr:spPr bwMode="auto">
        <a:xfrm>
          <a:off x="39300150" y="15516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45</xdr:row>
      <xdr:rowOff>0</xdr:rowOff>
    </xdr:from>
    <xdr:ext cx="304800" cy="304800"/>
    <xdr:sp macro="" textlink="">
      <xdr:nvSpPr>
        <xdr:cNvPr id="9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D000000}"/>
            </a:ext>
          </a:extLst>
        </xdr:cNvPr>
        <xdr:cNvSpPr>
          <a:spLocks noChangeAspect="1" noChangeArrowheads="1"/>
        </xdr:cNvSpPr>
      </xdr:nvSpPr>
      <xdr:spPr bwMode="auto">
        <a:xfrm>
          <a:off x="39300150" y="15516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46</xdr:row>
      <xdr:rowOff>0</xdr:rowOff>
    </xdr:from>
    <xdr:ext cx="304800" cy="304800"/>
    <xdr:sp macro="" textlink="">
      <xdr:nvSpPr>
        <xdr:cNvPr id="9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E000000}"/>
            </a:ext>
          </a:extLst>
        </xdr:cNvPr>
        <xdr:cNvSpPr>
          <a:spLocks noChangeAspect="1" noChangeArrowheads="1"/>
        </xdr:cNvSpPr>
      </xdr:nvSpPr>
      <xdr:spPr bwMode="auto">
        <a:xfrm>
          <a:off x="39300150" y="15811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46</xdr:row>
      <xdr:rowOff>0</xdr:rowOff>
    </xdr:from>
    <xdr:ext cx="304800" cy="304800"/>
    <xdr:sp macro="" textlink="">
      <xdr:nvSpPr>
        <xdr:cNvPr id="9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F000000}"/>
            </a:ext>
          </a:extLst>
        </xdr:cNvPr>
        <xdr:cNvSpPr>
          <a:spLocks noChangeAspect="1" noChangeArrowheads="1"/>
        </xdr:cNvSpPr>
      </xdr:nvSpPr>
      <xdr:spPr bwMode="auto">
        <a:xfrm>
          <a:off x="39300150" y="15811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47</xdr:row>
      <xdr:rowOff>0</xdr:rowOff>
    </xdr:from>
    <xdr:ext cx="304800" cy="304800"/>
    <xdr:sp macro="" textlink="">
      <xdr:nvSpPr>
        <xdr:cNvPr id="9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0000000}"/>
            </a:ext>
          </a:extLst>
        </xdr:cNvPr>
        <xdr:cNvSpPr>
          <a:spLocks noChangeAspect="1" noChangeArrowheads="1"/>
        </xdr:cNvSpPr>
      </xdr:nvSpPr>
      <xdr:spPr bwMode="auto">
        <a:xfrm>
          <a:off x="39300150" y="161067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47</xdr:row>
      <xdr:rowOff>0</xdr:rowOff>
    </xdr:from>
    <xdr:ext cx="304800" cy="304800"/>
    <xdr:sp macro="" textlink="">
      <xdr:nvSpPr>
        <xdr:cNvPr id="9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1000000}"/>
            </a:ext>
          </a:extLst>
        </xdr:cNvPr>
        <xdr:cNvSpPr>
          <a:spLocks noChangeAspect="1" noChangeArrowheads="1"/>
        </xdr:cNvSpPr>
      </xdr:nvSpPr>
      <xdr:spPr bwMode="auto">
        <a:xfrm>
          <a:off x="39300150" y="161067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48</xdr:row>
      <xdr:rowOff>0</xdr:rowOff>
    </xdr:from>
    <xdr:ext cx="304800" cy="304800"/>
    <xdr:sp macro="" textlink="">
      <xdr:nvSpPr>
        <xdr:cNvPr id="9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2000000}"/>
            </a:ext>
          </a:extLst>
        </xdr:cNvPr>
        <xdr:cNvSpPr>
          <a:spLocks noChangeAspect="1" noChangeArrowheads="1"/>
        </xdr:cNvSpPr>
      </xdr:nvSpPr>
      <xdr:spPr bwMode="auto">
        <a:xfrm>
          <a:off x="39300150" y="16402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48</xdr:row>
      <xdr:rowOff>0</xdr:rowOff>
    </xdr:from>
    <xdr:ext cx="304800" cy="304800"/>
    <xdr:sp macro="" textlink="">
      <xdr:nvSpPr>
        <xdr:cNvPr id="9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3000000}"/>
            </a:ext>
          </a:extLst>
        </xdr:cNvPr>
        <xdr:cNvSpPr>
          <a:spLocks noChangeAspect="1" noChangeArrowheads="1"/>
        </xdr:cNvSpPr>
      </xdr:nvSpPr>
      <xdr:spPr bwMode="auto">
        <a:xfrm>
          <a:off x="39300150" y="16402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49</xdr:row>
      <xdr:rowOff>0</xdr:rowOff>
    </xdr:from>
    <xdr:ext cx="304800" cy="304800"/>
    <xdr:sp macro="" textlink="">
      <xdr:nvSpPr>
        <xdr:cNvPr id="10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4000000}"/>
            </a:ext>
          </a:extLst>
        </xdr:cNvPr>
        <xdr:cNvSpPr>
          <a:spLocks noChangeAspect="1" noChangeArrowheads="1"/>
        </xdr:cNvSpPr>
      </xdr:nvSpPr>
      <xdr:spPr bwMode="auto">
        <a:xfrm>
          <a:off x="39300150" y="16697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49</xdr:row>
      <xdr:rowOff>0</xdr:rowOff>
    </xdr:from>
    <xdr:ext cx="304800" cy="304800"/>
    <xdr:sp macro="" textlink="">
      <xdr:nvSpPr>
        <xdr:cNvPr id="10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5000000}"/>
            </a:ext>
          </a:extLst>
        </xdr:cNvPr>
        <xdr:cNvSpPr>
          <a:spLocks noChangeAspect="1" noChangeArrowheads="1"/>
        </xdr:cNvSpPr>
      </xdr:nvSpPr>
      <xdr:spPr bwMode="auto">
        <a:xfrm>
          <a:off x="39300150" y="16697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50</xdr:row>
      <xdr:rowOff>0</xdr:rowOff>
    </xdr:from>
    <xdr:ext cx="304800" cy="304800"/>
    <xdr:sp macro="" textlink="">
      <xdr:nvSpPr>
        <xdr:cNvPr id="10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6000000}"/>
            </a:ext>
          </a:extLst>
        </xdr:cNvPr>
        <xdr:cNvSpPr>
          <a:spLocks noChangeAspect="1" noChangeArrowheads="1"/>
        </xdr:cNvSpPr>
      </xdr:nvSpPr>
      <xdr:spPr bwMode="auto">
        <a:xfrm>
          <a:off x="39300150" y="16992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50</xdr:row>
      <xdr:rowOff>0</xdr:rowOff>
    </xdr:from>
    <xdr:ext cx="304800" cy="304800"/>
    <xdr:sp macro="" textlink="">
      <xdr:nvSpPr>
        <xdr:cNvPr id="10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7000000}"/>
            </a:ext>
          </a:extLst>
        </xdr:cNvPr>
        <xdr:cNvSpPr>
          <a:spLocks noChangeAspect="1" noChangeArrowheads="1"/>
        </xdr:cNvSpPr>
      </xdr:nvSpPr>
      <xdr:spPr bwMode="auto">
        <a:xfrm>
          <a:off x="39300150" y="16992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51</xdr:row>
      <xdr:rowOff>0</xdr:rowOff>
    </xdr:from>
    <xdr:ext cx="304800" cy="304800"/>
    <xdr:sp macro="" textlink="">
      <xdr:nvSpPr>
        <xdr:cNvPr id="10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8000000}"/>
            </a:ext>
          </a:extLst>
        </xdr:cNvPr>
        <xdr:cNvSpPr>
          <a:spLocks noChangeAspect="1" noChangeArrowheads="1"/>
        </xdr:cNvSpPr>
      </xdr:nvSpPr>
      <xdr:spPr bwMode="auto">
        <a:xfrm>
          <a:off x="39300150" y="17287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51</xdr:row>
      <xdr:rowOff>0</xdr:rowOff>
    </xdr:from>
    <xdr:ext cx="304800" cy="304800"/>
    <xdr:sp macro="" textlink="">
      <xdr:nvSpPr>
        <xdr:cNvPr id="10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9000000}"/>
            </a:ext>
          </a:extLst>
        </xdr:cNvPr>
        <xdr:cNvSpPr>
          <a:spLocks noChangeAspect="1" noChangeArrowheads="1"/>
        </xdr:cNvSpPr>
      </xdr:nvSpPr>
      <xdr:spPr bwMode="auto">
        <a:xfrm>
          <a:off x="39300150" y="17287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52</xdr:row>
      <xdr:rowOff>0</xdr:rowOff>
    </xdr:from>
    <xdr:ext cx="304800" cy="304800"/>
    <xdr:sp macro="" textlink="">
      <xdr:nvSpPr>
        <xdr:cNvPr id="10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A000000}"/>
            </a:ext>
          </a:extLst>
        </xdr:cNvPr>
        <xdr:cNvSpPr>
          <a:spLocks noChangeAspect="1" noChangeArrowheads="1"/>
        </xdr:cNvSpPr>
      </xdr:nvSpPr>
      <xdr:spPr bwMode="auto">
        <a:xfrm>
          <a:off x="39300150" y="17583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52</xdr:row>
      <xdr:rowOff>0</xdr:rowOff>
    </xdr:from>
    <xdr:ext cx="304800" cy="304800"/>
    <xdr:sp macro="" textlink="">
      <xdr:nvSpPr>
        <xdr:cNvPr id="10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B000000}"/>
            </a:ext>
          </a:extLst>
        </xdr:cNvPr>
        <xdr:cNvSpPr>
          <a:spLocks noChangeAspect="1" noChangeArrowheads="1"/>
        </xdr:cNvSpPr>
      </xdr:nvSpPr>
      <xdr:spPr bwMode="auto">
        <a:xfrm>
          <a:off x="39300150" y="17583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53</xdr:row>
      <xdr:rowOff>0</xdr:rowOff>
    </xdr:from>
    <xdr:ext cx="304800" cy="304800"/>
    <xdr:sp macro="" textlink="">
      <xdr:nvSpPr>
        <xdr:cNvPr id="10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C000000}"/>
            </a:ext>
          </a:extLst>
        </xdr:cNvPr>
        <xdr:cNvSpPr>
          <a:spLocks noChangeAspect="1" noChangeArrowheads="1"/>
        </xdr:cNvSpPr>
      </xdr:nvSpPr>
      <xdr:spPr bwMode="auto">
        <a:xfrm>
          <a:off x="39300150" y="178784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53</xdr:row>
      <xdr:rowOff>0</xdr:rowOff>
    </xdr:from>
    <xdr:ext cx="304800" cy="304800"/>
    <xdr:sp macro="" textlink="">
      <xdr:nvSpPr>
        <xdr:cNvPr id="10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D000000}"/>
            </a:ext>
          </a:extLst>
        </xdr:cNvPr>
        <xdr:cNvSpPr>
          <a:spLocks noChangeAspect="1" noChangeArrowheads="1"/>
        </xdr:cNvSpPr>
      </xdr:nvSpPr>
      <xdr:spPr bwMode="auto">
        <a:xfrm>
          <a:off x="39300150" y="178784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54</xdr:row>
      <xdr:rowOff>0</xdr:rowOff>
    </xdr:from>
    <xdr:ext cx="304800" cy="304800"/>
    <xdr:sp macro="" textlink="">
      <xdr:nvSpPr>
        <xdr:cNvPr id="11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E000000}"/>
            </a:ext>
          </a:extLst>
        </xdr:cNvPr>
        <xdr:cNvSpPr>
          <a:spLocks noChangeAspect="1" noChangeArrowheads="1"/>
        </xdr:cNvSpPr>
      </xdr:nvSpPr>
      <xdr:spPr bwMode="auto">
        <a:xfrm>
          <a:off x="39300150" y="18173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54</xdr:row>
      <xdr:rowOff>0</xdr:rowOff>
    </xdr:from>
    <xdr:ext cx="304800" cy="304800"/>
    <xdr:sp macro="" textlink="">
      <xdr:nvSpPr>
        <xdr:cNvPr id="11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F000000}"/>
            </a:ext>
          </a:extLst>
        </xdr:cNvPr>
        <xdr:cNvSpPr>
          <a:spLocks noChangeAspect="1" noChangeArrowheads="1"/>
        </xdr:cNvSpPr>
      </xdr:nvSpPr>
      <xdr:spPr bwMode="auto">
        <a:xfrm>
          <a:off x="39300150" y="18173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55</xdr:row>
      <xdr:rowOff>0</xdr:rowOff>
    </xdr:from>
    <xdr:ext cx="304800" cy="304800"/>
    <xdr:sp macro="" textlink="">
      <xdr:nvSpPr>
        <xdr:cNvPr id="11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0000000}"/>
            </a:ext>
          </a:extLst>
        </xdr:cNvPr>
        <xdr:cNvSpPr>
          <a:spLocks noChangeAspect="1" noChangeArrowheads="1"/>
        </xdr:cNvSpPr>
      </xdr:nvSpPr>
      <xdr:spPr bwMode="auto">
        <a:xfrm>
          <a:off x="39300150" y="184689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55</xdr:row>
      <xdr:rowOff>0</xdr:rowOff>
    </xdr:from>
    <xdr:ext cx="304800" cy="304800"/>
    <xdr:sp macro="" textlink="">
      <xdr:nvSpPr>
        <xdr:cNvPr id="11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1000000}"/>
            </a:ext>
          </a:extLst>
        </xdr:cNvPr>
        <xdr:cNvSpPr>
          <a:spLocks noChangeAspect="1" noChangeArrowheads="1"/>
        </xdr:cNvSpPr>
      </xdr:nvSpPr>
      <xdr:spPr bwMode="auto">
        <a:xfrm>
          <a:off x="39300150" y="184689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56</xdr:row>
      <xdr:rowOff>0</xdr:rowOff>
    </xdr:from>
    <xdr:ext cx="304800" cy="304800"/>
    <xdr:sp macro="" textlink="">
      <xdr:nvSpPr>
        <xdr:cNvPr id="11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2000000}"/>
            </a:ext>
          </a:extLst>
        </xdr:cNvPr>
        <xdr:cNvSpPr>
          <a:spLocks noChangeAspect="1" noChangeArrowheads="1"/>
        </xdr:cNvSpPr>
      </xdr:nvSpPr>
      <xdr:spPr bwMode="auto">
        <a:xfrm>
          <a:off x="39300150" y="18764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56</xdr:row>
      <xdr:rowOff>0</xdr:rowOff>
    </xdr:from>
    <xdr:ext cx="304800" cy="304800"/>
    <xdr:sp macro="" textlink="">
      <xdr:nvSpPr>
        <xdr:cNvPr id="11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3000000}"/>
            </a:ext>
          </a:extLst>
        </xdr:cNvPr>
        <xdr:cNvSpPr>
          <a:spLocks noChangeAspect="1" noChangeArrowheads="1"/>
        </xdr:cNvSpPr>
      </xdr:nvSpPr>
      <xdr:spPr bwMode="auto">
        <a:xfrm>
          <a:off x="39300150" y="18764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57</xdr:row>
      <xdr:rowOff>0</xdr:rowOff>
    </xdr:from>
    <xdr:ext cx="304800" cy="304800"/>
    <xdr:sp macro="" textlink="">
      <xdr:nvSpPr>
        <xdr:cNvPr id="11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4000000}"/>
            </a:ext>
          </a:extLst>
        </xdr:cNvPr>
        <xdr:cNvSpPr>
          <a:spLocks noChangeAspect="1" noChangeArrowheads="1"/>
        </xdr:cNvSpPr>
      </xdr:nvSpPr>
      <xdr:spPr bwMode="auto">
        <a:xfrm>
          <a:off x="39300150" y="19059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57</xdr:row>
      <xdr:rowOff>0</xdr:rowOff>
    </xdr:from>
    <xdr:ext cx="304800" cy="304800"/>
    <xdr:sp macro="" textlink="">
      <xdr:nvSpPr>
        <xdr:cNvPr id="11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5000000}"/>
            </a:ext>
          </a:extLst>
        </xdr:cNvPr>
        <xdr:cNvSpPr>
          <a:spLocks noChangeAspect="1" noChangeArrowheads="1"/>
        </xdr:cNvSpPr>
      </xdr:nvSpPr>
      <xdr:spPr bwMode="auto">
        <a:xfrm>
          <a:off x="39300150" y="19059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58</xdr:row>
      <xdr:rowOff>0</xdr:rowOff>
    </xdr:from>
    <xdr:ext cx="304800" cy="304800"/>
    <xdr:sp macro="" textlink="">
      <xdr:nvSpPr>
        <xdr:cNvPr id="11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6000000}"/>
            </a:ext>
          </a:extLst>
        </xdr:cNvPr>
        <xdr:cNvSpPr>
          <a:spLocks noChangeAspect="1" noChangeArrowheads="1"/>
        </xdr:cNvSpPr>
      </xdr:nvSpPr>
      <xdr:spPr bwMode="auto">
        <a:xfrm>
          <a:off x="39300150" y="19354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58</xdr:row>
      <xdr:rowOff>0</xdr:rowOff>
    </xdr:from>
    <xdr:ext cx="304800" cy="304800"/>
    <xdr:sp macro="" textlink="">
      <xdr:nvSpPr>
        <xdr:cNvPr id="11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7000000}"/>
            </a:ext>
          </a:extLst>
        </xdr:cNvPr>
        <xdr:cNvSpPr>
          <a:spLocks noChangeAspect="1" noChangeArrowheads="1"/>
        </xdr:cNvSpPr>
      </xdr:nvSpPr>
      <xdr:spPr bwMode="auto">
        <a:xfrm>
          <a:off x="39300150" y="19354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59</xdr:row>
      <xdr:rowOff>0</xdr:rowOff>
    </xdr:from>
    <xdr:ext cx="304800" cy="304800"/>
    <xdr:sp macro="" textlink="">
      <xdr:nvSpPr>
        <xdr:cNvPr id="12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8000000}"/>
            </a:ext>
          </a:extLst>
        </xdr:cNvPr>
        <xdr:cNvSpPr>
          <a:spLocks noChangeAspect="1" noChangeArrowheads="1"/>
        </xdr:cNvSpPr>
      </xdr:nvSpPr>
      <xdr:spPr bwMode="auto">
        <a:xfrm>
          <a:off x="39300150" y="19650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59</xdr:row>
      <xdr:rowOff>0</xdr:rowOff>
    </xdr:from>
    <xdr:ext cx="304800" cy="304800"/>
    <xdr:sp macro="" textlink="">
      <xdr:nvSpPr>
        <xdr:cNvPr id="12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9000000}"/>
            </a:ext>
          </a:extLst>
        </xdr:cNvPr>
        <xdr:cNvSpPr>
          <a:spLocks noChangeAspect="1" noChangeArrowheads="1"/>
        </xdr:cNvSpPr>
      </xdr:nvSpPr>
      <xdr:spPr bwMode="auto">
        <a:xfrm>
          <a:off x="39300150" y="19650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60</xdr:row>
      <xdr:rowOff>0</xdr:rowOff>
    </xdr:from>
    <xdr:ext cx="304800" cy="304800"/>
    <xdr:sp macro="" textlink="">
      <xdr:nvSpPr>
        <xdr:cNvPr id="12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A000000}"/>
            </a:ext>
          </a:extLst>
        </xdr:cNvPr>
        <xdr:cNvSpPr>
          <a:spLocks noChangeAspect="1" noChangeArrowheads="1"/>
        </xdr:cNvSpPr>
      </xdr:nvSpPr>
      <xdr:spPr bwMode="auto">
        <a:xfrm>
          <a:off x="39300150" y="19945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60</xdr:row>
      <xdr:rowOff>0</xdr:rowOff>
    </xdr:from>
    <xdr:ext cx="304800" cy="304800"/>
    <xdr:sp macro="" textlink="">
      <xdr:nvSpPr>
        <xdr:cNvPr id="12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B000000}"/>
            </a:ext>
          </a:extLst>
        </xdr:cNvPr>
        <xdr:cNvSpPr>
          <a:spLocks noChangeAspect="1" noChangeArrowheads="1"/>
        </xdr:cNvSpPr>
      </xdr:nvSpPr>
      <xdr:spPr bwMode="auto">
        <a:xfrm>
          <a:off x="39300150" y="19945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61</xdr:row>
      <xdr:rowOff>0</xdr:rowOff>
    </xdr:from>
    <xdr:ext cx="304800" cy="304800"/>
    <xdr:sp macro="" textlink="">
      <xdr:nvSpPr>
        <xdr:cNvPr id="12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C000000}"/>
            </a:ext>
          </a:extLst>
        </xdr:cNvPr>
        <xdr:cNvSpPr>
          <a:spLocks noChangeAspect="1" noChangeArrowheads="1"/>
        </xdr:cNvSpPr>
      </xdr:nvSpPr>
      <xdr:spPr bwMode="auto">
        <a:xfrm>
          <a:off x="39300150" y="20240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61</xdr:row>
      <xdr:rowOff>0</xdr:rowOff>
    </xdr:from>
    <xdr:ext cx="304800" cy="304800"/>
    <xdr:sp macro="" textlink="">
      <xdr:nvSpPr>
        <xdr:cNvPr id="12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D000000}"/>
            </a:ext>
          </a:extLst>
        </xdr:cNvPr>
        <xdr:cNvSpPr>
          <a:spLocks noChangeAspect="1" noChangeArrowheads="1"/>
        </xdr:cNvSpPr>
      </xdr:nvSpPr>
      <xdr:spPr bwMode="auto">
        <a:xfrm>
          <a:off x="39300150" y="20240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62</xdr:row>
      <xdr:rowOff>0</xdr:rowOff>
    </xdr:from>
    <xdr:ext cx="304800" cy="304800"/>
    <xdr:sp macro="" textlink="">
      <xdr:nvSpPr>
        <xdr:cNvPr id="12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E000000}"/>
            </a:ext>
          </a:extLst>
        </xdr:cNvPr>
        <xdr:cNvSpPr>
          <a:spLocks noChangeAspect="1" noChangeArrowheads="1"/>
        </xdr:cNvSpPr>
      </xdr:nvSpPr>
      <xdr:spPr bwMode="auto">
        <a:xfrm>
          <a:off x="39300150" y="20535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62</xdr:row>
      <xdr:rowOff>0</xdr:rowOff>
    </xdr:from>
    <xdr:ext cx="304800" cy="304800"/>
    <xdr:sp macro="" textlink="">
      <xdr:nvSpPr>
        <xdr:cNvPr id="12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F000000}"/>
            </a:ext>
          </a:extLst>
        </xdr:cNvPr>
        <xdr:cNvSpPr>
          <a:spLocks noChangeAspect="1" noChangeArrowheads="1"/>
        </xdr:cNvSpPr>
      </xdr:nvSpPr>
      <xdr:spPr bwMode="auto">
        <a:xfrm>
          <a:off x="39300150" y="20535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63</xdr:row>
      <xdr:rowOff>0</xdr:rowOff>
    </xdr:from>
    <xdr:ext cx="304800" cy="304800"/>
    <xdr:sp macro="" textlink="">
      <xdr:nvSpPr>
        <xdr:cNvPr id="12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0000000}"/>
            </a:ext>
          </a:extLst>
        </xdr:cNvPr>
        <xdr:cNvSpPr>
          <a:spLocks noChangeAspect="1" noChangeArrowheads="1"/>
        </xdr:cNvSpPr>
      </xdr:nvSpPr>
      <xdr:spPr bwMode="auto">
        <a:xfrm>
          <a:off x="39300150" y="208311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63</xdr:row>
      <xdr:rowOff>0</xdr:rowOff>
    </xdr:from>
    <xdr:ext cx="304800" cy="304800"/>
    <xdr:sp macro="" textlink="">
      <xdr:nvSpPr>
        <xdr:cNvPr id="12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1000000}"/>
            </a:ext>
          </a:extLst>
        </xdr:cNvPr>
        <xdr:cNvSpPr>
          <a:spLocks noChangeAspect="1" noChangeArrowheads="1"/>
        </xdr:cNvSpPr>
      </xdr:nvSpPr>
      <xdr:spPr bwMode="auto">
        <a:xfrm>
          <a:off x="39300150" y="208311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64</xdr:row>
      <xdr:rowOff>0</xdr:rowOff>
    </xdr:from>
    <xdr:ext cx="304800" cy="304800"/>
    <xdr:sp macro="" textlink="">
      <xdr:nvSpPr>
        <xdr:cNvPr id="13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2000000}"/>
            </a:ext>
          </a:extLst>
        </xdr:cNvPr>
        <xdr:cNvSpPr>
          <a:spLocks noChangeAspect="1" noChangeArrowheads="1"/>
        </xdr:cNvSpPr>
      </xdr:nvSpPr>
      <xdr:spPr bwMode="auto">
        <a:xfrm>
          <a:off x="39300150" y="21126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64</xdr:row>
      <xdr:rowOff>0</xdr:rowOff>
    </xdr:from>
    <xdr:ext cx="304800" cy="304800"/>
    <xdr:sp macro="" textlink="">
      <xdr:nvSpPr>
        <xdr:cNvPr id="13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3000000}"/>
            </a:ext>
          </a:extLst>
        </xdr:cNvPr>
        <xdr:cNvSpPr>
          <a:spLocks noChangeAspect="1" noChangeArrowheads="1"/>
        </xdr:cNvSpPr>
      </xdr:nvSpPr>
      <xdr:spPr bwMode="auto">
        <a:xfrm>
          <a:off x="39300150" y="21126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65</xdr:row>
      <xdr:rowOff>0</xdr:rowOff>
    </xdr:from>
    <xdr:ext cx="304800" cy="304800"/>
    <xdr:sp macro="" textlink="">
      <xdr:nvSpPr>
        <xdr:cNvPr id="13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4000000}"/>
            </a:ext>
          </a:extLst>
        </xdr:cNvPr>
        <xdr:cNvSpPr>
          <a:spLocks noChangeAspect="1" noChangeArrowheads="1"/>
        </xdr:cNvSpPr>
      </xdr:nvSpPr>
      <xdr:spPr bwMode="auto">
        <a:xfrm>
          <a:off x="39300150" y="214217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65</xdr:row>
      <xdr:rowOff>0</xdr:rowOff>
    </xdr:from>
    <xdr:ext cx="304800" cy="304800"/>
    <xdr:sp macro="" textlink="">
      <xdr:nvSpPr>
        <xdr:cNvPr id="13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5000000}"/>
            </a:ext>
          </a:extLst>
        </xdr:cNvPr>
        <xdr:cNvSpPr>
          <a:spLocks noChangeAspect="1" noChangeArrowheads="1"/>
        </xdr:cNvSpPr>
      </xdr:nvSpPr>
      <xdr:spPr bwMode="auto">
        <a:xfrm>
          <a:off x="39300150" y="214217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66</xdr:row>
      <xdr:rowOff>0</xdr:rowOff>
    </xdr:from>
    <xdr:ext cx="304800" cy="304800"/>
    <xdr:sp macro="" textlink="">
      <xdr:nvSpPr>
        <xdr:cNvPr id="13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6000000}"/>
            </a:ext>
          </a:extLst>
        </xdr:cNvPr>
        <xdr:cNvSpPr>
          <a:spLocks noChangeAspect="1" noChangeArrowheads="1"/>
        </xdr:cNvSpPr>
      </xdr:nvSpPr>
      <xdr:spPr bwMode="auto">
        <a:xfrm>
          <a:off x="39300150" y="2171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66</xdr:row>
      <xdr:rowOff>0</xdr:rowOff>
    </xdr:from>
    <xdr:ext cx="304800" cy="304800"/>
    <xdr:sp macro="" textlink="">
      <xdr:nvSpPr>
        <xdr:cNvPr id="13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7000000}"/>
            </a:ext>
          </a:extLst>
        </xdr:cNvPr>
        <xdr:cNvSpPr>
          <a:spLocks noChangeAspect="1" noChangeArrowheads="1"/>
        </xdr:cNvSpPr>
      </xdr:nvSpPr>
      <xdr:spPr bwMode="auto">
        <a:xfrm>
          <a:off x="39300150" y="2171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67</xdr:row>
      <xdr:rowOff>0</xdr:rowOff>
    </xdr:from>
    <xdr:ext cx="304800" cy="304800"/>
    <xdr:sp macro="" textlink="">
      <xdr:nvSpPr>
        <xdr:cNvPr id="13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8000000}"/>
            </a:ext>
          </a:extLst>
        </xdr:cNvPr>
        <xdr:cNvSpPr>
          <a:spLocks noChangeAspect="1" noChangeArrowheads="1"/>
        </xdr:cNvSpPr>
      </xdr:nvSpPr>
      <xdr:spPr bwMode="auto">
        <a:xfrm>
          <a:off x="39300150" y="220122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67</xdr:row>
      <xdr:rowOff>0</xdr:rowOff>
    </xdr:from>
    <xdr:ext cx="304800" cy="304800"/>
    <xdr:sp macro="" textlink="">
      <xdr:nvSpPr>
        <xdr:cNvPr id="13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9000000}"/>
            </a:ext>
          </a:extLst>
        </xdr:cNvPr>
        <xdr:cNvSpPr>
          <a:spLocks noChangeAspect="1" noChangeArrowheads="1"/>
        </xdr:cNvSpPr>
      </xdr:nvSpPr>
      <xdr:spPr bwMode="auto">
        <a:xfrm>
          <a:off x="39300150" y="220122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68</xdr:row>
      <xdr:rowOff>0</xdr:rowOff>
    </xdr:from>
    <xdr:ext cx="304800" cy="304800"/>
    <xdr:sp macro="" textlink="">
      <xdr:nvSpPr>
        <xdr:cNvPr id="13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A000000}"/>
            </a:ext>
          </a:extLst>
        </xdr:cNvPr>
        <xdr:cNvSpPr>
          <a:spLocks noChangeAspect="1" noChangeArrowheads="1"/>
        </xdr:cNvSpPr>
      </xdr:nvSpPr>
      <xdr:spPr bwMode="auto">
        <a:xfrm>
          <a:off x="39300150" y="22307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68</xdr:row>
      <xdr:rowOff>0</xdr:rowOff>
    </xdr:from>
    <xdr:ext cx="304800" cy="304800"/>
    <xdr:sp macro="" textlink="">
      <xdr:nvSpPr>
        <xdr:cNvPr id="13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B000000}"/>
            </a:ext>
          </a:extLst>
        </xdr:cNvPr>
        <xdr:cNvSpPr>
          <a:spLocks noChangeAspect="1" noChangeArrowheads="1"/>
        </xdr:cNvSpPr>
      </xdr:nvSpPr>
      <xdr:spPr bwMode="auto">
        <a:xfrm>
          <a:off x="39300150" y="22307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69</xdr:row>
      <xdr:rowOff>0</xdr:rowOff>
    </xdr:from>
    <xdr:ext cx="304800" cy="304800"/>
    <xdr:sp macro="" textlink="">
      <xdr:nvSpPr>
        <xdr:cNvPr id="14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C000000}"/>
            </a:ext>
          </a:extLst>
        </xdr:cNvPr>
        <xdr:cNvSpPr>
          <a:spLocks noChangeAspect="1" noChangeArrowheads="1"/>
        </xdr:cNvSpPr>
      </xdr:nvSpPr>
      <xdr:spPr bwMode="auto">
        <a:xfrm>
          <a:off x="39300150" y="22602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69</xdr:row>
      <xdr:rowOff>0</xdr:rowOff>
    </xdr:from>
    <xdr:ext cx="304800" cy="304800"/>
    <xdr:sp macro="" textlink="">
      <xdr:nvSpPr>
        <xdr:cNvPr id="14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D000000}"/>
            </a:ext>
          </a:extLst>
        </xdr:cNvPr>
        <xdr:cNvSpPr>
          <a:spLocks noChangeAspect="1" noChangeArrowheads="1"/>
        </xdr:cNvSpPr>
      </xdr:nvSpPr>
      <xdr:spPr bwMode="auto">
        <a:xfrm>
          <a:off x="39300150" y="22602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70</xdr:row>
      <xdr:rowOff>0</xdr:rowOff>
    </xdr:from>
    <xdr:ext cx="304800" cy="304800"/>
    <xdr:sp macro="" textlink="">
      <xdr:nvSpPr>
        <xdr:cNvPr id="14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E000000}"/>
            </a:ext>
          </a:extLst>
        </xdr:cNvPr>
        <xdr:cNvSpPr>
          <a:spLocks noChangeAspect="1" noChangeArrowheads="1"/>
        </xdr:cNvSpPr>
      </xdr:nvSpPr>
      <xdr:spPr bwMode="auto">
        <a:xfrm>
          <a:off x="39300150" y="22898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70</xdr:row>
      <xdr:rowOff>0</xdr:rowOff>
    </xdr:from>
    <xdr:ext cx="304800" cy="304800"/>
    <xdr:sp macro="" textlink="">
      <xdr:nvSpPr>
        <xdr:cNvPr id="14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F000000}"/>
            </a:ext>
          </a:extLst>
        </xdr:cNvPr>
        <xdr:cNvSpPr>
          <a:spLocks noChangeAspect="1" noChangeArrowheads="1"/>
        </xdr:cNvSpPr>
      </xdr:nvSpPr>
      <xdr:spPr bwMode="auto">
        <a:xfrm>
          <a:off x="39300150" y="22898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71</xdr:row>
      <xdr:rowOff>0</xdr:rowOff>
    </xdr:from>
    <xdr:ext cx="304800" cy="304800"/>
    <xdr:sp macro="" textlink="">
      <xdr:nvSpPr>
        <xdr:cNvPr id="14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0000000}"/>
            </a:ext>
          </a:extLst>
        </xdr:cNvPr>
        <xdr:cNvSpPr>
          <a:spLocks noChangeAspect="1" noChangeArrowheads="1"/>
        </xdr:cNvSpPr>
      </xdr:nvSpPr>
      <xdr:spPr bwMode="auto">
        <a:xfrm>
          <a:off x="39300150" y="23193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71</xdr:row>
      <xdr:rowOff>0</xdr:rowOff>
    </xdr:from>
    <xdr:ext cx="304800" cy="304800"/>
    <xdr:sp macro="" textlink="">
      <xdr:nvSpPr>
        <xdr:cNvPr id="14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1000000}"/>
            </a:ext>
          </a:extLst>
        </xdr:cNvPr>
        <xdr:cNvSpPr>
          <a:spLocks noChangeAspect="1" noChangeArrowheads="1"/>
        </xdr:cNvSpPr>
      </xdr:nvSpPr>
      <xdr:spPr bwMode="auto">
        <a:xfrm>
          <a:off x="39300150" y="23193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4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2000000}"/>
            </a:ext>
          </a:extLst>
        </xdr:cNvPr>
        <xdr:cNvSpPr>
          <a:spLocks noChangeAspect="1" noChangeArrowheads="1"/>
        </xdr:cNvSpPr>
      </xdr:nvSpPr>
      <xdr:spPr bwMode="auto">
        <a:xfrm>
          <a:off x="39300150" y="23488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4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3000000}"/>
            </a:ext>
          </a:extLst>
        </xdr:cNvPr>
        <xdr:cNvSpPr>
          <a:spLocks noChangeAspect="1" noChangeArrowheads="1"/>
        </xdr:cNvSpPr>
      </xdr:nvSpPr>
      <xdr:spPr bwMode="auto">
        <a:xfrm>
          <a:off x="39300150" y="23488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4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4000000}"/>
            </a:ext>
          </a:extLst>
        </xdr:cNvPr>
        <xdr:cNvSpPr>
          <a:spLocks noChangeAspect="1" noChangeArrowheads="1"/>
        </xdr:cNvSpPr>
      </xdr:nvSpPr>
      <xdr:spPr bwMode="auto">
        <a:xfrm>
          <a:off x="39300150" y="237839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4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5000000}"/>
            </a:ext>
          </a:extLst>
        </xdr:cNvPr>
        <xdr:cNvSpPr>
          <a:spLocks noChangeAspect="1" noChangeArrowheads="1"/>
        </xdr:cNvSpPr>
      </xdr:nvSpPr>
      <xdr:spPr bwMode="auto">
        <a:xfrm>
          <a:off x="39300150" y="237839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5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6000000}"/>
            </a:ext>
          </a:extLst>
        </xdr:cNvPr>
        <xdr:cNvSpPr>
          <a:spLocks noChangeAspect="1" noChangeArrowheads="1"/>
        </xdr:cNvSpPr>
      </xdr:nvSpPr>
      <xdr:spPr bwMode="auto">
        <a:xfrm>
          <a:off x="39300150" y="2407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5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7000000}"/>
            </a:ext>
          </a:extLst>
        </xdr:cNvPr>
        <xdr:cNvSpPr>
          <a:spLocks noChangeAspect="1" noChangeArrowheads="1"/>
        </xdr:cNvSpPr>
      </xdr:nvSpPr>
      <xdr:spPr bwMode="auto">
        <a:xfrm>
          <a:off x="39300150" y="2407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5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8000000}"/>
            </a:ext>
          </a:extLst>
        </xdr:cNvPr>
        <xdr:cNvSpPr>
          <a:spLocks noChangeAspect="1" noChangeArrowheads="1"/>
        </xdr:cNvSpPr>
      </xdr:nvSpPr>
      <xdr:spPr bwMode="auto">
        <a:xfrm>
          <a:off x="39300150" y="243744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5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9000000}"/>
            </a:ext>
          </a:extLst>
        </xdr:cNvPr>
        <xdr:cNvSpPr>
          <a:spLocks noChangeAspect="1" noChangeArrowheads="1"/>
        </xdr:cNvSpPr>
      </xdr:nvSpPr>
      <xdr:spPr bwMode="auto">
        <a:xfrm>
          <a:off x="39300150" y="243744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5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A000000}"/>
            </a:ext>
          </a:extLst>
        </xdr:cNvPr>
        <xdr:cNvSpPr>
          <a:spLocks noChangeAspect="1" noChangeArrowheads="1"/>
        </xdr:cNvSpPr>
      </xdr:nvSpPr>
      <xdr:spPr bwMode="auto">
        <a:xfrm>
          <a:off x="39300150" y="24669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5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B000000}"/>
            </a:ext>
          </a:extLst>
        </xdr:cNvPr>
        <xdr:cNvSpPr>
          <a:spLocks noChangeAspect="1" noChangeArrowheads="1"/>
        </xdr:cNvSpPr>
      </xdr:nvSpPr>
      <xdr:spPr bwMode="auto">
        <a:xfrm>
          <a:off x="39300150" y="24669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5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C000000}"/>
            </a:ext>
          </a:extLst>
        </xdr:cNvPr>
        <xdr:cNvSpPr>
          <a:spLocks noChangeAspect="1" noChangeArrowheads="1"/>
        </xdr:cNvSpPr>
      </xdr:nvSpPr>
      <xdr:spPr bwMode="auto">
        <a:xfrm>
          <a:off x="39300150" y="24965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5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D000000}"/>
            </a:ext>
          </a:extLst>
        </xdr:cNvPr>
        <xdr:cNvSpPr>
          <a:spLocks noChangeAspect="1" noChangeArrowheads="1"/>
        </xdr:cNvSpPr>
      </xdr:nvSpPr>
      <xdr:spPr bwMode="auto">
        <a:xfrm>
          <a:off x="39300150" y="24965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5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E000000}"/>
            </a:ext>
          </a:extLst>
        </xdr:cNvPr>
        <xdr:cNvSpPr>
          <a:spLocks noChangeAspect="1" noChangeArrowheads="1"/>
        </xdr:cNvSpPr>
      </xdr:nvSpPr>
      <xdr:spPr bwMode="auto">
        <a:xfrm>
          <a:off x="39300150" y="25260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5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F000000}"/>
            </a:ext>
          </a:extLst>
        </xdr:cNvPr>
        <xdr:cNvSpPr>
          <a:spLocks noChangeAspect="1" noChangeArrowheads="1"/>
        </xdr:cNvSpPr>
      </xdr:nvSpPr>
      <xdr:spPr bwMode="auto">
        <a:xfrm>
          <a:off x="39300150" y="25260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6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0000000}"/>
            </a:ext>
          </a:extLst>
        </xdr:cNvPr>
        <xdr:cNvSpPr>
          <a:spLocks noChangeAspect="1" noChangeArrowheads="1"/>
        </xdr:cNvSpPr>
      </xdr:nvSpPr>
      <xdr:spPr bwMode="auto">
        <a:xfrm>
          <a:off x="39300150" y="25555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6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1000000}"/>
            </a:ext>
          </a:extLst>
        </xdr:cNvPr>
        <xdr:cNvSpPr>
          <a:spLocks noChangeAspect="1" noChangeArrowheads="1"/>
        </xdr:cNvSpPr>
      </xdr:nvSpPr>
      <xdr:spPr bwMode="auto">
        <a:xfrm>
          <a:off x="39300150" y="25555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6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2000000}"/>
            </a:ext>
          </a:extLst>
        </xdr:cNvPr>
        <xdr:cNvSpPr>
          <a:spLocks noChangeAspect="1" noChangeArrowheads="1"/>
        </xdr:cNvSpPr>
      </xdr:nvSpPr>
      <xdr:spPr bwMode="auto">
        <a:xfrm>
          <a:off x="39300150" y="25850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6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3000000}"/>
            </a:ext>
          </a:extLst>
        </xdr:cNvPr>
        <xdr:cNvSpPr>
          <a:spLocks noChangeAspect="1" noChangeArrowheads="1"/>
        </xdr:cNvSpPr>
      </xdr:nvSpPr>
      <xdr:spPr bwMode="auto">
        <a:xfrm>
          <a:off x="39300150" y="25850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6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4000000}"/>
            </a:ext>
          </a:extLst>
        </xdr:cNvPr>
        <xdr:cNvSpPr>
          <a:spLocks noChangeAspect="1" noChangeArrowheads="1"/>
        </xdr:cNvSpPr>
      </xdr:nvSpPr>
      <xdr:spPr bwMode="auto">
        <a:xfrm>
          <a:off x="39300150" y="261461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6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5000000}"/>
            </a:ext>
          </a:extLst>
        </xdr:cNvPr>
        <xdr:cNvSpPr>
          <a:spLocks noChangeAspect="1" noChangeArrowheads="1"/>
        </xdr:cNvSpPr>
      </xdr:nvSpPr>
      <xdr:spPr bwMode="auto">
        <a:xfrm>
          <a:off x="39300150" y="261461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6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6000000}"/>
            </a:ext>
          </a:extLst>
        </xdr:cNvPr>
        <xdr:cNvSpPr>
          <a:spLocks noChangeAspect="1" noChangeArrowheads="1"/>
        </xdr:cNvSpPr>
      </xdr:nvSpPr>
      <xdr:spPr bwMode="auto">
        <a:xfrm>
          <a:off x="39300150" y="26441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6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7000000}"/>
            </a:ext>
          </a:extLst>
        </xdr:cNvPr>
        <xdr:cNvSpPr>
          <a:spLocks noChangeAspect="1" noChangeArrowheads="1"/>
        </xdr:cNvSpPr>
      </xdr:nvSpPr>
      <xdr:spPr bwMode="auto">
        <a:xfrm>
          <a:off x="39300150" y="26441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6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8000000}"/>
            </a:ext>
          </a:extLst>
        </xdr:cNvPr>
        <xdr:cNvSpPr>
          <a:spLocks noChangeAspect="1" noChangeArrowheads="1"/>
        </xdr:cNvSpPr>
      </xdr:nvSpPr>
      <xdr:spPr bwMode="auto">
        <a:xfrm>
          <a:off x="39300150" y="267366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6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9000000}"/>
            </a:ext>
          </a:extLst>
        </xdr:cNvPr>
        <xdr:cNvSpPr>
          <a:spLocks noChangeAspect="1" noChangeArrowheads="1"/>
        </xdr:cNvSpPr>
      </xdr:nvSpPr>
      <xdr:spPr bwMode="auto">
        <a:xfrm>
          <a:off x="39300150" y="267366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7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A000000}"/>
            </a:ext>
          </a:extLst>
        </xdr:cNvPr>
        <xdr:cNvSpPr>
          <a:spLocks noChangeAspect="1" noChangeArrowheads="1"/>
        </xdr:cNvSpPr>
      </xdr:nvSpPr>
      <xdr:spPr bwMode="auto">
        <a:xfrm>
          <a:off x="39300150" y="27031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7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B000000}"/>
            </a:ext>
          </a:extLst>
        </xdr:cNvPr>
        <xdr:cNvSpPr>
          <a:spLocks noChangeAspect="1" noChangeArrowheads="1"/>
        </xdr:cNvSpPr>
      </xdr:nvSpPr>
      <xdr:spPr bwMode="auto">
        <a:xfrm>
          <a:off x="39300150" y="27031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7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C000000}"/>
            </a:ext>
          </a:extLst>
        </xdr:cNvPr>
        <xdr:cNvSpPr>
          <a:spLocks noChangeAspect="1" noChangeArrowheads="1"/>
        </xdr:cNvSpPr>
      </xdr:nvSpPr>
      <xdr:spPr bwMode="auto">
        <a:xfrm>
          <a:off x="39300150" y="27327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7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D000000}"/>
            </a:ext>
          </a:extLst>
        </xdr:cNvPr>
        <xdr:cNvSpPr>
          <a:spLocks noChangeAspect="1" noChangeArrowheads="1"/>
        </xdr:cNvSpPr>
      </xdr:nvSpPr>
      <xdr:spPr bwMode="auto">
        <a:xfrm>
          <a:off x="39300150" y="27327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7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E000000}"/>
            </a:ext>
          </a:extLst>
        </xdr:cNvPr>
        <xdr:cNvSpPr>
          <a:spLocks noChangeAspect="1" noChangeArrowheads="1"/>
        </xdr:cNvSpPr>
      </xdr:nvSpPr>
      <xdr:spPr bwMode="auto">
        <a:xfrm>
          <a:off x="39300150" y="2762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7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F000000}"/>
            </a:ext>
          </a:extLst>
        </xdr:cNvPr>
        <xdr:cNvSpPr>
          <a:spLocks noChangeAspect="1" noChangeArrowheads="1"/>
        </xdr:cNvSpPr>
      </xdr:nvSpPr>
      <xdr:spPr bwMode="auto">
        <a:xfrm>
          <a:off x="39300150" y="2762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7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0000000}"/>
            </a:ext>
          </a:extLst>
        </xdr:cNvPr>
        <xdr:cNvSpPr>
          <a:spLocks noChangeAspect="1" noChangeArrowheads="1"/>
        </xdr:cNvSpPr>
      </xdr:nvSpPr>
      <xdr:spPr bwMode="auto">
        <a:xfrm>
          <a:off x="39300150" y="279177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7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1000000}"/>
            </a:ext>
          </a:extLst>
        </xdr:cNvPr>
        <xdr:cNvSpPr>
          <a:spLocks noChangeAspect="1" noChangeArrowheads="1"/>
        </xdr:cNvSpPr>
      </xdr:nvSpPr>
      <xdr:spPr bwMode="auto">
        <a:xfrm>
          <a:off x="39300150" y="279177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7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2000000}"/>
            </a:ext>
          </a:extLst>
        </xdr:cNvPr>
        <xdr:cNvSpPr>
          <a:spLocks noChangeAspect="1" noChangeArrowheads="1"/>
        </xdr:cNvSpPr>
      </xdr:nvSpPr>
      <xdr:spPr bwMode="auto">
        <a:xfrm>
          <a:off x="39300150" y="28213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7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3000000}"/>
            </a:ext>
          </a:extLst>
        </xdr:cNvPr>
        <xdr:cNvSpPr>
          <a:spLocks noChangeAspect="1" noChangeArrowheads="1"/>
        </xdr:cNvSpPr>
      </xdr:nvSpPr>
      <xdr:spPr bwMode="auto">
        <a:xfrm>
          <a:off x="39300150" y="28213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8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4000000}"/>
            </a:ext>
          </a:extLst>
        </xdr:cNvPr>
        <xdr:cNvSpPr>
          <a:spLocks noChangeAspect="1" noChangeArrowheads="1"/>
        </xdr:cNvSpPr>
      </xdr:nvSpPr>
      <xdr:spPr bwMode="auto">
        <a:xfrm>
          <a:off x="39300150" y="28508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8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5000000}"/>
            </a:ext>
          </a:extLst>
        </xdr:cNvPr>
        <xdr:cNvSpPr>
          <a:spLocks noChangeAspect="1" noChangeArrowheads="1"/>
        </xdr:cNvSpPr>
      </xdr:nvSpPr>
      <xdr:spPr bwMode="auto">
        <a:xfrm>
          <a:off x="39300150" y="28508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8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6000000}"/>
            </a:ext>
          </a:extLst>
        </xdr:cNvPr>
        <xdr:cNvSpPr>
          <a:spLocks noChangeAspect="1" noChangeArrowheads="1"/>
        </xdr:cNvSpPr>
      </xdr:nvSpPr>
      <xdr:spPr bwMode="auto">
        <a:xfrm>
          <a:off x="39300150" y="28803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8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7000000}"/>
            </a:ext>
          </a:extLst>
        </xdr:cNvPr>
        <xdr:cNvSpPr>
          <a:spLocks noChangeAspect="1" noChangeArrowheads="1"/>
        </xdr:cNvSpPr>
      </xdr:nvSpPr>
      <xdr:spPr bwMode="auto">
        <a:xfrm>
          <a:off x="39300150" y="28803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8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8000000}"/>
            </a:ext>
          </a:extLst>
        </xdr:cNvPr>
        <xdr:cNvSpPr>
          <a:spLocks noChangeAspect="1" noChangeArrowheads="1"/>
        </xdr:cNvSpPr>
      </xdr:nvSpPr>
      <xdr:spPr bwMode="auto">
        <a:xfrm>
          <a:off x="39300150" y="29098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8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9000000}"/>
            </a:ext>
          </a:extLst>
        </xdr:cNvPr>
        <xdr:cNvSpPr>
          <a:spLocks noChangeAspect="1" noChangeArrowheads="1"/>
        </xdr:cNvSpPr>
      </xdr:nvSpPr>
      <xdr:spPr bwMode="auto">
        <a:xfrm>
          <a:off x="39300150" y="29098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8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A000000}"/>
            </a:ext>
          </a:extLst>
        </xdr:cNvPr>
        <xdr:cNvSpPr>
          <a:spLocks noChangeAspect="1" noChangeArrowheads="1"/>
        </xdr:cNvSpPr>
      </xdr:nvSpPr>
      <xdr:spPr bwMode="auto">
        <a:xfrm>
          <a:off x="39300150" y="29394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8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B000000}"/>
            </a:ext>
          </a:extLst>
        </xdr:cNvPr>
        <xdr:cNvSpPr>
          <a:spLocks noChangeAspect="1" noChangeArrowheads="1"/>
        </xdr:cNvSpPr>
      </xdr:nvSpPr>
      <xdr:spPr bwMode="auto">
        <a:xfrm>
          <a:off x="39300150" y="29394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8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C000000}"/>
            </a:ext>
          </a:extLst>
        </xdr:cNvPr>
        <xdr:cNvSpPr>
          <a:spLocks noChangeAspect="1" noChangeArrowheads="1"/>
        </xdr:cNvSpPr>
      </xdr:nvSpPr>
      <xdr:spPr bwMode="auto">
        <a:xfrm>
          <a:off x="39300150" y="296894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8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D000000}"/>
            </a:ext>
          </a:extLst>
        </xdr:cNvPr>
        <xdr:cNvSpPr>
          <a:spLocks noChangeAspect="1" noChangeArrowheads="1"/>
        </xdr:cNvSpPr>
      </xdr:nvSpPr>
      <xdr:spPr bwMode="auto">
        <a:xfrm>
          <a:off x="39300150" y="296894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9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E000000}"/>
            </a:ext>
          </a:extLst>
        </xdr:cNvPr>
        <xdr:cNvSpPr>
          <a:spLocks noChangeAspect="1" noChangeArrowheads="1"/>
        </xdr:cNvSpPr>
      </xdr:nvSpPr>
      <xdr:spPr bwMode="auto">
        <a:xfrm>
          <a:off x="39300150" y="29984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9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F000000}"/>
            </a:ext>
          </a:extLst>
        </xdr:cNvPr>
        <xdr:cNvSpPr>
          <a:spLocks noChangeAspect="1" noChangeArrowheads="1"/>
        </xdr:cNvSpPr>
      </xdr:nvSpPr>
      <xdr:spPr bwMode="auto">
        <a:xfrm>
          <a:off x="39300150" y="29984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9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0000000}"/>
            </a:ext>
          </a:extLst>
        </xdr:cNvPr>
        <xdr:cNvSpPr>
          <a:spLocks noChangeAspect="1" noChangeArrowheads="1"/>
        </xdr:cNvSpPr>
      </xdr:nvSpPr>
      <xdr:spPr bwMode="auto">
        <a:xfrm>
          <a:off x="39300150" y="302799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9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1000000}"/>
            </a:ext>
          </a:extLst>
        </xdr:cNvPr>
        <xdr:cNvSpPr>
          <a:spLocks noChangeAspect="1" noChangeArrowheads="1"/>
        </xdr:cNvSpPr>
      </xdr:nvSpPr>
      <xdr:spPr bwMode="auto">
        <a:xfrm>
          <a:off x="39300150" y="302799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9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2000000}"/>
            </a:ext>
          </a:extLst>
        </xdr:cNvPr>
        <xdr:cNvSpPr>
          <a:spLocks noChangeAspect="1" noChangeArrowheads="1"/>
        </xdr:cNvSpPr>
      </xdr:nvSpPr>
      <xdr:spPr bwMode="auto">
        <a:xfrm>
          <a:off x="39300150" y="30575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9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3000000}"/>
            </a:ext>
          </a:extLst>
        </xdr:cNvPr>
        <xdr:cNvSpPr>
          <a:spLocks noChangeAspect="1" noChangeArrowheads="1"/>
        </xdr:cNvSpPr>
      </xdr:nvSpPr>
      <xdr:spPr bwMode="auto">
        <a:xfrm>
          <a:off x="39300150" y="30575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9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4000000}"/>
            </a:ext>
          </a:extLst>
        </xdr:cNvPr>
        <xdr:cNvSpPr>
          <a:spLocks noChangeAspect="1" noChangeArrowheads="1"/>
        </xdr:cNvSpPr>
      </xdr:nvSpPr>
      <xdr:spPr bwMode="auto">
        <a:xfrm>
          <a:off x="39300150" y="30870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9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5000000}"/>
            </a:ext>
          </a:extLst>
        </xdr:cNvPr>
        <xdr:cNvSpPr>
          <a:spLocks noChangeAspect="1" noChangeArrowheads="1"/>
        </xdr:cNvSpPr>
      </xdr:nvSpPr>
      <xdr:spPr bwMode="auto">
        <a:xfrm>
          <a:off x="39300150" y="30870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9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6000000}"/>
            </a:ext>
          </a:extLst>
        </xdr:cNvPr>
        <xdr:cNvSpPr>
          <a:spLocks noChangeAspect="1" noChangeArrowheads="1"/>
        </xdr:cNvSpPr>
      </xdr:nvSpPr>
      <xdr:spPr bwMode="auto">
        <a:xfrm>
          <a:off x="39300150" y="31165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9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7000000}"/>
            </a:ext>
          </a:extLst>
        </xdr:cNvPr>
        <xdr:cNvSpPr>
          <a:spLocks noChangeAspect="1" noChangeArrowheads="1"/>
        </xdr:cNvSpPr>
      </xdr:nvSpPr>
      <xdr:spPr bwMode="auto">
        <a:xfrm>
          <a:off x="39300150" y="31165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20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8000000}"/>
            </a:ext>
          </a:extLst>
        </xdr:cNvPr>
        <xdr:cNvSpPr>
          <a:spLocks noChangeAspect="1" noChangeArrowheads="1"/>
        </xdr:cNvSpPr>
      </xdr:nvSpPr>
      <xdr:spPr bwMode="auto">
        <a:xfrm>
          <a:off x="39300150" y="31461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20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9000000}"/>
            </a:ext>
          </a:extLst>
        </xdr:cNvPr>
        <xdr:cNvSpPr>
          <a:spLocks noChangeAspect="1" noChangeArrowheads="1"/>
        </xdr:cNvSpPr>
      </xdr:nvSpPr>
      <xdr:spPr bwMode="auto">
        <a:xfrm>
          <a:off x="39300150" y="31461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20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A000000}"/>
            </a:ext>
          </a:extLst>
        </xdr:cNvPr>
        <xdr:cNvSpPr>
          <a:spLocks noChangeAspect="1" noChangeArrowheads="1"/>
        </xdr:cNvSpPr>
      </xdr:nvSpPr>
      <xdr:spPr bwMode="auto">
        <a:xfrm>
          <a:off x="39300150" y="31756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20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B000000}"/>
            </a:ext>
          </a:extLst>
        </xdr:cNvPr>
        <xdr:cNvSpPr>
          <a:spLocks noChangeAspect="1" noChangeArrowheads="1"/>
        </xdr:cNvSpPr>
      </xdr:nvSpPr>
      <xdr:spPr bwMode="auto">
        <a:xfrm>
          <a:off x="39300150" y="31756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20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C000000}"/>
            </a:ext>
          </a:extLst>
        </xdr:cNvPr>
        <xdr:cNvSpPr>
          <a:spLocks noChangeAspect="1" noChangeArrowheads="1"/>
        </xdr:cNvSpPr>
      </xdr:nvSpPr>
      <xdr:spPr bwMode="auto">
        <a:xfrm>
          <a:off x="39300150" y="32051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20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D000000}"/>
            </a:ext>
          </a:extLst>
        </xdr:cNvPr>
        <xdr:cNvSpPr>
          <a:spLocks noChangeAspect="1" noChangeArrowheads="1"/>
        </xdr:cNvSpPr>
      </xdr:nvSpPr>
      <xdr:spPr bwMode="auto">
        <a:xfrm>
          <a:off x="39300150" y="32051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20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E000000}"/>
            </a:ext>
          </a:extLst>
        </xdr:cNvPr>
        <xdr:cNvSpPr>
          <a:spLocks noChangeAspect="1" noChangeArrowheads="1"/>
        </xdr:cNvSpPr>
      </xdr:nvSpPr>
      <xdr:spPr bwMode="auto">
        <a:xfrm>
          <a:off x="39300150" y="32346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20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F000000}"/>
            </a:ext>
          </a:extLst>
        </xdr:cNvPr>
        <xdr:cNvSpPr>
          <a:spLocks noChangeAspect="1" noChangeArrowheads="1"/>
        </xdr:cNvSpPr>
      </xdr:nvSpPr>
      <xdr:spPr bwMode="auto">
        <a:xfrm>
          <a:off x="39300150" y="32346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20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0000000}"/>
            </a:ext>
          </a:extLst>
        </xdr:cNvPr>
        <xdr:cNvSpPr>
          <a:spLocks noChangeAspect="1" noChangeArrowheads="1"/>
        </xdr:cNvSpPr>
      </xdr:nvSpPr>
      <xdr:spPr bwMode="auto">
        <a:xfrm>
          <a:off x="39300150" y="326421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20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1000000}"/>
            </a:ext>
          </a:extLst>
        </xdr:cNvPr>
        <xdr:cNvSpPr>
          <a:spLocks noChangeAspect="1" noChangeArrowheads="1"/>
        </xdr:cNvSpPr>
      </xdr:nvSpPr>
      <xdr:spPr bwMode="auto">
        <a:xfrm>
          <a:off x="39300150" y="326421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21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2000000}"/>
            </a:ext>
          </a:extLst>
        </xdr:cNvPr>
        <xdr:cNvSpPr>
          <a:spLocks noChangeAspect="1" noChangeArrowheads="1"/>
        </xdr:cNvSpPr>
      </xdr:nvSpPr>
      <xdr:spPr bwMode="auto">
        <a:xfrm>
          <a:off x="39300150" y="32937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21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3000000}"/>
            </a:ext>
          </a:extLst>
        </xdr:cNvPr>
        <xdr:cNvSpPr>
          <a:spLocks noChangeAspect="1" noChangeArrowheads="1"/>
        </xdr:cNvSpPr>
      </xdr:nvSpPr>
      <xdr:spPr bwMode="auto">
        <a:xfrm>
          <a:off x="39300150" y="32937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21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4000000}"/>
            </a:ext>
          </a:extLst>
        </xdr:cNvPr>
        <xdr:cNvSpPr>
          <a:spLocks noChangeAspect="1" noChangeArrowheads="1"/>
        </xdr:cNvSpPr>
      </xdr:nvSpPr>
      <xdr:spPr bwMode="auto">
        <a:xfrm>
          <a:off x="39300150" y="332327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21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5000000}"/>
            </a:ext>
          </a:extLst>
        </xdr:cNvPr>
        <xdr:cNvSpPr>
          <a:spLocks noChangeAspect="1" noChangeArrowheads="1"/>
        </xdr:cNvSpPr>
      </xdr:nvSpPr>
      <xdr:spPr bwMode="auto">
        <a:xfrm>
          <a:off x="39300150" y="332327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21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6000000}"/>
            </a:ext>
          </a:extLst>
        </xdr:cNvPr>
        <xdr:cNvSpPr>
          <a:spLocks noChangeAspect="1" noChangeArrowheads="1"/>
        </xdr:cNvSpPr>
      </xdr:nvSpPr>
      <xdr:spPr bwMode="auto">
        <a:xfrm>
          <a:off x="39300150" y="3352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21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7000000}"/>
            </a:ext>
          </a:extLst>
        </xdr:cNvPr>
        <xdr:cNvSpPr>
          <a:spLocks noChangeAspect="1" noChangeArrowheads="1"/>
        </xdr:cNvSpPr>
      </xdr:nvSpPr>
      <xdr:spPr bwMode="auto">
        <a:xfrm>
          <a:off x="39300150" y="3352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21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8000000}"/>
            </a:ext>
          </a:extLst>
        </xdr:cNvPr>
        <xdr:cNvSpPr>
          <a:spLocks noChangeAspect="1" noChangeArrowheads="1"/>
        </xdr:cNvSpPr>
      </xdr:nvSpPr>
      <xdr:spPr bwMode="auto">
        <a:xfrm>
          <a:off x="39300150" y="338232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21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9000000}"/>
            </a:ext>
          </a:extLst>
        </xdr:cNvPr>
        <xdr:cNvSpPr>
          <a:spLocks noChangeAspect="1" noChangeArrowheads="1"/>
        </xdr:cNvSpPr>
      </xdr:nvSpPr>
      <xdr:spPr bwMode="auto">
        <a:xfrm>
          <a:off x="39300150" y="338232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21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A000000}"/>
            </a:ext>
          </a:extLst>
        </xdr:cNvPr>
        <xdr:cNvSpPr>
          <a:spLocks noChangeAspect="1" noChangeArrowheads="1"/>
        </xdr:cNvSpPr>
      </xdr:nvSpPr>
      <xdr:spPr bwMode="auto">
        <a:xfrm>
          <a:off x="39300150" y="34118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21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B000000}"/>
            </a:ext>
          </a:extLst>
        </xdr:cNvPr>
        <xdr:cNvSpPr>
          <a:spLocks noChangeAspect="1" noChangeArrowheads="1"/>
        </xdr:cNvSpPr>
      </xdr:nvSpPr>
      <xdr:spPr bwMode="auto">
        <a:xfrm>
          <a:off x="39300150" y="34118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22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C000000}"/>
            </a:ext>
          </a:extLst>
        </xdr:cNvPr>
        <xdr:cNvSpPr>
          <a:spLocks noChangeAspect="1" noChangeArrowheads="1"/>
        </xdr:cNvSpPr>
      </xdr:nvSpPr>
      <xdr:spPr bwMode="auto">
        <a:xfrm>
          <a:off x="39300150" y="34413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22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D000000}"/>
            </a:ext>
          </a:extLst>
        </xdr:cNvPr>
        <xdr:cNvSpPr>
          <a:spLocks noChangeAspect="1" noChangeArrowheads="1"/>
        </xdr:cNvSpPr>
      </xdr:nvSpPr>
      <xdr:spPr bwMode="auto">
        <a:xfrm>
          <a:off x="39300150" y="34413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22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E000000}"/>
            </a:ext>
          </a:extLst>
        </xdr:cNvPr>
        <xdr:cNvSpPr>
          <a:spLocks noChangeAspect="1" noChangeArrowheads="1"/>
        </xdr:cNvSpPr>
      </xdr:nvSpPr>
      <xdr:spPr bwMode="auto">
        <a:xfrm>
          <a:off x="39300150" y="34709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22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F000000}"/>
            </a:ext>
          </a:extLst>
        </xdr:cNvPr>
        <xdr:cNvSpPr>
          <a:spLocks noChangeAspect="1" noChangeArrowheads="1"/>
        </xdr:cNvSpPr>
      </xdr:nvSpPr>
      <xdr:spPr bwMode="auto">
        <a:xfrm>
          <a:off x="39300150" y="34709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22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0000000}"/>
            </a:ext>
          </a:extLst>
        </xdr:cNvPr>
        <xdr:cNvSpPr>
          <a:spLocks noChangeAspect="1" noChangeArrowheads="1"/>
        </xdr:cNvSpPr>
      </xdr:nvSpPr>
      <xdr:spPr bwMode="auto">
        <a:xfrm>
          <a:off x="39300150" y="35004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22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1000000}"/>
            </a:ext>
          </a:extLst>
        </xdr:cNvPr>
        <xdr:cNvSpPr>
          <a:spLocks noChangeAspect="1" noChangeArrowheads="1"/>
        </xdr:cNvSpPr>
      </xdr:nvSpPr>
      <xdr:spPr bwMode="auto">
        <a:xfrm>
          <a:off x="39300150" y="35004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22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2000000}"/>
            </a:ext>
          </a:extLst>
        </xdr:cNvPr>
        <xdr:cNvSpPr>
          <a:spLocks noChangeAspect="1" noChangeArrowheads="1"/>
        </xdr:cNvSpPr>
      </xdr:nvSpPr>
      <xdr:spPr bwMode="auto">
        <a:xfrm>
          <a:off x="39300150" y="35299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22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3000000}"/>
            </a:ext>
          </a:extLst>
        </xdr:cNvPr>
        <xdr:cNvSpPr>
          <a:spLocks noChangeAspect="1" noChangeArrowheads="1"/>
        </xdr:cNvSpPr>
      </xdr:nvSpPr>
      <xdr:spPr bwMode="auto">
        <a:xfrm>
          <a:off x="39300150" y="35299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22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4000000}"/>
            </a:ext>
          </a:extLst>
        </xdr:cNvPr>
        <xdr:cNvSpPr>
          <a:spLocks noChangeAspect="1" noChangeArrowheads="1"/>
        </xdr:cNvSpPr>
      </xdr:nvSpPr>
      <xdr:spPr bwMode="auto">
        <a:xfrm>
          <a:off x="39300150" y="355949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22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5000000}"/>
            </a:ext>
          </a:extLst>
        </xdr:cNvPr>
        <xdr:cNvSpPr>
          <a:spLocks noChangeAspect="1" noChangeArrowheads="1"/>
        </xdr:cNvSpPr>
      </xdr:nvSpPr>
      <xdr:spPr bwMode="auto">
        <a:xfrm>
          <a:off x="39300150" y="355949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23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6000000}"/>
            </a:ext>
          </a:extLst>
        </xdr:cNvPr>
        <xdr:cNvSpPr>
          <a:spLocks noChangeAspect="1" noChangeArrowheads="1"/>
        </xdr:cNvSpPr>
      </xdr:nvSpPr>
      <xdr:spPr bwMode="auto">
        <a:xfrm>
          <a:off x="39300150" y="3589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23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7000000}"/>
            </a:ext>
          </a:extLst>
        </xdr:cNvPr>
        <xdr:cNvSpPr>
          <a:spLocks noChangeAspect="1" noChangeArrowheads="1"/>
        </xdr:cNvSpPr>
      </xdr:nvSpPr>
      <xdr:spPr bwMode="auto">
        <a:xfrm>
          <a:off x="39300150" y="3589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23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8000000}"/>
            </a:ext>
          </a:extLst>
        </xdr:cNvPr>
        <xdr:cNvSpPr>
          <a:spLocks noChangeAspect="1" noChangeArrowheads="1"/>
        </xdr:cNvSpPr>
      </xdr:nvSpPr>
      <xdr:spPr bwMode="auto">
        <a:xfrm>
          <a:off x="39300150" y="361854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23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9000000}"/>
            </a:ext>
          </a:extLst>
        </xdr:cNvPr>
        <xdr:cNvSpPr>
          <a:spLocks noChangeAspect="1" noChangeArrowheads="1"/>
        </xdr:cNvSpPr>
      </xdr:nvSpPr>
      <xdr:spPr bwMode="auto">
        <a:xfrm>
          <a:off x="39300150" y="361854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23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A000000}"/>
            </a:ext>
          </a:extLst>
        </xdr:cNvPr>
        <xdr:cNvSpPr>
          <a:spLocks noChangeAspect="1" noChangeArrowheads="1"/>
        </xdr:cNvSpPr>
      </xdr:nvSpPr>
      <xdr:spPr bwMode="auto">
        <a:xfrm>
          <a:off x="39300150" y="36480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23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B000000}"/>
            </a:ext>
          </a:extLst>
        </xdr:cNvPr>
        <xdr:cNvSpPr>
          <a:spLocks noChangeAspect="1" noChangeArrowheads="1"/>
        </xdr:cNvSpPr>
      </xdr:nvSpPr>
      <xdr:spPr bwMode="auto">
        <a:xfrm>
          <a:off x="39300150" y="36480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23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C000000}"/>
            </a:ext>
          </a:extLst>
        </xdr:cNvPr>
        <xdr:cNvSpPr>
          <a:spLocks noChangeAspect="1" noChangeArrowheads="1"/>
        </xdr:cNvSpPr>
      </xdr:nvSpPr>
      <xdr:spPr bwMode="auto">
        <a:xfrm>
          <a:off x="39300150" y="36776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23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D000000}"/>
            </a:ext>
          </a:extLst>
        </xdr:cNvPr>
        <xdr:cNvSpPr>
          <a:spLocks noChangeAspect="1" noChangeArrowheads="1"/>
        </xdr:cNvSpPr>
      </xdr:nvSpPr>
      <xdr:spPr bwMode="auto">
        <a:xfrm>
          <a:off x="39300150" y="36776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23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E000000}"/>
            </a:ext>
          </a:extLst>
        </xdr:cNvPr>
        <xdr:cNvSpPr>
          <a:spLocks noChangeAspect="1" noChangeArrowheads="1"/>
        </xdr:cNvSpPr>
      </xdr:nvSpPr>
      <xdr:spPr bwMode="auto">
        <a:xfrm>
          <a:off x="39300150" y="37071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23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F000000}"/>
            </a:ext>
          </a:extLst>
        </xdr:cNvPr>
        <xdr:cNvSpPr>
          <a:spLocks noChangeAspect="1" noChangeArrowheads="1"/>
        </xdr:cNvSpPr>
      </xdr:nvSpPr>
      <xdr:spPr bwMode="auto">
        <a:xfrm>
          <a:off x="39300150" y="37071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24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0000000}"/>
            </a:ext>
          </a:extLst>
        </xdr:cNvPr>
        <xdr:cNvSpPr>
          <a:spLocks noChangeAspect="1" noChangeArrowheads="1"/>
        </xdr:cNvSpPr>
      </xdr:nvSpPr>
      <xdr:spPr bwMode="auto">
        <a:xfrm>
          <a:off x="39300150" y="37366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24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1000000}"/>
            </a:ext>
          </a:extLst>
        </xdr:cNvPr>
        <xdr:cNvSpPr>
          <a:spLocks noChangeAspect="1" noChangeArrowheads="1"/>
        </xdr:cNvSpPr>
      </xdr:nvSpPr>
      <xdr:spPr bwMode="auto">
        <a:xfrm>
          <a:off x="39300150" y="37366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24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2000000}"/>
            </a:ext>
          </a:extLst>
        </xdr:cNvPr>
        <xdr:cNvSpPr>
          <a:spLocks noChangeAspect="1" noChangeArrowheads="1"/>
        </xdr:cNvSpPr>
      </xdr:nvSpPr>
      <xdr:spPr bwMode="auto">
        <a:xfrm>
          <a:off x="39300150" y="37661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24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3000000}"/>
            </a:ext>
          </a:extLst>
        </xdr:cNvPr>
        <xdr:cNvSpPr>
          <a:spLocks noChangeAspect="1" noChangeArrowheads="1"/>
        </xdr:cNvSpPr>
      </xdr:nvSpPr>
      <xdr:spPr bwMode="auto">
        <a:xfrm>
          <a:off x="39300150" y="37661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24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4000000}"/>
            </a:ext>
          </a:extLst>
        </xdr:cNvPr>
        <xdr:cNvSpPr>
          <a:spLocks noChangeAspect="1" noChangeArrowheads="1"/>
        </xdr:cNvSpPr>
      </xdr:nvSpPr>
      <xdr:spPr bwMode="auto">
        <a:xfrm>
          <a:off x="39300150" y="379571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24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5000000}"/>
            </a:ext>
          </a:extLst>
        </xdr:cNvPr>
        <xdr:cNvSpPr>
          <a:spLocks noChangeAspect="1" noChangeArrowheads="1"/>
        </xdr:cNvSpPr>
      </xdr:nvSpPr>
      <xdr:spPr bwMode="auto">
        <a:xfrm>
          <a:off x="39300150" y="379571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24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6000000}"/>
            </a:ext>
          </a:extLst>
        </xdr:cNvPr>
        <xdr:cNvSpPr>
          <a:spLocks noChangeAspect="1" noChangeArrowheads="1"/>
        </xdr:cNvSpPr>
      </xdr:nvSpPr>
      <xdr:spPr bwMode="auto">
        <a:xfrm>
          <a:off x="39300150" y="38252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24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7000000}"/>
            </a:ext>
          </a:extLst>
        </xdr:cNvPr>
        <xdr:cNvSpPr>
          <a:spLocks noChangeAspect="1" noChangeArrowheads="1"/>
        </xdr:cNvSpPr>
      </xdr:nvSpPr>
      <xdr:spPr bwMode="auto">
        <a:xfrm>
          <a:off x="39300150" y="38252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24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8000000}"/>
            </a:ext>
          </a:extLst>
        </xdr:cNvPr>
        <xdr:cNvSpPr>
          <a:spLocks noChangeAspect="1" noChangeArrowheads="1"/>
        </xdr:cNvSpPr>
      </xdr:nvSpPr>
      <xdr:spPr bwMode="auto">
        <a:xfrm>
          <a:off x="39300150" y="385476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24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9000000}"/>
            </a:ext>
          </a:extLst>
        </xdr:cNvPr>
        <xdr:cNvSpPr>
          <a:spLocks noChangeAspect="1" noChangeArrowheads="1"/>
        </xdr:cNvSpPr>
      </xdr:nvSpPr>
      <xdr:spPr bwMode="auto">
        <a:xfrm>
          <a:off x="39300150" y="385476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25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A000000}"/>
            </a:ext>
          </a:extLst>
        </xdr:cNvPr>
        <xdr:cNvSpPr>
          <a:spLocks noChangeAspect="1" noChangeArrowheads="1"/>
        </xdr:cNvSpPr>
      </xdr:nvSpPr>
      <xdr:spPr bwMode="auto">
        <a:xfrm>
          <a:off x="39300150" y="38842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25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B000000}"/>
            </a:ext>
          </a:extLst>
        </xdr:cNvPr>
        <xdr:cNvSpPr>
          <a:spLocks noChangeAspect="1" noChangeArrowheads="1"/>
        </xdr:cNvSpPr>
      </xdr:nvSpPr>
      <xdr:spPr bwMode="auto">
        <a:xfrm>
          <a:off x="39300150" y="38842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25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C000000}"/>
            </a:ext>
          </a:extLst>
        </xdr:cNvPr>
        <xdr:cNvSpPr>
          <a:spLocks noChangeAspect="1" noChangeArrowheads="1"/>
        </xdr:cNvSpPr>
      </xdr:nvSpPr>
      <xdr:spPr bwMode="auto">
        <a:xfrm>
          <a:off x="39300150" y="39138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25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D000000}"/>
            </a:ext>
          </a:extLst>
        </xdr:cNvPr>
        <xdr:cNvSpPr>
          <a:spLocks noChangeAspect="1" noChangeArrowheads="1"/>
        </xdr:cNvSpPr>
      </xdr:nvSpPr>
      <xdr:spPr bwMode="auto">
        <a:xfrm>
          <a:off x="39300150" y="39138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25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E000000}"/>
            </a:ext>
          </a:extLst>
        </xdr:cNvPr>
        <xdr:cNvSpPr>
          <a:spLocks noChangeAspect="1" noChangeArrowheads="1"/>
        </xdr:cNvSpPr>
      </xdr:nvSpPr>
      <xdr:spPr bwMode="auto">
        <a:xfrm>
          <a:off x="39300150" y="3943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25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F000000}"/>
            </a:ext>
          </a:extLst>
        </xdr:cNvPr>
        <xdr:cNvSpPr>
          <a:spLocks noChangeAspect="1" noChangeArrowheads="1"/>
        </xdr:cNvSpPr>
      </xdr:nvSpPr>
      <xdr:spPr bwMode="auto">
        <a:xfrm>
          <a:off x="39300150" y="3943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25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0010000}"/>
            </a:ext>
          </a:extLst>
        </xdr:cNvPr>
        <xdr:cNvSpPr>
          <a:spLocks noChangeAspect="1" noChangeArrowheads="1"/>
        </xdr:cNvSpPr>
      </xdr:nvSpPr>
      <xdr:spPr bwMode="auto">
        <a:xfrm>
          <a:off x="39300150" y="397287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25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1010000}"/>
            </a:ext>
          </a:extLst>
        </xdr:cNvPr>
        <xdr:cNvSpPr>
          <a:spLocks noChangeAspect="1" noChangeArrowheads="1"/>
        </xdr:cNvSpPr>
      </xdr:nvSpPr>
      <xdr:spPr bwMode="auto">
        <a:xfrm>
          <a:off x="39300150" y="397287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25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2010000}"/>
            </a:ext>
          </a:extLst>
        </xdr:cNvPr>
        <xdr:cNvSpPr>
          <a:spLocks noChangeAspect="1" noChangeArrowheads="1"/>
        </xdr:cNvSpPr>
      </xdr:nvSpPr>
      <xdr:spPr bwMode="auto">
        <a:xfrm>
          <a:off x="39300150" y="40024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25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3010000}"/>
            </a:ext>
          </a:extLst>
        </xdr:cNvPr>
        <xdr:cNvSpPr>
          <a:spLocks noChangeAspect="1" noChangeArrowheads="1"/>
        </xdr:cNvSpPr>
      </xdr:nvSpPr>
      <xdr:spPr bwMode="auto">
        <a:xfrm>
          <a:off x="39300150" y="40024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26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4010000}"/>
            </a:ext>
          </a:extLst>
        </xdr:cNvPr>
        <xdr:cNvSpPr>
          <a:spLocks noChangeAspect="1" noChangeArrowheads="1"/>
        </xdr:cNvSpPr>
      </xdr:nvSpPr>
      <xdr:spPr bwMode="auto">
        <a:xfrm>
          <a:off x="39300150" y="40319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26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5010000}"/>
            </a:ext>
          </a:extLst>
        </xdr:cNvPr>
        <xdr:cNvSpPr>
          <a:spLocks noChangeAspect="1" noChangeArrowheads="1"/>
        </xdr:cNvSpPr>
      </xdr:nvSpPr>
      <xdr:spPr bwMode="auto">
        <a:xfrm>
          <a:off x="39300150" y="40319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26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6010000}"/>
            </a:ext>
          </a:extLst>
        </xdr:cNvPr>
        <xdr:cNvSpPr>
          <a:spLocks noChangeAspect="1" noChangeArrowheads="1"/>
        </xdr:cNvSpPr>
      </xdr:nvSpPr>
      <xdr:spPr bwMode="auto">
        <a:xfrm>
          <a:off x="39300150" y="40614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26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7010000}"/>
            </a:ext>
          </a:extLst>
        </xdr:cNvPr>
        <xdr:cNvSpPr>
          <a:spLocks noChangeAspect="1" noChangeArrowheads="1"/>
        </xdr:cNvSpPr>
      </xdr:nvSpPr>
      <xdr:spPr bwMode="auto">
        <a:xfrm>
          <a:off x="39300150" y="40614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26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8010000}"/>
            </a:ext>
          </a:extLst>
        </xdr:cNvPr>
        <xdr:cNvSpPr>
          <a:spLocks noChangeAspect="1" noChangeArrowheads="1"/>
        </xdr:cNvSpPr>
      </xdr:nvSpPr>
      <xdr:spPr bwMode="auto">
        <a:xfrm>
          <a:off x="39300150" y="40909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26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9010000}"/>
            </a:ext>
          </a:extLst>
        </xdr:cNvPr>
        <xdr:cNvSpPr>
          <a:spLocks noChangeAspect="1" noChangeArrowheads="1"/>
        </xdr:cNvSpPr>
      </xdr:nvSpPr>
      <xdr:spPr bwMode="auto">
        <a:xfrm>
          <a:off x="39300150" y="40909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26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A010000}"/>
            </a:ext>
          </a:extLst>
        </xdr:cNvPr>
        <xdr:cNvSpPr>
          <a:spLocks noChangeAspect="1" noChangeArrowheads="1"/>
        </xdr:cNvSpPr>
      </xdr:nvSpPr>
      <xdr:spPr bwMode="auto">
        <a:xfrm>
          <a:off x="39300150" y="41205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26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B010000}"/>
            </a:ext>
          </a:extLst>
        </xdr:cNvPr>
        <xdr:cNvSpPr>
          <a:spLocks noChangeAspect="1" noChangeArrowheads="1"/>
        </xdr:cNvSpPr>
      </xdr:nvSpPr>
      <xdr:spPr bwMode="auto">
        <a:xfrm>
          <a:off x="39300150" y="41205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26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C010000}"/>
            </a:ext>
          </a:extLst>
        </xdr:cNvPr>
        <xdr:cNvSpPr>
          <a:spLocks noChangeAspect="1" noChangeArrowheads="1"/>
        </xdr:cNvSpPr>
      </xdr:nvSpPr>
      <xdr:spPr bwMode="auto">
        <a:xfrm>
          <a:off x="39300150" y="415004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26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D010000}"/>
            </a:ext>
          </a:extLst>
        </xdr:cNvPr>
        <xdr:cNvSpPr>
          <a:spLocks noChangeAspect="1" noChangeArrowheads="1"/>
        </xdr:cNvSpPr>
      </xdr:nvSpPr>
      <xdr:spPr bwMode="auto">
        <a:xfrm>
          <a:off x="39300150" y="415004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27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E010000}"/>
            </a:ext>
          </a:extLst>
        </xdr:cNvPr>
        <xdr:cNvSpPr>
          <a:spLocks noChangeAspect="1" noChangeArrowheads="1"/>
        </xdr:cNvSpPr>
      </xdr:nvSpPr>
      <xdr:spPr bwMode="auto">
        <a:xfrm>
          <a:off x="39300150" y="41795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27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F010000}"/>
            </a:ext>
          </a:extLst>
        </xdr:cNvPr>
        <xdr:cNvSpPr>
          <a:spLocks noChangeAspect="1" noChangeArrowheads="1"/>
        </xdr:cNvSpPr>
      </xdr:nvSpPr>
      <xdr:spPr bwMode="auto">
        <a:xfrm>
          <a:off x="39300150" y="41795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27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0010000}"/>
            </a:ext>
          </a:extLst>
        </xdr:cNvPr>
        <xdr:cNvSpPr>
          <a:spLocks noChangeAspect="1" noChangeArrowheads="1"/>
        </xdr:cNvSpPr>
      </xdr:nvSpPr>
      <xdr:spPr bwMode="auto">
        <a:xfrm>
          <a:off x="39300150" y="420909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27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1010000}"/>
            </a:ext>
          </a:extLst>
        </xdr:cNvPr>
        <xdr:cNvSpPr>
          <a:spLocks noChangeAspect="1" noChangeArrowheads="1"/>
        </xdr:cNvSpPr>
      </xdr:nvSpPr>
      <xdr:spPr bwMode="auto">
        <a:xfrm>
          <a:off x="39300150" y="420909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27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2010000}"/>
            </a:ext>
          </a:extLst>
        </xdr:cNvPr>
        <xdr:cNvSpPr>
          <a:spLocks noChangeAspect="1" noChangeArrowheads="1"/>
        </xdr:cNvSpPr>
      </xdr:nvSpPr>
      <xdr:spPr bwMode="auto">
        <a:xfrm>
          <a:off x="39300150" y="42386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27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3010000}"/>
            </a:ext>
          </a:extLst>
        </xdr:cNvPr>
        <xdr:cNvSpPr>
          <a:spLocks noChangeAspect="1" noChangeArrowheads="1"/>
        </xdr:cNvSpPr>
      </xdr:nvSpPr>
      <xdr:spPr bwMode="auto">
        <a:xfrm>
          <a:off x="39300150" y="42386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27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4010000}"/>
            </a:ext>
          </a:extLst>
        </xdr:cNvPr>
        <xdr:cNvSpPr>
          <a:spLocks noChangeAspect="1" noChangeArrowheads="1"/>
        </xdr:cNvSpPr>
      </xdr:nvSpPr>
      <xdr:spPr bwMode="auto">
        <a:xfrm>
          <a:off x="39300150" y="42681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27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5010000}"/>
            </a:ext>
          </a:extLst>
        </xdr:cNvPr>
        <xdr:cNvSpPr>
          <a:spLocks noChangeAspect="1" noChangeArrowheads="1"/>
        </xdr:cNvSpPr>
      </xdr:nvSpPr>
      <xdr:spPr bwMode="auto">
        <a:xfrm>
          <a:off x="39300150" y="42681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27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6010000}"/>
            </a:ext>
          </a:extLst>
        </xdr:cNvPr>
        <xdr:cNvSpPr>
          <a:spLocks noChangeAspect="1" noChangeArrowheads="1"/>
        </xdr:cNvSpPr>
      </xdr:nvSpPr>
      <xdr:spPr bwMode="auto">
        <a:xfrm>
          <a:off x="39300150" y="42976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27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7010000}"/>
            </a:ext>
          </a:extLst>
        </xdr:cNvPr>
        <xdr:cNvSpPr>
          <a:spLocks noChangeAspect="1" noChangeArrowheads="1"/>
        </xdr:cNvSpPr>
      </xdr:nvSpPr>
      <xdr:spPr bwMode="auto">
        <a:xfrm>
          <a:off x="39300150" y="42976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28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8010000}"/>
            </a:ext>
          </a:extLst>
        </xdr:cNvPr>
        <xdr:cNvSpPr>
          <a:spLocks noChangeAspect="1" noChangeArrowheads="1"/>
        </xdr:cNvSpPr>
      </xdr:nvSpPr>
      <xdr:spPr bwMode="auto">
        <a:xfrm>
          <a:off x="39300150" y="43272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28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9010000}"/>
            </a:ext>
          </a:extLst>
        </xdr:cNvPr>
        <xdr:cNvSpPr>
          <a:spLocks noChangeAspect="1" noChangeArrowheads="1"/>
        </xdr:cNvSpPr>
      </xdr:nvSpPr>
      <xdr:spPr bwMode="auto">
        <a:xfrm>
          <a:off x="39300150" y="43272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28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A010000}"/>
            </a:ext>
          </a:extLst>
        </xdr:cNvPr>
        <xdr:cNvSpPr>
          <a:spLocks noChangeAspect="1" noChangeArrowheads="1"/>
        </xdr:cNvSpPr>
      </xdr:nvSpPr>
      <xdr:spPr bwMode="auto">
        <a:xfrm>
          <a:off x="39300150" y="43567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28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B010000}"/>
            </a:ext>
          </a:extLst>
        </xdr:cNvPr>
        <xdr:cNvSpPr>
          <a:spLocks noChangeAspect="1" noChangeArrowheads="1"/>
        </xdr:cNvSpPr>
      </xdr:nvSpPr>
      <xdr:spPr bwMode="auto">
        <a:xfrm>
          <a:off x="39300150" y="43567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28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C010000}"/>
            </a:ext>
          </a:extLst>
        </xdr:cNvPr>
        <xdr:cNvSpPr>
          <a:spLocks noChangeAspect="1" noChangeArrowheads="1"/>
        </xdr:cNvSpPr>
      </xdr:nvSpPr>
      <xdr:spPr bwMode="auto">
        <a:xfrm>
          <a:off x="39300150" y="43862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28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D010000}"/>
            </a:ext>
          </a:extLst>
        </xdr:cNvPr>
        <xdr:cNvSpPr>
          <a:spLocks noChangeAspect="1" noChangeArrowheads="1"/>
        </xdr:cNvSpPr>
      </xdr:nvSpPr>
      <xdr:spPr bwMode="auto">
        <a:xfrm>
          <a:off x="39300150" y="43862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28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E010000}"/>
            </a:ext>
          </a:extLst>
        </xdr:cNvPr>
        <xdr:cNvSpPr>
          <a:spLocks noChangeAspect="1" noChangeArrowheads="1"/>
        </xdr:cNvSpPr>
      </xdr:nvSpPr>
      <xdr:spPr bwMode="auto">
        <a:xfrm>
          <a:off x="39300150" y="44157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28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F010000}"/>
            </a:ext>
          </a:extLst>
        </xdr:cNvPr>
        <xdr:cNvSpPr>
          <a:spLocks noChangeAspect="1" noChangeArrowheads="1"/>
        </xdr:cNvSpPr>
      </xdr:nvSpPr>
      <xdr:spPr bwMode="auto">
        <a:xfrm>
          <a:off x="39300150" y="44157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28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0010000}"/>
            </a:ext>
          </a:extLst>
        </xdr:cNvPr>
        <xdr:cNvSpPr>
          <a:spLocks noChangeAspect="1" noChangeArrowheads="1"/>
        </xdr:cNvSpPr>
      </xdr:nvSpPr>
      <xdr:spPr bwMode="auto">
        <a:xfrm>
          <a:off x="39300150" y="444531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28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1010000}"/>
            </a:ext>
          </a:extLst>
        </xdr:cNvPr>
        <xdr:cNvSpPr>
          <a:spLocks noChangeAspect="1" noChangeArrowheads="1"/>
        </xdr:cNvSpPr>
      </xdr:nvSpPr>
      <xdr:spPr bwMode="auto">
        <a:xfrm>
          <a:off x="39300150" y="444531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29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2010000}"/>
            </a:ext>
          </a:extLst>
        </xdr:cNvPr>
        <xdr:cNvSpPr>
          <a:spLocks noChangeAspect="1" noChangeArrowheads="1"/>
        </xdr:cNvSpPr>
      </xdr:nvSpPr>
      <xdr:spPr bwMode="auto">
        <a:xfrm>
          <a:off x="39300150" y="44748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29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3010000}"/>
            </a:ext>
          </a:extLst>
        </xdr:cNvPr>
        <xdr:cNvSpPr>
          <a:spLocks noChangeAspect="1" noChangeArrowheads="1"/>
        </xdr:cNvSpPr>
      </xdr:nvSpPr>
      <xdr:spPr bwMode="auto">
        <a:xfrm>
          <a:off x="39300150" y="44748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29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4010000}"/>
            </a:ext>
          </a:extLst>
        </xdr:cNvPr>
        <xdr:cNvSpPr>
          <a:spLocks noChangeAspect="1" noChangeArrowheads="1"/>
        </xdr:cNvSpPr>
      </xdr:nvSpPr>
      <xdr:spPr bwMode="auto">
        <a:xfrm>
          <a:off x="39300150" y="450437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29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5010000}"/>
            </a:ext>
          </a:extLst>
        </xdr:cNvPr>
        <xdr:cNvSpPr>
          <a:spLocks noChangeAspect="1" noChangeArrowheads="1"/>
        </xdr:cNvSpPr>
      </xdr:nvSpPr>
      <xdr:spPr bwMode="auto">
        <a:xfrm>
          <a:off x="39300150" y="450437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29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6010000}"/>
            </a:ext>
          </a:extLst>
        </xdr:cNvPr>
        <xdr:cNvSpPr>
          <a:spLocks noChangeAspect="1" noChangeArrowheads="1"/>
        </xdr:cNvSpPr>
      </xdr:nvSpPr>
      <xdr:spPr bwMode="auto">
        <a:xfrm>
          <a:off x="39300150" y="453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29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7010000}"/>
            </a:ext>
          </a:extLst>
        </xdr:cNvPr>
        <xdr:cNvSpPr>
          <a:spLocks noChangeAspect="1" noChangeArrowheads="1"/>
        </xdr:cNvSpPr>
      </xdr:nvSpPr>
      <xdr:spPr bwMode="auto">
        <a:xfrm>
          <a:off x="39300150" y="453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29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8010000}"/>
            </a:ext>
          </a:extLst>
        </xdr:cNvPr>
        <xdr:cNvSpPr>
          <a:spLocks noChangeAspect="1" noChangeArrowheads="1"/>
        </xdr:cNvSpPr>
      </xdr:nvSpPr>
      <xdr:spPr bwMode="auto">
        <a:xfrm>
          <a:off x="39300150" y="456342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29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9010000}"/>
            </a:ext>
          </a:extLst>
        </xdr:cNvPr>
        <xdr:cNvSpPr>
          <a:spLocks noChangeAspect="1" noChangeArrowheads="1"/>
        </xdr:cNvSpPr>
      </xdr:nvSpPr>
      <xdr:spPr bwMode="auto">
        <a:xfrm>
          <a:off x="39300150" y="456342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29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A010000}"/>
            </a:ext>
          </a:extLst>
        </xdr:cNvPr>
        <xdr:cNvSpPr>
          <a:spLocks noChangeAspect="1" noChangeArrowheads="1"/>
        </xdr:cNvSpPr>
      </xdr:nvSpPr>
      <xdr:spPr bwMode="auto">
        <a:xfrm>
          <a:off x="39300150" y="45929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29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B010000}"/>
            </a:ext>
          </a:extLst>
        </xdr:cNvPr>
        <xdr:cNvSpPr>
          <a:spLocks noChangeAspect="1" noChangeArrowheads="1"/>
        </xdr:cNvSpPr>
      </xdr:nvSpPr>
      <xdr:spPr bwMode="auto">
        <a:xfrm>
          <a:off x="39300150" y="45929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30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C010000}"/>
            </a:ext>
          </a:extLst>
        </xdr:cNvPr>
        <xdr:cNvSpPr>
          <a:spLocks noChangeAspect="1" noChangeArrowheads="1"/>
        </xdr:cNvSpPr>
      </xdr:nvSpPr>
      <xdr:spPr bwMode="auto">
        <a:xfrm>
          <a:off x="39300150" y="46224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30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D010000}"/>
            </a:ext>
          </a:extLst>
        </xdr:cNvPr>
        <xdr:cNvSpPr>
          <a:spLocks noChangeAspect="1" noChangeArrowheads="1"/>
        </xdr:cNvSpPr>
      </xdr:nvSpPr>
      <xdr:spPr bwMode="auto">
        <a:xfrm>
          <a:off x="39300150" y="46224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30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E010000}"/>
            </a:ext>
          </a:extLst>
        </xdr:cNvPr>
        <xdr:cNvSpPr>
          <a:spLocks noChangeAspect="1" noChangeArrowheads="1"/>
        </xdr:cNvSpPr>
      </xdr:nvSpPr>
      <xdr:spPr bwMode="auto">
        <a:xfrm>
          <a:off x="39300150" y="46520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30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F010000}"/>
            </a:ext>
          </a:extLst>
        </xdr:cNvPr>
        <xdr:cNvSpPr>
          <a:spLocks noChangeAspect="1" noChangeArrowheads="1"/>
        </xdr:cNvSpPr>
      </xdr:nvSpPr>
      <xdr:spPr bwMode="auto">
        <a:xfrm>
          <a:off x="39300150" y="46520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30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0010000}"/>
            </a:ext>
          </a:extLst>
        </xdr:cNvPr>
        <xdr:cNvSpPr>
          <a:spLocks noChangeAspect="1" noChangeArrowheads="1"/>
        </xdr:cNvSpPr>
      </xdr:nvSpPr>
      <xdr:spPr bwMode="auto">
        <a:xfrm>
          <a:off x="39300150" y="46815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30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1010000}"/>
            </a:ext>
          </a:extLst>
        </xdr:cNvPr>
        <xdr:cNvSpPr>
          <a:spLocks noChangeAspect="1" noChangeArrowheads="1"/>
        </xdr:cNvSpPr>
      </xdr:nvSpPr>
      <xdr:spPr bwMode="auto">
        <a:xfrm>
          <a:off x="39300150" y="46815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30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2010000}"/>
            </a:ext>
          </a:extLst>
        </xdr:cNvPr>
        <xdr:cNvSpPr>
          <a:spLocks noChangeAspect="1" noChangeArrowheads="1"/>
        </xdr:cNvSpPr>
      </xdr:nvSpPr>
      <xdr:spPr bwMode="auto">
        <a:xfrm>
          <a:off x="39300150" y="47110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30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3010000}"/>
            </a:ext>
          </a:extLst>
        </xdr:cNvPr>
        <xdr:cNvSpPr>
          <a:spLocks noChangeAspect="1" noChangeArrowheads="1"/>
        </xdr:cNvSpPr>
      </xdr:nvSpPr>
      <xdr:spPr bwMode="auto">
        <a:xfrm>
          <a:off x="39300150" y="47110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30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4010000}"/>
            </a:ext>
          </a:extLst>
        </xdr:cNvPr>
        <xdr:cNvSpPr>
          <a:spLocks noChangeAspect="1" noChangeArrowheads="1"/>
        </xdr:cNvSpPr>
      </xdr:nvSpPr>
      <xdr:spPr bwMode="auto">
        <a:xfrm>
          <a:off x="39300150" y="474059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30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5010000}"/>
            </a:ext>
          </a:extLst>
        </xdr:cNvPr>
        <xdr:cNvSpPr>
          <a:spLocks noChangeAspect="1" noChangeArrowheads="1"/>
        </xdr:cNvSpPr>
      </xdr:nvSpPr>
      <xdr:spPr bwMode="auto">
        <a:xfrm>
          <a:off x="39300150" y="474059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31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6010000}"/>
            </a:ext>
          </a:extLst>
        </xdr:cNvPr>
        <xdr:cNvSpPr>
          <a:spLocks noChangeAspect="1" noChangeArrowheads="1"/>
        </xdr:cNvSpPr>
      </xdr:nvSpPr>
      <xdr:spPr bwMode="auto">
        <a:xfrm>
          <a:off x="39300150" y="47701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31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7010000}"/>
            </a:ext>
          </a:extLst>
        </xdr:cNvPr>
        <xdr:cNvSpPr>
          <a:spLocks noChangeAspect="1" noChangeArrowheads="1"/>
        </xdr:cNvSpPr>
      </xdr:nvSpPr>
      <xdr:spPr bwMode="auto">
        <a:xfrm>
          <a:off x="39300150" y="47701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31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8010000}"/>
            </a:ext>
          </a:extLst>
        </xdr:cNvPr>
        <xdr:cNvSpPr>
          <a:spLocks noChangeAspect="1" noChangeArrowheads="1"/>
        </xdr:cNvSpPr>
      </xdr:nvSpPr>
      <xdr:spPr bwMode="auto">
        <a:xfrm>
          <a:off x="39300150" y="479964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31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9010000}"/>
            </a:ext>
          </a:extLst>
        </xdr:cNvPr>
        <xdr:cNvSpPr>
          <a:spLocks noChangeAspect="1" noChangeArrowheads="1"/>
        </xdr:cNvSpPr>
      </xdr:nvSpPr>
      <xdr:spPr bwMode="auto">
        <a:xfrm>
          <a:off x="39300150" y="479964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31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A010000}"/>
            </a:ext>
          </a:extLst>
        </xdr:cNvPr>
        <xdr:cNvSpPr>
          <a:spLocks noChangeAspect="1" noChangeArrowheads="1"/>
        </xdr:cNvSpPr>
      </xdr:nvSpPr>
      <xdr:spPr bwMode="auto">
        <a:xfrm>
          <a:off x="39300150" y="48291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31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B010000}"/>
            </a:ext>
          </a:extLst>
        </xdr:cNvPr>
        <xdr:cNvSpPr>
          <a:spLocks noChangeAspect="1" noChangeArrowheads="1"/>
        </xdr:cNvSpPr>
      </xdr:nvSpPr>
      <xdr:spPr bwMode="auto">
        <a:xfrm>
          <a:off x="39300150" y="48291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31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C010000}"/>
            </a:ext>
          </a:extLst>
        </xdr:cNvPr>
        <xdr:cNvSpPr>
          <a:spLocks noChangeAspect="1" noChangeArrowheads="1"/>
        </xdr:cNvSpPr>
      </xdr:nvSpPr>
      <xdr:spPr bwMode="auto">
        <a:xfrm>
          <a:off x="39300150" y="48587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31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D010000}"/>
            </a:ext>
          </a:extLst>
        </xdr:cNvPr>
        <xdr:cNvSpPr>
          <a:spLocks noChangeAspect="1" noChangeArrowheads="1"/>
        </xdr:cNvSpPr>
      </xdr:nvSpPr>
      <xdr:spPr bwMode="auto">
        <a:xfrm>
          <a:off x="39300150" y="48587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31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E010000}"/>
            </a:ext>
          </a:extLst>
        </xdr:cNvPr>
        <xdr:cNvSpPr>
          <a:spLocks noChangeAspect="1" noChangeArrowheads="1"/>
        </xdr:cNvSpPr>
      </xdr:nvSpPr>
      <xdr:spPr bwMode="auto">
        <a:xfrm>
          <a:off x="39300150" y="48882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31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F010000}"/>
            </a:ext>
          </a:extLst>
        </xdr:cNvPr>
        <xdr:cNvSpPr>
          <a:spLocks noChangeAspect="1" noChangeArrowheads="1"/>
        </xdr:cNvSpPr>
      </xdr:nvSpPr>
      <xdr:spPr bwMode="auto">
        <a:xfrm>
          <a:off x="39300150" y="48882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32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0010000}"/>
            </a:ext>
          </a:extLst>
        </xdr:cNvPr>
        <xdr:cNvSpPr>
          <a:spLocks noChangeAspect="1" noChangeArrowheads="1"/>
        </xdr:cNvSpPr>
      </xdr:nvSpPr>
      <xdr:spPr bwMode="auto">
        <a:xfrm>
          <a:off x="39300150" y="49177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32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1010000}"/>
            </a:ext>
          </a:extLst>
        </xdr:cNvPr>
        <xdr:cNvSpPr>
          <a:spLocks noChangeAspect="1" noChangeArrowheads="1"/>
        </xdr:cNvSpPr>
      </xdr:nvSpPr>
      <xdr:spPr bwMode="auto">
        <a:xfrm>
          <a:off x="39300150" y="49177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32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2010000}"/>
            </a:ext>
          </a:extLst>
        </xdr:cNvPr>
        <xdr:cNvSpPr>
          <a:spLocks noChangeAspect="1" noChangeArrowheads="1"/>
        </xdr:cNvSpPr>
      </xdr:nvSpPr>
      <xdr:spPr bwMode="auto">
        <a:xfrm>
          <a:off x="39300150" y="49472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32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3010000}"/>
            </a:ext>
          </a:extLst>
        </xdr:cNvPr>
        <xdr:cNvSpPr>
          <a:spLocks noChangeAspect="1" noChangeArrowheads="1"/>
        </xdr:cNvSpPr>
      </xdr:nvSpPr>
      <xdr:spPr bwMode="auto">
        <a:xfrm>
          <a:off x="39300150" y="49472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32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4010000}"/>
            </a:ext>
          </a:extLst>
        </xdr:cNvPr>
        <xdr:cNvSpPr>
          <a:spLocks noChangeAspect="1" noChangeArrowheads="1"/>
        </xdr:cNvSpPr>
      </xdr:nvSpPr>
      <xdr:spPr bwMode="auto">
        <a:xfrm>
          <a:off x="39300150" y="497681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32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5010000}"/>
            </a:ext>
          </a:extLst>
        </xdr:cNvPr>
        <xdr:cNvSpPr>
          <a:spLocks noChangeAspect="1" noChangeArrowheads="1"/>
        </xdr:cNvSpPr>
      </xdr:nvSpPr>
      <xdr:spPr bwMode="auto">
        <a:xfrm>
          <a:off x="39300150" y="497681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32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6010000}"/>
            </a:ext>
          </a:extLst>
        </xdr:cNvPr>
        <xdr:cNvSpPr>
          <a:spLocks noChangeAspect="1" noChangeArrowheads="1"/>
        </xdr:cNvSpPr>
      </xdr:nvSpPr>
      <xdr:spPr bwMode="auto">
        <a:xfrm>
          <a:off x="39300150" y="50063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32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7010000}"/>
            </a:ext>
          </a:extLst>
        </xdr:cNvPr>
        <xdr:cNvSpPr>
          <a:spLocks noChangeAspect="1" noChangeArrowheads="1"/>
        </xdr:cNvSpPr>
      </xdr:nvSpPr>
      <xdr:spPr bwMode="auto">
        <a:xfrm>
          <a:off x="39300150" y="50063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32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8010000}"/>
            </a:ext>
          </a:extLst>
        </xdr:cNvPr>
        <xdr:cNvSpPr>
          <a:spLocks noChangeAspect="1" noChangeArrowheads="1"/>
        </xdr:cNvSpPr>
      </xdr:nvSpPr>
      <xdr:spPr bwMode="auto">
        <a:xfrm>
          <a:off x="39300150" y="503586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32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9010000}"/>
            </a:ext>
          </a:extLst>
        </xdr:cNvPr>
        <xdr:cNvSpPr>
          <a:spLocks noChangeAspect="1" noChangeArrowheads="1"/>
        </xdr:cNvSpPr>
      </xdr:nvSpPr>
      <xdr:spPr bwMode="auto">
        <a:xfrm>
          <a:off x="39300150" y="503586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33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A010000}"/>
            </a:ext>
          </a:extLst>
        </xdr:cNvPr>
        <xdr:cNvSpPr>
          <a:spLocks noChangeAspect="1" noChangeArrowheads="1"/>
        </xdr:cNvSpPr>
      </xdr:nvSpPr>
      <xdr:spPr bwMode="auto">
        <a:xfrm>
          <a:off x="39300150" y="50653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33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B010000}"/>
            </a:ext>
          </a:extLst>
        </xdr:cNvPr>
        <xdr:cNvSpPr>
          <a:spLocks noChangeAspect="1" noChangeArrowheads="1"/>
        </xdr:cNvSpPr>
      </xdr:nvSpPr>
      <xdr:spPr bwMode="auto">
        <a:xfrm>
          <a:off x="39300150" y="50653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33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C010000}"/>
            </a:ext>
          </a:extLst>
        </xdr:cNvPr>
        <xdr:cNvSpPr>
          <a:spLocks noChangeAspect="1" noChangeArrowheads="1"/>
        </xdr:cNvSpPr>
      </xdr:nvSpPr>
      <xdr:spPr bwMode="auto">
        <a:xfrm>
          <a:off x="39300150" y="50949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33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D010000}"/>
            </a:ext>
          </a:extLst>
        </xdr:cNvPr>
        <xdr:cNvSpPr>
          <a:spLocks noChangeAspect="1" noChangeArrowheads="1"/>
        </xdr:cNvSpPr>
      </xdr:nvSpPr>
      <xdr:spPr bwMode="auto">
        <a:xfrm>
          <a:off x="39300150" y="50949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33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E010000}"/>
            </a:ext>
          </a:extLst>
        </xdr:cNvPr>
        <xdr:cNvSpPr>
          <a:spLocks noChangeAspect="1" noChangeArrowheads="1"/>
        </xdr:cNvSpPr>
      </xdr:nvSpPr>
      <xdr:spPr bwMode="auto">
        <a:xfrm>
          <a:off x="39300150" y="51244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33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F010000}"/>
            </a:ext>
          </a:extLst>
        </xdr:cNvPr>
        <xdr:cNvSpPr>
          <a:spLocks noChangeAspect="1" noChangeArrowheads="1"/>
        </xdr:cNvSpPr>
      </xdr:nvSpPr>
      <xdr:spPr bwMode="auto">
        <a:xfrm>
          <a:off x="39300150" y="51244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33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0010000}"/>
            </a:ext>
          </a:extLst>
        </xdr:cNvPr>
        <xdr:cNvSpPr>
          <a:spLocks noChangeAspect="1" noChangeArrowheads="1"/>
        </xdr:cNvSpPr>
      </xdr:nvSpPr>
      <xdr:spPr bwMode="auto">
        <a:xfrm>
          <a:off x="39300150" y="515397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33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1010000}"/>
            </a:ext>
          </a:extLst>
        </xdr:cNvPr>
        <xdr:cNvSpPr>
          <a:spLocks noChangeAspect="1" noChangeArrowheads="1"/>
        </xdr:cNvSpPr>
      </xdr:nvSpPr>
      <xdr:spPr bwMode="auto">
        <a:xfrm>
          <a:off x="39300150" y="515397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33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2010000}"/>
            </a:ext>
          </a:extLst>
        </xdr:cNvPr>
        <xdr:cNvSpPr>
          <a:spLocks noChangeAspect="1" noChangeArrowheads="1"/>
        </xdr:cNvSpPr>
      </xdr:nvSpPr>
      <xdr:spPr bwMode="auto">
        <a:xfrm>
          <a:off x="39300150" y="51835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33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3010000}"/>
            </a:ext>
          </a:extLst>
        </xdr:cNvPr>
        <xdr:cNvSpPr>
          <a:spLocks noChangeAspect="1" noChangeArrowheads="1"/>
        </xdr:cNvSpPr>
      </xdr:nvSpPr>
      <xdr:spPr bwMode="auto">
        <a:xfrm>
          <a:off x="39300150" y="51835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34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4010000}"/>
            </a:ext>
          </a:extLst>
        </xdr:cNvPr>
        <xdr:cNvSpPr>
          <a:spLocks noChangeAspect="1" noChangeArrowheads="1"/>
        </xdr:cNvSpPr>
      </xdr:nvSpPr>
      <xdr:spPr bwMode="auto">
        <a:xfrm>
          <a:off x="39300150" y="52130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34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5010000}"/>
            </a:ext>
          </a:extLst>
        </xdr:cNvPr>
        <xdr:cNvSpPr>
          <a:spLocks noChangeAspect="1" noChangeArrowheads="1"/>
        </xdr:cNvSpPr>
      </xdr:nvSpPr>
      <xdr:spPr bwMode="auto">
        <a:xfrm>
          <a:off x="39300150" y="52130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34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6010000}"/>
            </a:ext>
          </a:extLst>
        </xdr:cNvPr>
        <xdr:cNvSpPr>
          <a:spLocks noChangeAspect="1" noChangeArrowheads="1"/>
        </xdr:cNvSpPr>
      </xdr:nvSpPr>
      <xdr:spPr bwMode="auto">
        <a:xfrm>
          <a:off x="39300150" y="52425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34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7010000}"/>
            </a:ext>
          </a:extLst>
        </xdr:cNvPr>
        <xdr:cNvSpPr>
          <a:spLocks noChangeAspect="1" noChangeArrowheads="1"/>
        </xdr:cNvSpPr>
      </xdr:nvSpPr>
      <xdr:spPr bwMode="auto">
        <a:xfrm>
          <a:off x="39300150" y="52425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34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8010000}"/>
            </a:ext>
          </a:extLst>
        </xdr:cNvPr>
        <xdr:cNvSpPr>
          <a:spLocks noChangeAspect="1" noChangeArrowheads="1"/>
        </xdr:cNvSpPr>
      </xdr:nvSpPr>
      <xdr:spPr bwMode="auto">
        <a:xfrm>
          <a:off x="39300150" y="52720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34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9010000}"/>
            </a:ext>
          </a:extLst>
        </xdr:cNvPr>
        <xdr:cNvSpPr>
          <a:spLocks noChangeAspect="1" noChangeArrowheads="1"/>
        </xdr:cNvSpPr>
      </xdr:nvSpPr>
      <xdr:spPr bwMode="auto">
        <a:xfrm>
          <a:off x="39300150" y="52720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34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A010000}"/>
            </a:ext>
          </a:extLst>
        </xdr:cNvPr>
        <xdr:cNvSpPr>
          <a:spLocks noChangeAspect="1" noChangeArrowheads="1"/>
        </xdr:cNvSpPr>
      </xdr:nvSpPr>
      <xdr:spPr bwMode="auto">
        <a:xfrm>
          <a:off x="39300150" y="53016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34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B010000}"/>
            </a:ext>
          </a:extLst>
        </xdr:cNvPr>
        <xdr:cNvSpPr>
          <a:spLocks noChangeAspect="1" noChangeArrowheads="1"/>
        </xdr:cNvSpPr>
      </xdr:nvSpPr>
      <xdr:spPr bwMode="auto">
        <a:xfrm>
          <a:off x="39300150" y="53016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34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C010000}"/>
            </a:ext>
          </a:extLst>
        </xdr:cNvPr>
        <xdr:cNvSpPr>
          <a:spLocks noChangeAspect="1" noChangeArrowheads="1"/>
        </xdr:cNvSpPr>
      </xdr:nvSpPr>
      <xdr:spPr bwMode="auto">
        <a:xfrm>
          <a:off x="39300150" y="533114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34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D010000}"/>
            </a:ext>
          </a:extLst>
        </xdr:cNvPr>
        <xdr:cNvSpPr>
          <a:spLocks noChangeAspect="1" noChangeArrowheads="1"/>
        </xdr:cNvSpPr>
      </xdr:nvSpPr>
      <xdr:spPr bwMode="auto">
        <a:xfrm>
          <a:off x="39300150" y="533114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35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E010000}"/>
            </a:ext>
          </a:extLst>
        </xdr:cNvPr>
        <xdr:cNvSpPr>
          <a:spLocks noChangeAspect="1" noChangeArrowheads="1"/>
        </xdr:cNvSpPr>
      </xdr:nvSpPr>
      <xdr:spPr bwMode="auto">
        <a:xfrm>
          <a:off x="39300150" y="53606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35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F010000}"/>
            </a:ext>
          </a:extLst>
        </xdr:cNvPr>
        <xdr:cNvSpPr>
          <a:spLocks noChangeAspect="1" noChangeArrowheads="1"/>
        </xdr:cNvSpPr>
      </xdr:nvSpPr>
      <xdr:spPr bwMode="auto">
        <a:xfrm>
          <a:off x="39300150" y="53606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35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0010000}"/>
            </a:ext>
          </a:extLst>
        </xdr:cNvPr>
        <xdr:cNvSpPr>
          <a:spLocks noChangeAspect="1" noChangeArrowheads="1"/>
        </xdr:cNvSpPr>
      </xdr:nvSpPr>
      <xdr:spPr bwMode="auto">
        <a:xfrm>
          <a:off x="39300150" y="539019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35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1010000}"/>
            </a:ext>
          </a:extLst>
        </xdr:cNvPr>
        <xdr:cNvSpPr>
          <a:spLocks noChangeAspect="1" noChangeArrowheads="1"/>
        </xdr:cNvSpPr>
      </xdr:nvSpPr>
      <xdr:spPr bwMode="auto">
        <a:xfrm>
          <a:off x="39300150" y="539019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35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2010000}"/>
            </a:ext>
          </a:extLst>
        </xdr:cNvPr>
        <xdr:cNvSpPr>
          <a:spLocks noChangeAspect="1" noChangeArrowheads="1"/>
        </xdr:cNvSpPr>
      </xdr:nvSpPr>
      <xdr:spPr bwMode="auto">
        <a:xfrm>
          <a:off x="39300150" y="54197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35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3010000}"/>
            </a:ext>
          </a:extLst>
        </xdr:cNvPr>
        <xdr:cNvSpPr>
          <a:spLocks noChangeAspect="1" noChangeArrowheads="1"/>
        </xdr:cNvSpPr>
      </xdr:nvSpPr>
      <xdr:spPr bwMode="auto">
        <a:xfrm>
          <a:off x="39300150" y="54197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35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4010000}"/>
            </a:ext>
          </a:extLst>
        </xdr:cNvPr>
        <xdr:cNvSpPr>
          <a:spLocks noChangeAspect="1" noChangeArrowheads="1"/>
        </xdr:cNvSpPr>
      </xdr:nvSpPr>
      <xdr:spPr bwMode="auto">
        <a:xfrm>
          <a:off x="39300150" y="54492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35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5010000}"/>
            </a:ext>
          </a:extLst>
        </xdr:cNvPr>
        <xdr:cNvSpPr>
          <a:spLocks noChangeAspect="1" noChangeArrowheads="1"/>
        </xdr:cNvSpPr>
      </xdr:nvSpPr>
      <xdr:spPr bwMode="auto">
        <a:xfrm>
          <a:off x="39300150" y="54492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35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6010000}"/>
            </a:ext>
          </a:extLst>
        </xdr:cNvPr>
        <xdr:cNvSpPr>
          <a:spLocks noChangeAspect="1" noChangeArrowheads="1"/>
        </xdr:cNvSpPr>
      </xdr:nvSpPr>
      <xdr:spPr bwMode="auto">
        <a:xfrm>
          <a:off x="39300150" y="54787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35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7010000}"/>
            </a:ext>
          </a:extLst>
        </xdr:cNvPr>
        <xdr:cNvSpPr>
          <a:spLocks noChangeAspect="1" noChangeArrowheads="1"/>
        </xdr:cNvSpPr>
      </xdr:nvSpPr>
      <xdr:spPr bwMode="auto">
        <a:xfrm>
          <a:off x="39300150" y="54787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36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8010000}"/>
            </a:ext>
          </a:extLst>
        </xdr:cNvPr>
        <xdr:cNvSpPr>
          <a:spLocks noChangeAspect="1" noChangeArrowheads="1"/>
        </xdr:cNvSpPr>
      </xdr:nvSpPr>
      <xdr:spPr bwMode="auto">
        <a:xfrm>
          <a:off x="39300150" y="55083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36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9010000}"/>
            </a:ext>
          </a:extLst>
        </xdr:cNvPr>
        <xdr:cNvSpPr>
          <a:spLocks noChangeAspect="1" noChangeArrowheads="1"/>
        </xdr:cNvSpPr>
      </xdr:nvSpPr>
      <xdr:spPr bwMode="auto">
        <a:xfrm>
          <a:off x="39300150" y="55083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36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A010000}"/>
            </a:ext>
          </a:extLst>
        </xdr:cNvPr>
        <xdr:cNvSpPr>
          <a:spLocks noChangeAspect="1" noChangeArrowheads="1"/>
        </xdr:cNvSpPr>
      </xdr:nvSpPr>
      <xdr:spPr bwMode="auto">
        <a:xfrm>
          <a:off x="39300150" y="55378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36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B010000}"/>
            </a:ext>
          </a:extLst>
        </xdr:cNvPr>
        <xdr:cNvSpPr>
          <a:spLocks noChangeAspect="1" noChangeArrowheads="1"/>
        </xdr:cNvSpPr>
      </xdr:nvSpPr>
      <xdr:spPr bwMode="auto">
        <a:xfrm>
          <a:off x="39300150" y="55378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36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C010000}"/>
            </a:ext>
          </a:extLst>
        </xdr:cNvPr>
        <xdr:cNvSpPr>
          <a:spLocks noChangeAspect="1" noChangeArrowheads="1"/>
        </xdr:cNvSpPr>
      </xdr:nvSpPr>
      <xdr:spPr bwMode="auto">
        <a:xfrm>
          <a:off x="39300150" y="55673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36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D010000}"/>
            </a:ext>
          </a:extLst>
        </xdr:cNvPr>
        <xdr:cNvSpPr>
          <a:spLocks noChangeAspect="1" noChangeArrowheads="1"/>
        </xdr:cNvSpPr>
      </xdr:nvSpPr>
      <xdr:spPr bwMode="auto">
        <a:xfrm>
          <a:off x="39300150" y="55673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36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E010000}"/>
            </a:ext>
          </a:extLst>
        </xdr:cNvPr>
        <xdr:cNvSpPr>
          <a:spLocks noChangeAspect="1" noChangeArrowheads="1"/>
        </xdr:cNvSpPr>
      </xdr:nvSpPr>
      <xdr:spPr bwMode="auto">
        <a:xfrm>
          <a:off x="39300150" y="55968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36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F010000}"/>
            </a:ext>
          </a:extLst>
        </xdr:cNvPr>
        <xdr:cNvSpPr>
          <a:spLocks noChangeAspect="1" noChangeArrowheads="1"/>
        </xdr:cNvSpPr>
      </xdr:nvSpPr>
      <xdr:spPr bwMode="auto">
        <a:xfrm>
          <a:off x="39300150" y="55968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36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0010000}"/>
            </a:ext>
          </a:extLst>
        </xdr:cNvPr>
        <xdr:cNvSpPr>
          <a:spLocks noChangeAspect="1" noChangeArrowheads="1"/>
        </xdr:cNvSpPr>
      </xdr:nvSpPr>
      <xdr:spPr bwMode="auto">
        <a:xfrm>
          <a:off x="39300150" y="562641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36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1010000}"/>
            </a:ext>
          </a:extLst>
        </xdr:cNvPr>
        <xdr:cNvSpPr>
          <a:spLocks noChangeAspect="1" noChangeArrowheads="1"/>
        </xdr:cNvSpPr>
      </xdr:nvSpPr>
      <xdr:spPr bwMode="auto">
        <a:xfrm>
          <a:off x="39300150" y="562641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37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2010000}"/>
            </a:ext>
          </a:extLst>
        </xdr:cNvPr>
        <xdr:cNvSpPr>
          <a:spLocks noChangeAspect="1" noChangeArrowheads="1"/>
        </xdr:cNvSpPr>
      </xdr:nvSpPr>
      <xdr:spPr bwMode="auto">
        <a:xfrm>
          <a:off x="39300150" y="56559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37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3010000}"/>
            </a:ext>
          </a:extLst>
        </xdr:cNvPr>
        <xdr:cNvSpPr>
          <a:spLocks noChangeAspect="1" noChangeArrowheads="1"/>
        </xdr:cNvSpPr>
      </xdr:nvSpPr>
      <xdr:spPr bwMode="auto">
        <a:xfrm>
          <a:off x="39300150" y="56559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37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4010000}"/>
            </a:ext>
          </a:extLst>
        </xdr:cNvPr>
        <xdr:cNvSpPr>
          <a:spLocks noChangeAspect="1" noChangeArrowheads="1"/>
        </xdr:cNvSpPr>
      </xdr:nvSpPr>
      <xdr:spPr bwMode="auto">
        <a:xfrm>
          <a:off x="39300150" y="568547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37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5010000}"/>
            </a:ext>
          </a:extLst>
        </xdr:cNvPr>
        <xdr:cNvSpPr>
          <a:spLocks noChangeAspect="1" noChangeArrowheads="1"/>
        </xdr:cNvSpPr>
      </xdr:nvSpPr>
      <xdr:spPr bwMode="auto">
        <a:xfrm>
          <a:off x="39300150" y="568547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37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6010000}"/>
            </a:ext>
          </a:extLst>
        </xdr:cNvPr>
        <xdr:cNvSpPr>
          <a:spLocks noChangeAspect="1" noChangeArrowheads="1"/>
        </xdr:cNvSpPr>
      </xdr:nvSpPr>
      <xdr:spPr bwMode="auto">
        <a:xfrm>
          <a:off x="39300150" y="5715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37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7010000}"/>
            </a:ext>
          </a:extLst>
        </xdr:cNvPr>
        <xdr:cNvSpPr>
          <a:spLocks noChangeAspect="1" noChangeArrowheads="1"/>
        </xdr:cNvSpPr>
      </xdr:nvSpPr>
      <xdr:spPr bwMode="auto">
        <a:xfrm>
          <a:off x="39300150" y="5715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37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8010000}"/>
            </a:ext>
          </a:extLst>
        </xdr:cNvPr>
        <xdr:cNvSpPr>
          <a:spLocks noChangeAspect="1" noChangeArrowheads="1"/>
        </xdr:cNvSpPr>
      </xdr:nvSpPr>
      <xdr:spPr bwMode="auto">
        <a:xfrm>
          <a:off x="39300150" y="574452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37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9010000}"/>
            </a:ext>
          </a:extLst>
        </xdr:cNvPr>
        <xdr:cNvSpPr>
          <a:spLocks noChangeAspect="1" noChangeArrowheads="1"/>
        </xdr:cNvSpPr>
      </xdr:nvSpPr>
      <xdr:spPr bwMode="auto">
        <a:xfrm>
          <a:off x="39300150" y="574452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37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A010000}"/>
            </a:ext>
          </a:extLst>
        </xdr:cNvPr>
        <xdr:cNvSpPr>
          <a:spLocks noChangeAspect="1" noChangeArrowheads="1"/>
        </xdr:cNvSpPr>
      </xdr:nvSpPr>
      <xdr:spPr bwMode="auto">
        <a:xfrm>
          <a:off x="39300150" y="57740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37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B010000}"/>
            </a:ext>
          </a:extLst>
        </xdr:cNvPr>
        <xdr:cNvSpPr>
          <a:spLocks noChangeAspect="1" noChangeArrowheads="1"/>
        </xdr:cNvSpPr>
      </xdr:nvSpPr>
      <xdr:spPr bwMode="auto">
        <a:xfrm>
          <a:off x="39300150" y="57740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38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C010000}"/>
            </a:ext>
          </a:extLst>
        </xdr:cNvPr>
        <xdr:cNvSpPr>
          <a:spLocks noChangeAspect="1" noChangeArrowheads="1"/>
        </xdr:cNvSpPr>
      </xdr:nvSpPr>
      <xdr:spPr bwMode="auto">
        <a:xfrm>
          <a:off x="39300150" y="58035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38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D010000}"/>
            </a:ext>
          </a:extLst>
        </xdr:cNvPr>
        <xdr:cNvSpPr>
          <a:spLocks noChangeAspect="1" noChangeArrowheads="1"/>
        </xdr:cNvSpPr>
      </xdr:nvSpPr>
      <xdr:spPr bwMode="auto">
        <a:xfrm>
          <a:off x="39300150" y="58035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38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E010000}"/>
            </a:ext>
          </a:extLst>
        </xdr:cNvPr>
        <xdr:cNvSpPr>
          <a:spLocks noChangeAspect="1" noChangeArrowheads="1"/>
        </xdr:cNvSpPr>
      </xdr:nvSpPr>
      <xdr:spPr bwMode="auto">
        <a:xfrm>
          <a:off x="39300150" y="58331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38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F010000}"/>
            </a:ext>
          </a:extLst>
        </xdr:cNvPr>
        <xdr:cNvSpPr>
          <a:spLocks noChangeAspect="1" noChangeArrowheads="1"/>
        </xdr:cNvSpPr>
      </xdr:nvSpPr>
      <xdr:spPr bwMode="auto">
        <a:xfrm>
          <a:off x="39300150" y="58331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38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0010000}"/>
            </a:ext>
          </a:extLst>
        </xdr:cNvPr>
        <xdr:cNvSpPr>
          <a:spLocks noChangeAspect="1" noChangeArrowheads="1"/>
        </xdr:cNvSpPr>
      </xdr:nvSpPr>
      <xdr:spPr bwMode="auto">
        <a:xfrm>
          <a:off x="39300150" y="58626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38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1010000}"/>
            </a:ext>
          </a:extLst>
        </xdr:cNvPr>
        <xdr:cNvSpPr>
          <a:spLocks noChangeAspect="1" noChangeArrowheads="1"/>
        </xdr:cNvSpPr>
      </xdr:nvSpPr>
      <xdr:spPr bwMode="auto">
        <a:xfrm>
          <a:off x="39300150" y="58626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38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2010000}"/>
            </a:ext>
          </a:extLst>
        </xdr:cNvPr>
        <xdr:cNvSpPr>
          <a:spLocks noChangeAspect="1" noChangeArrowheads="1"/>
        </xdr:cNvSpPr>
      </xdr:nvSpPr>
      <xdr:spPr bwMode="auto">
        <a:xfrm>
          <a:off x="39300150" y="58921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38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3010000}"/>
            </a:ext>
          </a:extLst>
        </xdr:cNvPr>
        <xdr:cNvSpPr>
          <a:spLocks noChangeAspect="1" noChangeArrowheads="1"/>
        </xdr:cNvSpPr>
      </xdr:nvSpPr>
      <xdr:spPr bwMode="auto">
        <a:xfrm>
          <a:off x="39300150" y="58921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38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4010000}"/>
            </a:ext>
          </a:extLst>
        </xdr:cNvPr>
        <xdr:cNvSpPr>
          <a:spLocks noChangeAspect="1" noChangeArrowheads="1"/>
        </xdr:cNvSpPr>
      </xdr:nvSpPr>
      <xdr:spPr bwMode="auto">
        <a:xfrm>
          <a:off x="39300150" y="592169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38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5010000}"/>
            </a:ext>
          </a:extLst>
        </xdr:cNvPr>
        <xdr:cNvSpPr>
          <a:spLocks noChangeAspect="1" noChangeArrowheads="1"/>
        </xdr:cNvSpPr>
      </xdr:nvSpPr>
      <xdr:spPr bwMode="auto">
        <a:xfrm>
          <a:off x="39300150" y="592169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39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6010000}"/>
            </a:ext>
          </a:extLst>
        </xdr:cNvPr>
        <xdr:cNvSpPr>
          <a:spLocks noChangeAspect="1" noChangeArrowheads="1"/>
        </xdr:cNvSpPr>
      </xdr:nvSpPr>
      <xdr:spPr bwMode="auto">
        <a:xfrm>
          <a:off x="39300150" y="59512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39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7010000}"/>
            </a:ext>
          </a:extLst>
        </xdr:cNvPr>
        <xdr:cNvSpPr>
          <a:spLocks noChangeAspect="1" noChangeArrowheads="1"/>
        </xdr:cNvSpPr>
      </xdr:nvSpPr>
      <xdr:spPr bwMode="auto">
        <a:xfrm>
          <a:off x="39300150" y="59512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39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8010000}"/>
            </a:ext>
          </a:extLst>
        </xdr:cNvPr>
        <xdr:cNvSpPr>
          <a:spLocks noChangeAspect="1" noChangeArrowheads="1"/>
        </xdr:cNvSpPr>
      </xdr:nvSpPr>
      <xdr:spPr bwMode="auto">
        <a:xfrm>
          <a:off x="39300150" y="598074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39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9010000}"/>
            </a:ext>
          </a:extLst>
        </xdr:cNvPr>
        <xdr:cNvSpPr>
          <a:spLocks noChangeAspect="1" noChangeArrowheads="1"/>
        </xdr:cNvSpPr>
      </xdr:nvSpPr>
      <xdr:spPr bwMode="auto">
        <a:xfrm>
          <a:off x="39300150" y="598074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39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A010000}"/>
            </a:ext>
          </a:extLst>
        </xdr:cNvPr>
        <xdr:cNvSpPr>
          <a:spLocks noChangeAspect="1" noChangeArrowheads="1"/>
        </xdr:cNvSpPr>
      </xdr:nvSpPr>
      <xdr:spPr bwMode="auto">
        <a:xfrm>
          <a:off x="39300150" y="60102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39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B010000}"/>
            </a:ext>
          </a:extLst>
        </xdr:cNvPr>
        <xdr:cNvSpPr>
          <a:spLocks noChangeAspect="1" noChangeArrowheads="1"/>
        </xdr:cNvSpPr>
      </xdr:nvSpPr>
      <xdr:spPr bwMode="auto">
        <a:xfrm>
          <a:off x="39300150" y="60102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39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C010000}"/>
            </a:ext>
          </a:extLst>
        </xdr:cNvPr>
        <xdr:cNvSpPr>
          <a:spLocks noChangeAspect="1" noChangeArrowheads="1"/>
        </xdr:cNvSpPr>
      </xdr:nvSpPr>
      <xdr:spPr bwMode="auto">
        <a:xfrm>
          <a:off x="39300150" y="60398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39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D010000}"/>
            </a:ext>
          </a:extLst>
        </xdr:cNvPr>
        <xdr:cNvSpPr>
          <a:spLocks noChangeAspect="1" noChangeArrowheads="1"/>
        </xdr:cNvSpPr>
      </xdr:nvSpPr>
      <xdr:spPr bwMode="auto">
        <a:xfrm>
          <a:off x="39300150" y="60398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39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E010000}"/>
            </a:ext>
          </a:extLst>
        </xdr:cNvPr>
        <xdr:cNvSpPr>
          <a:spLocks noChangeAspect="1" noChangeArrowheads="1"/>
        </xdr:cNvSpPr>
      </xdr:nvSpPr>
      <xdr:spPr bwMode="auto">
        <a:xfrm>
          <a:off x="39300150" y="60693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39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F010000}"/>
            </a:ext>
          </a:extLst>
        </xdr:cNvPr>
        <xdr:cNvSpPr>
          <a:spLocks noChangeAspect="1" noChangeArrowheads="1"/>
        </xdr:cNvSpPr>
      </xdr:nvSpPr>
      <xdr:spPr bwMode="auto">
        <a:xfrm>
          <a:off x="39300150" y="60693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40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0010000}"/>
            </a:ext>
          </a:extLst>
        </xdr:cNvPr>
        <xdr:cNvSpPr>
          <a:spLocks noChangeAspect="1" noChangeArrowheads="1"/>
        </xdr:cNvSpPr>
      </xdr:nvSpPr>
      <xdr:spPr bwMode="auto">
        <a:xfrm>
          <a:off x="39300150" y="60988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40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1010000}"/>
            </a:ext>
          </a:extLst>
        </xdr:cNvPr>
        <xdr:cNvSpPr>
          <a:spLocks noChangeAspect="1" noChangeArrowheads="1"/>
        </xdr:cNvSpPr>
      </xdr:nvSpPr>
      <xdr:spPr bwMode="auto">
        <a:xfrm>
          <a:off x="39300150" y="60988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40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2010000}"/>
            </a:ext>
          </a:extLst>
        </xdr:cNvPr>
        <xdr:cNvSpPr>
          <a:spLocks noChangeAspect="1" noChangeArrowheads="1"/>
        </xdr:cNvSpPr>
      </xdr:nvSpPr>
      <xdr:spPr bwMode="auto">
        <a:xfrm>
          <a:off x="39300150" y="61283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40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3010000}"/>
            </a:ext>
          </a:extLst>
        </xdr:cNvPr>
        <xdr:cNvSpPr>
          <a:spLocks noChangeAspect="1" noChangeArrowheads="1"/>
        </xdr:cNvSpPr>
      </xdr:nvSpPr>
      <xdr:spPr bwMode="auto">
        <a:xfrm>
          <a:off x="39300150" y="61283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40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4010000}"/>
            </a:ext>
          </a:extLst>
        </xdr:cNvPr>
        <xdr:cNvSpPr>
          <a:spLocks noChangeAspect="1" noChangeArrowheads="1"/>
        </xdr:cNvSpPr>
      </xdr:nvSpPr>
      <xdr:spPr bwMode="auto">
        <a:xfrm>
          <a:off x="39300150" y="615791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40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5010000}"/>
            </a:ext>
          </a:extLst>
        </xdr:cNvPr>
        <xdr:cNvSpPr>
          <a:spLocks noChangeAspect="1" noChangeArrowheads="1"/>
        </xdr:cNvSpPr>
      </xdr:nvSpPr>
      <xdr:spPr bwMode="auto">
        <a:xfrm>
          <a:off x="39300150" y="615791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40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6010000}"/>
            </a:ext>
          </a:extLst>
        </xdr:cNvPr>
        <xdr:cNvSpPr>
          <a:spLocks noChangeAspect="1" noChangeArrowheads="1"/>
        </xdr:cNvSpPr>
      </xdr:nvSpPr>
      <xdr:spPr bwMode="auto">
        <a:xfrm>
          <a:off x="39300150" y="61874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40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7010000}"/>
            </a:ext>
          </a:extLst>
        </xdr:cNvPr>
        <xdr:cNvSpPr>
          <a:spLocks noChangeAspect="1" noChangeArrowheads="1"/>
        </xdr:cNvSpPr>
      </xdr:nvSpPr>
      <xdr:spPr bwMode="auto">
        <a:xfrm>
          <a:off x="39300150" y="61874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40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8010000}"/>
            </a:ext>
          </a:extLst>
        </xdr:cNvPr>
        <xdr:cNvSpPr>
          <a:spLocks noChangeAspect="1" noChangeArrowheads="1"/>
        </xdr:cNvSpPr>
      </xdr:nvSpPr>
      <xdr:spPr bwMode="auto">
        <a:xfrm>
          <a:off x="39300150" y="621696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40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9010000}"/>
            </a:ext>
          </a:extLst>
        </xdr:cNvPr>
        <xdr:cNvSpPr>
          <a:spLocks noChangeAspect="1" noChangeArrowheads="1"/>
        </xdr:cNvSpPr>
      </xdr:nvSpPr>
      <xdr:spPr bwMode="auto">
        <a:xfrm>
          <a:off x="39300150" y="621696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41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A010000}"/>
            </a:ext>
          </a:extLst>
        </xdr:cNvPr>
        <xdr:cNvSpPr>
          <a:spLocks noChangeAspect="1" noChangeArrowheads="1"/>
        </xdr:cNvSpPr>
      </xdr:nvSpPr>
      <xdr:spPr bwMode="auto">
        <a:xfrm>
          <a:off x="39300150" y="62464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41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B010000}"/>
            </a:ext>
          </a:extLst>
        </xdr:cNvPr>
        <xdr:cNvSpPr>
          <a:spLocks noChangeAspect="1" noChangeArrowheads="1"/>
        </xdr:cNvSpPr>
      </xdr:nvSpPr>
      <xdr:spPr bwMode="auto">
        <a:xfrm>
          <a:off x="39300150" y="62464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41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C010000}"/>
            </a:ext>
          </a:extLst>
        </xdr:cNvPr>
        <xdr:cNvSpPr>
          <a:spLocks noChangeAspect="1" noChangeArrowheads="1"/>
        </xdr:cNvSpPr>
      </xdr:nvSpPr>
      <xdr:spPr bwMode="auto">
        <a:xfrm>
          <a:off x="39300150" y="62760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41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D010000}"/>
            </a:ext>
          </a:extLst>
        </xdr:cNvPr>
        <xdr:cNvSpPr>
          <a:spLocks noChangeAspect="1" noChangeArrowheads="1"/>
        </xdr:cNvSpPr>
      </xdr:nvSpPr>
      <xdr:spPr bwMode="auto">
        <a:xfrm>
          <a:off x="39300150" y="62760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41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E010000}"/>
            </a:ext>
          </a:extLst>
        </xdr:cNvPr>
        <xdr:cNvSpPr>
          <a:spLocks noChangeAspect="1" noChangeArrowheads="1"/>
        </xdr:cNvSpPr>
      </xdr:nvSpPr>
      <xdr:spPr bwMode="auto">
        <a:xfrm>
          <a:off x="39300150" y="63055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41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F010000}"/>
            </a:ext>
          </a:extLst>
        </xdr:cNvPr>
        <xdr:cNvSpPr>
          <a:spLocks noChangeAspect="1" noChangeArrowheads="1"/>
        </xdr:cNvSpPr>
      </xdr:nvSpPr>
      <xdr:spPr bwMode="auto">
        <a:xfrm>
          <a:off x="39300150" y="63055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41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0010000}"/>
            </a:ext>
          </a:extLst>
        </xdr:cNvPr>
        <xdr:cNvSpPr>
          <a:spLocks noChangeAspect="1" noChangeArrowheads="1"/>
        </xdr:cNvSpPr>
      </xdr:nvSpPr>
      <xdr:spPr bwMode="auto">
        <a:xfrm>
          <a:off x="39300150" y="633507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41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1010000}"/>
            </a:ext>
          </a:extLst>
        </xdr:cNvPr>
        <xdr:cNvSpPr>
          <a:spLocks noChangeAspect="1" noChangeArrowheads="1"/>
        </xdr:cNvSpPr>
      </xdr:nvSpPr>
      <xdr:spPr bwMode="auto">
        <a:xfrm>
          <a:off x="39300150" y="633507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41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2010000}"/>
            </a:ext>
          </a:extLst>
        </xdr:cNvPr>
        <xdr:cNvSpPr>
          <a:spLocks noChangeAspect="1" noChangeArrowheads="1"/>
        </xdr:cNvSpPr>
      </xdr:nvSpPr>
      <xdr:spPr bwMode="auto">
        <a:xfrm>
          <a:off x="39300150" y="63646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41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3010000}"/>
            </a:ext>
          </a:extLst>
        </xdr:cNvPr>
        <xdr:cNvSpPr>
          <a:spLocks noChangeAspect="1" noChangeArrowheads="1"/>
        </xdr:cNvSpPr>
      </xdr:nvSpPr>
      <xdr:spPr bwMode="auto">
        <a:xfrm>
          <a:off x="39300150" y="63646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42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4010000}"/>
            </a:ext>
          </a:extLst>
        </xdr:cNvPr>
        <xdr:cNvSpPr>
          <a:spLocks noChangeAspect="1" noChangeArrowheads="1"/>
        </xdr:cNvSpPr>
      </xdr:nvSpPr>
      <xdr:spPr bwMode="auto">
        <a:xfrm>
          <a:off x="39300150" y="63941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42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5010000}"/>
            </a:ext>
          </a:extLst>
        </xdr:cNvPr>
        <xdr:cNvSpPr>
          <a:spLocks noChangeAspect="1" noChangeArrowheads="1"/>
        </xdr:cNvSpPr>
      </xdr:nvSpPr>
      <xdr:spPr bwMode="auto">
        <a:xfrm>
          <a:off x="39300150" y="63941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42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6010000}"/>
            </a:ext>
          </a:extLst>
        </xdr:cNvPr>
        <xdr:cNvSpPr>
          <a:spLocks noChangeAspect="1" noChangeArrowheads="1"/>
        </xdr:cNvSpPr>
      </xdr:nvSpPr>
      <xdr:spPr bwMode="auto">
        <a:xfrm>
          <a:off x="39300150" y="64236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42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7010000}"/>
            </a:ext>
          </a:extLst>
        </xdr:cNvPr>
        <xdr:cNvSpPr>
          <a:spLocks noChangeAspect="1" noChangeArrowheads="1"/>
        </xdr:cNvSpPr>
      </xdr:nvSpPr>
      <xdr:spPr bwMode="auto">
        <a:xfrm>
          <a:off x="39300150" y="64236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42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8010000}"/>
            </a:ext>
          </a:extLst>
        </xdr:cNvPr>
        <xdr:cNvSpPr>
          <a:spLocks noChangeAspect="1" noChangeArrowheads="1"/>
        </xdr:cNvSpPr>
      </xdr:nvSpPr>
      <xdr:spPr bwMode="auto">
        <a:xfrm>
          <a:off x="39300150" y="64531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42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9010000}"/>
            </a:ext>
          </a:extLst>
        </xdr:cNvPr>
        <xdr:cNvSpPr>
          <a:spLocks noChangeAspect="1" noChangeArrowheads="1"/>
        </xdr:cNvSpPr>
      </xdr:nvSpPr>
      <xdr:spPr bwMode="auto">
        <a:xfrm>
          <a:off x="39300150" y="64531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42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A010000}"/>
            </a:ext>
          </a:extLst>
        </xdr:cNvPr>
        <xdr:cNvSpPr>
          <a:spLocks noChangeAspect="1" noChangeArrowheads="1"/>
        </xdr:cNvSpPr>
      </xdr:nvSpPr>
      <xdr:spPr bwMode="auto">
        <a:xfrm>
          <a:off x="39300150" y="64827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42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B010000}"/>
            </a:ext>
          </a:extLst>
        </xdr:cNvPr>
        <xdr:cNvSpPr>
          <a:spLocks noChangeAspect="1" noChangeArrowheads="1"/>
        </xdr:cNvSpPr>
      </xdr:nvSpPr>
      <xdr:spPr bwMode="auto">
        <a:xfrm>
          <a:off x="39300150" y="64827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42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C010000}"/>
            </a:ext>
          </a:extLst>
        </xdr:cNvPr>
        <xdr:cNvSpPr>
          <a:spLocks noChangeAspect="1" noChangeArrowheads="1"/>
        </xdr:cNvSpPr>
      </xdr:nvSpPr>
      <xdr:spPr bwMode="auto">
        <a:xfrm>
          <a:off x="39300150" y="651224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42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D010000}"/>
            </a:ext>
          </a:extLst>
        </xdr:cNvPr>
        <xdr:cNvSpPr>
          <a:spLocks noChangeAspect="1" noChangeArrowheads="1"/>
        </xdr:cNvSpPr>
      </xdr:nvSpPr>
      <xdr:spPr bwMode="auto">
        <a:xfrm>
          <a:off x="39300150" y="651224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43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E010000}"/>
            </a:ext>
          </a:extLst>
        </xdr:cNvPr>
        <xdr:cNvSpPr>
          <a:spLocks noChangeAspect="1" noChangeArrowheads="1"/>
        </xdr:cNvSpPr>
      </xdr:nvSpPr>
      <xdr:spPr bwMode="auto">
        <a:xfrm>
          <a:off x="39300150" y="6541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43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F010000}"/>
            </a:ext>
          </a:extLst>
        </xdr:cNvPr>
        <xdr:cNvSpPr>
          <a:spLocks noChangeAspect="1" noChangeArrowheads="1"/>
        </xdr:cNvSpPr>
      </xdr:nvSpPr>
      <xdr:spPr bwMode="auto">
        <a:xfrm>
          <a:off x="39300150" y="6541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43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0010000}"/>
            </a:ext>
          </a:extLst>
        </xdr:cNvPr>
        <xdr:cNvSpPr>
          <a:spLocks noChangeAspect="1" noChangeArrowheads="1"/>
        </xdr:cNvSpPr>
      </xdr:nvSpPr>
      <xdr:spPr bwMode="auto">
        <a:xfrm>
          <a:off x="39300150" y="66008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43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1010000}"/>
            </a:ext>
          </a:extLst>
        </xdr:cNvPr>
        <xdr:cNvSpPr>
          <a:spLocks noChangeAspect="1" noChangeArrowheads="1"/>
        </xdr:cNvSpPr>
      </xdr:nvSpPr>
      <xdr:spPr bwMode="auto">
        <a:xfrm>
          <a:off x="39300150" y="66303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43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2010000}"/>
            </a:ext>
          </a:extLst>
        </xdr:cNvPr>
        <xdr:cNvSpPr>
          <a:spLocks noChangeAspect="1" noChangeArrowheads="1"/>
        </xdr:cNvSpPr>
      </xdr:nvSpPr>
      <xdr:spPr bwMode="auto">
        <a:xfrm>
          <a:off x="39300150" y="66303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43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3010000}"/>
            </a:ext>
          </a:extLst>
        </xdr:cNvPr>
        <xdr:cNvSpPr>
          <a:spLocks noChangeAspect="1" noChangeArrowheads="1"/>
        </xdr:cNvSpPr>
      </xdr:nvSpPr>
      <xdr:spPr bwMode="auto">
        <a:xfrm>
          <a:off x="39300150" y="66598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43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4010000}"/>
            </a:ext>
          </a:extLst>
        </xdr:cNvPr>
        <xdr:cNvSpPr>
          <a:spLocks noChangeAspect="1" noChangeArrowheads="1"/>
        </xdr:cNvSpPr>
      </xdr:nvSpPr>
      <xdr:spPr bwMode="auto">
        <a:xfrm>
          <a:off x="39300150" y="66598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43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5010000}"/>
            </a:ext>
          </a:extLst>
        </xdr:cNvPr>
        <xdr:cNvSpPr>
          <a:spLocks noChangeAspect="1" noChangeArrowheads="1"/>
        </xdr:cNvSpPr>
      </xdr:nvSpPr>
      <xdr:spPr bwMode="auto">
        <a:xfrm>
          <a:off x="39300150" y="66894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43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6010000}"/>
            </a:ext>
          </a:extLst>
        </xdr:cNvPr>
        <xdr:cNvSpPr>
          <a:spLocks noChangeAspect="1" noChangeArrowheads="1"/>
        </xdr:cNvSpPr>
      </xdr:nvSpPr>
      <xdr:spPr bwMode="auto">
        <a:xfrm>
          <a:off x="39300150" y="66894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43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7010000}"/>
            </a:ext>
          </a:extLst>
        </xdr:cNvPr>
        <xdr:cNvSpPr>
          <a:spLocks noChangeAspect="1" noChangeArrowheads="1"/>
        </xdr:cNvSpPr>
      </xdr:nvSpPr>
      <xdr:spPr bwMode="auto">
        <a:xfrm>
          <a:off x="39300150" y="67189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44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8010000}"/>
            </a:ext>
          </a:extLst>
        </xdr:cNvPr>
        <xdr:cNvSpPr>
          <a:spLocks noChangeAspect="1" noChangeArrowheads="1"/>
        </xdr:cNvSpPr>
      </xdr:nvSpPr>
      <xdr:spPr bwMode="auto">
        <a:xfrm>
          <a:off x="39300150" y="67189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44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9010000}"/>
            </a:ext>
          </a:extLst>
        </xdr:cNvPr>
        <xdr:cNvSpPr>
          <a:spLocks noChangeAspect="1" noChangeArrowheads="1"/>
        </xdr:cNvSpPr>
      </xdr:nvSpPr>
      <xdr:spPr bwMode="auto">
        <a:xfrm>
          <a:off x="39300150" y="67484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44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A010000}"/>
            </a:ext>
          </a:extLst>
        </xdr:cNvPr>
        <xdr:cNvSpPr>
          <a:spLocks noChangeAspect="1" noChangeArrowheads="1"/>
        </xdr:cNvSpPr>
      </xdr:nvSpPr>
      <xdr:spPr bwMode="auto">
        <a:xfrm>
          <a:off x="39300150" y="67484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44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B010000}"/>
            </a:ext>
          </a:extLst>
        </xdr:cNvPr>
        <xdr:cNvSpPr>
          <a:spLocks noChangeAspect="1" noChangeArrowheads="1"/>
        </xdr:cNvSpPr>
      </xdr:nvSpPr>
      <xdr:spPr bwMode="auto">
        <a:xfrm>
          <a:off x="39300150" y="67779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44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C010000}"/>
            </a:ext>
          </a:extLst>
        </xdr:cNvPr>
        <xdr:cNvSpPr>
          <a:spLocks noChangeAspect="1" noChangeArrowheads="1"/>
        </xdr:cNvSpPr>
      </xdr:nvSpPr>
      <xdr:spPr bwMode="auto">
        <a:xfrm>
          <a:off x="39300150" y="67779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44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D010000}"/>
            </a:ext>
          </a:extLst>
        </xdr:cNvPr>
        <xdr:cNvSpPr>
          <a:spLocks noChangeAspect="1" noChangeArrowheads="1"/>
        </xdr:cNvSpPr>
      </xdr:nvSpPr>
      <xdr:spPr bwMode="auto">
        <a:xfrm>
          <a:off x="39300150" y="680751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44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E010000}"/>
            </a:ext>
          </a:extLst>
        </xdr:cNvPr>
        <xdr:cNvSpPr>
          <a:spLocks noChangeAspect="1" noChangeArrowheads="1"/>
        </xdr:cNvSpPr>
      </xdr:nvSpPr>
      <xdr:spPr bwMode="auto">
        <a:xfrm>
          <a:off x="39300150" y="680751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44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F010000}"/>
            </a:ext>
          </a:extLst>
        </xdr:cNvPr>
        <xdr:cNvSpPr>
          <a:spLocks noChangeAspect="1" noChangeArrowheads="1"/>
        </xdr:cNvSpPr>
      </xdr:nvSpPr>
      <xdr:spPr bwMode="auto">
        <a:xfrm>
          <a:off x="39300150" y="68370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44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0010000}"/>
            </a:ext>
          </a:extLst>
        </xdr:cNvPr>
        <xdr:cNvSpPr>
          <a:spLocks noChangeAspect="1" noChangeArrowheads="1"/>
        </xdr:cNvSpPr>
      </xdr:nvSpPr>
      <xdr:spPr bwMode="auto">
        <a:xfrm>
          <a:off x="39300150" y="68370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44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1010000}"/>
            </a:ext>
          </a:extLst>
        </xdr:cNvPr>
        <xdr:cNvSpPr>
          <a:spLocks noChangeAspect="1" noChangeArrowheads="1"/>
        </xdr:cNvSpPr>
      </xdr:nvSpPr>
      <xdr:spPr bwMode="auto">
        <a:xfrm>
          <a:off x="39300150" y="686657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45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2010000}"/>
            </a:ext>
          </a:extLst>
        </xdr:cNvPr>
        <xdr:cNvSpPr>
          <a:spLocks noChangeAspect="1" noChangeArrowheads="1"/>
        </xdr:cNvSpPr>
      </xdr:nvSpPr>
      <xdr:spPr bwMode="auto">
        <a:xfrm>
          <a:off x="39300150" y="686657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45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3010000}"/>
            </a:ext>
          </a:extLst>
        </xdr:cNvPr>
        <xdr:cNvSpPr>
          <a:spLocks noChangeAspect="1" noChangeArrowheads="1"/>
        </xdr:cNvSpPr>
      </xdr:nvSpPr>
      <xdr:spPr bwMode="auto">
        <a:xfrm>
          <a:off x="39300150" y="6896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45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4010000}"/>
            </a:ext>
          </a:extLst>
        </xdr:cNvPr>
        <xdr:cNvSpPr>
          <a:spLocks noChangeAspect="1" noChangeArrowheads="1"/>
        </xdr:cNvSpPr>
      </xdr:nvSpPr>
      <xdr:spPr bwMode="auto">
        <a:xfrm>
          <a:off x="39300150" y="6896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45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5010000}"/>
            </a:ext>
          </a:extLst>
        </xdr:cNvPr>
        <xdr:cNvSpPr>
          <a:spLocks noChangeAspect="1" noChangeArrowheads="1"/>
        </xdr:cNvSpPr>
      </xdr:nvSpPr>
      <xdr:spPr bwMode="auto">
        <a:xfrm>
          <a:off x="39300150" y="692562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45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6010000}"/>
            </a:ext>
          </a:extLst>
        </xdr:cNvPr>
        <xdr:cNvSpPr>
          <a:spLocks noChangeAspect="1" noChangeArrowheads="1"/>
        </xdr:cNvSpPr>
      </xdr:nvSpPr>
      <xdr:spPr bwMode="auto">
        <a:xfrm>
          <a:off x="39300150" y="692562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45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7010000}"/>
            </a:ext>
          </a:extLst>
        </xdr:cNvPr>
        <xdr:cNvSpPr>
          <a:spLocks noChangeAspect="1" noChangeArrowheads="1"/>
        </xdr:cNvSpPr>
      </xdr:nvSpPr>
      <xdr:spPr bwMode="auto">
        <a:xfrm>
          <a:off x="39300150" y="69551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45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8010000}"/>
            </a:ext>
          </a:extLst>
        </xdr:cNvPr>
        <xdr:cNvSpPr>
          <a:spLocks noChangeAspect="1" noChangeArrowheads="1"/>
        </xdr:cNvSpPr>
      </xdr:nvSpPr>
      <xdr:spPr bwMode="auto">
        <a:xfrm>
          <a:off x="39300150" y="69551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45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9010000}"/>
            </a:ext>
          </a:extLst>
        </xdr:cNvPr>
        <xdr:cNvSpPr>
          <a:spLocks noChangeAspect="1" noChangeArrowheads="1"/>
        </xdr:cNvSpPr>
      </xdr:nvSpPr>
      <xdr:spPr bwMode="auto">
        <a:xfrm>
          <a:off x="39300150" y="69846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45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A010000}"/>
            </a:ext>
          </a:extLst>
        </xdr:cNvPr>
        <xdr:cNvSpPr>
          <a:spLocks noChangeAspect="1" noChangeArrowheads="1"/>
        </xdr:cNvSpPr>
      </xdr:nvSpPr>
      <xdr:spPr bwMode="auto">
        <a:xfrm>
          <a:off x="39300150" y="69846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45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B010000}"/>
            </a:ext>
          </a:extLst>
        </xdr:cNvPr>
        <xdr:cNvSpPr>
          <a:spLocks noChangeAspect="1" noChangeArrowheads="1"/>
        </xdr:cNvSpPr>
      </xdr:nvSpPr>
      <xdr:spPr bwMode="auto">
        <a:xfrm>
          <a:off x="39300150" y="70142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46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C010000}"/>
            </a:ext>
          </a:extLst>
        </xdr:cNvPr>
        <xdr:cNvSpPr>
          <a:spLocks noChangeAspect="1" noChangeArrowheads="1"/>
        </xdr:cNvSpPr>
      </xdr:nvSpPr>
      <xdr:spPr bwMode="auto">
        <a:xfrm>
          <a:off x="39300150" y="70142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46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D010000}"/>
            </a:ext>
          </a:extLst>
        </xdr:cNvPr>
        <xdr:cNvSpPr>
          <a:spLocks noChangeAspect="1" noChangeArrowheads="1"/>
        </xdr:cNvSpPr>
      </xdr:nvSpPr>
      <xdr:spPr bwMode="auto">
        <a:xfrm>
          <a:off x="39300150" y="70437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46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E010000}"/>
            </a:ext>
          </a:extLst>
        </xdr:cNvPr>
        <xdr:cNvSpPr>
          <a:spLocks noChangeAspect="1" noChangeArrowheads="1"/>
        </xdr:cNvSpPr>
      </xdr:nvSpPr>
      <xdr:spPr bwMode="auto">
        <a:xfrm>
          <a:off x="39300150" y="70437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46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F010000}"/>
            </a:ext>
          </a:extLst>
        </xdr:cNvPr>
        <xdr:cNvSpPr>
          <a:spLocks noChangeAspect="1" noChangeArrowheads="1"/>
        </xdr:cNvSpPr>
      </xdr:nvSpPr>
      <xdr:spPr bwMode="auto">
        <a:xfrm>
          <a:off x="39300150" y="70732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46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0010000}"/>
            </a:ext>
          </a:extLst>
        </xdr:cNvPr>
        <xdr:cNvSpPr>
          <a:spLocks noChangeAspect="1" noChangeArrowheads="1"/>
        </xdr:cNvSpPr>
      </xdr:nvSpPr>
      <xdr:spPr bwMode="auto">
        <a:xfrm>
          <a:off x="39300150" y="70732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46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1010000}"/>
            </a:ext>
          </a:extLst>
        </xdr:cNvPr>
        <xdr:cNvSpPr>
          <a:spLocks noChangeAspect="1" noChangeArrowheads="1"/>
        </xdr:cNvSpPr>
      </xdr:nvSpPr>
      <xdr:spPr bwMode="auto">
        <a:xfrm>
          <a:off x="39300150" y="710279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46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2010000}"/>
            </a:ext>
          </a:extLst>
        </xdr:cNvPr>
        <xdr:cNvSpPr>
          <a:spLocks noChangeAspect="1" noChangeArrowheads="1"/>
        </xdr:cNvSpPr>
      </xdr:nvSpPr>
      <xdr:spPr bwMode="auto">
        <a:xfrm>
          <a:off x="39300150" y="710279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46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3010000}"/>
            </a:ext>
          </a:extLst>
        </xdr:cNvPr>
        <xdr:cNvSpPr>
          <a:spLocks noChangeAspect="1" noChangeArrowheads="1"/>
        </xdr:cNvSpPr>
      </xdr:nvSpPr>
      <xdr:spPr bwMode="auto">
        <a:xfrm>
          <a:off x="39300150" y="71323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46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4010000}"/>
            </a:ext>
          </a:extLst>
        </xdr:cNvPr>
        <xdr:cNvSpPr>
          <a:spLocks noChangeAspect="1" noChangeArrowheads="1"/>
        </xdr:cNvSpPr>
      </xdr:nvSpPr>
      <xdr:spPr bwMode="auto">
        <a:xfrm>
          <a:off x="39300150" y="71323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46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5010000}"/>
            </a:ext>
          </a:extLst>
        </xdr:cNvPr>
        <xdr:cNvSpPr>
          <a:spLocks noChangeAspect="1" noChangeArrowheads="1"/>
        </xdr:cNvSpPr>
      </xdr:nvSpPr>
      <xdr:spPr bwMode="auto">
        <a:xfrm>
          <a:off x="39300150" y="716184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47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6010000}"/>
            </a:ext>
          </a:extLst>
        </xdr:cNvPr>
        <xdr:cNvSpPr>
          <a:spLocks noChangeAspect="1" noChangeArrowheads="1"/>
        </xdr:cNvSpPr>
      </xdr:nvSpPr>
      <xdr:spPr bwMode="auto">
        <a:xfrm>
          <a:off x="39300150" y="716184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47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7010000}"/>
            </a:ext>
          </a:extLst>
        </xdr:cNvPr>
        <xdr:cNvSpPr>
          <a:spLocks noChangeAspect="1" noChangeArrowheads="1"/>
        </xdr:cNvSpPr>
      </xdr:nvSpPr>
      <xdr:spPr bwMode="auto">
        <a:xfrm>
          <a:off x="39300150" y="71913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47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8010000}"/>
            </a:ext>
          </a:extLst>
        </xdr:cNvPr>
        <xdr:cNvSpPr>
          <a:spLocks noChangeAspect="1" noChangeArrowheads="1"/>
        </xdr:cNvSpPr>
      </xdr:nvSpPr>
      <xdr:spPr bwMode="auto">
        <a:xfrm>
          <a:off x="39300150" y="71913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47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9010000}"/>
            </a:ext>
          </a:extLst>
        </xdr:cNvPr>
        <xdr:cNvSpPr>
          <a:spLocks noChangeAspect="1" noChangeArrowheads="1"/>
        </xdr:cNvSpPr>
      </xdr:nvSpPr>
      <xdr:spPr bwMode="auto">
        <a:xfrm>
          <a:off x="39300150" y="72209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47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A010000}"/>
            </a:ext>
          </a:extLst>
        </xdr:cNvPr>
        <xdr:cNvSpPr>
          <a:spLocks noChangeAspect="1" noChangeArrowheads="1"/>
        </xdr:cNvSpPr>
      </xdr:nvSpPr>
      <xdr:spPr bwMode="auto">
        <a:xfrm>
          <a:off x="39300150" y="72209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47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B010000}"/>
            </a:ext>
          </a:extLst>
        </xdr:cNvPr>
        <xdr:cNvSpPr>
          <a:spLocks noChangeAspect="1" noChangeArrowheads="1"/>
        </xdr:cNvSpPr>
      </xdr:nvSpPr>
      <xdr:spPr bwMode="auto">
        <a:xfrm>
          <a:off x="39300150" y="72504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47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C010000}"/>
            </a:ext>
          </a:extLst>
        </xdr:cNvPr>
        <xdr:cNvSpPr>
          <a:spLocks noChangeAspect="1" noChangeArrowheads="1"/>
        </xdr:cNvSpPr>
      </xdr:nvSpPr>
      <xdr:spPr bwMode="auto">
        <a:xfrm>
          <a:off x="39300150" y="72504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47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D010000}"/>
            </a:ext>
          </a:extLst>
        </xdr:cNvPr>
        <xdr:cNvSpPr>
          <a:spLocks noChangeAspect="1" noChangeArrowheads="1"/>
        </xdr:cNvSpPr>
      </xdr:nvSpPr>
      <xdr:spPr bwMode="auto">
        <a:xfrm>
          <a:off x="39300150" y="72799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47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E010000}"/>
            </a:ext>
          </a:extLst>
        </xdr:cNvPr>
        <xdr:cNvSpPr>
          <a:spLocks noChangeAspect="1" noChangeArrowheads="1"/>
        </xdr:cNvSpPr>
      </xdr:nvSpPr>
      <xdr:spPr bwMode="auto">
        <a:xfrm>
          <a:off x="39300150" y="72799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47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F010000}"/>
            </a:ext>
          </a:extLst>
        </xdr:cNvPr>
        <xdr:cNvSpPr>
          <a:spLocks noChangeAspect="1" noChangeArrowheads="1"/>
        </xdr:cNvSpPr>
      </xdr:nvSpPr>
      <xdr:spPr bwMode="auto">
        <a:xfrm>
          <a:off x="39300150" y="73094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48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0010000}"/>
            </a:ext>
          </a:extLst>
        </xdr:cNvPr>
        <xdr:cNvSpPr>
          <a:spLocks noChangeAspect="1" noChangeArrowheads="1"/>
        </xdr:cNvSpPr>
      </xdr:nvSpPr>
      <xdr:spPr bwMode="auto">
        <a:xfrm>
          <a:off x="39300150" y="73094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48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1010000}"/>
            </a:ext>
          </a:extLst>
        </xdr:cNvPr>
        <xdr:cNvSpPr>
          <a:spLocks noChangeAspect="1" noChangeArrowheads="1"/>
        </xdr:cNvSpPr>
      </xdr:nvSpPr>
      <xdr:spPr bwMode="auto">
        <a:xfrm>
          <a:off x="39300150" y="733901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48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2010000}"/>
            </a:ext>
          </a:extLst>
        </xdr:cNvPr>
        <xdr:cNvSpPr>
          <a:spLocks noChangeAspect="1" noChangeArrowheads="1"/>
        </xdr:cNvSpPr>
      </xdr:nvSpPr>
      <xdr:spPr bwMode="auto">
        <a:xfrm>
          <a:off x="39300150" y="733901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48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3010000}"/>
            </a:ext>
          </a:extLst>
        </xdr:cNvPr>
        <xdr:cNvSpPr>
          <a:spLocks noChangeAspect="1" noChangeArrowheads="1"/>
        </xdr:cNvSpPr>
      </xdr:nvSpPr>
      <xdr:spPr bwMode="auto">
        <a:xfrm>
          <a:off x="39300150" y="73685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48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4010000}"/>
            </a:ext>
          </a:extLst>
        </xdr:cNvPr>
        <xdr:cNvSpPr>
          <a:spLocks noChangeAspect="1" noChangeArrowheads="1"/>
        </xdr:cNvSpPr>
      </xdr:nvSpPr>
      <xdr:spPr bwMode="auto">
        <a:xfrm>
          <a:off x="39300150" y="73685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48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5010000}"/>
            </a:ext>
          </a:extLst>
        </xdr:cNvPr>
        <xdr:cNvSpPr>
          <a:spLocks noChangeAspect="1" noChangeArrowheads="1"/>
        </xdr:cNvSpPr>
      </xdr:nvSpPr>
      <xdr:spPr bwMode="auto">
        <a:xfrm>
          <a:off x="39300150" y="739806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48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6010000}"/>
            </a:ext>
          </a:extLst>
        </xdr:cNvPr>
        <xdr:cNvSpPr>
          <a:spLocks noChangeAspect="1" noChangeArrowheads="1"/>
        </xdr:cNvSpPr>
      </xdr:nvSpPr>
      <xdr:spPr bwMode="auto">
        <a:xfrm>
          <a:off x="39300150" y="739806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48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7010000}"/>
            </a:ext>
          </a:extLst>
        </xdr:cNvPr>
        <xdr:cNvSpPr>
          <a:spLocks noChangeAspect="1" noChangeArrowheads="1"/>
        </xdr:cNvSpPr>
      </xdr:nvSpPr>
      <xdr:spPr bwMode="auto">
        <a:xfrm>
          <a:off x="39300150" y="74275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48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8010000}"/>
            </a:ext>
          </a:extLst>
        </xdr:cNvPr>
        <xdr:cNvSpPr>
          <a:spLocks noChangeAspect="1" noChangeArrowheads="1"/>
        </xdr:cNvSpPr>
      </xdr:nvSpPr>
      <xdr:spPr bwMode="auto">
        <a:xfrm>
          <a:off x="39300150" y="74275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48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9010000}"/>
            </a:ext>
          </a:extLst>
        </xdr:cNvPr>
        <xdr:cNvSpPr>
          <a:spLocks noChangeAspect="1" noChangeArrowheads="1"/>
        </xdr:cNvSpPr>
      </xdr:nvSpPr>
      <xdr:spPr bwMode="auto">
        <a:xfrm>
          <a:off x="39300150" y="74571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49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A010000}"/>
            </a:ext>
          </a:extLst>
        </xdr:cNvPr>
        <xdr:cNvSpPr>
          <a:spLocks noChangeAspect="1" noChangeArrowheads="1"/>
        </xdr:cNvSpPr>
      </xdr:nvSpPr>
      <xdr:spPr bwMode="auto">
        <a:xfrm>
          <a:off x="39300150" y="74571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49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B010000}"/>
            </a:ext>
          </a:extLst>
        </xdr:cNvPr>
        <xdr:cNvSpPr>
          <a:spLocks noChangeAspect="1" noChangeArrowheads="1"/>
        </xdr:cNvSpPr>
      </xdr:nvSpPr>
      <xdr:spPr bwMode="auto">
        <a:xfrm>
          <a:off x="39300150" y="7486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49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C010000}"/>
            </a:ext>
          </a:extLst>
        </xdr:cNvPr>
        <xdr:cNvSpPr>
          <a:spLocks noChangeAspect="1" noChangeArrowheads="1"/>
        </xdr:cNvSpPr>
      </xdr:nvSpPr>
      <xdr:spPr bwMode="auto">
        <a:xfrm>
          <a:off x="39300150" y="7486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49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D010000}"/>
            </a:ext>
          </a:extLst>
        </xdr:cNvPr>
        <xdr:cNvSpPr>
          <a:spLocks noChangeAspect="1" noChangeArrowheads="1"/>
        </xdr:cNvSpPr>
      </xdr:nvSpPr>
      <xdr:spPr bwMode="auto">
        <a:xfrm>
          <a:off x="39300150" y="751617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49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E010000}"/>
            </a:ext>
          </a:extLst>
        </xdr:cNvPr>
        <xdr:cNvSpPr>
          <a:spLocks noChangeAspect="1" noChangeArrowheads="1"/>
        </xdr:cNvSpPr>
      </xdr:nvSpPr>
      <xdr:spPr bwMode="auto">
        <a:xfrm>
          <a:off x="39300150" y="751617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49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F010000}"/>
            </a:ext>
          </a:extLst>
        </xdr:cNvPr>
        <xdr:cNvSpPr>
          <a:spLocks noChangeAspect="1" noChangeArrowheads="1"/>
        </xdr:cNvSpPr>
      </xdr:nvSpPr>
      <xdr:spPr bwMode="auto">
        <a:xfrm>
          <a:off x="39300150" y="75457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49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0010000}"/>
            </a:ext>
          </a:extLst>
        </xdr:cNvPr>
        <xdr:cNvSpPr>
          <a:spLocks noChangeAspect="1" noChangeArrowheads="1"/>
        </xdr:cNvSpPr>
      </xdr:nvSpPr>
      <xdr:spPr bwMode="auto">
        <a:xfrm>
          <a:off x="39300150" y="75457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49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1010000}"/>
            </a:ext>
          </a:extLst>
        </xdr:cNvPr>
        <xdr:cNvSpPr>
          <a:spLocks noChangeAspect="1" noChangeArrowheads="1"/>
        </xdr:cNvSpPr>
      </xdr:nvSpPr>
      <xdr:spPr bwMode="auto">
        <a:xfrm>
          <a:off x="39300150" y="75752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49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2010000}"/>
            </a:ext>
          </a:extLst>
        </xdr:cNvPr>
        <xdr:cNvSpPr>
          <a:spLocks noChangeAspect="1" noChangeArrowheads="1"/>
        </xdr:cNvSpPr>
      </xdr:nvSpPr>
      <xdr:spPr bwMode="auto">
        <a:xfrm>
          <a:off x="39300150" y="75752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49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3010000}"/>
            </a:ext>
          </a:extLst>
        </xdr:cNvPr>
        <xdr:cNvSpPr>
          <a:spLocks noChangeAspect="1" noChangeArrowheads="1"/>
        </xdr:cNvSpPr>
      </xdr:nvSpPr>
      <xdr:spPr bwMode="auto">
        <a:xfrm>
          <a:off x="39300150" y="76047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50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4010000}"/>
            </a:ext>
          </a:extLst>
        </xdr:cNvPr>
        <xdr:cNvSpPr>
          <a:spLocks noChangeAspect="1" noChangeArrowheads="1"/>
        </xdr:cNvSpPr>
      </xdr:nvSpPr>
      <xdr:spPr bwMode="auto">
        <a:xfrm>
          <a:off x="39300150" y="76047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50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5010000}"/>
            </a:ext>
          </a:extLst>
        </xdr:cNvPr>
        <xdr:cNvSpPr>
          <a:spLocks noChangeAspect="1" noChangeArrowheads="1"/>
        </xdr:cNvSpPr>
      </xdr:nvSpPr>
      <xdr:spPr bwMode="auto">
        <a:xfrm>
          <a:off x="39300150" y="76342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50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6010000}"/>
            </a:ext>
          </a:extLst>
        </xdr:cNvPr>
        <xdr:cNvSpPr>
          <a:spLocks noChangeAspect="1" noChangeArrowheads="1"/>
        </xdr:cNvSpPr>
      </xdr:nvSpPr>
      <xdr:spPr bwMode="auto">
        <a:xfrm>
          <a:off x="39300150" y="76342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50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7010000}"/>
            </a:ext>
          </a:extLst>
        </xdr:cNvPr>
        <xdr:cNvSpPr>
          <a:spLocks noChangeAspect="1" noChangeArrowheads="1"/>
        </xdr:cNvSpPr>
      </xdr:nvSpPr>
      <xdr:spPr bwMode="auto">
        <a:xfrm>
          <a:off x="39300150" y="76638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50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8010000}"/>
            </a:ext>
          </a:extLst>
        </xdr:cNvPr>
        <xdr:cNvSpPr>
          <a:spLocks noChangeAspect="1" noChangeArrowheads="1"/>
        </xdr:cNvSpPr>
      </xdr:nvSpPr>
      <xdr:spPr bwMode="auto">
        <a:xfrm>
          <a:off x="39300150" y="76638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50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9010000}"/>
            </a:ext>
          </a:extLst>
        </xdr:cNvPr>
        <xdr:cNvSpPr>
          <a:spLocks noChangeAspect="1" noChangeArrowheads="1"/>
        </xdr:cNvSpPr>
      </xdr:nvSpPr>
      <xdr:spPr bwMode="auto">
        <a:xfrm>
          <a:off x="39300150" y="769334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50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A010000}"/>
            </a:ext>
          </a:extLst>
        </xdr:cNvPr>
        <xdr:cNvSpPr>
          <a:spLocks noChangeAspect="1" noChangeArrowheads="1"/>
        </xdr:cNvSpPr>
      </xdr:nvSpPr>
      <xdr:spPr bwMode="auto">
        <a:xfrm>
          <a:off x="39300150" y="769334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50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B010000}"/>
            </a:ext>
          </a:extLst>
        </xdr:cNvPr>
        <xdr:cNvSpPr>
          <a:spLocks noChangeAspect="1" noChangeArrowheads="1"/>
        </xdr:cNvSpPr>
      </xdr:nvSpPr>
      <xdr:spPr bwMode="auto">
        <a:xfrm>
          <a:off x="39300150" y="7722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50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C010000}"/>
            </a:ext>
          </a:extLst>
        </xdr:cNvPr>
        <xdr:cNvSpPr>
          <a:spLocks noChangeAspect="1" noChangeArrowheads="1"/>
        </xdr:cNvSpPr>
      </xdr:nvSpPr>
      <xdr:spPr bwMode="auto">
        <a:xfrm>
          <a:off x="39300150" y="7722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50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D010000}"/>
            </a:ext>
          </a:extLst>
        </xdr:cNvPr>
        <xdr:cNvSpPr>
          <a:spLocks noChangeAspect="1" noChangeArrowheads="1"/>
        </xdr:cNvSpPr>
      </xdr:nvSpPr>
      <xdr:spPr bwMode="auto">
        <a:xfrm>
          <a:off x="39300150" y="775239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51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E010000}"/>
            </a:ext>
          </a:extLst>
        </xdr:cNvPr>
        <xdr:cNvSpPr>
          <a:spLocks noChangeAspect="1" noChangeArrowheads="1"/>
        </xdr:cNvSpPr>
      </xdr:nvSpPr>
      <xdr:spPr bwMode="auto">
        <a:xfrm>
          <a:off x="39300150" y="775239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51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F010000}"/>
            </a:ext>
          </a:extLst>
        </xdr:cNvPr>
        <xdr:cNvSpPr>
          <a:spLocks noChangeAspect="1" noChangeArrowheads="1"/>
        </xdr:cNvSpPr>
      </xdr:nvSpPr>
      <xdr:spPr bwMode="auto">
        <a:xfrm>
          <a:off x="39300150" y="77819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51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0020000}"/>
            </a:ext>
          </a:extLst>
        </xdr:cNvPr>
        <xdr:cNvSpPr>
          <a:spLocks noChangeAspect="1" noChangeArrowheads="1"/>
        </xdr:cNvSpPr>
      </xdr:nvSpPr>
      <xdr:spPr bwMode="auto">
        <a:xfrm>
          <a:off x="39300150" y="77819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51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1020000}"/>
            </a:ext>
          </a:extLst>
        </xdr:cNvPr>
        <xdr:cNvSpPr>
          <a:spLocks noChangeAspect="1" noChangeArrowheads="1"/>
        </xdr:cNvSpPr>
      </xdr:nvSpPr>
      <xdr:spPr bwMode="auto">
        <a:xfrm>
          <a:off x="39300150" y="78114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51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2020000}"/>
            </a:ext>
          </a:extLst>
        </xdr:cNvPr>
        <xdr:cNvSpPr>
          <a:spLocks noChangeAspect="1" noChangeArrowheads="1"/>
        </xdr:cNvSpPr>
      </xdr:nvSpPr>
      <xdr:spPr bwMode="auto">
        <a:xfrm>
          <a:off x="39300150" y="78114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51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3020000}"/>
            </a:ext>
          </a:extLst>
        </xdr:cNvPr>
        <xdr:cNvSpPr>
          <a:spLocks noChangeAspect="1" noChangeArrowheads="1"/>
        </xdr:cNvSpPr>
      </xdr:nvSpPr>
      <xdr:spPr bwMode="auto">
        <a:xfrm>
          <a:off x="39300150" y="78409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51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4020000}"/>
            </a:ext>
          </a:extLst>
        </xdr:cNvPr>
        <xdr:cNvSpPr>
          <a:spLocks noChangeAspect="1" noChangeArrowheads="1"/>
        </xdr:cNvSpPr>
      </xdr:nvSpPr>
      <xdr:spPr bwMode="auto">
        <a:xfrm>
          <a:off x="39300150" y="78409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51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5020000}"/>
            </a:ext>
          </a:extLst>
        </xdr:cNvPr>
        <xdr:cNvSpPr>
          <a:spLocks noChangeAspect="1" noChangeArrowheads="1"/>
        </xdr:cNvSpPr>
      </xdr:nvSpPr>
      <xdr:spPr bwMode="auto">
        <a:xfrm>
          <a:off x="39300150" y="78705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51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6020000}"/>
            </a:ext>
          </a:extLst>
        </xdr:cNvPr>
        <xdr:cNvSpPr>
          <a:spLocks noChangeAspect="1" noChangeArrowheads="1"/>
        </xdr:cNvSpPr>
      </xdr:nvSpPr>
      <xdr:spPr bwMode="auto">
        <a:xfrm>
          <a:off x="39300150" y="78705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51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7020000}"/>
            </a:ext>
          </a:extLst>
        </xdr:cNvPr>
        <xdr:cNvSpPr>
          <a:spLocks noChangeAspect="1" noChangeArrowheads="1"/>
        </xdr:cNvSpPr>
      </xdr:nvSpPr>
      <xdr:spPr bwMode="auto">
        <a:xfrm>
          <a:off x="39300150" y="79000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52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8020000}"/>
            </a:ext>
          </a:extLst>
        </xdr:cNvPr>
        <xdr:cNvSpPr>
          <a:spLocks noChangeAspect="1" noChangeArrowheads="1"/>
        </xdr:cNvSpPr>
      </xdr:nvSpPr>
      <xdr:spPr bwMode="auto">
        <a:xfrm>
          <a:off x="39300150" y="79000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52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9020000}"/>
            </a:ext>
          </a:extLst>
        </xdr:cNvPr>
        <xdr:cNvSpPr>
          <a:spLocks noChangeAspect="1" noChangeArrowheads="1"/>
        </xdr:cNvSpPr>
      </xdr:nvSpPr>
      <xdr:spPr bwMode="auto">
        <a:xfrm>
          <a:off x="39300150" y="79295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52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A020000}"/>
            </a:ext>
          </a:extLst>
        </xdr:cNvPr>
        <xdr:cNvSpPr>
          <a:spLocks noChangeAspect="1" noChangeArrowheads="1"/>
        </xdr:cNvSpPr>
      </xdr:nvSpPr>
      <xdr:spPr bwMode="auto">
        <a:xfrm>
          <a:off x="39300150" y="79295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52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B020000}"/>
            </a:ext>
          </a:extLst>
        </xdr:cNvPr>
        <xdr:cNvSpPr>
          <a:spLocks noChangeAspect="1" noChangeArrowheads="1"/>
        </xdr:cNvSpPr>
      </xdr:nvSpPr>
      <xdr:spPr bwMode="auto">
        <a:xfrm>
          <a:off x="39300150" y="79590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52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C020000}"/>
            </a:ext>
          </a:extLst>
        </xdr:cNvPr>
        <xdr:cNvSpPr>
          <a:spLocks noChangeAspect="1" noChangeArrowheads="1"/>
        </xdr:cNvSpPr>
      </xdr:nvSpPr>
      <xdr:spPr bwMode="auto">
        <a:xfrm>
          <a:off x="39300150" y="79590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52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D020000}"/>
            </a:ext>
          </a:extLst>
        </xdr:cNvPr>
        <xdr:cNvSpPr>
          <a:spLocks noChangeAspect="1" noChangeArrowheads="1"/>
        </xdr:cNvSpPr>
      </xdr:nvSpPr>
      <xdr:spPr bwMode="auto">
        <a:xfrm>
          <a:off x="39300150" y="798861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52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E020000}"/>
            </a:ext>
          </a:extLst>
        </xdr:cNvPr>
        <xdr:cNvSpPr>
          <a:spLocks noChangeAspect="1" noChangeArrowheads="1"/>
        </xdr:cNvSpPr>
      </xdr:nvSpPr>
      <xdr:spPr bwMode="auto">
        <a:xfrm>
          <a:off x="39300150" y="798861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52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F020000}"/>
            </a:ext>
          </a:extLst>
        </xdr:cNvPr>
        <xdr:cNvSpPr>
          <a:spLocks noChangeAspect="1" noChangeArrowheads="1"/>
        </xdr:cNvSpPr>
      </xdr:nvSpPr>
      <xdr:spPr bwMode="auto">
        <a:xfrm>
          <a:off x="39300150" y="80181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52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0020000}"/>
            </a:ext>
          </a:extLst>
        </xdr:cNvPr>
        <xdr:cNvSpPr>
          <a:spLocks noChangeAspect="1" noChangeArrowheads="1"/>
        </xdr:cNvSpPr>
      </xdr:nvSpPr>
      <xdr:spPr bwMode="auto">
        <a:xfrm>
          <a:off x="39300150" y="80181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52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1020000}"/>
            </a:ext>
          </a:extLst>
        </xdr:cNvPr>
        <xdr:cNvSpPr>
          <a:spLocks noChangeAspect="1" noChangeArrowheads="1"/>
        </xdr:cNvSpPr>
      </xdr:nvSpPr>
      <xdr:spPr bwMode="auto">
        <a:xfrm>
          <a:off x="39300150" y="804767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53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2020000}"/>
            </a:ext>
          </a:extLst>
        </xdr:cNvPr>
        <xdr:cNvSpPr>
          <a:spLocks noChangeAspect="1" noChangeArrowheads="1"/>
        </xdr:cNvSpPr>
      </xdr:nvSpPr>
      <xdr:spPr bwMode="auto">
        <a:xfrm>
          <a:off x="39300150" y="804767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53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3020000}"/>
            </a:ext>
          </a:extLst>
        </xdr:cNvPr>
        <xdr:cNvSpPr>
          <a:spLocks noChangeAspect="1" noChangeArrowheads="1"/>
        </xdr:cNvSpPr>
      </xdr:nvSpPr>
      <xdr:spPr bwMode="auto">
        <a:xfrm>
          <a:off x="39300150" y="80772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53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4020000}"/>
            </a:ext>
          </a:extLst>
        </xdr:cNvPr>
        <xdr:cNvSpPr>
          <a:spLocks noChangeAspect="1" noChangeArrowheads="1"/>
        </xdr:cNvSpPr>
      </xdr:nvSpPr>
      <xdr:spPr bwMode="auto">
        <a:xfrm>
          <a:off x="39300150" y="80772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53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5020000}"/>
            </a:ext>
          </a:extLst>
        </xdr:cNvPr>
        <xdr:cNvSpPr>
          <a:spLocks noChangeAspect="1" noChangeArrowheads="1"/>
        </xdr:cNvSpPr>
      </xdr:nvSpPr>
      <xdr:spPr bwMode="auto">
        <a:xfrm>
          <a:off x="39300150" y="810672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53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6020000}"/>
            </a:ext>
          </a:extLst>
        </xdr:cNvPr>
        <xdr:cNvSpPr>
          <a:spLocks noChangeAspect="1" noChangeArrowheads="1"/>
        </xdr:cNvSpPr>
      </xdr:nvSpPr>
      <xdr:spPr bwMode="auto">
        <a:xfrm>
          <a:off x="39300150" y="810672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53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7020000}"/>
            </a:ext>
          </a:extLst>
        </xdr:cNvPr>
        <xdr:cNvSpPr>
          <a:spLocks noChangeAspect="1" noChangeArrowheads="1"/>
        </xdr:cNvSpPr>
      </xdr:nvSpPr>
      <xdr:spPr bwMode="auto">
        <a:xfrm>
          <a:off x="39300150" y="81362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53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8020000}"/>
            </a:ext>
          </a:extLst>
        </xdr:cNvPr>
        <xdr:cNvSpPr>
          <a:spLocks noChangeAspect="1" noChangeArrowheads="1"/>
        </xdr:cNvSpPr>
      </xdr:nvSpPr>
      <xdr:spPr bwMode="auto">
        <a:xfrm>
          <a:off x="39300150" y="81362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53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9020000}"/>
            </a:ext>
          </a:extLst>
        </xdr:cNvPr>
        <xdr:cNvSpPr>
          <a:spLocks noChangeAspect="1" noChangeArrowheads="1"/>
        </xdr:cNvSpPr>
      </xdr:nvSpPr>
      <xdr:spPr bwMode="auto">
        <a:xfrm>
          <a:off x="39300150" y="81657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53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A020000}"/>
            </a:ext>
          </a:extLst>
        </xdr:cNvPr>
        <xdr:cNvSpPr>
          <a:spLocks noChangeAspect="1" noChangeArrowheads="1"/>
        </xdr:cNvSpPr>
      </xdr:nvSpPr>
      <xdr:spPr bwMode="auto">
        <a:xfrm>
          <a:off x="39300150" y="81657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53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B020000}"/>
            </a:ext>
          </a:extLst>
        </xdr:cNvPr>
        <xdr:cNvSpPr>
          <a:spLocks noChangeAspect="1" noChangeArrowheads="1"/>
        </xdr:cNvSpPr>
      </xdr:nvSpPr>
      <xdr:spPr bwMode="auto">
        <a:xfrm>
          <a:off x="39300150" y="81953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54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C020000}"/>
            </a:ext>
          </a:extLst>
        </xdr:cNvPr>
        <xdr:cNvSpPr>
          <a:spLocks noChangeAspect="1" noChangeArrowheads="1"/>
        </xdr:cNvSpPr>
      </xdr:nvSpPr>
      <xdr:spPr bwMode="auto">
        <a:xfrm>
          <a:off x="39300150" y="81953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54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D020000}"/>
            </a:ext>
          </a:extLst>
        </xdr:cNvPr>
        <xdr:cNvSpPr>
          <a:spLocks noChangeAspect="1" noChangeArrowheads="1"/>
        </xdr:cNvSpPr>
      </xdr:nvSpPr>
      <xdr:spPr bwMode="auto">
        <a:xfrm>
          <a:off x="39300150" y="82248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54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E020000}"/>
            </a:ext>
          </a:extLst>
        </xdr:cNvPr>
        <xdr:cNvSpPr>
          <a:spLocks noChangeAspect="1" noChangeArrowheads="1"/>
        </xdr:cNvSpPr>
      </xdr:nvSpPr>
      <xdr:spPr bwMode="auto">
        <a:xfrm>
          <a:off x="39300150" y="82248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54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F020000}"/>
            </a:ext>
          </a:extLst>
        </xdr:cNvPr>
        <xdr:cNvSpPr>
          <a:spLocks noChangeAspect="1" noChangeArrowheads="1"/>
        </xdr:cNvSpPr>
      </xdr:nvSpPr>
      <xdr:spPr bwMode="auto">
        <a:xfrm>
          <a:off x="39300150" y="82543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54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0020000}"/>
            </a:ext>
          </a:extLst>
        </xdr:cNvPr>
        <xdr:cNvSpPr>
          <a:spLocks noChangeAspect="1" noChangeArrowheads="1"/>
        </xdr:cNvSpPr>
      </xdr:nvSpPr>
      <xdr:spPr bwMode="auto">
        <a:xfrm>
          <a:off x="39300150" y="82543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54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1020000}"/>
            </a:ext>
          </a:extLst>
        </xdr:cNvPr>
        <xdr:cNvSpPr>
          <a:spLocks noChangeAspect="1" noChangeArrowheads="1"/>
        </xdr:cNvSpPr>
      </xdr:nvSpPr>
      <xdr:spPr bwMode="auto">
        <a:xfrm>
          <a:off x="39300150" y="828389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54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2020000}"/>
            </a:ext>
          </a:extLst>
        </xdr:cNvPr>
        <xdr:cNvSpPr>
          <a:spLocks noChangeAspect="1" noChangeArrowheads="1"/>
        </xdr:cNvSpPr>
      </xdr:nvSpPr>
      <xdr:spPr bwMode="auto">
        <a:xfrm>
          <a:off x="39300150" y="828389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54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3020000}"/>
            </a:ext>
          </a:extLst>
        </xdr:cNvPr>
        <xdr:cNvSpPr>
          <a:spLocks noChangeAspect="1" noChangeArrowheads="1"/>
        </xdr:cNvSpPr>
      </xdr:nvSpPr>
      <xdr:spPr bwMode="auto">
        <a:xfrm>
          <a:off x="39300150" y="83134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54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4020000}"/>
            </a:ext>
          </a:extLst>
        </xdr:cNvPr>
        <xdr:cNvSpPr>
          <a:spLocks noChangeAspect="1" noChangeArrowheads="1"/>
        </xdr:cNvSpPr>
      </xdr:nvSpPr>
      <xdr:spPr bwMode="auto">
        <a:xfrm>
          <a:off x="39300150" y="83134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54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5020000}"/>
            </a:ext>
          </a:extLst>
        </xdr:cNvPr>
        <xdr:cNvSpPr>
          <a:spLocks noChangeAspect="1" noChangeArrowheads="1"/>
        </xdr:cNvSpPr>
      </xdr:nvSpPr>
      <xdr:spPr bwMode="auto">
        <a:xfrm>
          <a:off x="39300150" y="834294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55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6020000}"/>
            </a:ext>
          </a:extLst>
        </xdr:cNvPr>
        <xdr:cNvSpPr>
          <a:spLocks noChangeAspect="1" noChangeArrowheads="1"/>
        </xdr:cNvSpPr>
      </xdr:nvSpPr>
      <xdr:spPr bwMode="auto">
        <a:xfrm>
          <a:off x="39300150" y="834294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55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7020000}"/>
            </a:ext>
          </a:extLst>
        </xdr:cNvPr>
        <xdr:cNvSpPr>
          <a:spLocks noChangeAspect="1" noChangeArrowheads="1"/>
        </xdr:cNvSpPr>
      </xdr:nvSpPr>
      <xdr:spPr bwMode="auto">
        <a:xfrm>
          <a:off x="39300150" y="83724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55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8020000}"/>
            </a:ext>
          </a:extLst>
        </xdr:cNvPr>
        <xdr:cNvSpPr>
          <a:spLocks noChangeAspect="1" noChangeArrowheads="1"/>
        </xdr:cNvSpPr>
      </xdr:nvSpPr>
      <xdr:spPr bwMode="auto">
        <a:xfrm>
          <a:off x="39300150" y="83724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55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9020000}"/>
            </a:ext>
          </a:extLst>
        </xdr:cNvPr>
        <xdr:cNvSpPr>
          <a:spLocks noChangeAspect="1" noChangeArrowheads="1"/>
        </xdr:cNvSpPr>
      </xdr:nvSpPr>
      <xdr:spPr bwMode="auto">
        <a:xfrm>
          <a:off x="39300150" y="84020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55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A020000}"/>
            </a:ext>
          </a:extLst>
        </xdr:cNvPr>
        <xdr:cNvSpPr>
          <a:spLocks noChangeAspect="1" noChangeArrowheads="1"/>
        </xdr:cNvSpPr>
      </xdr:nvSpPr>
      <xdr:spPr bwMode="auto">
        <a:xfrm>
          <a:off x="39300150" y="84020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55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B020000}"/>
            </a:ext>
          </a:extLst>
        </xdr:cNvPr>
        <xdr:cNvSpPr>
          <a:spLocks noChangeAspect="1" noChangeArrowheads="1"/>
        </xdr:cNvSpPr>
      </xdr:nvSpPr>
      <xdr:spPr bwMode="auto">
        <a:xfrm>
          <a:off x="39300150" y="84315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55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C020000}"/>
            </a:ext>
          </a:extLst>
        </xdr:cNvPr>
        <xdr:cNvSpPr>
          <a:spLocks noChangeAspect="1" noChangeArrowheads="1"/>
        </xdr:cNvSpPr>
      </xdr:nvSpPr>
      <xdr:spPr bwMode="auto">
        <a:xfrm>
          <a:off x="39300150" y="84315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55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D020000}"/>
            </a:ext>
          </a:extLst>
        </xdr:cNvPr>
        <xdr:cNvSpPr>
          <a:spLocks noChangeAspect="1" noChangeArrowheads="1"/>
        </xdr:cNvSpPr>
      </xdr:nvSpPr>
      <xdr:spPr bwMode="auto">
        <a:xfrm>
          <a:off x="39300150" y="84610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55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E020000}"/>
            </a:ext>
          </a:extLst>
        </xdr:cNvPr>
        <xdr:cNvSpPr>
          <a:spLocks noChangeAspect="1" noChangeArrowheads="1"/>
        </xdr:cNvSpPr>
      </xdr:nvSpPr>
      <xdr:spPr bwMode="auto">
        <a:xfrm>
          <a:off x="39300150" y="84610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55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F020000}"/>
            </a:ext>
          </a:extLst>
        </xdr:cNvPr>
        <xdr:cNvSpPr>
          <a:spLocks noChangeAspect="1" noChangeArrowheads="1"/>
        </xdr:cNvSpPr>
      </xdr:nvSpPr>
      <xdr:spPr bwMode="auto">
        <a:xfrm>
          <a:off x="39300150" y="84905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56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0020000}"/>
            </a:ext>
          </a:extLst>
        </xdr:cNvPr>
        <xdr:cNvSpPr>
          <a:spLocks noChangeAspect="1" noChangeArrowheads="1"/>
        </xdr:cNvSpPr>
      </xdr:nvSpPr>
      <xdr:spPr bwMode="auto">
        <a:xfrm>
          <a:off x="39300150" y="84905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56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1020000}"/>
            </a:ext>
          </a:extLst>
        </xdr:cNvPr>
        <xdr:cNvSpPr>
          <a:spLocks noChangeAspect="1" noChangeArrowheads="1"/>
        </xdr:cNvSpPr>
      </xdr:nvSpPr>
      <xdr:spPr bwMode="auto">
        <a:xfrm>
          <a:off x="39300150" y="852011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56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2020000}"/>
            </a:ext>
          </a:extLst>
        </xdr:cNvPr>
        <xdr:cNvSpPr>
          <a:spLocks noChangeAspect="1" noChangeArrowheads="1"/>
        </xdr:cNvSpPr>
      </xdr:nvSpPr>
      <xdr:spPr bwMode="auto">
        <a:xfrm>
          <a:off x="39300150" y="852011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56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3020000}"/>
            </a:ext>
          </a:extLst>
        </xdr:cNvPr>
        <xdr:cNvSpPr>
          <a:spLocks noChangeAspect="1" noChangeArrowheads="1"/>
        </xdr:cNvSpPr>
      </xdr:nvSpPr>
      <xdr:spPr bwMode="auto">
        <a:xfrm>
          <a:off x="39300150" y="85496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56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4020000}"/>
            </a:ext>
          </a:extLst>
        </xdr:cNvPr>
        <xdr:cNvSpPr>
          <a:spLocks noChangeAspect="1" noChangeArrowheads="1"/>
        </xdr:cNvSpPr>
      </xdr:nvSpPr>
      <xdr:spPr bwMode="auto">
        <a:xfrm>
          <a:off x="39300150" y="85496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56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5020000}"/>
            </a:ext>
          </a:extLst>
        </xdr:cNvPr>
        <xdr:cNvSpPr>
          <a:spLocks noChangeAspect="1" noChangeArrowheads="1"/>
        </xdr:cNvSpPr>
      </xdr:nvSpPr>
      <xdr:spPr bwMode="auto">
        <a:xfrm>
          <a:off x="39300150" y="857916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56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6020000}"/>
            </a:ext>
          </a:extLst>
        </xdr:cNvPr>
        <xdr:cNvSpPr>
          <a:spLocks noChangeAspect="1" noChangeArrowheads="1"/>
        </xdr:cNvSpPr>
      </xdr:nvSpPr>
      <xdr:spPr bwMode="auto">
        <a:xfrm>
          <a:off x="39300150" y="857916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56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7020000}"/>
            </a:ext>
          </a:extLst>
        </xdr:cNvPr>
        <xdr:cNvSpPr>
          <a:spLocks noChangeAspect="1" noChangeArrowheads="1"/>
        </xdr:cNvSpPr>
      </xdr:nvSpPr>
      <xdr:spPr bwMode="auto">
        <a:xfrm>
          <a:off x="39300150" y="86086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56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8020000}"/>
            </a:ext>
          </a:extLst>
        </xdr:cNvPr>
        <xdr:cNvSpPr>
          <a:spLocks noChangeAspect="1" noChangeArrowheads="1"/>
        </xdr:cNvSpPr>
      </xdr:nvSpPr>
      <xdr:spPr bwMode="auto">
        <a:xfrm>
          <a:off x="39300150" y="86086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56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9020000}"/>
            </a:ext>
          </a:extLst>
        </xdr:cNvPr>
        <xdr:cNvSpPr>
          <a:spLocks noChangeAspect="1" noChangeArrowheads="1"/>
        </xdr:cNvSpPr>
      </xdr:nvSpPr>
      <xdr:spPr bwMode="auto">
        <a:xfrm>
          <a:off x="39300150" y="86382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57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A020000}"/>
            </a:ext>
          </a:extLst>
        </xdr:cNvPr>
        <xdr:cNvSpPr>
          <a:spLocks noChangeAspect="1" noChangeArrowheads="1"/>
        </xdr:cNvSpPr>
      </xdr:nvSpPr>
      <xdr:spPr bwMode="auto">
        <a:xfrm>
          <a:off x="39300150" y="86382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57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B020000}"/>
            </a:ext>
          </a:extLst>
        </xdr:cNvPr>
        <xdr:cNvSpPr>
          <a:spLocks noChangeAspect="1" noChangeArrowheads="1"/>
        </xdr:cNvSpPr>
      </xdr:nvSpPr>
      <xdr:spPr bwMode="auto">
        <a:xfrm>
          <a:off x="39300150" y="8667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57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C020000}"/>
            </a:ext>
          </a:extLst>
        </xdr:cNvPr>
        <xdr:cNvSpPr>
          <a:spLocks noChangeAspect="1" noChangeArrowheads="1"/>
        </xdr:cNvSpPr>
      </xdr:nvSpPr>
      <xdr:spPr bwMode="auto">
        <a:xfrm>
          <a:off x="39300150" y="8667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57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D020000}"/>
            </a:ext>
          </a:extLst>
        </xdr:cNvPr>
        <xdr:cNvSpPr>
          <a:spLocks noChangeAspect="1" noChangeArrowheads="1"/>
        </xdr:cNvSpPr>
      </xdr:nvSpPr>
      <xdr:spPr bwMode="auto">
        <a:xfrm>
          <a:off x="39300150" y="869727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57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E020000}"/>
            </a:ext>
          </a:extLst>
        </xdr:cNvPr>
        <xdr:cNvSpPr>
          <a:spLocks noChangeAspect="1" noChangeArrowheads="1"/>
        </xdr:cNvSpPr>
      </xdr:nvSpPr>
      <xdr:spPr bwMode="auto">
        <a:xfrm>
          <a:off x="39300150" y="869727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57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F020000}"/>
            </a:ext>
          </a:extLst>
        </xdr:cNvPr>
        <xdr:cNvSpPr>
          <a:spLocks noChangeAspect="1" noChangeArrowheads="1"/>
        </xdr:cNvSpPr>
      </xdr:nvSpPr>
      <xdr:spPr bwMode="auto">
        <a:xfrm>
          <a:off x="39300150" y="87268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57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0020000}"/>
            </a:ext>
          </a:extLst>
        </xdr:cNvPr>
        <xdr:cNvSpPr>
          <a:spLocks noChangeAspect="1" noChangeArrowheads="1"/>
        </xdr:cNvSpPr>
      </xdr:nvSpPr>
      <xdr:spPr bwMode="auto">
        <a:xfrm>
          <a:off x="39300150" y="87268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57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1020000}"/>
            </a:ext>
          </a:extLst>
        </xdr:cNvPr>
        <xdr:cNvSpPr>
          <a:spLocks noChangeAspect="1" noChangeArrowheads="1"/>
        </xdr:cNvSpPr>
      </xdr:nvSpPr>
      <xdr:spPr bwMode="auto">
        <a:xfrm>
          <a:off x="39300150" y="87563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57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2020000}"/>
            </a:ext>
          </a:extLst>
        </xdr:cNvPr>
        <xdr:cNvSpPr>
          <a:spLocks noChangeAspect="1" noChangeArrowheads="1"/>
        </xdr:cNvSpPr>
      </xdr:nvSpPr>
      <xdr:spPr bwMode="auto">
        <a:xfrm>
          <a:off x="39300150" y="87563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57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3020000}"/>
            </a:ext>
          </a:extLst>
        </xdr:cNvPr>
        <xdr:cNvSpPr>
          <a:spLocks noChangeAspect="1" noChangeArrowheads="1"/>
        </xdr:cNvSpPr>
      </xdr:nvSpPr>
      <xdr:spPr bwMode="auto">
        <a:xfrm>
          <a:off x="39300150" y="87858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58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4020000}"/>
            </a:ext>
          </a:extLst>
        </xdr:cNvPr>
        <xdr:cNvSpPr>
          <a:spLocks noChangeAspect="1" noChangeArrowheads="1"/>
        </xdr:cNvSpPr>
      </xdr:nvSpPr>
      <xdr:spPr bwMode="auto">
        <a:xfrm>
          <a:off x="39300150" y="87858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58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5020000}"/>
            </a:ext>
          </a:extLst>
        </xdr:cNvPr>
        <xdr:cNvSpPr>
          <a:spLocks noChangeAspect="1" noChangeArrowheads="1"/>
        </xdr:cNvSpPr>
      </xdr:nvSpPr>
      <xdr:spPr bwMode="auto">
        <a:xfrm>
          <a:off x="39300150" y="88153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58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6020000}"/>
            </a:ext>
          </a:extLst>
        </xdr:cNvPr>
        <xdr:cNvSpPr>
          <a:spLocks noChangeAspect="1" noChangeArrowheads="1"/>
        </xdr:cNvSpPr>
      </xdr:nvSpPr>
      <xdr:spPr bwMode="auto">
        <a:xfrm>
          <a:off x="39300150" y="88153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58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7020000}"/>
            </a:ext>
          </a:extLst>
        </xdr:cNvPr>
        <xdr:cNvSpPr>
          <a:spLocks noChangeAspect="1" noChangeArrowheads="1"/>
        </xdr:cNvSpPr>
      </xdr:nvSpPr>
      <xdr:spPr bwMode="auto">
        <a:xfrm>
          <a:off x="39300150" y="88449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58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8020000}"/>
            </a:ext>
          </a:extLst>
        </xdr:cNvPr>
        <xdr:cNvSpPr>
          <a:spLocks noChangeAspect="1" noChangeArrowheads="1"/>
        </xdr:cNvSpPr>
      </xdr:nvSpPr>
      <xdr:spPr bwMode="auto">
        <a:xfrm>
          <a:off x="39300150" y="88449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58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9020000}"/>
            </a:ext>
          </a:extLst>
        </xdr:cNvPr>
        <xdr:cNvSpPr>
          <a:spLocks noChangeAspect="1" noChangeArrowheads="1"/>
        </xdr:cNvSpPr>
      </xdr:nvSpPr>
      <xdr:spPr bwMode="auto">
        <a:xfrm>
          <a:off x="39300150" y="887444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58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A020000}"/>
            </a:ext>
          </a:extLst>
        </xdr:cNvPr>
        <xdr:cNvSpPr>
          <a:spLocks noChangeAspect="1" noChangeArrowheads="1"/>
        </xdr:cNvSpPr>
      </xdr:nvSpPr>
      <xdr:spPr bwMode="auto">
        <a:xfrm>
          <a:off x="39300150" y="887444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58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B020000}"/>
            </a:ext>
          </a:extLst>
        </xdr:cNvPr>
        <xdr:cNvSpPr>
          <a:spLocks noChangeAspect="1" noChangeArrowheads="1"/>
        </xdr:cNvSpPr>
      </xdr:nvSpPr>
      <xdr:spPr bwMode="auto">
        <a:xfrm>
          <a:off x="39300150" y="8903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58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C020000}"/>
            </a:ext>
          </a:extLst>
        </xdr:cNvPr>
        <xdr:cNvSpPr>
          <a:spLocks noChangeAspect="1" noChangeArrowheads="1"/>
        </xdr:cNvSpPr>
      </xdr:nvSpPr>
      <xdr:spPr bwMode="auto">
        <a:xfrm>
          <a:off x="39300150" y="8903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58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D020000}"/>
            </a:ext>
          </a:extLst>
        </xdr:cNvPr>
        <xdr:cNvSpPr>
          <a:spLocks noChangeAspect="1" noChangeArrowheads="1"/>
        </xdr:cNvSpPr>
      </xdr:nvSpPr>
      <xdr:spPr bwMode="auto">
        <a:xfrm>
          <a:off x="39300150" y="893349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59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E020000}"/>
            </a:ext>
          </a:extLst>
        </xdr:cNvPr>
        <xdr:cNvSpPr>
          <a:spLocks noChangeAspect="1" noChangeArrowheads="1"/>
        </xdr:cNvSpPr>
      </xdr:nvSpPr>
      <xdr:spPr bwMode="auto">
        <a:xfrm>
          <a:off x="39300150" y="893349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59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F020000}"/>
            </a:ext>
          </a:extLst>
        </xdr:cNvPr>
        <xdr:cNvSpPr>
          <a:spLocks noChangeAspect="1" noChangeArrowheads="1"/>
        </xdr:cNvSpPr>
      </xdr:nvSpPr>
      <xdr:spPr bwMode="auto">
        <a:xfrm>
          <a:off x="39300150" y="89630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59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0020000}"/>
            </a:ext>
          </a:extLst>
        </xdr:cNvPr>
        <xdr:cNvSpPr>
          <a:spLocks noChangeAspect="1" noChangeArrowheads="1"/>
        </xdr:cNvSpPr>
      </xdr:nvSpPr>
      <xdr:spPr bwMode="auto">
        <a:xfrm>
          <a:off x="39300150" y="89630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59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1020000}"/>
            </a:ext>
          </a:extLst>
        </xdr:cNvPr>
        <xdr:cNvSpPr>
          <a:spLocks noChangeAspect="1" noChangeArrowheads="1"/>
        </xdr:cNvSpPr>
      </xdr:nvSpPr>
      <xdr:spPr bwMode="auto">
        <a:xfrm>
          <a:off x="39300150" y="89925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59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2020000}"/>
            </a:ext>
          </a:extLst>
        </xdr:cNvPr>
        <xdr:cNvSpPr>
          <a:spLocks noChangeAspect="1" noChangeArrowheads="1"/>
        </xdr:cNvSpPr>
      </xdr:nvSpPr>
      <xdr:spPr bwMode="auto">
        <a:xfrm>
          <a:off x="39300150" y="89925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59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3020000}"/>
            </a:ext>
          </a:extLst>
        </xdr:cNvPr>
        <xdr:cNvSpPr>
          <a:spLocks noChangeAspect="1" noChangeArrowheads="1"/>
        </xdr:cNvSpPr>
      </xdr:nvSpPr>
      <xdr:spPr bwMode="auto">
        <a:xfrm>
          <a:off x="39300150" y="90220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59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4020000}"/>
            </a:ext>
          </a:extLst>
        </xdr:cNvPr>
        <xdr:cNvSpPr>
          <a:spLocks noChangeAspect="1" noChangeArrowheads="1"/>
        </xdr:cNvSpPr>
      </xdr:nvSpPr>
      <xdr:spPr bwMode="auto">
        <a:xfrm>
          <a:off x="39300150" y="90220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59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5020000}"/>
            </a:ext>
          </a:extLst>
        </xdr:cNvPr>
        <xdr:cNvSpPr>
          <a:spLocks noChangeAspect="1" noChangeArrowheads="1"/>
        </xdr:cNvSpPr>
      </xdr:nvSpPr>
      <xdr:spPr bwMode="auto">
        <a:xfrm>
          <a:off x="39300150" y="90516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59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6020000}"/>
            </a:ext>
          </a:extLst>
        </xdr:cNvPr>
        <xdr:cNvSpPr>
          <a:spLocks noChangeAspect="1" noChangeArrowheads="1"/>
        </xdr:cNvSpPr>
      </xdr:nvSpPr>
      <xdr:spPr bwMode="auto">
        <a:xfrm>
          <a:off x="39300150" y="90516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59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7020000}"/>
            </a:ext>
          </a:extLst>
        </xdr:cNvPr>
        <xdr:cNvSpPr>
          <a:spLocks noChangeAspect="1" noChangeArrowheads="1"/>
        </xdr:cNvSpPr>
      </xdr:nvSpPr>
      <xdr:spPr bwMode="auto">
        <a:xfrm>
          <a:off x="39300150" y="90811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0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8020000}"/>
            </a:ext>
          </a:extLst>
        </xdr:cNvPr>
        <xdr:cNvSpPr>
          <a:spLocks noChangeAspect="1" noChangeArrowheads="1"/>
        </xdr:cNvSpPr>
      </xdr:nvSpPr>
      <xdr:spPr bwMode="auto">
        <a:xfrm>
          <a:off x="39300150" y="90811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0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9020000}"/>
            </a:ext>
          </a:extLst>
        </xdr:cNvPr>
        <xdr:cNvSpPr>
          <a:spLocks noChangeAspect="1" noChangeArrowheads="1"/>
        </xdr:cNvSpPr>
      </xdr:nvSpPr>
      <xdr:spPr bwMode="auto">
        <a:xfrm>
          <a:off x="39300150" y="91106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0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A020000}"/>
            </a:ext>
          </a:extLst>
        </xdr:cNvPr>
        <xdr:cNvSpPr>
          <a:spLocks noChangeAspect="1" noChangeArrowheads="1"/>
        </xdr:cNvSpPr>
      </xdr:nvSpPr>
      <xdr:spPr bwMode="auto">
        <a:xfrm>
          <a:off x="39300150" y="91106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0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B020000}"/>
            </a:ext>
          </a:extLst>
        </xdr:cNvPr>
        <xdr:cNvSpPr>
          <a:spLocks noChangeAspect="1" noChangeArrowheads="1"/>
        </xdr:cNvSpPr>
      </xdr:nvSpPr>
      <xdr:spPr bwMode="auto">
        <a:xfrm>
          <a:off x="39300150" y="91401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0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C020000}"/>
            </a:ext>
          </a:extLst>
        </xdr:cNvPr>
        <xdr:cNvSpPr>
          <a:spLocks noChangeAspect="1" noChangeArrowheads="1"/>
        </xdr:cNvSpPr>
      </xdr:nvSpPr>
      <xdr:spPr bwMode="auto">
        <a:xfrm>
          <a:off x="39300150" y="91401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0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D020000}"/>
            </a:ext>
          </a:extLst>
        </xdr:cNvPr>
        <xdr:cNvSpPr>
          <a:spLocks noChangeAspect="1" noChangeArrowheads="1"/>
        </xdr:cNvSpPr>
      </xdr:nvSpPr>
      <xdr:spPr bwMode="auto">
        <a:xfrm>
          <a:off x="39300150" y="916971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0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E020000}"/>
            </a:ext>
          </a:extLst>
        </xdr:cNvPr>
        <xdr:cNvSpPr>
          <a:spLocks noChangeAspect="1" noChangeArrowheads="1"/>
        </xdr:cNvSpPr>
      </xdr:nvSpPr>
      <xdr:spPr bwMode="auto">
        <a:xfrm>
          <a:off x="39300150" y="916971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0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F020000}"/>
            </a:ext>
          </a:extLst>
        </xdr:cNvPr>
        <xdr:cNvSpPr>
          <a:spLocks noChangeAspect="1" noChangeArrowheads="1"/>
        </xdr:cNvSpPr>
      </xdr:nvSpPr>
      <xdr:spPr bwMode="auto">
        <a:xfrm>
          <a:off x="39300150" y="91992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0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0020000}"/>
            </a:ext>
          </a:extLst>
        </xdr:cNvPr>
        <xdr:cNvSpPr>
          <a:spLocks noChangeAspect="1" noChangeArrowheads="1"/>
        </xdr:cNvSpPr>
      </xdr:nvSpPr>
      <xdr:spPr bwMode="auto">
        <a:xfrm>
          <a:off x="39300150" y="91992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0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1020000}"/>
            </a:ext>
          </a:extLst>
        </xdr:cNvPr>
        <xdr:cNvSpPr>
          <a:spLocks noChangeAspect="1" noChangeArrowheads="1"/>
        </xdr:cNvSpPr>
      </xdr:nvSpPr>
      <xdr:spPr bwMode="auto">
        <a:xfrm>
          <a:off x="39300150" y="922877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1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2020000}"/>
            </a:ext>
          </a:extLst>
        </xdr:cNvPr>
        <xdr:cNvSpPr>
          <a:spLocks noChangeAspect="1" noChangeArrowheads="1"/>
        </xdr:cNvSpPr>
      </xdr:nvSpPr>
      <xdr:spPr bwMode="auto">
        <a:xfrm>
          <a:off x="39300150" y="922877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1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3020000}"/>
            </a:ext>
          </a:extLst>
        </xdr:cNvPr>
        <xdr:cNvSpPr>
          <a:spLocks noChangeAspect="1" noChangeArrowheads="1"/>
        </xdr:cNvSpPr>
      </xdr:nvSpPr>
      <xdr:spPr bwMode="auto">
        <a:xfrm>
          <a:off x="39300150" y="92583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1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4020000}"/>
            </a:ext>
          </a:extLst>
        </xdr:cNvPr>
        <xdr:cNvSpPr>
          <a:spLocks noChangeAspect="1" noChangeArrowheads="1"/>
        </xdr:cNvSpPr>
      </xdr:nvSpPr>
      <xdr:spPr bwMode="auto">
        <a:xfrm>
          <a:off x="39300150" y="92583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1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5020000}"/>
            </a:ext>
          </a:extLst>
        </xdr:cNvPr>
        <xdr:cNvSpPr>
          <a:spLocks noChangeAspect="1" noChangeArrowheads="1"/>
        </xdr:cNvSpPr>
      </xdr:nvSpPr>
      <xdr:spPr bwMode="auto">
        <a:xfrm>
          <a:off x="39300150" y="928782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1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6020000}"/>
            </a:ext>
          </a:extLst>
        </xdr:cNvPr>
        <xdr:cNvSpPr>
          <a:spLocks noChangeAspect="1" noChangeArrowheads="1"/>
        </xdr:cNvSpPr>
      </xdr:nvSpPr>
      <xdr:spPr bwMode="auto">
        <a:xfrm>
          <a:off x="39300150" y="928782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1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7020000}"/>
            </a:ext>
          </a:extLst>
        </xdr:cNvPr>
        <xdr:cNvSpPr>
          <a:spLocks noChangeAspect="1" noChangeArrowheads="1"/>
        </xdr:cNvSpPr>
      </xdr:nvSpPr>
      <xdr:spPr bwMode="auto">
        <a:xfrm>
          <a:off x="39300150" y="93173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1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8020000}"/>
            </a:ext>
          </a:extLst>
        </xdr:cNvPr>
        <xdr:cNvSpPr>
          <a:spLocks noChangeAspect="1" noChangeArrowheads="1"/>
        </xdr:cNvSpPr>
      </xdr:nvSpPr>
      <xdr:spPr bwMode="auto">
        <a:xfrm>
          <a:off x="39300150" y="93173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1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9020000}"/>
            </a:ext>
          </a:extLst>
        </xdr:cNvPr>
        <xdr:cNvSpPr>
          <a:spLocks noChangeAspect="1" noChangeArrowheads="1"/>
        </xdr:cNvSpPr>
      </xdr:nvSpPr>
      <xdr:spPr bwMode="auto">
        <a:xfrm>
          <a:off x="39300150" y="93468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1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A020000}"/>
            </a:ext>
          </a:extLst>
        </xdr:cNvPr>
        <xdr:cNvSpPr>
          <a:spLocks noChangeAspect="1" noChangeArrowheads="1"/>
        </xdr:cNvSpPr>
      </xdr:nvSpPr>
      <xdr:spPr bwMode="auto">
        <a:xfrm>
          <a:off x="39300150" y="93468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1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B020000}"/>
            </a:ext>
          </a:extLst>
        </xdr:cNvPr>
        <xdr:cNvSpPr>
          <a:spLocks noChangeAspect="1" noChangeArrowheads="1"/>
        </xdr:cNvSpPr>
      </xdr:nvSpPr>
      <xdr:spPr bwMode="auto">
        <a:xfrm>
          <a:off x="39300150" y="93764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2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C020000}"/>
            </a:ext>
          </a:extLst>
        </xdr:cNvPr>
        <xdr:cNvSpPr>
          <a:spLocks noChangeAspect="1" noChangeArrowheads="1"/>
        </xdr:cNvSpPr>
      </xdr:nvSpPr>
      <xdr:spPr bwMode="auto">
        <a:xfrm>
          <a:off x="39300150" y="93764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2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D020000}"/>
            </a:ext>
          </a:extLst>
        </xdr:cNvPr>
        <xdr:cNvSpPr>
          <a:spLocks noChangeAspect="1" noChangeArrowheads="1"/>
        </xdr:cNvSpPr>
      </xdr:nvSpPr>
      <xdr:spPr bwMode="auto">
        <a:xfrm>
          <a:off x="39300150" y="94059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2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E020000}"/>
            </a:ext>
          </a:extLst>
        </xdr:cNvPr>
        <xdr:cNvSpPr>
          <a:spLocks noChangeAspect="1" noChangeArrowheads="1"/>
        </xdr:cNvSpPr>
      </xdr:nvSpPr>
      <xdr:spPr bwMode="auto">
        <a:xfrm>
          <a:off x="39300150" y="94059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2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F020000}"/>
            </a:ext>
          </a:extLst>
        </xdr:cNvPr>
        <xdr:cNvSpPr>
          <a:spLocks noChangeAspect="1" noChangeArrowheads="1"/>
        </xdr:cNvSpPr>
      </xdr:nvSpPr>
      <xdr:spPr bwMode="auto">
        <a:xfrm>
          <a:off x="39300150" y="94059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2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0020000}"/>
            </a:ext>
          </a:extLst>
        </xdr:cNvPr>
        <xdr:cNvSpPr>
          <a:spLocks noChangeAspect="1" noChangeArrowheads="1"/>
        </xdr:cNvSpPr>
      </xdr:nvSpPr>
      <xdr:spPr bwMode="auto">
        <a:xfrm>
          <a:off x="39300150" y="94059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2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1020000}"/>
            </a:ext>
          </a:extLst>
        </xdr:cNvPr>
        <xdr:cNvSpPr>
          <a:spLocks noChangeAspect="1" noChangeArrowheads="1"/>
        </xdr:cNvSpPr>
      </xdr:nvSpPr>
      <xdr:spPr bwMode="auto">
        <a:xfrm>
          <a:off x="39300150" y="94059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2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2020000}"/>
            </a:ext>
          </a:extLst>
        </xdr:cNvPr>
        <xdr:cNvSpPr>
          <a:spLocks noChangeAspect="1" noChangeArrowheads="1"/>
        </xdr:cNvSpPr>
      </xdr:nvSpPr>
      <xdr:spPr bwMode="auto">
        <a:xfrm>
          <a:off x="39300150" y="94059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2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3020000}"/>
            </a:ext>
          </a:extLst>
        </xdr:cNvPr>
        <xdr:cNvSpPr>
          <a:spLocks noChangeAspect="1" noChangeArrowheads="1"/>
        </xdr:cNvSpPr>
      </xdr:nvSpPr>
      <xdr:spPr bwMode="auto">
        <a:xfrm>
          <a:off x="39300150" y="94059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2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4020000}"/>
            </a:ext>
          </a:extLst>
        </xdr:cNvPr>
        <xdr:cNvSpPr>
          <a:spLocks noChangeAspect="1" noChangeArrowheads="1"/>
        </xdr:cNvSpPr>
      </xdr:nvSpPr>
      <xdr:spPr bwMode="auto">
        <a:xfrm>
          <a:off x="39300150" y="94059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2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5020000}"/>
            </a:ext>
          </a:extLst>
        </xdr:cNvPr>
        <xdr:cNvSpPr>
          <a:spLocks noChangeAspect="1" noChangeArrowheads="1"/>
        </xdr:cNvSpPr>
      </xdr:nvSpPr>
      <xdr:spPr bwMode="auto">
        <a:xfrm>
          <a:off x="39300150" y="94059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3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6020000}"/>
            </a:ext>
          </a:extLst>
        </xdr:cNvPr>
        <xdr:cNvSpPr>
          <a:spLocks noChangeAspect="1" noChangeArrowheads="1"/>
        </xdr:cNvSpPr>
      </xdr:nvSpPr>
      <xdr:spPr bwMode="auto">
        <a:xfrm>
          <a:off x="39300150" y="94059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3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7020000}"/>
            </a:ext>
          </a:extLst>
        </xdr:cNvPr>
        <xdr:cNvSpPr>
          <a:spLocks noChangeAspect="1" noChangeArrowheads="1"/>
        </xdr:cNvSpPr>
      </xdr:nvSpPr>
      <xdr:spPr bwMode="auto">
        <a:xfrm>
          <a:off x="39300150" y="94059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3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8020000}"/>
            </a:ext>
          </a:extLst>
        </xdr:cNvPr>
        <xdr:cNvSpPr>
          <a:spLocks noChangeAspect="1" noChangeArrowheads="1"/>
        </xdr:cNvSpPr>
      </xdr:nvSpPr>
      <xdr:spPr bwMode="auto">
        <a:xfrm>
          <a:off x="39300150" y="94059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3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9020000}"/>
            </a:ext>
          </a:extLst>
        </xdr:cNvPr>
        <xdr:cNvSpPr>
          <a:spLocks noChangeAspect="1" noChangeArrowheads="1"/>
        </xdr:cNvSpPr>
      </xdr:nvSpPr>
      <xdr:spPr bwMode="auto">
        <a:xfrm>
          <a:off x="39300150" y="94059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3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A020000}"/>
            </a:ext>
          </a:extLst>
        </xdr:cNvPr>
        <xdr:cNvSpPr>
          <a:spLocks noChangeAspect="1" noChangeArrowheads="1"/>
        </xdr:cNvSpPr>
      </xdr:nvSpPr>
      <xdr:spPr bwMode="auto">
        <a:xfrm>
          <a:off x="39300150" y="94059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3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B020000}"/>
            </a:ext>
          </a:extLst>
        </xdr:cNvPr>
        <xdr:cNvSpPr>
          <a:spLocks noChangeAspect="1" noChangeArrowheads="1"/>
        </xdr:cNvSpPr>
      </xdr:nvSpPr>
      <xdr:spPr bwMode="auto">
        <a:xfrm>
          <a:off x="39300150" y="94354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3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C020000}"/>
            </a:ext>
          </a:extLst>
        </xdr:cNvPr>
        <xdr:cNvSpPr>
          <a:spLocks noChangeAspect="1" noChangeArrowheads="1"/>
        </xdr:cNvSpPr>
      </xdr:nvSpPr>
      <xdr:spPr bwMode="auto">
        <a:xfrm>
          <a:off x="39300150" y="94354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3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D020000}"/>
            </a:ext>
          </a:extLst>
        </xdr:cNvPr>
        <xdr:cNvSpPr>
          <a:spLocks noChangeAspect="1" noChangeArrowheads="1"/>
        </xdr:cNvSpPr>
      </xdr:nvSpPr>
      <xdr:spPr bwMode="auto">
        <a:xfrm>
          <a:off x="39300150" y="946499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3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E020000}"/>
            </a:ext>
          </a:extLst>
        </xdr:cNvPr>
        <xdr:cNvSpPr>
          <a:spLocks noChangeAspect="1" noChangeArrowheads="1"/>
        </xdr:cNvSpPr>
      </xdr:nvSpPr>
      <xdr:spPr bwMode="auto">
        <a:xfrm>
          <a:off x="39300150" y="946499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3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F020000}"/>
            </a:ext>
          </a:extLst>
        </xdr:cNvPr>
        <xdr:cNvSpPr>
          <a:spLocks noChangeAspect="1" noChangeArrowheads="1"/>
        </xdr:cNvSpPr>
      </xdr:nvSpPr>
      <xdr:spPr bwMode="auto">
        <a:xfrm>
          <a:off x="39300150" y="94945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4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0020000}"/>
            </a:ext>
          </a:extLst>
        </xdr:cNvPr>
        <xdr:cNvSpPr>
          <a:spLocks noChangeAspect="1" noChangeArrowheads="1"/>
        </xdr:cNvSpPr>
      </xdr:nvSpPr>
      <xdr:spPr bwMode="auto">
        <a:xfrm>
          <a:off x="39300150" y="94945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4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1020000}"/>
            </a:ext>
          </a:extLst>
        </xdr:cNvPr>
        <xdr:cNvSpPr>
          <a:spLocks noChangeAspect="1" noChangeArrowheads="1"/>
        </xdr:cNvSpPr>
      </xdr:nvSpPr>
      <xdr:spPr bwMode="auto">
        <a:xfrm>
          <a:off x="39300150" y="952404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4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2020000}"/>
            </a:ext>
          </a:extLst>
        </xdr:cNvPr>
        <xdr:cNvSpPr>
          <a:spLocks noChangeAspect="1" noChangeArrowheads="1"/>
        </xdr:cNvSpPr>
      </xdr:nvSpPr>
      <xdr:spPr bwMode="auto">
        <a:xfrm>
          <a:off x="39300150" y="952404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4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3020000}"/>
            </a:ext>
          </a:extLst>
        </xdr:cNvPr>
        <xdr:cNvSpPr>
          <a:spLocks noChangeAspect="1" noChangeArrowheads="1"/>
        </xdr:cNvSpPr>
      </xdr:nvSpPr>
      <xdr:spPr bwMode="auto">
        <a:xfrm>
          <a:off x="39300150" y="95535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4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4020000}"/>
            </a:ext>
          </a:extLst>
        </xdr:cNvPr>
        <xdr:cNvSpPr>
          <a:spLocks noChangeAspect="1" noChangeArrowheads="1"/>
        </xdr:cNvSpPr>
      </xdr:nvSpPr>
      <xdr:spPr bwMode="auto">
        <a:xfrm>
          <a:off x="39300150" y="95535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4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5020000}"/>
            </a:ext>
          </a:extLst>
        </xdr:cNvPr>
        <xdr:cNvSpPr>
          <a:spLocks noChangeAspect="1" noChangeArrowheads="1"/>
        </xdr:cNvSpPr>
      </xdr:nvSpPr>
      <xdr:spPr bwMode="auto">
        <a:xfrm>
          <a:off x="39300150" y="95831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4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6020000}"/>
            </a:ext>
          </a:extLst>
        </xdr:cNvPr>
        <xdr:cNvSpPr>
          <a:spLocks noChangeAspect="1" noChangeArrowheads="1"/>
        </xdr:cNvSpPr>
      </xdr:nvSpPr>
      <xdr:spPr bwMode="auto">
        <a:xfrm>
          <a:off x="39300150" y="95831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4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7020000}"/>
            </a:ext>
          </a:extLst>
        </xdr:cNvPr>
        <xdr:cNvSpPr>
          <a:spLocks noChangeAspect="1" noChangeArrowheads="1"/>
        </xdr:cNvSpPr>
      </xdr:nvSpPr>
      <xdr:spPr bwMode="auto">
        <a:xfrm>
          <a:off x="39300150" y="96126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4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8020000}"/>
            </a:ext>
          </a:extLst>
        </xdr:cNvPr>
        <xdr:cNvSpPr>
          <a:spLocks noChangeAspect="1" noChangeArrowheads="1"/>
        </xdr:cNvSpPr>
      </xdr:nvSpPr>
      <xdr:spPr bwMode="auto">
        <a:xfrm>
          <a:off x="39300150" y="96126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4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9020000}"/>
            </a:ext>
          </a:extLst>
        </xdr:cNvPr>
        <xdr:cNvSpPr>
          <a:spLocks noChangeAspect="1" noChangeArrowheads="1"/>
        </xdr:cNvSpPr>
      </xdr:nvSpPr>
      <xdr:spPr bwMode="auto">
        <a:xfrm>
          <a:off x="39300150" y="96421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5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A020000}"/>
            </a:ext>
          </a:extLst>
        </xdr:cNvPr>
        <xdr:cNvSpPr>
          <a:spLocks noChangeAspect="1" noChangeArrowheads="1"/>
        </xdr:cNvSpPr>
      </xdr:nvSpPr>
      <xdr:spPr bwMode="auto">
        <a:xfrm>
          <a:off x="39300150" y="96421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5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B020000}"/>
            </a:ext>
          </a:extLst>
        </xdr:cNvPr>
        <xdr:cNvSpPr>
          <a:spLocks noChangeAspect="1" noChangeArrowheads="1"/>
        </xdr:cNvSpPr>
      </xdr:nvSpPr>
      <xdr:spPr bwMode="auto">
        <a:xfrm>
          <a:off x="39300150" y="96716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5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C020000}"/>
            </a:ext>
          </a:extLst>
        </xdr:cNvPr>
        <xdr:cNvSpPr>
          <a:spLocks noChangeAspect="1" noChangeArrowheads="1"/>
        </xdr:cNvSpPr>
      </xdr:nvSpPr>
      <xdr:spPr bwMode="auto">
        <a:xfrm>
          <a:off x="39300150" y="96716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5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D020000}"/>
            </a:ext>
          </a:extLst>
        </xdr:cNvPr>
        <xdr:cNvSpPr>
          <a:spLocks noChangeAspect="1" noChangeArrowheads="1"/>
        </xdr:cNvSpPr>
      </xdr:nvSpPr>
      <xdr:spPr bwMode="auto">
        <a:xfrm>
          <a:off x="39300150" y="970121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5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E020000}"/>
            </a:ext>
          </a:extLst>
        </xdr:cNvPr>
        <xdr:cNvSpPr>
          <a:spLocks noChangeAspect="1" noChangeArrowheads="1"/>
        </xdr:cNvSpPr>
      </xdr:nvSpPr>
      <xdr:spPr bwMode="auto">
        <a:xfrm>
          <a:off x="39300150" y="970121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5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F020000}"/>
            </a:ext>
          </a:extLst>
        </xdr:cNvPr>
        <xdr:cNvSpPr>
          <a:spLocks noChangeAspect="1" noChangeArrowheads="1"/>
        </xdr:cNvSpPr>
      </xdr:nvSpPr>
      <xdr:spPr bwMode="auto">
        <a:xfrm>
          <a:off x="39300150" y="97307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5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0020000}"/>
            </a:ext>
          </a:extLst>
        </xdr:cNvPr>
        <xdr:cNvSpPr>
          <a:spLocks noChangeAspect="1" noChangeArrowheads="1"/>
        </xdr:cNvSpPr>
      </xdr:nvSpPr>
      <xdr:spPr bwMode="auto">
        <a:xfrm>
          <a:off x="39300150" y="97307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5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1020000}"/>
            </a:ext>
          </a:extLst>
        </xdr:cNvPr>
        <xdr:cNvSpPr>
          <a:spLocks noChangeAspect="1" noChangeArrowheads="1"/>
        </xdr:cNvSpPr>
      </xdr:nvSpPr>
      <xdr:spPr bwMode="auto">
        <a:xfrm>
          <a:off x="39300150" y="976026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5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2020000}"/>
            </a:ext>
          </a:extLst>
        </xdr:cNvPr>
        <xdr:cNvSpPr>
          <a:spLocks noChangeAspect="1" noChangeArrowheads="1"/>
        </xdr:cNvSpPr>
      </xdr:nvSpPr>
      <xdr:spPr bwMode="auto">
        <a:xfrm>
          <a:off x="39300150" y="976026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5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3020000}"/>
            </a:ext>
          </a:extLst>
        </xdr:cNvPr>
        <xdr:cNvSpPr>
          <a:spLocks noChangeAspect="1" noChangeArrowheads="1"/>
        </xdr:cNvSpPr>
      </xdr:nvSpPr>
      <xdr:spPr bwMode="auto">
        <a:xfrm>
          <a:off x="39300150" y="97897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6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4020000}"/>
            </a:ext>
          </a:extLst>
        </xdr:cNvPr>
        <xdr:cNvSpPr>
          <a:spLocks noChangeAspect="1" noChangeArrowheads="1"/>
        </xdr:cNvSpPr>
      </xdr:nvSpPr>
      <xdr:spPr bwMode="auto">
        <a:xfrm>
          <a:off x="39300150" y="97897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6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5020000}"/>
            </a:ext>
          </a:extLst>
        </xdr:cNvPr>
        <xdr:cNvSpPr>
          <a:spLocks noChangeAspect="1" noChangeArrowheads="1"/>
        </xdr:cNvSpPr>
      </xdr:nvSpPr>
      <xdr:spPr bwMode="auto">
        <a:xfrm>
          <a:off x="39300150" y="98193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6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6020000}"/>
            </a:ext>
          </a:extLst>
        </xdr:cNvPr>
        <xdr:cNvSpPr>
          <a:spLocks noChangeAspect="1" noChangeArrowheads="1"/>
        </xdr:cNvSpPr>
      </xdr:nvSpPr>
      <xdr:spPr bwMode="auto">
        <a:xfrm>
          <a:off x="39300150" y="98193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6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7020000}"/>
            </a:ext>
          </a:extLst>
        </xdr:cNvPr>
        <xdr:cNvSpPr>
          <a:spLocks noChangeAspect="1" noChangeArrowheads="1"/>
        </xdr:cNvSpPr>
      </xdr:nvSpPr>
      <xdr:spPr bwMode="auto">
        <a:xfrm>
          <a:off x="39300150" y="9848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6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8020000}"/>
            </a:ext>
          </a:extLst>
        </xdr:cNvPr>
        <xdr:cNvSpPr>
          <a:spLocks noChangeAspect="1" noChangeArrowheads="1"/>
        </xdr:cNvSpPr>
      </xdr:nvSpPr>
      <xdr:spPr bwMode="auto">
        <a:xfrm>
          <a:off x="39300150" y="9848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6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9020000}"/>
            </a:ext>
          </a:extLst>
        </xdr:cNvPr>
        <xdr:cNvSpPr>
          <a:spLocks noChangeAspect="1" noChangeArrowheads="1"/>
        </xdr:cNvSpPr>
      </xdr:nvSpPr>
      <xdr:spPr bwMode="auto">
        <a:xfrm>
          <a:off x="39300150" y="987837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6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A020000}"/>
            </a:ext>
          </a:extLst>
        </xdr:cNvPr>
        <xdr:cNvSpPr>
          <a:spLocks noChangeAspect="1" noChangeArrowheads="1"/>
        </xdr:cNvSpPr>
      </xdr:nvSpPr>
      <xdr:spPr bwMode="auto">
        <a:xfrm>
          <a:off x="39300150" y="987837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6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B020000}"/>
            </a:ext>
          </a:extLst>
        </xdr:cNvPr>
        <xdr:cNvSpPr>
          <a:spLocks noChangeAspect="1" noChangeArrowheads="1"/>
        </xdr:cNvSpPr>
      </xdr:nvSpPr>
      <xdr:spPr bwMode="auto">
        <a:xfrm>
          <a:off x="39300150" y="99079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6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C020000}"/>
            </a:ext>
          </a:extLst>
        </xdr:cNvPr>
        <xdr:cNvSpPr>
          <a:spLocks noChangeAspect="1" noChangeArrowheads="1"/>
        </xdr:cNvSpPr>
      </xdr:nvSpPr>
      <xdr:spPr bwMode="auto">
        <a:xfrm>
          <a:off x="39300150" y="99079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6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D020000}"/>
            </a:ext>
          </a:extLst>
        </xdr:cNvPr>
        <xdr:cNvSpPr>
          <a:spLocks noChangeAspect="1" noChangeArrowheads="1"/>
        </xdr:cNvSpPr>
      </xdr:nvSpPr>
      <xdr:spPr bwMode="auto">
        <a:xfrm>
          <a:off x="39300150" y="99374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7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E020000}"/>
            </a:ext>
          </a:extLst>
        </xdr:cNvPr>
        <xdr:cNvSpPr>
          <a:spLocks noChangeAspect="1" noChangeArrowheads="1"/>
        </xdr:cNvSpPr>
      </xdr:nvSpPr>
      <xdr:spPr bwMode="auto">
        <a:xfrm>
          <a:off x="39300150" y="99374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7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F020000}"/>
            </a:ext>
          </a:extLst>
        </xdr:cNvPr>
        <xdr:cNvSpPr>
          <a:spLocks noChangeAspect="1" noChangeArrowheads="1"/>
        </xdr:cNvSpPr>
      </xdr:nvSpPr>
      <xdr:spPr bwMode="auto">
        <a:xfrm>
          <a:off x="39300150" y="99669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7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0020000}"/>
            </a:ext>
          </a:extLst>
        </xdr:cNvPr>
        <xdr:cNvSpPr>
          <a:spLocks noChangeAspect="1" noChangeArrowheads="1"/>
        </xdr:cNvSpPr>
      </xdr:nvSpPr>
      <xdr:spPr bwMode="auto">
        <a:xfrm>
          <a:off x="39300150" y="99669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7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1020000}"/>
            </a:ext>
          </a:extLst>
        </xdr:cNvPr>
        <xdr:cNvSpPr>
          <a:spLocks noChangeAspect="1" noChangeArrowheads="1"/>
        </xdr:cNvSpPr>
      </xdr:nvSpPr>
      <xdr:spPr bwMode="auto">
        <a:xfrm>
          <a:off x="39300150" y="99964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7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2020000}"/>
            </a:ext>
          </a:extLst>
        </xdr:cNvPr>
        <xdr:cNvSpPr>
          <a:spLocks noChangeAspect="1" noChangeArrowheads="1"/>
        </xdr:cNvSpPr>
      </xdr:nvSpPr>
      <xdr:spPr bwMode="auto">
        <a:xfrm>
          <a:off x="39300150" y="99964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7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3020000}"/>
            </a:ext>
          </a:extLst>
        </xdr:cNvPr>
        <xdr:cNvSpPr>
          <a:spLocks noChangeAspect="1" noChangeArrowheads="1"/>
        </xdr:cNvSpPr>
      </xdr:nvSpPr>
      <xdr:spPr bwMode="auto">
        <a:xfrm>
          <a:off x="39300150" y="100260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7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4020000}"/>
            </a:ext>
          </a:extLst>
        </xdr:cNvPr>
        <xdr:cNvSpPr>
          <a:spLocks noChangeAspect="1" noChangeArrowheads="1"/>
        </xdr:cNvSpPr>
      </xdr:nvSpPr>
      <xdr:spPr bwMode="auto">
        <a:xfrm>
          <a:off x="39300150" y="100260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7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5020000}"/>
            </a:ext>
          </a:extLst>
        </xdr:cNvPr>
        <xdr:cNvSpPr>
          <a:spLocks noChangeAspect="1" noChangeArrowheads="1"/>
        </xdr:cNvSpPr>
      </xdr:nvSpPr>
      <xdr:spPr bwMode="auto">
        <a:xfrm>
          <a:off x="39300150" y="1005554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7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6020000}"/>
            </a:ext>
          </a:extLst>
        </xdr:cNvPr>
        <xdr:cNvSpPr>
          <a:spLocks noChangeAspect="1" noChangeArrowheads="1"/>
        </xdr:cNvSpPr>
      </xdr:nvSpPr>
      <xdr:spPr bwMode="auto">
        <a:xfrm>
          <a:off x="39300150" y="1005554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7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7020000}"/>
            </a:ext>
          </a:extLst>
        </xdr:cNvPr>
        <xdr:cNvSpPr>
          <a:spLocks noChangeAspect="1" noChangeArrowheads="1"/>
        </xdr:cNvSpPr>
      </xdr:nvSpPr>
      <xdr:spPr bwMode="auto">
        <a:xfrm>
          <a:off x="39300150" y="100850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8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8020000}"/>
            </a:ext>
          </a:extLst>
        </xdr:cNvPr>
        <xdr:cNvSpPr>
          <a:spLocks noChangeAspect="1" noChangeArrowheads="1"/>
        </xdr:cNvSpPr>
      </xdr:nvSpPr>
      <xdr:spPr bwMode="auto">
        <a:xfrm>
          <a:off x="39300150" y="100850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8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9020000}"/>
            </a:ext>
          </a:extLst>
        </xdr:cNvPr>
        <xdr:cNvSpPr>
          <a:spLocks noChangeAspect="1" noChangeArrowheads="1"/>
        </xdr:cNvSpPr>
      </xdr:nvSpPr>
      <xdr:spPr bwMode="auto">
        <a:xfrm>
          <a:off x="39300150" y="1011459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8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A020000}"/>
            </a:ext>
          </a:extLst>
        </xdr:cNvPr>
        <xdr:cNvSpPr>
          <a:spLocks noChangeAspect="1" noChangeArrowheads="1"/>
        </xdr:cNvSpPr>
      </xdr:nvSpPr>
      <xdr:spPr bwMode="auto">
        <a:xfrm>
          <a:off x="39300150" y="1011459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8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B020000}"/>
            </a:ext>
          </a:extLst>
        </xdr:cNvPr>
        <xdr:cNvSpPr>
          <a:spLocks noChangeAspect="1" noChangeArrowheads="1"/>
        </xdr:cNvSpPr>
      </xdr:nvSpPr>
      <xdr:spPr bwMode="auto">
        <a:xfrm>
          <a:off x="39300150" y="101441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8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C020000}"/>
            </a:ext>
          </a:extLst>
        </xdr:cNvPr>
        <xdr:cNvSpPr>
          <a:spLocks noChangeAspect="1" noChangeArrowheads="1"/>
        </xdr:cNvSpPr>
      </xdr:nvSpPr>
      <xdr:spPr bwMode="auto">
        <a:xfrm>
          <a:off x="39300150" y="101441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8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D020000}"/>
            </a:ext>
          </a:extLst>
        </xdr:cNvPr>
        <xdr:cNvSpPr>
          <a:spLocks noChangeAspect="1" noChangeArrowheads="1"/>
        </xdr:cNvSpPr>
      </xdr:nvSpPr>
      <xdr:spPr bwMode="auto">
        <a:xfrm>
          <a:off x="39300150" y="101736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8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E020000}"/>
            </a:ext>
          </a:extLst>
        </xdr:cNvPr>
        <xdr:cNvSpPr>
          <a:spLocks noChangeAspect="1" noChangeArrowheads="1"/>
        </xdr:cNvSpPr>
      </xdr:nvSpPr>
      <xdr:spPr bwMode="auto">
        <a:xfrm>
          <a:off x="39300150" y="101736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8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F020000}"/>
            </a:ext>
          </a:extLst>
        </xdr:cNvPr>
        <xdr:cNvSpPr>
          <a:spLocks noChangeAspect="1" noChangeArrowheads="1"/>
        </xdr:cNvSpPr>
      </xdr:nvSpPr>
      <xdr:spPr bwMode="auto">
        <a:xfrm>
          <a:off x="39300150" y="102031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8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0020000}"/>
            </a:ext>
          </a:extLst>
        </xdr:cNvPr>
        <xdr:cNvSpPr>
          <a:spLocks noChangeAspect="1" noChangeArrowheads="1"/>
        </xdr:cNvSpPr>
      </xdr:nvSpPr>
      <xdr:spPr bwMode="auto">
        <a:xfrm>
          <a:off x="39300150" y="102031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8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1020000}"/>
            </a:ext>
          </a:extLst>
        </xdr:cNvPr>
        <xdr:cNvSpPr>
          <a:spLocks noChangeAspect="1" noChangeArrowheads="1"/>
        </xdr:cNvSpPr>
      </xdr:nvSpPr>
      <xdr:spPr bwMode="auto">
        <a:xfrm>
          <a:off x="39300150" y="102327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9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2020000}"/>
            </a:ext>
          </a:extLst>
        </xdr:cNvPr>
        <xdr:cNvSpPr>
          <a:spLocks noChangeAspect="1" noChangeArrowheads="1"/>
        </xdr:cNvSpPr>
      </xdr:nvSpPr>
      <xdr:spPr bwMode="auto">
        <a:xfrm>
          <a:off x="39300150" y="102327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9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3020000}"/>
            </a:ext>
          </a:extLst>
        </xdr:cNvPr>
        <xdr:cNvSpPr>
          <a:spLocks noChangeAspect="1" noChangeArrowheads="1"/>
        </xdr:cNvSpPr>
      </xdr:nvSpPr>
      <xdr:spPr bwMode="auto">
        <a:xfrm>
          <a:off x="39300150" y="102622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9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4020000}"/>
            </a:ext>
          </a:extLst>
        </xdr:cNvPr>
        <xdr:cNvSpPr>
          <a:spLocks noChangeAspect="1" noChangeArrowheads="1"/>
        </xdr:cNvSpPr>
      </xdr:nvSpPr>
      <xdr:spPr bwMode="auto">
        <a:xfrm>
          <a:off x="39300150" y="102622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9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5020000}"/>
            </a:ext>
          </a:extLst>
        </xdr:cNvPr>
        <xdr:cNvSpPr>
          <a:spLocks noChangeAspect="1" noChangeArrowheads="1"/>
        </xdr:cNvSpPr>
      </xdr:nvSpPr>
      <xdr:spPr bwMode="auto">
        <a:xfrm>
          <a:off x="39300150" y="102917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9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6020000}"/>
            </a:ext>
          </a:extLst>
        </xdr:cNvPr>
        <xdr:cNvSpPr>
          <a:spLocks noChangeAspect="1" noChangeArrowheads="1"/>
        </xdr:cNvSpPr>
      </xdr:nvSpPr>
      <xdr:spPr bwMode="auto">
        <a:xfrm>
          <a:off x="39300150" y="102917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9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7020000}"/>
            </a:ext>
          </a:extLst>
        </xdr:cNvPr>
        <xdr:cNvSpPr>
          <a:spLocks noChangeAspect="1" noChangeArrowheads="1"/>
        </xdr:cNvSpPr>
      </xdr:nvSpPr>
      <xdr:spPr bwMode="auto">
        <a:xfrm>
          <a:off x="39300150" y="103212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9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8020000}"/>
            </a:ext>
          </a:extLst>
        </xdr:cNvPr>
        <xdr:cNvSpPr>
          <a:spLocks noChangeAspect="1" noChangeArrowheads="1"/>
        </xdr:cNvSpPr>
      </xdr:nvSpPr>
      <xdr:spPr bwMode="auto">
        <a:xfrm>
          <a:off x="39300150" y="103212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9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9020000}"/>
            </a:ext>
          </a:extLst>
        </xdr:cNvPr>
        <xdr:cNvSpPr>
          <a:spLocks noChangeAspect="1" noChangeArrowheads="1"/>
        </xdr:cNvSpPr>
      </xdr:nvSpPr>
      <xdr:spPr bwMode="auto">
        <a:xfrm>
          <a:off x="39300150" y="1035081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9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A020000}"/>
            </a:ext>
          </a:extLst>
        </xdr:cNvPr>
        <xdr:cNvSpPr>
          <a:spLocks noChangeAspect="1" noChangeArrowheads="1"/>
        </xdr:cNvSpPr>
      </xdr:nvSpPr>
      <xdr:spPr bwMode="auto">
        <a:xfrm>
          <a:off x="39300150" y="1035081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9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B020000}"/>
            </a:ext>
          </a:extLst>
        </xdr:cNvPr>
        <xdr:cNvSpPr>
          <a:spLocks noChangeAspect="1" noChangeArrowheads="1"/>
        </xdr:cNvSpPr>
      </xdr:nvSpPr>
      <xdr:spPr bwMode="auto">
        <a:xfrm>
          <a:off x="39300150" y="103803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70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C020000}"/>
            </a:ext>
          </a:extLst>
        </xdr:cNvPr>
        <xdr:cNvSpPr>
          <a:spLocks noChangeAspect="1" noChangeArrowheads="1"/>
        </xdr:cNvSpPr>
      </xdr:nvSpPr>
      <xdr:spPr bwMode="auto">
        <a:xfrm>
          <a:off x="39300150" y="103803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70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D020000}"/>
            </a:ext>
          </a:extLst>
        </xdr:cNvPr>
        <xdr:cNvSpPr>
          <a:spLocks noChangeAspect="1" noChangeArrowheads="1"/>
        </xdr:cNvSpPr>
      </xdr:nvSpPr>
      <xdr:spPr bwMode="auto">
        <a:xfrm>
          <a:off x="39300150" y="1040987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70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E020000}"/>
            </a:ext>
          </a:extLst>
        </xdr:cNvPr>
        <xdr:cNvSpPr>
          <a:spLocks noChangeAspect="1" noChangeArrowheads="1"/>
        </xdr:cNvSpPr>
      </xdr:nvSpPr>
      <xdr:spPr bwMode="auto">
        <a:xfrm>
          <a:off x="39300150" y="1040987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70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F020000}"/>
            </a:ext>
          </a:extLst>
        </xdr:cNvPr>
        <xdr:cNvSpPr>
          <a:spLocks noChangeAspect="1" noChangeArrowheads="1"/>
        </xdr:cNvSpPr>
      </xdr:nvSpPr>
      <xdr:spPr bwMode="auto">
        <a:xfrm>
          <a:off x="39300150" y="104394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70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0020000}"/>
            </a:ext>
          </a:extLst>
        </xdr:cNvPr>
        <xdr:cNvSpPr>
          <a:spLocks noChangeAspect="1" noChangeArrowheads="1"/>
        </xdr:cNvSpPr>
      </xdr:nvSpPr>
      <xdr:spPr bwMode="auto">
        <a:xfrm>
          <a:off x="39300150" y="104394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70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1020000}"/>
            </a:ext>
          </a:extLst>
        </xdr:cNvPr>
        <xdr:cNvSpPr>
          <a:spLocks noChangeAspect="1" noChangeArrowheads="1"/>
        </xdr:cNvSpPr>
      </xdr:nvSpPr>
      <xdr:spPr bwMode="auto">
        <a:xfrm>
          <a:off x="39300150" y="1046892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70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2020000}"/>
            </a:ext>
          </a:extLst>
        </xdr:cNvPr>
        <xdr:cNvSpPr>
          <a:spLocks noChangeAspect="1" noChangeArrowheads="1"/>
        </xdr:cNvSpPr>
      </xdr:nvSpPr>
      <xdr:spPr bwMode="auto">
        <a:xfrm>
          <a:off x="39300150" y="1046892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70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3020000}"/>
            </a:ext>
          </a:extLst>
        </xdr:cNvPr>
        <xdr:cNvSpPr>
          <a:spLocks noChangeAspect="1" noChangeArrowheads="1"/>
        </xdr:cNvSpPr>
      </xdr:nvSpPr>
      <xdr:spPr bwMode="auto">
        <a:xfrm>
          <a:off x="39300150" y="104984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70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4020000}"/>
            </a:ext>
          </a:extLst>
        </xdr:cNvPr>
        <xdr:cNvSpPr>
          <a:spLocks noChangeAspect="1" noChangeArrowheads="1"/>
        </xdr:cNvSpPr>
      </xdr:nvSpPr>
      <xdr:spPr bwMode="auto">
        <a:xfrm>
          <a:off x="39300150" y="104984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70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5020000}"/>
            </a:ext>
          </a:extLst>
        </xdr:cNvPr>
        <xdr:cNvSpPr>
          <a:spLocks noChangeAspect="1" noChangeArrowheads="1"/>
        </xdr:cNvSpPr>
      </xdr:nvSpPr>
      <xdr:spPr bwMode="auto">
        <a:xfrm>
          <a:off x="39300150" y="105279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71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6020000}"/>
            </a:ext>
          </a:extLst>
        </xdr:cNvPr>
        <xdr:cNvSpPr>
          <a:spLocks noChangeAspect="1" noChangeArrowheads="1"/>
        </xdr:cNvSpPr>
      </xdr:nvSpPr>
      <xdr:spPr bwMode="auto">
        <a:xfrm>
          <a:off x="39300150" y="105279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71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7020000}"/>
            </a:ext>
          </a:extLst>
        </xdr:cNvPr>
        <xdr:cNvSpPr>
          <a:spLocks noChangeAspect="1" noChangeArrowheads="1"/>
        </xdr:cNvSpPr>
      </xdr:nvSpPr>
      <xdr:spPr bwMode="auto">
        <a:xfrm>
          <a:off x="39300150" y="105575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71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8020000}"/>
            </a:ext>
          </a:extLst>
        </xdr:cNvPr>
        <xdr:cNvSpPr>
          <a:spLocks noChangeAspect="1" noChangeArrowheads="1"/>
        </xdr:cNvSpPr>
      </xdr:nvSpPr>
      <xdr:spPr bwMode="auto">
        <a:xfrm>
          <a:off x="39300150" y="105575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71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9020000}"/>
            </a:ext>
          </a:extLst>
        </xdr:cNvPr>
        <xdr:cNvSpPr>
          <a:spLocks noChangeAspect="1" noChangeArrowheads="1"/>
        </xdr:cNvSpPr>
      </xdr:nvSpPr>
      <xdr:spPr bwMode="auto">
        <a:xfrm>
          <a:off x="39300150" y="105870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71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A020000}"/>
            </a:ext>
          </a:extLst>
        </xdr:cNvPr>
        <xdr:cNvSpPr>
          <a:spLocks noChangeAspect="1" noChangeArrowheads="1"/>
        </xdr:cNvSpPr>
      </xdr:nvSpPr>
      <xdr:spPr bwMode="auto">
        <a:xfrm>
          <a:off x="39300150" y="105870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71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B020000}"/>
            </a:ext>
          </a:extLst>
        </xdr:cNvPr>
        <xdr:cNvSpPr>
          <a:spLocks noChangeAspect="1" noChangeArrowheads="1"/>
        </xdr:cNvSpPr>
      </xdr:nvSpPr>
      <xdr:spPr bwMode="auto">
        <a:xfrm>
          <a:off x="39300150" y="106165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71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C020000}"/>
            </a:ext>
          </a:extLst>
        </xdr:cNvPr>
        <xdr:cNvSpPr>
          <a:spLocks noChangeAspect="1" noChangeArrowheads="1"/>
        </xdr:cNvSpPr>
      </xdr:nvSpPr>
      <xdr:spPr bwMode="auto">
        <a:xfrm>
          <a:off x="39300150" y="106165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71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D020000}"/>
            </a:ext>
          </a:extLst>
        </xdr:cNvPr>
        <xdr:cNvSpPr>
          <a:spLocks noChangeAspect="1" noChangeArrowheads="1"/>
        </xdr:cNvSpPr>
      </xdr:nvSpPr>
      <xdr:spPr bwMode="auto">
        <a:xfrm>
          <a:off x="39300150" y="1064609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71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E020000}"/>
            </a:ext>
          </a:extLst>
        </xdr:cNvPr>
        <xdr:cNvSpPr>
          <a:spLocks noChangeAspect="1" noChangeArrowheads="1"/>
        </xdr:cNvSpPr>
      </xdr:nvSpPr>
      <xdr:spPr bwMode="auto">
        <a:xfrm>
          <a:off x="39300150" y="1064609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71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F020000}"/>
            </a:ext>
          </a:extLst>
        </xdr:cNvPr>
        <xdr:cNvSpPr>
          <a:spLocks noChangeAspect="1" noChangeArrowheads="1"/>
        </xdr:cNvSpPr>
      </xdr:nvSpPr>
      <xdr:spPr bwMode="auto">
        <a:xfrm>
          <a:off x="39300150" y="106756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72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0020000}"/>
            </a:ext>
          </a:extLst>
        </xdr:cNvPr>
        <xdr:cNvSpPr>
          <a:spLocks noChangeAspect="1" noChangeArrowheads="1"/>
        </xdr:cNvSpPr>
      </xdr:nvSpPr>
      <xdr:spPr bwMode="auto">
        <a:xfrm>
          <a:off x="39300150" y="106756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72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1020000}"/>
            </a:ext>
          </a:extLst>
        </xdr:cNvPr>
        <xdr:cNvSpPr>
          <a:spLocks noChangeAspect="1" noChangeArrowheads="1"/>
        </xdr:cNvSpPr>
      </xdr:nvSpPr>
      <xdr:spPr bwMode="auto">
        <a:xfrm>
          <a:off x="39300150" y="1070514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72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2020000}"/>
            </a:ext>
          </a:extLst>
        </xdr:cNvPr>
        <xdr:cNvSpPr>
          <a:spLocks noChangeAspect="1" noChangeArrowheads="1"/>
        </xdr:cNvSpPr>
      </xdr:nvSpPr>
      <xdr:spPr bwMode="auto">
        <a:xfrm>
          <a:off x="39300150" y="1070514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72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3020000}"/>
            </a:ext>
          </a:extLst>
        </xdr:cNvPr>
        <xdr:cNvSpPr>
          <a:spLocks noChangeAspect="1" noChangeArrowheads="1"/>
        </xdr:cNvSpPr>
      </xdr:nvSpPr>
      <xdr:spPr bwMode="auto">
        <a:xfrm>
          <a:off x="39300150" y="107346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72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4020000}"/>
            </a:ext>
          </a:extLst>
        </xdr:cNvPr>
        <xdr:cNvSpPr>
          <a:spLocks noChangeAspect="1" noChangeArrowheads="1"/>
        </xdr:cNvSpPr>
      </xdr:nvSpPr>
      <xdr:spPr bwMode="auto">
        <a:xfrm>
          <a:off x="39300150" y="107346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72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5020000}"/>
            </a:ext>
          </a:extLst>
        </xdr:cNvPr>
        <xdr:cNvSpPr>
          <a:spLocks noChangeAspect="1" noChangeArrowheads="1"/>
        </xdr:cNvSpPr>
      </xdr:nvSpPr>
      <xdr:spPr bwMode="auto">
        <a:xfrm>
          <a:off x="39300150" y="107642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72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6020000}"/>
            </a:ext>
          </a:extLst>
        </xdr:cNvPr>
        <xdr:cNvSpPr>
          <a:spLocks noChangeAspect="1" noChangeArrowheads="1"/>
        </xdr:cNvSpPr>
      </xdr:nvSpPr>
      <xdr:spPr bwMode="auto">
        <a:xfrm>
          <a:off x="39300150" y="107642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72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7020000}"/>
            </a:ext>
          </a:extLst>
        </xdr:cNvPr>
        <xdr:cNvSpPr>
          <a:spLocks noChangeAspect="1" noChangeArrowheads="1"/>
        </xdr:cNvSpPr>
      </xdr:nvSpPr>
      <xdr:spPr bwMode="auto">
        <a:xfrm>
          <a:off x="39300150" y="107937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72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8020000}"/>
            </a:ext>
          </a:extLst>
        </xdr:cNvPr>
        <xdr:cNvSpPr>
          <a:spLocks noChangeAspect="1" noChangeArrowheads="1"/>
        </xdr:cNvSpPr>
      </xdr:nvSpPr>
      <xdr:spPr bwMode="auto">
        <a:xfrm>
          <a:off x="39300150" y="107937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72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9020000}"/>
            </a:ext>
          </a:extLst>
        </xdr:cNvPr>
        <xdr:cNvSpPr>
          <a:spLocks noChangeAspect="1" noChangeArrowheads="1"/>
        </xdr:cNvSpPr>
      </xdr:nvSpPr>
      <xdr:spPr bwMode="auto">
        <a:xfrm>
          <a:off x="39300150" y="108232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73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A020000}"/>
            </a:ext>
          </a:extLst>
        </xdr:cNvPr>
        <xdr:cNvSpPr>
          <a:spLocks noChangeAspect="1" noChangeArrowheads="1"/>
        </xdr:cNvSpPr>
      </xdr:nvSpPr>
      <xdr:spPr bwMode="auto">
        <a:xfrm>
          <a:off x="39300150" y="108232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73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B020000}"/>
            </a:ext>
          </a:extLst>
        </xdr:cNvPr>
        <xdr:cNvSpPr>
          <a:spLocks noChangeAspect="1" noChangeArrowheads="1"/>
        </xdr:cNvSpPr>
      </xdr:nvSpPr>
      <xdr:spPr bwMode="auto">
        <a:xfrm>
          <a:off x="39300150" y="108527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73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C020000}"/>
            </a:ext>
          </a:extLst>
        </xdr:cNvPr>
        <xdr:cNvSpPr>
          <a:spLocks noChangeAspect="1" noChangeArrowheads="1"/>
        </xdr:cNvSpPr>
      </xdr:nvSpPr>
      <xdr:spPr bwMode="auto">
        <a:xfrm>
          <a:off x="39300150" y="108527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73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D020000}"/>
            </a:ext>
          </a:extLst>
        </xdr:cNvPr>
        <xdr:cNvSpPr>
          <a:spLocks noChangeAspect="1" noChangeArrowheads="1"/>
        </xdr:cNvSpPr>
      </xdr:nvSpPr>
      <xdr:spPr bwMode="auto">
        <a:xfrm>
          <a:off x="39300150" y="1088231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73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E020000}"/>
            </a:ext>
          </a:extLst>
        </xdr:cNvPr>
        <xdr:cNvSpPr>
          <a:spLocks noChangeAspect="1" noChangeArrowheads="1"/>
        </xdr:cNvSpPr>
      </xdr:nvSpPr>
      <xdr:spPr bwMode="auto">
        <a:xfrm>
          <a:off x="39300150" y="1088231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73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F020000}"/>
            </a:ext>
          </a:extLst>
        </xdr:cNvPr>
        <xdr:cNvSpPr>
          <a:spLocks noChangeAspect="1" noChangeArrowheads="1"/>
        </xdr:cNvSpPr>
      </xdr:nvSpPr>
      <xdr:spPr bwMode="auto">
        <a:xfrm>
          <a:off x="39300150" y="109118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73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0020000}"/>
            </a:ext>
          </a:extLst>
        </xdr:cNvPr>
        <xdr:cNvSpPr>
          <a:spLocks noChangeAspect="1" noChangeArrowheads="1"/>
        </xdr:cNvSpPr>
      </xdr:nvSpPr>
      <xdr:spPr bwMode="auto">
        <a:xfrm>
          <a:off x="39300150" y="109118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73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1020000}"/>
            </a:ext>
          </a:extLst>
        </xdr:cNvPr>
        <xdr:cNvSpPr>
          <a:spLocks noChangeAspect="1" noChangeArrowheads="1"/>
        </xdr:cNvSpPr>
      </xdr:nvSpPr>
      <xdr:spPr bwMode="auto">
        <a:xfrm>
          <a:off x="39300150" y="1094136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73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2020000}"/>
            </a:ext>
          </a:extLst>
        </xdr:cNvPr>
        <xdr:cNvSpPr>
          <a:spLocks noChangeAspect="1" noChangeArrowheads="1"/>
        </xdr:cNvSpPr>
      </xdr:nvSpPr>
      <xdr:spPr bwMode="auto">
        <a:xfrm>
          <a:off x="39300150" y="1094136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73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3020000}"/>
            </a:ext>
          </a:extLst>
        </xdr:cNvPr>
        <xdr:cNvSpPr>
          <a:spLocks noChangeAspect="1" noChangeArrowheads="1"/>
        </xdr:cNvSpPr>
      </xdr:nvSpPr>
      <xdr:spPr bwMode="auto">
        <a:xfrm>
          <a:off x="39300150" y="109708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74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4020000}"/>
            </a:ext>
          </a:extLst>
        </xdr:cNvPr>
        <xdr:cNvSpPr>
          <a:spLocks noChangeAspect="1" noChangeArrowheads="1"/>
        </xdr:cNvSpPr>
      </xdr:nvSpPr>
      <xdr:spPr bwMode="auto">
        <a:xfrm>
          <a:off x="39300150" y="109708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74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5020000}"/>
            </a:ext>
          </a:extLst>
        </xdr:cNvPr>
        <xdr:cNvSpPr>
          <a:spLocks noChangeAspect="1" noChangeArrowheads="1"/>
        </xdr:cNvSpPr>
      </xdr:nvSpPr>
      <xdr:spPr bwMode="auto">
        <a:xfrm>
          <a:off x="39300150" y="110004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74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6020000}"/>
            </a:ext>
          </a:extLst>
        </xdr:cNvPr>
        <xdr:cNvSpPr>
          <a:spLocks noChangeAspect="1" noChangeArrowheads="1"/>
        </xdr:cNvSpPr>
      </xdr:nvSpPr>
      <xdr:spPr bwMode="auto">
        <a:xfrm>
          <a:off x="39300150" y="110004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74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7020000}"/>
            </a:ext>
          </a:extLst>
        </xdr:cNvPr>
        <xdr:cNvSpPr>
          <a:spLocks noChangeAspect="1" noChangeArrowheads="1"/>
        </xdr:cNvSpPr>
      </xdr:nvSpPr>
      <xdr:spPr bwMode="auto">
        <a:xfrm>
          <a:off x="39300150" y="11029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74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8020000}"/>
            </a:ext>
          </a:extLst>
        </xdr:cNvPr>
        <xdr:cNvSpPr>
          <a:spLocks noChangeAspect="1" noChangeArrowheads="1"/>
        </xdr:cNvSpPr>
      </xdr:nvSpPr>
      <xdr:spPr bwMode="auto">
        <a:xfrm>
          <a:off x="39300150" y="11029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74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9020000}"/>
            </a:ext>
          </a:extLst>
        </xdr:cNvPr>
        <xdr:cNvSpPr>
          <a:spLocks noChangeAspect="1" noChangeArrowheads="1"/>
        </xdr:cNvSpPr>
      </xdr:nvSpPr>
      <xdr:spPr bwMode="auto">
        <a:xfrm>
          <a:off x="39300150" y="1105947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74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A020000}"/>
            </a:ext>
          </a:extLst>
        </xdr:cNvPr>
        <xdr:cNvSpPr>
          <a:spLocks noChangeAspect="1" noChangeArrowheads="1"/>
        </xdr:cNvSpPr>
      </xdr:nvSpPr>
      <xdr:spPr bwMode="auto">
        <a:xfrm>
          <a:off x="39300150" y="1105947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74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B020000}"/>
            </a:ext>
          </a:extLst>
        </xdr:cNvPr>
        <xdr:cNvSpPr>
          <a:spLocks noChangeAspect="1" noChangeArrowheads="1"/>
        </xdr:cNvSpPr>
      </xdr:nvSpPr>
      <xdr:spPr bwMode="auto">
        <a:xfrm>
          <a:off x="39300150" y="110890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74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C020000}"/>
            </a:ext>
          </a:extLst>
        </xdr:cNvPr>
        <xdr:cNvSpPr>
          <a:spLocks noChangeAspect="1" noChangeArrowheads="1"/>
        </xdr:cNvSpPr>
      </xdr:nvSpPr>
      <xdr:spPr bwMode="auto">
        <a:xfrm>
          <a:off x="39300150" y="110890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74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D020000}"/>
            </a:ext>
          </a:extLst>
        </xdr:cNvPr>
        <xdr:cNvSpPr>
          <a:spLocks noChangeAspect="1" noChangeArrowheads="1"/>
        </xdr:cNvSpPr>
      </xdr:nvSpPr>
      <xdr:spPr bwMode="auto">
        <a:xfrm>
          <a:off x="39300150" y="111185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75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E020000}"/>
            </a:ext>
          </a:extLst>
        </xdr:cNvPr>
        <xdr:cNvSpPr>
          <a:spLocks noChangeAspect="1" noChangeArrowheads="1"/>
        </xdr:cNvSpPr>
      </xdr:nvSpPr>
      <xdr:spPr bwMode="auto">
        <a:xfrm>
          <a:off x="39300150" y="111185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75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F020000}"/>
            </a:ext>
          </a:extLst>
        </xdr:cNvPr>
        <xdr:cNvSpPr>
          <a:spLocks noChangeAspect="1" noChangeArrowheads="1"/>
        </xdr:cNvSpPr>
      </xdr:nvSpPr>
      <xdr:spPr bwMode="auto">
        <a:xfrm>
          <a:off x="39300150" y="111480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75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0020000}"/>
            </a:ext>
          </a:extLst>
        </xdr:cNvPr>
        <xdr:cNvSpPr>
          <a:spLocks noChangeAspect="1" noChangeArrowheads="1"/>
        </xdr:cNvSpPr>
      </xdr:nvSpPr>
      <xdr:spPr bwMode="auto">
        <a:xfrm>
          <a:off x="39300150" y="111480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75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1020000}"/>
            </a:ext>
          </a:extLst>
        </xdr:cNvPr>
        <xdr:cNvSpPr>
          <a:spLocks noChangeAspect="1" noChangeArrowheads="1"/>
        </xdr:cNvSpPr>
      </xdr:nvSpPr>
      <xdr:spPr bwMode="auto">
        <a:xfrm>
          <a:off x="39300150" y="111775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75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2020000}"/>
            </a:ext>
          </a:extLst>
        </xdr:cNvPr>
        <xdr:cNvSpPr>
          <a:spLocks noChangeAspect="1" noChangeArrowheads="1"/>
        </xdr:cNvSpPr>
      </xdr:nvSpPr>
      <xdr:spPr bwMode="auto">
        <a:xfrm>
          <a:off x="39300150" y="111775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75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3020000}"/>
            </a:ext>
          </a:extLst>
        </xdr:cNvPr>
        <xdr:cNvSpPr>
          <a:spLocks noChangeAspect="1" noChangeArrowheads="1"/>
        </xdr:cNvSpPr>
      </xdr:nvSpPr>
      <xdr:spPr bwMode="auto">
        <a:xfrm>
          <a:off x="39300150" y="112071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75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4020000}"/>
            </a:ext>
          </a:extLst>
        </xdr:cNvPr>
        <xdr:cNvSpPr>
          <a:spLocks noChangeAspect="1" noChangeArrowheads="1"/>
        </xdr:cNvSpPr>
      </xdr:nvSpPr>
      <xdr:spPr bwMode="auto">
        <a:xfrm>
          <a:off x="39300150" y="112071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75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5020000}"/>
            </a:ext>
          </a:extLst>
        </xdr:cNvPr>
        <xdr:cNvSpPr>
          <a:spLocks noChangeAspect="1" noChangeArrowheads="1"/>
        </xdr:cNvSpPr>
      </xdr:nvSpPr>
      <xdr:spPr bwMode="auto">
        <a:xfrm>
          <a:off x="39300150" y="1123664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75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6020000}"/>
            </a:ext>
          </a:extLst>
        </xdr:cNvPr>
        <xdr:cNvSpPr>
          <a:spLocks noChangeAspect="1" noChangeArrowheads="1"/>
        </xdr:cNvSpPr>
      </xdr:nvSpPr>
      <xdr:spPr bwMode="auto">
        <a:xfrm>
          <a:off x="39300150" y="1123664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75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7020000}"/>
            </a:ext>
          </a:extLst>
        </xdr:cNvPr>
        <xdr:cNvSpPr>
          <a:spLocks noChangeAspect="1" noChangeArrowheads="1"/>
        </xdr:cNvSpPr>
      </xdr:nvSpPr>
      <xdr:spPr bwMode="auto">
        <a:xfrm>
          <a:off x="39300150" y="112661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76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8020000}"/>
            </a:ext>
          </a:extLst>
        </xdr:cNvPr>
        <xdr:cNvSpPr>
          <a:spLocks noChangeAspect="1" noChangeArrowheads="1"/>
        </xdr:cNvSpPr>
      </xdr:nvSpPr>
      <xdr:spPr bwMode="auto">
        <a:xfrm>
          <a:off x="39300150" y="112661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76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9020000}"/>
            </a:ext>
          </a:extLst>
        </xdr:cNvPr>
        <xdr:cNvSpPr>
          <a:spLocks noChangeAspect="1" noChangeArrowheads="1"/>
        </xdr:cNvSpPr>
      </xdr:nvSpPr>
      <xdr:spPr bwMode="auto">
        <a:xfrm>
          <a:off x="39300150" y="1129569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76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A020000}"/>
            </a:ext>
          </a:extLst>
        </xdr:cNvPr>
        <xdr:cNvSpPr>
          <a:spLocks noChangeAspect="1" noChangeArrowheads="1"/>
        </xdr:cNvSpPr>
      </xdr:nvSpPr>
      <xdr:spPr bwMode="auto">
        <a:xfrm>
          <a:off x="39300150" y="1129569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76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B020000}"/>
            </a:ext>
          </a:extLst>
        </xdr:cNvPr>
        <xdr:cNvSpPr>
          <a:spLocks noChangeAspect="1" noChangeArrowheads="1"/>
        </xdr:cNvSpPr>
      </xdr:nvSpPr>
      <xdr:spPr bwMode="auto">
        <a:xfrm>
          <a:off x="39300150" y="113252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76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C020000}"/>
            </a:ext>
          </a:extLst>
        </xdr:cNvPr>
        <xdr:cNvSpPr>
          <a:spLocks noChangeAspect="1" noChangeArrowheads="1"/>
        </xdr:cNvSpPr>
      </xdr:nvSpPr>
      <xdr:spPr bwMode="auto">
        <a:xfrm>
          <a:off x="39300150" y="113252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76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D020000}"/>
            </a:ext>
          </a:extLst>
        </xdr:cNvPr>
        <xdr:cNvSpPr>
          <a:spLocks noChangeAspect="1" noChangeArrowheads="1"/>
        </xdr:cNvSpPr>
      </xdr:nvSpPr>
      <xdr:spPr bwMode="auto">
        <a:xfrm>
          <a:off x="39300150" y="113547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76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E020000}"/>
            </a:ext>
          </a:extLst>
        </xdr:cNvPr>
        <xdr:cNvSpPr>
          <a:spLocks noChangeAspect="1" noChangeArrowheads="1"/>
        </xdr:cNvSpPr>
      </xdr:nvSpPr>
      <xdr:spPr bwMode="auto">
        <a:xfrm>
          <a:off x="39300150" y="113547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76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F020000}"/>
            </a:ext>
          </a:extLst>
        </xdr:cNvPr>
        <xdr:cNvSpPr>
          <a:spLocks noChangeAspect="1" noChangeArrowheads="1"/>
        </xdr:cNvSpPr>
      </xdr:nvSpPr>
      <xdr:spPr bwMode="auto">
        <a:xfrm>
          <a:off x="39300150" y="113842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76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0030000}"/>
            </a:ext>
          </a:extLst>
        </xdr:cNvPr>
        <xdr:cNvSpPr>
          <a:spLocks noChangeAspect="1" noChangeArrowheads="1"/>
        </xdr:cNvSpPr>
      </xdr:nvSpPr>
      <xdr:spPr bwMode="auto">
        <a:xfrm>
          <a:off x="39300150" y="113842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76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1030000}"/>
            </a:ext>
          </a:extLst>
        </xdr:cNvPr>
        <xdr:cNvSpPr>
          <a:spLocks noChangeAspect="1" noChangeArrowheads="1"/>
        </xdr:cNvSpPr>
      </xdr:nvSpPr>
      <xdr:spPr bwMode="auto">
        <a:xfrm>
          <a:off x="39300150" y="114138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77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2030000}"/>
            </a:ext>
          </a:extLst>
        </xdr:cNvPr>
        <xdr:cNvSpPr>
          <a:spLocks noChangeAspect="1" noChangeArrowheads="1"/>
        </xdr:cNvSpPr>
      </xdr:nvSpPr>
      <xdr:spPr bwMode="auto">
        <a:xfrm>
          <a:off x="39300150" y="114138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77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3030000}"/>
            </a:ext>
          </a:extLst>
        </xdr:cNvPr>
        <xdr:cNvSpPr>
          <a:spLocks noChangeAspect="1" noChangeArrowheads="1"/>
        </xdr:cNvSpPr>
      </xdr:nvSpPr>
      <xdr:spPr bwMode="auto">
        <a:xfrm>
          <a:off x="39300150" y="114433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77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4030000}"/>
            </a:ext>
          </a:extLst>
        </xdr:cNvPr>
        <xdr:cNvSpPr>
          <a:spLocks noChangeAspect="1" noChangeArrowheads="1"/>
        </xdr:cNvSpPr>
      </xdr:nvSpPr>
      <xdr:spPr bwMode="auto">
        <a:xfrm>
          <a:off x="39300150" y="114433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77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5030000}"/>
            </a:ext>
          </a:extLst>
        </xdr:cNvPr>
        <xdr:cNvSpPr>
          <a:spLocks noChangeAspect="1" noChangeArrowheads="1"/>
        </xdr:cNvSpPr>
      </xdr:nvSpPr>
      <xdr:spPr bwMode="auto">
        <a:xfrm>
          <a:off x="39300150" y="114728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77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6030000}"/>
            </a:ext>
          </a:extLst>
        </xdr:cNvPr>
        <xdr:cNvSpPr>
          <a:spLocks noChangeAspect="1" noChangeArrowheads="1"/>
        </xdr:cNvSpPr>
      </xdr:nvSpPr>
      <xdr:spPr bwMode="auto">
        <a:xfrm>
          <a:off x="39300150" y="114728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77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7030000}"/>
            </a:ext>
          </a:extLst>
        </xdr:cNvPr>
        <xdr:cNvSpPr>
          <a:spLocks noChangeAspect="1" noChangeArrowheads="1"/>
        </xdr:cNvSpPr>
      </xdr:nvSpPr>
      <xdr:spPr bwMode="auto">
        <a:xfrm>
          <a:off x="39300150" y="115023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77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8030000}"/>
            </a:ext>
          </a:extLst>
        </xdr:cNvPr>
        <xdr:cNvSpPr>
          <a:spLocks noChangeAspect="1" noChangeArrowheads="1"/>
        </xdr:cNvSpPr>
      </xdr:nvSpPr>
      <xdr:spPr bwMode="auto">
        <a:xfrm>
          <a:off x="39300150" y="115023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77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9030000}"/>
            </a:ext>
          </a:extLst>
        </xdr:cNvPr>
        <xdr:cNvSpPr>
          <a:spLocks noChangeAspect="1" noChangeArrowheads="1"/>
        </xdr:cNvSpPr>
      </xdr:nvSpPr>
      <xdr:spPr bwMode="auto">
        <a:xfrm>
          <a:off x="39300150" y="1153191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77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A030000}"/>
            </a:ext>
          </a:extLst>
        </xdr:cNvPr>
        <xdr:cNvSpPr>
          <a:spLocks noChangeAspect="1" noChangeArrowheads="1"/>
        </xdr:cNvSpPr>
      </xdr:nvSpPr>
      <xdr:spPr bwMode="auto">
        <a:xfrm>
          <a:off x="39300150" y="1153191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77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B030000}"/>
            </a:ext>
          </a:extLst>
        </xdr:cNvPr>
        <xdr:cNvSpPr>
          <a:spLocks noChangeAspect="1" noChangeArrowheads="1"/>
        </xdr:cNvSpPr>
      </xdr:nvSpPr>
      <xdr:spPr bwMode="auto">
        <a:xfrm>
          <a:off x="39300150" y="115614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78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C030000}"/>
            </a:ext>
          </a:extLst>
        </xdr:cNvPr>
        <xdr:cNvSpPr>
          <a:spLocks noChangeAspect="1" noChangeArrowheads="1"/>
        </xdr:cNvSpPr>
      </xdr:nvSpPr>
      <xdr:spPr bwMode="auto">
        <a:xfrm>
          <a:off x="39300150" y="115614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78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D030000}"/>
            </a:ext>
          </a:extLst>
        </xdr:cNvPr>
        <xdr:cNvSpPr>
          <a:spLocks noChangeAspect="1" noChangeArrowheads="1"/>
        </xdr:cNvSpPr>
      </xdr:nvSpPr>
      <xdr:spPr bwMode="auto">
        <a:xfrm>
          <a:off x="39300150" y="1159097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78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E030000}"/>
            </a:ext>
          </a:extLst>
        </xdr:cNvPr>
        <xdr:cNvSpPr>
          <a:spLocks noChangeAspect="1" noChangeArrowheads="1"/>
        </xdr:cNvSpPr>
      </xdr:nvSpPr>
      <xdr:spPr bwMode="auto">
        <a:xfrm>
          <a:off x="39300150" y="1159097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78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F030000}"/>
            </a:ext>
          </a:extLst>
        </xdr:cNvPr>
        <xdr:cNvSpPr>
          <a:spLocks noChangeAspect="1" noChangeArrowheads="1"/>
        </xdr:cNvSpPr>
      </xdr:nvSpPr>
      <xdr:spPr bwMode="auto">
        <a:xfrm>
          <a:off x="39300150" y="116205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78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0030000}"/>
            </a:ext>
          </a:extLst>
        </xdr:cNvPr>
        <xdr:cNvSpPr>
          <a:spLocks noChangeAspect="1" noChangeArrowheads="1"/>
        </xdr:cNvSpPr>
      </xdr:nvSpPr>
      <xdr:spPr bwMode="auto">
        <a:xfrm>
          <a:off x="39300150" y="116205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78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1030000}"/>
            </a:ext>
          </a:extLst>
        </xdr:cNvPr>
        <xdr:cNvSpPr>
          <a:spLocks noChangeAspect="1" noChangeArrowheads="1"/>
        </xdr:cNvSpPr>
      </xdr:nvSpPr>
      <xdr:spPr bwMode="auto">
        <a:xfrm>
          <a:off x="39300150" y="1165002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78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2030000}"/>
            </a:ext>
          </a:extLst>
        </xdr:cNvPr>
        <xdr:cNvSpPr>
          <a:spLocks noChangeAspect="1" noChangeArrowheads="1"/>
        </xdr:cNvSpPr>
      </xdr:nvSpPr>
      <xdr:spPr bwMode="auto">
        <a:xfrm>
          <a:off x="39300150" y="1165002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78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3030000}"/>
            </a:ext>
          </a:extLst>
        </xdr:cNvPr>
        <xdr:cNvSpPr>
          <a:spLocks noChangeAspect="1" noChangeArrowheads="1"/>
        </xdr:cNvSpPr>
      </xdr:nvSpPr>
      <xdr:spPr bwMode="auto">
        <a:xfrm>
          <a:off x="39300150" y="116795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78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4030000}"/>
            </a:ext>
          </a:extLst>
        </xdr:cNvPr>
        <xdr:cNvSpPr>
          <a:spLocks noChangeAspect="1" noChangeArrowheads="1"/>
        </xdr:cNvSpPr>
      </xdr:nvSpPr>
      <xdr:spPr bwMode="auto">
        <a:xfrm>
          <a:off x="39300150" y="116795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78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5030000}"/>
            </a:ext>
          </a:extLst>
        </xdr:cNvPr>
        <xdr:cNvSpPr>
          <a:spLocks noChangeAspect="1" noChangeArrowheads="1"/>
        </xdr:cNvSpPr>
      </xdr:nvSpPr>
      <xdr:spPr bwMode="auto">
        <a:xfrm>
          <a:off x="39300150" y="117090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79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6030000}"/>
            </a:ext>
          </a:extLst>
        </xdr:cNvPr>
        <xdr:cNvSpPr>
          <a:spLocks noChangeAspect="1" noChangeArrowheads="1"/>
        </xdr:cNvSpPr>
      </xdr:nvSpPr>
      <xdr:spPr bwMode="auto">
        <a:xfrm>
          <a:off x="39300150" y="117090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79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7030000}"/>
            </a:ext>
          </a:extLst>
        </xdr:cNvPr>
        <xdr:cNvSpPr>
          <a:spLocks noChangeAspect="1" noChangeArrowheads="1"/>
        </xdr:cNvSpPr>
      </xdr:nvSpPr>
      <xdr:spPr bwMode="auto">
        <a:xfrm>
          <a:off x="39300150" y="117386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79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8030000}"/>
            </a:ext>
          </a:extLst>
        </xdr:cNvPr>
        <xdr:cNvSpPr>
          <a:spLocks noChangeAspect="1" noChangeArrowheads="1"/>
        </xdr:cNvSpPr>
      </xdr:nvSpPr>
      <xdr:spPr bwMode="auto">
        <a:xfrm>
          <a:off x="39300150" y="117386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79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9030000}"/>
            </a:ext>
          </a:extLst>
        </xdr:cNvPr>
        <xdr:cNvSpPr>
          <a:spLocks noChangeAspect="1" noChangeArrowheads="1"/>
        </xdr:cNvSpPr>
      </xdr:nvSpPr>
      <xdr:spPr bwMode="auto">
        <a:xfrm>
          <a:off x="39300150" y="117681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79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A030000}"/>
            </a:ext>
          </a:extLst>
        </xdr:cNvPr>
        <xdr:cNvSpPr>
          <a:spLocks noChangeAspect="1" noChangeArrowheads="1"/>
        </xdr:cNvSpPr>
      </xdr:nvSpPr>
      <xdr:spPr bwMode="auto">
        <a:xfrm>
          <a:off x="39300150" y="117681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79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B030000}"/>
            </a:ext>
          </a:extLst>
        </xdr:cNvPr>
        <xdr:cNvSpPr>
          <a:spLocks noChangeAspect="1" noChangeArrowheads="1"/>
        </xdr:cNvSpPr>
      </xdr:nvSpPr>
      <xdr:spPr bwMode="auto">
        <a:xfrm>
          <a:off x="39300150" y="117976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79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C030000}"/>
            </a:ext>
          </a:extLst>
        </xdr:cNvPr>
        <xdr:cNvSpPr>
          <a:spLocks noChangeAspect="1" noChangeArrowheads="1"/>
        </xdr:cNvSpPr>
      </xdr:nvSpPr>
      <xdr:spPr bwMode="auto">
        <a:xfrm>
          <a:off x="39300150" y="117976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79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D030000}"/>
            </a:ext>
          </a:extLst>
        </xdr:cNvPr>
        <xdr:cNvSpPr>
          <a:spLocks noChangeAspect="1" noChangeArrowheads="1"/>
        </xdr:cNvSpPr>
      </xdr:nvSpPr>
      <xdr:spPr bwMode="auto">
        <a:xfrm>
          <a:off x="39300150" y="1182719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79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E030000}"/>
            </a:ext>
          </a:extLst>
        </xdr:cNvPr>
        <xdr:cNvSpPr>
          <a:spLocks noChangeAspect="1" noChangeArrowheads="1"/>
        </xdr:cNvSpPr>
      </xdr:nvSpPr>
      <xdr:spPr bwMode="auto">
        <a:xfrm>
          <a:off x="39300150" y="1182719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79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F030000}"/>
            </a:ext>
          </a:extLst>
        </xdr:cNvPr>
        <xdr:cNvSpPr>
          <a:spLocks noChangeAspect="1" noChangeArrowheads="1"/>
        </xdr:cNvSpPr>
      </xdr:nvSpPr>
      <xdr:spPr bwMode="auto">
        <a:xfrm>
          <a:off x="39300150" y="118567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80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0030000}"/>
            </a:ext>
          </a:extLst>
        </xdr:cNvPr>
        <xdr:cNvSpPr>
          <a:spLocks noChangeAspect="1" noChangeArrowheads="1"/>
        </xdr:cNvSpPr>
      </xdr:nvSpPr>
      <xdr:spPr bwMode="auto">
        <a:xfrm>
          <a:off x="39300150" y="118567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80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1030000}"/>
            </a:ext>
          </a:extLst>
        </xdr:cNvPr>
        <xdr:cNvSpPr>
          <a:spLocks noChangeAspect="1" noChangeArrowheads="1"/>
        </xdr:cNvSpPr>
      </xdr:nvSpPr>
      <xdr:spPr bwMode="auto">
        <a:xfrm>
          <a:off x="39300150" y="1188624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80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2030000}"/>
            </a:ext>
          </a:extLst>
        </xdr:cNvPr>
        <xdr:cNvSpPr>
          <a:spLocks noChangeAspect="1" noChangeArrowheads="1"/>
        </xdr:cNvSpPr>
      </xdr:nvSpPr>
      <xdr:spPr bwMode="auto">
        <a:xfrm>
          <a:off x="39300150" y="1188624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80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3030000}"/>
            </a:ext>
          </a:extLst>
        </xdr:cNvPr>
        <xdr:cNvSpPr>
          <a:spLocks noChangeAspect="1" noChangeArrowheads="1"/>
        </xdr:cNvSpPr>
      </xdr:nvSpPr>
      <xdr:spPr bwMode="auto">
        <a:xfrm>
          <a:off x="39300150" y="119157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80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4030000}"/>
            </a:ext>
          </a:extLst>
        </xdr:cNvPr>
        <xdr:cNvSpPr>
          <a:spLocks noChangeAspect="1" noChangeArrowheads="1"/>
        </xdr:cNvSpPr>
      </xdr:nvSpPr>
      <xdr:spPr bwMode="auto">
        <a:xfrm>
          <a:off x="39300150" y="119157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80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5030000}"/>
            </a:ext>
          </a:extLst>
        </xdr:cNvPr>
        <xdr:cNvSpPr>
          <a:spLocks noChangeAspect="1" noChangeArrowheads="1"/>
        </xdr:cNvSpPr>
      </xdr:nvSpPr>
      <xdr:spPr bwMode="auto">
        <a:xfrm>
          <a:off x="39300150" y="119453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80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6030000}"/>
            </a:ext>
          </a:extLst>
        </xdr:cNvPr>
        <xdr:cNvSpPr>
          <a:spLocks noChangeAspect="1" noChangeArrowheads="1"/>
        </xdr:cNvSpPr>
      </xdr:nvSpPr>
      <xdr:spPr bwMode="auto">
        <a:xfrm>
          <a:off x="39300150" y="119453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80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7030000}"/>
            </a:ext>
          </a:extLst>
        </xdr:cNvPr>
        <xdr:cNvSpPr>
          <a:spLocks noChangeAspect="1" noChangeArrowheads="1"/>
        </xdr:cNvSpPr>
      </xdr:nvSpPr>
      <xdr:spPr bwMode="auto">
        <a:xfrm>
          <a:off x="39300150" y="119748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80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8030000}"/>
            </a:ext>
          </a:extLst>
        </xdr:cNvPr>
        <xdr:cNvSpPr>
          <a:spLocks noChangeAspect="1" noChangeArrowheads="1"/>
        </xdr:cNvSpPr>
      </xdr:nvSpPr>
      <xdr:spPr bwMode="auto">
        <a:xfrm>
          <a:off x="39300150" y="119748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80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9030000}"/>
            </a:ext>
          </a:extLst>
        </xdr:cNvPr>
        <xdr:cNvSpPr>
          <a:spLocks noChangeAspect="1" noChangeArrowheads="1"/>
        </xdr:cNvSpPr>
      </xdr:nvSpPr>
      <xdr:spPr bwMode="auto">
        <a:xfrm>
          <a:off x="39300150" y="120043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81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A030000}"/>
            </a:ext>
          </a:extLst>
        </xdr:cNvPr>
        <xdr:cNvSpPr>
          <a:spLocks noChangeAspect="1" noChangeArrowheads="1"/>
        </xdr:cNvSpPr>
      </xdr:nvSpPr>
      <xdr:spPr bwMode="auto">
        <a:xfrm>
          <a:off x="39300150" y="120043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81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B030000}"/>
            </a:ext>
          </a:extLst>
        </xdr:cNvPr>
        <xdr:cNvSpPr>
          <a:spLocks noChangeAspect="1" noChangeArrowheads="1"/>
        </xdr:cNvSpPr>
      </xdr:nvSpPr>
      <xdr:spPr bwMode="auto">
        <a:xfrm>
          <a:off x="39300150" y="120338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81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C030000}"/>
            </a:ext>
          </a:extLst>
        </xdr:cNvPr>
        <xdr:cNvSpPr>
          <a:spLocks noChangeAspect="1" noChangeArrowheads="1"/>
        </xdr:cNvSpPr>
      </xdr:nvSpPr>
      <xdr:spPr bwMode="auto">
        <a:xfrm>
          <a:off x="39300150" y="120338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81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D030000}"/>
            </a:ext>
          </a:extLst>
        </xdr:cNvPr>
        <xdr:cNvSpPr>
          <a:spLocks noChangeAspect="1" noChangeArrowheads="1"/>
        </xdr:cNvSpPr>
      </xdr:nvSpPr>
      <xdr:spPr bwMode="auto">
        <a:xfrm>
          <a:off x="39300150" y="1206341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81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E030000}"/>
            </a:ext>
          </a:extLst>
        </xdr:cNvPr>
        <xdr:cNvSpPr>
          <a:spLocks noChangeAspect="1" noChangeArrowheads="1"/>
        </xdr:cNvSpPr>
      </xdr:nvSpPr>
      <xdr:spPr bwMode="auto">
        <a:xfrm>
          <a:off x="39300150" y="1206341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81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F030000}"/>
            </a:ext>
          </a:extLst>
        </xdr:cNvPr>
        <xdr:cNvSpPr>
          <a:spLocks noChangeAspect="1" noChangeArrowheads="1"/>
        </xdr:cNvSpPr>
      </xdr:nvSpPr>
      <xdr:spPr bwMode="auto">
        <a:xfrm>
          <a:off x="39300150" y="120929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81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0030000}"/>
            </a:ext>
          </a:extLst>
        </xdr:cNvPr>
        <xdr:cNvSpPr>
          <a:spLocks noChangeAspect="1" noChangeArrowheads="1"/>
        </xdr:cNvSpPr>
      </xdr:nvSpPr>
      <xdr:spPr bwMode="auto">
        <a:xfrm>
          <a:off x="39300150" y="120929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81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1030000}"/>
            </a:ext>
          </a:extLst>
        </xdr:cNvPr>
        <xdr:cNvSpPr>
          <a:spLocks noChangeAspect="1" noChangeArrowheads="1"/>
        </xdr:cNvSpPr>
      </xdr:nvSpPr>
      <xdr:spPr bwMode="auto">
        <a:xfrm>
          <a:off x="39300150" y="1212246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81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2030000}"/>
            </a:ext>
          </a:extLst>
        </xdr:cNvPr>
        <xdr:cNvSpPr>
          <a:spLocks noChangeAspect="1" noChangeArrowheads="1"/>
        </xdr:cNvSpPr>
      </xdr:nvSpPr>
      <xdr:spPr bwMode="auto">
        <a:xfrm>
          <a:off x="39300150" y="1212246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81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3030000}"/>
            </a:ext>
          </a:extLst>
        </xdr:cNvPr>
        <xdr:cNvSpPr>
          <a:spLocks noChangeAspect="1" noChangeArrowheads="1"/>
        </xdr:cNvSpPr>
      </xdr:nvSpPr>
      <xdr:spPr bwMode="auto">
        <a:xfrm>
          <a:off x="39300150" y="121519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82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4030000}"/>
            </a:ext>
          </a:extLst>
        </xdr:cNvPr>
        <xdr:cNvSpPr>
          <a:spLocks noChangeAspect="1" noChangeArrowheads="1"/>
        </xdr:cNvSpPr>
      </xdr:nvSpPr>
      <xdr:spPr bwMode="auto">
        <a:xfrm>
          <a:off x="39300150" y="121519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82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5030000}"/>
            </a:ext>
          </a:extLst>
        </xdr:cNvPr>
        <xdr:cNvSpPr>
          <a:spLocks noChangeAspect="1" noChangeArrowheads="1"/>
        </xdr:cNvSpPr>
      </xdr:nvSpPr>
      <xdr:spPr bwMode="auto">
        <a:xfrm>
          <a:off x="39300150" y="121815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82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6030000}"/>
            </a:ext>
          </a:extLst>
        </xdr:cNvPr>
        <xdr:cNvSpPr>
          <a:spLocks noChangeAspect="1" noChangeArrowheads="1"/>
        </xdr:cNvSpPr>
      </xdr:nvSpPr>
      <xdr:spPr bwMode="auto">
        <a:xfrm>
          <a:off x="39300150" y="121815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82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7030000}"/>
            </a:ext>
          </a:extLst>
        </xdr:cNvPr>
        <xdr:cNvSpPr>
          <a:spLocks noChangeAspect="1" noChangeArrowheads="1"/>
        </xdr:cNvSpPr>
      </xdr:nvSpPr>
      <xdr:spPr bwMode="auto">
        <a:xfrm>
          <a:off x="39300150" y="1221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82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8030000}"/>
            </a:ext>
          </a:extLst>
        </xdr:cNvPr>
        <xdr:cNvSpPr>
          <a:spLocks noChangeAspect="1" noChangeArrowheads="1"/>
        </xdr:cNvSpPr>
      </xdr:nvSpPr>
      <xdr:spPr bwMode="auto">
        <a:xfrm>
          <a:off x="39300150" y="1221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82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9030000}"/>
            </a:ext>
          </a:extLst>
        </xdr:cNvPr>
        <xdr:cNvSpPr>
          <a:spLocks noChangeAspect="1" noChangeArrowheads="1"/>
        </xdr:cNvSpPr>
      </xdr:nvSpPr>
      <xdr:spPr bwMode="auto">
        <a:xfrm>
          <a:off x="39300150" y="1224057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82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A030000}"/>
            </a:ext>
          </a:extLst>
        </xdr:cNvPr>
        <xdr:cNvSpPr>
          <a:spLocks noChangeAspect="1" noChangeArrowheads="1"/>
        </xdr:cNvSpPr>
      </xdr:nvSpPr>
      <xdr:spPr bwMode="auto">
        <a:xfrm>
          <a:off x="39300150" y="1224057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82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B030000}"/>
            </a:ext>
          </a:extLst>
        </xdr:cNvPr>
        <xdr:cNvSpPr>
          <a:spLocks noChangeAspect="1" noChangeArrowheads="1"/>
        </xdr:cNvSpPr>
      </xdr:nvSpPr>
      <xdr:spPr bwMode="auto">
        <a:xfrm>
          <a:off x="39300150" y="122701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82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C030000}"/>
            </a:ext>
          </a:extLst>
        </xdr:cNvPr>
        <xdr:cNvSpPr>
          <a:spLocks noChangeAspect="1" noChangeArrowheads="1"/>
        </xdr:cNvSpPr>
      </xdr:nvSpPr>
      <xdr:spPr bwMode="auto">
        <a:xfrm>
          <a:off x="39300150" y="122701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82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D030000}"/>
            </a:ext>
          </a:extLst>
        </xdr:cNvPr>
        <xdr:cNvSpPr>
          <a:spLocks noChangeAspect="1" noChangeArrowheads="1"/>
        </xdr:cNvSpPr>
      </xdr:nvSpPr>
      <xdr:spPr bwMode="auto">
        <a:xfrm>
          <a:off x="39300150" y="122996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83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E030000}"/>
            </a:ext>
          </a:extLst>
        </xdr:cNvPr>
        <xdr:cNvSpPr>
          <a:spLocks noChangeAspect="1" noChangeArrowheads="1"/>
        </xdr:cNvSpPr>
      </xdr:nvSpPr>
      <xdr:spPr bwMode="auto">
        <a:xfrm>
          <a:off x="39300150" y="122996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83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F030000}"/>
            </a:ext>
          </a:extLst>
        </xdr:cNvPr>
        <xdr:cNvSpPr>
          <a:spLocks noChangeAspect="1" noChangeArrowheads="1"/>
        </xdr:cNvSpPr>
      </xdr:nvSpPr>
      <xdr:spPr bwMode="auto">
        <a:xfrm>
          <a:off x="39300150" y="123291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83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0030000}"/>
            </a:ext>
          </a:extLst>
        </xdr:cNvPr>
        <xdr:cNvSpPr>
          <a:spLocks noChangeAspect="1" noChangeArrowheads="1"/>
        </xdr:cNvSpPr>
      </xdr:nvSpPr>
      <xdr:spPr bwMode="auto">
        <a:xfrm>
          <a:off x="39300150" y="123291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83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1030000}"/>
            </a:ext>
          </a:extLst>
        </xdr:cNvPr>
        <xdr:cNvSpPr>
          <a:spLocks noChangeAspect="1" noChangeArrowheads="1"/>
        </xdr:cNvSpPr>
      </xdr:nvSpPr>
      <xdr:spPr bwMode="auto">
        <a:xfrm>
          <a:off x="39300150" y="123586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83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2030000}"/>
            </a:ext>
          </a:extLst>
        </xdr:cNvPr>
        <xdr:cNvSpPr>
          <a:spLocks noChangeAspect="1" noChangeArrowheads="1"/>
        </xdr:cNvSpPr>
      </xdr:nvSpPr>
      <xdr:spPr bwMode="auto">
        <a:xfrm>
          <a:off x="39300150" y="123586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83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3030000}"/>
            </a:ext>
          </a:extLst>
        </xdr:cNvPr>
        <xdr:cNvSpPr>
          <a:spLocks noChangeAspect="1" noChangeArrowheads="1"/>
        </xdr:cNvSpPr>
      </xdr:nvSpPr>
      <xdr:spPr bwMode="auto">
        <a:xfrm>
          <a:off x="39300150" y="123882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83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4030000}"/>
            </a:ext>
          </a:extLst>
        </xdr:cNvPr>
        <xdr:cNvSpPr>
          <a:spLocks noChangeAspect="1" noChangeArrowheads="1"/>
        </xdr:cNvSpPr>
      </xdr:nvSpPr>
      <xdr:spPr bwMode="auto">
        <a:xfrm>
          <a:off x="39300150" y="123882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83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5030000}"/>
            </a:ext>
          </a:extLst>
        </xdr:cNvPr>
        <xdr:cNvSpPr>
          <a:spLocks noChangeAspect="1" noChangeArrowheads="1"/>
        </xdr:cNvSpPr>
      </xdr:nvSpPr>
      <xdr:spPr bwMode="auto">
        <a:xfrm>
          <a:off x="39300150" y="1241774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83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6030000}"/>
            </a:ext>
          </a:extLst>
        </xdr:cNvPr>
        <xdr:cNvSpPr>
          <a:spLocks noChangeAspect="1" noChangeArrowheads="1"/>
        </xdr:cNvSpPr>
      </xdr:nvSpPr>
      <xdr:spPr bwMode="auto">
        <a:xfrm>
          <a:off x="39300150" y="1241774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83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7030000}"/>
            </a:ext>
          </a:extLst>
        </xdr:cNvPr>
        <xdr:cNvSpPr>
          <a:spLocks noChangeAspect="1" noChangeArrowheads="1"/>
        </xdr:cNvSpPr>
      </xdr:nvSpPr>
      <xdr:spPr bwMode="auto">
        <a:xfrm>
          <a:off x="39300150" y="124472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84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8030000}"/>
            </a:ext>
          </a:extLst>
        </xdr:cNvPr>
        <xdr:cNvSpPr>
          <a:spLocks noChangeAspect="1" noChangeArrowheads="1"/>
        </xdr:cNvSpPr>
      </xdr:nvSpPr>
      <xdr:spPr bwMode="auto">
        <a:xfrm>
          <a:off x="39300150" y="124472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84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9030000}"/>
            </a:ext>
          </a:extLst>
        </xdr:cNvPr>
        <xdr:cNvSpPr>
          <a:spLocks noChangeAspect="1" noChangeArrowheads="1"/>
        </xdr:cNvSpPr>
      </xdr:nvSpPr>
      <xdr:spPr bwMode="auto">
        <a:xfrm>
          <a:off x="39300150" y="1247679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84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A030000}"/>
            </a:ext>
          </a:extLst>
        </xdr:cNvPr>
        <xdr:cNvSpPr>
          <a:spLocks noChangeAspect="1" noChangeArrowheads="1"/>
        </xdr:cNvSpPr>
      </xdr:nvSpPr>
      <xdr:spPr bwMode="auto">
        <a:xfrm>
          <a:off x="39300150" y="1247679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84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B030000}"/>
            </a:ext>
          </a:extLst>
        </xdr:cNvPr>
        <xdr:cNvSpPr>
          <a:spLocks noChangeAspect="1" noChangeArrowheads="1"/>
        </xdr:cNvSpPr>
      </xdr:nvSpPr>
      <xdr:spPr bwMode="auto">
        <a:xfrm>
          <a:off x="39300150" y="125063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84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C030000}"/>
            </a:ext>
          </a:extLst>
        </xdr:cNvPr>
        <xdr:cNvSpPr>
          <a:spLocks noChangeAspect="1" noChangeArrowheads="1"/>
        </xdr:cNvSpPr>
      </xdr:nvSpPr>
      <xdr:spPr bwMode="auto">
        <a:xfrm>
          <a:off x="39300150" y="125063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84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D030000}"/>
            </a:ext>
          </a:extLst>
        </xdr:cNvPr>
        <xdr:cNvSpPr>
          <a:spLocks noChangeAspect="1" noChangeArrowheads="1"/>
        </xdr:cNvSpPr>
      </xdr:nvSpPr>
      <xdr:spPr bwMode="auto">
        <a:xfrm>
          <a:off x="39300150" y="125358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84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E030000}"/>
            </a:ext>
          </a:extLst>
        </xdr:cNvPr>
        <xdr:cNvSpPr>
          <a:spLocks noChangeAspect="1" noChangeArrowheads="1"/>
        </xdr:cNvSpPr>
      </xdr:nvSpPr>
      <xdr:spPr bwMode="auto">
        <a:xfrm>
          <a:off x="39300150" y="125358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84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F030000}"/>
            </a:ext>
          </a:extLst>
        </xdr:cNvPr>
        <xdr:cNvSpPr>
          <a:spLocks noChangeAspect="1" noChangeArrowheads="1"/>
        </xdr:cNvSpPr>
      </xdr:nvSpPr>
      <xdr:spPr bwMode="auto">
        <a:xfrm>
          <a:off x="39300150" y="125653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84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0030000}"/>
            </a:ext>
          </a:extLst>
        </xdr:cNvPr>
        <xdr:cNvSpPr>
          <a:spLocks noChangeAspect="1" noChangeArrowheads="1"/>
        </xdr:cNvSpPr>
      </xdr:nvSpPr>
      <xdr:spPr bwMode="auto">
        <a:xfrm>
          <a:off x="39300150" y="125653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84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1030000}"/>
            </a:ext>
          </a:extLst>
        </xdr:cNvPr>
        <xdr:cNvSpPr>
          <a:spLocks noChangeAspect="1" noChangeArrowheads="1"/>
        </xdr:cNvSpPr>
      </xdr:nvSpPr>
      <xdr:spPr bwMode="auto">
        <a:xfrm>
          <a:off x="39300150" y="125949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85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2030000}"/>
            </a:ext>
          </a:extLst>
        </xdr:cNvPr>
        <xdr:cNvSpPr>
          <a:spLocks noChangeAspect="1" noChangeArrowheads="1"/>
        </xdr:cNvSpPr>
      </xdr:nvSpPr>
      <xdr:spPr bwMode="auto">
        <a:xfrm>
          <a:off x="39300150" y="125949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85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3030000}"/>
            </a:ext>
          </a:extLst>
        </xdr:cNvPr>
        <xdr:cNvSpPr>
          <a:spLocks noChangeAspect="1" noChangeArrowheads="1"/>
        </xdr:cNvSpPr>
      </xdr:nvSpPr>
      <xdr:spPr bwMode="auto">
        <a:xfrm>
          <a:off x="39300150" y="126244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85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4030000}"/>
            </a:ext>
          </a:extLst>
        </xdr:cNvPr>
        <xdr:cNvSpPr>
          <a:spLocks noChangeAspect="1" noChangeArrowheads="1"/>
        </xdr:cNvSpPr>
      </xdr:nvSpPr>
      <xdr:spPr bwMode="auto">
        <a:xfrm>
          <a:off x="39300150" y="126244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85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5030000}"/>
            </a:ext>
          </a:extLst>
        </xdr:cNvPr>
        <xdr:cNvSpPr>
          <a:spLocks noChangeAspect="1" noChangeArrowheads="1"/>
        </xdr:cNvSpPr>
      </xdr:nvSpPr>
      <xdr:spPr bwMode="auto">
        <a:xfrm>
          <a:off x="39300150" y="126539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85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6030000}"/>
            </a:ext>
          </a:extLst>
        </xdr:cNvPr>
        <xdr:cNvSpPr>
          <a:spLocks noChangeAspect="1" noChangeArrowheads="1"/>
        </xdr:cNvSpPr>
      </xdr:nvSpPr>
      <xdr:spPr bwMode="auto">
        <a:xfrm>
          <a:off x="39300150" y="126539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85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7030000}"/>
            </a:ext>
          </a:extLst>
        </xdr:cNvPr>
        <xdr:cNvSpPr>
          <a:spLocks noChangeAspect="1" noChangeArrowheads="1"/>
        </xdr:cNvSpPr>
      </xdr:nvSpPr>
      <xdr:spPr bwMode="auto">
        <a:xfrm>
          <a:off x="39300150" y="126834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85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8030000}"/>
            </a:ext>
          </a:extLst>
        </xdr:cNvPr>
        <xdr:cNvSpPr>
          <a:spLocks noChangeAspect="1" noChangeArrowheads="1"/>
        </xdr:cNvSpPr>
      </xdr:nvSpPr>
      <xdr:spPr bwMode="auto">
        <a:xfrm>
          <a:off x="39300150" y="126834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85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9030000}"/>
            </a:ext>
          </a:extLst>
        </xdr:cNvPr>
        <xdr:cNvSpPr>
          <a:spLocks noChangeAspect="1" noChangeArrowheads="1"/>
        </xdr:cNvSpPr>
      </xdr:nvSpPr>
      <xdr:spPr bwMode="auto">
        <a:xfrm>
          <a:off x="39300150" y="1271301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85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A030000}"/>
            </a:ext>
          </a:extLst>
        </xdr:cNvPr>
        <xdr:cNvSpPr>
          <a:spLocks noChangeAspect="1" noChangeArrowheads="1"/>
        </xdr:cNvSpPr>
      </xdr:nvSpPr>
      <xdr:spPr bwMode="auto">
        <a:xfrm>
          <a:off x="39300150" y="1271301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85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B030000}"/>
            </a:ext>
          </a:extLst>
        </xdr:cNvPr>
        <xdr:cNvSpPr>
          <a:spLocks noChangeAspect="1" noChangeArrowheads="1"/>
        </xdr:cNvSpPr>
      </xdr:nvSpPr>
      <xdr:spPr bwMode="auto">
        <a:xfrm>
          <a:off x="39300150" y="127425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86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C030000}"/>
            </a:ext>
          </a:extLst>
        </xdr:cNvPr>
        <xdr:cNvSpPr>
          <a:spLocks noChangeAspect="1" noChangeArrowheads="1"/>
        </xdr:cNvSpPr>
      </xdr:nvSpPr>
      <xdr:spPr bwMode="auto">
        <a:xfrm>
          <a:off x="39300150" y="127425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86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D030000}"/>
            </a:ext>
          </a:extLst>
        </xdr:cNvPr>
        <xdr:cNvSpPr>
          <a:spLocks noChangeAspect="1" noChangeArrowheads="1"/>
        </xdr:cNvSpPr>
      </xdr:nvSpPr>
      <xdr:spPr bwMode="auto">
        <a:xfrm>
          <a:off x="39300150" y="1277207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86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E030000}"/>
            </a:ext>
          </a:extLst>
        </xdr:cNvPr>
        <xdr:cNvSpPr>
          <a:spLocks noChangeAspect="1" noChangeArrowheads="1"/>
        </xdr:cNvSpPr>
      </xdr:nvSpPr>
      <xdr:spPr bwMode="auto">
        <a:xfrm>
          <a:off x="39300150" y="1277207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86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F030000}"/>
            </a:ext>
          </a:extLst>
        </xdr:cNvPr>
        <xdr:cNvSpPr>
          <a:spLocks noChangeAspect="1" noChangeArrowheads="1"/>
        </xdr:cNvSpPr>
      </xdr:nvSpPr>
      <xdr:spPr bwMode="auto">
        <a:xfrm>
          <a:off x="39300150" y="128016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86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0030000}"/>
            </a:ext>
          </a:extLst>
        </xdr:cNvPr>
        <xdr:cNvSpPr>
          <a:spLocks noChangeAspect="1" noChangeArrowheads="1"/>
        </xdr:cNvSpPr>
      </xdr:nvSpPr>
      <xdr:spPr bwMode="auto">
        <a:xfrm>
          <a:off x="39300150" y="128016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86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1030000}"/>
            </a:ext>
          </a:extLst>
        </xdr:cNvPr>
        <xdr:cNvSpPr>
          <a:spLocks noChangeAspect="1" noChangeArrowheads="1"/>
        </xdr:cNvSpPr>
      </xdr:nvSpPr>
      <xdr:spPr bwMode="auto">
        <a:xfrm>
          <a:off x="39300150" y="1283112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86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2030000}"/>
            </a:ext>
          </a:extLst>
        </xdr:cNvPr>
        <xdr:cNvSpPr>
          <a:spLocks noChangeAspect="1" noChangeArrowheads="1"/>
        </xdr:cNvSpPr>
      </xdr:nvSpPr>
      <xdr:spPr bwMode="auto">
        <a:xfrm>
          <a:off x="39300150" y="1283112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86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3030000}"/>
            </a:ext>
          </a:extLst>
        </xdr:cNvPr>
        <xdr:cNvSpPr>
          <a:spLocks noChangeAspect="1" noChangeArrowheads="1"/>
        </xdr:cNvSpPr>
      </xdr:nvSpPr>
      <xdr:spPr bwMode="auto">
        <a:xfrm>
          <a:off x="39300150" y="128606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86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4030000}"/>
            </a:ext>
          </a:extLst>
        </xdr:cNvPr>
        <xdr:cNvSpPr>
          <a:spLocks noChangeAspect="1" noChangeArrowheads="1"/>
        </xdr:cNvSpPr>
      </xdr:nvSpPr>
      <xdr:spPr bwMode="auto">
        <a:xfrm>
          <a:off x="39300150" y="128606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86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5030000}"/>
            </a:ext>
          </a:extLst>
        </xdr:cNvPr>
        <xdr:cNvSpPr>
          <a:spLocks noChangeAspect="1" noChangeArrowheads="1"/>
        </xdr:cNvSpPr>
      </xdr:nvSpPr>
      <xdr:spPr bwMode="auto">
        <a:xfrm>
          <a:off x="39300150" y="128901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87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6030000}"/>
            </a:ext>
          </a:extLst>
        </xdr:cNvPr>
        <xdr:cNvSpPr>
          <a:spLocks noChangeAspect="1" noChangeArrowheads="1"/>
        </xdr:cNvSpPr>
      </xdr:nvSpPr>
      <xdr:spPr bwMode="auto">
        <a:xfrm>
          <a:off x="39300150" y="128901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87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7030000}"/>
            </a:ext>
          </a:extLst>
        </xdr:cNvPr>
        <xdr:cNvSpPr>
          <a:spLocks noChangeAspect="1" noChangeArrowheads="1"/>
        </xdr:cNvSpPr>
      </xdr:nvSpPr>
      <xdr:spPr bwMode="auto">
        <a:xfrm>
          <a:off x="39300150" y="129197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87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8030000}"/>
            </a:ext>
          </a:extLst>
        </xdr:cNvPr>
        <xdr:cNvSpPr>
          <a:spLocks noChangeAspect="1" noChangeArrowheads="1"/>
        </xdr:cNvSpPr>
      </xdr:nvSpPr>
      <xdr:spPr bwMode="auto">
        <a:xfrm>
          <a:off x="39300150" y="129197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87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9030000}"/>
            </a:ext>
          </a:extLst>
        </xdr:cNvPr>
        <xdr:cNvSpPr>
          <a:spLocks noChangeAspect="1" noChangeArrowheads="1"/>
        </xdr:cNvSpPr>
      </xdr:nvSpPr>
      <xdr:spPr bwMode="auto">
        <a:xfrm>
          <a:off x="39300150" y="129492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87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A030000}"/>
            </a:ext>
          </a:extLst>
        </xdr:cNvPr>
        <xdr:cNvSpPr>
          <a:spLocks noChangeAspect="1" noChangeArrowheads="1"/>
        </xdr:cNvSpPr>
      </xdr:nvSpPr>
      <xdr:spPr bwMode="auto">
        <a:xfrm>
          <a:off x="39300150" y="129492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87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B030000}"/>
            </a:ext>
          </a:extLst>
        </xdr:cNvPr>
        <xdr:cNvSpPr>
          <a:spLocks noChangeAspect="1" noChangeArrowheads="1"/>
        </xdr:cNvSpPr>
      </xdr:nvSpPr>
      <xdr:spPr bwMode="auto">
        <a:xfrm>
          <a:off x="39300150" y="129787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87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C030000}"/>
            </a:ext>
          </a:extLst>
        </xdr:cNvPr>
        <xdr:cNvSpPr>
          <a:spLocks noChangeAspect="1" noChangeArrowheads="1"/>
        </xdr:cNvSpPr>
      </xdr:nvSpPr>
      <xdr:spPr bwMode="auto">
        <a:xfrm>
          <a:off x="39300150" y="129787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87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D030000}"/>
            </a:ext>
          </a:extLst>
        </xdr:cNvPr>
        <xdr:cNvSpPr>
          <a:spLocks noChangeAspect="1" noChangeArrowheads="1"/>
        </xdr:cNvSpPr>
      </xdr:nvSpPr>
      <xdr:spPr bwMode="auto">
        <a:xfrm>
          <a:off x="39300150" y="1300829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87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E030000}"/>
            </a:ext>
          </a:extLst>
        </xdr:cNvPr>
        <xdr:cNvSpPr>
          <a:spLocks noChangeAspect="1" noChangeArrowheads="1"/>
        </xdr:cNvSpPr>
      </xdr:nvSpPr>
      <xdr:spPr bwMode="auto">
        <a:xfrm>
          <a:off x="39300150" y="1300829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87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F030000}"/>
            </a:ext>
          </a:extLst>
        </xdr:cNvPr>
        <xdr:cNvSpPr>
          <a:spLocks noChangeAspect="1" noChangeArrowheads="1"/>
        </xdr:cNvSpPr>
      </xdr:nvSpPr>
      <xdr:spPr bwMode="auto">
        <a:xfrm>
          <a:off x="39300150" y="13037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88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0030000}"/>
            </a:ext>
          </a:extLst>
        </xdr:cNvPr>
        <xdr:cNvSpPr>
          <a:spLocks noChangeAspect="1" noChangeArrowheads="1"/>
        </xdr:cNvSpPr>
      </xdr:nvSpPr>
      <xdr:spPr bwMode="auto">
        <a:xfrm>
          <a:off x="39300150" y="13037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88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1030000}"/>
            </a:ext>
          </a:extLst>
        </xdr:cNvPr>
        <xdr:cNvSpPr>
          <a:spLocks noChangeAspect="1" noChangeArrowheads="1"/>
        </xdr:cNvSpPr>
      </xdr:nvSpPr>
      <xdr:spPr bwMode="auto">
        <a:xfrm>
          <a:off x="39300150" y="1306734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88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2030000}"/>
            </a:ext>
          </a:extLst>
        </xdr:cNvPr>
        <xdr:cNvSpPr>
          <a:spLocks noChangeAspect="1" noChangeArrowheads="1"/>
        </xdr:cNvSpPr>
      </xdr:nvSpPr>
      <xdr:spPr bwMode="auto">
        <a:xfrm>
          <a:off x="39300150" y="1306734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88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3030000}"/>
            </a:ext>
          </a:extLst>
        </xdr:cNvPr>
        <xdr:cNvSpPr>
          <a:spLocks noChangeAspect="1" noChangeArrowheads="1"/>
        </xdr:cNvSpPr>
      </xdr:nvSpPr>
      <xdr:spPr bwMode="auto">
        <a:xfrm>
          <a:off x="39300150" y="130968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88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4030000}"/>
            </a:ext>
          </a:extLst>
        </xdr:cNvPr>
        <xdr:cNvSpPr>
          <a:spLocks noChangeAspect="1" noChangeArrowheads="1"/>
        </xdr:cNvSpPr>
      </xdr:nvSpPr>
      <xdr:spPr bwMode="auto">
        <a:xfrm>
          <a:off x="39300150" y="130968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88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5030000}"/>
            </a:ext>
          </a:extLst>
        </xdr:cNvPr>
        <xdr:cNvSpPr>
          <a:spLocks noChangeAspect="1" noChangeArrowheads="1"/>
        </xdr:cNvSpPr>
      </xdr:nvSpPr>
      <xdr:spPr bwMode="auto">
        <a:xfrm>
          <a:off x="39300150" y="131264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88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6030000}"/>
            </a:ext>
          </a:extLst>
        </xdr:cNvPr>
        <xdr:cNvSpPr>
          <a:spLocks noChangeAspect="1" noChangeArrowheads="1"/>
        </xdr:cNvSpPr>
      </xdr:nvSpPr>
      <xdr:spPr bwMode="auto">
        <a:xfrm>
          <a:off x="39300150" y="131264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88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7030000}"/>
            </a:ext>
          </a:extLst>
        </xdr:cNvPr>
        <xdr:cNvSpPr>
          <a:spLocks noChangeAspect="1" noChangeArrowheads="1"/>
        </xdr:cNvSpPr>
      </xdr:nvSpPr>
      <xdr:spPr bwMode="auto">
        <a:xfrm>
          <a:off x="39300150" y="131559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88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8030000}"/>
            </a:ext>
          </a:extLst>
        </xdr:cNvPr>
        <xdr:cNvSpPr>
          <a:spLocks noChangeAspect="1" noChangeArrowheads="1"/>
        </xdr:cNvSpPr>
      </xdr:nvSpPr>
      <xdr:spPr bwMode="auto">
        <a:xfrm>
          <a:off x="39300150" y="131559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88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9030000}"/>
            </a:ext>
          </a:extLst>
        </xdr:cNvPr>
        <xdr:cNvSpPr>
          <a:spLocks noChangeAspect="1" noChangeArrowheads="1"/>
        </xdr:cNvSpPr>
      </xdr:nvSpPr>
      <xdr:spPr bwMode="auto">
        <a:xfrm>
          <a:off x="39300150" y="131854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89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A030000}"/>
            </a:ext>
          </a:extLst>
        </xdr:cNvPr>
        <xdr:cNvSpPr>
          <a:spLocks noChangeAspect="1" noChangeArrowheads="1"/>
        </xdr:cNvSpPr>
      </xdr:nvSpPr>
      <xdr:spPr bwMode="auto">
        <a:xfrm>
          <a:off x="39300150" y="131854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89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B030000}"/>
            </a:ext>
          </a:extLst>
        </xdr:cNvPr>
        <xdr:cNvSpPr>
          <a:spLocks noChangeAspect="1" noChangeArrowheads="1"/>
        </xdr:cNvSpPr>
      </xdr:nvSpPr>
      <xdr:spPr bwMode="auto">
        <a:xfrm>
          <a:off x="39300150" y="132149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89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C030000}"/>
            </a:ext>
          </a:extLst>
        </xdr:cNvPr>
        <xdr:cNvSpPr>
          <a:spLocks noChangeAspect="1" noChangeArrowheads="1"/>
        </xdr:cNvSpPr>
      </xdr:nvSpPr>
      <xdr:spPr bwMode="auto">
        <a:xfrm>
          <a:off x="39300150" y="132149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89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D030000}"/>
            </a:ext>
          </a:extLst>
        </xdr:cNvPr>
        <xdr:cNvSpPr>
          <a:spLocks noChangeAspect="1" noChangeArrowheads="1"/>
        </xdr:cNvSpPr>
      </xdr:nvSpPr>
      <xdr:spPr bwMode="auto">
        <a:xfrm>
          <a:off x="39300150" y="1324451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89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E030000}"/>
            </a:ext>
          </a:extLst>
        </xdr:cNvPr>
        <xdr:cNvSpPr>
          <a:spLocks noChangeAspect="1" noChangeArrowheads="1"/>
        </xdr:cNvSpPr>
      </xdr:nvSpPr>
      <xdr:spPr bwMode="auto">
        <a:xfrm>
          <a:off x="39300150" y="1324451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89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F030000}"/>
            </a:ext>
          </a:extLst>
        </xdr:cNvPr>
        <xdr:cNvSpPr>
          <a:spLocks noChangeAspect="1" noChangeArrowheads="1"/>
        </xdr:cNvSpPr>
      </xdr:nvSpPr>
      <xdr:spPr bwMode="auto">
        <a:xfrm>
          <a:off x="39300150" y="132740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89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0030000}"/>
            </a:ext>
          </a:extLst>
        </xdr:cNvPr>
        <xdr:cNvSpPr>
          <a:spLocks noChangeAspect="1" noChangeArrowheads="1"/>
        </xdr:cNvSpPr>
      </xdr:nvSpPr>
      <xdr:spPr bwMode="auto">
        <a:xfrm>
          <a:off x="39300150" y="132740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89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1030000}"/>
            </a:ext>
          </a:extLst>
        </xdr:cNvPr>
        <xdr:cNvSpPr>
          <a:spLocks noChangeAspect="1" noChangeArrowheads="1"/>
        </xdr:cNvSpPr>
      </xdr:nvSpPr>
      <xdr:spPr bwMode="auto">
        <a:xfrm>
          <a:off x="39300150" y="1330356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89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2030000}"/>
            </a:ext>
          </a:extLst>
        </xdr:cNvPr>
        <xdr:cNvSpPr>
          <a:spLocks noChangeAspect="1" noChangeArrowheads="1"/>
        </xdr:cNvSpPr>
      </xdr:nvSpPr>
      <xdr:spPr bwMode="auto">
        <a:xfrm>
          <a:off x="39300150" y="1330356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89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3030000}"/>
            </a:ext>
          </a:extLst>
        </xdr:cNvPr>
        <xdr:cNvSpPr>
          <a:spLocks noChangeAspect="1" noChangeArrowheads="1"/>
        </xdr:cNvSpPr>
      </xdr:nvSpPr>
      <xdr:spPr bwMode="auto">
        <a:xfrm>
          <a:off x="39300150" y="133330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90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4030000}"/>
            </a:ext>
          </a:extLst>
        </xdr:cNvPr>
        <xdr:cNvSpPr>
          <a:spLocks noChangeAspect="1" noChangeArrowheads="1"/>
        </xdr:cNvSpPr>
      </xdr:nvSpPr>
      <xdr:spPr bwMode="auto">
        <a:xfrm>
          <a:off x="39300150" y="133330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90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5030000}"/>
            </a:ext>
          </a:extLst>
        </xdr:cNvPr>
        <xdr:cNvSpPr>
          <a:spLocks noChangeAspect="1" noChangeArrowheads="1"/>
        </xdr:cNvSpPr>
      </xdr:nvSpPr>
      <xdr:spPr bwMode="auto">
        <a:xfrm>
          <a:off x="39300150" y="133626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90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6030000}"/>
            </a:ext>
          </a:extLst>
        </xdr:cNvPr>
        <xdr:cNvSpPr>
          <a:spLocks noChangeAspect="1" noChangeArrowheads="1"/>
        </xdr:cNvSpPr>
      </xdr:nvSpPr>
      <xdr:spPr bwMode="auto">
        <a:xfrm>
          <a:off x="39300150" y="133626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90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7030000}"/>
            </a:ext>
          </a:extLst>
        </xdr:cNvPr>
        <xdr:cNvSpPr>
          <a:spLocks noChangeAspect="1" noChangeArrowheads="1"/>
        </xdr:cNvSpPr>
      </xdr:nvSpPr>
      <xdr:spPr bwMode="auto">
        <a:xfrm>
          <a:off x="39300150" y="133921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90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8030000}"/>
            </a:ext>
          </a:extLst>
        </xdr:cNvPr>
        <xdr:cNvSpPr>
          <a:spLocks noChangeAspect="1" noChangeArrowheads="1"/>
        </xdr:cNvSpPr>
      </xdr:nvSpPr>
      <xdr:spPr bwMode="auto">
        <a:xfrm>
          <a:off x="39300150" y="133921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90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9030000}"/>
            </a:ext>
          </a:extLst>
        </xdr:cNvPr>
        <xdr:cNvSpPr>
          <a:spLocks noChangeAspect="1" noChangeArrowheads="1"/>
        </xdr:cNvSpPr>
      </xdr:nvSpPr>
      <xdr:spPr bwMode="auto">
        <a:xfrm>
          <a:off x="39300150" y="1342167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90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A030000}"/>
            </a:ext>
          </a:extLst>
        </xdr:cNvPr>
        <xdr:cNvSpPr>
          <a:spLocks noChangeAspect="1" noChangeArrowheads="1"/>
        </xdr:cNvSpPr>
      </xdr:nvSpPr>
      <xdr:spPr bwMode="auto">
        <a:xfrm>
          <a:off x="39300150" y="1342167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90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B030000}"/>
            </a:ext>
          </a:extLst>
        </xdr:cNvPr>
        <xdr:cNvSpPr>
          <a:spLocks noChangeAspect="1" noChangeArrowheads="1"/>
        </xdr:cNvSpPr>
      </xdr:nvSpPr>
      <xdr:spPr bwMode="auto">
        <a:xfrm>
          <a:off x="39300150" y="134512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90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C030000}"/>
            </a:ext>
          </a:extLst>
        </xdr:cNvPr>
        <xdr:cNvSpPr>
          <a:spLocks noChangeAspect="1" noChangeArrowheads="1"/>
        </xdr:cNvSpPr>
      </xdr:nvSpPr>
      <xdr:spPr bwMode="auto">
        <a:xfrm>
          <a:off x="39300150" y="134512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90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D030000}"/>
            </a:ext>
          </a:extLst>
        </xdr:cNvPr>
        <xdr:cNvSpPr>
          <a:spLocks noChangeAspect="1" noChangeArrowheads="1"/>
        </xdr:cNvSpPr>
      </xdr:nvSpPr>
      <xdr:spPr bwMode="auto">
        <a:xfrm>
          <a:off x="39300150" y="134807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91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E030000}"/>
            </a:ext>
          </a:extLst>
        </xdr:cNvPr>
        <xdr:cNvSpPr>
          <a:spLocks noChangeAspect="1" noChangeArrowheads="1"/>
        </xdr:cNvSpPr>
      </xdr:nvSpPr>
      <xdr:spPr bwMode="auto">
        <a:xfrm>
          <a:off x="39300150" y="134807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91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F030000}"/>
            </a:ext>
          </a:extLst>
        </xdr:cNvPr>
        <xdr:cNvSpPr>
          <a:spLocks noChangeAspect="1" noChangeArrowheads="1"/>
        </xdr:cNvSpPr>
      </xdr:nvSpPr>
      <xdr:spPr bwMode="auto">
        <a:xfrm>
          <a:off x="39300150" y="135102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91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0030000}"/>
            </a:ext>
          </a:extLst>
        </xdr:cNvPr>
        <xdr:cNvSpPr>
          <a:spLocks noChangeAspect="1" noChangeArrowheads="1"/>
        </xdr:cNvSpPr>
      </xdr:nvSpPr>
      <xdr:spPr bwMode="auto">
        <a:xfrm>
          <a:off x="39300150" y="135102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91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1030000}"/>
            </a:ext>
          </a:extLst>
        </xdr:cNvPr>
        <xdr:cNvSpPr>
          <a:spLocks noChangeAspect="1" noChangeArrowheads="1"/>
        </xdr:cNvSpPr>
      </xdr:nvSpPr>
      <xdr:spPr bwMode="auto">
        <a:xfrm>
          <a:off x="39300150" y="135397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91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2030000}"/>
            </a:ext>
          </a:extLst>
        </xdr:cNvPr>
        <xdr:cNvSpPr>
          <a:spLocks noChangeAspect="1" noChangeArrowheads="1"/>
        </xdr:cNvSpPr>
      </xdr:nvSpPr>
      <xdr:spPr bwMode="auto">
        <a:xfrm>
          <a:off x="39300150" y="135397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91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3030000}"/>
            </a:ext>
          </a:extLst>
        </xdr:cNvPr>
        <xdr:cNvSpPr>
          <a:spLocks noChangeAspect="1" noChangeArrowheads="1"/>
        </xdr:cNvSpPr>
      </xdr:nvSpPr>
      <xdr:spPr bwMode="auto">
        <a:xfrm>
          <a:off x="39300150" y="135693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91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4030000}"/>
            </a:ext>
          </a:extLst>
        </xdr:cNvPr>
        <xdr:cNvSpPr>
          <a:spLocks noChangeAspect="1" noChangeArrowheads="1"/>
        </xdr:cNvSpPr>
      </xdr:nvSpPr>
      <xdr:spPr bwMode="auto">
        <a:xfrm>
          <a:off x="39300150" y="135693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91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5030000}"/>
            </a:ext>
          </a:extLst>
        </xdr:cNvPr>
        <xdr:cNvSpPr>
          <a:spLocks noChangeAspect="1" noChangeArrowheads="1"/>
        </xdr:cNvSpPr>
      </xdr:nvSpPr>
      <xdr:spPr bwMode="auto">
        <a:xfrm>
          <a:off x="39300150" y="1359884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91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6030000}"/>
            </a:ext>
          </a:extLst>
        </xdr:cNvPr>
        <xdr:cNvSpPr>
          <a:spLocks noChangeAspect="1" noChangeArrowheads="1"/>
        </xdr:cNvSpPr>
      </xdr:nvSpPr>
      <xdr:spPr bwMode="auto">
        <a:xfrm>
          <a:off x="39300150" y="1359884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91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7030000}"/>
            </a:ext>
          </a:extLst>
        </xdr:cNvPr>
        <xdr:cNvSpPr>
          <a:spLocks noChangeAspect="1" noChangeArrowheads="1"/>
        </xdr:cNvSpPr>
      </xdr:nvSpPr>
      <xdr:spPr bwMode="auto">
        <a:xfrm>
          <a:off x="39300150" y="136283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92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8030000}"/>
            </a:ext>
          </a:extLst>
        </xdr:cNvPr>
        <xdr:cNvSpPr>
          <a:spLocks noChangeAspect="1" noChangeArrowheads="1"/>
        </xdr:cNvSpPr>
      </xdr:nvSpPr>
      <xdr:spPr bwMode="auto">
        <a:xfrm>
          <a:off x="39300150" y="136283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92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9030000}"/>
            </a:ext>
          </a:extLst>
        </xdr:cNvPr>
        <xdr:cNvSpPr>
          <a:spLocks noChangeAspect="1" noChangeArrowheads="1"/>
        </xdr:cNvSpPr>
      </xdr:nvSpPr>
      <xdr:spPr bwMode="auto">
        <a:xfrm>
          <a:off x="39300150" y="1365789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92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A030000}"/>
            </a:ext>
          </a:extLst>
        </xdr:cNvPr>
        <xdr:cNvSpPr>
          <a:spLocks noChangeAspect="1" noChangeArrowheads="1"/>
        </xdr:cNvSpPr>
      </xdr:nvSpPr>
      <xdr:spPr bwMode="auto">
        <a:xfrm>
          <a:off x="39300150" y="1365789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92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B030000}"/>
            </a:ext>
          </a:extLst>
        </xdr:cNvPr>
        <xdr:cNvSpPr>
          <a:spLocks noChangeAspect="1" noChangeArrowheads="1"/>
        </xdr:cNvSpPr>
      </xdr:nvSpPr>
      <xdr:spPr bwMode="auto">
        <a:xfrm>
          <a:off x="39300150" y="136874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92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C030000}"/>
            </a:ext>
          </a:extLst>
        </xdr:cNvPr>
        <xdr:cNvSpPr>
          <a:spLocks noChangeAspect="1" noChangeArrowheads="1"/>
        </xdr:cNvSpPr>
      </xdr:nvSpPr>
      <xdr:spPr bwMode="auto">
        <a:xfrm>
          <a:off x="39300150" y="136874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92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D030000}"/>
            </a:ext>
          </a:extLst>
        </xdr:cNvPr>
        <xdr:cNvSpPr>
          <a:spLocks noChangeAspect="1" noChangeArrowheads="1"/>
        </xdr:cNvSpPr>
      </xdr:nvSpPr>
      <xdr:spPr bwMode="auto">
        <a:xfrm>
          <a:off x="39300150" y="137169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92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E030000}"/>
            </a:ext>
          </a:extLst>
        </xdr:cNvPr>
        <xdr:cNvSpPr>
          <a:spLocks noChangeAspect="1" noChangeArrowheads="1"/>
        </xdr:cNvSpPr>
      </xdr:nvSpPr>
      <xdr:spPr bwMode="auto">
        <a:xfrm>
          <a:off x="39300150" y="137169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92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F030000}"/>
            </a:ext>
          </a:extLst>
        </xdr:cNvPr>
        <xdr:cNvSpPr>
          <a:spLocks noChangeAspect="1" noChangeArrowheads="1"/>
        </xdr:cNvSpPr>
      </xdr:nvSpPr>
      <xdr:spPr bwMode="auto">
        <a:xfrm>
          <a:off x="39300150" y="137464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92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0030000}"/>
            </a:ext>
          </a:extLst>
        </xdr:cNvPr>
        <xdr:cNvSpPr>
          <a:spLocks noChangeAspect="1" noChangeArrowheads="1"/>
        </xdr:cNvSpPr>
      </xdr:nvSpPr>
      <xdr:spPr bwMode="auto">
        <a:xfrm>
          <a:off x="39300150" y="137464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92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1030000}"/>
            </a:ext>
          </a:extLst>
        </xdr:cNvPr>
        <xdr:cNvSpPr>
          <a:spLocks noChangeAspect="1" noChangeArrowheads="1"/>
        </xdr:cNvSpPr>
      </xdr:nvSpPr>
      <xdr:spPr bwMode="auto">
        <a:xfrm>
          <a:off x="39300150" y="137760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93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2030000}"/>
            </a:ext>
          </a:extLst>
        </xdr:cNvPr>
        <xdr:cNvSpPr>
          <a:spLocks noChangeAspect="1" noChangeArrowheads="1"/>
        </xdr:cNvSpPr>
      </xdr:nvSpPr>
      <xdr:spPr bwMode="auto">
        <a:xfrm>
          <a:off x="39300150" y="137760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93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3030000}"/>
            </a:ext>
          </a:extLst>
        </xdr:cNvPr>
        <xdr:cNvSpPr>
          <a:spLocks noChangeAspect="1" noChangeArrowheads="1"/>
        </xdr:cNvSpPr>
      </xdr:nvSpPr>
      <xdr:spPr bwMode="auto">
        <a:xfrm>
          <a:off x="39300150" y="138055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93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4030000}"/>
            </a:ext>
          </a:extLst>
        </xdr:cNvPr>
        <xdr:cNvSpPr>
          <a:spLocks noChangeAspect="1" noChangeArrowheads="1"/>
        </xdr:cNvSpPr>
      </xdr:nvSpPr>
      <xdr:spPr bwMode="auto">
        <a:xfrm>
          <a:off x="39300150" y="138055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93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5030000}"/>
            </a:ext>
          </a:extLst>
        </xdr:cNvPr>
        <xdr:cNvSpPr>
          <a:spLocks noChangeAspect="1" noChangeArrowheads="1"/>
        </xdr:cNvSpPr>
      </xdr:nvSpPr>
      <xdr:spPr bwMode="auto">
        <a:xfrm>
          <a:off x="39300150" y="138350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93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6030000}"/>
            </a:ext>
          </a:extLst>
        </xdr:cNvPr>
        <xdr:cNvSpPr>
          <a:spLocks noChangeAspect="1" noChangeArrowheads="1"/>
        </xdr:cNvSpPr>
      </xdr:nvSpPr>
      <xdr:spPr bwMode="auto">
        <a:xfrm>
          <a:off x="39300150" y="138350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93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7030000}"/>
            </a:ext>
          </a:extLst>
        </xdr:cNvPr>
        <xdr:cNvSpPr>
          <a:spLocks noChangeAspect="1" noChangeArrowheads="1"/>
        </xdr:cNvSpPr>
      </xdr:nvSpPr>
      <xdr:spPr bwMode="auto">
        <a:xfrm>
          <a:off x="39300150" y="138645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93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8030000}"/>
            </a:ext>
          </a:extLst>
        </xdr:cNvPr>
        <xdr:cNvSpPr>
          <a:spLocks noChangeAspect="1" noChangeArrowheads="1"/>
        </xdr:cNvSpPr>
      </xdr:nvSpPr>
      <xdr:spPr bwMode="auto">
        <a:xfrm>
          <a:off x="39300150" y="138645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93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9030000}"/>
            </a:ext>
          </a:extLst>
        </xdr:cNvPr>
        <xdr:cNvSpPr>
          <a:spLocks noChangeAspect="1" noChangeArrowheads="1"/>
        </xdr:cNvSpPr>
      </xdr:nvSpPr>
      <xdr:spPr bwMode="auto">
        <a:xfrm>
          <a:off x="39300150" y="1389411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93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A030000}"/>
            </a:ext>
          </a:extLst>
        </xdr:cNvPr>
        <xdr:cNvSpPr>
          <a:spLocks noChangeAspect="1" noChangeArrowheads="1"/>
        </xdr:cNvSpPr>
      </xdr:nvSpPr>
      <xdr:spPr bwMode="auto">
        <a:xfrm>
          <a:off x="39300150" y="1389411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93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B030000}"/>
            </a:ext>
          </a:extLst>
        </xdr:cNvPr>
        <xdr:cNvSpPr>
          <a:spLocks noChangeAspect="1" noChangeArrowheads="1"/>
        </xdr:cNvSpPr>
      </xdr:nvSpPr>
      <xdr:spPr bwMode="auto">
        <a:xfrm>
          <a:off x="39300150" y="139236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94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C030000}"/>
            </a:ext>
          </a:extLst>
        </xdr:cNvPr>
        <xdr:cNvSpPr>
          <a:spLocks noChangeAspect="1" noChangeArrowheads="1"/>
        </xdr:cNvSpPr>
      </xdr:nvSpPr>
      <xdr:spPr bwMode="auto">
        <a:xfrm>
          <a:off x="39300150" y="139236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94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D030000}"/>
            </a:ext>
          </a:extLst>
        </xdr:cNvPr>
        <xdr:cNvSpPr>
          <a:spLocks noChangeAspect="1" noChangeArrowheads="1"/>
        </xdr:cNvSpPr>
      </xdr:nvSpPr>
      <xdr:spPr bwMode="auto">
        <a:xfrm>
          <a:off x="39300150" y="1395317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94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E030000}"/>
            </a:ext>
          </a:extLst>
        </xdr:cNvPr>
        <xdr:cNvSpPr>
          <a:spLocks noChangeAspect="1" noChangeArrowheads="1"/>
        </xdr:cNvSpPr>
      </xdr:nvSpPr>
      <xdr:spPr bwMode="auto">
        <a:xfrm>
          <a:off x="39300150" y="1395317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94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F030000}"/>
            </a:ext>
          </a:extLst>
        </xdr:cNvPr>
        <xdr:cNvSpPr>
          <a:spLocks noChangeAspect="1" noChangeArrowheads="1"/>
        </xdr:cNvSpPr>
      </xdr:nvSpPr>
      <xdr:spPr bwMode="auto">
        <a:xfrm>
          <a:off x="39300150" y="13982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94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0030000}"/>
            </a:ext>
          </a:extLst>
        </xdr:cNvPr>
        <xdr:cNvSpPr>
          <a:spLocks noChangeAspect="1" noChangeArrowheads="1"/>
        </xdr:cNvSpPr>
      </xdr:nvSpPr>
      <xdr:spPr bwMode="auto">
        <a:xfrm>
          <a:off x="39300150" y="13982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94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1030000}"/>
            </a:ext>
          </a:extLst>
        </xdr:cNvPr>
        <xdr:cNvSpPr>
          <a:spLocks noChangeAspect="1" noChangeArrowheads="1"/>
        </xdr:cNvSpPr>
      </xdr:nvSpPr>
      <xdr:spPr bwMode="auto">
        <a:xfrm>
          <a:off x="39300150" y="1401222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94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2030000}"/>
            </a:ext>
          </a:extLst>
        </xdr:cNvPr>
        <xdr:cNvSpPr>
          <a:spLocks noChangeAspect="1" noChangeArrowheads="1"/>
        </xdr:cNvSpPr>
      </xdr:nvSpPr>
      <xdr:spPr bwMode="auto">
        <a:xfrm>
          <a:off x="39300150" y="1401222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94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3030000}"/>
            </a:ext>
          </a:extLst>
        </xdr:cNvPr>
        <xdr:cNvSpPr>
          <a:spLocks noChangeAspect="1" noChangeArrowheads="1"/>
        </xdr:cNvSpPr>
      </xdr:nvSpPr>
      <xdr:spPr bwMode="auto">
        <a:xfrm>
          <a:off x="39300150" y="140417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94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4030000}"/>
            </a:ext>
          </a:extLst>
        </xdr:cNvPr>
        <xdr:cNvSpPr>
          <a:spLocks noChangeAspect="1" noChangeArrowheads="1"/>
        </xdr:cNvSpPr>
      </xdr:nvSpPr>
      <xdr:spPr bwMode="auto">
        <a:xfrm>
          <a:off x="39300150" y="140417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94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5030000}"/>
            </a:ext>
          </a:extLst>
        </xdr:cNvPr>
        <xdr:cNvSpPr>
          <a:spLocks noChangeAspect="1" noChangeArrowheads="1"/>
        </xdr:cNvSpPr>
      </xdr:nvSpPr>
      <xdr:spPr bwMode="auto">
        <a:xfrm>
          <a:off x="39300150" y="140712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95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6030000}"/>
            </a:ext>
          </a:extLst>
        </xdr:cNvPr>
        <xdr:cNvSpPr>
          <a:spLocks noChangeAspect="1" noChangeArrowheads="1"/>
        </xdr:cNvSpPr>
      </xdr:nvSpPr>
      <xdr:spPr bwMode="auto">
        <a:xfrm>
          <a:off x="39300150" y="140712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95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7030000}"/>
            </a:ext>
          </a:extLst>
        </xdr:cNvPr>
        <xdr:cNvSpPr>
          <a:spLocks noChangeAspect="1" noChangeArrowheads="1"/>
        </xdr:cNvSpPr>
      </xdr:nvSpPr>
      <xdr:spPr bwMode="auto">
        <a:xfrm>
          <a:off x="39300150" y="141008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95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8030000}"/>
            </a:ext>
          </a:extLst>
        </xdr:cNvPr>
        <xdr:cNvSpPr>
          <a:spLocks noChangeAspect="1" noChangeArrowheads="1"/>
        </xdr:cNvSpPr>
      </xdr:nvSpPr>
      <xdr:spPr bwMode="auto">
        <a:xfrm>
          <a:off x="39300150" y="141008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95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9030000}"/>
            </a:ext>
          </a:extLst>
        </xdr:cNvPr>
        <xdr:cNvSpPr>
          <a:spLocks noChangeAspect="1" noChangeArrowheads="1"/>
        </xdr:cNvSpPr>
      </xdr:nvSpPr>
      <xdr:spPr bwMode="auto">
        <a:xfrm>
          <a:off x="39300150" y="141303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95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A030000}"/>
            </a:ext>
          </a:extLst>
        </xdr:cNvPr>
        <xdr:cNvSpPr>
          <a:spLocks noChangeAspect="1" noChangeArrowheads="1"/>
        </xdr:cNvSpPr>
      </xdr:nvSpPr>
      <xdr:spPr bwMode="auto">
        <a:xfrm>
          <a:off x="39300150" y="141303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95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B030000}"/>
            </a:ext>
          </a:extLst>
        </xdr:cNvPr>
        <xdr:cNvSpPr>
          <a:spLocks noChangeAspect="1" noChangeArrowheads="1"/>
        </xdr:cNvSpPr>
      </xdr:nvSpPr>
      <xdr:spPr bwMode="auto">
        <a:xfrm>
          <a:off x="39300150" y="141598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95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C030000}"/>
            </a:ext>
          </a:extLst>
        </xdr:cNvPr>
        <xdr:cNvSpPr>
          <a:spLocks noChangeAspect="1" noChangeArrowheads="1"/>
        </xdr:cNvSpPr>
      </xdr:nvSpPr>
      <xdr:spPr bwMode="auto">
        <a:xfrm>
          <a:off x="39300150" y="141598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95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D030000}"/>
            </a:ext>
          </a:extLst>
        </xdr:cNvPr>
        <xdr:cNvSpPr>
          <a:spLocks noChangeAspect="1" noChangeArrowheads="1"/>
        </xdr:cNvSpPr>
      </xdr:nvSpPr>
      <xdr:spPr bwMode="auto">
        <a:xfrm>
          <a:off x="39300150" y="1418939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95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E030000}"/>
            </a:ext>
          </a:extLst>
        </xdr:cNvPr>
        <xdr:cNvSpPr>
          <a:spLocks noChangeAspect="1" noChangeArrowheads="1"/>
        </xdr:cNvSpPr>
      </xdr:nvSpPr>
      <xdr:spPr bwMode="auto">
        <a:xfrm>
          <a:off x="39300150" y="1418939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95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F030000}"/>
            </a:ext>
          </a:extLst>
        </xdr:cNvPr>
        <xdr:cNvSpPr>
          <a:spLocks noChangeAspect="1" noChangeArrowheads="1"/>
        </xdr:cNvSpPr>
      </xdr:nvSpPr>
      <xdr:spPr bwMode="auto">
        <a:xfrm>
          <a:off x="39300150" y="14218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96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0030000}"/>
            </a:ext>
          </a:extLst>
        </xdr:cNvPr>
        <xdr:cNvSpPr>
          <a:spLocks noChangeAspect="1" noChangeArrowheads="1"/>
        </xdr:cNvSpPr>
      </xdr:nvSpPr>
      <xdr:spPr bwMode="auto">
        <a:xfrm>
          <a:off x="39300150" y="14218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96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1030000}"/>
            </a:ext>
          </a:extLst>
        </xdr:cNvPr>
        <xdr:cNvSpPr>
          <a:spLocks noChangeAspect="1" noChangeArrowheads="1"/>
        </xdr:cNvSpPr>
      </xdr:nvSpPr>
      <xdr:spPr bwMode="auto">
        <a:xfrm>
          <a:off x="39300150" y="1424844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96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2030000}"/>
            </a:ext>
          </a:extLst>
        </xdr:cNvPr>
        <xdr:cNvSpPr>
          <a:spLocks noChangeAspect="1" noChangeArrowheads="1"/>
        </xdr:cNvSpPr>
      </xdr:nvSpPr>
      <xdr:spPr bwMode="auto">
        <a:xfrm>
          <a:off x="39300150" y="1424844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96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3030000}"/>
            </a:ext>
          </a:extLst>
        </xdr:cNvPr>
        <xdr:cNvSpPr>
          <a:spLocks noChangeAspect="1" noChangeArrowheads="1"/>
        </xdr:cNvSpPr>
      </xdr:nvSpPr>
      <xdr:spPr bwMode="auto">
        <a:xfrm>
          <a:off x="39300150" y="142779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96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4030000}"/>
            </a:ext>
          </a:extLst>
        </xdr:cNvPr>
        <xdr:cNvSpPr>
          <a:spLocks noChangeAspect="1" noChangeArrowheads="1"/>
        </xdr:cNvSpPr>
      </xdr:nvSpPr>
      <xdr:spPr bwMode="auto">
        <a:xfrm>
          <a:off x="39300150" y="142779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96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5030000}"/>
            </a:ext>
          </a:extLst>
        </xdr:cNvPr>
        <xdr:cNvSpPr>
          <a:spLocks noChangeAspect="1" noChangeArrowheads="1"/>
        </xdr:cNvSpPr>
      </xdr:nvSpPr>
      <xdr:spPr bwMode="auto">
        <a:xfrm>
          <a:off x="39300150" y="143075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96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6030000}"/>
            </a:ext>
          </a:extLst>
        </xdr:cNvPr>
        <xdr:cNvSpPr>
          <a:spLocks noChangeAspect="1" noChangeArrowheads="1"/>
        </xdr:cNvSpPr>
      </xdr:nvSpPr>
      <xdr:spPr bwMode="auto">
        <a:xfrm>
          <a:off x="39300150" y="143075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96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7030000}"/>
            </a:ext>
          </a:extLst>
        </xdr:cNvPr>
        <xdr:cNvSpPr>
          <a:spLocks noChangeAspect="1" noChangeArrowheads="1"/>
        </xdr:cNvSpPr>
      </xdr:nvSpPr>
      <xdr:spPr bwMode="auto">
        <a:xfrm>
          <a:off x="39300150" y="143370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96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8030000}"/>
            </a:ext>
          </a:extLst>
        </xdr:cNvPr>
        <xdr:cNvSpPr>
          <a:spLocks noChangeAspect="1" noChangeArrowheads="1"/>
        </xdr:cNvSpPr>
      </xdr:nvSpPr>
      <xdr:spPr bwMode="auto">
        <a:xfrm>
          <a:off x="39300150" y="143370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96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9030000}"/>
            </a:ext>
          </a:extLst>
        </xdr:cNvPr>
        <xdr:cNvSpPr>
          <a:spLocks noChangeAspect="1" noChangeArrowheads="1"/>
        </xdr:cNvSpPr>
      </xdr:nvSpPr>
      <xdr:spPr bwMode="auto">
        <a:xfrm>
          <a:off x="39300150" y="143665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97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A030000}"/>
            </a:ext>
          </a:extLst>
        </xdr:cNvPr>
        <xdr:cNvSpPr>
          <a:spLocks noChangeAspect="1" noChangeArrowheads="1"/>
        </xdr:cNvSpPr>
      </xdr:nvSpPr>
      <xdr:spPr bwMode="auto">
        <a:xfrm>
          <a:off x="39300150" y="143665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97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B030000}"/>
            </a:ext>
          </a:extLst>
        </xdr:cNvPr>
        <xdr:cNvSpPr>
          <a:spLocks noChangeAspect="1" noChangeArrowheads="1"/>
        </xdr:cNvSpPr>
      </xdr:nvSpPr>
      <xdr:spPr bwMode="auto">
        <a:xfrm>
          <a:off x="39300150" y="143960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97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C030000}"/>
            </a:ext>
          </a:extLst>
        </xdr:cNvPr>
        <xdr:cNvSpPr>
          <a:spLocks noChangeAspect="1" noChangeArrowheads="1"/>
        </xdr:cNvSpPr>
      </xdr:nvSpPr>
      <xdr:spPr bwMode="auto">
        <a:xfrm>
          <a:off x="39300150" y="143960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97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D030000}"/>
            </a:ext>
          </a:extLst>
        </xdr:cNvPr>
        <xdr:cNvSpPr>
          <a:spLocks noChangeAspect="1" noChangeArrowheads="1"/>
        </xdr:cNvSpPr>
      </xdr:nvSpPr>
      <xdr:spPr bwMode="auto">
        <a:xfrm>
          <a:off x="39300150" y="1442561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97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E030000}"/>
            </a:ext>
          </a:extLst>
        </xdr:cNvPr>
        <xdr:cNvSpPr>
          <a:spLocks noChangeAspect="1" noChangeArrowheads="1"/>
        </xdr:cNvSpPr>
      </xdr:nvSpPr>
      <xdr:spPr bwMode="auto">
        <a:xfrm>
          <a:off x="39300150" y="1442561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97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F030000}"/>
            </a:ext>
          </a:extLst>
        </xdr:cNvPr>
        <xdr:cNvSpPr>
          <a:spLocks noChangeAspect="1" noChangeArrowheads="1"/>
        </xdr:cNvSpPr>
      </xdr:nvSpPr>
      <xdr:spPr bwMode="auto">
        <a:xfrm>
          <a:off x="39300150" y="144551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97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0030000}"/>
            </a:ext>
          </a:extLst>
        </xdr:cNvPr>
        <xdr:cNvSpPr>
          <a:spLocks noChangeAspect="1" noChangeArrowheads="1"/>
        </xdr:cNvSpPr>
      </xdr:nvSpPr>
      <xdr:spPr bwMode="auto">
        <a:xfrm>
          <a:off x="39300150" y="144551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97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1030000}"/>
            </a:ext>
          </a:extLst>
        </xdr:cNvPr>
        <xdr:cNvSpPr>
          <a:spLocks noChangeAspect="1" noChangeArrowheads="1"/>
        </xdr:cNvSpPr>
      </xdr:nvSpPr>
      <xdr:spPr bwMode="auto">
        <a:xfrm>
          <a:off x="39300150" y="1448466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97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2030000}"/>
            </a:ext>
          </a:extLst>
        </xdr:cNvPr>
        <xdr:cNvSpPr>
          <a:spLocks noChangeAspect="1" noChangeArrowheads="1"/>
        </xdr:cNvSpPr>
      </xdr:nvSpPr>
      <xdr:spPr bwMode="auto">
        <a:xfrm>
          <a:off x="39300150" y="1448466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97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3030000}"/>
            </a:ext>
          </a:extLst>
        </xdr:cNvPr>
        <xdr:cNvSpPr>
          <a:spLocks noChangeAspect="1" noChangeArrowheads="1"/>
        </xdr:cNvSpPr>
      </xdr:nvSpPr>
      <xdr:spPr bwMode="auto">
        <a:xfrm>
          <a:off x="39300150" y="145141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98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4030000}"/>
            </a:ext>
          </a:extLst>
        </xdr:cNvPr>
        <xdr:cNvSpPr>
          <a:spLocks noChangeAspect="1" noChangeArrowheads="1"/>
        </xdr:cNvSpPr>
      </xdr:nvSpPr>
      <xdr:spPr bwMode="auto">
        <a:xfrm>
          <a:off x="39300150" y="145141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98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5030000}"/>
            </a:ext>
          </a:extLst>
        </xdr:cNvPr>
        <xdr:cNvSpPr>
          <a:spLocks noChangeAspect="1" noChangeArrowheads="1"/>
        </xdr:cNvSpPr>
      </xdr:nvSpPr>
      <xdr:spPr bwMode="auto">
        <a:xfrm>
          <a:off x="39300150" y="145437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98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6030000}"/>
            </a:ext>
          </a:extLst>
        </xdr:cNvPr>
        <xdr:cNvSpPr>
          <a:spLocks noChangeAspect="1" noChangeArrowheads="1"/>
        </xdr:cNvSpPr>
      </xdr:nvSpPr>
      <xdr:spPr bwMode="auto">
        <a:xfrm>
          <a:off x="39300150" y="145437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98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7030000}"/>
            </a:ext>
          </a:extLst>
        </xdr:cNvPr>
        <xdr:cNvSpPr>
          <a:spLocks noChangeAspect="1" noChangeArrowheads="1"/>
        </xdr:cNvSpPr>
      </xdr:nvSpPr>
      <xdr:spPr bwMode="auto">
        <a:xfrm>
          <a:off x="39300150" y="14573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98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8030000}"/>
            </a:ext>
          </a:extLst>
        </xdr:cNvPr>
        <xdr:cNvSpPr>
          <a:spLocks noChangeAspect="1" noChangeArrowheads="1"/>
        </xdr:cNvSpPr>
      </xdr:nvSpPr>
      <xdr:spPr bwMode="auto">
        <a:xfrm>
          <a:off x="39300150" y="14573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98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9030000}"/>
            </a:ext>
          </a:extLst>
        </xdr:cNvPr>
        <xdr:cNvSpPr>
          <a:spLocks noChangeAspect="1" noChangeArrowheads="1"/>
        </xdr:cNvSpPr>
      </xdr:nvSpPr>
      <xdr:spPr bwMode="auto">
        <a:xfrm>
          <a:off x="39300150" y="1460277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98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A030000}"/>
            </a:ext>
          </a:extLst>
        </xdr:cNvPr>
        <xdr:cNvSpPr>
          <a:spLocks noChangeAspect="1" noChangeArrowheads="1"/>
        </xdr:cNvSpPr>
      </xdr:nvSpPr>
      <xdr:spPr bwMode="auto">
        <a:xfrm>
          <a:off x="39300150" y="1460277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98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B030000}"/>
            </a:ext>
          </a:extLst>
        </xdr:cNvPr>
        <xdr:cNvSpPr>
          <a:spLocks noChangeAspect="1" noChangeArrowheads="1"/>
        </xdr:cNvSpPr>
      </xdr:nvSpPr>
      <xdr:spPr bwMode="auto">
        <a:xfrm>
          <a:off x="39300150" y="146323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98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C030000}"/>
            </a:ext>
          </a:extLst>
        </xdr:cNvPr>
        <xdr:cNvSpPr>
          <a:spLocks noChangeAspect="1" noChangeArrowheads="1"/>
        </xdr:cNvSpPr>
      </xdr:nvSpPr>
      <xdr:spPr bwMode="auto">
        <a:xfrm>
          <a:off x="39300150" y="146323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98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D030000}"/>
            </a:ext>
          </a:extLst>
        </xdr:cNvPr>
        <xdr:cNvSpPr>
          <a:spLocks noChangeAspect="1" noChangeArrowheads="1"/>
        </xdr:cNvSpPr>
      </xdr:nvSpPr>
      <xdr:spPr bwMode="auto">
        <a:xfrm>
          <a:off x="39300150" y="146618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99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E030000}"/>
            </a:ext>
          </a:extLst>
        </xdr:cNvPr>
        <xdr:cNvSpPr>
          <a:spLocks noChangeAspect="1" noChangeArrowheads="1"/>
        </xdr:cNvSpPr>
      </xdr:nvSpPr>
      <xdr:spPr bwMode="auto">
        <a:xfrm>
          <a:off x="39300150" y="146618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99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F030000}"/>
            </a:ext>
          </a:extLst>
        </xdr:cNvPr>
        <xdr:cNvSpPr>
          <a:spLocks noChangeAspect="1" noChangeArrowheads="1"/>
        </xdr:cNvSpPr>
      </xdr:nvSpPr>
      <xdr:spPr bwMode="auto">
        <a:xfrm>
          <a:off x="39300150" y="146913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99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0030000}"/>
            </a:ext>
          </a:extLst>
        </xdr:cNvPr>
        <xdr:cNvSpPr>
          <a:spLocks noChangeAspect="1" noChangeArrowheads="1"/>
        </xdr:cNvSpPr>
      </xdr:nvSpPr>
      <xdr:spPr bwMode="auto">
        <a:xfrm>
          <a:off x="39300150" y="146913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99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1030000}"/>
            </a:ext>
          </a:extLst>
        </xdr:cNvPr>
        <xdr:cNvSpPr>
          <a:spLocks noChangeAspect="1" noChangeArrowheads="1"/>
        </xdr:cNvSpPr>
      </xdr:nvSpPr>
      <xdr:spPr bwMode="auto">
        <a:xfrm>
          <a:off x="39300150" y="147208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99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2030000}"/>
            </a:ext>
          </a:extLst>
        </xdr:cNvPr>
        <xdr:cNvSpPr>
          <a:spLocks noChangeAspect="1" noChangeArrowheads="1"/>
        </xdr:cNvSpPr>
      </xdr:nvSpPr>
      <xdr:spPr bwMode="auto">
        <a:xfrm>
          <a:off x="39300150" y="147208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99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3030000}"/>
            </a:ext>
          </a:extLst>
        </xdr:cNvPr>
        <xdr:cNvSpPr>
          <a:spLocks noChangeAspect="1" noChangeArrowheads="1"/>
        </xdr:cNvSpPr>
      </xdr:nvSpPr>
      <xdr:spPr bwMode="auto">
        <a:xfrm>
          <a:off x="39300150" y="147504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99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4030000}"/>
            </a:ext>
          </a:extLst>
        </xdr:cNvPr>
        <xdr:cNvSpPr>
          <a:spLocks noChangeAspect="1" noChangeArrowheads="1"/>
        </xdr:cNvSpPr>
      </xdr:nvSpPr>
      <xdr:spPr bwMode="auto">
        <a:xfrm>
          <a:off x="39300150" y="147504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99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5030000}"/>
            </a:ext>
          </a:extLst>
        </xdr:cNvPr>
        <xdr:cNvSpPr>
          <a:spLocks noChangeAspect="1" noChangeArrowheads="1"/>
        </xdr:cNvSpPr>
      </xdr:nvSpPr>
      <xdr:spPr bwMode="auto">
        <a:xfrm>
          <a:off x="39300150" y="1477994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99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6030000}"/>
            </a:ext>
          </a:extLst>
        </xdr:cNvPr>
        <xdr:cNvSpPr>
          <a:spLocks noChangeAspect="1" noChangeArrowheads="1"/>
        </xdr:cNvSpPr>
      </xdr:nvSpPr>
      <xdr:spPr bwMode="auto">
        <a:xfrm>
          <a:off x="39300150" y="1477994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99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7030000}"/>
            </a:ext>
          </a:extLst>
        </xdr:cNvPr>
        <xdr:cNvSpPr>
          <a:spLocks noChangeAspect="1" noChangeArrowheads="1"/>
        </xdr:cNvSpPr>
      </xdr:nvSpPr>
      <xdr:spPr bwMode="auto">
        <a:xfrm>
          <a:off x="39300150" y="148094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00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8030000}"/>
            </a:ext>
          </a:extLst>
        </xdr:cNvPr>
        <xdr:cNvSpPr>
          <a:spLocks noChangeAspect="1" noChangeArrowheads="1"/>
        </xdr:cNvSpPr>
      </xdr:nvSpPr>
      <xdr:spPr bwMode="auto">
        <a:xfrm>
          <a:off x="39300150" y="148094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00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9030000}"/>
            </a:ext>
          </a:extLst>
        </xdr:cNvPr>
        <xdr:cNvSpPr>
          <a:spLocks noChangeAspect="1" noChangeArrowheads="1"/>
        </xdr:cNvSpPr>
      </xdr:nvSpPr>
      <xdr:spPr bwMode="auto">
        <a:xfrm>
          <a:off x="39300150" y="1483899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00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A030000}"/>
            </a:ext>
          </a:extLst>
        </xdr:cNvPr>
        <xdr:cNvSpPr>
          <a:spLocks noChangeAspect="1" noChangeArrowheads="1"/>
        </xdr:cNvSpPr>
      </xdr:nvSpPr>
      <xdr:spPr bwMode="auto">
        <a:xfrm>
          <a:off x="39300150" y="1483899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00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B030000}"/>
            </a:ext>
          </a:extLst>
        </xdr:cNvPr>
        <xdr:cNvSpPr>
          <a:spLocks noChangeAspect="1" noChangeArrowheads="1"/>
        </xdr:cNvSpPr>
      </xdr:nvSpPr>
      <xdr:spPr bwMode="auto">
        <a:xfrm>
          <a:off x="39300150" y="148685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00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C030000}"/>
            </a:ext>
          </a:extLst>
        </xdr:cNvPr>
        <xdr:cNvSpPr>
          <a:spLocks noChangeAspect="1" noChangeArrowheads="1"/>
        </xdr:cNvSpPr>
      </xdr:nvSpPr>
      <xdr:spPr bwMode="auto">
        <a:xfrm>
          <a:off x="39300150" y="148685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00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D030000}"/>
            </a:ext>
          </a:extLst>
        </xdr:cNvPr>
        <xdr:cNvSpPr>
          <a:spLocks noChangeAspect="1" noChangeArrowheads="1"/>
        </xdr:cNvSpPr>
      </xdr:nvSpPr>
      <xdr:spPr bwMode="auto">
        <a:xfrm>
          <a:off x="39300150" y="148980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00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E030000}"/>
            </a:ext>
          </a:extLst>
        </xdr:cNvPr>
        <xdr:cNvSpPr>
          <a:spLocks noChangeAspect="1" noChangeArrowheads="1"/>
        </xdr:cNvSpPr>
      </xdr:nvSpPr>
      <xdr:spPr bwMode="auto">
        <a:xfrm>
          <a:off x="39300150" y="148980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00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F030000}"/>
            </a:ext>
          </a:extLst>
        </xdr:cNvPr>
        <xdr:cNvSpPr>
          <a:spLocks noChangeAspect="1" noChangeArrowheads="1"/>
        </xdr:cNvSpPr>
      </xdr:nvSpPr>
      <xdr:spPr bwMode="auto">
        <a:xfrm>
          <a:off x="39300150" y="149275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00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0030000}"/>
            </a:ext>
          </a:extLst>
        </xdr:cNvPr>
        <xdr:cNvSpPr>
          <a:spLocks noChangeAspect="1" noChangeArrowheads="1"/>
        </xdr:cNvSpPr>
      </xdr:nvSpPr>
      <xdr:spPr bwMode="auto">
        <a:xfrm>
          <a:off x="39300150" y="149275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00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1030000}"/>
            </a:ext>
          </a:extLst>
        </xdr:cNvPr>
        <xdr:cNvSpPr>
          <a:spLocks noChangeAspect="1" noChangeArrowheads="1"/>
        </xdr:cNvSpPr>
      </xdr:nvSpPr>
      <xdr:spPr bwMode="auto">
        <a:xfrm>
          <a:off x="39300150" y="149571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01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2030000}"/>
            </a:ext>
          </a:extLst>
        </xdr:cNvPr>
        <xdr:cNvSpPr>
          <a:spLocks noChangeAspect="1" noChangeArrowheads="1"/>
        </xdr:cNvSpPr>
      </xdr:nvSpPr>
      <xdr:spPr bwMode="auto">
        <a:xfrm>
          <a:off x="39300150" y="149571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01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3030000}"/>
            </a:ext>
          </a:extLst>
        </xdr:cNvPr>
        <xdr:cNvSpPr>
          <a:spLocks noChangeAspect="1" noChangeArrowheads="1"/>
        </xdr:cNvSpPr>
      </xdr:nvSpPr>
      <xdr:spPr bwMode="auto">
        <a:xfrm>
          <a:off x="39300150" y="149866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01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4030000}"/>
            </a:ext>
          </a:extLst>
        </xdr:cNvPr>
        <xdr:cNvSpPr>
          <a:spLocks noChangeAspect="1" noChangeArrowheads="1"/>
        </xdr:cNvSpPr>
      </xdr:nvSpPr>
      <xdr:spPr bwMode="auto">
        <a:xfrm>
          <a:off x="39300150" y="149866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01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5030000}"/>
            </a:ext>
          </a:extLst>
        </xdr:cNvPr>
        <xdr:cNvSpPr>
          <a:spLocks noChangeAspect="1" noChangeArrowheads="1"/>
        </xdr:cNvSpPr>
      </xdr:nvSpPr>
      <xdr:spPr bwMode="auto">
        <a:xfrm>
          <a:off x="39300150" y="150161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01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6030000}"/>
            </a:ext>
          </a:extLst>
        </xdr:cNvPr>
        <xdr:cNvSpPr>
          <a:spLocks noChangeAspect="1" noChangeArrowheads="1"/>
        </xdr:cNvSpPr>
      </xdr:nvSpPr>
      <xdr:spPr bwMode="auto">
        <a:xfrm>
          <a:off x="39300150" y="150161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01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7030000}"/>
            </a:ext>
          </a:extLst>
        </xdr:cNvPr>
        <xdr:cNvSpPr>
          <a:spLocks noChangeAspect="1" noChangeArrowheads="1"/>
        </xdr:cNvSpPr>
      </xdr:nvSpPr>
      <xdr:spPr bwMode="auto">
        <a:xfrm>
          <a:off x="39300150" y="150456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01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8030000}"/>
            </a:ext>
          </a:extLst>
        </xdr:cNvPr>
        <xdr:cNvSpPr>
          <a:spLocks noChangeAspect="1" noChangeArrowheads="1"/>
        </xdr:cNvSpPr>
      </xdr:nvSpPr>
      <xdr:spPr bwMode="auto">
        <a:xfrm>
          <a:off x="39300150" y="150456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01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9030000}"/>
            </a:ext>
          </a:extLst>
        </xdr:cNvPr>
        <xdr:cNvSpPr>
          <a:spLocks noChangeAspect="1" noChangeArrowheads="1"/>
        </xdr:cNvSpPr>
      </xdr:nvSpPr>
      <xdr:spPr bwMode="auto">
        <a:xfrm>
          <a:off x="39300150" y="1507521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01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A030000}"/>
            </a:ext>
          </a:extLst>
        </xdr:cNvPr>
        <xdr:cNvSpPr>
          <a:spLocks noChangeAspect="1" noChangeArrowheads="1"/>
        </xdr:cNvSpPr>
      </xdr:nvSpPr>
      <xdr:spPr bwMode="auto">
        <a:xfrm>
          <a:off x="39300150" y="1507521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01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B030000}"/>
            </a:ext>
          </a:extLst>
        </xdr:cNvPr>
        <xdr:cNvSpPr>
          <a:spLocks noChangeAspect="1" noChangeArrowheads="1"/>
        </xdr:cNvSpPr>
      </xdr:nvSpPr>
      <xdr:spPr bwMode="auto">
        <a:xfrm>
          <a:off x="39300150" y="151047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02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C030000}"/>
            </a:ext>
          </a:extLst>
        </xdr:cNvPr>
        <xdr:cNvSpPr>
          <a:spLocks noChangeAspect="1" noChangeArrowheads="1"/>
        </xdr:cNvSpPr>
      </xdr:nvSpPr>
      <xdr:spPr bwMode="auto">
        <a:xfrm>
          <a:off x="39300150" y="151047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02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D030000}"/>
            </a:ext>
          </a:extLst>
        </xdr:cNvPr>
        <xdr:cNvSpPr>
          <a:spLocks noChangeAspect="1" noChangeArrowheads="1"/>
        </xdr:cNvSpPr>
      </xdr:nvSpPr>
      <xdr:spPr bwMode="auto">
        <a:xfrm>
          <a:off x="39300150" y="1513427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02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E030000}"/>
            </a:ext>
          </a:extLst>
        </xdr:cNvPr>
        <xdr:cNvSpPr>
          <a:spLocks noChangeAspect="1" noChangeArrowheads="1"/>
        </xdr:cNvSpPr>
      </xdr:nvSpPr>
      <xdr:spPr bwMode="auto">
        <a:xfrm>
          <a:off x="39300150" y="1513427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02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F030000}"/>
            </a:ext>
          </a:extLst>
        </xdr:cNvPr>
        <xdr:cNvSpPr>
          <a:spLocks noChangeAspect="1" noChangeArrowheads="1"/>
        </xdr:cNvSpPr>
      </xdr:nvSpPr>
      <xdr:spPr bwMode="auto">
        <a:xfrm>
          <a:off x="39300150" y="15163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02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0040000}"/>
            </a:ext>
          </a:extLst>
        </xdr:cNvPr>
        <xdr:cNvSpPr>
          <a:spLocks noChangeAspect="1" noChangeArrowheads="1"/>
        </xdr:cNvSpPr>
      </xdr:nvSpPr>
      <xdr:spPr bwMode="auto">
        <a:xfrm>
          <a:off x="39300150" y="15163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02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1040000}"/>
            </a:ext>
          </a:extLst>
        </xdr:cNvPr>
        <xdr:cNvSpPr>
          <a:spLocks noChangeAspect="1" noChangeArrowheads="1"/>
        </xdr:cNvSpPr>
      </xdr:nvSpPr>
      <xdr:spPr bwMode="auto">
        <a:xfrm>
          <a:off x="39300150" y="1519332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02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2040000}"/>
            </a:ext>
          </a:extLst>
        </xdr:cNvPr>
        <xdr:cNvSpPr>
          <a:spLocks noChangeAspect="1" noChangeArrowheads="1"/>
        </xdr:cNvSpPr>
      </xdr:nvSpPr>
      <xdr:spPr bwMode="auto">
        <a:xfrm>
          <a:off x="39300150" y="1519332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02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3040000}"/>
            </a:ext>
          </a:extLst>
        </xdr:cNvPr>
        <xdr:cNvSpPr>
          <a:spLocks noChangeAspect="1" noChangeArrowheads="1"/>
        </xdr:cNvSpPr>
      </xdr:nvSpPr>
      <xdr:spPr bwMode="auto">
        <a:xfrm>
          <a:off x="39300150" y="152228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02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4040000}"/>
            </a:ext>
          </a:extLst>
        </xdr:cNvPr>
        <xdr:cNvSpPr>
          <a:spLocks noChangeAspect="1" noChangeArrowheads="1"/>
        </xdr:cNvSpPr>
      </xdr:nvSpPr>
      <xdr:spPr bwMode="auto">
        <a:xfrm>
          <a:off x="39300150" y="152228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02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5040000}"/>
            </a:ext>
          </a:extLst>
        </xdr:cNvPr>
        <xdr:cNvSpPr>
          <a:spLocks noChangeAspect="1" noChangeArrowheads="1"/>
        </xdr:cNvSpPr>
      </xdr:nvSpPr>
      <xdr:spPr bwMode="auto">
        <a:xfrm>
          <a:off x="39300150" y="152523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03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6040000}"/>
            </a:ext>
          </a:extLst>
        </xdr:cNvPr>
        <xdr:cNvSpPr>
          <a:spLocks noChangeAspect="1" noChangeArrowheads="1"/>
        </xdr:cNvSpPr>
      </xdr:nvSpPr>
      <xdr:spPr bwMode="auto">
        <a:xfrm>
          <a:off x="39300150" y="152523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03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7040000}"/>
            </a:ext>
          </a:extLst>
        </xdr:cNvPr>
        <xdr:cNvSpPr>
          <a:spLocks noChangeAspect="1" noChangeArrowheads="1"/>
        </xdr:cNvSpPr>
      </xdr:nvSpPr>
      <xdr:spPr bwMode="auto">
        <a:xfrm>
          <a:off x="39300150" y="152819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03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8040000}"/>
            </a:ext>
          </a:extLst>
        </xdr:cNvPr>
        <xdr:cNvSpPr>
          <a:spLocks noChangeAspect="1" noChangeArrowheads="1"/>
        </xdr:cNvSpPr>
      </xdr:nvSpPr>
      <xdr:spPr bwMode="auto">
        <a:xfrm>
          <a:off x="39300150" y="152819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03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9040000}"/>
            </a:ext>
          </a:extLst>
        </xdr:cNvPr>
        <xdr:cNvSpPr>
          <a:spLocks noChangeAspect="1" noChangeArrowheads="1"/>
        </xdr:cNvSpPr>
      </xdr:nvSpPr>
      <xdr:spPr bwMode="auto">
        <a:xfrm>
          <a:off x="39300150" y="153114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03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A040000}"/>
            </a:ext>
          </a:extLst>
        </xdr:cNvPr>
        <xdr:cNvSpPr>
          <a:spLocks noChangeAspect="1" noChangeArrowheads="1"/>
        </xdr:cNvSpPr>
      </xdr:nvSpPr>
      <xdr:spPr bwMode="auto">
        <a:xfrm>
          <a:off x="39300150" y="153114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03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B040000}"/>
            </a:ext>
          </a:extLst>
        </xdr:cNvPr>
        <xdr:cNvSpPr>
          <a:spLocks noChangeAspect="1" noChangeArrowheads="1"/>
        </xdr:cNvSpPr>
      </xdr:nvSpPr>
      <xdr:spPr bwMode="auto">
        <a:xfrm>
          <a:off x="39300150" y="153409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03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C040000}"/>
            </a:ext>
          </a:extLst>
        </xdr:cNvPr>
        <xdr:cNvSpPr>
          <a:spLocks noChangeAspect="1" noChangeArrowheads="1"/>
        </xdr:cNvSpPr>
      </xdr:nvSpPr>
      <xdr:spPr bwMode="auto">
        <a:xfrm>
          <a:off x="39300150" y="153409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03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D040000}"/>
            </a:ext>
          </a:extLst>
        </xdr:cNvPr>
        <xdr:cNvSpPr>
          <a:spLocks noChangeAspect="1" noChangeArrowheads="1"/>
        </xdr:cNvSpPr>
      </xdr:nvSpPr>
      <xdr:spPr bwMode="auto">
        <a:xfrm>
          <a:off x="39300150" y="1537049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03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E040000}"/>
            </a:ext>
          </a:extLst>
        </xdr:cNvPr>
        <xdr:cNvSpPr>
          <a:spLocks noChangeAspect="1" noChangeArrowheads="1"/>
        </xdr:cNvSpPr>
      </xdr:nvSpPr>
      <xdr:spPr bwMode="auto">
        <a:xfrm>
          <a:off x="39300150" y="1537049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03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F040000}"/>
            </a:ext>
          </a:extLst>
        </xdr:cNvPr>
        <xdr:cNvSpPr>
          <a:spLocks noChangeAspect="1" noChangeArrowheads="1"/>
        </xdr:cNvSpPr>
      </xdr:nvSpPr>
      <xdr:spPr bwMode="auto">
        <a:xfrm>
          <a:off x="39300150" y="15400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04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0040000}"/>
            </a:ext>
          </a:extLst>
        </xdr:cNvPr>
        <xdr:cNvSpPr>
          <a:spLocks noChangeAspect="1" noChangeArrowheads="1"/>
        </xdr:cNvSpPr>
      </xdr:nvSpPr>
      <xdr:spPr bwMode="auto">
        <a:xfrm>
          <a:off x="39300150" y="15400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04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1040000}"/>
            </a:ext>
          </a:extLst>
        </xdr:cNvPr>
        <xdr:cNvSpPr>
          <a:spLocks noChangeAspect="1" noChangeArrowheads="1"/>
        </xdr:cNvSpPr>
      </xdr:nvSpPr>
      <xdr:spPr bwMode="auto">
        <a:xfrm>
          <a:off x="39300150" y="1542954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04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2040000}"/>
            </a:ext>
          </a:extLst>
        </xdr:cNvPr>
        <xdr:cNvSpPr>
          <a:spLocks noChangeAspect="1" noChangeArrowheads="1"/>
        </xdr:cNvSpPr>
      </xdr:nvSpPr>
      <xdr:spPr bwMode="auto">
        <a:xfrm>
          <a:off x="39300150" y="1542954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04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3040000}"/>
            </a:ext>
          </a:extLst>
        </xdr:cNvPr>
        <xdr:cNvSpPr>
          <a:spLocks noChangeAspect="1" noChangeArrowheads="1"/>
        </xdr:cNvSpPr>
      </xdr:nvSpPr>
      <xdr:spPr bwMode="auto">
        <a:xfrm>
          <a:off x="39300150" y="154590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04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4040000}"/>
            </a:ext>
          </a:extLst>
        </xdr:cNvPr>
        <xdr:cNvSpPr>
          <a:spLocks noChangeAspect="1" noChangeArrowheads="1"/>
        </xdr:cNvSpPr>
      </xdr:nvSpPr>
      <xdr:spPr bwMode="auto">
        <a:xfrm>
          <a:off x="39300150" y="154590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04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5040000}"/>
            </a:ext>
          </a:extLst>
        </xdr:cNvPr>
        <xdr:cNvSpPr>
          <a:spLocks noChangeAspect="1" noChangeArrowheads="1"/>
        </xdr:cNvSpPr>
      </xdr:nvSpPr>
      <xdr:spPr bwMode="auto">
        <a:xfrm>
          <a:off x="39300150" y="154886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04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6040000}"/>
            </a:ext>
          </a:extLst>
        </xdr:cNvPr>
        <xdr:cNvSpPr>
          <a:spLocks noChangeAspect="1" noChangeArrowheads="1"/>
        </xdr:cNvSpPr>
      </xdr:nvSpPr>
      <xdr:spPr bwMode="auto">
        <a:xfrm>
          <a:off x="39300150" y="154886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04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7040000}"/>
            </a:ext>
          </a:extLst>
        </xdr:cNvPr>
        <xdr:cNvSpPr>
          <a:spLocks noChangeAspect="1" noChangeArrowheads="1"/>
        </xdr:cNvSpPr>
      </xdr:nvSpPr>
      <xdr:spPr bwMode="auto">
        <a:xfrm>
          <a:off x="39300150" y="155181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04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8040000}"/>
            </a:ext>
          </a:extLst>
        </xdr:cNvPr>
        <xdr:cNvSpPr>
          <a:spLocks noChangeAspect="1" noChangeArrowheads="1"/>
        </xdr:cNvSpPr>
      </xdr:nvSpPr>
      <xdr:spPr bwMode="auto">
        <a:xfrm>
          <a:off x="39300150" y="155181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04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9040000}"/>
            </a:ext>
          </a:extLst>
        </xdr:cNvPr>
        <xdr:cNvSpPr>
          <a:spLocks noChangeAspect="1" noChangeArrowheads="1"/>
        </xdr:cNvSpPr>
      </xdr:nvSpPr>
      <xdr:spPr bwMode="auto">
        <a:xfrm>
          <a:off x="39300150" y="155476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05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A040000}"/>
            </a:ext>
          </a:extLst>
        </xdr:cNvPr>
        <xdr:cNvSpPr>
          <a:spLocks noChangeAspect="1" noChangeArrowheads="1"/>
        </xdr:cNvSpPr>
      </xdr:nvSpPr>
      <xdr:spPr bwMode="auto">
        <a:xfrm>
          <a:off x="39300150" y="155476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05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B040000}"/>
            </a:ext>
          </a:extLst>
        </xdr:cNvPr>
        <xdr:cNvSpPr>
          <a:spLocks noChangeAspect="1" noChangeArrowheads="1"/>
        </xdr:cNvSpPr>
      </xdr:nvSpPr>
      <xdr:spPr bwMode="auto">
        <a:xfrm>
          <a:off x="39300150" y="155771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05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C040000}"/>
            </a:ext>
          </a:extLst>
        </xdr:cNvPr>
        <xdr:cNvSpPr>
          <a:spLocks noChangeAspect="1" noChangeArrowheads="1"/>
        </xdr:cNvSpPr>
      </xdr:nvSpPr>
      <xdr:spPr bwMode="auto">
        <a:xfrm>
          <a:off x="39300150" y="155771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05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D040000}"/>
            </a:ext>
          </a:extLst>
        </xdr:cNvPr>
        <xdr:cNvSpPr>
          <a:spLocks noChangeAspect="1" noChangeArrowheads="1"/>
        </xdr:cNvSpPr>
      </xdr:nvSpPr>
      <xdr:spPr bwMode="auto">
        <a:xfrm>
          <a:off x="39300150" y="1560671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05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E040000}"/>
            </a:ext>
          </a:extLst>
        </xdr:cNvPr>
        <xdr:cNvSpPr>
          <a:spLocks noChangeAspect="1" noChangeArrowheads="1"/>
        </xdr:cNvSpPr>
      </xdr:nvSpPr>
      <xdr:spPr bwMode="auto">
        <a:xfrm>
          <a:off x="39300150" y="1560671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05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F040000}"/>
            </a:ext>
          </a:extLst>
        </xdr:cNvPr>
        <xdr:cNvSpPr>
          <a:spLocks noChangeAspect="1" noChangeArrowheads="1"/>
        </xdr:cNvSpPr>
      </xdr:nvSpPr>
      <xdr:spPr bwMode="auto">
        <a:xfrm>
          <a:off x="39300150" y="156362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05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0040000}"/>
            </a:ext>
          </a:extLst>
        </xdr:cNvPr>
        <xdr:cNvSpPr>
          <a:spLocks noChangeAspect="1" noChangeArrowheads="1"/>
        </xdr:cNvSpPr>
      </xdr:nvSpPr>
      <xdr:spPr bwMode="auto">
        <a:xfrm>
          <a:off x="39300150" y="156362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05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1040000}"/>
            </a:ext>
          </a:extLst>
        </xdr:cNvPr>
        <xdr:cNvSpPr>
          <a:spLocks noChangeAspect="1" noChangeArrowheads="1"/>
        </xdr:cNvSpPr>
      </xdr:nvSpPr>
      <xdr:spPr bwMode="auto">
        <a:xfrm>
          <a:off x="39300150" y="1566576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05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2040000}"/>
            </a:ext>
          </a:extLst>
        </xdr:cNvPr>
        <xdr:cNvSpPr>
          <a:spLocks noChangeAspect="1" noChangeArrowheads="1"/>
        </xdr:cNvSpPr>
      </xdr:nvSpPr>
      <xdr:spPr bwMode="auto">
        <a:xfrm>
          <a:off x="39300150" y="1566576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05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3040000}"/>
            </a:ext>
          </a:extLst>
        </xdr:cNvPr>
        <xdr:cNvSpPr>
          <a:spLocks noChangeAspect="1" noChangeArrowheads="1"/>
        </xdr:cNvSpPr>
      </xdr:nvSpPr>
      <xdr:spPr bwMode="auto">
        <a:xfrm>
          <a:off x="39300150" y="156952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06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4040000}"/>
            </a:ext>
          </a:extLst>
        </xdr:cNvPr>
        <xdr:cNvSpPr>
          <a:spLocks noChangeAspect="1" noChangeArrowheads="1"/>
        </xdr:cNvSpPr>
      </xdr:nvSpPr>
      <xdr:spPr bwMode="auto">
        <a:xfrm>
          <a:off x="39300150" y="156952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06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5040000}"/>
            </a:ext>
          </a:extLst>
        </xdr:cNvPr>
        <xdr:cNvSpPr>
          <a:spLocks noChangeAspect="1" noChangeArrowheads="1"/>
        </xdr:cNvSpPr>
      </xdr:nvSpPr>
      <xdr:spPr bwMode="auto">
        <a:xfrm>
          <a:off x="39300150" y="157248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06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6040000}"/>
            </a:ext>
          </a:extLst>
        </xdr:cNvPr>
        <xdr:cNvSpPr>
          <a:spLocks noChangeAspect="1" noChangeArrowheads="1"/>
        </xdr:cNvSpPr>
      </xdr:nvSpPr>
      <xdr:spPr bwMode="auto">
        <a:xfrm>
          <a:off x="39300150" y="157248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06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7040000}"/>
            </a:ext>
          </a:extLst>
        </xdr:cNvPr>
        <xdr:cNvSpPr>
          <a:spLocks noChangeAspect="1" noChangeArrowheads="1"/>
        </xdr:cNvSpPr>
      </xdr:nvSpPr>
      <xdr:spPr bwMode="auto">
        <a:xfrm>
          <a:off x="39300150" y="15754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06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8040000}"/>
            </a:ext>
          </a:extLst>
        </xdr:cNvPr>
        <xdr:cNvSpPr>
          <a:spLocks noChangeAspect="1" noChangeArrowheads="1"/>
        </xdr:cNvSpPr>
      </xdr:nvSpPr>
      <xdr:spPr bwMode="auto">
        <a:xfrm>
          <a:off x="39300150" y="15754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06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9040000}"/>
            </a:ext>
          </a:extLst>
        </xdr:cNvPr>
        <xdr:cNvSpPr>
          <a:spLocks noChangeAspect="1" noChangeArrowheads="1"/>
        </xdr:cNvSpPr>
      </xdr:nvSpPr>
      <xdr:spPr bwMode="auto">
        <a:xfrm>
          <a:off x="39300150" y="1578387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06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A040000}"/>
            </a:ext>
          </a:extLst>
        </xdr:cNvPr>
        <xdr:cNvSpPr>
          <a:spLocks noChangeAspect="1" noChangeArrowheads="1"/>
        </xdr:cNvSpPr>
      </xdr:nvSpPr>
      <xdr:spPr bwMode="auto">
        <a:xfrm>
          <a:off x="39300150" y="1578387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06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B040000}"/>
            </a:ext>
          </a:extLst>
        </xdr:cNvPr>
        <xdr:cNvSpPr>
          <a:spLocks noChangeAspect="1" noChangeArrowheads="1"/>
        </xdr:cNvSpPr>
      </xdr:nvSpPr>
      <xdr:spPr bwMode="auto">
        <a:xfrm>
          <a:off x="39300150" y="158134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06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C040000}"/>
            </a:ext>
          </a:extLst>
        </xdr:cNvPr>
        <xdr:cNvSpPr>
          <a:spLocks noChangeAspect="1" noChangeArrowheads="1"/>
        </xdr:cNvSpPr>
      </xdr:nvSpPr>
      <xdr:spPr bwMode="auto">
        <a:xfrm>
          <a:off x="39300150" y="158134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06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D040000}"/>
            </a:ext>
          </a:extLst>
        </xdr:cNvPr>
        <xdr:cNvSpPr>
          <a:spLocks noChangeAspect="1" noChangeArrowheads="1"/>
        </xdr:cNvSpPr>
      </xdr:nvSpPr>
      <xdr:spPr bwMode="auto">
        <a:xfrm>
          <a:off x="39300150" y="158429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07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E040000}"/>
            </a:ext>
          </a:extLst>
        </xdr:cNvPr>
        <xdr:cNvSpPr>
          <a:spLocks noChangeAspect="1" noChangeArrowheads="1"/>
        </xdr:cNvSpPr>
      </xdr:nvSpPr>
      <xdr:spPr bwMode="auto">
        <a:xfrm>
          <a:off x="39300150" y="158429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07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F040000}"/>
            </a:ext>
          </a:extLst>
        </xdr:cNvPr>
        <xdr:cNvSpPr>
          <a:spLocks noChangeAspect="1" noChangeArrowheads="1"/>
        </xdr:cNvSpPr>
      </xdr:nvSpPr>
      <xdr:spPr bwMode="auto">
        <a:xfrm>
          <a:off x="39300150" y="158724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07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0040000}"/>
            </a:ext>
          </a:extLst>
        </xdr:cNvPr>
        <xdr:cNvSpPr>
          <a:spLocks noChangeAspect="1" noChangeArrowheads="1"/>
        </xdr:cNvSpPr>
      </xdr:nvSpPr>
      <xdr:spPr bwMode="auto">
        <a:xfrm>
          <a:off x="39300150" y="158724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07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1040000}"/>
            </a:ext>
          </a:extLst>
        </xdr:cNvPr>
        <xdr:cNvSpPr>
          <a:spLocks noChangeAspect="1" noChangeArrowheads="1"/>
        </xdr:cNvSpPr>
      </xdr:nvSpPr>
      <xdr:spPr bwMode="auto">
        <a:xfrm>
          <a:off x="39300150" y="159019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07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2040000}"/>
            </a:ext>
          </a:extLst>
        </xdr:cNvPr>
        <xdr:cNvSpPr>
          <a:spLocks noChangeAspect="1" noChangeArrowheads="1"/>
        </xdr:cNvSpPr>
      </xdr:nvSpPr>
      <xdr:spPr bwMode="auto">
        <a:xfrm>
          <a:off x="39300150" y="159019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07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3040000}"/>
            </a:ext>
          </a:extLst>
        </xdr:cNvPr>
        <xdr:cNvSpPr>
          <a:spLocks noChangeAspect="1" noChangeArrowheads="1"/>
        </xdr:cNvSpPr>
      </xdr:nvSpPr>
      <xdr:spPr bwMode="auto">
        <a:xfrm>
          <a:off x="39300150" y="159315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07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4040000}"/>
            </a:ext>
          </a:extLst>
        </xdr:cNvPr>
        <xdr:cNvSpPr>
          <a:spLocks noChangeAspect="1" noChangeArrowheads="1"/>
        </xdr:cNvSpPr>
      </xdr:nvSpPr>
      <xdr:spPr bwMode="auto">
        <a:xfrm>
          <a:off x="39300150" y="159315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07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5040000}"/>
            </a:ext>
          </a:extLst>
        </xdr:cNvPr>
        <xdr:cNvSpPr>
          <a:spLocks noChangeAspect="1" noChangeArrowheads="1"/>
        </xdr:cNvSpPr>
      </xdr:nvSpPr>
      <xdr:spPr bwMode="auto">
        <a:xfrm>
          <a:off x="39300150" y="1596104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07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6040000}"/>
            </a:ext>
          </a:extLst>
        </xdr:cNvPr>
        <xdr:cNvSpPr>
          <a:spLocks noChangeAspect="1" noChangeArrowheads="1"/>
        </xdr:cNvSpPr>
      </xdr:nvSpPr>
      <xdr:spPr bwMode="auto">
        <a:xfrm>
          <a:off x="39300150" y="1596104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07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7040000}"/>
            </a:ext>
          </a:extLst>
        </xdr:cNvPr>
        <xdr:cNvSpPr>
          <a:spLocks noChangeAspect="1" noChangeArrowheads="1"/>
        </xdr:cNvSpPr>
      </xdr:nvSpPr>
      <xdr:spPr bwMode="auto">
        <a:xfrm>
          <a:off x="39300150" y="159905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08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8040000}"/>
            </a:ext>
          </a:extLst>
        </xdr:cNvPr>
        <xdr:cNvSpPr>
          <a:spLocks noChangeAspect="1" noChangeArrowheads="1"/>
        </xdr:cNvSpPr>
      </xdr:nvSpPr>
      <xdr:spPr bwMode="auto">
        <a:xfrm>
          <a:off x="39300150" y="159905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08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9040000}"/>
            </a:ext>
          </a:extLst>
        </xdr:cNvPr>
        <xdr:cNvSpPr>
          <a:spLocks noChangeAspect="1" noChangeArrowheads="1"/>
        </xdr:cNvSpPr>
      </xdr:nvSpPr>
      <xdr:spPr bwMode="auto">
        <a:xfrm>
          <a:off x="39300150" y="1602009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08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A040000}"/>
            </a:ext>
          </a:extLst>
        </xdr:cNvPr>
        <xdr:cNvSpPr>
          <a:spLocks noChangeAspect="1" noChangeArrowheads="1"/>
        </xdr:cNvSpPr>
      </xdr:nvSpPr>
      <xdr:spPr bwMode="auto">
        <a:xfrm>
          <a:off x="39300150" y="1602009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08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B040000}"/>
            </a:ext>
          </a:extLst>
        </xdr:cNvPr>
        <xdr:cNvSpPr>
          <a:spLocks noChangeAspect="1" noChangeArrowheads="1"/>
        </xdr:cNvSpPr>
      </xdr:nvSpPr>
      <xdr:spPr bwMode="auto">
        <a:xfrm>
          <a:off x="39300150" y="160496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08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C040000}"/>
            </a:ext>
          </a:extLst>
        </xdr:cNvPr>
        <xdr:cNvSpPr>
          <a:spLocks noChangeAspect="1" noChangeArrowheads="1"/>
        </xdr:cNvSpPr>
      </xdr:nvSpPr>
      <xdr:spPr bwMode="auto">
        <a:xfrm>
          <a:off x="39300150" y="160496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08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D040000}"/>
            </a:ext>
          </a:extLst>
        </xdr:cNvPr>
        <xdr:cNvSpPr>
          <a:spLocks noChangeAspect="1" noChangeArrowheads="1"/>
        </xdr:cNvSpPr>
      </xdr:nvSpPr>
      <xdr:spPr bwMode="auto">
        <a:xfrm>
          <a:off x="39300150" y="160791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08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E040000}"/>
            </a:ext>
          </a:extLst>
        </xdr:cNvPr>
        <xdr:cNvSpPr>
          <a:spLocks noChangeAspect="1" noChangeArrowheads="1"/>
        </xdr:cNvSpPr>
      </xdr:nvSpPr>
      <xdr:spPr bwMode="auto">
        <a:xfrm>
          <a:off x="39300150" y="160791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08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F040000}"/>
            </a:ext>
          </a:extLst>
        </xdr:cNvPr>
        <xdr:cNvSpPr>
          <a:spLocks noChangeAspect="1" noChangeArrowheads="1"/>
        </xdr:cNvSpPr>
      </xdr:nvSpPr>
      <xdr:spPr bwMode="auto">
        <a:xfrm>
          <a:off x="39300150" y="161086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08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0040000}"/>
            </a:ext>
          </a:extLst>
        </xdr:cNvPr>
        <xdr:cNvSpPr>
          <a:spLocks noChangeAspect="1" noChangeArrowheads="1"/>
        </xdr:cNvSpPr>
      </xdr:nvSpPr>
      <xdr:spPr bwMode="auto">
        <a:xfrm>
          <a:off x="39300150" y="161086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08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1040000}"/>
            </a:ext>
          </a:extLst>
        </xdr:cNvPr>
        <xdr:cNvSpPr>
          <a:spLocks noChangeAspect="1" noChangeArrowheads="1"/>
        </xdr:cNvSpPr>
      </xdr:nvSpPr>
      <xdr:spPr bwMode="auto">
        <a:xfrm>
          <a:off x="39300150" y="161382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09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2040000}"/>
            </a:ext>
          </a:extLst>
        </xdr:cNvPr>
        <xdr:cNvSpPr>
          <a:spLocks noChangeAspect="1" noChangeArrowheads="1"/>
        </xdr:cNvSpPr>
      </xdr:nvSpPr>
      <xdr:spPr bwMode="auto">
        <a:xfrm>
          <a:off x="39300150" y="161382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09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3040000}"/>
            </a:ext>
          </a:extLst>
        </xdr:cNvPr>
        <xdr:cNvSpPr>
          <a:spLocks noChangeAspect="1" noChangeArrowheads="1"/>
        </xdr:cNvSpPr>
      </xdr:nvSpPr>
      <xdr:spPr bwMode="auto">
        <a:xfrm>
          <a:off x="39300150" y="161677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09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4040000}"/>
            </a:ext>
          </a:extLst>
        </xdr:cNvPr>
        <xdr:cNvSpPr>
          <a:spLocks noChangeAspect="1" noChangeArrowheads="1"/>
        </xdr:cNvSpPr>
      </xdr:nvSpPr>
      <xdr:spPr bwMode="auto">
        <a:xfrm>
          <a:off x="39300150" y="161677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09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5040000}"/>
            </a:ext>
          </a:extLst>
        </xdr:cNvPr>
        <xdr:cNvSpPr>
          <a:spLocks noChangeAspect="1" noChangeArrowheads="1"/>
        </xdr:cNvSpPr>
      </xdr:nvSpPr>
      <xdr:spPr bwMode="auto">
        <a:xfrm>
          <a:off x="39300150" y="161972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09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6040000}"/>
            </a:ext>
          </a:extLst>
        </xdr:cNvPr>
        <xdr:cNvSpPr>
          <a:spLocks noChangeAspect="1" noChangeArrowheads="1"/>
        </xdr:cNvSpPr>
      </xdr:nvSpPr>
      <xdr:spPr bwMode="auto">
        <a:xfrm>
          <a:off x="39300150" y="161972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09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7040000}"/>
            </a:ext>
          </a:extLst>
        </xdr:cNvPr>
        <xdr:cNvSpPr>
          <a:spLocks noChangeAspect="1" noChangeArrowheads="1"/>
        </xdr:cNvSpPr>
      </xdr:nvSpPr>
      <xdr:spPr bwMode="auto">
        <a:xfrm>
          <a:off x="39300150" y="162267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09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8040000}"/>
            </a:ext>
          </a:extLst>
        </xdr:cNvPr>
        <xdr:cNvSpPr>
          <a:spLocks noChangeAspect="1" noChangeArrowheads="1"/>
        </xdr:cNvSpPr>
      </xdr:nvSpPr>
      <xdr:spPr bwMode="auto">
        <a:xfrm>
          <a:off x="39300150" y="162267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09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9040000}"/>
            </a:ext>
          </a:extLst>
        </xdr:cNvPr>
        <xdr:cNvSpPr>
          <a:spLocks noChangeAspect="1" noChangeArrowheads="1"/>
        </xdr:cNvSpPr>
      </xdr:nvSpPr>
      <xdr:spPr bwMode="auto">
        <a:xfrm>
          <a:off x="39300150" y="1625631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09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A040000}"/>
            </a:ext>
          </a:extLst>
        </xdr:cNvPr>
        <xdr:cNvSpPr>
          <a:spLocks noChangeAspect="1" noChangeArrowheads="1"/>
        </xdr:cNvSpPr>
      </xdr:nvSpPr>
      <xdr:spPr bwMode="auto">
        <a:xfrm>
          <a:off x="39300150" y="1625631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09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B040000}"/>
            </a:ext>
          </a:extLst>
        </xdr:cNvPr>
        <xdr:cNvSpPr>
          <a:spLocks noChangeAspect="1" noChangeArrowheads="1"/>
        </xdr:cNvSpPr>
      </xdr:nvSpPr>
      <xdr:spPr bwMode="auto">
        <a:xfrm>
          <a:off x="39300150" y="162858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10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C040000}"/>
            </a:ext>
          </a:extLst>
        </xdr:cNvPr>
        <xdr:cNvSpPr>
          <a:spLocks noChangeAspect="1" noChangeArrowheads="1"/>
        </xdr:cNvSpPr>
      </xdr:nvSpPr>
      <xdr:spPr bwMode="auto">
        <a:xfrm>
          <a:off x="39300150" y="162858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10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D040000}"/>
            </a:ext>
          </a:extLst>
        </xdr:cNvPr>
        <xdr:cNvSpPr>
          <a:spLocks noChangeAspect="1" noChangeArrowheads="1"/>
        </xdr:cNvSpPr>
      </xdr:nvSpPr>
      <xdr:spPr bwMode="auto">
        <a:xfrm>
          <a:off x="39300150" y="1631537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10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E040000}"/>
            </a:ext>
          </a:extLst>
        </xdr:cNvPr>
        <xdr:cNvSpPr>
          <a:spLocks noChangeAspect="1" noChangeArrowheads="1"/>
        </xdr:cNvSpPr>
      </xdr:nvSpPr>
      <xdr:spPr bwMode="auto">
        <a:xfrm>
          <a:off x="39300150" y="1631537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10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F040000}"/>
            </a:ext>
          </a:extLst>
        </xdr:cNvPr>
        <xdr:cNvSpPr>
          <a:spLocks noChangeAspect="1" noChangeArrowheads="1"/>
        </xdr:cNvSpPr>
      </xdr:nvSpPr>
      <xdr:spPr bwMode="auto">
        <a:xfrm>
          <a:off x="39300150" y="16344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10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0040000}"/>
            </a:ext>
          </a:extLst>
        </xdr:cNvPr>
        <xdr:cNvSpPr>
          <a:spLocks noChangeAspect="1" noChangeArrowheads="1"/>
        </xdr:cNvSpPr>
      </xdr:nvSpPr>
      <xdr:spPr bwMode="auto">
        <a:xfrm>
          <a:off x="39300150" y="16344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10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1040000}"/>
            </a:ext>
          </a:extLst>
        </xdr:cNvPr>
        <xdr:cNvSpPr>
          <a:spLocks noChangeAspect="1" noChangeArrowheads="1"/>
        </xdr:cNvSpPr>
      </xdr:nvSpPr>
      <xdr:spPr bwMode="auto">
        <a:xfrm>
          <a:off x="39300150" y="1637442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10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2040000}"/>
            </a:ext>
          </a:extLst>
        </xdr:cNvPr>
        <xdr:cNvSpPr>
          <a:spLocks noChangeAspect="1" noChangeArrowheads="1"/>
        </xdr:cNvSpPr>
      </xdr:nvSpPr>
      <xdr:spPr bwMode="auto">
        <a:xfrm>
          <a:off x="39300150" y="1637442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10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3040000}"/>
            </a:ext>
          </a:extLst>
        </xdr:cNvPr>
        <xdr:cNvSpPr>
          <a:spLocks noChangeAspect="1" noChangeArrowheads="1"/>
        </xdr:cNvSpPr>
      </xdr:nvSpPr>
      <xdr:spPr bwMode="auto">
        <a:xfrm>
          <a:off x="39300150" y="164039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10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4040000}"/>
            </a:ext>
          </a:extLst>
        </xdr:cNvPr>
        <xdr:cNvSpPr>
          <a:spLocks noChangeAspect="1" noChangeArrowheads="1"/>
        </xdr:cNvSpPr>
      </xdr:nvSpPr>
      <xdr:spPr bwMode="auto">
        <a:xfrm>
          <a:off x="39300150" y="164039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10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5040000}"/>
            </a:ext>
          </a:extLst>
        </xdr:cNvPr>
        <xdr:cNvSpPr>
          <a:spLocks noChangeAspect="1" noChangeArrowheads="1"/>
        </xdr:cNvSpPr>
      </xdr:nvSpPr>
      <xdr:spPr bwMode="auto">
        <a:xfrm>
          <a:off x="39300150" y="164334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11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6040000}"/>
            </a:ext>
          </a:extLst>
        </xdr:cNvPr>
        <xdr:cNvSpPr>
          <a:spLocks noChangeAspect="1" noChangeArrowheads="1"/>
        </xdr:cNvSpPr>
      </xdr:nvSpPr>
      <xdr:spPr bwMode="auto">
        <a:xfrm>
          <a:off x="39300150" y="164334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11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7040000}"/>
            </a:ext>
          </a:extLst>
        </xdr:cNvPr>
        <xdr:cNvSpPr>
          <a:spLocks noChangeAspect="1" noChangeArrowheads="1"/>
        </xdr:cNvSpPr>
      </xdr:nvSpPr>
      <xdr:spPr bwMode="auto">
        <a:xfrm>
          <a:off x="39300150" y="164630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11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8040000}"/>
            </a:ext>
          </a:extLst>
        </xdr:cNvPr>
        <xdr:cNvSpPr>
          <a:spLocks noChangeAspect="1" noChangeArrowheads="1"/>
        </xdr:cNvSpPr>
      </xdr:nvSpPr>
      <xdr:spPr bwMode="auto">
        <a:xfrm>
          <a:off x="39300150" y="164630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11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9040000}"/>
            </a:ext>
          </a:extLst>
        </xdr:cNvPr>
        <xdr:cNvSpPr>
          <a:spLocks noChangeAspect="1" noChangeArrowheads="1"/>
        </xdr:cNvSpPr>
      </xdr:nvSpPr>
      <xdr:spPr bwMode="auto">
        <a:xfrm>
          <a:off x="39300150" y="164925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11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A040000}"/>
            </a:ext>
          </a:extLst>
        </xdr:cNvPr>
        <xdr:cNvSpPr>
          <a:spLocks noChangeAspect="1" noChangeArrowheads="1"/>
        </xdr:cNvSpPr>
      </xdr:nvSpPr>
      <xdr:spPr bwMode="auto">
        <a:xfrm>
          <a:off x="39300150" y="164925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11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B040000}"/>
            </a:ext>
          </a:extLst>
        </xdr:cNvPr>
        <xdr:cNvSpPr>
          <a:spLocks noChangeAspect="1" noChangeArrowheads="1"/>
        </xdr:cNvSpPr>
      </xdr:nvSpPr>
      <xdr:spPr bwMode="auto">
        <a:xfrm>
          <a:off x="39300150" y="165220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11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C040000}"/>
            </a:ext>
          </a:extLst>
        </xdr:cNvPr>
        <xdr:cNvSpPr>
          <a:spLocks noChangeAspect="1" noChangeArrowheads="1"/>
        </xdr:cNvSpPr>
      </xdr:nvSpPr>
      <xdr:spPr bwMode="auto">
        <a:xfrm>
          <a:off x="39300150" y="165220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11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D040000}"/>
            </a:ext>
          </a:extLst>
        </xdr:cNvPr>
        <xdr:cNvSpPr>
          <a:spLocks noChangeAspect="1" noChangeArrowheads="1"/>
        </xdr:cNvSpPr>
      </xdr:nvSpPr>
      <xdr:spPr bwMode="auto">
        <a:xfrm>
          <a:off x="39300150" y="1655159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11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E040000}"/>
            </a:ext>
          </a:extLst>
        </xdr:cNvPr>
        <xdr:cNvSpPr>
          <a:spLocks noChangeAspect="1" noChangeArrowheads="1"/>
        </xdr:cNvSpPr>
      </xdr:nvSpPr>
      <xdr:spPr bwMode="auto">
        <a:xfrm>
          <a:off x="39300150" y="1655159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11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F040000}"/>
            </a:ext>
          </a:extLst>
        </xdr:cNvPr>
        <xdr:cNvSpPr>
          <a:spLocks noChangeAspect="1" noChangeArrowheads="1"/>
        </xdr:cNvSpPr>
      </xdr:nvSpPr>
      <xdr:spPr bwMode="auto">
        <a:xfrm>
          <a:off x="39300150" y="165811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12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0040000}"/>
            </a:ext>
          </a:extLst>
        </xdr:cNvPr>
        <xdr:cNvSpPr>
          <a:spLocks noChangeAspect="1" noChangeArrowheads="1"/>
        </xdr:cNvSpPr>
      </xdr:nvSpPr>
      <xdr:spPr bwMode="auto">
        <a:xfrm>
          <a:off x="39300150" y="165811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12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1040000}"/>
            </a:ext>
          </a:extLst>
        </xdr:cNvPr>
        <xdr:cNvSpPr>
          <a:spLocks noChangeAspect="1" noChangeArrowheads="1"/>
        </xdr:cNvSpPr>
      </xdr:nvSpPr>
      <xdr:spPr bwMode="auto">
        <a:xfrm>
          <a:off x="39300150" y="1661064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12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2040000}"/>
            </a:ext>
          </a:extLst>
        </xdr:cNvPr>
        <xdr:cNvSpPr>
          <a:spLocks noChangeAspect="1" noChangeArrowheads="1"/>
        </xdr:cNvSpPr>
      </xdr:nvSpPr>
      <xdr:spPr bwMode="auto">
        <a:xfrm>
          <a:off x="39300150" y="1661064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12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3040000}"/>
            </a:ext>
          </a:extLst>
        </xdr:cNvPr>
        <xdr:cNvSpPr>
          <a:spLocks noChangeAspect="1" noChangeArrowheads="1"/>
        </xdr:cNvSpPr>
      </xdr:nvSpPr>
      <xdr:spPr bwMode="auto">
        <a:xfrm>
          <a:off x="39300150" y="166401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12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4040000}"/>
            </a:ext>
          </a:extLst>
        </xdr:cNvPr>
        <xdr:cNvSpPr>
          <a:spLocks noChangeAspect="1" noChangeArrowheads="1"/>
        </xdr:cNvSpPr>
      </xdr:nvSpPr>
      <xdr:spPr bwMode="auto">
        <a:xfrm>
          <a:off x="39300150" y="166401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12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5040000}"/>
            </a:ext>
          </a:extLst>
        </xdr:cNvPr>
        <xdr:cNvSpPr>
          <a:spLocks noChangeAspect="1" noChangeArrowheads="1"/>
        </xdr:cNvSpPr>
      </xdr:nvSpPr>
      <xdr:spPr bwMode="auto">
        <a:xfrm>
          <a:off x="39300150" y="166697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12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6040000}"/>
            </a:ext>
          </a:extLst>
        </xdr:cNvPr>
        <xdr:cNvSpPr>
          <a:spLocks noChangeAspect="1" noChangeArrowheads="1"/>
        </xdr:cNvSpPr>
      </xdr:nvSpPr>
      <xdr:spPr bwMode="auto">
        <a:xfrm>
          <a:off x="39300150" y="166697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12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7040000}"/>
            </a:ext>
          </a:extLst>
        </xdr:cNvPr>
        <xdr:cNvSpPr>
          <a:spLocks noChangeAspect="1" noChangeArrowheads="1"/>
        </xdr:cNvSpPr>
      </xdr:nvSpPr>
      <xdr:spPr bwMode="auto">
        <a:xfrm>
          <a:off x="39300150" y="166992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12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8040000}"/>
            </a:ext>
          </a:extLst>
        </xdr:cNvPr>
        <xdr:cNvSpPr>
          <a:spLocks noChangeAspect="1" noChangeArrowheads="1"/>
        </xdr:cNvSpPr>
      </xdr:nvSpPr>
      <xdr:spPr bwMode="auto">
        <a:xfrm>
          <a:off x="39300150" y="166992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12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9040000}"/>
            </a:ext>
          </a:extLst>
        </xdr:cNvPr>
        <xdr:cNvSpPr>
          <a:spLocks noChangeAspect="1" noChangeArrowheads="1"/>
        </xdr:cNvSpPr>
      </xdr:nvSpPr>
      <xdr:spPr bwMode="auto">
        <a:xfrm>
          <a:off x="39300150" y="167287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13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A040000}"/>
            </a:ext>
          </a:extLst>
        </xdr:cNvPr>
        <xdr:cNvSpPr>
          <a:spLocks noChangeAspect="1" noChangeArrowheads="1"/>
        </xdr:cNvSpPr>
      </xdr:nvSpPr>
      <xdr:spPr bwMode="auto">
        <a:xfrm>
          <a:off x="39300150" y="167287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13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B040000}"/>
            </a:ext>
          </a:extLst>
        </xdr:cNvPr>
        <xdr:cNvSpPr>
          <a:spLocks noChangeAspect="1" noChangeArrowheads="1"/>
        </xdr:cNvSpPr>
      </xdr:nvSpPr>
      <xdr:spPr bwMode="auto">
        <a:xfrm>
          <a:off x="39300150" y="167582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13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C040000}"/>
            </a:ext>
          </a:extLst>
        </xdr:cNvPr>
        <xdr:cNvSpPr>
          <a:spLocks noChangeAspect="1" noChangeArrowheads="1"/>
        </xdr:cNvSpPr>
      </xdr:nvSpPr>
      <xdr:spPr bwMode="auto">
        <a:xfrm>
          <a:off x="39300150" y="167582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13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D040000}"/>
            </a:ext>
          </a:extLst>
        </xdr:cNvPr>
        <xdr:cNvSpPr>
          <a:spLocks noChangeAspect="1" noChangeArrowheads="1"/>
        </xdr:cNvSpPr>
      </xdr:nvSpPr>
      <xdr:spPr bwMode="auto">
        <a:xfrm>
          <a:off x="39300150" y="1678781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13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E040000}"/>
            </a:ext>
          </a:extLst>
        </xdr:cNvPr>
        <xdr:cNvSpPr>
          <a:spLocks noChangeAspect="1" noChangeArrowheads="1"/>
        </xdr:cNvSpPr>
      </xdr:nvSpPr>
      <xdr:spPr bwMode="auto">
        <a:xfrm>
          <a:off x="39300150" y="1678781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13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F040000}"/>
            </a:ext>
          </a:extLst>
        </xdr:cNvPr>
        <xdr:cNvSpPr>
          <a:spLocks noChangeAspect="1" noChangeArrowheads="1"/>
        </xdr:cNvSpPr>
      </xdr:nvSpPr>
      <xdr:spPr bwMode="auto">
        <a:xfrm>
          <a:off x="39300150" y="168173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13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0040000}"/>
            </a:ext>
          </a:extLst>
        </xdr:cNvPr>
        <xdr:cNvSpPr>
          <a:spLocks noChangeAspect="1" noChangeArrowheads="1"/>
        </xdr:cNvSpPr>
      </xdr:nvSpPr>
      <xdr:spPr bwMode="auto">
        <a:xfrm>
          <a:off x="39300150" y="168173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13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1040000}"/>
            </a:ext>
          </a:extLst>
        </xdr:cNvPr>
        <xdr:cNvSpPr>
          <a:spLocks noChangeAspect="1" noChangeArrowheads="1"/>
        </xdr:cNvSpPr>
      </xdr:nvSpPr>
      <xdr:spPr bwMode="auto">
        <a:xfrm>
          <a:off x="39300150" y="1684686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13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2040000}"/>
            </a:ext>
          </a:extLst>
        </xdr:cNvPr>
        <xdr:cNvSpPr>
          <a:spLocks noChangeAspect="1" noChangeArrowheads="1"/>
        </xdr:cNvSpPr>
      </xdr:nvSpPr>
      <xdr:spPr bwMode="auto">
        <a:xfrm>
          <a:off x="39300150" y="1684686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13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3040000}"/>
            </a:ext>
          </a:extLst>
        </xdr:cNvPr>
        <xdr:cNvSpPr>
          <a:spLocks noChangeAspect="1" noChangeArrowheads="1"/>
        </xdr:cNvSpPr>
      </xdr:nvSpPr>
      <xdr:spPr bwMode="auto">
        <a:xfrm>
          <a:off x="39300150" y="168763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14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4040000}"/>
            </a:ext>
          </a:extLst>
        </xdr:cNvPr>
        <xdr:cNvSpPr>
          <a:spLocks noChangeAspect="1" noChangeArrowheads="1"/>
        </xdr:cNvSpPr>
      </xdr:nvSpPr>
      <xdr:spPr bwMode="auto">
        <a:xfrm>
          <a:off x="39300150" y="168763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14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5040000}"/>
            </a:ext>
          </a:extLst>
        </xdr:cNvPr>
        <xdr:cNvSpPr>
          <a:spLocks noChangeAspect="1" noChangeArrowheads="1"/>
        </xdr:cNvSpPr>
      </xdr:nvSpPr>
      <xdr:spPr bwMode="auto">
        <a:xfrm>
          <a:off x="39300150" y="169059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14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6040000}"/>
            </a:ext>
          </a:extLst>
        </xdr:cNvPr>
        <xdr:cNvSpPr>
          <a:spLocks noChangeAspect="1" noChangeArrowheads="1"/>
        </xdr:cNvSpPr>
      </xdr:nvSpPr>
      <xdr:spPr bwMode="auto">
        <a:xfrm>
          <a:off x="39300150" y="169059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14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7040000}"/>
            </a:ext>
          </a:extLst>
        </xdr:cNvPr>
        <xdr:cNvSpPr>
          <a:spLocks noChangeAspect="1" noChangeArrowheads="1"/>
        </xdr:cNvSpPr>
      </xdr:nvSpPr>
      <xdr:spPr bwMode="auto">
        <a:xfrm>
          <a:off x="39300150" y="169354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14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8040000}"/>
            </a:ext>
          </a:extLst>
        </xdr:cNvPr>
        <xdr:cNvSpPr>
          <a:spLocks noChangeAspect="1" noChangeArrowheads="1"/>
        </xdr:cNvSpPr>
      </xdr:nvSpPr>
      <xdr:spPr bwMode="auto">
        <a:xfrm>
          <a:off x="39300150" y="169354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14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9040000}"/>
            </a:ext>
          </a:extLst>
        </xdr:cNvPr>
        <xdr:cNvSpPr>
          <a:spLocks noChangeAspect="1" noChangeArrowheads="1"/>
        </xdr:cNvSpPr>
      </xdr:nvSpPr>
      <xdr:spPr bwMode="auto">
        <a:xfrm>
          <a:off x="39300150" y="1696497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14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A040000}"/>
            </a:ext>
          </a:extLst>
        </xdr:cNvPr>
        <xdr:cNvSpPr>
          <a:spLocks noChangeAspect="1" noChangeArrowheads="1"/>
        </xdr:cNvSpPr>
      </xdr:nvSpPr>
      <xdr:spPr bwMode="auto">
        <a:xfrm>
          <a:off x="39300150" y="1696497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14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B040000}"/>
            </a:ext>
          </a:extLst>
        </xdr:cNvPr>
        <xdr:cNvSpPr>
          <a:spLocks noChangeAspect="1" noChangeArrowheads="1"/>
        </xdr:cNvSpPr>
      </xdr:nvSpPr>
      <xdr:spPr bwMode="auto">
        <a:xfrm>
          <a:off x="39300150" y="169945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14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C040000}"/>
            </a:ext>
          </a:extLst>
        </xdr:cNvPr>
        <xdr:cNvSpPr>
          <a:spLocks noChangeAspect="1" noChangeArrowheads="1"/>
        </xdr:cNvSpPr>
      </xdr:nvSpPr>
      <xdr:spPr bwMode="auto">
        <a:xfrm>
          <a:off x="39300150" y="169945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14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D040000}"/>
            </a:ext>
          </a:extLst>
        </xdr:cNvPr>
        <xdr:cNvSpPr>
          <a:spLocks noChangeAspect="1" noChangeArrowheads="1"/>
        </xdr:cNvSpPr>
      </xdr:nvSpPr>
      <xdr:spPr bwMode="auto">
        <a:xfrm>
          <a:off x="39300150" y="170240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15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E040000}"/>
            </a:ext>
          </a:extLst>
        </xdr:cNvPr>
        <xdr:cNvSpPr>
          <a:spLocks noChangeAspect="1" noChangeArrowheads="1"/>
        </xdr:cNvSpPr>
      </xdr:nvSpPr>
      <xdr:spPr bwMode="auto">
        <a:xfrm>
          <a:off x="39300150" y="170240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15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F040000}"/>
            </a:ext>
          </a:extLst>
        </xdr:cNvPr>
        <xdr:cNvSpPr>
          <a:spLocks noChangeAspect="1" noChangeArrowheads="1"/>
        </xdr:cNvSpPr>
      </xdr:nvSpPr>
      <xdr:spPr bwMode="auto">
        <a:xfrm>
          <a:off x="39300150" y="170535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15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0040000}"/>
            </a:ext>
          </a:extLst>
        </xdr:cNvPr>
        <xdr:cNvSpPr>
          <a:spLocks noChangeAspect="1" noChangeArrowheads="1"/>
        </xdr:cNvSpPr>
      </xdr:nvSpPr>
      <xdr:spPr bwMode="auto">
        <a:xfrm>
          <a:off x="39300150" y="170535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15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1040000}"/>
            </a:ext>
          </a:extLst>
        </xdr:cNvPr>
        <xdr:cNvSpPr>
          <a:spLocks noChangeAspect="1" noChangeArrowheads="1"/>
        </xdr:cNvSpPr>
      </xdr:nvSpPr>
      <xdr:spPr bwMode="auto">
        <a:xfrm>
          <a:off x="39300150" y="170830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15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2040000}"/>
            </a:ext>
          </a:extLst>
        </xdr:cNvPr>
        <xdr:cNvSpPr>
          <a:spLocks noChangeAspect="1" noChangeArrowheads="1"/>
        </xdr:cNvSpPr>
      </xdr:nvSpPr>
      <xdr:spPr bwMode="auto">
        <a:xfrm>
          <a:off x="39300150" y="170830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15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3040000}"/>
            </a:ext>
          </a:extLst>
        </xdr:cNvPr>
        <xdr:cNvSpPr>
          <a:spLocks noChangeAspect="1" noChangeArrowheads="1"/>
        </xdr:cNvSpPr>
      </xdr:nvSpPr>
      <xdr:spPr bwMode="auto">
        <a:xfrm>
          <a:off x="39300150" y="171126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15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4040000}"/>
            </a:ext>
          </a:extLst>
        </xdr:cNvPr>
        <xdr:cNvSpPr>
          <a:spLocks noChangeAspect="1" noChangeArrowheads="1"/>
        </xdr:cNvSpPr>
      </xdr:nvSpPr>
      <xdr:spPr bwMode="auto">
        <a:xfrm>
          <a:off x="39300150" y="171126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15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5040000}"/>
            </a:ext>
          </a:extLst>
        </xdr:cNvPr>
        <xdr:cNvSpPr>
          <a:spLocks noChangeAspect="1" noChangeArrowheads="1"/>
        </xdr:cNvSpPr>
      </xdr:nvSpPr>
      <xdr:spPr bwMode="auto">
        <a:xfrm>
          <a:off x="39300150" y="1714214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15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6040000}"/>
            </a:ext>
          </a:extLst>
        </xdr:cNvPr>
        <xdr:cNvSpPr>
          <a:spLocks noChangeAspect="1" noChangeArrowheads="1"/>
        </xdr:cNvSpPr>
      </xdr:nvSpPr>
      <xdr:spPr bwMode="auto">
        <a:xfrm>
          <a:off x="39300150" y="1714214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15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7040000}"/>
            </a:ext>
          </a:extLst>
        </xdr:cNvPr>
        <xdr:cNvSpPr>
          <a:spLocks noChangeAspect="1" noChangeArrowheads="1"/>
        </xdr:cNvSpPr>
      </xdr:nvSpPr>
      <xdr:spPr bwMode="auto">
        <a:xfrm>
          <a:off x="39300150" y="171716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16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8040000}"/>
            </a:ext>
          </a:extLst>
        </xdr:cNvPr>
        <xdr:cNvSpPr>
          <a:spLocks noChangeAspect="1" noChangeArrowheads="1"/>
        </xdr:cNvSpPr>
      </xdr:nvSpPr>
      <xdr:spPr bwMode="auto">
        <a:xfrm>
          <a:off x="39300150" y="171716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16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9040000}"/>
            </a:ext>
          </a:extLst>
        </xdr:cNvPr>
        <xdr:cNvSpPr>
          <a:spLocks noChangeAspect="1" noChangeArrowheads="1"/>
        </xdr:cNvSpPr>
      </xdr:nvSpPr>
      <xdr:spPr bwMode="auto">
        <a:xfrm>
          <a:off x="39300150" y="1720119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16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A040000}"/>
            </a:ext>
          </a:extLst>
        </xdr:cNvPr>
        <xdr:cNvSpPr>
          <a:spLocks noChangeAspect="1" noChangeArrowheads="1"/>
        </xdr:cNvSpPr>
      </xdr:nvSpPr>
      <xdr:spPr bwMode="auto">
        <a:xfrm>
          <a:off x="39300150" y="1720119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16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B040000}"/>
            </a:ext>
          </a:extLst>
        </xdr:cNvPr>
        <xdr:cNvSpPr>
          <a:spLocks noChangeAspect="1" noChangeArrowheads="1"/>
        </xdr:cNvSpPr>
      </xdr:nvSpPr>
      <xdr:spPr bwMode="auto">
        <a:xfrm>
          <a:off x="39300150" y="172307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16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C040000}"/>
            </a:ext>
          </a:extLst>
        </xdr:cNvPr>
        <xdr:cNvSpPr>
          <a:spLocks noChangeAspect="1" noChangeArrowheads="1"/>
        </xdr:cNvSpPr>
      </xdr:nvSpPr>
      <xdr:spPr bwMode="auto">
        <a:xfrm>
          <a:off x="39300150" y="172307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16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D040000}"/>
            </a:ext>
          </a:extLst>
        </xdr:cNvPr>
        <xdr:cNvSpPr>
          <a:spLocks noChangeAspect="1" noChangeArrowheads="1"/>
        </xdr:cNvSpPr>
      </xdr:nvSpPr>
      <xdr:spPr bwMode="auto">
        <a:xfrm>
          <a:off x="39300150" y="172602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16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E040000}"/>
            </a:ext>
          </a:extLst>
        </xdr:cNvPr>
        <xdr:cNvSpPr>
          <a:spLocks noChangeAspect="1" noChangeArrowheads="1"/>
        </xdr:cNvSpPr>
      </xdr:nvSpPr>
      <xdr:spPr bwMode="auto">
        <a:xfrm>
          <a:off x="39300150" y="172602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16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F040000}"/>
            </a:ext>
          </a:extLst>
        </xdr:cNvPr>
        <xdr:cNvSpPr>
          <a:spLocks noChangeAspect="1" noChangeArrowheads="1"/>
        </xdr:cNvSpPr>
      </xdr:nvSpPr>
      <xdr:spPr bwMode="auto">
        <a:xfrm>
          <a:off x="39300150" y="172897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16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0040000}"/>
            </a:ext>
          </a:extLst>
        </xdr:cNvPr>
        <xdr:cNvSpPr>
          <a:spLocks noChangeAspect="1" noChangeArrowheads="1"/>
        </xdr:cNvSpPr>
      </xdr:nvSpPr>
      <xdr:spPr bwMode="auto">
        <a:xfrm>
          <a:off x="39300150" y="172897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16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1040000}"/>
            </a:ext>
          </a:extLst>
        </xdr:cNvPr>
        <xdr:cNvSpPr>
          <a:spLocks noChangeAspect="1" noChangeArrowheads="1"/>
        </xdr:cNvSpPr>
      </xdr:nvSpPr>
      <xdr:spPr bwMode="auto">
        <a:xfrm>
          <a:off x="39300150" y="173193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17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2040000}"/>
            </a:ext>
          </a:extLst>
        </xdr:cNvPr>
        <xdr:cNvSpPr>
          <a:spLocks noChangeAspect="1" noChangeArrowheads="1"/>
        </xdr:cNvSpPr>
      </xdr:nvSpPr>
      <xdr:spPr bwMode="auto">
        <a:xfrm>
          <a:off x="39300150" y="173193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17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3040000}"/>
            </a:ext>
          </a:extLst>
        </xdr:cNvPr>
        <xdr:cNvSpPr>
          <a:spLocks noChangeAspect="1" noChangeArrowheads="1"/>
        </xdr:cNvSpPr>
      </xdr:nvSpPr>
      <xdr:spPr bwMode="auto">
        <a:xfrm>
          <a:off x="39300150" y="173488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17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4040000}"/>
            </a:ext>
          </a:extLst>
        </xdr:cNvPr>
        <xdr:cNvSpPr>
          <a:spLocks noChangeAspect="1" noChangeArrowheads="1"/>
        </xdr:cNvSpPr>
      </xdr:nvSpPr>
      <xdr:spPr bwMode="auto">
        <a:xfrm>
          <a:off x="39300150" y="173488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17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5040000}"/>
            </a:ext>
          </a:extLst>
        </xdr:cNvPr>
        <xdr:cNvSpPr>
          <a:spLocks noChangeAspect="1" noChangeArrowheads="1"/>
        </xdr:cNvSpPr>
      </xdr:nvSpPr>
      <xdr:spPr bwMode="auto">
        <a:xfrm>
          <a:off x="39300150" y="173783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17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6040000}"/>
            </a:ext>
          </a:extLst>
        </xdr:cNvPr>
        <xdr:cNvSpPr>
          <a:spLocks noChangeAspect="1" noChangeArrowheads="1"/>
        </xdr:cNvSpPr>
      </xdr:nvSpPr>
      <xdr:spPr bwMode="auto">
        <a:xfrm>
          <a:off x="39300150" y="173783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17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7040000}"/>
            </a:ext>
          </a:extLst>
        </xdr:cNvPr>
        <xdr:cNvSpPr>
          <a:spLocks noChangeAspect="1" noChangeArrowheads="1"/>
        </xdr:cNvSpPr>
      </xdr:nvSpPr>
      <xdr:spPr bwMode="auto">
        <a:xfrm>
          <a:off x="39300150" y="174078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17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8040000}"/>
            </a:ext>
          </a:extLst>
        </xdr:cNvPr>
        <xdr:cNvSpPr>
          <a:spLocks noChangeAspect="1" noChangeArrowheads="1"/>
        </xdr:cNvSpPr>
      </xdr:nvSpPr>
      <xdr:spPr bwMode="auto">
        <a:xfrm>
          <a:off x="39300150" y="174078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17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9040000}"/>
            </a:ext>
          </a:extLst>
        </xdr:cNvPr>
        <xdr:cNvSpPr>
          <a:spLocks noChangeAspect="1" noChangeArrowheads="1"/>
        </xdr:cNvSpPr>
      </xdr:nvSpPr>
      <xdr:spPr bwMode="auto">
        <a:xfrm>
          <a:off x="39300150" y="1743741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17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A040000}"/>
            </a:ext>
          </a:extLst>
        </xdr:cNvPr>
        <xdr:cNvSpPr>
          <a:spLocks noChangeAspect="1" noChangeArrowheads="1"/>
        </xdr:cNvSpPr>
      </xdr:nvSpPr>
      <xdr:spPr bwMode="auto">
        <a:xfrm>
          <a:off x="39300150" y="1743741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17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B040000}"/>
            </a:ext>
          </a:extLst>
        </xdr:cNvPr>
        <xdr:cNvSpPr>
          <a:spLocks noChangeAspect="1" noChangeArrowheads="1"/>
        </xdr:cNvSpPr>
      </xdr:nvSpPr>
      <xdr:spPr bwMode="auto">
        <a:xfrm>
          <a:off x="39300150" y="174669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18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C040000}"/>
            </a:ext>
          </a:extLst>
        </xdr:cNvPr>
        <xdr:cNvSpPr>
          <a:spLocks noChangeAspect="1" noChangeArrowheads="1"/>
        </xdr:cNvSpPr>
      </xdr:nvSpPr>
      <xdr:spPr bwMode="auto">
        <a:xfrm>
          <a:off x="39300150" y="174669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18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D040000}"/>
            </a:ext>
          </a:extLst>
        </xdr:cNvPr>
        <xdr:cNvSpPr>
          <a:spLocks noChangeAspect="1" noChangeArrowheads="1"/>
        </xdr:cNvSpPr>
      </xdr:nvSpPr>
      <xdr:spPr bwMode="auto">
        <a:xfrm>
          <a:off x="39300150" y="1749647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18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E040000}"/>
            </a:ext>
          </a:extLst>
        </xdr:cNvPr>
        <xdr:cNvSpPr>
          <a:spLocks noChangeAspect="1" noChangeArrowheads="1"/>
        </xdr:cNvSpPr>
      </xdr:nvSpPr>
      <xdr:spPr bwMode="auto">
        <a:xfrm>
          <a:off x="39300150" y="1749647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18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F040000}"/>
            </a:ext>
          </a:extLst>
        </xdr:cNvPr>
        <xdr:cNvSpPr>
          <a:spLocks noChangeAspect="1" noChangeArrowheads="1"/>
        </xdr:cNvSpPr>
      </xdr:nvSpPr>
      <xdr:spPr bwMode="auto">
        <a:xfrm>
          <a:off x="39300150" y="17526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18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0040000}"/>
            </a:ext>
          </a:extLst>
        </xdr:cNvPr>
        <xdr:cNvSpPr>
          <a:spLocks noChangeAspect="1" noChangeArrowheads="1"/>
        </xdr:cNvSpPr>
      </xdr:nvSpPr>
      <xdr:spPr bwMode="auto">
        <a:xfrm>
          <a:off x="39300150" y="17526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18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1040000}"/>
            </a:ext>
          </a:extLst>
        </xdr:cNvPr>
        <xdr:cNvSpPr>
          <a:spLocks noChangeAspect="1" noChangeArrowheads="1"/>
        </xdr:cNvSpPr>
      </xdr:nvSpPr>
      <xdr:spPr bwMode="auto">
        <a:xfrm>
          <a:off x="39300150" y="1755552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18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2040000}"/>
            </a:ext>
          </a:extLst>
        </xdr:cNvPr>
        <xdr:cNvSpPr>
          <a:spLocks noChangeAspect="1" noChangeArrowheads="1"/>
        </xdr:cNvSpPr>
      </xdr:nvSpPr>
      <xdr:spPr bwMode="auto">
        <a:xfrm>
          <a:off x="39300150" y="1755552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18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3040000}"/>
            </a:ext>
          </a:extLst>
        </xdr:cNvPr>
        <xdr:cNvSpPr>
          <a:spLocks noChangeAspect="1" noChangeArrowheads="1"/>
        </xdr:cNvSpPr>
      </xdr:nvSpPr>
      <xdr:spPr bwMode="auto">
        <a:xfrm>
          <a:off x="39300150" y="175850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18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4040000}"/>
            </a:ext>
          </a:extLst>
        </xdr:cNvPr>
        <xdr:cNvSpPr>
          <a:spLocks noChangeAspect="1" noChangeArrowheads="1"/>
        </xdr:cNvSpPr>
      </xdr:nvSpPr>
      <xdr:spPr bwMode="auto">
        <a:xfrm>
          <a:off x="39300150" y="175850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18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5040000}"/>
            </a:ext>
          </a:extLst>
        </xdr:cNvPr>
        <xdr:cNvSpPr>
          <a:spLocks noChangeAspect="1" noChangeArrowheads="1"/>
        </xdr:cNvSpPr>
      </xdr:nvSpPr>
      <xdr:spPr bwMode="auto">
        <a:xfrm>
          <a:off x="39300150" y="176145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19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6040000}"/>
            </a:ext>
          </a:extLst>
        </xdr:cNvPr>
        <xdr:cNvSpPr>
          <a:spLocks noChangeAspect="1" noChangeArrowheads="1"/>
        </xdr:cNvSpPr>
      </xdr:nvSpPr>
      <xdr:spPr bwMode="auto">
        <a:xfrm>
          <a:off x="39300150" y="176145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19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7040000}"/>
            </a:ext>
          </a:extLst>
        </xdr:cNvPr>
        <xdr:cNvSpPr>
          <a:spLocks noChangeAspect="1" noChangeArrowheads="1"/>
        </xdr:cNvSpPr>
      </xdr:nvSpPr>
      <xdr:spPr bwMode="auto">
        <a:xfrm>
          <a:off x="39300150" y="176441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19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8040000}"/>
            </a:ext>
          </a:extLst>
        </xdr:cNvPr>
        <xdr:cNvSpPr>
          <a:spLocks noChangeAspect="1" noChangeArrowheads="1"/>
        </xdr:cNvSpPr>
      </xdr:nvSpPr>
      <xdr:spPr bwMode="auto">
        <a:xfrm>
          <a:off x="39300150" y="176441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19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9040000}"/>
            </a:ext>
          </a:extLst>
        </xdr:cNvPr>
        <xdr:cNvSpPr>
          <a:spLocks noChangeAspect="1" noChangeArrowheads="1"/>
        </xdr:cNvSpPr>
      </xdr:nvSpPr>
      <xdr:spPr bwMode="auto">
        <a:xfrm>
          <a:off x="39300150" y="176736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19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A040000}"/>
            </a:ext>
          </a:extLst>
        </xdr:cNvPr>
        <xdr:cNvSpPr>
          <a:spLocks noChangeAspect="1" noChangeArrowheads="1"/>
        </xdr:cNvSpPr>
      </xdr:nvSpPr>
      <xdr:spPr bwMode="auto">
        <a:xfrm>
          <a:off x="39300150" y="176736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19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B040000}"/>
            </a:ext>
          </a:extLst>
        </xdr:cNvPr>
        <xdr:cNvSpPr>
          <a:spLocks noChangeAspect="1" noChangeArrowheads="1"/>
        </xdr:cNvSpPr>
      </xdr:nvSpPr>
      <xdr:spPr bwMode="auto">
        <a:xfrm>
          <a:off x="39300150" y="177031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19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C040000}"/>
            </a:ext>
          </a:extLst>
        </xdr:cNvPr>
        <xdr:cNvSpPr>
          <a:spLocks noChangeAspect="1" noChangeArrowheads="1"/>
        </xdr:cNvSpPr>
      </xdr:nvSpPr>
      <xdr:spPr bwMode="auto">
        <a:xfrm>
          <a:off x="39300150" y="177031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19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D040000}"/>
            </a:ext>
          </a:extLst>
        </xdr:cNvPr>
        <xdr:cNvSpPr>
          <a:spLocks noChangeAspect="1" noChangeArrowheads="1"/>
        </xdr:cNvSpPr>
      </xdr:nvSpPr>
      <xdr:spPr bwMode="auto">
        <a:xfrm>
          <a:off x="39300150" y="1773269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19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E040000}"/>
            </a:ext>
          </a:extLst>
        </xdr:cNvPr>
        <xdr:cNvSpPr>
          <a:spLocks noChangeAspect="1" noChangeArrowheads="1"/>
        </xdr:cNvSpPr>
      </xdr:nvSpPr>
      <xdr:spPr bwMode="auto">
        <a:xfrm>
          <a:off x="39300150" y="1773269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19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F040000}"/>
            </a:ext>
          </a:extLst>
        </xdr:cNvPr>
        <xdr:cNvSpPr>
          <a:spLocks noChangeAspect="1" noChangeArrowheads="1"/>
        </xdr:cNvSpPr>
      </xdr:nvSpPr>
      <xdr:spPr bwMode="auto">
        <a:xfrm>
          <a:off x="39300150" y="177622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20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0040000}"/>
            </a:ext>
          </a:extLst>
        </xdr:cNvPr>
        <xdr:cNvSpPr>
          <a:spLocks noChangeAspect="1" noChangeArrowheads="1"/>
        </xdr:cNvSpPr>
      </xdr:nvSpPr>
      <xdr:spPr bwMode="auto">
        <a:xfrm>
          <a:off x="39300150" y="177622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20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1040000}"/>
            </a:ext>
          </a:extLst>
        </xdr:cNvPr>
        <xdr:cNvSpPr>
          <a:spLocks noChangeAspect="1" noChangeArrowheads="1"/>
        </xdr:cNvSpPr>
      </xdr:nvSpPr>
      <xdr:spPr bwMode="auto">
        <a:xfrm>
          <a:off x="39300150" y="1779174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20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2040000}"/>
            </a:ext>
          </a:extLst>
        </xdr:cNvPr>
        <xdr:cNvSpPr>
          <a:spLocks noChangeAspect="1" noChangeArrowheads="1"/>
        </xdr:cNvSpPr>
      </xdr:nvSpPr>
      <xdr:spPr bwMode="auto">
        <a:xfrm>
          <a:off x="39300150" y="1779174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20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3040000}"/>
            </a:ext>
          </a:extLst>
        </xdr:cNvPr>
        <xdr:cNvSpPr>
          <a:spLocks noChangeAspect="1" noChangeArrowheads="1"/>
        </xdr:cNvSpPr>
      </xdr:nvSpPr>
      <xdr:spPr bwMode="auto">
        <a:xfrm>
          <a:off x="39300150" y="178212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20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4040000}"/>
            </a:ext>
          </a:extLst>
        </xdr:cNvPr>
        <xdr:cNvSpPr>
          <a:spLocks noChangeAspect="1" noChangeArrowheads="1"/>
        </xdr:cNvSpPr>
      </xdr:nvSpPr>
      <xdr:spPr bwMode="auto">
        <a:xfrm>
          <a:off x="39300150" y="178212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20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5040000}"/>
            </a:ext>
          </a:extLst>
        </xdr:cNvPr>
        <xdr:cNvSpPr>
          <a:spLocks noChangeAspect="1" noChangeArrowheads="1"/>
        </xdr:cNvSpPr>
      </xdr:nvSpPr>
      <xdr:spPr bwMode="auto">
        <a:xfrm>
          <a:off x="39300150" y="178508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20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6040000}"/>
            </a:ext>
          </a:extLst>
        </xdr:cNvPr>
        <xdr:cNvSpPr>
          <a:spLocks noChangeAspect="1" noChangeArrowheads="1"/>
        </xdr:cNvSpPr>
      </xdr:nvSpPr>
      <xdr:spPr bwMode="auto">
        <a:xfrm>
          <a:off x="39300150" y="178508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20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7040000}"/>
            </a:ext>
          </a:extLst>
        </xdr:cNvPr>
        <xdr:cNvSpPr>
          <a:spLocks noChangeAspect="1" noChangeArrowheads="1"/>
        </xdr:cNvSpPr>
      </xdr:nvSpPr>
      <xdr:spPr bwMode="auto">
        <a:xfrm>
          <a:off x="39300150" y="178803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20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8040000}"/>
            </a:ext>
          </a:extLst>
        </xdr:cNvPr>
        <xdr:cNvSpPr>
          <a:spLocks noChangeAspect="1" noChangeArrowheads="1"/>
        </xdr:cNvSpPr>
      </xdr:nvSpPr>
      <xdr:spPr bwMode="auto">
        <a:xfrm>
          <a:off x="39300150" y="178803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20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9040000}"/>
            </a:ext>
          </a:extLst>
        </xdr:cNvPr>
        <xdr:cNvSpPr>
          <a:spLocks noChangeAspect="1" noChangeArrowheads="1"/>
        </xdr:cNvSpPr>
      </xdr:nvSpPr>
      <xdr:spPr bwMode="auto">
        <a:xfrm>
          <a:off x="39300150" y="179098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21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A040000}"/>
            </a:ext>
          </a:extLst>
        </xdr:cNvPr>
        <xdr:cNvSpPr>
          <a:spLocks noChangeAspect="1" noChangeArrowheads="1"/>
        </xdr:cNvSpPr>
      </xdr:nvSpPr>
      <xdr:spPr bwMode="auto">
        <a:xfrm>
          <a:off x="39300150" y="179098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21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B040000}"/>
            </a:ext>
          </a:extLst>
        </xdr:cNvPr>
        <xdr:cNvSpPr>
          <a:spLocks noChangeAspect="1" noChangeArrowheads="1"/>
        </xdr:cNvSpPr>
      </xdr:nvSpPr>
      <xdr:spPr bwMode="auto">
        <a:xfrm>
          <a:off x="39300150" y="179393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21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C040000}"/>
            </a:ext>
          </a:extLst>
        </xdr:cNvPr>
        <xdr:cNvSpPr>
          <a:spLocks noChangeAspect="1" noChangeArrowheads="1"/>
        </xdr:cNvSpPr>
      </xdr:nvSpPr>
      <xdr:spPr bwMode="auto">
        <a:xfrm>
          <a:off x="39300150" y="179393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21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D040000}"/>
            </a:ext>
          </a:extLst>
        </xdr:cNvPr>
        <xdr:cNvSpPr>
          <a:spLocks noChangeAspect="1" noChangeArrowheads="1"/>
        </xdr:cNvSpPr>
      </xdr:nvSpPr>
      <xdr:spPr bwMode="auto">
        <a:xfrm>
          <a:off x="39300150" y="1796891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21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E040000}"/>
            </a:ext>
          </a:extLst>
        </xdr:cNvPr>
        <xdr:cNvSpPr>
          <a:spLocks noChangeAspect="1" noChangeArrowheads="1"/>
        </xdr:cNvSpPr>
      </xdr:nvSpPr>
      <xdr:spPr bwMode="auto">
        <a:xfrm>
          <a:off x="39300150" y="1796891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21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F040000}"/>
            </a:ext>
          </a:extLst>
        </xdr:cNvPr>
        <xdr:cNvSpPr>
          <a:spLocks noChangeAspect="1" noChangeArrowheads="1"/>
        </xdr:cNvSpPr>
      </xdr:nvSpPr>
      <xdr:spPr bwMode="auto">
        <a:xfrm>
          <a:off x="39300150" y="179984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21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0040000}"/>
            </a:ext>
          </a:extLst>
        </xdr:cNvPr>
        <xdr:cNvSpPr>
          <a:spLocks noChangeAspect="1" noChangeArrowheads="1"/>
        </xdr:cNvSpPr>
      </xdr:nvSpPr>
      <xdr:spPr bwMode="auto">
        <a:xfrm>
          <a:off x="39300150" y="179984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21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1040000}"/>
            </a:ext>
          </a:extLst>
        </xdr:cNvPr>
        <xdr:cNvSpPr>
          <a:spLocks noChangeAspect="1" noChangeArrowheads="1"/>
        </xdr:cNvSpPr>
      </xdr:nvSpPr>
      <xdr:spPr bwMode="auto">
        <a:xfrm>
          <a:off x="39300150" y="1802796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21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2040000}"/>
            </a:ext>
          </a:extLst>
        </xdr:cNvPr>
        <xdr:cNvSpPr>
          <a:spLocks noChangeAspect="1" noChangeArrowheads="1"/>
        </xdr:cNvSpPr>
      </xdr:nvSpPr>
      <xdr:spPr bwMode="auto">
        <a:xfrm>
          <a:off x="39300150" y="1802796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21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3040000}"/>
            </a:ext>
          </a:extLst>
        </xdr:cNvPr>
        <xdr:cNvSpPr>
          <a:spLocks noChangeAspect="1" noChangeArrowheads="1"/>
        </xdr:cNvSpPr>
      </xdr:nvSpPr>
      <xdr:spPr bwMode="auto">
        <a:xfrm>
          <a:off x="39300150" y="180574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22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4040000}"/>
            </a:ext>
          </a:extLst>
        </xdr:cNvPr>
        <xdr:cNvSpPr>
          <a:spLocks noChangeAspect="1" noChangeArrowheads="1"/>
        </xdr:cNvSpPr>
      </xdr:nvSpPr>
      <xdr:spPr bwMode="auto">
        <a:xfrm>
          <a:off x="39300150" y="180574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22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5040000}"/>
            </a:ext>
          </a:extLst>
        </xdr:cNvPr>
        <xdr:cNvSpPr>
          <a:spLocks noChangeAspect="1" noChangeArrowheads="1"/>
        </xdr:cNvSpPr>
      </xdr:nvSpPr>
      <xdr:spPr bwMode="auto">
        <a:xfrm>
          <a:off x="39300150" y="180870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22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6040000}"/>
            </a:ext>
          </a:extLst>
        </xdr:cNvPr>
        <xdr:cNvSpPr>
          <a:spLocks noChangeAspect="1" noChangeArrowheads="1"/>
        </xdr:cNvSpPr>
      </xdr:nvSpPr>
      <xdr:spPr bwMode="auto">
        <a:xfrm>
          <a:off x="39300150" y="180870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22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7040000}"/>
            </a:ext>
          </a:extLst>
        </xdr:cNvPr>
        <xdr:cNvSpPr>
          <a:spLocks noChangeAspect="1" noChangeArrowheads="1"/>
        </xdr:cNvSpPr>
      </xdr:nvSpPr>
      <xdr:spPr bwMode="auto">
        <a:xfrm>
          <a:off x="39300150" y="180870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22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8040000}"/>
            </a:ext>
          </a:extLst>
        </xdr:cNvPr>
        <xdr:cNvSpPr>
          <a:spLocks noChangeAspect="1" noChangeArrowheads="1"/>
        </xdr:cNvSpPr>
      </xdr:nvSpPr>
      <xdr:spPr bwMode="auto">
        <a:xfrm>
          <a:off x="39300150" y="180870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22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9040000}"/>
            </a:ext>
          </a:extLst>
        </xdr:cNvPr>
        <xdr:cNvSpPr>
          <a:spLocks noChangeAspect="1" noChangeArrowheads="1"/>
        </xdr:cNvSpPr>
      </xdr:nvSpPr>
      <xdr:spPr bwMode="auto">
        <a:xfrm>
          <a:off x="39300150" y="181165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22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A040000}"/>
            </a:ext>
          </a:extLst>
        </xdr:cNvPr>
        <xdr:cNvSpPr>
          <a:spLocks noChangeAspect="1" noChangeArrowheads="1"/>
        </xdr:cNvSpPr>
      </xdr:nvSpPr>
      <xdr:spPr bwMode="auto">
        <a:xfrm>
          <a:off x="39300150" y="181165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22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B040000}"/>
            </a:ext>
          </a:extLst>
        </xdr:cNvPr>
        <xdr:cNvSpPr>
          <a:spLocks noChangeAspect="1" noChangeArrowheads="1"/>
        </xdr:cNvSpPr>
      </xdr:nvSpPr>
      <xdr:spPr bwMode="auto">
        <a:xfrm>
          <a:off x="39300150" y="1814607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22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C040000}"/>
            </a:ext>
          </a:extLst>
        </xdr:cNvPr>
        <xdr:cNvSpPr>
          <a:spLocks noChangeAspect="1" noChangeArrowheads="1"/>
        </xdr:cNvSpPr>
      </xdr:nvSpPr>
      <xdr:spPr bwMode="auto">
        <a:xfrm>
          <a:off x="39300150" y="1814607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22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D040000}"/>
            </a:ext>
          </a:extLst>
        </xdr:cNvPr>
        <xdr:cNvSpPr>
          <a:spLocks noChangeAspect="1" noChangeArrowheads="1"/>
        </xdr:cNvSpPr>
      </xdr:nvSpPr>
      <xdr:spPr bwMode="auto">
        <a:xfrm>
          <a:off x="39300150" y="181756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23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E040000}"/>
            </a:ext>
          </a:extLst>
        </xdr:cNvPr>
        <xdr:cNvSpPr>
          <a:spLocks noChangeAspect="1" noChangeArrowheads="1"/>
        </xdr:cNvSpPr>
      </xdr:nvSpPr>
      <xdr:spPr bwMode="auto">
        <a:xfrm>
          <a:off x="39300150" y="181756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23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F040000}"/>
            </a:ext>
          </a:extLst>
        </xdr:cNvPr>
        <xdr:cNvSpPr>
          <a:spLocks noChangeAspect="1" noChangeArrowheads="1"/>
        </xdr:cNvSpPr>
      </xdr:nvSpPr>
      <xdr:spPr bwMode="auto">
        <a:xfrm>
          <a:off x="39300150" y="182051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23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0040000}"/>
            </a:ext>
          </a:extLst>
        </xdr:cNvPr>
        <xdr:cNvSpPr>
          <a:spLocks noChangeAspect="1" noChangeArrowheads="1"/>
        </xdr:cNvSpPr>
      </xdr:nvSpPr>
      <xdr:spPr bwMode="auto">
        <a:xfrm>
          <a:off x="39300150" y="182051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23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1040000}"/>
            </a:ext>
          </a:extLst>
        </xdr:cNvPr>
        <xdr:cNvSpPr>
          <a:spLocks noChangeAspect="1" noChangeArrowheads="1"/>
        </xdr:cNvSpPr>
      </xdr:nvSpPr>
      <xdr:spPr bwMode="auto">
        <a:xfrm>
          <a:off x="39300150" y="182346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23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2040000}"/>
            </a:ext>
          </a:extLst>
        </xdr:cNvPr>
        <xdr:cNvSpPr>
          <a:spLocks noChangeAspect="1" noChangeArrowheads="1"/>
        </xdr:cNvSpPr>
      </xdr:nvSpPr>
      <xdr:spPr bwMode="auto">
        <a:xfrm>
          <a:off x="39300150" y="182346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23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3040000}"/>
            </a:ext>
          </a:extLst>
        </xdr:cNvPr>
        <xdr:cNvSpPr>
          <a:spLocks noChangeAspect="1" noChangeArrowheads="1"/>
        </xdr:cNvSpPr>
      </xdr:nvSpPr>
      <xdr:spPr bwMode="auto">
        <a:xfrm>
          <a:off x="39300150" y="182641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23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4040000}"/>
            </a:ext>
          </a:extLst>
        </xdr:cNvPr>
        <xdr:cNvSpPr>
          <a:spLocks noChangeAspect="1" noChangeArrowheads="1"/>
        </xdr:cNvSpPr>
      </xdr:nvSpPr>
      <xdr:spPr bwMode="auto">
        <a:xfrm>
          <a:off x="39300150" y="182641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23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5040000}"/>
            </a:ext>
          </a:extLst>
        </xdr:cNvPr>
        <xdr:cNvSpPr>
          <a:spLocks noChangeAspect="1" noChangeArrowheads="1"/>
        </xdr:cNvSpPr>
      </xdr:nvSpPr>
      <xdr:spPr bwMode="auto">
        <a:xfrm>
          <a:off x="39300150" y="182937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23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6040000}"/>
            </a:ext>
          </a:extLst>
        </xdr:cNvPr>
        <xdr:cNvSpPr>
          <a:spLocks noChangeAspect="1" noChangeArrowheads="1"/>
        </xdr:cNvSpPr>
      </xdr:nvSpPr>
      <xdr:spPr bwMode="auto">
        <a:xfrm>
          <a:off x="39300150" y="182937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23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7040000}"/>
            </a:ext>
          </a:extLst>
        </xdr:cNvPr>
        <xdr:cNvSpPr>
          <a:spLocks noChangeAspect="1" noChangeArrowheads="1"/>
        </xdr:cNvSpPr>
      </xdr:nvSpPr>
      <xdr:spPr bwMode="auto">
        <a:xfrm>
          <a:off x="39300150" y="1832324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24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8040000}"/>
            </a:ext>
          </a:extLst>
        </xdr:cNvPr>
        <xdr:cNvSpPr>
          <a:spLocks noChangeAspect="1" noChangeArrowheads="1"/>
        </xdr:cNvSpPr>
      </xdr:nvSpPr>
      <xdr:spPr bwMode="auto">
        <a:xfrm>
          <a:off x="39300150" y="1832324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24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9040000}"/>
            </a:ext>
          </a:extLst>
        </xdr:cNvPr>
        <xdr:cNvSpPr>
          <a:spLocks noChangeAspect="1" noChangeArrowheads="1"/>
        </xdr:cNvSpPr>
      </xdr:nvSpPr>
      <xdr:spPr bwMode="auto">
        <a:xfrm>
          <a:off x="39300150" y="1835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24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A040000}"/>
            </a:ext>
          </a:extLst>
        </xdr:cNvPr>
        <xdr:cNvSpPr>
          <a:spLocks noChangeAspect="1" noChangeArrowheads="1"/>
        </xdr:cNvSpPr>
      </xdr:nvSpPr>
      <xdr:spPr bwMode="auto">
        <a:xfrm>
          <a:off x="39300150" y="1835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24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B040000}"/>
            </a:ext>
          </a:extLst>
        </xdr:cNvPr>
        <xdr:cNvSpPr>
          <a:spLocks noChangeAspect="1" noChangeArrowheads="1"/>
        </xdr:cNvSpPr>
      </xdr:nvSpPr>
      <xdr:spPr bwMode="auto">
        <a:xfrm>
          <a:off x="39300150" y="1838229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24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C040000}"/>
            </a:ext>
          </a:extLst>
        </xdr:cNvPr>
        <xdr:cNvSpPr>
          <a:spLocks noChangeAspect="1" noChangeArrowheads="1"/>
        </xdr:cNvSpPr>
      </xdr:nvSpPr>
      <xdr:spPr bwMode="auto">
        <a:xfrm>
          <a:off x="39300150" y="1838229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24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D040000}"/>
            </a:ext>
          </a:extLst>
        </xdr:cNvPr>
        <xdr:cNvSpPr>
          <a:spLocks noChangeAspect="1" noChangeArrowheads="1"/>
        </xdr:cNvSpPr>
      </xdr:nvSpPr>
      <xdr:spPr bwMode="auto">
        <a:xfrm>
          <a:off x="39300150" y="184118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24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E040000}"/>
            </a:ext>
          </a:extLst>
        </xdr:cNvPr>
        <xdr:cNvSpPr>
          <a:spLocks noChangeAspect="1" noChangeArrowheads="1"/>
        </xdr:cNvSpPr>
      </xdr:nvSpPr>
      <xdr:spPr bwMode="auto">
        <a:xfrm>
          <a:off x="39300150" y="184118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24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F040000}"/>
            </a:ext>
          </a:extLst>
        </xdr:cNvPr>
        <xdr:cNvSpPr>
          <a:spLocks noChangeAspect="1" noChangeArrowheads="1"/>
        </xdr:cNvSpPr>
      </xdr:nvSpPr>
      <xdr:spPr bwMode="auto">
        <a:xfrm>
          <a:off x="39300150" y="184413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24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0040000}"/>
            </a:ext>
          </a:extLst>
        </xdr:cNvPr>
        <xdr:cNvSpPr>
          <a:spLocks noChangeAspect="1" noChangeArrowheads="1"/>
        </xdr:cNvSpPr>
      </xdr:nvSpPr>
      <xdr:spPr bwMode="auto">
        <a:xfrm>
          <a:off x="39300150" y="184413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24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1040000}"/>
            </a:ext>
          </a:extLst>
        </xdr:cNvPr>
        <xdr:cNvSpPr>
          <a:spLocks noChangeAspect="1" noChangeArrowheads="1"/>
        </xdr:cNvSpPr>
      </xdr:nvSpPr>
      <xdr:spPr bwMode="auto">
        <a:xfrm>
          <a:off x="39300150" y="184708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25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2040000}"/>
            </a:ext>
          </a:extLst>
        </xdr:cNvPr>
        <xdr:cNvSpPr>
          <a:spLocks noChangeAspect="1" noChangeArrowheads="1"/>
        </xdr:cNvSpPr>
      </xdr:nvSpPr>
      <xdr:spPr bwMode="auto">
        <a:xfrm>
          <a:off x="39300150" y="184708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25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3040000}"/>
            </a:ext>
          </a:extLst>
        </xdr:cNvPr>
        <xdr:cNvSpPr>
          <a:spLocks noChangeAspect="1" noChangeArrowheads="1"/>
        </xdr:cNvSpPr>
      </xdr:nvSpPr>
      <xdr:spPr bwMode="auto">
        <a:xfrm>
          <a:off x="39300150" y="185004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25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4040000}"/>
            </a:ext>
          </a:extLst>
        </xdr:cNvPr>
        <xdr:cNvSpPr>
          <a:spLocks noChangeAspect="1" noChangeArrowheads="1"/>
        </xdr:cNvSpPr>
      </xdr:nvSpPr>
      <xdr:spPr bwMode="auto">
        <a:xfrm>
          <a:off x="39300150" y="185004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25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5040000}"/>
            </a:ext>
          </a:extLst>
        </xdr:cNvPr>
        <xdr:cNvSpPr>
          <a:spLocks noChangeAspect="1" noChangeArrowheads="1"/>
        </xdr:cNvSpPr>
      </xdr:nvSpPr>
      <xdr:spPr bwMode="auto">
        <a:xfrm>
          <a:off x="39300150" y="185299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25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6040000}"/>
            </a:ext>
          </a:extLst>
        </xdr:cNvPr>
        <xdr:cNvSpPr>
          <a:spLocks noChangeAspect="1" noChangeArrowheads="1"/>
        </xdr:cNvSpPr>
      </xdr:nvSpPr>
      <xdr:spPr bwMode="auto">
        <a:xfrm>
          <a:off x="39300150" y="185299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25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7040000}"/>
            </a:ext>
          </a:extLst>
        </xdr:cNvPr>
        <xdr:cNvSpPr>
          <a:spLocks noChangeAspect="1" noChangeArrowheads="1"/>
        </xdr:cNvSpPr>
      </xdr:nvSpPr>
      <xdr:spPr bwMode="auto">
        <a:xfrm>
          <a:off x="39300150" y="185594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25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8040000}"/>
            </a:ext>
          </a:extLst>
        </xdr:cNvPr>
        <xdr:cNvSpPr>
          <a:spLocks noChangeAspect="1" noChangeArrowheads="1"/>
        </xdr:cNvSpPr>
      </xdr:nvSpPr>
      <xdr:spPr bwMode="auto">
        <a:xfrm>
          <a:off x="39300150" y="185594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25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9040000}"/>
            </a:ext>
          </a:extLst>
        </xdr:cNvPr>
        <xdr:cNvSpPr>
          <a:spLocks noChangeAspect="1" noChangeArrowheads="1"/>
        </xdr:cNvSpPr>
      </xdr:nvSpPr>
      <xdr:spPr bwMode="auto">
        <a:xfrm>
          <a:off x="39300150" y="185889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25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A040000}"/>
            </a:ext>
          </a:extLst>
        </xdr:cNvPr>
        <xdr:cNvSpPr>
          <a:spLocks noChangeAspect="1" noChangeArrowheads="1"/>
        </xdr:cNvSpPr>
      </xdr:nvSpPr>
      <xdr:spPr bwMode="auto">
        <a:xfrm>
          <a:off x="39300150" y="185889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25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B040000}"/>
            </a:ext>
          </a:extLst>
        </xdr:cNvPr>
        <xdr:cNvSpPr>
          <a:spLocks noChangeAspect="1" noChangeArrowheads="1"/>
        </xdr:cNvSpPr>
      </xdr:nvSpPr>
      <xdr:spPr bwMode="auto">
        <a:xfrm>
          <a:off x="39300150" y="1861851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26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C040000}"/>
            </a:ext>
          </a:extLst>
        </xdr:cNvPr>
        <xdr:cNvSpPr>
          <a:spLocks noChangeAspect="1" noChangeArrowheads="1"/>
        </xdr:cNvSpPr>
      </xdr:nvSpPr>
      <xdr:spPr bwMode="auto">
        <a:xfrm>
          <a:off x="39300150" y="1861851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26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D040000}"/>
            </a:ext>
          </a:extLst>
        </xdr:cNvPr>
        <xdr:cNvSpPr>
          <a:spLocks noChangeAspect="1" noChangeArrowheads="1"/>
        </xdr:cNvSpPr>
      </xdr:nvSpPr>
      <xdr:spPr bwMode="auto">
        <a:xfrm>
          <a:off x="39300150" y="186480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26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E040000}"/>
            </a:ext>
          </a:extLst>
        </xdr:cNvPr>
        <xdr:cNvSpPr>
          <a:spLocks noChangeAspect="1" noChangeArrowheads="1"/>
        </xdr:cNvSpPr>
      </xdr:nvSpPr>
      <xdr:spPr bwMode="auto">
        <a:xfrm>
          <a:off x="39300150" y="186480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26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F040000}"/>
            </a:ext>
          </a:extLst>
        </xdr:cNvPr>
        <xdr:cNvSpPr>
          <a:spLocks noChangeAspect="1" noChangeArrowheads="1"/>
        </xdr:cNvSpPr>
      </xdr:nvSpPr>
      <xdr:spPr bwMode="auto">
        <a:xfrm>
          <a:off x="39300150" y="1867757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26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0040000}"/>
            </a:ext>
          </a:extLst>
        </xdr:cNvPr>
        <xdr:cNvSpPr>
          <a:spLocks noChangeAspect="1" noChangeArrowheads="1"/>
        </xdr:cNvSpPr>
      </xdr:nvSpPr>
      <xdr:spPr bwMode="auto">
        <a:xfrm>
          <a:off x="39300150" y="1867757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26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1040000}"/>
            </a:ext>
          </a:extLst>
        </xdr:cNvPr>
        <xdr:cNvSpPr>
          <a:spLocks noChangeAspect="1" noChangeArrowheads="1"/>
        </xdr:cNvSpPr>
      </xdr:nvSpPr>
      <xdr:spPr bwMode="auto">
        <a:xfrm>
          <a:off x="39300150" y="18707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26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2040000}"/>
            </a:ext>
          </a:extLst>
        </xdr:cNvPr>
        <xdr:cNvSpPr>
          <a:spLocks noChangeAspect="1" noChangeArrowheads="1"/>
        </xdr:cNvSpPr>
      </xdr:nvSpPr>
      <xdr:spPr bwMode="auto">
        <a:xfrm>
          <a:off x="39300150" y="18707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26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3040000}"/>
            </a:ext>
          </a:extLst>
        </xdr:cNvPr>
        <xdr:cNvSpPr>
          <a:spLocks noChangeAspect="1" noChangeArrowheads="1"/>
        </xdr:cNvSpPr>
      </xdr:nvSpPr>
      <xdr:spPr bwMode="auto">
        <a:xfrm>
          <a:off x="39300150" y="1873662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26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4040000}"/>
            </a:ext>
          </a:extLst>
        </xdr:cNvPr>
        <xdr:cNvSpPr>
          <a:spLocks noChangeAspect="1" noChangeArrowheads="1"/>
        </xdr:cNvSpPr>
      </xdr:nvSpPr>
      <xdr:spPr bwMode="auto">
        <a:xfrm>
          <a:off x="39300150" y="1873662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26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5040000}"/>
            </a:ext>
          </a:extLst>
        </xdr:cNvPr>
        <xdr:cNvSpPr>
          <a:spLocks noChangeAspect="1" noChangeArrowheads="1"/>
        </xdr:cNvSpPr>
      </xdr:nvSpPr>
      <xdr:spPr bwMode="auto">
        <a:xfrm>
          <a:off x="39300150" y="187661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27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6040000}"/>
            </a:ext>
          </a:extLst>
        </xdr:cNvPr>
        <xdr:cNvSpPr>
          <a:spLocks noChangeAspect="1" noChangeArrowheads="1"/>
        </xdr:cNvSpPr>
      </xdr:nvSpPr>
      <xdr:spPr bwMode="auto">
        <a:xfrm>
          <a:off x="39300150" y="187661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27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7040000}"/>
            </a:ext>
          </a:extLst>
        </xdr:cNvPr>
        <xdr:cNvSpPr>
          <a:spLocks noChangeAspect="1" noChangeArrowheads="1"/>
        </xdr:cNvSpPr>
      </xdr:nvSpPr>
      <xdr:spPr bwMode="auto">
        <a:xfrm>
          <a:off x="39300150" y="187956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27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8040000}"/>
            </a:ext>
          </a:extLst>
        </xdr:cNvPr>
        <xdr:cNvSpPr>
          <a:spLocks noChangeAspect="1" noChangeArrowheads="1"/>
        </xdr:cNvSpPr>
      </xdr:nvSpPr>
      <xdr:spPr bwMode="auto">
        <a:xfrm>
          <a:off x="39300150" y="187956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27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9040000}"/>
            </a:ext>
          </a:extLst>
        </xdr:cNvPr>
        <xdr:cNvSpPr>
          <a:spLocks noChangeAspect="1" noChangeArrowheads="1"/>
        </xdr:cNvSpPr>
      </xdr:nvSpPr>
      <xdr:spPr bwMode="auto">
        <a:xfrm>
          <a:off x="39300150" y="188252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27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A040000}"/>
            </a:ext>
          </a:extLst>
        </xdr:cNvPr>
        <xdr:cNvSpPr>
          <a:spLocks noChangeAspect="1" noChangeArrowheads="1"/>
        </xdr:cNvSpPr>
      </xdr:nvSpPr>
      <xdr:spPr bwMode="auto">
        <a:xfrm>
          <a:off x="39300150" y="188252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27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B040000}"/>
            </a:ext>
          </a:extLst>
        </xdr:cNvPr>
        <xdr:cNvSpPr>
          <a:spLocks noChangeAspect="1" noChangeArrowheads="1"/>
        </xdr:cNvSpPr>
      </xdr:nvSpPr>
      <xdr:spPr bwMode="auto">
        <a:xfrm>
          <a:off x="39300150" y="188547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27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C040000}"/>
            </a:ext>
          </a:extLst>
        </xdr:cNvPr>
        <xdr:cNvSpPr>
          <a:spLocks noChangeAspect="1" noChangeArrowheads="1"/>
        </xdr:cNvSpPr>
      </xdr:nvSpPr>
      <xdr:spPr bwMode="auto">
        <a:xfrm>
          <a:off x="39300150" y="188547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27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D040000}"/>
            </a:ext>
          </a:extLst>
        </xdr:cNvPr>
        <xdr:cNvSpPr>
          <a:spLocks noChangeAspect="1" noChangeArrowheads="1"/>
        </xdr:cNvSpPr>
      </xdr:nvSpPr>
      <xdr:spPr bwMode="auto">
        <a:xfrm>
          <a:off x="39300150" y="188842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27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E040000}"/>
            </a:ext>
          </a:extLst>
        </xdr:cNvPr>
        <xdr:cNvSpPr>
          <a:spLocks noChangeAspect="1" noChangeArrowheads="1"/>
        </xdr:cNvSpPr>
      </xdr:nvSpPr>
      <xdr:spPr bwMode="auto">
        <a:xfrm>
          <a:off x="39300150" y="188842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27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F040000}"/>
            </a:ext>
          </a:extLst>
        </xdr:cNvPr>
        <xdr:cNvSpPr>
          <a:spLocks noChangeAspect="1" noChangeArrowheads="1"/>
        </xdr:cNvSpPr>
      </xdr:nvSpPr>
      <xdr:spPr bwMode="auto">
        <a:xfrm>
          <a:off x="39300150" y="1891379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28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0050000}"/>
            </a:ext>
          </a:extLst>
        </xdr:cNvPr>
        <xdr:cNvSpPr>
          <a:spLocks noChangeAspect="1" noChangeArrowheads="1"/>
        </xdr:cNvSpPr>
      </xdr:nvSpPr>
      <xdr:spPr bwMode="auto">
        <a:xfrm>
          <a:off x="39300150" y="1891379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28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1050000}"/>
            </a:ext>
          </a:extLst>
        </xdr:cNvPr>
        <xdr:cNvSpPr>
          <a:spLocks noChangeAspect="1" noChangeArrowheads="1"/>
        </xdr:cNvSpPr>
      </xdr:nvSpPr>
      <xdr:spPr bwMode="auto">
        <a:xfrm>
          <a:off x="39300150" y="189433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28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2050000}"/>
            </a:ext>
          </a:extLst>
        </xdr:cNvPr>
        <xdr:cNvSpPr>
          <a:spLocks noChangeAspect="1" noChangeArrowheads="1"/>
        </xdr:cNvSpPr>
      </xdr:nvSpPr>
      <xdr:spPr bwMode="auto">
        <a:xfrm>
          <a:off x="39300150" y="189433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28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3050000}"/>
            </a:ext>
          </a:extLst>
        </xdr:cNvPr>
        <xdr:cNvSpPr>
          <a:spLocks noChangeAspect="1" noChangeArrowheads="1"/>
        </xdr:cNvSpPr>
      </xdr:nvSpPr>
      <xdr:spPr bwMode="auto">
        <a:xfrm>
          <a:off x="39300150" y="1897284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28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4050000}"/>
            </a:ext>
          </a:extLst>
        </xdr:cNvPr>
        <xdr:cNvSpPr>
          <a:spLocks noChangeAspect="1" noChangeArrowheads="1"/>
        </xdr:cNvSpPr>
      </xdr:nvSpPr>
      <xdr:spPr bwMode="auto">
        <a:xfrm>
          <a:off x="39300150" y="1897284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28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5050000}"/>
            </a:ext>
          </a:extLst>
        </xdr:cNvPr>
        <xdr:cNvSpPr>
          <a:spLocks noChangeAspect="1" noChangeArrowheads="1"/>
        </xdr:cNvSpPr>
      </xdr:nvSpPr>
      <xdr:spPr bwMode="auto">
        <a:xfrm>
          <a:off x="39300150" y="190023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28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6050000}"/>
            </a:ext>
          </a:extLst>
        </xdr:cNvPr>
        <xdr:cNvSpPr>
          <a:spLocks noChangeAspect="1" noChangeArrowheads="1"/>
        </xdr:cNvSpPr>
      </xdr:nvSpPr>
      <xdr:spPr bwMode="auto">
        <a:xfrm>
          <a:off x="39300150" y="190023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28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7050000}"/>
            </a:ext>
          </a:extLst>
        </xdr:cNvPr>
        <xdr:cNvSpPr>
          <a:spLocks noChangeAspect="1" noChangeArrowheads="1"/>
        </xdr:cNvSpPr>
      </xdr:nvSpPr>
      <xdr:spPr bwMode="auto">
        <a:xfrm>
          <a:off x="39300150" y="190319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28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8050000}"/>
            </a:ext>
          </a:extLst>
        </xdr:cNvPr>
        <xdr:cNvSpPr>
          <a:spLocks noChangeAspect="1" noChangeArrowheads="1"/>
        </xdr:cNvSpPr>
      </xdr:nvSpPr>
      <xdr:spPr bwMode="auto">
        <a:xfrm>
          <a:off x="39300150" y="190319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28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9050000}"/>
            </a:ext>
          </a:extLst>
        </xdr:cNvPr>
        <xdr:cNvSpPr>
          <a:spLocks noChangeAspect="1" noChangeArrowheads="1"/>
        </xdr:cNvSpPr>
      </xdr:nvSpPr>
      <xdr:spPr bwMode="auto">
        <a:xfrm>
          <a:off x="39300150" y="190614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29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A050000}"/>
            </a:ext>
          </a:extLst>
        </xdr:cNvPr>
        <xdr:cNvSpPr>
          <a:spLocks noChangeAspect="1" noChangeArrowheads="1"/>
        </xdr:cNvSpPr>
      </xdr:nvSpPr>
      <xdr:spPr bwMode="auto">
        <a:xfrm>
          <a:off x="39300150" y="190614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29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B050000}"/>
            </a:ext>
          </a:extLst>
        </xdr:cNvPr>
        <xdr:cNvSpPr>
          <a:spLocks noChangeAspect="1" noChangeArrowheads="1"/>
        </xdr:cNvSpPr>
      </xdr:nvSpPr>
      <xdr:spPr bwMode="auto">
        <a:xfrm>
          <a:off x="39300150" y="190909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29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C050000}"/>
            </a:ext>
          </a:extLst>
        </xdr:cNvPr>
        <xdr:cNvSpPr>
          <a:spLocks noChangeAspect="1" noChangeArrowheads="1"/>
        </xdr:cNvSpPr>
      </xdr:nvSpPr>
      <xdr:spPr bwMode="auto">
        <a:xfrm>
          <a:off x="39300150" y="190909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29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D050000}"/>
            </a:ext>
          </a:extLst>
        </xdr:cNvPr>
        <xdr:cNvSpPr>
          <a:spLocks noChangeAspect="1" noChangeArrowheads="1"/>
        </xdr:cNvSpPr>
      </xdr:nvSpPr>
      <xdr:spPr bwMode="auto">
        <a:xfrm>
          <a:off x="39300150" y="191204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29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E050000}"/>
            </a:ext>
          </a:extLst>
        </xdr:cNvPr>
        <xdr:cNvSpPr>
          <a:spLocks noChangeAspect="1" noChangeArrowheads="1"/>
        </xdr:cNvSpPr>
      </xdr:nvSpPr>
      <xdr:spPr bwMode="auto">
        <a:xfrm>
          <a:off x="39300150" y="191204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29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F050000}"/>
            </a:ext>
          </a:extLst>
        </xdr:cNvPr>
        <xdr:cNvSpPr>
          <a:spLocks noChangeAspect="1" noChangeArrowheads="1"/>
        </xdr:cNvSpPr>
      </xdr:nvSpPr>
      <xdr:spPr bwMode="auto">
        <a:xfrm>
          <a:off x="39300150" y="1915001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29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0050000}"/>
            </a:ext>
          </a:extLst>
        </xdr:cNvPr>
        <xdr:cNvSpPr>
          <a:spLocks noChangeAspect="1" noChangeArrowheads="1"/>
        </xdr:cNvSpPr>
      </xdr:nvSpPr>
      <xdr:spPr bwMode="auto">
        <a:xfrm>
          <a:off x="39300150" y="1915001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29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1050000}"/>
            </a:ext>
          </a:extLst>
        </xdr:cNvPr>
        <xdr:cNvSpPr>
          <a:spLocks noChangeAspect="1" noChangeArrowheads="1"/>
        </xdr:cNvSpPr>
      </xdr:nvSpPr>
      <xdr:spPr bwMode="auto">
        <a:xfrm>
          <a:off x="39300150" y="191795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29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2050000}"/>
            </a:ext>
          </a:extLst>
        </xdr:cNvPr>
        <xdr:cNvSpPr>
          <a:spLocks noChangeAspect="1" noChangeArrowheads="1"/>
        </xdr:cNvSpPr>
      </xdr:nvSpPr>
      <xdr:spPr bwMode="auto">
        <a:xfrm>
          <a:off x="39300150" y="191795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29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3050000}"/>
            </a:ext>
          </a:extLst>
        </xdr:cNvPr>
        <xdr:cNvSpPr>
          <a:spLocks noChangeAspect="1" noChangeArrowheads="1"/>
        </xdr:cNvSpPr>
      </xdr:nvSpPr>
      <xdr:spPr bwMode="auto">
        <a:xfrm>
          <a:off x="39300150" y="1920906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30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4050000}"/>
            </a:ext>
          </a:extLst>
        </xdr:cNvPr>
        <xdr:cNvSpPr>
          <a:spLocks noChangeAspect="1" noChangeArrowheads="1"/>
        </xdr:cNvSpPr>
      </xdr:nvSpPr>
      <xdr:spPr bwMode="auto">
        <a:xfrm>
          <a:off x="39300150" y="1920906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30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5050000}"/>
            </a:ext>
          </a:extLst>
        </xdr:cNvPr>
        <xdr:cNvSpPr>
          <a:spLocks noChangeAspect="1" noChangeArrowheads="1"/>
        </xdr:cNvSpPr>
      </xdr:nvSpPr>
      <xdr:spPr bwMode="auto">
        <a:xfrm>
          <a:off x="39300150" y="192385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30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6050000}"/>
            </a:ext>
          </a:extLst>
        </xdr:cNvPr>
        <xdr:cNvSpPr>
          <a:spLocks noChangeAspect="1" noChangeArrowheads="1"/>
        </xdr:cNvSpPr>
      </xdr:nvSpPr>
      <xdr:spPr bwMode="auto">
        <a:xfrm>
          <a:off x="39300150" y="192385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30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7050000}"/>
            </a:ext>
          </a:extLst>
        </xdr:cNvPr>
        <xdr:cNvSpPr>
          <a:spLocks noChangeAspect="1" noChangeArrowheads="1"/>
        </xdr:cNvSpPr>
      </xdr:nvSpPr>
      <xdr:spPr bwMode="auto">
        <a:xfrm>
          <a:off x="39300150" y="192681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30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8050000}"/>
            </a:ext>
          </a:extLst>
        </xdr:cNvPr>
        <xdr:cNvSpPr>
          <a:spLocks noChangeAspect="1" noChangeArrowheads="1"/>
        </xdr:cNvSpPr>
      </xdr:nvSpPr>
      <xdr:spPr bwMode="auto">
        <a:xfrm>
          <a:off x="39300150" y="192681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30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9050000}"/>
            </a:ext>
          </a:extLst>
        </xdr:cNvPr>
        <xdr:cNvSpPr>
          <a:spLocks noChangeAspect="1" noChangeArrowheads="1"/>
        </xdr:cNvSpPr>
      </xdr:nvSpPr>
      <xdr:spPr bwMode="auto">
        <a:xfrm>
          <a:off x="39300150" y="19297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30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A050000}"/>
            </a:ext>
          </a:extLst>
        </xdr:cNvPr>
        <xdr:cNvSpPr>
          <a:spLocks noChangeAspect="1" noChangeArrowheads="1"/>
        </xdr:cNvSpPr>
      </xdr:nvSpPr>
      <xdr:spPr bwMode="auto">
        <a:xfrm>
          <a:off x="39300150" y="19297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30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B050000}"/>
            </a:ext>
          </a:extLst>
        </xdr:cNvPr>
        <xdr:cNvSpPr>
          <a:spLocks noChangeAspect="1" noChangeArrowheads="1"/>
        </xdr:cNvSpPr>
      </xdr:nvSpPr>
      <xdr:spPr bwMode="auto">
        <a:xfrm>
          <a:off x="39300150" y="1932717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30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C050000}"/>
            </a:ext>
          </a:extLst>
        </xdr:cNvPr>
        <xdr:cNvSpPr>
          <a:spLocks noChangeAspect="1" noChangeArrowheads="1"/>
        </xdr:cNvSpPr>
      </xdr:nvSpPr>
      <xdr:spPr bwMode="auto">
        <a:xfrm>
          <a:off x="39300150" y="1932717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30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D050000}"/>
            </a:ext>
          </a:extLst>
        </xdr:cNvPr>
        <xdr:cNvSpPr>
          <a:spLocks noChangeAspect="1" noChangeArrowheads="1"/>
        </xdr:cNvSpPr>
      </xdr:nvSpPr>
      <xdr:spPr bwMode="auto">
        <a:xfrm>
          <a:off x="39300150" y="193567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31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E050000}"/>
            </a:ext>
          </a:extLst>
        </xdr:cNvPr>
        <xdr:cNvSpPr>
          <a:spLocks noChangeAspect="1" noChangeArrowheads="1"/>
        </xdr:cNvSpPr>
      </xdr:nvSpPr>
      <xdr:spPr bwMode="auto">
        <a:xfrm>
          <a:off x="39300150" y="193567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31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F050000}"/>
            </a:ext>
          </a:extLst>
        </xdr:cNvPr>
        <xdr:cNvSpPr>
          <a:spLocks noChangeAspect="1" noChangeArrowheads="1"/>
        </xdr:cNvSpPr>
      </xdr:nvSpPr>
      <xdr:spPr bwMode="auto">
        <a:xfrm>
          <a:off x="39300150" y="193862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31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0050000}"/>
            </a:ext>
          </a:extLst>
        </xdr:cNvPr>
        <xdr:cNvSpPr>
          <a:spLocks noChangeAspect="1" noChangeArrowheads="1"/>
        </xdr:cNvSpPr>
      </xdr:nvSpPr>
      <xdr:spPr bwMode="auto">
        <a:xfrm>
          <a:off x="39300150" y="193862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31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1050000}"/>
            </a:ext>
          </a:extLst>
        </xdr:cNvPr>
        <xdr:cNvSpPr>
          <a:spLocks noChangeAspect="1" noChangeArrowheads="1"/>
        </xdr:cNvSpPr>
      </xdr:nvSpPr>
      <xdr:spPr bwMode="auto">
        <a:xfrm>
          <a:off x="39300150" y="194157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31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2050000}"/>
            </a:ext>
          </a:extLst>
        </xdr:cNvPr>
        <xdr:cNvSpPr>
          <a:spLocks noChangeAspect="1" noChangeArrowheads="1"/>
        </xdr:cNvSpPr>
      </xdr:nvSpPr>
      <xdr:spPr bwMode="auto">
        <a:xfrm>
          <a:off x="39300150" y="194157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31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3050000}"/>
            </a:ext>
          </a:extLst>
        </xdr:cNvPr>
        <xdr:cNvSpPr>
          <a:spLocks noChangeAspect="1" noChangeArrowheads="1"/>
        </xdr:cNvSpPr>
      </xdr:nvSpPr>
      <xdr:spPr bwMode="auto">
        <a:xfrm>
          <a:off x="39300150" y="194452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31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4050000}"/>
            </a:ext>
          </a:extLst>
        </xdr:cNvPr>
        <xdr:cNvSpPr>
          <a:spLocks noChangeAspect="1" noChangeArrowheads="1"/>
        </xdr:cNvSpPr>
      </xdr:nvSpPr>
      <xdr:spPr bwMode="auto">
        <a:xfrm>
          <a:off x="39300150" y="194452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31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5050000}"/>
            </a:ext>
          </a:extLst>
        </xdr:cNvPr>
        <xdr:cNvSpPr>
          <a:spLocks noChangeAspect="1" noChangeArrowheads="1"/>
        </xdr:cNvSpPr>
      </xdr:nvSpPr>
      <xdr:spPr bwMode="auto">
        <a:xfrm>
          <a:off x="39300150" y="194748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31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6050000}"/>
            </a:ext>
          </a:extLst>
        </xdr:cNvPr>
        <xdr:cNvSpPr>
          <a:spLocks noChangeAspect="1" noChangeArrowheads="1"/>
        </xdr:cNvSpPr>
      </xdr:nvSpPr>
      <xdr:spPr bwMode="auto">
        <a:xfrm>
          <a:off x="39300150" y="194748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31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7050000}"/>
            </a:ext>
          </a:extLst>
        </xdr:cNvPr>
        <xdr:cNvSpPr>
          <a:spLocks noChangeAspect="1" noChangeArrowheads="1"/>
        </xdr:cNvSpPr>
      </xdr:nvSpPr>
      <xdr:spPr bwMode="auto">
        <a:xfrm>
          <a:off x="39300150" y="1950434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32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8050000}"/>
            </a:ext>
          </a:extLst>
        </xdr:cNvPr>
        <xdr:cNvSpPr>
          <a:spLocks noChangeAspect="1" noChangeArrowheads="1"/>
        </xdr:cNvSpPr>
      </xdr:nvSpPr>
      <xdr:spPr bwMode="auto">
        <a:xfrm>
          <a:off x="39300150" y="1950434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32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9050000}"/>
            </a:ext>
          </a:extLst>
        </xdr:cNvPr>
        <xdr:cNvSpPr>
          <a:spLocks noChangeAspect="1" noChangeArrowheads="1"/>
        </xdr:cNvSpPr>
      </xdr:nvSpPr>
      <xdr:spPr bwMode="auto">
        <a:xfrm>
          <a:off x="39300150" y="19533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32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A050000}"/>
            </a:ext>
          </a:extLst>
        </xdr:cNvPr>
        <xdr:cNvSpPr>
          <a:spLocks noChangeAspect="1" noChangeArrowheads="1"/>
        </xdr:cNvSpPr>
      </xdr:nvSpPr>
      <xdr:spPr bwMode="auto">
        <a:xfrm>
          <a:off x="39300150" y="19533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32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B050000}"/>
            </a:ext>
          </a:extLst>
        </xdr:cNvPr>
        <xdr:cNvSpPr>
          <a:spLocks noChangeAspect="1" noChangeArrowheads="1"/>
        </xdr:cNvSpPr>
      </xdr:nvSpPr>
      <xdr:spPr bwMode="auto">
        <a:xfrm>
          <a:off x="39300150" y="1956339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32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C050000}"/>
            </a:ext>
          </a:extLst>
        </xdr:cNvPr>
        <xdr:cNvSpPr>
          <a:spLocks noChangeAspect="1" noChangeArrowheads="1"/>
        </xdr:cNvSpPr>
      </xdr:nvSpPr>
      <xdr:spPr bwMode="auto">
        <a:xfrm>
          <a:off x="39300150" y="1956339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32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D050000}"/>
            </a:ext>
          </a:extLst>
        </xdr:cNvPr>
        <xdr:cNvSpPr>
          <a:spLocks noChangeAspect="1" noChangeArrowheads="1"/>
        </xdr:cNvSpPr>
      </xdr:nvSpPr>
      <xdr:spPr bwMode="auto">
        <a:xfrm>
          <a:off x="39300150" y="195929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32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E050000}"/>
            </a:ext>
          </a:extLst>
        </xdr:cNvPr>
        <xdr:cNvSpPr>
          <a:spLocks noChangeAspect="1" noChangeArrowheads="1"/>
        </xdr:cNvSpPr>
      </xdr:nvSpPr>
      <xdr:spPr bwMode="auto">
        <a:xfrm>
          <a:off x="39300150" y="195929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32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F050000}"/>
            </a:ext>
          </a:extLst>
        </xdr:cNvPr>
        <xdr:cNvSpPr>
          <a:spLocks noChangeAspect="1" noChangeArrowheads="1"/>
        </xdr:cNvSpPr>
      </xdr:nvSpPr>
      <xdr:spPr bwMode="auto">
        <a:xfrm>
          <a:off x="39300150" y="196224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32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0050000}"/>
            </a:ext>
          </a:extLst>
        </xdr:cNvPr>
        <xdr:cNvSpPr>
          <a:spLocks noChangeAspect="1" noChangeArrowheads="1"/>
        </xdr:cNvSpPr>
      </xdr:nvSpPr>
      <xdr:spPr bwMode="auto">
        <a:xfrm>
          <a:off x="39300150" y="196224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32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1050000}"/>
            </a:ext>
          </a:extLst>
        </xdr:cNvPr>
        <xdr:cNvSpPr>
          <a:spLocks noChangeAspect="1" noChangeArrowheads="1"/>
        </xdr:cNvSpPr>
      </xdr:nvSpPr>
      <xdr:spPr bwMode="auto">
        <a:xfrm>
          <a:off x="39300150" y="196519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33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2050000}"/>
            </a:ext>
          </a:extLst>
        </xdr:cNvPr>
        <xdr:cNvSpPr>
          <a:spLocks noChangeAspect="1" noChangeArrowheads="1"/>
        </xdr:cNvSpPr>
      </xdr:nvSpPr>
      <xdr:spPr bwMode="auto">
        <a:xfrm>
          <a:off x="39300150" y="196519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33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3050000}"/>
            </a:ext>
          </a:extLst>
        </xdr:cNvPr>
        <xdr:cNvSpPr>
          <a:spLocks noChangeAspect="1" noChangeArrowheads="1"/>
        </xdr:cNvSpPr>
      </xdr:nvSpPr>
      <xdr:spPr bwMode="auto">
        <a:xfrm>
          <a:off x="39300150" y="196815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33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4050000}"/>
            </a:ext>
          </a:extLst>
        </xdr:cNvPr>
        <xdr:cNvSpPr>
          <a:spLocks noChangeAspect="1" noChangeArrowheads="1"/>
        </xdr:cNvSpPr>
      </xdr:nvSpPr>
      <xdr:spPr bwMode="auto">
        <a:xfrm>
          <a:off x="39300150" y="196815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33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5050000}"/>
            </a:ext>
          </a:extLst>
        </xdr:cNvPr>
        <xdr:cNvSpPr>
          <a:spLocks noChangeAspect="1" noChangeArrowheads="1"/>
        </xdr:cNvSpPr>
      </xdr:nvSpPr>
      <xdr:spPr bwMode="auto">
        <a:xfrm>
          <a:off x="39300150" y="197110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33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6050000}"/>
            </a:ext>
          </a:extLst>
        </xdr:cNvPr>
        <xdr:cNvSpPr>
          <a:spLocks noChangeAspect="1" noChangeArrowheads="1"/>
        </xdr:cNvSpPr>
      </xdr:nvSpPr>
      <xdr:spPr bwMode="auto">
        <a:xfrm>
          <a:off x="39300150" y="197110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33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7050000}"/>
            </a:ext>
          </a:extLst>
        </xdr:cNvPr>
        <xdr:cNvSpPr>
          <a:spLocks noChangeAspect="1" noChangeArrowheads="1"/>
        </xdr:cNvSpPr>
      </xdr:nvSpPr>
      <xdr:spPr bwMode="auto">
        <a:xfrm>
          <a:off x="39300150" y="197405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33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8050000}"/>
            </a:ext>
          </a:extLst>
        </xdr:cNvPr>
        <xdr:cNvSpPr>
          <a:spLocks noChangeAspect="1" noChangeArrowheads="1"/>
        </xdr:cNvSpPr>
      </xdr:nvSpPr>
      <xdr:spPr bwMode="auto">
        <a:xfrm>
          <a:off x="39300150" y="197405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33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9050000}"/>
            </a:ext>
          </a:extLst>
        </xdr:cNvPr>
        <xdr:cNvSpPr>
          <a:spLocks noChangeAspect="1" noChangeArrowheads="1"/>
        </xdr:cNvSpPr>
      </xdr:nvSpPr>
      <xdr:spPr bwMode="auto">
        <a:xfrm>
          <a:off x="39300150" y="197700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33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A050000}"/>
            </a:ext>
          </a:extLst>
        </xdr:cNvPr>
        <xdr:cNvSpPr>
          <a:spLocks noChangeAspect="1" noChangeArrowheads="1"/>
        </xdr:cNvSpPr>
      </xdr:nvSpPr>
      <xdr:spPr bwMode="auto">
        <a:xfrm>
          <a:off x="39300150" y="197700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33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B050000}"/>
            </a:ext>
          </a:extLst>
        </xdr:cNvPr>
        <xdr:cNvSpPr>
          <a:spLocks noChangeAspect="1" noChangeArrowheads="1"/>
        </xdr:cNvSpPr>
      </xdr:nvSpPr>
      <xdr:spPr bwMode="auto">
        <a:xfrm>
          <a:off x="39300150" y="1979961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34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C050000}"/>
            </a:ext>
          </a:extLst>
        </xdr:cNvPr>
        <xdr:cNvSpPr>
          <a:spLocks noChangeAspect="1" noChangeArrowheads="1"/>
        </xdr:cNvSpPr>
      </xdr:nvSpPr>
      <xdr:spPr bwMode="auto">
        <a:xfrm>
          <a:off x="39300150" y="1979961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34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D050000}"/>
            </a:ext>
          </a:extLst>
        </xdr:cNvPr>
        <xdr:cNvSpPr>
          <a:spLocks noChangeAspect="1" noChangeArrowheads="1"/>
        </xdr:cNvSpPr>
      </xdr:nvSpPr>
      <xdr:spPr bwMode="auto">
        <a:xfrm>
          <a:off x="39300150" y="198291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34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E050000}"/>
            </a:ext>
          </a:extLst>
        </xdr:cNvPr>
        <xdr:cNvSpPr>
          <a:spLocks noChangeAspect="1" noChangeArrowheads="1"/>
        </xdr:cNvSpPr>
      </xdr:nvSpPr>
      <xdr:spPr bwMode="auto">
        <a:xfrm>
          <a:off x="39300150" y="198291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34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F050000}"/>
            </a:ext>
          </a:extLst>
        </xdr:cNvPr>
        <xdr:cNvSpPr>
          <a:spLocks noChangeAspect="1" noChangeArrowheads="1"/>
        </xdr:cNvSpPr>
      </xdr:nvSpPr>
      <xdr:spPr bwMode="auto">
        <a:xfrm>
          <a:off x="39300150" y="1985867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34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0050000}"/>
            </a:ext>
          </a:extLst>
        </xdr:cNvPr>
        <xdr:cNvSpPr>
          <a:spLocks noChangeAspect="1" noChangeArrowheads="1"/>
        </xdr:cNvSpPr>
      </xdr:nvSpPr>
      <xdr:spPr bwMode="auto">
        <a:xfrm>
          <a:off x="39300150" y="1985867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34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1050000}"/>
            </a:ext>
          </a:extLst>
        </xdr:cNvPr>
        <xdr:cNvSpPr>
          <a:spLocks noChangeAspect="1" noChangeArrowheads="1"/>
        </xdr:cNvSpPr>
      </xdr:nvSpPr>
      <xdr:spPr bwMode="auto">
        <a:xfrm>
          <a:off x="39300150" y="198882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34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2050000}"/>
            </a:ext>
          </a:extLst>
        </xdr:cNvPr>
        <xdr:cNvSpPr>
          <a:spLocks noChangeAspect="1" noChangeArrowheads="1"/>
        </xdr:cNvSpPr>
      </xdr:nvSpPr>
      <xdr:spPr bwMode="auto">
        <a:xfrm>
          <a:off x="39300150" y="198882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34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3050000}"/>
            </a:ext>
          </a:extLst>
        </xdr:cNvPr>
        <xdr:cNvSpPr>
          <a:spLocks noChangeAspect="1" noChangeArrowheads="1"/>
        </xdr:cNvSpPr>
      </xdr:nvSpPr>
      <xdr:spPr bwMode="auto">
        <a:xfrm>
          <a:off x="39300150" y="1991772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34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4050000}"/>
            </a:ext>
          </a:extLst>
        </xdr:cNvPr>
        <xdr:cNvSpPr>
          <a:spLocks noChangeAspect="1" noChangeArrowheads="1"/>
        </xdr:cNvSpPr>
      </xdr:nvSpPr>
      <xdr:spPr bwMode="auto">
        <a:xfrm>
          <a:off x="39300150" y="1991772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34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5050000}"/>
            </a:ext>
          </a:extLst>
        </xdr:cNvPr>
        <xdr:cNvSpPr>
          <a:spLocks noChangeAspect="1" noChangeArrowheads="1"/>
        </xdr:cNvSpPr>
      </xdr:nvSpPr>
      <xdr:spPr bwMode="auto">
        <a:xfrm>
          <a:off x="39300150" y="199472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35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6050000}"/>
            </a:ext>
          </a:extLst>
        </xdr:cNvPr>
        <xdr:cNvSpPr>
          <a:spLocks noChangeAspect="1" noChangeArrowheads="1"/>
        </xdr:cNvSpPr>
      </xdr:nvSpPr>
      <xdr:spPr bwMode="auto">
        <a:xfrm>
          <a:off x="39300150" y="199472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35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7050000}"/>
            </a:ext>
          </a:extLst>
        </xdr:cNvPr>
        <xdr:cNvSpPr>
          <a:spLocks noChangeAspect="1" noChangeArrowheads="1"/>
        </xdr:cNvSpPr>
      </xdr:nvSpPr>
      <xdr:spPr bwMode="auto">
        <a:xfrm>
          <a:off x="39300150" y="199767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35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8050000}"/>
            </a:ext>
          </a:extLst>
        </xdr:cNvPr>
        <xdr:cNvSpPr>
          <a:spLocks noChangeAspect="1" noChangeArrowheads="1"/>
        </xdr:cNvSpPr>
      </xdr:nvSpPr>
      <xdr:spPr bwMode="auto">
        <a:xfrm>
          <a:off x="39300150" y="199767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35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9050000}"/>
            </a:ext>
          </a:extLst>
        </xdr:cNvPr>
        <xdr:cNvSpPr>
          <a:spLocks noChangeAspect="1" noChangeArrowheads="1"/>
        </xdr:cNvSpPr>
      </xdr:nvSpPr>
      <xdr:spPr bwMode="auto">
        <a:xfrm>
          <a:off x="39300150" y="200063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35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A050000}"/>
            </a:ext>
          </a:extLst>
        </xdr:cNvPr>
        <xdr:cNvSpPr>
          <a:spLocks noChangeAspect="1" noChangeArrowheads="1"/>
        </xdr:cNvSpPr>
      </xdr:nvSpPr>
      <xdr:spPr bwMode="auto">
        <a:xfrm>
          <a:off x="39300150" y="200063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35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B050000}"/>
            </a:ext>
          </a:extLst>
        </xdr:cNvPr>
        <xdr:cNvSpPr>
          <a:spLocks noChangeAspect="1" noChangeArrowheads="1"/>
        </xdr:cNvSpPr>
      </xdr:nvSpPr>
      <xdr:spPr bwMode="auto">
        <a:xfrm>
          <a:off x="39300150" y="200358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35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C050000}"/>
            </a:ext>
          </a:extLst>
        </xdr:cNvPr>
        <xdr:cNvSpPr>
          <a:spLocks noChangeAspect="1" noChangeArrowheads="1"/>
        </xdr:cNvSpPr>
      </xdr:nvSpPr>
      <xdr:spPr bwMode="auto">
        <a:xfrm>
          <a:off x="39300150" y="200358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35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D050000}"/>
            </a:ext>
          </a:extLst>
        </xdr:cNvPr>
        <xdr:cNvSpPr>
          <a:spLocks noChangeAspect="1" noChangeArrowheads="1"/>
        </xdr:cNvSpPr>
      </xdr:nvSpPr>
      <xdr:spPr bwMode="auto">
        <a:xfrm>
          <a:off x="39300150" y="200653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35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E050000}"/>
            </a:ext>
          </a:extLst>
        </xdr:cNvPr>
        <xdr:cNvSpPr>
          <a:spLocks noChangeAspect="1" noChangeArrowheads="1"/>
        </xdr:cNvSpPr>
      </xdr:nvSpPr>
      <xdr:spPr bwMode="auto">
        <a:xfrm>
          <a:off x="39300150" y="200653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35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F050000}"/>
            </a:ext>
          </a:extLst>
        </xdr:cNvPr>
        <xdr:cNvSpPr>
          <a:spLocks noChangeAspect="1" noChangeArrowheads="1"/>
        </xdr:cNvSpPr>
      </xdr:nvSpPr>
      <xdr:spPr bwMode="auto">
        <a:xfrm>
          <a:off x="39300150" y="2009489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36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0050000}"/>
            </a:ext>
          </a:extLst>
        </xdr:cNvPr>
        <xdr:cNvSpPr>
          <a:spLocks noChangeAspect="1" noChangeArrowheads="1"/>
        </xdr:cNvSpPr>
      </xdr:nvSpPr>
      <xdr:spPr bwMode="auto">
        <a:xfrm>
          <a:off x="39300150" y="2009489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36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1050000}"/>
            </a:ext>
          </a:extLst>
        </xdr:cNvPr>
        <xdr:cNvSpPr>
          <a:spLocks noChangeAspect="1" noChangeArrowheads="1"/>
        </xdr:cNvSpPr>
      </xdr:nvSpPr>
      <xdr:spPr bwMode="auto">
        <a:xfrm>
          <a:off x="39300150" y="201244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36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2050000}"/>
            </a:ext>
          </a:extLst>
        </xdr:cNvPr>
        <xdr:cNvSpPr>
          <a:spLocks noChangeAspect="1" noChangeArrowheads="1"/>
        </xdr:cNvSpPr>
      </xdr:nvSpPr>
      <xdr:spPr bwMode="auto">
        <a:xfrm>
          <a:off x="39300150" y="201244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36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3050000}"/>
            </a:ext>
          </a:extLst>
        </xdr:cNvPr>
        <xdr:cNvSpPr>
          <a:spLocks noChangeAspect="1" noChangeArrowheads="1"/>
        </xdr:cNvSpPr>
      </xdr:nvSpPr>
      <xdr:spPr bwMode="auto">
        <a:xfrm>
          <a:off x="39300150" y="2015394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36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4050000}"/>
            </a:ext>
          </a:extLst>
        </xdr:cNvPr>
        <xdr:cNvSpPr>
          <a:spLocks noChangeAspect="1" noChangeArrowheads="1"/>
        </xdr:cNvSpPr>
      </xdr:nvSpPr>
      <xdr:spPr bwMode="auto">
        <a:xfrm>
          <a:off x="39300150" y="2015394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36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5050000}"/>
            </a:ext>
          </a:extLst>
        </xdr:cNvPr>
        <xdr:cNvSpPr>
          <a:spLocks noChangeAspect="1" noChangeArrowheads="1"/>
        </xdr:cNvSpPr>
      </xdr:nvSpPr>
      <xdr:spPr bwMode="auto">
        <a:xfrm>
          <a:off x="39300150" y="201834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36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6050000}"/>
            </a:ext>
          </a:extLst>
        </xdr:cNvPr>
        <xdr:cNvSpPr>
          <a:spLocks noChangeAspect="1" noChangeArrowheads="1"/>
        </xdr:cNvSpPr>
      </xdr:nvSpPr>
      <xdr:spPr bwMode="auto">
        <a:xfrm>
          <a:off x="39300150" y="201834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36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7050000}"/>
            </a:ext>
          </a:extLst>
        </xdr:cNvPr>
        <xdr:cNvSpPr>
          <a:spLocks noChangeAspect="1" noChangeArrowheads="1"/>
        </xdr:cNvSpPr>
      </xdr:nvSpPr>
      <xdr:spPr bwMode="auto">
        <a:xfrm>
          <a:off x="39300150" y="202130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36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8050000}"/>
            </a:ext>
          </a:extLst>
        </xdr:cNvPr>
        <xdr:cNvSpPr>
          <a:spLocks noChangeAspect="1" noChangeArrowheads="1"/>
        </xdr:cNvSpPr>
      </xdr:nvSpPr>
      <xdr:spPr bwMode="auto">
        <a:xfrm>
          <a:off x="39300150" y="202130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36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9050000}"/>
            </a:ext>
          </a:extLst>
        </xdr:cNvPr>
        <xdr:cNvSpPr>
          <a:spLocks noChangeAspect="1" noChangeArrowheads="1"/>
        </xdr:cNvSpPr>
      </xdr:nvSpPr>
      <xdr:spPr bwMode="auto">
        <a:xfrm>
          <a:off x="39300150" y="202425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37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A050000}"/>
            </a:ext>
          </a:extLst>
        </xdr:cNvPr>
        <xdr:cNvSpPr>
          <a:spLocks noChangeAspect="1" noChangeArrowheads="1"/>
        </xdr:cNvSpPr>
      </xdr:nvSpPr>
      <xdr:spPr bwMode="auto">
        <a:xfrm>
          <a:off x="39300150" y="202425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37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B050000}"/>
            </a:ext>
          </a:extLst>
        </xdr:cNvPr>
        <xdr:cNvSpPr>
          <a:spLocks noChangeAspect="1" noChangeArrowheads="1"/>
        </xdr:cNvSpPr>
      </xdr:nvSpPr>
      <xdr:spPr bwMode="auto">
        <a:xfrm>
          <a:off x="39300150" y="202720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37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C050000}"/>
            </a:ext>
          </a:extLst>
        </xdr:cNvPr>
        <xdr:cNvSpPr>
          <a:spLocks noChangeAspect="1" noChangeArrowheads="1"/>
        </xdr:cNvSpPr>
      </xdr:nvSpPr>
      <xdr:spPr bwMode="auto">
        <a:xfrm>
          <a:off x="39300150" y="202720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37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D050000}"/>
            </a:ext>
          </a:extLst>
        </xdr:cNvPr>
        <xdr:cNvSpPr>
          <a:spLocks noChangeAspect="1" noChangeArrowheads="1"/>
        </xdr:cNvSpPr>
      </xdr:nvSpPr>
      <xdr:spPr bwMode="auto">
        <a:xfrm>
          <a:off x="39300150" y="203015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37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E050000}"/>
            </a:ext>
          </a:extLst>
        </xdr:cNvPr>
        <xdr:cNvSpPr>
          <a:spLocks noChangeAspect="1" noChangeArrowheads="1"/>
        </xdr:cNvSpPr>
      </xdr:nvSpPr>
      <xdr:spPr bwMode="auto">
        <a:xfrm>
          <a:off x="39300150" y="203015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37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F050000}"/>
            </a:ext>
          </a:extLst>
        </xdr:cNvPr>
        <xdr:cNvSpPr>
          <a:spLocks noChangeAspect="1" noChangeArrowheads="1"/>
        </xdr:cNvSpPr>
      </xdr:nvSpPr>
      <xdr:spPr bwMode="auto">
        <a:xfrm>
          <a:off x="39300150" y="2033111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37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0050000}"/>
            </a:ext>
          </a:extLst>
        </xdr:cNvPr>
        <xdr:cNvSpPr>
          <a:spLocks noChangeAspect="1" noChangeArrowheads="1"/>
        </xdr:cNvSpPr>
      </xdr:nvSpPr>
      <xdr:spPr bwMode="auto">
        <a:xfrm>
          <a:off x="39300150" y="2033111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37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1050000}"/>
            </a:ext>
          </a:extLst>
        </xdr:cNvPr>
        <xdr:cNvSpPr>
          <a:spLocks noChangeAspect="1" noChangeArrowheads="1"/>
        </xdr:cNvSpPr>
      </xdr:nvSpPr>
      <xdr:spPr bwMode="auto">
        <a:xfrm>
          <a:off x="39300150" y="203606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37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2050000}"/>
            </a:ext>
          </a:extLst>
        </xdr:cNvPr>
        <xdr:cNvSpPr>
          <a:spLocks noChangeAspect="1" noChangeArrowheads="1"/>
        </xdr:cNvSpPr>
      </xdr:nvSpPr>
      <xdr:spPr bwMode="auto">
        <a:xfrm>
          <a:off x="39300150" y="203606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37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3050000}"/>
            </a:ext>
          </a:extLst>
        </xdr:cNvPr>
        <xdr:cNvSpPr>
          <a:spLocks noChangeAspect="1" noChangeArrowheads="1"/>
        </xdr:cNvSpPr>
      </xdr:nvSpPr>
      <xdr:spPr bwMode="auto">
        <a:xfrm>
          <a:off x="39300150" y="2039016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38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4050000}"/>
            </a:ext>
          </a:extLst>
        </xdr:cNvPr>
        <xdr:cNvSpPr>
          <a:spLocks noChangeAspect="1" noChangeArrowheads="1"/>
        </xdr:cNvSpPr>
      </xdr:nvSpPr>
      <xdr:spPr bwMode="auto">
        <a:xfrm>
          <a:off x="39300150" y="2039016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38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5050000}"/>
            </a:ext>
          </a:extLst>
        </xdr:cNvPr>
        <xdr:cNvSpPr>
          <a:spLocks noChangeAspect="1" noChangeArrowheads="1"/>
        </xdr:cNvSpPr>
      </xdr:nvSpPr>
      <xdr:spPr bwMode="auto">
        <a:xfrm>
          <a:off x="39300150" y="204196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38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6050000}"/>
            </a:ext>
          </a:extLst>
        </xdr:cNvPr>
        <xdr:cNvSpPr>
          <a:spLocks noChangeAspect="1" noChangeArrowheads="1"/>
        </xdr:cNvSpPr>
      </xdr:nvSpPr>
      <xdr:spPr bwMode="auto">
        <a:xfrm>
          <a:off x="39300150" y="204196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38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7050000}"/>
            </a:ext>
          </a:extLst>
        </xdr:cNvPr>
        <xdr:cNvSpPr>
          <a:spLocks noChangeAspect="1" noChangeArrowheads="1"/>
        </xdr:cNvSpPr>
      </xdr:nvSpPr>
      <xdr:spPr bwMode="auto">
        <a:xfrm>
          <a:off x="39300150" y="204492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38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8050000}"/>
            </a:ext>
          </a:extLst>
        </xdr:cNvPr>
        <xdr:cNvSpPr>
          <a:spLocks noChangeAspect="1" noChangeArrowheads="1"/>
        </xdr:cNvSpPr>
      </xdr:nvSpPr>
      <xdr:spPr bwMode="auto">
        <a:xfrm>
          <a:off x="39300150" y="204492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38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9050000}"/>
            </a:ext>
          </a:extLst>
        </xdr:cNvPr>
        <xdr:cNvSpPr>
          <a:spLocks noChangeAspect="1" noChangeArrowheads="1"/>
        </xdr:cNvSpPr>
      </xdr:nvSpPr>
      <xdr:spPr bwMode="auto">
        <a:xfrm>
          <a:off x="39300150" y="20478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38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A050000}"/>
            </a:ext>
          </a:extLst>
        </xdr:cNvPr>
        <xdr:cNvSpPr>
          <a:spLocks noChangeAspect="1" noChangeArrowheads="1"/>
        </xdr:cNvSpPr>
      </xdr:nvSpPr>
      <xdr:spPr bwMode="auto">
        <a:xfrm>
          <a:off x="39300150" y="20478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38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B050000}"/>
            </a:ext>
          </a:extLst>
        </xdr:cNvPr>
        <xdr:cNvSpPr>
          <a:spLocks noChangeAspect="1" noChangeArrowheads="1"/>
        </xdr:cNvSpPr>
      </xdr:nvSpPr>
      <xdr:spPr bwMode="auto">
        <a:xfrm>
          <a:off x="39300150" y="2050827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38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C050000}"/>
            </a:ext>
          </a:extLst>
        </xdr:cNvPr>
        <xdr:cNvSpPr>
          <a:spLocks noChangeAspect="1" noChangeArrowheads="1"/>
        </xdr:cNvSpPr>
      </xdr:nvSpPr>
      <xdr:spPr bwMode="auto">
        <a:xfrm>
          <a:off x="39300150" y="2050827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38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D050000}"/>
            </a:ext>
          </a:extLst>
        </xdr:cNvPr>
        <xdr:cNvSpPr>
          <a:spLocks noChangeAspect="1" noChangeArrowheads="1"/>
        </xdr:cNvSpPr>
      </xdr:nvSpPr>
      <xdr:spPr bwMode="auto">
        <a:xfrm>
          <a:off x="39300150" y="205378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39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E050000}"/>
            </a:ext>
          </a:extLst>
        </xdr:cNvPr>
        <xdr:cNvSpPr>
          <a:spLocks noChangeAspect="1" noChangeArrowheads="1"/>
        </xdr:cNvSpPr>
      </xdr:nvSpPr>
      <xdr:spPr bwMode="auto">
        <a:xfrm>
          <a:off x="39300150" y="205378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39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F050000}"/>
            </a:ext>
          </a:extLst>
        </xdr:cNvPr>
        <xdr:cNvSpPr>
          <a:spLocks noChangeAspect="1" noChangeArrowheads="1"/>
        </xdr:cNvSpPr>
      </xdr:nvSpPr>
      <xdr:spPr bwMode="auto">
        <a:xfrm>
          <a:off x="39300150" y="205673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39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0050000}"/>
            </a:ext>
          </a:extLst>
        </xdr:cNvPr>
        <xdr:cNvSpPr>
          <a:spLocks noChangeAspect="1" noChangeArrowheads="1"/>
        </xdr:cNvSpPr>
      </xdr:nvSpPr>
      <xdr:spPr bwMode="auto">
        <a:xfrm>
          <a:off x="39300150" y="205673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39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1050000}"/>
            </a:ext>
          </a:extLst>
        </xdr:cNvPr>
        <xdr:cNvSpPr>
          <a:spLocks noChangeAspect="1" noChangeArrowheads="1"/>
        </xdr:cNvSpPr>
      </xdr:nvSpPr>
      <xdr:spPr bwMode="auto">
        <a:xfrm>
          <a:off x="39300150" y="205968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39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2050000}"/>
            </a:ext>
          </a:extLst>
        </xdr:cNvPr>
        <xdr:cNvSpPr>
          <a:spLocks noChangeAspect="1" noChangeArrowheads="1"/>
        </xdr:cNvSpPr>
      </xdr:nvSpPr>
      <xdr:spPr bwMode="auto">
        <a:xfrm>
          <a:off x="39300150" y="205968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39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3050000}"/>
            </a:ext>
          </a:extLst>
        </xdr:cNvPr>
        <xdr:cNvSpPr>
          <a:spLocks noChangeAspect="1" noChangeArrowheads="1"/>
        </xdr:cNvSpPr>
      </xdr:nvSpPr>
      <xdr:spPr bwMode="auto">
        <a:xfrm>
          <a:off x="39300150" y="206263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39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4050000}"/>
            </a:ext>
          </a:extLst>
        </xdr:cNvPr>
        <xdr:cNvSpPr>
          <a:spLocks noChangeAspect="1" noChangeArrowheads="1"/>
        </xdr:cNvSpPr>
      </xdr:nvSpPr>
      <xdr:spPr bwMode="auto">
        <a:xfrm>
          <a:off x="39300150" y="206263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39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5050000}"/>
            </a:ext>
          </a:extLst>
        </xdr:cNvPr>
        <xdr:cNvSpPr>
          <a:spLocks noChangeAspect="1" noChangeArrowheads="1"/>
        </xdr:cNvSpPr>
      </xdr:nvSpPr>
      <xdr:spPr bwMode="auto">
        <a:xfrm>
          <a:off x="39300150" y="206559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39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6050000}"/>
            </a:ext>
          </a:extLst>
        </xdr:cNvPr>
        <xdr:cNvSpPr>
          <a:spLocks noChangeAspect="1" noChangeArrowheads="1"/>
        </xdr:cNvSpPr>
      </xdr:nvSpPr>
      <xdr:spPr bwMode="auto">
        <a:xfrm>
          <a:off x="39300150" y="206559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39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7050000}"/>
            </a:ext>
          </a:extLst>
        </xdr:cNvPr>
        <xdr:cNvSpPr>
          <a:spLocks noChangeAspect="1" noChangeArrowheads="1"/>
        </xdr:cNvSpPr>
      </xdr:nvSpPr>
      <xdr:spPr bwMode="auto">
        <a:xfrm>
          <a:off x="39300150" y="2068544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40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8050000}"/>
            </a:ext>
          </a:extLst>
        </xdr:cNvPr>
        <xdr:cNvSpPr>
          <a:spLocks noChangeAspect="1" noChangeArrowheads="1"/>
        </xdr:cNvSpPr>
      </xdr:nvSpPr>
      <xdr:spPr bwMode="auto">
        <a:xfrm>
          <a:off x="39300150" y="2068544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40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9050000}"/>
            </a:ext>
          </a:extLst>
        </xdr:cNvPr>
        <xdr:cNvSpPr>
          <a:spLocks noChangeAspect="1" noChangeArrowheads="1"/>
        </xdr:cNvSpPr>
      </xdr:nvSpPr>
      <xdr:spPr bwMode="auto">
        <a:xfrm>
          <a:off x="39300150" y="20714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40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A050000}"/>
            </a:ext>
          </a:extLst>
        </xdr:cNvPr>
        <xdr:cNvSpPr>
          <a:spLocks noChangeAspect="1" noChangeArrowheads="1"/>
        </xdr:cNvSpPr>
      </xdr:nvSpPr>
      <xdr:spPr bwMode="auto">
        <a:xfrm>
          <a:off x="39300150" y="20714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40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B050000}"/>
            </a:ext>
          </a:extLst>
        </xdr:cNvPr>
        <xdr:cNvSpPr>
          <a:spLocks noChangeAspect="1" noChangeArrowheads="1"/>
        </xdr:cNvSpPr>
      </xdr:nvSpPr>
      <xdr:spPr bwMode="auto">
        <a:xfrm>
          <a:off x="39300150" y="2074449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40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C050000}"/>
            </a:ext>
          </a:extLst>
        </xdr:cNvPr>
        <xdr:cNvSpPr>
          <a:spLocks noChangeAspect="1" noChangeArrowheads="1"/>
        </xdr:cNvSpPr>
      </xdr:nvSpPr>
      <xdr:spPr bwMode="auto">
        <a:xfrm>
          <a:off x="39300150" y="2074449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40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D050000}"/>
            </a:ext>
          </a:extLst>
        </xdr:cNvPr>
        <xdr:cNvSpPr>
          <a:spLocks noChangeAspect="1" noChangeArrowheads="1"/>
        </xdr:cNvSpPr>
      </xdr:nvSpPr>
      <xdr:spPr bwMode="auto">
        <a:xfrm>
          <a:off x="39300150" y="207740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40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E050000}"/>
            </a:ext>
          </a:extLst>
        </xdr:cNvPr>
        <xdr:cNvSpPr>
          <a:spLocks noChangeAspect="1" noChangeArrowheads="1"/>
        </xdr:cNvSpPr>
      </xdr:nvSpPr>
      <xdr:spPr bwMode="auto">
        <a:xfrm>
          <a:off x="39300150" y="207740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40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F050000}"/>
            </a:ext>
          </a:extLst>
        </xdr:cNvPr>
        <xdr:cNvSpPr>
          <a:spLocks noChangeAspect="1" noChangeArrowheads="1"/>
        </xdr:cNvSpPr>
      </xdr:nvSpPr>
      <xdr:spPr bwMode="auto">
        <a:xfrm>
          <a:off x="39300150" y="208035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40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0050000}"/>
            </a:ext>
          </a:extLst>
        </xdr:cNvPr>
        <xdr:cNvSpPr>
          <a:spLocks noChangeAspect="1" noChangeArrowheads="1"/>
        </xdr:cNvSpPr>
      </xdr:nvSpPr>
      <xdr:spPr bwMode="auto">
        <a:xfrm>
          <a:off x="39300150" y="208035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40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1050000}"/>
            </a:ext>
          </a:extLst>
        </xdr:cNvPr>
        <xdr:cNvSpPr>
          <a:spLocks noChangeAspect="1" noChangeArrowheads="1"/>
        </xdr:cNvSpPr>
      </xdr:nvSpPr>
      <xdr:spPr bwMode="auto">
        <a:xfrm>
          <a:off x="39300150" y="208330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41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2050000}"/>
            </a:ext>
          </a:extLst>
        </xdr:cNvPr>
        <xdr:cNvSpPr>
          <a:spLocks noChangeAspect="1" noChangeArrowheads="1"/>
        </xdr:cNvSpPr>
      </xdr:nvSpPr>
      <xdr:spPr bwMode="auto">
        <a:xfrm>
          <a:off x="39300150" y="208330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41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3050000}"/>
            </a:ext>
          </a:extLst>
        </xdr:cNvPr>
        <xdr:cNvSpPr>
          <a:spLocks noChangeAspect="1" noChangeArrowheads="1"/>
        </xdr:cNvSpPr>
      </xdr:nvSpPr>
      <xdr:spPr bwMode="auto">
        <a:xfrm>
          <a:off x="39300150" y="208626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41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4050000}"/>
            </a:ext>
          </a:extLst>
        </xdr:cNvPr>
        <xdr:cNvSpPr>
          <a:spLocks noChangeAspect="1" noChangeArrowheads="1"/>
        </xdr:cNvSpPr>
      </xdr:nvSpPr>
      <xdr:spPr bwMode="auto">
        <a:xfrm>
          <a:off x="39300150" y="208626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41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5050000}"/>
            </a:ext>
          </a:extLst>
        </xdr:cNvPr>
        <xdr:cNvSpPr>
          <a:spLocks noChangeAspect="1" noChangeArrowheads="1"/>
        </xdr:cNvSpPr>
      </xdr:nvSpPr>
      <xdr:spPr bwMode="auto">
        <a:xfrm>
          <a:off x="39300150" y="208921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41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6050000}"/>
            </a:ext>
          </a:extLst>
        </xdr:cNvPr>
        <xdr:cNvSpPr>
          <a:spLocks noChangeAspect="1" noChangeArrowheads="1"/>
        </xdr:cNvSpPr>
      </xdr:nvSpPr>
      <xdr:spPr bwMode="auto">
        <a:xfrm>
          <a:off x="39300150" y="208921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41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7050000}"/>
            </a:ext>
          </a:extLst>
        </xdr:cNvPr>
        <xdr:cNvSpPr>
          <a:spLocks noChangeAspect="1" noChangeArrowheads="1"/>
        </xdr:cNvSpPr>
      </xdr:nvSpPr>
      <xdr:spPr bwMode="auto">
        <a:xfrm>
          <a:off x="39300150" y="209216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41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8050000}"/>
            </a:ext>
          </a:extLst>
        </xdr:cNvPr>
        <xdr:cNvSpPr>
          <a:spLocks noChangeAspect="1" noChangeArrowheads="1"/>
        </xdr:cNvSpPr>
      </xdr:nvSpPr>
      <xdr:spPr bwMode="auto">
        <a:xfrm>
          <a:off x="39300150" y="209216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41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9050000}"/>
            </a:ext>
          </a:extLst>
        </xdr:cNvPr>
        <xdr:cNvSpPr>
          <a:spLocks noChangeAspect="1" noChangeArrowheads="1"/>
        </xdr:cNvSpPr>
      </xdr:nvSpPr>
      <xdr:spPr bwMode="auto">
        <a:xfrm>
          <a:off x="39300150" y="209511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41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A050000}"/>
            </a:ext>
          </a:extLst>
        </xdr:cNvPr>
        <xdr:cNvSpPr>
          <a:spLocks noChangeAspect="1" noChangeArrowheads="1"/>
        </xdr:cNvSpPr>
      </xdr:nvSpPr>
      <xdr:spPr bwMode="auto">
        <a:xfrm>
          <a:off x="39300150" y="209511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41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B050000}"/>
            </a:ext>
          </a:extLst>
        </xdr:cNvPr>
        <xdr:cNvSpPr>
          <a:spLocks noChangeAspect="1" noChangeArrowheads="1"/>
        </xdr:cNvSpPr>
      </xdr:nvSpPr>
      <xdr:spPr bwMode="auto">
        <a:xfrm>
          <a:off x="39300150" y="2098071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42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C050000}"/>
            </a:ext>
          </a:extLst>
        </xdr:cNvPr>
        <xdr:cNvSpPr>
          <a:spLocks noChangeAspect="1" noChangeArrowheads="1"/>
        </xdr:cNvSpPr>
      </xdr:nvSpPr>
      <xdr:spPr bwMode="auto">
        <a:xfrm>
          <a:off x="39300150" y="2098071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42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D050000}"/>
            </a:ext>
          </a:extLst>
        </xdr:cNvPr>
        <xdr:cNvSpPr>
          <a:spLocks noChangeAspect="1" noChangeArrowheads="1"/>
        </xdr:cNvSpPr>
      </xdr:nvSpPr>
      <xdr:spPr bwMode="auto">
        <a:xfrm>
          <a:off x="39300150" y="210102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42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E050000}"/>
            </a:ext>
          </a:extLst>
        </xdr:cNvPr>
        <xdr:cNvSpPr>
          <a:spLocks noChangeAspect="1" noChangeArrowheads="1"/>
        </xdr:cNvSpPr>
      </xdr:nvSpPr>
      <xdr:spPr bwMode="auto">
        <a:xfrm>
          <a:off x="39300150" y="210102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42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F050000}"/>
            </a:ext>
          </a:extLst>
        </xdr:cNvPr>
        <xdr:cNvSpPr>
          <a:spLocks noChangeAspect="1" noChangeArrowheads="1"/>
        </xdr:cNvSpPr>
      </xdr:nvSpPr>
      <xdr:spPr bwMode="auto">
        <a:xfrm>
          <a:off x="39300150" y="2103977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42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0050000}"/>
            </a:ext>
          </a:extLst>
        </xdr:cNvPr>
        <xdr:cNvSpPr>
          <a:spLocks noChangeAspect="1" noChangeArrowheads="1"/>
        </xdr:cNvSpPr>
      </xdr:nvSpPr>
      <xdr:spPr bwMode="auto">
        <a:xfrm>
          <a:off x="39300150" y="2103977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42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1050000}"/>
            </a:ext>
          </a:extLst>
        </xdr:cNvPr>
        <xdr:cNvSpPr>
          <a:spLocks noChangeAspect="1" noChangeArrowheads="1"/>
        </xdr:cNvSpPr>
      </xdr:nvSpPr>
      <xdr:spPr bwMode="auto">
        <a:xfrm>
          <a:off x="39300150" y="210693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42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2050000}"/>
            </a:ext>
          </a:extLst>
        </xdr:cNvPr>
        <xdr:cNvSpPr>
          <a:spLocks noChangeAspect="1" noChangeArrowheads="1"/>
        </xdr:cNvSpPr>
      </xdr:nvSpPr>
      <xdr:spPr bwMode="auto">
        <a:xfrm>
          <a:off x="39300150" y="210693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42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3050000}"/>
            </a:ext>
          </a:extLst>
        </xdr:cNvPr>
        <xdr:cNvSpPr>
          <a:spLocks noChangeAspect="1" noChangeArrowheads="1"/>
        </xdr:cNvSpPr>
      </xdr:nvSpPr>
      <xdr:spPr bwMode="auto">
        <a:xfrm>
          <a:off x="39300150" y="2109882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42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4050000}"/>
            </a:ext>
          </a:extLst>
        </xdr:cNvPr>
        <xdr:cNvSpPr>
          <a:spLocks noChangeAspect="1" noChangeArrowheads="1"/>
        </xdr:cNvSpPr>
      </xdr:nvSpPr>
      <xdr:spPr bwMode="auto">
        <a:xfrm>
          <a:off x="39300150" y="2109882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42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5050000}"/>
            </a:ext>
          </a:extLst>
        </xdr:cNvPr>
        <xdr:cNvSpPr>
          <a:spLocks noChangeAspect="1" noChangeArrowheads="1"/>
        </xdr:cNvSpPr>
      </xdr:nvSpPr>
      <xdr:spPr bwMode="auto">
        <a:xfrm>
          <a:off x="39300150" y="211283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43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6050000}"/>
            </a:ext>
          </a:extLst>
        </xdr:cNvPr>
        <xdr:cNvSpPr>
          <a:spLocks noChangeAspect="1" noChangeArrowheads="1"/>
        </xdr:cNvSpPr>
      </xdr:nvSpPr>
      <xdr:spPr bwMode="auto">
        <a:xfrm>
          <a:off x="39300150" y="211283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43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7050000}"/>
            </a:ext>
          </a:extLst>
        </xdr:cNvPr>
        <xdr:cNvSpPr>
          <a:spLocks noChangeAspect="1" noChangeArrowheads="1"/>
        </xdr:cNvSpPr>
      </xdr:nvSpPr>
      <xdr:spPr bwMode="auto">
        <a:xfrm>
          <a:off x="39300150" y="211578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43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8050000}"/>
            </a:ext>
          </a:extLst>
        </xdr:cNvPr>
        <xdr:cNvSpPr>
          <a:spLocks noChangeAspect="1" noChangeArrowheads="1"/>
        </xdr:cNvSpPr>
      </xdr:nvSpPr>
      <xdr:spPr bwMode="auto">
        <a:xfrm>
          <a:off x="39300150" y="211578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43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9050000}"/>
            </a:ext>
          </a:extLst>
        </xdr:cNvPr>
        <xdr:cNvSpPr>
          <a:spLocks noChangeAspect="1" noChangeArrowheads="1"/>
        </xdr:cNvSpPr>
      </xdr:nvSpPr>
      <xdr:spPr bwMode="auto">
        <a:xfrm>
          <a:off x="39300150" y="211874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43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A050000}"/>
            </a:ext>
          </a:extLst>
        </xdr:cNvPr>
        <xdr:cNvSpPr>
          <a:spLocks noChangeAspect="1" noChangeArrowheads="1"/>
        </xdr:cNvSpPr>
      </xdr:nvSpPr>
      <xdr:spPr bwMode="auto">
        <a:xfrm>
          <a:off x="39300150" y="211874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43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B050000}"/>
            </a:ext>
          </a:extLst>
        </xdr:cNvPr>
        <xdr:cNvSpPr>
          <a:spLocks noChangeAspect="1" noChangeArrowheads="1"/>
        </xdr:cNvSpPr>
      </xdr:nvSpPr>
      <xdr:spPr bwMode="auto">
        <a:xfrm>
          <a:off x="39300150" y="212169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43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C050000}"/>
            </a:ext>
          </a:extLst>
        </xdr:cNvPr>
        <xdr:cNvSpPr>
          <a:spLocks noChangeAspect="1" noChangeArrowheads="1"/>
        </xdr:cNvSpPr>
      </xdr:nvSpPr>
      <xdr:spPr bwMode="auto">
        <a:xfrm>
          <a:off x="39300150" y="212169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43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D050000}"/>
            </a:ext>
          </a:extLst>
        </xdr:cNvPr>
        <xdr:cNvSpPr>
          <a:spLocks noChangeAspect="1" noChangeArrowheads="1"/>
        </xdr:cNvSpPr>
      </xdr:nvSpPr>
      <xdr:spPr bwMode="auto">
        <a:xfrm>
          <a:off x="39300150" y="212464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43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E050000}"/>
            </a:ext>
          </a:extLst>
        </xdr:cNvPr>
        <xdr:cNvSpPr>
          <a:spLocks noChangeAspect="1" noChangeArrowheads="1"/>
        </xdr:cNvSpPr>
      </xdr:nvSpPr>
      <xdr:spPr bwMode="auto">
        <a:xfrm>
          <a:off x="39300150" y="212464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43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F050000}"/>
            </a:ext>
          </a:extLst>
        </xdr:cNvPr>
        <xdr:cNvSpPr>
          <a:spLocks noChangeAspect="1" noChangeArrowheads="1"/>
        </xdr:cNvSpPr>
      </xdr:nvSpPr>
      <xdr:spPr bwMode="auto">
        <a:xfrm>
          <a:off x="39300150" y="2127599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44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0050000}"/>
            </a:ext>
          </a:extLst>
        </xdr:cNvPr>
        <xdr:cNvSpPr>
          <a:spLocks noChangeAspect="1" noChangeArrowheads="1"/>
        </xdr:cNvSpPr>
      </xdr:nvSpPr>
      <xdr:spPr bwMode="auto">
        <a:xfrm>
          <a:off x="39300150" y="2127599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44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1050000}"/>
            </a:ext>
          </a:extLst>
        </xdr:cNvPr>
        <xdr:cNvSpPr>
          <a:spLocks noChangeAspect="1" noChangeArrowheads="1"/>
        </xdr:cNvSpPr>
      </xdr:nvSpPr>
      <xdr:spPr bwMode="auto">
        <a:xfrm>
          <a:off x="39300150" y="213055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44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2050000}"/>
            </a:ext>
          </a:extLst>
        </xdr:cNvPr>
        <xdr:cNvSpPr>
          <a:spLocks noChangeAspect="1" noChangeArrowheads="1"/>
        </xdr:cNvSpPr>
      </xdr:nvSpPr>
      <xdr:spPr bwMode="auto">
        <a:xfrm>
          <a:off x="39300150" y="213055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44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3050000}"/>
            </a:ext>
          </a:extLst>
        </xdr:cNvPr>
        <xdr:cNvSpPr>
          <a:spLocks noChangeAspect="1" noChangeArrowheads="1"/>
        </xdr:cNvSpPr>
      </xdr:nvSpPr>
      <xdr:spPr bwMode="auto">
        <a:xfrm>
          <a:off x="39300150" y="2133504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44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4050000}"/>
            </a:ext>
          </a:extLst>
        </xdr:cNvPr>
        <xdr:cNvSpPr>
          <a:spLocks noChangeAspect="1" noChangeArrowheads="1"/>
        </xdr:cNvSpPr>
      </xdr:nvSpPr>
      <xdr:spPr bwMode="auto">
        <a:xfrm>
          <a:off x="39300150" y="2133504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44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5050000}"/>
            </a:ext>
          </a:extLst>
        </xdr:cNvPr>
        <xdr:cNvSpPr>
          <a:spLocks noChangeAspect="1" noChangeArrowheads="1"/>
        </xdr:cNvSpPr>
      </xdr:nvSpPr>
      <xdr:spPr bwMode="auto">
        <a:xfrm>
          <a:off x="39300150" y="213645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44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6050000}"/>
            </a:ext>
          </a:extLst>
        </xdr:cNvPr>
        <xdr:cNvSpPr>
          <a:spLocks noChangeAspect="1" noChangeArrowheads="1"/>
        </xdr:cNvSpPr>
      </xdr:nvSpPr>
      <xdr:spPr bwMode="auto">
        <a:xfrm>
          <a:off x="39300150" y="213645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44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7050000}"/>
            </a:ext>
          </a:extLst>
        </xdr:cNvPr>
        <xdr:cNvSpPr>
          <a:spLocks noChangeAspect="1" noChangeArrowheads="1"/>
        </xdr:cNvSpPr>
      </xdr:nvSpPr>
      <xdr:spPr bwMode="auto">
        <a:xfrm>
          <a:off x="39300150" y="213941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44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8050000}"/>
            </a:ext>
          </a:extLst>
        </xdr:cNvPr>
        <xdr:cNvSpPr>
          <a:spLocks noChangeAspect="1" noChangeArrowheads="1"/>
        </xdr:cNvSpPr>
      </xdr:nvSpPr>
      <xdr:spPr bwMode="auto">
        <a:xfrm>
          <a:off x="39300150" y="213941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44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9050000}"/>
            </a:ext>
          </a:extLst>
        </xdr:cNvPr>
        <xdr:cNvSpPr>
          <a:spLocks noChangeAspect="1" noChangeArrowheads="1"/>
        </xdr:cNvSpPr>
      </xdr:nvSpPr>
      <xdr:spPr bwMode="auto">
        <a:xfrm>
          <a:off x="39300150" y="214236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45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A050000}"/>
            </a:ext>
          </a:extLst>
        </xdr:cNvPr>
        <xdr:cNvSpPr>
          <a:spLocks noChangeAspect="1" noChangeArrowheads="1"/>
        </xdr:cNvSpPr>
      </xdr:nvSpPr>
      <xdr:spPr bwMode="auto">
        <a:xfrm>
          <a:off x="39300150" y="214236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45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B050000}"/>
            </a:ext>
          </a:extLst>
        </xdr:cNvPr>
        <xdr:cNvSpPr>
          <a:spLocks noChangeAspect="1" noChangeArrowheads="1"/>
        </xdr:cNvSpPr>
      </xdr:nvSpPr>
      <xdr:spPr bwMode="auto">
        <a:xfrm>
          <a:off x="39300150" y="214531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45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C050000}"/>
            </a:ext>
          </a:extLst>
        </xdr:cNvPr>
        <xdr:cNvSpPr>
          <a:spLocks noChangeAspect="1" noChangeArrowheads="1"/>
        </xdr:cNvSpPr>
      </xdr:nvSpPr>
      <xdr:spPr bwMode="auto">
        <a:xfrm>
          <a:off x="39300150" y="214531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45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D050000}"/>
            </a:ext>
          </a:extLst>
        </xdr:cNvPr>
        <xdr:cNvSpPr>
          <a:spLocks noChangeAspect="1" noChangeArrowheads="1"/>
        </xdr:cNvSpPr>
      </xdr:nvSpPr>
      <xdr:spPr bwMode="auto">
        <a:xfrm>
          <a:off x="39300150" y="214826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45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E050000}"/>
            </a:ext>
          </a:extLst>
        </xdr:cNvPr>
        <xdr:cNvSpPr>
          <a:spLocks noChangeAspect="1" noChangeArrowheads="1"/>
        </xdr:cNvSpPr>
      </xdr:nvSpPr>
      <xdr:spPr bwMode="auto">
        <a:xfrm>
          <a:off x="39300150" y="214826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45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F050000}"/>
            </a:ext>
          </a:extLst>
        </xdr:cNvPr>
        <xdr:cNvSpPr>
          <a:spLocks noChangeAspect="1" noChangeArrowheads="1"/>
        </xdr:cNvSpPr>
      </xdr:nvSpPr>
      <xdr:spPr bwMode="auto">
        <a:xfrm>
          <a:off x="39300150" y="2151221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45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0050000}"/>
            </a:ext>
          </a:extLst>
        </xdr:cNvPr>
        <xdr:cNvSpPr>
          <a:spLocks noChangeAspect="1" noChangeArrowheads="1"/>
        </xdr:cNvSpPr>
      </xdr:nvSpPr>
      <xdr:spPr bwMode="auto">
        <a:xfrm>
          <a:off x="39300150" y="2151221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45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1050000}"/>
            </a:ext>
          </a:extLst>
        </xdr:cNvPr>
        <xdr:cNvSpPr>
          <a:spLocks noChangeAspect="1" noChangeArrowheads="1"/>
        </xdr:cNvSpPr>
      </xdr:nvSpPr>
      <xdr:spPr bwMode="auto">
        <a:xfrm>
          <a:off x="39300150" y="215417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45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2050000}"/>
            </a:ext>
          </a:extLst>
        </xdr:cNvPr>
        <xdr:cNvSpPr>
          <a:spLocks noChangeAspect="1" noChangeArrowheads="1"/>
        </xdr:cNvSpPr>
      </xdr:nvSpPr>
      <xdr:spPr bwMode="auto">
        <a:xfrm>
          <a:off x="39300150" y="215417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45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3050000}"/>
            </a:ext>
          </a:extLst>
        </xdr:cNvPr>
        <xdr:cNvSpPr>
          <a:spLocks noChangeAspect="1" noChangeArrowheads="1"/>
        </xdr:cNvSpPr>
      </xdr:nvSpPr>
      <xdr:spPr bwMode="auto">
        <a:xfrm>
          <a:off x="39300150" y="2157126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46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4050000}"/>
            </a:ext>
          </a:extLst>
        </xdr:cNvPr>
        <xdr:cNvSpPr>
          <a:spLocks noChangeAspect="1" noChangeArrowheads="1"/>
        </xdr:cNvSpPr>
      </xdr:nvSpPr>
      <xdr:spPr bwMode="auto">
        <a:xfrm>
          <a:off x="39300150" y="2157126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46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5050000}"/>
            </a:ext>
          </a:extLst>
        </xdr:cNvPr>
        <xdr:cNvSpPr>
          <a:spLocks noChangeAspect="1" noChangeArrowheads="1"/>
        </xdr:cNvSpPr>
      </xdr:nvSpPr>
      <xdr:spPr bwMode="auto">
        <a:xfrm>
          <a:off x="39300150" y="216007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46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6050000}"/>
            </a:ext>
          </a:extLst>
        </xdr:cNvPr>
        <xdr:cNvSpPr>
          <a:spLocks noChangeAspect="1" noChangeArrowheads="1"/>
        </xdr:cNvSpPr>
      </xdr:nvSpPr>
      <xdr:spPr bwMode="auto">
        <a:xfrm>
          <a:off x="39300150" y="216007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46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7050000}"/>
            </a:ext>
          </a:extLst>
        </xdr:cNvPr>
        <xdr:cNvSpPr>
          <a:spLocks noChangeAspect="1" noChangeArrowheads="1"/>
        </xdr:cNvSpPr>
      </xdr:nvSpPr>
      <xdr:spPr bwMode="auto">
        <a:xfrm>
          <a:off x="39300150" y="216303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46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8050000}"/>
            </a:ext>
          </a:extLst>
        </xdr:cNvPr>
        <xdr:cNvSpPr>
          <a:spLocks noChangeAspect="1" noChangeArrowheads="1"/>
        </xdr:cNvSpPr>
      </xdr:nvSpPr>
      <xdr:spPr bwMode="auto">
        <a:xfrm>
          <a:off x="39300150" y="216303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46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9050000}"/>
            </a:ext>
          </a:extLst>
        </xdr:cNvPr>
        <xdr:cNvSpPr>
          <a:spLocks noChangeAspect="1" noChangeArrowheads="1"/>
        </xdr:cNvSpPr>
      </xdr:nvSpPr>
      <xdr:spPr bwMode="auto">
        <a:xfrm>
          <a:off x="39300150" y="21659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46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A050000}"/>
            </a:ext>
          </a:extLst>
        </xdr:cNvPr>
        <xdr:cNvSpPr>
          <a:spLocks noChangeAspect="1" noChangeArrowheads="1"/>
        </xdr:cNvSpPr>
      </xdr:nvSpPr>
      <xdr:spPr bwMode="auto">
        <a:xfrm>
          <a:off x="39300150" y="21659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46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B050000}"/>
            </a:ext>
          </a:extLst>
        </xdr:cNvPr>
        <xdr:cNvSpPr>
          <a:spLocks noChangeAspect="1" noChangeArrowheads="1"/>
        </xdr:cNvSpPr>
      </xdr:nvSpPr>
      <xdr:spPr bwMode="auto">
        <a:xfrm>
          <a:off x="39300150" y="2168937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46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C050000}"/>
            </a:ext>
          </a:extLst>
        </xdr:cNvPr>
        <xdr:cNvSpPr>
          <a:spLocks noChangeAspect="1" noChangeArrowheads="1"/>
        </xdr:cNvSpPr>
      </xdr:nvSpPr>
      <xdr:spPr bwMode="auto">
        <a:xfrm>
          <a:off x="39300150" y="2168937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46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D050000}"/>
            </a:ext>
          </a:extLst>
        </xdr:cNvPr>
        <xdr:cNvSpPr>
          <a:spLocks noChangeAspect="1" noChangeArrowheads="1"/>
        </xdr:cNvSpPr>
      </xdr:nvSpPr>
      <xdr:spPr bwMode="auto">
        <a:xfrm>
          <a:off x="39300150" y="217189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47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E050000}"/>
            </a:ext>
          </a:extLst>
        </xdr:cNvPr>
        <xdr:cNvSpPr>
          <a:spLocks noChangeAspect="1" noChangeArrowheads="1"/>
        </xdr:cNvSpPr>
      </xdr:nvSpPr>
      <xdr:spPr bwMode="auto">
        <a:xfrm>
          <a:off x="39300150" y="217189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47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F050000}"/>
            </a:ext>
          </a:extLst>
        </xdr:cNvPr>
        <xdr:cNvSpPr>
          <a:spLocks noChangeAspect="1" noChangeArrowheads="1"/>
        </xdr:cNvSpPr>
      </xdr:nvSpPr>
      <xdr:spPr bwMode="auto">
        <a:xfrm>
          <a:off x="39300150" y="217484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47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0050000}"/>
            </a:ext>
          </a:extLst>
        </xdr:cNvPr>
        <xdr:cNvSpPr>
          <a:spLocks noChangeAspect="1" noChangeArrowheads="1"/>
        </xdr:cNvSpPr>
      </xdr:nvSpPr>
      <xdr:spPr bwMode="auto">
        <a:xfrm>
          <a:off x="39300150" y="217484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47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1050000}"/>
            </a:ext>
          </a:extLst>
        </xdr:cNvPr>
        <xdr:cNvSpPr>
          <a:spLocks noChangeAspect="1" noChangeArrowheads="1"/>
        </xdr:cNvSpPr>
      </xdr:nvSpPr>
      <xdr:spPr bwMode="auto">
        <a:xfrm>
          <a:off x="39300150" y="217779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47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2050000}"/>
            </a:ext>
          </a:extLst>
        </xdr:cNvPr>
        <xdr:cNvSpPr>
          <a:spLocks noChangeAspect="1" noChangeArrowheads="1"/>
        </xdr:cNvSpPr>
      </xdr:nvSpPr>
      <xdr:spPr bwMode="auto">
        <a:xfrm>
          <a:off x="39300150" y="217779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47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3050000}"/>
            </a:ext>
          </a:extLst>
        </xdr:cNvPr>
        <xdr:cNvSpPr>
          <a:spLocks noChangeAspect="1" noChangeArrowheads="1"/>
        </xdr:cNvSpPr>
      </xdr:nvSpPr>
      <xdr:spPr bwMode="auto">
        <a:xfrm>
          <a:off x="39300150" y="218074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47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4050000}"/>
            </a:ext>
          </a:extLst>
        </xdr:cNvPr>
        <xdr:cNvSpPr>
          <a:spLocks noChangeAspect="1" noChangeArrowheads="1"/>
        </xdr:cNvSpPr>
      </xdr:nvSpPr>
      <xdr:spPr bwMode="auto">
        <a:xfrm>
          <a:off x="39300150" y="218074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47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5050000}"/>
            </a:ext>
          </a:extLst>
        </xdr:cNvPr>
        <xdr:cNvSpPr>
          <a:spLocks noChangeAspect="1" noChangeArrowheads="1"/>
        </xdr:cNvSpPr>
      </xdr:nvSpPr>
      <xdr:spPr bwMode="auto">
        <a:xfrm>
          <a:off x="39300150" y="218370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47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6050000}"/>
            </a:ext>
          </a:extLst>
        </xdr:cNvPr>
        <xdr:cNvSpPr>
          <a:spLocks noChangeAspect="1" noChangeArrowheads="1"/>
        </xdr:cNvSpPr>
      </xdr:nvSpPr>
      <xdr:spPr bwMode="auto">
        <a:xfrm>
          <a:off x="39300150" y="218370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47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7050000}"/>
            </a:ext>
          </a:extLst>
        </xdr:cNvPr>
        <xdr:cNvSpPr>
          <a:spLocks noChangeAspect="1" noChangeArrowheads="1"/>
        </xdr:cNvSpPr>
      </xdr:nvSpPr>
      <xdr:spPr bwMode="auto">
        <a:xfrm>
          <a:off x="39300150" y="2186654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48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8050000}"/>
            </a:ext>
          </a:extLst>
        </xdr:cNvPr>
        <xdr:cNvSpPr>
          <a:spLocks noChangeAspect="1" noChangeArrowheads="1"/>
        </xdr:cNvSpPr>
      </xdr:nvSpPr>
      <xdr:spPr bwMode="auto">
        <a:xfrm>
          <a:off x="39300150" y="2186654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48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9050000}"/>
            </a:ext>
          </a:extLst>
        </xdr:cNvPr>
        <xdr:cNvSpPr>
          <a:spLocks noChangeAspect="1" noChangeArrowheads="1"/>
        </xdr:cNvSpPr>
      </xdr:nvSpPr>
      <xdr:spPr bwMode="auto">
        <a:xfrm>
          <a:off x="39300150" y="218960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48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A050000}"/>
            </a:ext>
          </a:extLst>
        </xdr:cNvPr>
        <xdr:cNvSpPr>
          <a:spLocks noChangeAspect="1" noChangeArrowheads="1"/>
        </xdr:cNvSpPr>
      </xdr:nvSpPr>
      <xdr:spPr bwMode="auto">
        <a:xfrm>
          <a:off x="39300150" y="218960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48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B050000}"/>
            </a:ext>
          </a:extLst>
        </xdr:cNvPr>
        <xdr:cNvSpPr>
          <a:spLocks noChangeAspect="1" noChangeArrowheads="1"/>
        </xdr:cNvSpPr>
      </xdr:nvSpPr>
      <xdr:spPr bwMode="auto">
        <a:xfrm>
          <a:off x="39300150" y="2192559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48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C050000}"/>
            </a:ext>
          </a:extLst>
        </xdr:cNvPr>
        <xdr:cNvSpPr>
          <a:spLocks noChangeAspect="1" noChangeArrowheads="1"/>
        </xdr:cNvSpPr>
      </xdr:nvSpPr>
      <xdr:spPr bwMode="auto">
        <a:xfrm>
          <a:off x="39300150" y="2192559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48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D050000}"/>
            </a:ext>
          </a:extLst>
        </xdr:cNvPr>
        <xdr:cNvSpPr>
          <a:spLocks noChangeAspect="1" noChangeArrowheads="1"/>
        </xdr:cNvSpPr>
      </xdr:nvSpPr>
      <xdr:spPr bwMode="auto">
        <a:xfrm>
          <a:off x="39300150" y="219551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48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E050000}"/>
            </a:ext>
          </a:extLst>
        </xdr:cNvPr>
        <xdr:cNvSpPr>
          <a:spLocks noChangeAspect="1" noChangeArrowheads="1"/>
        </xdr:cNvSpPr>
      </xdr:nvSpPr>
      <xdr:spPr bwMode="auto">
        <a:xfrm>
          <a:off x="39300150" y="219551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48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F050000}"/>
            </a:ext>
          </a:extLst>
        </xdr:cNvPr>
        <xdr:cNvSpPr>
          <a:spLocks noChangeAspect="1" noChangeArrowheads="1"/>
        </xdr:cNvSpPr>
      </xdr:nvSpPr>
      <xdr:spPr bwMode="auto">
        <a:xfrm>
          <a:off x="39300150" y="219846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48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0050000}"/>
            </a:ext>
          </a:extLst>
        </xdr:cNvPr>
        <xdr:cNvSpPr>
          <a:spLocks noChangeAspect="1" noChangeArrowheads="1"/>
        </xdr:cNvSpPr>
      </xdr:nvSpPr>
      <xdr:spPr bwMode="auto">
        <a:xfrm>
          <a:off x="39300150" y="219846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48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1050000}"/>
            </a:ext>
          </a:extLst>
        </xdr:cNvPr>
        <xdr:cNvSpPr>
          <a:spLocks noChangeAspect="1" noChangeArrowheads="1"/>
        </xdr:cNvSpPr>
      </xdr:nvSpPr>
      <xdr:spPr bwMode="auto">
        <a:xfrm>
          <a:off x="39300150" y="220141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49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2050000}"/>
            </a:ext>
          </a:extLst>
        </xdr:cNvPr>
        <xdr:cNvSpPr>
          <a:spLocks noChangeAspect="1" noChangeArrowheads="1"/>
        </xdr:cNvSpPr>
      </xdr:nvSpPr>
      <xdr:spPr bwMode="auto">
        <a:xfrm>
          <a:off x="39300150" y="220141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49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3050000}"/>
            </a:ext>
          </a:extLst>
        </xdr:cNvPr>
        <xdr:cNvSpPr>
          <a:spLocks noChangeAspect="1" noChangeArrowheads="1"/>
        </xdr:cNvSpPr>
      </xdr:nvSpPr>
      <xdr:spPr bwMode="auto">
        <a:xfrm>
          <a:off x="39300150" y="220437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49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4050000}"/>
            </a:ext>
          </a:extLst>
        </xdr:cNvPr>
        <xdr:cNvSpPr>
          <a:spLocks noChangeAspect="1" noChangeArrowheads="1"/>
        </xdr:cNvSpPr>
      </xdr:nvSpPr>
      <xdr:spPr bwMode="auto">
        <a:xfrm>
          <a:off x="39300150" y="220437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49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5050000}"/>
            </a:ext>
          </a:extLst>
        </xdr:cNvPr>
        <xdr:cNvSpPr>
          <a:spLocks noChangeAspect="1" noChangeArrowheads="1"/>
        </xdr:cNvSpPr>
      </xdr:nvSpPr>
      <xdr:spPr bwMode="auto">
        <a:xfrm>
          <a:off x="39300150" y="220732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49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6050000}"/>
            </a:ext>
          </a:extLst>
        </xdr:cNvPr>
        <xdr:cNvSpPr>
          <a:spLocks noChangeAspect="1" noChangeArrowheads="1"/>
        </xdr:cNvSpPr>
      </xdr:nvSpPr>
      <xdr:spPr bwMode="auto">
        <a:xfrm>
          <a:off x="39300150" y="220732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49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7050000}"/>
            </a:ext>
          </a:extLst>
        </xdr:cNvPr>
        <xdr:cNvSpPr>
          <a:spLocks noChangeAspect="1" noChangeArrowheads="1"/>
        </xdr:cNvSpPr>
      </xdr:nvSpPr>
      <xdr:spPr bwMode="auto">
        <a:xfrm>
          <a:off x="39300150" y="221027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49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8050000}"/>
            </a:ext>
          </a:extLst>
        </xdr:cNvPr>
        <xdr:cNvSpPr>
          <a:spLocks noChangeAspect="1" noChangeArrowheads="1"/>
        </xdr:cNvSpPr>
      </xdr:nvSpPr>
      <xdr:spPr bwMode="auto">
        <a:xfrm>
          <a:off x="39300150" y="221027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49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9050000}"/>
            </a:ext>
          </a:extLst>
        </xdr:cNvPr>
        <xdr:cNvSpPr>
          <a:spLocks noChangeAspect="1" noChangeArrowheads="1"/>
        </xdr:cNvSpPr>
      </xdr:nvSpPr>
      <xdr:spPr bwMode="auto">
        <a:xfrm>
          <a:off x="39300150" y="221322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49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A050000}"/>
            </a:ext>
          </a:extLst>
        </xdr:cNvPr>
        <xdr:cNvSpPr>
          <a:spLocks noChangeAspect="1" noChangeArrowheads="1"/>
        </xdr:cNvSpPr>
      </xdr:nvSpPr>
      <xdr:spPr bwMode="auto">
        <a:xfrm>
          <a:off x="39300150" y="221322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49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B050000}"/>
            </a:ext>
          </a:extLst>
        </xdr:cNvPr>
        <xdr:cNvSpPr>
          <a:spLocks noChangeAspect="1" noChangeArrowheads="1"/>
        </xdr:cNvSpPr>
      </xdr:nvSpPr>
      <xdr:spPr bwMode="auto">
        <a:xfrm>
          <a:off x="39300150" y="2216181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50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C050000}"/>
            </a:ext>
          </a:extLst>
        </xdr:cNvPr>
        <xdr:cNvSpPr>
          <a:spLocks noChangeAspect="1" noChangeArrowheads="1"/>
        </xdr:cNvSpPr>
      </xdr:nvSpPr>
      <xdr:spPr bwMode="auto">
        <a:xfrm>
          <a:off x="39300150" y="2216181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50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D050000}"/>
            </a:ext>
          </a:extLst>
        </xdr:cNvPr>
        <xdr:cNvSpPr>
          <a:spLocks noChangeAspect="1" noChangeArrowheads="1"/>
        </xdr:cNvSpPr>
      </xdr:nvSpPr>
      <xdr:spPr bwMode="auto">
        <a:xfrm>
          <a:off x="39300150" y="221913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50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E050000}"/>
            </a:ext>
          </a:extLst>
        </xdr:cNvPr>
        <xdr:cNvSpPr>
          <a:spLocks noChangeAspect="1" noChangeArrowheads="1"/>
        </xdr:cNvSpPr>
      </xdr:nvSpPr>
      <xdr:spPr bwMode="auto">
        <a:xfrm>
          <a:off x="39300150" y="221913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50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F050000}"/>
            </a:ext>
          </a:extLst>
        </xdr:cNvPr>
        <xdr:cNvSpPr>
          <a:spLocks noChangeAspect="1" noChangeArrowheads="1"/>
        </xdr:cNvSpPr>
      </xdr:nvSpPr>
      <xdr:spPr bwMode="auto">
        <a:xfrm>
          <a:off x="39300150" y="2222087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50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0050000}"/>
            </a:ext>
          </a:extLst>
        </xdr:cNvPr>
        <xdr:cNvSpPr>
          <a:spLocks noChangeAspect="1" noChangeArrowheads="1"/>
        </xdr:cNvSpPr>
      </xdr:nvSpPr>
      <xdr:spPr bwMode="auto">
        <a:xfrm>
          <a:off x="39300150" y="2222087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50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1050000}"/>
            </a:ext>
          </a:extLst>
        </xdr:cNvPr>
        <xdr:cNvSpPr>
          <a:spLocks noChangeAspect="1" noChangeArrowheads="1"/>
        </xdr:cNvSpPr>
      </xdr:nvSpPr>
      <xdr:spPr bwMode="auto">
        <a:xfrm>
          <a:off x="39300150" y="222504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50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2050000}"/>
            </a:ext>
          </a:extLst>
        </xdr:cNvPr>
        <xdr:cNvSpPr>
          <a:spLocks noChangeAspect="1" noChangeArrowheads="1"/>
        </xdr:cNvSpPr>
      </xdr:nvSpPr>
      <xdr:spPr bwMode="auto">
        <a:xfrm>
          <a:off x="39300150" y="222504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50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3050000}"/>
            </a:ext>
          </a:extLst>
        </xdr:cNvPr>
        <xdr:cNvSpPr>
          <a:spLocks noChangeAspect="1" noChangeArrowheads="1"/>
        </xdr:cNvSpPr>
      </xdr:nvSpPr>
      <xdr:spPr bwMode="auto">
        <a:xfrm>
          <a:off x="39300150" y="2227992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50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4050000}"/>
            </a:ext>
          </a:extLst>
        </xdr:cNvPr>
        <xdr:cNvSpPr>
          <a:spLocks noChangeAspect="1" noChangeArrowheads="1"/>
        </xdr:cNvSpPr>
      </xdr:nvSpPr>
      <xdr:spPr bwMode="auto">
        <a:xfrm>
          <a:off x="39300150" y="2227992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50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5050000}"/>
            </a:ext>
          </a:extLst>
        </xdr:cNvPr>
        <xdr:cNvSpPr>
          <a:spLocks noChangeAspect="1" noChangeArrowheads="1"/>
        </xdr:cNvSpPr>
      </xdr:nvSpPr>
      <xdr:spPr bwMode="auto">
        <a:xfrm>
          <a:off x="39300150" y="223094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51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6050000}"/>
            </a:ext>
          </a:extLst>
        </xdr:cNvPr>
        <xdr:cNvSpPr>
          <a:spLocks noChangeAspect="1" noChangeArrowheads="1"/>
        </xdr:cNvSpPr>
      </xdr:nvSpPr>
      <xdr:spPr bwMode="auto">
        <a:xfrm>
          <a:off x="39300150" y="223094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51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7050000}"/>
            </a:ext>
          </a:extLst>
        </xdr:cNvPr>
        <xdr:cNvSpPr>
          <a:spLocks noChangeAspect="1" noChangeArrowheads="1"/>
        </xdr:cNvSpPr>
      </xdr:nvSpPr>
      <xdr:spPr bwMode="auto">
        <a:xfrm>
          <a:off x="39300150" y="223389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51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8050000}"/>
            </a:ext>
          </a:extLst>
        </xdr:cNvPr>
        <xdr:cNvSpPr>
          <a:spLocks noChangeAspect="1" noChangeArrowheads="1"/>
        </xdr:cNvSpPr>
      </xdr:nvSpPr>
      <xdr:spPr bwMode="auto">
        <a:xfrm>
          <a:off x="39300150" y="223389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51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9050000}"/>
            </a:ext>
          </a:extLst>
        </xdr:cNvPr>
        <xdr:cNvSpPr>
          <a:spLocks noChangeAspect="1" noChangeArrowheads="1"/>
        </xdr:cNvSpPr>
      </xdr:nvSpPr>
      <xdr:spPr bwMode="auto">
        <a:xfrm>
          <a:off x="39300150" y="223685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51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A050000}"/>
            </a:ext>
          </a:extLst>
        </xdr:cNvPr>
        <xdr:cNvSpPr>
          <a:spLocks noChangeAspect="1" noChangeArrowheads="1"/>
        </xdr:cNvSpPr>
      </xdr:nvSpPr>
      <xdr:spPr bwMode="auto">
        <a:xfrm>
          <a:off x="39300150" y="223685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51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B050000}"/>
            </a:ext>
          </a:extLst>
        </xdr:cNvPr>
        <xdr:cNvSpPr>
          <a:spLocks noChangeAspect="1" noChangeArrowheads="1"/>
        </xdr:cNvSpPr>
      </xdr:nvSpPr>
      <xdr:spPr bwMode="auto">
        <a:xfrm>
          <a:off x="39300150" y="223980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51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C050000}"/>
            </a:ext>
          </a:extLst>
        </xdr:cNvPr>
        <xdr:cNvSpPr>
          <a:spLocks noChangeAspect="1" noChangeArrowheads="1"/>
        </xdr:cNvSpPr>
      </xdr:nvSpPr>
      <xdr:spPr bwMode="auto">
        <a:xfrm>
          <a:off x="39300150" y="223980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51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D050000}"/>
            </a:ext>
          </a:extLst>
        </xdr:cNvPr>
        <xdr:cNvSpPr>
          <a:spLocks noChangeAspect="1" noChangeArrowheads="1"/>
        </xdr:cNvSpPr>
      </xdr:nvSpPr>
      <xdr:spPr bwMode="auto">
        <a:xfrm>
          <a:off x="39300150" y="224275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51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E050000}"/>
            </a:ext>
          </a:extLst>
        </xdr:cNvPr>
        <xdr:cNvSpPr>
          <a:spLocks noChangeAspect="1" noChangeArrowheads="1"/>
        </xdr:cNvSpPr>
      </xdr:nvSpPr>
      <xdr:spPr bwMode="auto">
        <a:xfrm>
          <a:off x="39300150" y="224275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51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F050000}"/>
            </a:ext>
          </a:extLst>
        </xdr:cNvPr>
        <xdr:cNvSpPr>
          <a:spLocks noChangeAspect="1" noChangeArrowheads="1"/>
        </xdr:cNvSpPr>
      </xdr:nvSpPr>
      <xdr:spPr bwMode="auto">
        <a:xfrm>
          <a:off x="39300150" y="2245709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52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0050000}"/>
            </a:ext>
          </a:extLst>
        </xdr:cNvPr>
        <xdr:cNvSpPr>
          <a:spLocks noChangeAspect="1" noChangeArrowheads="1"/>
        </xdr:cNvSpPr>
      </xdr:nvSpPr>
      <xdr:spPr bwMode="auto">
        <a:xfrm>
          <a:off x="39300150" y="2245709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52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1050000}"/>
            </a:ext>
          </a:extLst>
        </xdr:cNvPr>
        <xdr:cNvSpPr>
          <a:spLocks noChangeAspect="1" noChangeArrowheads="1"/>
        </xdr:cNvSpPr>
      </xdr:nvSpPr>
      <xdr:spPr bwMode="auto">
        <a:xfrm>
          <a:off x="39300150" y="224866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52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2050000}"/>
            </a:ext>
          </a:extLst>
        </xdr:cNvPr>
        <xdr:cNvSpPr>
          <a:spLocks noChangeAspect="1" noChangeArrowheads="1"/>
        </xdr:cNvSpPr>
      </xdr:nvSpPr>
      <xdr:spPr bwMode="auto">
        <a:xfrm>
          <a:off x="39300150" y="224866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52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3050000}"/>
            </a:ext>
          </a:extLst>
        </xdr:cNvPr>
        <xdr:cNvSpPr>
          <a:spLocks noChangeAspect="1" noChangeArrowheads="1"/>
        </xdr:cNvSpPr>
      </xdr:nvSpPr>
      <xdr:spPr bwMode="auto">
        <a:xfrm>
          <a:off x="39300150" y="2251614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52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4050000}"/>
            </a:ext>
          </a:extLst>
        </xdr:cNvPr>
        <xdr:cNvSpPr>
          <a:spLocks noChangeAspect="1" noChangeArrowheads="1"/>
        </xdr:cNvSpPr>
      </xdr:nvSpPr>
      <xdr:spPr bwMode="auto">
        <a:xfrm>
          <a:off x="39300150" y="2251614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52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5050000}"/>
            </a:ext>
          </a:extLst>
        </xdr:cNvPr>
        <xdr:cNvSpPr>
          <a:spLocks noChangeAspect="1" noChangeArrowheads="1"/>
        </xdr:cNvSpPr>
      </xdr:nvSpPr>
      <xdr:spPr bwMode="auto">
        <a:xfrm>
          <a:off x="39300150" y="225456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52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6050000}"/>
            </a:ext>
          </a:extLst>
        </xdr:cNvPr>
        <xdr:cNvSpPr>
          <a:spLocks noChangeAspect="1" noChangeArrowheads="1"/>
        </xdr:cNvSpPr>
      </xdr:nvSpPr>
      <xdr:spPr bwMode="auto">
        <a:xfrm>
          <a:off x="39300150" y="225456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52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7050000}"/>
            </a:ext>
          </a:extLst>
        </xdr:cNvPr>
        <xdr:cNvSpPr>
          <a:spLocks noChangeAspect="1" noChangeArrowheads="1"/>
        </xdr:cNvSpPr>
      </xdr:nvSpPr>
      <xdr:spPr bwMode="auto">
        <a:xfrm>
          <a:off x="39300150" y="225752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52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8050000}"/>
            </a:ext>
          </a:extLst>
        </xdr:cNvPr>
        <xdr:cNvSpPr>
          <a:spLocks noChangeAspect="1" noChangeArrowheads="1"/>
        </xdr:cNvSpPr>
      </xdr:nvSpPr>
      <xdr:spPr bwMode="auto">
        <a:xfrm>
          <a:off x="39300150" y="225752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52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9050000}"/>
            </a:ext>
          </a:extLst>
        </xdr:cNvPr>
        <xdr:cNvSpPr>
          <a:spLocks noChangeAspect="1" noChangeArrowheads="1"/>
        </xdr:cNvSpPr>
      </xdr:nvSpPr>
      <xdr:spPr bwMode="auto">
        <a:xfrm>
          <a:off x="39300150" y="226047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53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A050000}"/>
            </a:ext>
          </a:extLst>
        </xdr:cNvPr>
        <xdr:cNvSpPr>
          <a:spLocks noChangeAspect="1" noChangeArrowheads="1"/>
        </xdr:cNvSpPr>
      </xdr:nvSpPr>
      <xdr:spPr bwMode="auto">
        <a:xfrm>
          <a:off x="39300150" y="226047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53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B050000}"/>
            </a:ext>
          </a:extLst>
        </xdr:cNvPr>
        <xdr:cNvSpPr>
          <a:spLocks noChangeAspect="1" noChangeArrowheads="1"/>
        </xdr:cNvSpPr>
      </xdr:nvSpPr>
      <xdr:spPr bwMode="auto">
        <a:xfrm>
          <a:off x="39300150" y="226342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53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C050000}"/>
            </a:ext>
          </a:extLst>
        </xdr:cNvPr>
        <xdr:cNvSpPr>
          <a:spLocks noChangeAspect="1" noChangeArrowheads="1"/>
        </xdr:cNvSpPr>
      </xdr:nvSpPr>
      <xdr:spPr bwMode="auto">
        <a:xfrm>
          <a:off x="39300150" y="226342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53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D050000}"/>
            </a:ext>
          </a:extLst>
        </xdr:cNvPr>
        <xdr:cNvSpPr>
          <a:spLocks noChangeAspect="1" noChangeArrowheads="1"/>
        </xdr:cNvSpPr>
      </xdr:nvSpPr>
      <xdr:spPr bwMode="auto">
        <a:xfrm>
          <a:off x="39300150" y="226637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53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E050000}"/>
            </a:ext>
          </a:extLst>
        </xdr:cNvPr>
        <xdr:cNvSpPr>
          <a:spLocks noChangeAspect="1" noChangeArrowheads="1"/>
        </xdr:cNvSpPr>
      </xdr:nvSpPr>
      <xdr:spPr bwMode="auto">
        <a:xfrm>
          <a:off x="39300150" y="226637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53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F050000}"/>
            </a:ext>
          </a:extLst>
        </xdr:cNvPr>
        <xdr:cNvSpPr>
          <a:spLocks noChangeAspect="1" noChangeArrowheads="1"/>
        </xdr:cNvSpPr>
      </xdr:nvSpPr>
      <xdr:spPr bwMode="auto">
        <a:xfrm>
          <a:off x="39300150" y="2269331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53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0060000}"/>
            </a:ext>
          </a:extLst>
        </xdr:cNvPr>
        <xdr:cNvSpPr>
          <a:spLocks noChangeAspect="1" noChangeArrowheads="1"/>
        </xdr:cNvSpPr>
      </xdr:nvSpPr>
      <xdr:spPr bwMode="auto">
        <a:xfrm>
          <a:off x="39300150" y="2269331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53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1060000}"/>
            </a:ext>
          </a:extLst>
        </xdr:cNvPr>
        <xdr:cNvSpPr>
          <a:spLocks noChangeAspect="1" noChangeArrowheads="1"/>
        </xdr:cNvSpPr>
      </xdr:nvSpPr>
      <xdr:spPr bwMode="auto">
        <a:xfrm>
          <a:off x="39300150" y="227228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53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2060000}"/>
            </a:ext>
          </a:extLst>
        </xdr:cNvPr>
        <xdr:cNvSpPr>
          <a:spLocks noChangeAspect="1" noChangeArrowheads="1"/>
        </xdr:cNvSpPr>
      </xdr:nvSpPr>
      <xdr:spPr bwMode="auto">
        <a:xfrm>
          <a:off x="39300150" y="227228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53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3060000}"/>
            </a:ext>
          </a:extLst>
        </xdr:cNvPr>
        <xdr:cNvSpPr>
          <a:spLocks noChangeAspect="1" noChangeArrowheads="1"/>
        </xdr:cNvSpPr>
      </xdr:nvSpPr>
      <xdr:spPr bwMode="auto">
        <a:xfrm>
          <a:off x="39300150" y="2275236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54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4060000}"/>
            </a:ext>
          </a:extLst>
        </xdr:cNvPr>
        <xdr:cNvSpPr>
          <a:spLocks noChangeAspect="1" noChangeArrowheads="1"/>
        </xdr:cNvSpPr>
      </xdr:nvSpPr>
      <xdr:spPr bwMode="auto">
        <a:xfrm>
          <a:off x="39300150" y="2275236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54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5060000}"/>
            </a:ext>
          </a:extLst>
        </xdr:cNvPr>
        <xdr:cNvSpPr>
          <a:spLocks noChangeAspect="1" noChangeArrowheads="1"/>
        </xdr:cNvSpPr>
      </xdr:nvSpPr>
      <xdr:spPr bwMode="auto">
        <a:xfrm>
          <a:off x="39300150" y="227818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54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6060000}"/>
            </a:ext>
          </a:extLst>
        </xdr:cNvPr>
        <xdr:cNvSpPr>
          <a:spLocks noChangeAspect="1" noChangeArrowheads="1"/>
        </xdr:cNvSpPr>
      </xdr:nvSpPr>
      <xdr:spPr bwMode="auto">
        <a:xfrm>
          <a:off x="39300150" y="227818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54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7060000}"/>
            </a:ext>
          </a:extLst>
        </xdr:cNvPr>
        <xdr:cNvSpPr>
          <a:spLocks noChangeAspect="1" noChangeArrowheads="1"/>
        </xdr:cNvSpPr>
      </xdr:nvSpPr>
      <xdr:spPr bwMode="auto">
        <a:xfrm>
          <a:off x="39300150" y="228114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54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8060000}"/>
            </a:ext>
          </a:extLst>
        </xdr:cNvPr>
        <xdr:cNvSpPr>
          <a:spLocks noChangeAspect="1" noChangeArrowheads="1"/>
        </xdr:cNvSpPr>
      </xdr:nvSpPr>
      <xdr:spPr bwMode="auto">
        <a:xfrm>
          <a:off x="39300150" y="228114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54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9060000}"/>
            </a:ext>
          </a:extLst>
        </xdr:cNvPr>
        <xdr:cNvSpPr>
          <a:spLocks noChangeAspect="1" noChangeArrowheads="1"/>
        </xdr:cNvSpPr>
      </xdr:nvSpPr>
      <xdr:spPr bwMode="auto">
        <a:xfrm>
          <a:off x="39300150" y="22840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54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A060000}"/>
            </a:ext>
          </a:extLst>
        </xdr:cNvPr>
        <xdr:cNvSpPr>
          <a:spLocks noChangeAspect="1" noChangeArrowheads="1"/>
        </xdr:cNvSpPr>
      </xdr:nvSpPr>
      <xdr:spPr bwMode="auto">
        <a:xfrm>
          <a:off x="39300150" y="22840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54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B060000}"/>
            </a:ext>
          </a:extLst>
        </xdr:cNvPr>
        <xdr:cNvSpPr>
          <a:spLocks noChangeAspect="1" noChangeArrowheads="1"/>
        </xdr:cNvSpPr>
      </xdr:nvSpPr>
      <xdr:spPr bwMode="auto">
        <a:xfrm>
          <a:off x="39300150" y="2287047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54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C060000}"/>
            </a:ext>
          </a:extLst>
        </xdr:cNvPr>
        <xdr:cNvSpPr>
          <a:spLocks noChangeAspect="1" noChangeArrowheads="1"/>
        </xdr:cNvSpPr>
      </xdr:nvSpPr>
      <xdr:spPr bwMode="auto">
        <a:xfrm>
          <a:off x="39300150" y="2287047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54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D060000}"/>
            </a:ext>
          </a:extLst>
        </xdr:cNvPr>
        <xdr:cNvSpPr>
          <a:spLocks noChangeAspect="1" noChangeArrowheads="1"/>
        </xdr:cNvSpPr>
      </xdr:nvSpPr>
      <xdr:spPr bwMode="auto">
        <a:xfrm>
          <a:off x="39300150" y="229000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55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E060000}"/>
            </a:ext>
          </a:extLst>
        </xdr:cNvPr>
        <xdr:cNvSpPr>
          <a:spLocks noChangeAspect="1" noChangeArrowheads="1"/>
        </xdr:cNvSpPr>
      </xdr:nvSpPr>
      <xdr:spPr bwMode="auto">
        <a:xfrm>
          <a:off x="39300150" y="229000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55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F060000}"/>
            </a:ext>
          </a:extLst>
        </xdr:cNvPr>
        <xdr:cNvSpPr>
          <a:spLocks noChangeAspect="1" noChangeArrowheads="1"/>
        </xdr:cNvSpPr>
      </xdr:nvSpPr>
      <xdr:spPr bwMode="auto">
        <a:xfrm>
          <a:off x="39300150" y="229295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55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0060000}"/>
            </a:ext>
          </a:extLst>
        </xdr:cNvPr>
        <xdr:cNvSpPr>
          <a:spLocks noChangeAspect="1" noChangeArrowheads="1"/>
        </xdr:cNvSpPr>
      </xdr:nvSpPr>
      <xdr:spPr bwMode="auto">
        <a:xfrm>
          <a:off x="39300150" y="229295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55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1060000}"/>
            </a:ext>
          </a:extLst>
        </xdr:cNvPr>
        <xdr:cNvSpPr>
          <a:spLocks noChangeAspect="1" noChangeArrowheads="1"/>
        </xdr:cNvSpPr>
      </xdr:nvSpPr>
      <xdr:spPr bwMode="auto">
        <a:xfrm>
          <a:off x="39300150" y="229590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55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2060000}"/>
            </a:ext>
          </a:extLst>
        </xdr:cNvPr>
        <xdr:cNvSpPr>
          <a:spLocks noChangeAspect="1" noChangeArrowheads="1"/>
        </xdr:cNvSpPr>
      </xdr:nvSpPr>
      <xdr:spPr bwMode="auto">
        <a:xfrm>
          <a:off x="39300150" y="229590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55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3060000}"/>
            </a:ext>
          </a:extLst>
        </xdr:cNvPr>
        <xdr:cNvSpPr>
          <a:spLocks noChangeAspect="1" noChangeArrowheads="1"/>
        </xdr:cNvSpPr>
      </xdr:nvSpPr>
      <xdr:spPr bwMode="auto">
        <a:xfrm>
          <a:off x="39300150" y="229885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55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4060000}"/>
            </a:ext>
          </a:extLst>
        </xdr:cNvPr>
        <xdr:cNvSpPr>
          <a:spLocks noChangeAspect="1" noChangeArrowheads="1"/>
        </xdr:cNvSpPr>
      </xdr:nvSpPr>
      <xdr:spPr bwMode="auto">
        <a:xfrm>
          <a:off x="39300150" y="229885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55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5060000}"/>
            </a:ext>
          </a:extLst>
        </xdr:cNvPr>
        <xdr:cNvSpPr>
          <a:spLocks noChangeAspect="1" noChangeArrowheads="1"/>
        </xdr:cNvSpPr>
      </xdr:nvSpPr>
      <xdr:spPr bwMode="auto">
        <a:xfrm>
          <a:off x="39300150" y="230181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55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6060000}"/>
            </a:ext>
          </a:extLst>
        </xdr:cNvPr>
        <xdr:cNvSpPr>
          <a:spLocks noChangeAspect="1" noChangeArrowheads="1"/>
        </xdr:cNvSpPr>
      </xdr:nvSpPr>
      <xdr:spPr bwMode="auto">
        <a:xfrm>
          <a:off x="39300150" y="230181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55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7060000}"/>
            </a:ext>
          </a:extLst>
        </xdr:cNvPr>
        <xdr:cNvSpPr>
          <a:spLocks noChangeAspect="1" noChangeArrowheads="1"/>
        </xdr:cNvSpPr>
      </xdr:nvSpPr>
      <xdr:spPr bwMode="auto">
        <a:xfrm>
          <a:off x="39300150" y="2304764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56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8060000}"/>
            </a:ext>
          </a:extLst>
        </xdr:cNvPr>
        <xdr:cNvSpPr>
          <a:spLocks noChangeAspect="1" noChangeArrowheads="1"/>
        </xdr:cNvSpPr>
      </xdr:nvSpPr>
      <xdr:spPr bwMode="auto">
        <a:xfrm>
          <a:off x="39300150" y="2304764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56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9060000}"/>
            </a:ext>
          </a:extLst>
        </xdr:cNvPr>
        <xdr:cNvSpPr>
          <a:spLocks noChangeAspect="1" noChangeArrowheads="1"/>
        </xdr:cNvSpPr>
      </xdr:nvSpPr>
      <xdr:spPr bwMode="auto">
        <a:xfrm>
          <a:off x="39300150" y="230771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56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A060000}"/>
            </a:ext>
          </a:extLst>
        </xdr:cNvPr>
        <xdr:cNvSpPr>
          <a:spLocks noChangeAspect="1" noChangeArrowheads="1"/>
        </xdr:cNvSpPr>
      </xdr:nvSpPr>
      <xdr:spPr bwMode="auto">
        <a:xfrm>
          <a:off x="39300150" y="230771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56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B060000}"/>
            </a:ext>
          </a:extLst>
        </xdr:cNvPr>
        <xdr:cNvSpPr>
          <a:spLocks noChangeAspect="1" noChangeArrowheads="1"/>
        </xdr:cNvSpPr>
      </xdr:nvSpPr>
      <xdr:spPr bwMode="auto">
        <a:xfrm>
          <a:off x="39300150" y="2310669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56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C060000}"/>
            </a:ext>
          </a:extLst>
        </xdr:cNvPr>
        <xdr:cNvSpPr>
          <a:spLocks noChangeAspect="1" noChangeArrowheads="1"/>
        </xdr:cNvSpPr>
      </xdr:nvSpPr>
      <xdr:spPr bwMode="auto">
        <a:xfrm>
          <a:off x="39300150" y="2310669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56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D060000}"/>
            </a:ext>
          </a:extLst>
        </xdr:cNvPr>
        <xdr:cNvSpPr>
          <a:spLocks noChangeAspect="1" noChangeArrowheads="1"/>
        </xdr:cNvSpPr>
      </xdr:nvSpPr>
      <xdr:spPr bwMode="auto">
        <a:xfrm>
          <a:off x="39300150" y="231362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56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E060000}"/>
            </a:ext>
          </a:extLst>
        </xdr:cNvPr>
        <xdr:cNvSpPr>
          <a:spLocks noChangeAspect="1" noChangeArrowheads="1"/>
        </xdr:cNvSpPr>
      </xdr:nvSpPr>
      <xdr:spPr bwMode="auto">
        <a:xfrm>
          <a:off x="39300150" y="231362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56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F060000}"/>
            </a:ext>
          </a:extLst>
        </xdr:cNvPr>
        <xdr:cNvSpPr>
          <a:spLocks noChangeAspect="1" noChangeArrowheads="1"/>
        </xdr:cNvSpPr>
      </xdr:nvSpPr>
      <xdr:spPr bwMode="auto">
        <a:xfrm>
          <a:off x="39300150" y="231657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56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0060000}"/>
            </a:ext>
          </a:extLst>
        </xdr:cNvPr>
        <xdr:cNvSpPr>
          <a:spLocks noChangeAspect="1" noChangeArrowheads="1"/>
        </xdr:cNvSpPr>
      </xdr:nvSpPr>
      <xdr:spPr bwMode="auto">
        <a:xfrm>
          <a:off x="39300150" y="231657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56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1060000}"/>
            </a:ext>
          </a:extLst>
        </xdr:cNvPr>
        <xdr:cNvSpPr>
          <a:spLocks noChangeAspect="1" noChangeArrowheads="1"/>
        </xdr:cNvSpPr>
      </xdr:nvSpPr>
      <xdr:spPr bwMode="auto">
        <a:xfrm>
          <a:off x="39300150" y="231952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57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2060000}"/>
            </a:ext>
          </a:extLst>
        </xdr:cNvPr>
        <xdr:cNvSpPr>
          <a:spLocks noChangeAspect="1" noChangeArrowheads="1"/>
        </xdr:cNvSpPr>
      </xdr:nvSpPr>
      <xdr:spPr bwMode="auto">
        <a:xfrm>
          <a:off x="39300150" y="231952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57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3060000}"/>
            </a:ext>
          </a:extLst>
        </xdr:cNvPr>
        <xdr:cNvSpPr>
          <a:spLocks noChangeAspect="1" noChangeArrowheads="1"/>
        </xdr:cNvSpPr>
      </xdr:nvSpPr>
      <xdr:spPr bwMode="auto">
        <a:xfrm>
          <a:off x="39300150" y="232248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57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4060000}"/>
            </a:ext>
          </a:extLst>
        </xdr:cNvPr>
        <xdr:cNvSpPr>
          <a:spLocks noChangeAspect="1" noChangeArrowheads="1"/>
        </xdr:cNvSpPr>
      </xdr:nvSpPr>
      <xdr:spPr bwMode="auto">
        <a:xfrm>
          <a:off x="39300150" y="232248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57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5060000}"/>
            </a:ext>
          </a:extLst>
        </xdr:cNvPr>
        <xdr:cNvSpPr>
          <a:spLocks noChangeAspect="1" noChangeArrowheads="1"/>
        </xdr:cNvSpPr>
      </xdr:nvSpPr>
      <xdr:spPr bwMode="auto">
        <a:xfrm>
          <a:off x="39300150" y="232543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57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6060000}"/>
            </a:ext>
          </a:extLst>
        </xdr:cNvPr>
        <xdr:cNvSpPr>
          <a:spLocks noChangeAspect="1" noChangeArrowheads="1"/>
        </xdr:cNvSpPr>
      </xdr:nvSpPr>
      <xdr:spPr bwMode="auto">
        <a:xfrm>
          <a:off x="39300150" y="232543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57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7060000}"/>
            </a:ext>
          </a:extLst>
        </xdr:cNvPr>
        <xdr:cNvSpPr>
          <a:spLocks noChangeAspect="1" noChangeArrowheads="1"/>
        </xdr:cNvSpPr>
      </xdr:nvSpPr>
      <xdr:spPr bwMode="auto">
        <a:xfrm>
          <a:off x="39300150" y="232838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57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8060000}"/>
            </a:ext>
          </a:extLst>
        </xdr:cNvPr>
        <xdr:cNvSpPr>
          <a:spLocks noChangeAspect="1" noChangeArrowheads="1"/>
        </xdr:cNvSpPr>
      </xdr:nvSpPr>
      <xdr:spPr bwMode="auto">
        <a:xfrm>
          <a:off x="39300150" y="232838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57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9060000}"/>
            </a:ext>
          </a:extLst>
        </xdr:cNvPr>
        <xdr:cNvSpPr>
          <a:spLocks noChangeAspect="1" noChangeArrowheads="1"/>
        </xdr:cNvSpPr>
      </xdr:nvSpPr>
      <xdr:spPr bwMode="auto">
        <a:xfrm>
          <a:off x="39300150" y="233133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57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A060000}"/>
            </a:ext>
          </a:extLst>
        </xdr:cNvPr>
        <xdr:cNvSpPr>
          <a:spLocks noChangeAspect="1" noChangeArrowheads="1"/>
        </xdr:cNvSpPr>
      </xdr:nvSpPr>
      <xdr:spPr bwMode="auto">
        <a:xfrm>
          <a:off x="39300150" y="233133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57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B060000}"/>
            </a:ext>
          </a:extLst>
        </xdr:cNvPr>
        <xdr:cNvSpPr>
          <a:spLocks noChangeAspect="1" noChangeArrowheads="1"/>
        </xdr:cNvSpPr>
      </xdr:nvSpPr>
      <xdr:spPr bwMode="auto">
        <a:xfrm>
          <a:off x="39300150" y="2334291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58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C060000}"/>
            </a:ext>
          </a:extLst>
        </xdr:cNvPr>
        <xdr:cNvSpPr>
          <a:spLocks noChangeAspect="1" noChangeArrowheads="1"/>
        </xdr:cNvSpPr>
      </xdr:nvSpPr>
      <xdr:spPr bwMode="auto">
        <a:xfrm>
          <a:off x="39300150" y="2334291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58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D060000}"/>
            </a:ext>
          </a:extLst>
        </xdr:cNvPr>
        <xdr:cNvSpPr>
          <a:spLocks noChangeAspect="1" noChangeArrowheads="1"/>
        </xdr:cNvSpPr>
      </xdr:nvSpPr>
      <xdr:spPr bwMode="auto">
        <a:xfrm>
          <a:off x="39300150" y="233724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58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E060000}"/>
            </a:ext>
          </a:extLst>
        </xdr:cNvPr>
        <xdr:cNvSpPr>
          <a:spLocks noChangeAspect="1" noChangeArrowheads="1"/>
        </xdr:cNvSpPr>
      </xdr:nvSpPr>
      <xdr:spPr bwMode="auto">
        <a:xfrm>
          <a:off x="39300150" y="233724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58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F060000}"/>
            </a:ext>
          </a:extLst>
        </xdr:cNvPr>
        <xdr:cNvSpPr>
          <a:spLocks noChangeAspect="1" noChangeArrowheads="1"/>
        </xdr:cNvSpPr>
      </xdr:nvSpPr>
      <xdr:spPr bwMode="auto">
        <a:xfrm>
          <a:off x="39300150" y="2340197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58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0060000}"/>
            </a:ext>
          </a:extLst>
        </xdr:cNvPr>
        <xdr:cNvSpPr>
          <a:spLocks noChangeAspect="1" noChangeArrowheads="1"/>
        </xdr:cNvSpPr>
      </xdr:nvSpPr>
      <xdr:spPr bwMode="auto">
        <a:xfrm>
          <a:off x="39300150" y="2340197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58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1060000}"/>
            </a:ext>
          </a:extLst>
        </xdr:cNvPr>
        <xdr:cNvSpPr>
          <a:spLocks noChangeAspect="1" noChangeArrowheads="1"/>
        </xdr:cNvSpPr>
      </xdr:nvSpPr>
      <xdr:spPr bwMode="auto">
        <a:xfrm>
          <a:off x="39300150" y="234315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58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2060000}"/>
            </a:ext>
          </a:extLst>
        </xdr:cNvPr>
        <xdr:cNvSpPr>
          <a:spLocks noChangeAspect="1" noChangeArrowheads="1"/>
        </xdr:cNvSpPr>
      </xdr:nvSpPr>
      <xdr:spPr bwMode="auto">
        <a:xfrm>
          <a:off x="39300150" y="234315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58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3060000}"/>
            </a:ext>
          </a:extLst>
        </xdr:cNvPr>
        <xdr:cNvSpPr>
          <a:spLocks noChangeAspect="1" noChangeArrowheads="1"/>
        </xdr:cNvSpPr>
      </xdr:nvSpPr>
      <xdr:spPr bwMode="auto">
        <a:xfrm>
          <a:off x="39300150" y="2346102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58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4060000}"/>
            </a:ext>
          </a:extLst>
        </xdr:cNvPr>
        <xdr:cNvSpPr>
          <a:spLocks noChangeAspect="1" noChangeArrowheads="1"/>
        </xdr:cNvSpPr>
      </xdr:nvSpPr>
      <xdr:spPr bwMode="auto">
        <a:xfrm>
          <a:off x="39300150" y="2346102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58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5060000}"/>
            </a:ext>
          </a:extLst>
        </xdr:cNvPr>
        <xdr:cNvSpPr>
          <a:spLocks noChangeAspect="1" noChangeArrowheads="1"/>
        </xdr:cNvSpPr>
      </xdr:nvSpPr>
      <xdr:spPr bwMode="auto">
        <a:xfrm>
          <a:off x="39300150" y="234905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59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6060000}"/>
            </a:ext>
          </a:extLst>
        </xdr:cNvPr>
        <xdr:cNvSpPr>
          <a:spLocks noChangeAspect="1" noChangeArrowheads="1"/>
        </xdr:cNvSpPr>
      </xdr:nvSpPr>
      <xdr:spPr bwMode="auto">
        <a:xfrm>
          <a:off x="39300150" y="234905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59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7060000}"/>
            </a:ext>
          </a:extLst>
        </xdr:cNvPr>
        <xdr:cNvSpPr>
          <a:spLocks noChangeAspect="1" noChangeArrowheads="1"/>
        </xdr:cNvSpPr>
      </xdr:nvSpPr>
      <xdr:spPr bwMode="auto">
        <a:xfrm>
          <a:off x="39300150" y="235200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59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8060000}"/>
            </a:ext>
          </a:extLst>
        </xdr:cNvPr>
        <xdr:cNvSpPr>
          <a:spLocks noChangeAspect="1" noChangeArrowheads="1"/>
        </xdr:cNvSpPr>
      </xdr:nvSpPr>
      <xdr:spPr bwMode="auto">
        <a:xfrm>
          <a:off x="39300150" y="235200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59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9060000}"/>
            </a:ext>
          </a:extLst>
        </xdr:cNvPr>
        <xdr:cNvSpPr>
          <a:spLocks noChangeAspect="1" noChangeArrowheads="1"/>
        </xdr:cNvSpPr>
      </xdr:nvSpPr>
      <xdr:spPr bwMode="auto">
        <a:xfrm>
          <a:off x="39300150" y="235496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59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A060000}"/>
            </a:ext>
          </a:extLst>
        </xdr:cNvPr>
        <xdr:cNvSpPr>
          <a:spLocks noChangeAspect="1" noChangeArrowheads="1"/>
        </xdr:cNvSpPr>
      </xdr:nvSpPr>
      <xdr:spPr bwMode="auto">
        <a:xfrm>
          <a:off x="39300150" y="235496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59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B060000}"/>
            </a:ext>
          </a:extLst>
        </xdr:cNvPr>
        <xdr:cNvSpPr>
          <a:spLocks noChangeAspect="1" noChangeArrowheads="1"/>
        </xdr:cNvSpPr>
      </xdr:nvSpPr>
      <xdr:spPr bwMode="auto">
        <a:xfrm>
          <a:off x="39300150" y="235791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59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C060000}"/>
            </a:ext>
          </a:extLst>
        </xdr:cNvPr>
        <xdr:cNvSpPr>
          <a:spLocks noChangeAspect="1" noChangeArrowheads="1"/>
        </xdr:cNvSpPr>
      </xdr:nvSpPr>
      <xdr:spPr bwMode="auto">
        <a:xfrm>
          <a:off x="39300150" y="235791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59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D060000}"/>
            </a:ext>
          </a:extLst>
        </xdr:cNvPr>
        <xdr:cNvSpPr>
          <a:spLocks noChangeAspect="1" noChangeArrowheads="1"/>
        </xdr:cNvSpPr>
      </xdr:nvSpPr>
      <xdr:spPr bwMode="auto">
        <a:xfrm>
          <a:off x="39300150" y="236086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59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E060000}"/>
            </a:ext>
          </a:extLst>
        </xdr:cNvPr>
        <xdr:cNvSpPr>
          <a:spLocks noChangeAspect="1" noChangeArrowheads="1"/>
        </xdr:cNvSpPr>
      </xdr:nvSpPr>
      <xdr:spPr bwMode="auto">
        <a:xfrm>
          <a:off x="39300150" y="236086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59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F060000}"/>
            </a:ext>
          </a:extLst>
        </xdr:cNvPr>
        <xdr:cNvSpPr>
          <a:spLocks noChangeAspect="1" noChangeArrowheads="1"/>
        </xdr:cNvSpPr>
      </xdr:nvSpPr>
      <xdr:spPr bwMode="auto">
        <a:xfrm>
          <a:off x="39300150" y="2363819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60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0060000}"/>
            </a:ext>
          </a:extLst>
        </xdr:cNvPr>
        <xdr:cNvSpPr>
          <a:spLocks noChangeAspect="1" noChangeArrowheads="1"/>
        </xdr:cNvSpPr>
      </xdr:nvSpPr>
      <xdr:spPr bwMode="auto">
        <a:xfrm>
          <a:off x="39300150" y="2363819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60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1060000}"/>
            </a:ext>
          </a:extLst>
        </xdr:cNvPr>
        <xdr:cNvSpPr>
          <a:spLocks noChangeAspect="1" noChangeArrowheads="1"/>
        </xdr:cNvSpPr>
      </xdr:nvSpPr>
      <xdr:spPr bwMode="auto">
        <a:xfrm>
          <a:off x="39300150" y="236677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60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2060000}"/>
            </a:ext>
          </a:extLst>
        </xdr:cNvPr>
        <xdr:cNvSpPr>
          <a:spLocks noChangeAspect="1" noChangeArrowheads="1"/>
        </xdr:cNvSpPr>
      </xdr:nvSpPr>
      <xdr:spPr bwMode="auto">
        <a:xfrm>
          <a:off x="39300150" y="236677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60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3060000}"/>
            </a:ext>
          </a:extLst>
        </xdr:cNvPr>
        <xdr:cNvSpPr>
          <a:spLocks noChangeAspect="1" noChangeArrowheads="1"/>
        </xdr:cNvSpPr>
      </xdr:nvSpPr>
      <xdr:spPr bwMode="auto">
        <a:xfrm>
          <a:off x="39300150" y="2369724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60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4060000}"/>
            </a:ext>
          </a:extLst>
        </xdr:cNvPr>
        <xdr:cNvSpPr>
          <a:spLocks noChangeAspect="1" noChangeArrowheads="1"/>
        </xdr:cNvSpPr>
      </xdr:nvSpPr>
      <xdr:spPr bwMode="auto">
        <a:xfrm>
          <a:off x="39300150" y="2369724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60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5060000}"/>
            </a:ext>
          </a:extLst>
        </xdr:cNvPr>
        <xdr:cNvSpPr>
          <a:spLocks noChangeAspect="1" noChangeArrowheads="1"/>
        </xdr:cNvSpPr>
      </xdr:nvSpPr>
      <xdr:spPr bwMode="auto">
        <a:xfrm>
          <a:off x="39300150" y="237267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60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6060000}"/>
            </a:ext>
          </a:extLst>
        </xdr:cNvPr>
        <xdr:cNvSpPr>
          <a:spLocks noChangeAspect="1" noChangeArrowheads="1"/>
        </xdr:cNvSpPr>
      </xdr:nvSpPr>
      <xdr:spPr bwMode="auto">
        <a:xfrm>
          <a:off x="39300150" y="237267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60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7060000}"/>
            </a:ext>
          </a:extLst>
        </xdr:cNvPr>
        <xdr:cNvSpPr>
          <a:spLocks noChangeAspect="1" noChangeArrowheads="1"/>
        </xdr:cNvSpPr>
      </xdr:nvSpPr>
      <xdr:spPr bwMode="auto">
        <a:xfrm>
          <a:off x="39300150" y="237563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60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8060000}"/>
            </a:ext>
          </a:extLst>
        </xdr:cNvPr>
        <xdr:cNvSpPr>
          <a:spLocks noChangeAspect="1" noChangeArrowheads="1"/>
        </xdr:cNvSpPr>
      </xdr:nvSpPr>
      <xdr:spPr bwMode="auto">
        <a:xfrm>
          <a:off x="39300150" y="237563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60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9060000}"/>
            </a:ext>
          </a:extLst>
        </xdr:cNvPr>
        <xdr:cNvSpPr>
          <a:spLocks noChangeAspect="1" noChangeArrowheads="1"/>
        </xdr:cNvSpPr>
      </xdr:nvSpPr>
      <xdr:spPr bwMode="auto">
        <a:xfrm>
          <a:off x="39300150" y="237858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61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A060000}"/>
            </a:ext>
          </a:extLst>
        </xdr:cNvPr>
        <xdr:cNvSpPr>
          <a:spLocks noChangeAspect="1" noChangeArrowheads="1"/>
        </xdr:cNvSpPr>
      </xdr:nvSpPr>
      <xdr:spPr bwMode="auto">
        <a:xfrm>
          <a:off x="39300150" y="237858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61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B060000}"/>
            </a:ext>
          </a:extLst>
        </xdr:cNvPr>
        <xdr:cNvSpPr>
          <a:spLocks noChangeAspect="1" noChangeArrowheads="1"/>
        </xdr:cNvSpPr>
      </xdr:nvSpPr>
      <xdr:spPr bwMode="auto">
        <a:xfrm>
          <a:off x="39300150" y="238153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61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C060000}"/>
            </a:ext>
          </a:extLst>
        </xdr:cNvPr>
        <xdr:cNvSpPr>
          <a:spLocks noChangeAspect="1" noChangeArrowheads="1"/>
        </xdr:cNvSpPr>
      </xdr:nvSpPr>
      <xdr:spPr bwMode="auto">
        <a:xfrm>
          <a:off x="39300150" y="238153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61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D060000}"/>
            </a:ext>
          </a:extLst>
        </xdr:cNvPr>
        <xdr:cNvSpPr>
          <a:spLocks noChangeAspect="1" noChangeArrowheads="1"/>
        </xdr:cNvSpPr>
      </xdr:nvSpPr>
      <xdr:spPr bwMode="auto">
        <a:xfrm>
          <a:off x="39300150" y="238448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61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E060000}"/>
            </a:ext>
          </a:extLst>
        </xdr:cNvPr>
        <xdr:cNvSpPr>
          <a:spLocks noChangeAspect="1" noChangeArrowheads="1"/>
        </xdr:cNvSpPr>
      </xdr:nvSpPr>
      <xdr:spPr bwMode="auto">
        <a:xfrm>
          <a:off x="39300150" y="238448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61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F060000}"/>
            </a:ext>
          </a:extLst>
        </xdr:cNvPr>
        <xdr:cNvSpPr>
          <a:spLocks noChangeAspect="1" noChangeArrowheads="1"/>
        </xdr:cNvSpPr>
      </xdr:nvSpPr>
      <xdr:spPr bwMode="auto">
        <a:xfrm>
          <a:off x="39300150" y="2387441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61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0060000}"/>
            </a:ext>
          </a:extLst>
        </xdr:cNvPr>
        <xdr:cNvSpPr>
          <a:spLocks noChangeAspect="1" noChangeArrowheads="1"/>
        </xdr:cNvSpPr>
      </xdr:nvSpPr>
      <xdr:spPr bwMode="auto">
        <a:xfrm>
          <a:off x="39300150" y="2387441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61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1060000}"/>
            </a:ext>
          </a:extLst>
        </xdr:cNvPr>
        <xdr:cNvSpPr>
          <a:spLocks noChangeAspect="1" noChangeArrowheads="1"/>
        </xdr:cNvSpPr>
      </xdr:nvSpPr>
      <xdr:spPr bwMode="auto">
        <a:xfrm>
          <a:off x="39300150" y="239039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61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2060000}"/>
            </a:ext>
          </a:extLst>
        </xdr:cNvPr>
        <xdr:cNvSpPr>
          <a:spLocks noChangeAspect="1" noChangeArrowheads="1"/>
        </xdr:cNvSpPr>
      </xdr:nvSpPr>
      <xdr:spPr bwMode="auto">
        <a:xfrm>
          <a:off x="39300150" y="239039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61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3060000}"/>
            </a:ext>
          </a:extLst>
        </xdr:cNvPr>
        <xdr:cNvSpPr>
          <a:spLocks noChangeAspect="1" noChangeArrowheads="1"/>
        </xdr:cNvSpPr>
      </xdr:nvSpPr>
      <xdr:spPr bwMode="auto">
        <a:xfrm>
          <a:off x="39300150" y="2393346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62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4060000}"/>
            </a:ext>
          </a:extLst>
        </xdr:cNvPr>
        <xdr:cNvSpPr>
          <a:spLocks noChangeAspect="1" noChangeArrowheads="1"/>
        </xdr:cNvSpPr>
      </xdr:nvSpPr>
      <xdr:spPr bwMode="auto">
        <a:xfrm>
          <a:off x="39300150" y="2393346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62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5060000}"/>
            </a:ext>
          </a:extLst>
        </xdr:cNvPr>
        <xdr:cNvSpPr>
          <a:spLocks noChangeAspect="1" noChangeArrowheads="1"/>
        </xdr:cNvSpPr>
      </xdr:nvSpPr>
      <xdr:spPr bwMode="auto">
        <a:xfrm>
          <a:off x="39300150" y="239629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62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6060000}"/>
            </a:ext>
          </a:extLst>
        </xdr:cNvPr>
        <xdr:cNvSpPr>
          <a:spLocks noChangeAspect="1" noChangeArrowheads="1"/>
        </xdr:cNvSpPr>
      </xdr:nvSpPr>
      <xdr:spPr bwMode="auto">
        <a:xfrm>
          <a:off x="39300150" y="239629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62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7060000}"/>
            </a:ext>
          </a:extLst>
        </xdr:cNvPr>
        <xdr:cNvSpPr>
          <a:spLocks noChangeAspect="1" noChangeArrowheads="1"/>
        </xdr:cNvSpPr>
      </xdr:nvSpPr>
      <xdr:spPr bwMode="auto">
        <a:xfrm>
          <a:off x="39300150" y="239925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62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8060000}"/>
            </a:ext>
          </a:extLst>
        </xdr:cNvPr>
        <xdr:cNvSpPr>
          <a:spLocks noChangeAspect="1" noChangeArrowheads="1"/>
        </xdr:cNvSpPr>
      </xdr:nvSpPr>
      <xdr:spPr bwMode="auto">
        <a:xfrm>
          <a:off x="39300150" y="239925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62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9060000}"/>
            </a:ext>
          </a:extLst>
        </xdr:cNvPr>
        <xdr:cNvSpPr>
          <a:spLocks noChangeAspect="1" noChangeArrowheads="1"/>
        </xdr:cNvSpPr>
      </xdr:nvSpPr>
      <xdr:spPr bwMode="auto">
        <a:xfrm>
          <a:off x="39300150" y="24022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62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A060000}"/>
            </a:ext>
          </a:extLst>
        </xdr:cNvPr>
        <xdr:cNvSpPr>
          <a:spLocks noChangeAspect="1" noChangeArrowheads="1"/>
        </xdr:cNvSpPr>
      </xdr:nvSpPr>
      <xdr:spPr bwMode="auto">
        <a:xfrm>
          <a:off x="39300150" y="24022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62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B060000}"/>
            </a:ext>
          </a:extLst>
        </xdr:cNvPr>
        <xdr:cNvSpPr>
          <a:spLocks noChangeAspect="1" noChangeArrowheads="1"/>
        </xdr:cNvSpPr>
      </xdr:nvSpPr>
      <xdr:spPr bwMode="auto">
        <a:xfrm>
          <a:off x="39300150" y="2405157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62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C060000}"/>
            </a:ext>
          </a:extLst>
        </xdr:cNvPr>
        <xdr:cNvSpPr>
          <a:spLocks noChangeAspect="1" noChangeArrowheads="1"/>
        </xdr:cNvSpPr>
      </xdr:nvSpPr>
      <xdr:spPr bwMode="auto">
        <a:xfrm>
          <a:off x="39300150" y="2405157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62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D060000}"/>
            </a:ext>
          </a:extLst>
        </xdr:cNvPr>
        <xdr:cNvSpPr>
          <a:spLocks noChangeAspect="1" noChangeArrowheads="1"/>
        </xdr:cNvSpPr>
      </xdr:nvSpPr>
      <xdr:spPr bwMode="auto">
        <a:xfrm>
          <a:off x="39300150" y="240811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63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E060000}"/>
            </a:ext>
          </a:extLst>
        </xdr:cNvPr>
        <xdr:cNvSpPr>
          <a:spLocks noChangeAspect="1" noChangeArrowheads="1"/>
        </xdr:cNvSpPr>
      </xdr:nvSpPr>
      <xdr:spPr bwMode="auto">
        <a:xfrm>
          <a:off x="39300150" y="240811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63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F060000}"/>
            </a:ext>
          </a:extLst>
        </xdr:cNvPr>
        <xdr:cNvSpPr>
          <a:spLocks noChangeAspect="1" noChangeArrowheads="1"/>
        </xdr:cNvSpPr>
      </xdr:nvSpPr>
      <xdr:spPr bwMode="auto">
        <a:xfrm>
          <a:off x="39300150" y="241106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63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0060000}"/>
            </a:ext>
          </a:extLst>
        </xdr:cNvPr>
        <xdr:cNvSpPr>
          <a:spLocks noChangeAspect="1" noChangeArrowheads="1"/>
        </xdr:cNvSpPr>
      </xdr:nvSpPr>
      <xdr:spPr bwMode="auto">
        <a:xfrm>
          <a:off x="39300150" y="241106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63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1060000}"/>
            </a:ext>
          </a:extLst>
        </xdr:cNvPr>
        <xdr:cNvSpPr>
          <a:spLocks noChangeAspect="1" noChangeArrowheads="1"/>
        </xdr:cNvSpPr>
      </xdr:nvSpPr>
      <xdr:spPr bwMode="auto">
        <a:xfrm>
          <a:off x="39300150" y="241401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63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2060000}"/>
            </a:ext>
          </a:extLst>
        </xdr:cNvPr>
        <xdr:cNvSpPr>
          <a:spLocks noChangeAspect="1" noChangeArrowheads="1"/>
        </xdr:cNvSpPr>
      </xdr:nvSpPr>
      <xdr:spPr bwMode="auto">
        <a:xfrm>
          <a:off x="39300150" y="241401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63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3060000}"/>
            </a:ext>
          </a:extLst>
        </xdr:cNvPr>
        <xdr:cNvSpPr>
          <a:spLocks noChangeAspect="1" noChangeArrowheads="1"/>
        </xdr:cNvSpPr>
      </xdr:nvSpPr>
      <xdr:spPr bwMode="auto">
        <a:xfrm>
          <a:off x="39300150" y="241696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63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4060000}"/>
            </a:ext>
          </a:extLst>
        </xdr:cNvPr>
        <xdr:cNvSpPr>
          <a:spLocks noChangeAspect="1" noChangeArrowheads="1"/>
        </xdr:cNvSpPr>
      </xdr:nvSpPr>
      <xdr:spPr bwMode="auto">
        <a:xfrm>
          <a:off x="39300150" y="241696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63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5060000}"/>
            </a:ext>
          </a:extLst>
        </xdr:cNvPr>
        <xdr:cNvSpPr>
          <a:spLocks noChangeAspect="1" noChangeArrowheads="1"/>
        </xdr:cNvSpPr>
      </xdr:nvSpPr>
      <xdr:spPr bwMode="auto">
        <a:xfrm>
          <a:off x="39300150" y="241992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63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6060000}"/>
            </a:ext>
          </a:extLst>
        </xdr:cNvPr>
        <xdr:cNvSpPr>
          <a:spLocks noChangeAspect="1" noChangeArrowheads="1"/>
        </xdr:cNvSpPr>
      </xdr:nvSpPr>
      <xdr:spPr bwMode="auto">
        <a:xfrm>
          <a:off x="39300150" y="241992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63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7060000}"/>
            </a:ext>
          </a:extLst>
        </xdr:cNvPr>
        <xdr:cNvSpPr>
          <a:spLocks noChangeAspect="1" noChangeArrowheads="1"/>
        </xdr:cNvSpPr>
      </xdr:nvSpPr>
      <xdr:spPr bwMode="auto">
        <a:xfrm>
          <a:off x="39300150" y="2422874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64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8060000}"/>
            </a:ext>
          </a:extLst>
        </xdr:cNvPr>
        <xdr:cNvSpPr>
          <a:spLocks noChangeAspect="1" noChangeArrowheads="1"/>
        </xdr:cNvSpPr>
      </xdr:nvSpPr>
      <xdr:spPr bwMode="auto">
        <a:xfrm>
          <a:off x="39300150" y="2422874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64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9060000}"/>
            </a:ext>
          </a:extLst>
        </xdr:cNvPr>
        <xdr:cNvSpPr>
          <a:spLocks noChangeAspect="1" noChangeArrowheads="1"/>
        </xdr:cNvSpPr>
      </xdr:nvSpPr>
      <xdr:spPr bwMode="auto">
        <a:xfrm>
          <a:off x="39300150" y="242582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64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A060000}"/>
            </a:ext>
          </a:extLst>
        </xdr:cNvPr>
        <xdr:cNvSpPr>
          <a:spLocks noChangeAspect="1" noChangeArrowheads="1"/>
        </xdr:cNvSpPr>
      </xdr:nvSpPr>
      <xdr:spPr bwMode="auto">
        <a:xfrm>
          <a:off x="39300150" y="242582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64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B060000}"/>
            </a:ext>
          </a:extLst>
        </xdr:cNvPr>
        <xdr:cNvSpPr>
          <a:spLocks noChangeAspect="1" noChangeArrowheads="1"/>
        </xdr:cNvSpPr>
      </xdr:nvSpPr>
      <xdr:spPr bwMode="auto">
        <a:xfrm>
          <a:off x="39300150" y="2428779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64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C060000}"/>
            </a:ext>
          </a:extLst>
        </xdr:cNvPr>
        <xdr:cNvSpPr>
          <a:spLocks noChangeAspect="1" noChangeArrowheads="1"/>
        </xdr:cNvSpPr>
      </xdr:nvSpPr>
      <xdr:spPr bwMode="auto">
        <a:xfrm>
          <a:off x="39300150" y="2428779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64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D060000}"/>
            </a:ext>
          </a:extLst>
        </xdr:cNvPr>
        <xdr:cNvSpPr>
          <a:spLocks noChangeAspect="1" noChangeArrowheads="1"/>
        </xdr:cNvSpPr>
      </xdr:nvSpPr>
      <xdr:spPr bwMode="auto">
        <a:xfrm>
          <a:off x="39300150" y="243173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64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E060000}"/>
            </a:ext>
          </a:extLst>
        </xdr:cNvPr>
        <xdr:cNvSpPr>
          <a:spLocks noChangeAspect="1" noChangeArrowheads="1"/>
        </xdr:cNvSpPr>
      </xdr:nvSpPr>
      <xdr:spPr bwMode="auto">
        <a:xfrm>
          <a:off x="39300150" y="243173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64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F060000}"/>
            </a:ext>
          </a:extLst>
        </xdr:cNvPr>
        <xdr:cNvSpPr>
          <a:spLocks noChangeAspect="1" noChangeArrowheads="1"/>
        </xdr:cNvSpPr>
      </xdr:nvSpPr>
      <xdr:spPr bwMode="auto">
        <a:xfrm>
          <a:off x="39300150" y="243468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64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0060000}"/>
            </a:ext>
          </a:extLst>
        </xdr:cNvPr>
        <xdr:cNvSpPr>
          <a:spLocks noChangeAspect="1" noChangeArrowheads="1"/>
        </xdr:cNvSpPr>
      </xdr:nvSpPr>
      <xdr:spPr bwMode="auto">
        <a:xfrm>
          <a:off x="39300150" y="243468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64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1060000}"/>
            </a:ext>
          </a:extLst>
        </xdr:cNvPr>
        <xdr:cNvSpPr>
          <a:spLocks noChangeAspect="1" noChangeArrowheads="1"/>
        </xdr:cNvSpPr>
      </xdr:nvSpPr>
      <xdr:spPr bwMode="auto">
        <a:xfrm>
          <a:off x="39300150" y="243763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65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2060000}"/>
            </a:ext>
          </a:extLst>
        </xdr:cNvPr>
        <xdr:cNvSpPr>
          <a:spLocks noChangeAspect="1" noChangeArrowheads="1"/>
        </xdr:cNvSpPr>
      </xdr:nvSpPr>
      <xdr:spPr bwMode="auto">
        <a:xfrm>
          <a:off x="39300150" y="243763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65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3060000}"/>
            </a:ext>
          </a:extLst>
        </xdr:cNvPr>
        <xdr:cNvSpPr>
          <a:spLocks noChangeAspect="1" noChangeArrowheads="1"/>
        </xdr:cNvSpPr>
      </xdr:nvSpPr>
      <xdr:spPr bwMode="auto">
        <a:xfrm>
          <a:off x="39300150" y="244059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65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4060000}"/>
            </a:ext>
          </a:extLst>
        </xdr:cNvPr>
        <xdr:cNvSpPr>
          <a:spLocks noChangeAspect="1" noChangeArrowheads="1"/>
        </xdr:cNvSpPr>
      </xdr:nvSpPr>
      <xdr:spPr bwMode="auto">
        <a:xfrm>
          <a:off x="39300150" y="244059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65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5060000}"/>
            </a:ext>
          </a:extLst>
        </xdr:cNvPr>
        <xdr:cNvSpPr>
          <a:spLocks noChangeAspect="1" noChangeArrowheads="1"/>
        </xdr:cNvSpPr>
      </xdr:nvSpPr>
      <xdr:spPr bwMode="auto">
        <a:xfrm>
          <a:off x="39300150" y="244354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65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6060000}"/>
            </a:ext>
          </a:extLst>
        </xdr:cNvPr>
        <xdr:cNvSpPr>
          <a:spLocks noChangeAspect="1" noChangeArrowheads="1"/>
        </xdr:cNvSpPr>
      </xdr:nvSpPr>
      <xdr:spPr bwMode="auto">
        <a:xfrm>
          <a:off x="39300150" y="244354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65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7060000}"/>
            </a:ext>
          </a:extLst>
        </xdr:cNvPr>
        <xdr:cNvSpPr>
          <a:spLocks noChangeAspect="1" noChangeArrowheads="1"/>
        </xdr:cNvSpPr>
      </xdr:nvSpPr>
      <xdr:spPr bwMode="auto">
        <a:xfrm>
          <a:off x="39300150" y="244649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65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8060000}"/>
            </a:ext>
          </a:extLst>
        </xdr:cNvPr>
        <xdr:cNvSpPr>
          <a:spLocks noChangeAspect="1" noChangeArrowheads="1"/>
        </xdr:cNvSpPr>
      </xdr:nvSpPr>
      <xdr:spPr bwMode="auto">
        <a:xfrm>
          <a:off x="39300150" y="244649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65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9060000}"/>
            </a:ext>
          </a:extLst>
        </xdr:cNvPr>
        <xdr:cNvSpPr>
          <a:spLocks noChangeAspect="1" noChangeArrowheads="1"/>
        </xdr:cNvSpPr>
      </xdr:nvSpPr>
      <xdr:spPr bwMode="auto">
        <a:xfrm>
          <a:off x="39300150" y="244944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65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A060000}"/>
            </a:ext>
          </a:extLst>
        </xdr:cNvPr>
        <xdr:cNvSpPr>
          <a:spLocks noChangeAspect="1" noChangeArrowheads="1"/>
        </xdr:cNvSpPr>
      </xdr:nvSpPr>
      <xdr:spPr bwMode="auto">
        <a:xfrm>
          <a:off x="39300150" y="244944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65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B060000}"/>
            </a:ext>
          </a:extLst>
        </xdr:cNvPr>
        <xdr:cNvSpPr>
          <a:spLocks noChangeAspect="1" noChangeArrowheads="1"/>
        </xdr:cNvSpPr>
      </xdr:nvSpPr>
      <xdr:spPr bwMode="auto">
        <a:xfrm>
          <a:off x="39300150" y="2452401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66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C060000}"/>
            </a:ext>
          </a:extLst>
        </xdr:cNvPr>
        <xdr:cNvSpPr>
          <a:spLocks noChangeAspect="1" noChangeArrowheads="1"/>
        </xdr:cNvSpPr>
      </xdr:nvSpPr>
      <xdr:spPr bwMode="auto">
        <a:xfrm>
          <a:off x="39300150" y="2452401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66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D060000}"/>
            </a:ext>
          </a:extLst>
        </xdr:cNvPr>
        <xdr:cNvSpPr>
          <a:spLocks noChangeAspect="1" noChangeArrowheads="1"/>
        </xdr:cNvSpPr>
      </xdr:nvSpPr>
      <xdr:spPr bwMode="auto">
        <a:xfrm>
          <a:off x="39300150" y="245535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66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E060000}"/>
            </a:ext>
          </a:extLst>
        </xdr:cNvPr>
        <xdr:cNvSpPr>
          <a:spLocks noChangeAspect="1" noChangeArrowheads="1"/>
        </xdr:cNvSpPr>
      </xdr:nvSpPr>
      <xdr:spPr bwMode="auto">
        <a:xfrm>
          <a:off x="39300150" y="245535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66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F060000}"/>
            </a:ext>
          </a:extLst>
        </xdr:cNvPr>
        <xdr:cNvSpPr>
          <a:spLocks noChangeAspect="1" noChangeArrowheads="1"/>
        </xdr:cNvSpPr>
      </xdr:nvSpPr>
      <xdr:spPr bwMode="auto">
        <a:xfrm>
          <a:off x="39300150" y="2458307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66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0060000}"/>
            </a:ext>
          </a:extLst>
        </xdr:cNvPr>
        <xdr:cNvSpPr>
          <a:spLocks noChangeAspect="1" noChangeArrowheads="1"/>
        </xdr:cNvSpPr>
      </xdr:nvSpPr>
      <xdr:spPr bwMode="auto">
        <a:xfrm>
          <a:off x="39300150" y="2458307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66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1060000}"/>
            </a:ext>
          </a:extLst>
        </xdr:cNvPr>
        <xdr:cNvSpPr>
          <a:spLocks noChangeAspect="1" noChangeArrowheads="1"/>
        </xdr:cNvSpPr>
      </xdr:nvSpPr>
      <xdr:spPr bwMode="auto">
        <a:xfrm>
          <a:off x="39300150" y="246126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66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2060000}"/>
            </a:ext>
          </a:extLst>
        </xdr:cNvPr>
        <xdr:cNvSpPr>
          <a:spLocks noChangeAspect="1" noChangeArrowheads="1"/>
        </xdr:cNvSpPr>
      </xdr:nvSpPr>
      <xdr:spPr bwMode="auto">
        <a:xfrm>
          <a:off x="39300150" y="246126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66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3060000}"/>
            </a:ext>
          </a:extLst>
        </xdr:cNvPr>
        <xdr:cNvSpPr>
          <a:spLocks noChangeAspect="1" noChangeArrowheads="1"/>
        </xdr:cNvSpPr>
      </xdr:nvSpPr>
      <xdr:spPr bwMode="auto">
        <a:xfrm>
          <a:off x="39300150" y="2464212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66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4060000}"/>
            </a:ext>
          </a:extLst>
        </xdr:cNvPr>
        <xdr:cNvSpPr>
          <a:spLocks noChangeAspect="1" noChangeArrowheads="1"/>
        </xdr:cNvSpPr>
      </xdr:nvSpPr>
      <xdr:spPr bwMode="auto">
        <a:xfrm>
          <a:off x="39300150" y="2464212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66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5060000}"/>
            </a:ext>
          </a:extLst>
        </xdr:cNvPr>
        <xdr:cNvSpPr>
          <a:spLocks noChangeAspect="1" noChangeArrowheads="1"/>
        </xdr:cNvSpPr>
      </xdr:nvSpPr>
      <xdr:spPr bwMode="auto">
        <a:xfrm>
          <a:off x="39300150" y="246716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67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6060000}"/>
            </a:ext>
          </a:extLst>
        </xdr:cNvPr>
        <xdr:cNvSpPr>
          <a:spLocks noChangeAspect="1" noChangeArrowheads="1"/>
        </xdr:cNvSpPr>
      </xdr:nvSpPr>
      <xdr:spPr bwMode="auto">
        <a:xfrm>
          <a:off x="39300150" y="246716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67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7060000}"/>
            </a:ext>
          </a:extLst>
        </xdr:cNvPr>
        <xdr:cNvSpPr>
          <a:spLocks noChangeAspect="1" noChangeArrowheads="1"/>
        </xdr:cNvSpPr>
      </xdr:nvSpPr>
      <xdr:spPr bwMode="auto">
        <a:xfrm>
          <a:off x="39300150" y="247011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67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8060000}"/>
            </a:ext>
          </a:extLst>
        </xdr:cNvPr>
        <xdr:cNvSpPr>
          <a:spLocks noChangeAspect="1" noChangeArrowheads="1"/>
        </xdr:cNvSpPr>
      </xdr:nvSpPr>
      <xdr:spPr bwMode="auto">
        <a:xfrm>
          <a:off x="39300150" y="247011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67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9060000}"/>
            </a:ext>
          </a:extLst>
        </xdr:cNvPr>
        <xdr:cNvSpPr>
          <a:spLocks noChangeAspect="1" noChangeArrowheads="1"/>
        </xdr:cNvSpPr>
      </xdr:nvSpPr>
      <xdr:spPr bwMode="auto">
        <a:xfrm>
          <a:off x="39300150" y="247307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67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A060000}"/>
            </a:ext>
          </a:extLst>
        </xdr:cNvPr>
        <xdr:cNvSpPr>
          <a:spLocks noChangeAspect="1" noChangeArrowheads="1"/>
        </xdr:cNvSpPr>
      </xdr:nvSpPr>
      <xdr:spPr bwMode="auto">
        <a:xfrm>
          <a:off x="39300150" y="247307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67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B060000}"/>
            </a:ext>
          </a:extLst>
        </xdr:cNvPr>
        <xdr:cNvSpPr>
          <a:spLocks noChangeAspect="1" noChangeArrowheads="1"/>
        </xdr:cNvSpPr>
      </xdr:nvSpPr>
      <xdr:spPr bwMode="auto">
        <a:xfrm>
          <a:off x="39300150" y="247602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67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C060000}"/>
            </a:ext>
          </a:extLst>
        </xdr:cNvPr>
        <xdr:cNvSpPr>
          <a:spLocks noChangeAspect="1" noChangeArrowheads="1"/>
        </xdr:cNvSpPr>
      </xdr:nvSpPr>
      <xdr:spPr bwMode="auto">
        <a:xfrm>
          <a:off x="39300150" y="247602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67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D060000}"/>
            </a:ext>
          </a:extLst>
        </xdr:cNvPr>
        <xdr:cNvSpPr>
          <a:spLocks noChangeAspect="1" noChangeArrowheads="1"/>
        </xdr:cNvSpPr>
      </xdr:nvSpPr>
      <xdr:spPr bwMode="auto">
        <a:xfrm>
          <a:off x="39300150" y="247897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67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E060000}"/>
            </a:ext>
          </a:extLst>
        </xdr:cNvPr>
        <xdr:cNvSpPr>
          <a:spLocks noChangeAspect="1" noChangeArrowheads="1"/>
        </xdr:cNvSpPr>
      </xdr:nvSpPr>
      <xdr:spPr bwMode="auto">
        <a:xfrm>
          <a:off x="39300150" y="247897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67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F060000}"/>
            </a:ext>
          </a:extLst>
        </xdr:cNvPr>
        <xdr:cNvSpPr>
          <a:spLocks noChangeAspect="1" noChangeArrowheads="1"/>
        </xdr:cNvSpPr>
      </xdr:nvSpPr>
      <xdr:spPr bwMode="auto">
        <a:xfrm>
          <a:off x="39300150" y="2481929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68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0060000}"/>
            </a:ext>
          </a:extLst>
        </xdr:cNvPr>
        <xdr:cNvSpPr>
          <a:spLocks noChangeAspect="1" noChangeArrowheads="1"/>
        </xdr:cNvSpPr>
      </xdr:nvSpPr>
      <xdr:spPr bwMode="auto">
        <a:xfrm>
          <a:off x="39300150" y="2481929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68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1060000}"/>
            </a:ext>
          </a:extLst>
        </xdr:cNvPr>
        <xdr:cNvSpPr>
          <a:spLocks noChangeAspect="1" noChangeArrowheads="1"/>
        </xdr:cNvSpPr>
      </xdr:nvSpPr>
      <xdr:spPr bwMode="auto">
        <a:xfrm>
          <a:off x="39300150" y="24848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68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2060000}"/>
            </a:ext>
          </a:extLst>
        </xdr:cNvPr>
        <xdr:cNvSpPr>
          <a:spLocks noChangeAspect="1" noChangeArrowheads="1"/>
        </xdr:cNvSpPr>
      </xdr:nvSpPr>
      <xdr:spPr bwMode="auto">
        <a:xfrm>
          <a:off x="39300150" y="24848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68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3060000}"/>
            </a:ext>
          </a:extLst>
        </xdr:cNvPr>
        <xdr:cNvSpPr>
          <a:spLocks noChangeAspect="1" noChangeArrowheads="1"/>
        </xdr:cNvSpPr>
      </xdr:nvSpPr>
      <xdr:spPr bwMode="auto">
        <a:xfrm>
          <a:off x="39300150" y="2487834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68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4060000}"/>
            </a:ext>
          </a:extLst>
        </xdr:cNvPr>
        <xdr:cNvSpPr>
          <a:spLocks noChangeAspect="1" noChangeArrowheads="1"/>
        </xdr:cNvSpPr>
      </xdr:nvSpPr>
      <xdr:spPr bwMode="auto">
        <a:xfrm>
          <a:off x="39300150" y="2487834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68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5060000}"/>
            </a:ext>
          </a:extLst>
        </xdr:cNvPr>
        <xdr:cNvSpPr>
          <a:spLocks noChangeAspect="1" noChangeArrowheads="1"/>
        </xdr:cNvSpPr>
      </xdr:nvSpPr>
      <xdr:spPr bwMode="auto">
        <a:xfrm>
          <a:off x="39300150" y="249078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68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6060000}"/>
            </a:ext>
          </a:extLst>
        </xdr:cNvPr>
        <xdr:cNvSpPr>
          <a:spLocks noChangeAspect="1" noChangeArrowheads="1"/>
        </xdr:cNvSpPr>
      </xdr:nvSpPr>
      <xdr:spPr bwMode="auto">
        <a:xfrm>
          <a:off x="39300150" y="249078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68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7060000}"/>
            </a:ext>
          </a:extLst>
        </xdr:cNvPr>
        <xdr:cNvSpPr>
          <a:spLocks noChangeAspect="1" noChangeArrowheads="1"/>
        </xdr:cNvSpPr>
      </xdr:nvSpPr>
      <xdr:spPr bwMode="auto">
        <a:xfrm>
          <a:off x="39300150" y="249374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68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8060000}"/>
            </a:ext>
          </a:extLst>
        </xdr:cNvPr>
        <xdr:cNvSpPr>
          <a:spLocks noChangeAspect="1" noChangeArrowheads="1"/>
        </xdr:cNvSpPr>
      </xdr:nvSpPr>
      <xdr:spPr bwMode="auto">
        <a:xfrm>
          <a:off x="39300150" y="249374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68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9060000}"/>
            </a:ext>
          </a:extLst>
        </xdr:cNvPr>
        <xdr:cNvSpPr>
          <a:spLocks noChangeAspect="1" noChangeArrowheads="1"/>
        </xdr:cNvSpPr>
      </xdr:nvSpPr>
      <xdr:spPr bwMode="auto">
        <a:xfrm>
          <a:off x="39300150" y="249669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69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A060000}"/>
            </a:ext>
          </a:extLst>
        </xdr:cNvPr>
        <xdr:cNvSpPr>
          <a:spLocks noChangeAspect="1" noChangeArrowheads="1"/>
        </xdr:cNvSpPr>
      </xdr:nvSpPr>
      <xdr:spPr bwMode="auto">
        <a:xfrm>
          <a:off x="39300150" y="249669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69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B060000}"/>
            </a:ext>
          </a:extLst>
        </xdr:cNvPr>
        <xdr:cNvSpPr>
          <a:spLocks noChangeAspect="1" noChangeArrowheads="1"/>
        </xdr:cNvSpPr>
      </xdr:nvSpPr>
      <xdr:spPr bwMode="auto">
        <a:xfrm>
          <a:off x="39300150" y="249964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69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C060000}"/>
            </a:ext>
          </a:extLst>
        </xdr:cNvPr>
        <xdr:cNvSpPr>
          <a:spLocks noChangeAspect="1" noChangeArrowheads="1"/>
        </xdr:cNvSpPr>
      </xdr:nvSpPr>
      <xdr:spPr bwMode="auto">
        <a:xfrm>
          <a:off x="39300150" y="249964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69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D060000}"/>
            </a:ext>
          </a:extLst>
        </xdr:cNvPr>
        <xdr:cNvSpPr>
          <a:spLocks noChangeAspect="1" noChangeArrowheads="1"/>
        </xdr:cNvSpPr>
      </xdr:nvSpPr>
      <xdr:spPr bwMode="auto">
        <a:xfrm>
          <a:off x="39300150" y="250259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69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E060000}"/>
            </a:ext>
          </a:extLst>
        </xdr:cNvPr>
        <xdr:cNvSpPr>
          <a:spLocks noChangeAspect="1" noChangeArrowheads="1"/>
        </xdr:cNvSpPr>
      </xdr:nvSpPr>
      <xdr:spPr bwMode="auto">
        <a:xfrm>
          <a:off x="39300150" y="250259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69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F060000}"/>
            </a:ext>
          </a:extLst>
        </xdr:cNvPr>
        <xdr:cNvSpPr>
          <a:spLocks noChangeAspect="1" noChangeArrowheads="1"/>
        </xdr:cNvSpPr>
      </xdr:nvSpPr>
      <xdr:spPr bwMode="auto">
        <a:xfrm>
          <a:off x="39300150" y="2505551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69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0060000}"/>
            </a:ext>
          </a:extLst>
        </xdr:cNvPr>
        <xdr:cNvSpPr>
          <a:spLocks noChangeAspect="1" noChangeArrowheads="1"/>
        </xdr:cNvSpPr>
      </xdr:nvSpPr>
      <xdr:spPr bwMode="auto">
        <a:xfrm>
          <a:off x="39300150" y="2505551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69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1060000}"/>
            </a:ext>
          </a:extLst>
        </xdr:cNvPr>
        <xdr:cNvSpPr>
          <a:spLocks noChangeAspect="1" noChangeArrowheads="1"/>
        </xdr:cNvSpPr>
      </xdr:nvSpPr>
      <xdr:spPr bwMode="auto">
        <a:xfrm>
          <a:off x="39300150" y="250850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69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2060000}"/>
            </a:ext>
          </a:extLst>
        </xdr:cNvPr>
        <xdr:cNvSpPr>
          <a:spLocks noChangeAspect="1" noChangeArrowheads="1"/>
        </xdr:cNvSpPr>
      </xdr:nvSpPr>
      <xdr:spPr bwMode="auto">
        <a:xfrm>
          <a:off x="39300150" y="250850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69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3060000}"/>
            </a:ext>
          </a:extLst>
        </xdr:cNvPr>
        <xdr:cNvSpPr>
          <a:spLocks noChangeAspect="1" noChangeArrowheads="1"/>
        </xdr:cNvSpPr>
      </xdr:nvSpPr>
      <xdr:spPr bwMode="auto">
        <a:xfrm>
          <a:off x="39300150" y="2511456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70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4060000}"/>
            </a:ext>
          </a:extLst>
        </xdr:cNvPr>
        <xdr:cNvSpPr>
          <a:spLocks noChangeAspect="1" noChangeArrowheads="1"/>
        </xdr:cNvSpPr>
      </xdr:nvSpPr>
      <xdr:spPr bwMode="auto">
        <a:xfrm>
          <a:off x="39300150" y="2511456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70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5060000}"/>
            </a:ext>
          </a:extLst>
        </xdr:cNvPr>
        <xdr:cNvSpPr>
          <a:spLocks noChangeAspect="1" noChangeArrowheads="1"/>
        </xdr:cNvSpPr>
      </xdr:nvSpPr>
      <xdr:spPr bwMode="auto">
        <a:xfrm>
          <a:off x="39300150" y="251440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70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6060000}"/>
            </a:ext>
          </a:extLst>
        </xdr:cNvPr>
        <xdr:cNvSpPr>
          <a:spLocks noChangeAspect="1" noChangeArrowheads="1"/>
        </xdr:cNvSpPr>
      </xdr:nvSpPr>
      <xdr:spPr bwMode="auto">
        <a:xfrm>
          <a:off x="39300150" y="251440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70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7060000}"/>
            </a:ext>
          </a:extLst>
        </xdr:cNvPr>
        <xdr:cNvSpPr>
          <a:spLocks noChangeAspect="1" noChangeArrowheads="1"/>
        </xdr:cNvSpPr>
      </xdr:nvSpPr>
      <xdr:spPr bwMode="auto">
        <a:xfrm>
          <a:off x="39300150" y="251736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70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8060000}"/>
            </a:ext>
          </a:extLst>
        </xdr:cNvPr>
        <xdr:cNvSpPr>
          <a:spLocks noChangeAspect="1" noChangeArrowheads="1"/>
        </xdr:cNvSpPr>
      </xdr:nvSpPr>
      <xdr:spPr bwMode="auto">
        <a:xfrm>
          <a:off x="39300150" y="251736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70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9060000}"/>
            </a:ext>
          </a:extLst>
        </xdr:cNvPr>
        <xdr:cNvSpPr>
          <a:spLocks noChangeAspect="1" noChangeArrowheads="1"/>
        </xdr:cNvSpPr>
      </xdr:nvSpPr>
      <xdr:spPr bwMode="auto">
        <a:xfrm>
          <a:off x="39300150" y="252031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70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A060000}"/>
            </a:ext>
          </a:extLst>
        </xdr:cNvPr>
        <xdr:cNvSpPr>
          <a:spLocks noChangeAspect="1" noChangeArrowheads="1"/>
        </xdr:cNvSpPr>
      </xdr:nvSpPr>
      <xdr:spPr bwMode="auto">
        <a:xfrm>
          <a:off x="39300150" y="252031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70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B060000}"/>
            </a:ext>
          </a:extLst>
        </xdr:cNvPr>
        <xdr:cNvSpPr>
          <a:spLocks noChangeAspect="1" noChangeArrowheads="1"/>
        </xdr:cNvSpPr>
      </xdr:nvSpPr>
      <xdr:spPr bwMode="auto">
        <a:xfrm>
          <a:off x="39300150" y="2523267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70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C060000}"/>
            </a:ext>
          </a:extLst>
        </xdr:cNvPr>
        <xdr:cNvSpPr>
          <a:spLocks noChangeAspect="1" noChangeArrowheads="1"/>
        </xdr:cNvSpPr>
      </xdr:nvSpPr>
      <xdr:spPr bwMode="auto">
        <a:xfrm>
          <a:off x="39300150" y="2523267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70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D060000}"/>
            </a:ext>
          </a:extLst>
        </xdr:cNvPr>
        <xdr:cNvSpPr>
          <a:spLocks noChangeAspect="1" noChangeArrowheads="1"/>
        </xdr:cNvSpPr>
      </xdr:nvSpPr>
      <xdr:spPr bwMode="auto">
        <a:xfrm>
          <a:off x="39300150" y="252622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71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E060000}"/>
            </a:ext>
          </a:extLst>
        </xdr:cNvPr>
        <xdr:cNvSpPr>
          <a:spLocks noChangeAspect="1" noChangeArrowheads="1"/>
        </xdr:cNvSpPr>
      </xdr:nvSpPr>
      <xdr:spPr bwMode="auto">
        <a:xfrm>
          <a:off x="39300150" y="252622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71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F060000}"/>
            </a:ext>
          </a:extLst>
        </xdr:cNvPr>
        <xdr:cNvSpPr>
          <a:spLocks noChangeAspect="1" noChangeArrowheads="1"/>
        </xdr:cNvSpPr>
      </xdr:nvSpPr>
      <xdr:spPr bwMode="auto">
        <a:xfrm>
          <a:off x="39300150" y="252917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71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0060000}"/>
            </a:ext>
          </a:extLst>
        </xdr:cNvPr>
        <xdr:cNvSpPr>
          <a:spLocks noChangeAspect="1" noChangeArrowheads="1"/>
        </xdr:cNvSpPr>
      </xdr:nvSpPr>
      <xdr:spPr bwMode="auto">
        <a:xfrm>
          <a:off x="39300150" y="252917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71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1060000}"/>
            </a:ext>
          </a:extLst>
        </xdr:cNvPr>
        <xdr:cNvSpPr>
          <a:spLocks noChangeAspect="1" noChangeArrowheads="1"/>
        </xdr:cNvSpPr>
      </xdr:nvSpPr>
      <xdr:spPr bwMode="auto">
        <a:xfrm>
          <a:off x="39300150" y="253212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71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2060000}"/>
            </a:ext>
          </a:extLst>
        </xdr:cNvPr>
        <xdr:cNvSpPr>
          <a:spLocks noChangeAspect="1" noChangeArrowheads="1"/>
        </xdr:cNvSpPr>
      </xdr:nvSpPr>
      <xdr:spPr bwMode="auto">
        <a:xfrm>
          <a:off x="39300150" y="253212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71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3060000}"/>
            </a:ext>
          </a:extLst>
        </xdr:cNvPr>
        <xdr:cNvSpPr>
          <a:spLocks noChangeAspect="1" noChangeArrowheads="1"/>
        </xdr:cNvSpPr>
      </xdr:nvSpPr>
      <xdr:spPr bwMode="auto">
        <a:xfrm>
          <a:off x="39300150" y="253507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71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4060000}"/>
            </a:ext>
          </a:extLst>
        </xdr:cNvPr>
        <xdr:cNvSpPr>
          <a:spLocks noChangeAspect="1" noChangeArrowheads="1"/>
        </xdr:cNvSpPr>
      </xdr:nvSpPr>
      <xdr:spPr bwMode="auto">
        <a:xfrm>
          <a:off x="39300150" y="253507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71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5060000}"/>
            </a:ext>
          </a:extLst>
        </xdr:cNvPr>
        <xdr:cNvSpPr>
          <a:spLocks noChangeAspect="1" noChangeArrowheads="1"/>
        </xdr:cNvSpPr>
      </xdr:nvSpPr>
      <xdr:spPr bwMode="auto">
        <a:xfrm>
          <a:off x="39300150" y="253803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71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6060000}"/>
            </a:ext>
          </a:extLst>
        </xdr:cNvPr>
        <xdr:cNvSpPr>
          <a:spLocks noChangeAspect="1" noChangeArrowheads="1"/>
        </xdr:cNvSpPr>
      </xdr:nvSpPr>
      <xdr:spPr bwMode="auto">
        <a:xfrm>
          <a:off x="39300150" y="253803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71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7060000}"/>
            </a:ext>
          </a:extLst>
        </xdr:cNvPr>
        <xdr:cNvSpPr>
          <a:spLocks noChangeAspect="1" noChangeArrowheads="1"/>
        </xdr:cNvSpPr>
      </xdr:nvSpPr>
      <xdr:spPr bwMode="auto">
        <a:xfrm>
          <a:off x="39300150" y="2540984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72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8060000}"/>
            </a:ext>
          </a:extLst>
        </xdr:cNvPr>
        <xdr:cNvSpPr>
          <a:spLocks noChangeAspect="1" noChangeArrowheads="1"/>
        </xdr:cNvSpPr>
      </xdr:nvSpPr>
      <xdr:spPr bwMode="auto">
        <a:xfrm>
          <a:off x="39300150" y="2540984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72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9060000}"/>
            </a:ext>
          </a:extLst>
        </xdr:cNvPr>
        <xdr:cNvSpPr>
          <a:spLocks noChangeAspect="1" noChangeArrowheads="1"/>
        </xdr:cNvSpPr>
      </xdr:nvSpPr>
      <xdr:spPr bwMode="auto">
        <a:xfrm>
          <a:off x="39300150" y="254393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72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A060000}"/>
            </a:ext>
          </a:extLst>
        </xdr:cNvPr>
        <xdr:cNvSpPr>
          <a:spLocks noChangeAspect="1" noChangeArrowheads="1"/>
        </xdr:cNvSpPr>
      </xdr:nvSpPr>
      <xdr:spPr bwMode="auto">
        <a:xfrm>
          <a:off x="39300150" y="254393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72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B060000}"/>
            </a:ext>
          </a:extLst>
        </xdr:cNvPr>
        <xdr:cNvSpPr>
          <a:spLocks noChangeAspect="1" noChangeArrowheads="1"/>
        </xdr:cNvSpPr>
      </xdr:nvSpPr>
      <xdr:spPr bwMode="auto">
        <a:xfrm>
          <a:off x="39300150" y="2546889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72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C060000}"/>
            </a:ext>
          </a:extLst>
        </xdr:cNvPr>
        <xdr:cNvSpPr>
          <a:spLocks noChangeAspect="1" noChangeArrowheads="1"/>
        </xdr:cNvSpPr>
      </xdr:nvSpPr>
      <xdr:spPr bwMode="auto">
        <a:xfrm>
          <a:off x="39300150" y="2546889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72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D060000}"/>
            </a:ext>
          </a:extLst>
        </xdr:cNvPr>
        <xdr:cNvSpPr>
          <a:spLocks noChangeAspect="1" noChangeArrowheads="1"/>
        </xdr:cNvSpPr>
      </xdr:nvSpPr>
      <xdr:spPr bwMode="auto">
        <a:xfrm>
          <a:off x="39300150" y="254984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72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E060000}"/>
            </a:ext>
          </a:extLst>
        </xdr:cNvPr>
        <xdr:cNvSpPr>
          <a:spLocks noChangeAspect="1" noChangeArrowheads="1"/>
        </xdr:cNvSpPr>
      </xdr:nvSpPr>
      <xdr:spPr bwMode="auto">
        <a:xfrm>
          <a:off x="39300150" y="254984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72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F060000}"/>
            </a:ext>
          </a:extLst>
        </xdr:cNvPr>
        <xdr:cNvSpPr>
          <a:spLocks noChangeAspect="1" noChangeArrowheads="1"/>
        </xdr:cNvSpPr>
      </xdr:nvSpPr>
      <xdr:spPr bwMode="auto">
        <a:xfrm>
          <a:off x="39300150" y="255279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72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0060000}"/>
            </a:ext>
          </a:extLst>
        </xdr:cNvPr>
        <xdr:cNvSpPr>
          <a:spLocks noChangeAspect="1" noChangeArrowheads="1"/>
        </xdr:cNvSpPr>
      </xdr:nvSpPr>
      <xdr:spPr bwMode="auto">
        <a:xfrm>
          <a:off x="39300150" y="255279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72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1060000}"/>
            </a:ext>
          </a:extLst>
        </xdr:cNvPr>
        <xdr:cNvSpPr>
          <a:spLocks noChangeAspect="1" noChangeArrowheads="1"/>
        </xdr:cNvSpPr>
      </xdr:nvSpPr>
      <xdr:spPr bwMode="auto">
        <a:xfrm>
          <a:off x="39300150" y="255574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73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2060000}"/>
            </a:ext>
          </a:extLst>
        </xdr:cNvPr>
        <xdr:cNvSpPr>
          <a:spLocks noChangeAspect="1" noChangeArrowheads="1"/>
        </xdr:cNvSpPr>
      </xdr:nvSpPr>
      <xdr:spPr bwMode="auto">
        <a:xfrm>
          <a:off x="39300150" y="255574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73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3060000}"/>
            </a:ext>
          </a:extLst>
        </xdr:cNvPr>
        <xdr:cNvSpPr>
          <a:spLocks noChangeAspect="1" noChangeArrowheads="1"/>
        </xdr:cNvSpPr>
      </xdr:nvSpPr>
      <xdr:spPr bwMode="auto">
        <a:xfrm>
          <a:off x="39300150" y="255870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73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4060000}"/>
            </a:ext>
          </a:extLst>
        </xdr:cNvPr>
        <xdr:cNvSpPr>
          <a:spLocks noChangeAspect="1" noChangeArrowheads="1"/>
        </xdr:cNvSpPr>
      </xdr:nvSpPr>
      <xdr:spPr bwMode="auto">
        <a:xfrm>
          <a:off x="39300150" y="255870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73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5060000}"/>
            </a:ext>
          </a:extLst>
        </xdr:cNvPr>
        <xdr:cNvSpPr>
          <a:spLocks noChangeAspect="1" noChangeArrowheads="1"/>
        </xdr:cNvSpPr>
      </xdr:nvSpPr>
      <xdr:spPr bwMode="auto">
        <a:xfrm>
          <a:off x="39300150" y="256165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73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6060000}"/>
            </a:ext>
          </a:extLst>
        </xdr:cNvPr>
        <xdr:cNvSpPr>
          <a:spLocks noChangeAspect="1" noChangeArrowheads="1"/>
        </xdr:cNvSpPr>
      </xdr:nvSpPr>
      <xdr:spPr bwMode="auto">
        <a:xfrm>
          <a:off x="39300150" y="256165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73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7060000}"/>
            </a:ext>
          </a:extLst>
        </xdr:cNvPr>
        <xdr:cNvSpPr>
          <a:spLocks noChangeAspect="1" noChangeArrowheads="1"/>
        </xdr:cNvSpPr>
      </xdr:nvSpPr>
      <xdr:spPr bwMode="auto">
        <a:xfrm>
          <a:off x="39300150" y="256460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73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8060000}"/>
            </a:ext>
          </a:extLst>
        </xdr:cNvPr>
        <xdr:cNvSpPr>
          <a:spLocks noChangeAspect="1" noChangeArrowheads="1"/>
        </xdr:cNvSpPr>
      </xdr:nvSpPr>
      <xdr:spPr bwMode="auto">
        <a:xfrm>
          <a:off x="39300150" y="256460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73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9060000}"/>
            </a:ext>
          </a:extLst>
        </xdr:cNvPr>
        <xdr:cNvSpPr>
          <a:spLocks noChangeAspect="1" noChangeArrowheads="1"/>
        </xdr:cNvSpPr>
      </xdr:nvSpPr>
      <xdr:spPr bwMode="auto">
        <a:xfrm>
          <a:off x="39300150" y="256755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73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A060000}"/>
            </a:ext>
          </a:extLst>
        </xdr:cNvPr>
        <xdr:cNvSpPr>
          <a:spLocks noChangeAspect="1" noChangeArrowheads="1"/>
        </xdr:cNvSpPr>
      </xdr:nvSpPr>
      <xdr:spPr bwMode="auto">
        <a:xfrm>
          <a:off x="39300150" y="256755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73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B060000}"/>
            </a:ext>
          </a:extLst>
        </xdr:cNvPr>
        <xdr:cNvSpPr>
          <a:spLocks noChangeAspect="1" noChangeArrowheads="1"/>
        </xdr:cNvSpPr>
      </xdr:nvSpPr>
      <xdr:spPr bwMode="auto">
        <a:xfrm>
          <a:off x="39300150" y="2570511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74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C060000}"/>
            </a:ext>
          </a:extLst>
        </xdr:cNvPr>
        <xdr:cNvSpPr>
          <a:spLocks noChangeAspect="1" noChangeArrowheads="1"/>
        </xdr:cNvSpPr>
      </xdr:nvSpPr>
      <xdr:spPr bwMode="auto">
        <a:xfrm>
          <a:off x="39300150" y="2570511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74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D060000}"/>
            </a:ext>
          </a:extLst>
        </xdr:cNvPr>
        <xdr:cNvSpPr>
          <a:spLocks noChangeAspect="1" noChangeArrowheads="1"/>
        </xdr:cNvSpPr>
      </xdr:nvSpPr>
      <xdr:spPr bwMode="auto">
        <a:xfrm>
          <a:off x="39300150" y="257346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74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E060000}"/>
            </a:ext>
          </a:extLst>
        </xdr:cNvPr>
        <xdr:cNvSpPr>
          <a:spLocks noChangeAspect="1" noChangeArrowheads="1"/>
        </xdr:cNvSpPr>
      </xdr:nvSpPr>
      <xdr:spPr bwMode="auto">
        <a:xfrm>
          <a:off x="39300150" y="257346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74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F060000}"/>
            </a:ext>
          </a:extLst>
        </xdr:cNvPr>
        <xdr:cNvSpPr>
          <a:spLocks noChangeAspect="1" noChangeArrowheads="1"/>
        </xdr:cNvSpPr>
      </xdr:nvSpPr>
      <xdr:spPr bwMode="auto">
        <a:xfrm>
          <a:off x="39300150" y="2576417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74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0060000}"/>
            </a:ext>
          </a:extLst>
        </xdr:cNvPr>
        <xdr:cNvSpPr>
          <a:spLocks noChangeAspect="1" noChangeArrowheads="1"/>
        </xdr:cNvSpPr>
      </xdr:nvSpPr>
      <xdr:spPr bwMode="auto">
        <a:xfrm>
          <a:off x="39300150" y="2576417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74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1060000}"/>
            </a:ext>
          </a:extLst>
        </xdr:cNvPr>
        <xdr:cNvSpPr>
          <a:spLocks noChangeAspect="1" noChangeArrowheads="1"/>
        </xdr:cNvSpPr>
      </xdr:nvSpPr>
      <xdr:spPr bwMode="auto">
        <a:xfrm>
          <a:off x="39300150" y="25793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74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2060000}"/>
            </a:ext>
          </a:extLst>
        </xdr:cNvPr>
        <xdr:cNvSpPr>
          <a:spLocks noChangeAspect="1" noChangeArrowheads="1"/>
        </xdr:cNvSpPr>
      </xdr:nvSpPr>
      <xdr:spPr bwMode="auto">
        <a:xfrm>
          <a:off x="39300150" y="25793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74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3060000}"/>
            </a:ext>
          </a:extLst>
        </xdr:cNvPr>
        <xdr:cNvSpPr>
          <a:spLocks noChangeAspect="1" noChangeArrowheads="1"/>
        </xdr:cNvSpPr>
      </xdr:nvSpPr>
      <xdr:spPr bwMode="auto">
        <a:xfrm>
          <a:off x="39300150" y="2582322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74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4060000}"/>
            </a:ext>
          </a:extLst>
        </xdr:cNvPr>
        <xdr:cNvSpPr>
          <a:spLocks noChangeAspect="1" noChangeArrowheads="1"/>
        </xdr:cNvSpPr>
      </xdr:nvSpPr>
      <xdr:spPr bwMode="auto">
        <a:xfrm>
          <a:off x="39300150" y="2582322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74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5060000}"/>
            </a:ext>
          </a:extLst>
        </xdr:cNvPr>
        <xdr:cNvSpPr>
          <a:spLocks noChangeAspect="1" noChangeArrowheads="1"/>
        </xdr:cNvSpPr>
      </xdr:nvSpPr>
      <xdr:spPr bwMode="auto">
        <a:xfrm>
          <a:off x="39300150" y="258527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75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6060000}"/>
            </a:ext>
          </a:extLst>
        </xdr:cNvPr>
        <xdr:cNvSpPr>
          <a:spLocks noChangeAspect="1" noChangeArrowheads="1"/>
        </xdr:cNvSpPr>
      </xdr:nvSpPr>
      <xdr:spPr bwMode="auto">
        <a:xfrm>
          <a:off x="39300150" y="258527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75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7060000}"/>
            </a:ext>
          </a:extLst>
        </xdr:cNvPr>
        <xdr:cNvSpPr>
          <a:spLocks noChangeAspect="1" noChangeArrowheads="1"/>
        </xdr:cNvSpPr>
      </xdr:nvSpPr>
      <xdr:spPr bwMode="auto">
        <a:xfrm>
          <a:off x="39300150" y="258822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75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8060000}"/>
            </a:ext>
          </a:extLst>
        </xdr:cNvPr>
        <xdr:cNvSpPr>
          <a:spLocks noChangeAspect="1" noChangeArrowheads="1"/>
        </xdr:cNvSpPr>
      </xdr:nvSpPr>
      <xdr:spPr bwMode="auto">
        <a:xfrm>
          <a:off x="39300150" y="258822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75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9060000}"/>
            </a:ext>
          </a:extLst>
        </xdr:cNvPr>
        <xdr:cNvSpPr>
          <a:spLocks noChangeAspect="1" noChangeArrowheads="1"/>
        </xdr:cNvSpPr>
      </xdr:nvSpPr>
      <xdr:spPr bwMode="auto">
        <a:xfrm>
          <a:off x="39300150" y="259118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75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A060000}"/>
            </a:ext>
          </a:extLst>
        </xdr:cNvPr>
        <xdr:cNvSpPr>
          <a:spLocks noChangeAspect="1" noChangeArrowheads="1"/>
        </xdr:cNvSpPr>
      </xdr:nvSpPr>
      <xdr:spPr bwMode="auto">
        <a:xfrm>
          <a:off x="39300150" y="259118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75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B060000}"/>
            </a:ext>
          </a:extLst>
        </xdr:cNvPr>
        <xdr:cNvSpPr>
          <a:spLocks noChangeAspect="1" noChangeArrowheads="1"/>
        </xdr:cNvSpPr>
      </xdr:nvSpPr>
      <xdr:spPr bwMode="auto">
        <a:xfrm>
          <a:off x="39300150" y="259413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75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C060000}"/>
            </a:ext>
          </a:extLst>
        </xdr:cNvPr>
        <xdr:cNvSpPr>
          <a:spLocks noChangeAspect="1" noChangeArrowheads="1"/>
        </xdr:cNvSpPr>
      </xdr:nvSpPr>
      <xdr:spPr bwMode="auto">
        <a:xfrm>
          <a:off x="39300150" y="259413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75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D060000}"/>
            </a:ext>
          </a:extLst>
        </xdr:cNvPr>
        <xdr:cNvSpPr>
          <a:spLocks noChangeAspect="1" noChangeArrowheads="1"/>
        </xdr:cNvSpPr>
      </xdr:nvSpPr>
      <xdr:spPr bwMode="auto">
        <a:xfrm>
          <a:off x="39300150" y="259708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75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E060000}"/>
            </a:ext>
          </a:extLst>
        </xdr:cNvPr>
        <xdr:cNvSpPr>
          <a:spLocks noChangeAspect="1" noChangeArrowheads="1"/>
        </xdr:cNvSpPr>
      </xdr:nvSpPr>
      <xdr:spPr bwMode="auto">
        <a:xfrm>
          <a:off x="39300150" y="259708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75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F060000}"/>
            </a:ext>
          </a:extLst>
        </xdr:cNvPr>
        <xdr:cNvSpPr>
          <a:spLocks noChangeAspect="1" noChangeArrowheads="1"/>
        </xdr:cNvSpPr>
      </xdr:nvSpPr>
      <xdr:spPr bwMode="auto">
        <a:xfrm>
          <a:off x="39300150" y="2600039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76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0060000}"/>
            </a:ext>
          </a:extLst>
        </xdr:cNvPr>
        <xdr:cNvSpPr>
          <a:spLocks noChangeAspect="1" noChangeArrowheads="1"/>
        </xdr:cNvSpPr>
      </xdr:nvSpPr>
      <xdr:spPr bwMode="auto">
        <a:xfrm>
          <a:off x="39300150" y="2600039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76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1060000}"/>
            </a:ext>
          </a:extLst>
        </xdr:cNvPr>
        <xdr:cNvSpPr>
          <a:spLocks noChangeAspect="1" noChangeArrowheads="1"/>
        </xdr:cNvSpPr>
      </xdr:nvSpPr>
      <xdr:spPr bwMode="auto">
        <a:xfrm>
          <a:off x="39300150" y="26029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76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2060000}"/>
            </a:ext>
          </a:extLst>
        </xdr:cNvPr>
        <xdr:cNvSpPr>
          <a:spLocks noChangeAspect="1" noChangeArrowheads="1"/>
        </xdr:cNvSpPr>
      </xdr:nvSpPr>
      <xdr:spPr bwMode="auto">
        <a:xfrm>
          <a:off x="39300150" y="26029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76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3060000}"/>
            </a:ext>
          </a:extLst>
        </xdr:cNvPr>
        <xdr:cNvSpPr>
          <a:spLocks noChangeAspect="1" noChangeArrowheads="1"/>
        </xdr:cNvSpPr>
      </xdr:nvSpPr>
      <xdr:spPr bwMode="auto">
        <a:xfrm>
          <a:off x="39300150" y="2605944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76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4060000}"/>
            </a:ext>
          </a:extLst>
        </xdr:cNvPr>
        <xdr:cNvSpPr>
          <a:spLocks noChangeAspect="1" noChangeArrowheads="1"/>
        </xdr:cNvSpPr>
      </xdr:nvSpPr>
      <xdr:spPr bwMode="auto">
        <a:xfrm>
          <a:off x="39300150" y="2605944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76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5060000}"/>
            </a:ext>
          </a:extLst>
        </xdr:cNvPr>
        <xdr:cNvSpPr>
          <a:spLocks noChangeAspect="1" noChangeArrowheads="1"/>
        </xdr:cNvSpPr>
      </xdr:nvSpPr>
      <xdr:spPr bwMode="auto">
        <a:xfrm>
          <a:off x="39300150" y="260889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76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6060000}"/>
            </a:ext>
          </a:extLst>
        </xdr:cNvPr>
        <xdr:cNvSpPr>
          <a:spLocks noChangeAspect="1" noChangeArrowheads="1"/>
        </xdr:cNvSpPr>
      </xdr:nvSpPr>
      <xdr:spPr bwMode="auto">
        <a:xfrm>
          <a:off x="39300150" y="260889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76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7060000}"/>
            </a:ext>
          </a:extLst>
        </xdr:cNvPr>
        <xdr:cNvSpPr>
          <a:spLocks noChangeAspect="1" noChangeArrowheads="1"/>
        </xdr:cNvSpPr>
      </xdr:nvSpPr>
      <xdr:spPr bwMode="auto">
        <a:xfrm>
          <a:off x="39300150" y="261185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76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8060000}"/>
            </a:ext>
          </a:extLst>
        </xdr:cNvPr>
        <xdr:cNvSpPr>
          <a:spLocks noChangeAspect="1" noChangeArrowheads="1"/>
        </xdr:cNvSpPr>
      </xdr:nvSpPr>
      <xdr:spPr bwMode="auto">
        <a:xfrm>
          <a:off x="39300150" y="261185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76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9060000}"/>
            </a:ext>
          </a:extLst>
        </xdr:cNvPr>
        <xdr:cNvSpPr>
          <a:spLocks noChangeAspect="1" noChangeArrowheads="1"/>
        </xdr:cNvSpPr>
      </xdr:nvSpPr>
      <xdr:spPr bwMode="auto">
        <a:xfrm>
          <a:off x="39300150" y="261480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77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A060000}"/>
            </a:ext>
          </a:extLst>
        </xdr:cNvPr>
        <xdr:cNvSpPr>
          <a:spLocks noChangeAspect="1" noChangeArrowheads="1"/>
        </xdr:cNvSpPr>
      </xdr:nvSpPr>
      <xdr:spPr bwMode="auto">
        <a:xfrm>
          <a:off x="39300150" y="261480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77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B060000}"/>
            </a:ext>
          </a:extLst>
        </xdr:cNvPr>
        <xdr:cNvSpPr>
          <a:spLocks noChangeAspect="1" noChangeArrowheads="1"/>
        </xdr:cNvSpPr>
      </xdr:nvSpPr>
      <xdr:spPr bwMode="auto">
        <a:xfrm>
          <a:off x="39300150" y="261775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77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C060000}"/>
            </a:ext>
          </a:extLst>
        </xdr:cNvPr>
        <xdr:cNvSpPr>
          <a:spLocks noChangeAspect="1" noChangeArrowheads="1"/>
        </xdr:cNvSpPr>
      </xdr:nvSpPr>
      <xdr:spPr bwMode="auto">
        <a:xfrm>
          <a:off x="39300150" y="261775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77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D060000}"/>
            </a:ext>
          </a:extLst>
        </xdr:cNvPr>
        <xdr:cNvSpPr>
          <a:spLocks noChangeAspect="1" noChangeArrowheads="1"/>
        </xdr:cNvSpPr>
      </xdr:nvSpPr>
      <xdr:spPr bwMode="auto">
        <a:xfrm>
          <a:off x="39300150" y="262070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77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E060000}"/>
            </a:ext>
          </a:extLst>
        </xdr:cNvPr>
        <xdr:cNvSpPr>
          <a:spLocks noChangeAspect="1" noChangeArrowheads="1"/>
        </xdr:cNvSpPr>
      </xdr:nvSpPr>
      <xdr:spPr bwMode="auto">
        <a:xfrm>
          <a:off x="39300150" y="262070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77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F060000}"/>
            </a:ext>
          </a:extLst>
        </xdr:cNvPr>
        <xdr:cNvSpPr>
          <a:spLocks noChangeAspect="1" noChangeArrowheads="1"/>
        </xdr:cNvSpPr>
      </xdr:nvSpPr>
      <xdr:spPr bwMode="auto">
        <a:xfrm>
          <a:off x="39300150" y="2623661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77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0060000}"/>
            </a:ext>
          </a:extLst>
        </xdr:cNvPr>
        <xdr:cNvSpPr>
          <a:spLocks noChangeAspect="1" noChangeArrowheads="1"/>
        </xdr:cNvSpPr>
      </xdr:nvSpPr>
      <xdr:spPr bwMode="auto">
        <a:xfrm>
          <a:off x="39300150" y="2623661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77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1060000}"/>
            </a:ext>
          </a:extLst>
        </xdr:cNvPr>
        <xdr:cNvSpPr>
          <a:spLocks noChangeAspect="1" noChangeArrowheads="1"/>
        </xdr:cNvSpPr>
      </xdr:nvSpPr>
      <xdr:spPr bwMode="auto">
        <a:xfrm>
          <a:off x="39300150" y="262661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77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2060000}"/>
            </a:ext>
          </a:extLst>
        </xdr:cNvPr>
        <xdr:cNvSpPr>
          <a:spLocks noChangeAspect="1" noChangeArrowheads="1"/>
        </xdr:cNvSpPr>
      </xdr:nvSpPr>
      <xdr:spPr bwMode="auto">
        <a:xfrm>
          <a:off x="39300150" y="262661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77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3060000}"/>
            </a:ext>
          </a:extLst>
        </xdr:cNvPr>
        <xdr:cNvSpPr>
          <a:spLocks noChangeAspect="1" noChangeArrowheads="1"/>
        </xdr:cNvSpPr>
      </xdr:nvSpPr>
      <xdr:spPr bwMode="auto">
        <a:xfrm>
          <a:off x="39300150" y="2629566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78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4060000}"/>
            </a:ext>
          </a:extLst>
        </xdr:cNvPr>
        <xdr:cNvSpPr>
          <a:spLocks noChangeAspect="1" noChangeArrowheads="1"/>
        </xdr:cNvSpPr>
      </xdr:nvSpPr>
      <xdr:spPr bwMode="auto">
        <a:xfrm>
          <a:off x="39300150" y="2629566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78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5060000}"/>
            </a:ext>
          </a:extLst>
        </xdr:cNvPr>
        <xdr:cNvSpPr>
          <a:spLocks noChangeAspect="1" noChangeArrowheads="1"/>
        </xdr:cNvSpPr>
      </xdr:nvSpPr>
      <xdr:spPr bwMode="auto">
        <a:xfrm>
          <a:off x="39300150" y="263251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78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6060000}"/>
            </a:ext>
          </a:extLst>
        </xdr:cNvPr>
        <xdr:cNvSpPr>
          <a:spLocks noChangeAspect="1" noChangeArrowheads="1"/>
        </xdr:cNvSpPr>
      </xdr:nvSpPr>
      <xdr:spPr bwMode="auto">
        <a:xfrm>
          <a:off x="39300150" y="263251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78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7060000}"/>
            </a:ext>
          </a:extLst>
        </xdr:cNvPr>
        <xdr:cNvSpPr>
          <a:spLocks noChangeAspect="1" noChangeArrowheads="1"/>
        </xdr:cNvSpPr>
      </xdr:nvSpPr>
      <xdr:spPr bwMode="auto">
        <a:xfrm>
          <a:off x="39300150" y="263547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78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8060000}"/>
            </a:ext>
          </a:extLst>
        </xdr:cNvPr>
        <xdr:cNvSpPr>
          <a:spLocks noChangeAspect="1" noChangeArrowheads="1"/>
        </xdr:cNvSpPr>
      </xdr:nvSpPr>
      <xdr:spPr bwMode="auto">
        <a:xfrm>
          <a:off x="39300150" y="263547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78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9060000}"/>
            </a:ext>
          </a:extLst>
        </xdr:cNvPr>
        <xdr:cNvSpPr>
          <a:spLocks noChangeAspect="1" noChangeArrowheads="1"/>
        </xdr:cNvSpPr>
      </xdr:nvSpPr>
      <xdr:spPr bwMode="auto">
        <a:xfrm>
          <a:off x="39300150" y="26384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78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A060000}"/>
            </a:ext>
          </a:extLst>
        </xdr:cNvPr>
        <xdr:cNvSpPr>
          <a:spLocks noChangeAspect="1" noChangeArrowheads="1"/>
        </xdr:cNvSpPr>
      </xdr:nvSpPr>
      <xdr:spPr bwMode="auto">
        <a:xfrm>
          <a:off x="39300150" y="26384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78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B060000}"/>
            </a:ext>
          </a:extLst>
        </xdr:cNvPr>
        <xdr:cNvSpPr>
          <a:spLocks noChangeAspect="1" noChangeArrowheads="1"/>
        </xdr:cNvSpPr>
      </xdr:nvSpPr>
      <xdr:spPr bwMode="auto">
        <a:xfrm>
          <a:off x="39300150" y="2641377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78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C060000}"/>
            </a:ext>
          </a:extLst>
        </xdr:cNvPr>
        <xdr:cNvSpPr>
          <a:spLocks noChangeAspect="1" noChangeArrowheads="1"/>
        </xdr:cNvSpPr>
      </xdr:nvSpPr>
      <xdr:spPr bwMode="auto">
        <a:xfrm>
          <a:off x="39300150" y="2641377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78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D060000}"/>
            </a:ext>
          </a:extLst>
        </xdr:cNvPr>
        <xdr:cNvSpPr>
          <a:spLocks noChangeAspect="1" noChangeArrowheads="1"/>
        </xdr:cNvSpPr>
      </xdr:nvSpPr>
      <xdr:spPr bwMode="auto">
        <a:xfrm>
          <a:off x="39300150" y="264433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79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E060000}"/>
            </a:ext>
          </a:extLst>
        </xdr:cNvPr>
        <xdr:cNvSpPr>
          <a:spLocks noChangeAspect="1" noChangeArrowheads="1"/>
        </xdr:cNvSpPr>
      </xdr:nvSpPr>
      <xdr:spPr bwMode="auto">
        <a:xfrm>
          <a:off x="39300150" y="264433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79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F060000}"/>
            </a:ext>
          </a:extLst>
        </xdr:cNvPr>
        <xdr:cNvSpPr>
          <a:spLocks noChangeAspect="1" noChangeArrowheads="1"/>
        </xdr:cNvSpPr>
      </xdr:nvSpPr>
      <xdr:spPr bwMode="auto">
        <a:xfrm>
          <a:off x="39300150" y="264728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79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0070000}"/>
            </a:ext>
          </a:extLst>
        </xdr:cNvPr>
        <xdr:cNvSpPr>
          <a:spLocks noChangeAspect="1" noChangeArrowheads="1"/>
        </xdr:cNvSpPr>
      </xdr:nvSpPr>
      <xdr:spPr bwMode="auto">
        <a:xfrm>
          <a:off x="39300150" y="264728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79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1070000}"/>
            </a:ext>
          </a:extLst>
        </xdr:cNvPr>
        <xdr:cNvSpPr>
          <a:spLocks noChangeAspect="1" noChangeArrowheads="1"/>
        </xdr:cNvSpPr>
      </xdr:nvSpPr>
      <xdr:spPr bwMode="auto">
        <a:xfrm>
          <a:off x="39300150" y="265023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79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2070000}"/>
            </a:ext>
          </a:extLst>
        </xdr:cNvPr>
        <xdr:cNvSpPr>
          <a:spLocks noChangeAspect="1" noChangeArrowheads="1"/>
        </xdr:cNvSpPr>
      </xdr:nvSpPr>
      <xdr:spPr bwMode="auto">
        <a:xfrm>
          <a:off x="39300150" y="265023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79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3070000}"/>
            </a:ext>
          </a:extLst>
        </xdr:cNvPr>
        <xdr:cNvSpPr>
          <a:spLocks noChangeAspect="1" noChangeArrowheads="1"/>
        </xdr:cNvSpPr>
      </xdr:nvSpPr>
      <xdr:spPr bwMode="auto">
        <a:xfrm>
          <a:off x="39300150" y="265318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79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4070000}"/>
            </a:ext>
          </a:extLst>
        </xdr:cNvPr>
        <xdr:cNvSpPr>
          <a:spLocks noChangeAspect="1" noChangeArrowheads="1"/>
        </xdr:cNvSpPr>
      </xdr:nvSpPr>
      <xdr:spPr bwMode="auto">
        <a:xfrm>
          <a:off x="39300150" y="265318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79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5070000}"/>
            </a:ext>
          </a:extLst>
        </xdr:cNvPr>
        <xdr:cNvSpPr>
          <a:spLocks noChangeAspect="1" noChangeArrowheads="1"/>
        </xdr:cNvSpPr>
      </xdr:nvSpPr>
      <xdr:spPr bwMode="auto">
        <a:xfrm>
          <a:off x="39300150" y="265614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79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6070000}"/>
            </a:ext>
          </a:extLst>
        </xdr:cNvPr>
        <xdr:cNvSpPr>
          <a:spLocks noChangeAspect="1" noChangeArrowheads="1"/>
        </xdr:cNvSpPr>
      </xdr:nvSpPr>
      <xdr:spPr bwMode="auto">
        <a:xfrm>
          <a:off x="39300150" y="265614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79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7070000}"/>
            </a:ext>
          </a:extLst>
        </xdr:cNvPr>
        <xdr:cNvSpPr>
          <a:spLocks noChangeAspect="1" noChangeArrowheads="1"/>
        </xdr:cNvSpPr>
      </xdr:nvSpPr>
      <xdr:spPr bwMode="auto">
        <a:xfrm>
          <a:off x="39300150" y="2659094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80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8070000}"/>
            </a:ext>
          </a:extLst>
        </xdr:cNvPr>
        <xdr:cNvSpPr>
          <a:spLocks noChangeAspect="1" noChangeArrowheads="1"/>
        </xdr:cNvSpPr>
      </xdr:nvSpPr>
      <xdr:spPr bwMode="auto">
        <a:xfrm>
          <a:off x="39300150" y="2659094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80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9070000}"/>
            </a:ext>
          </a:extLst>
        </xdr:cNvPr>
        <xdr:cNvSpPr>
          <a:spLocks noChangeAspect="1" noChangeArrowheads="1"/>
        </xdr:cNvSpPr>
      </xdr:nvSpPr>
      <xdr:spPr bwMode="auto">
        <a:xfrm>
          <a:off x="39300150" y="266204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80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A070000}"/>
            </a:ext>
          </a:extLst>
        </xdr:cNvPr>
        <xdr:cNvSpPr>
          <a:spLocks noChangeAspect="1" noChangeArrowheads="1"/>
        </xdr:cNvSpPr>
      </xdr:nvSpPr>
      <xdr:spPr bwMode="auto">
        <a:xfrm>
          <a:off x="39300150" y="266204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80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B070000}"/>
            </a:ext>
          </a:extLst>
        </xdr:cNvPr>
        <xdr:cNvSpPr>
          <a:spLocks noChangeAspect="1" noChangeArrowheads="1"/>
        </xdr:cNvSpPr>
      </xdr:nvSpPr>
      <xdr:spPr bwMode="auto">
        <a:xfrm>
          <a:off x="39300150" y="2664999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80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C070000}"/>
            </a:ext>
          </a:extLst>
        </xdr:cNvPr>
        <xdr:cNvSpPr>
          <a:spLocks noChangeAspect="1" noChangeArrowheads="1"/>
        </xdr:cNvSpPr>
      </xdr:nvSpPr>
      <xdr:spPr bwMode="auto">
        <a:xfrm>
          <a:off x="39300150" y="2664999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80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D070000}"/>
            </a:ext>
          </a:extLst>
        </xdr:cNvPr>
        <xdr:cNvSpPr>
          <a:spLocks noChangeAspect="1" noChangeArrowheads="1"/>
        </xdr:cNvSpPr>
      </xdr:nvSpPr>
      <xdr:spPr bwMode="auto">
        <a:xfrm>
          <a:off x="39300150" y="266795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80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E070000}"/>
            </a:ext>
          </a:extLst>
        </xdr:cNvPr>
        <xdr:cNvSpPr>
          <a:spLocks noChangeAspect="1" noChangeArrowheads="1"/>
        </xdr:cNvSpPr>
      </xdr:nvSpPr>
      <xdr:spPr bwMode="auto">
        <a:xfrm>
          <a:off x="39300150" y="266795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80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F070000}"/>
            </a:ext>
          </a:extLst>
        </xdr:cNvPr>
        <xdr:cNvSpPr>
          <a:spLocks noChangeAspect="1" noChangeArrowheads="1"/>
        </xdr:cNvSpPr>
      </xdr:nvSpPr>
      <xdr:spPr bwMode="auto">
        <a:xfrm>
          <a:off x="39300150" y="267090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80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0070000}"/>
            </a:ext>
          </a:extLst>
        </xdr:cNvPr>
        <xdr:cNvSpPr>
          <a:spLocks noChangeAspect="1" noChangeArrowheads="1"/>
        </xdr:cNvSpPr>
      </xdr:nvSpPr>
      <xdr:spPr bwMode="auto">
        <a:xfrm>
          <a:off x="39300150" y="267090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80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1070000}"/>
            </a:ext>
          </a:extLst>
        </xdr:cNvPr>
        <xdr:cNvSpPr>
          <a:spLocks noChangeAspect="1" noChangeArrowheads="1"/>
        </xdr:cNvSpPr>
      </xdr:nvSpPr>
      <xdr:spPr bwMode="auto">
        <a:xfrm>
          <a:off x="39300150" y="267385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81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2070000}"/>
            </a:ext>
          </a:extLst>
        </xdr:cNvPr>
        <xdr:cNvSpPr>
          <a:spLocks noChangeAspect="1" noChangeArrowheads="1"/>
        </xdr:cNvSpPr>
      </xdr:nvSpPr>
      <xdr:spPr bwMode="auto">
        <a:xfrm>
          <a:off x="39300150" y="267385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81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3070000}"/>
            </a:ext>
          </a:extLst>
        </xdr:cNvPr>
        <xdr:cNvSpPr>
          <a:spLocks noChangeAspect="1" noChangeArrowheads="1"/>
        </xdr:cNvSpPr>
      </xdr:nvSpPr>
      <xdr:spPr bwMode="auto">
        <a:xfrm>
          <a:off x="39300150" y="267681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81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4070000}"/>
            </a:ext>
          </a:extLst>
        </xdr:cNvPr>
        <xdr:cNvSpPr>
          <a:spLocks noChangeAspect="1" noChangeArrowheads="1"/>
        </xdr:cNvSpPr>
      </xdr:nvSpPr>
      <xdr:spPr bwMode="auto">
        <a:xfrm>
          <a:off x="39300150" y="267681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81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5070000}"/>
            </a:ext>
          </a:extLst>
        </xdr:cNvPr>
        <xdr:cNvSpPr>
          <a:spLocks noChangeAspect="1" noChangeArrowheads="1"/>
        </xdr:cNvSpPr>
      </xdr:nvSpPr>
      <xdr:spPr bwMode="auto">
        <a:xfrm>
          <a:off x="39300150" y="267976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81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6070000}"/>
            </a:ext>
          </a:extLst>
        </xdr:cNvPr>
        <xdr:cNvSpPr>
          <a:spLocks noChangeAspect="1" noChangeArrowheads="1"/>
        </xdr:cNvSpPr>
      </xdr:nvSpPr>
      <xdr:spPr bwMode="auto">
        <a:xfrm>
          <a:off x="39300150" y="267976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81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7070000}"/>
            </a:ext>
          </a:extLst>
        </xdr:cNvPr>
        <xdr:cNvSpPr>
          <a:spLocks noChangeAspect="1" noChangeArrowheads="1"/>
        </xdr:cNvSpPr>
      </xdr:nvSpPr>
      <xdr:spPr bwMode="auto">
        <a:xfrm>
          <a:off x="39300150" y="268271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81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8070000}"/>
            </a:ext>
          </a:extLst>
        </xdr:cNvPr>
        <xdr:cNvSpPr>
          <a:spLocks noChangeAspect="1" noChangeArrowheads="1"/>
        </xdr:cNvSpPr>
      </xdr:nvSpPr>
      <xdr:spPr bwMode="auto">
        <a:xfrm>
          <a:off x="39300150" y="268271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81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9070000}"/>
            </a:ext>
          </a:extLst>
        </xdr:cNvPr>
        <xdr:cNvSpPr>
          <a:spLocks noChangeAspect="1" noChangeArrowheads="1"/>
        </xdr:cNvSpPr>
      </xdr:nvSpPr>
      <xdr:spPr bwMode="auto">
        <a:xfrm>
          <a:off x="39300150" y="268566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81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A070000}"/>
            </a:ext>
          </a:extLst>
        </xdr:cNvPr>
        <xdr:cNvSpPr>
          <a:spLocks noChangeAspect="1" noChangeArrowheads="1"/>
        </xdr:cNvSpPr>
      </xdr:nvSpPr>
      <xdr:spPr bwMode="auto">
        <a:xfrm>
          <a:off x="39300150" y="268566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81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B070000}"/>
            </a:ext>
          </a:extLst>
        </xdr:cNvPr>
        <xdr:cNvSpPr>
          <a:spLocks noChangeAspect="1" noChangeArrowheads="1"/>
        </xdr:cNvSpPr>
      </xdr:nvSpPr>
      <xdr:spPr bwMode="auto">
        <a:xfrm>
          <a:off x="39300150" y="2688621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82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C070000}"/>
            </a:ext>
          </a:extLst>
        </xdr:cNvPr>
        <xdr:cNvSpPr>
          <a:spLocks noChangeAspect="1" noChangeArrowheads="1"/>
        </xdr:cNvSpPr>
      </xdr:nvSpPr>
      <xdr:spPr bwMode="auto">
        <a:xfrm>
          <a:off x="39300150" y="2688621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82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D070000}"/>
            </a:ext>
          </a:extLst>
        </xdr:cNvPr>
        <xdr:cNvSpPr>
          <a:spLocks noChangeAspect="1" noChangeArrowheads="1"/>
        </xdr:cNvSpPr>
      </xdr:nvSpPr>
      <xdr:spPr bwMode="auto">
        <a:xfrm>
          <a:off x="39300150" y="269157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82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E070000}"/>
            </a:ext>
          </a:extLst>
        </xdr:cNvPr>
        <xdr:cNvSpPr>
          <a:spLocks noChangeAspect="1" noChangeArrowheads="1"/>
        </xdr:cNvSpPr>
      </xdr:nvSpPr>
      <xdr:spPr bwMode="auto">
        <a:xfrm>
          <a:off x="39300150" y="269157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82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F070000}"/>
            </a:ext>
          </a:extLst>
        </xdr:cNvPr>
        <xdr:cNvSpPr>
          <a:spLocks noChangeAspect="1" noChangeArrowheads="1"/>
        </xdr:cNvSpPr>
      </xdr:nvSpPr>
      <xdr:spPr bwMode="auto">
        <a:xfrm>
          <a:off x="39300150" y="2694527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82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0070000}"/>
            </a:ext>
          </a:extLst>
        </xdr:cNvPr>
        <xdr:cNvSpPr>
          <a:spLocks noChangeAspect="1" noChangeArrowheads="1"/>
        </xdr:cNvSpPr>
      </xdr:nvSpPr>
      <xdr:spPr bwMode="auto">
        <a:xfrm>
          <a:off x="39300150" y="2694527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82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1070000}"/>
            </a:ext>
          </a:extLst>
        </xdr:cNvPr>
        <xdr:cNvSpPr>
          <a:spLocks noChangeAspect="1" noChangeArrowheads="1"/>
        </xdr:cNvSpPr>
      </xdr:nvSpPr>
      <xdr:spPr bwMode="auto">
        <a:xfrm>
          <a:off x="39300150" y="26974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82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2070000}"/>
            </a:ext>
          </a:extLst>
        </xdr:cNvPr>
        <xdr:cNvSpPr>
          <a:spLocks noChangeAspect="1" noChangeArrowheads="1"/>
        </xdr:cNvSpPr>
      </xdr:nvSpPr>
      <xdr:spPr bwMode="auto">
        <a:xfrm>
          <a:off x="39300150" y="26974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82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3070000}"/>
            </a:ext>
          </a:extLst>
        </xdr:cNvPr>
        <xdr:cNvSpPr>
          <a:spLocks noChangeAspect="1" noChangeArrowheads="1"/>
        </xdr:cNvSpPr>
      </xdr:nvSpPr>
      <xdr:spPr bwMode="auto">
        <a:xfrm>
          <a:off x="39300150" y="2700432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82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4070000}"/>
            </a:ext>
          </a:extLst>
        </xdr:cNvPr>
        <xdr:cNvSpPr>
          <a:spLocks noChangeAspect="1" noChangeArrowheads="1"/>
        </xdr:cNvSpPr>
      </xdr:nvSpPr>
      <xdr:spPr bwMode="auto">
        <a:xfrm>
          <a:off x="39300150" y="2700432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82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5070000}"/>
            </a:ext>
          </a:extLst>
        </xdr:cNvPr>
        <xdr:cNvSpPr>
          <a:spLocks noChangeAspect="1" noChangeArrowheads="1"/>
        </xdr:cNvSpPr>
      </xdr:nvSpPr>
      <xdr:spPr bwMode="auto">
        <a:xfrm>
          <a:off x="39300150" y="270338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83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6070000}"/>
            </a:ext>
          </a:extLst>
        </xdr:cNvPr>
        <xdr:cNvSpPr>
          <a:spLocks noChangeAspect="1" noChangeArrowheads="1"/>
        </xdr:cNvSpPr>
      </xdr:nvSpPr>
      <xdr:spPr bwMode="auto">
        <a:xfrm>
          <a:off x="39300150" y="270338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83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7070000}"/>
            </a:ext>
          </a:extLst>
        </xdr:cNvPr>
        <xdr:cNvSpPr>
          <a:spLocks noChangeAspect="1" noChangeArrowheads="1"/>
        </xdr:cNvSpPr>
      </xdr:nvSpPr>
      <xdr:spPr bwMode="auto">
        <a:xfrm>
          <a:off x="39300150" y="270633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83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8070000}"/>
            </a:ext>
          </a:extLst>
        </xdr:cNvPr>
        <xdr:cNvSpPr>
          <a:spLocks noChangeAspect="1" noChangeArrowheads="1"/>
        </xdr:cNvSpPr>
      </xdr:nvSpPr>
      <xdr:spPr bwMode="auto">
        <a:xfrm>
          <a:off x="39300150" y="270633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83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9070000}"/>
            </a:ext>
          </a:extLst>
        </xdr:cNvPr>
        <xdr:cNvSpPr>
          <a:spLocks noChangeAspect="1" noChangeArrowheads="1"/>
        </xdr:cNvSpPr>
      </xdr:nvSpPr>
      <xdr:spPr bwMode="auto">
        <a:xfrm>
          <a:off x="39300150" y="270929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83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A070000}"/>
            </a:ext>
          </a:extLst>
        </xdr:cNvPr>
        <xdr:cNvSpPr>
          <a:spLocks noChangeAspect="1" noChangeArrowheads="1"/>
        </xdr:cNvSpPr>
      </xdr:nvSpPr>
      <xdr:spPr bwMode="auto">
        <a:xfrm>
          <a:off x="39300150" y="270929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83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B070000}"/>
            </a:ext>
          </a:extLst>
        </xdr:cNvPr>
        <xdr:cNvSpPr>
          <a:spLocks noChangeAspect="1" noChangeArrowheads="1"/>
        </xdr:cNvSpPr>
      </xdr:nvSpPr>
      <xdr:spPr bwMode="auto">
        <a:xfrm>
          <a:off x="39300150" y="271224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83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C070000}"/>
            </a:ext>
          </a:extLst>
        </xdr:cNvPr>
        <xdr:cNvSpPr>
          <a:spLocks noChangeAspect="1" noChangeArrowheads="1"/>
        </xdr:cNvSpPr>
      </xdr:nvSpPr>
      <xdr:spPr bwMode="auto">
        <a:xfrm>
          <a:off x="39300150" y="271224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83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D070000}"/>
            </a:ext>
          </a:extLst>
        </xdr:cNvPr>
        <xdr:cNvSpPr>
          <a:spLocks noChangeAspect="1" noChangeArrowheads="1"/>
        </xdr:cNvSpPr>
      </xdr:nvSpPr>
      <xdr:spPr bwMode="auto">
        <a:xfrm>
          <a:off x="39300150" y="271519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83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E070000}"/>
            </a:ext>
          </a:extLst>
        </xdr:cNvPr>
        <xdr:cNvSpPr>
          <a:spLocks noChangeAspect="1" noChangeArrowheads="1"/>
        </xdr:cNvSpPr>
      </xdr:nvSpPr>
      <xdr:spPr bwMode="auto">
        <a:xfrm>
          <a:off x="39300150" y="271519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83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F070000}"/>
            </a:ext>
          </a:extLst>
        </xdr:cNvPr>
        <xdr:cNvSpPr>
          <a:spLocks noChangeAspect="1" noChangeArrowheads="1"/>
        </xdr:cNvSpPr>
      </xdr:nvSpPr>
      <xdr:spPr bwMode="auto">
        <a:xfrm>
          <a:off x="39300150" y="2718149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84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0070000}"/>
            </a:ext>
          </a:extLst>
        </xdr:cNvPr>
        <xdr:cNvSpPr>
          <a:spLocks noChangeAspect="1" noChangeArrowheads="1"/>
        </xdr:cNvSpPr>
      </xdr:nvSpPr>
      <xdr:spPr bwMode="auto">
        <a:xfrm>
          <a:off x="39300150" y="2718149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84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1070000}"/>
            </a:ext>
          </a:extLst>
        </xdr:cNvPr>
        <xdr:cNvSpPr>
          <a:spLocks noChangeAspect="1" noChangeArrowheads="1"/>
        </xdr:cNvSpPr>
      </xdr:nvSpPr>
      <xdr:spPr bwMode="auto">
        <a:xfrm>
          <a:off x="39300150" y="27211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84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2070000}"/>
            </a:ext>
          </a:extLst>
        </xdr:cNvPr>
        <xdr:cNvSpPr>
          <a:spLocks noChangeAspect="1" noChangeArrowheads="1"/>
        </xdr:cNvSpPr>
      </xdr:nvSpPr>
      <xdr:spPr bwMode="auto">
        <a:xfrm>
          <a:off x="39300150" y="27211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84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3070000}"/>
            </a:ext>
          </a:extLst>
        </xdr:cNvPr>
        <xdr:cNvSpPr>
          <a:spLocks noChangeAspect="1" noChangeArrowheads="1"/>
        </xdr:cNvSpPr>
      </xdr:nvSpPr>
      <xdr:spPr bwMode="auto">
        <a:xfrm>
          <a:off x="39300150" y="2724054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84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4070000}"/>
            </a:ext>
          </a:extLst>
        </xdr:cNvPr>
        <xdr:cNvSpPr>
          <a:spLocks noChangeAspect="1" noChangeArrowheads="1"/>
        </xdr:cNvSpPr>
      </xdr:nvSpPr>
      <xdr:spPr bwMode="auto">
        <a:xfrm>
          <a:off x="39300150" y="2724054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84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5070000}"/>
            </a:ext>
          </a:extLst>
        </xdr:cNvPr>
        <xdr:cNvSpPr>
          <a:spLocks noChangeAspect="1" noChangeArrowheads="1"/>
        </xdr:cNvSpPr>
      </xdr:nvSpPr>
      <xdr:spPr bwMode="auto">
        <a:xfrm>
          <a:off x="39300150" y="272700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84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6070000}"/>
            </a:ext>
          </a:extLst>
        </xdr:cNvPr>
        <xdr:cNvSpPr>
          <a:spLocks noChangeAspect="1" noChangeArrowheads="1"/>
        </xdr:cNvSpPr>
      </xdr:nvSpPr>
      <xdr:spPr bwMode="auto">
        <a:xfrm>
          <a:off x="39300150" y="272700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84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7070000}"/>
            </a:ext>
          </a:extLst>
        </xdr:cNvPr>
        <xdr:cNvSpPr>
          <a:spLocks noChangeAspect="1" noChangeArrowheads="1"/>
        </xdr:cNvSpPr>
      </xdr:nvSpPr>
      <xdr:spPr bwMode="auto">
        <a:xfrm>
          <a:off x="39300150" y="272996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84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8070000}"/>
            </a:ext>
          </a:extLst>
        </xdr:cNvPr>
        <xdr:cNvSpPr>
          <a:spLocks noChangeAspect="1" noChangeArrowheads="1"/>
        </xdr:cNvSpPr>
      </xdr:nvSpPr>
      <xdr:spPr bwMode="auto">
        <a:xfrm>
          <a:off x="39300150" y="272996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84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9070000}"/>
            </a:ext>
          </a:extLst>
        </xdr:cNvPr>
        <xdr:cNvSpPr>
          <a:spLocks noChangeAspect="1" noChangeArrowheads="1"/>
        </xdr:cNvSpPr>
      </xdr:nvSpPr>
      <xdr:spPr bwMode="auto">
        <a:xfrm>
          <a:off x="39300150" y="273291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85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A070000}"/>
            </a:ext>
          </a:extLst>
        </xdr:cNvPr>
        <xdr:cNvSpPr>
          <a:spLocks noChangeAspect="1" noChangeArrowheads="1"/>
        </xdr:cNvSpPr>
      </xdr:nvSpPr>
      <xdr:spPr bwMode="auto">
        <a:xfrm>
          <a:off x="39300150" y="273291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85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B070000}"/>
            </a:ext>
          </a:extLst>
        </xdr:cNvPr>
        <xdr:cNvSpPr>
          <a:spLocks noChangeAspect="1" noChangeArrowheads="1"/>
        </xdr:cNvSpPr>
      </xdr:nvSpPr>
      <xdr:spPr bwMode="auto">
        <a:xfrm>
          <a:off x="39300150" y="273586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85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C070000}"/>
            </a:ext>
          </a:extLst>
        </xdr:cNvPr>
        <xdr:cNvSpPr>
          <a:spLocks noChangeAspect="1" noChangeArrowheads="1"/>
        </xdr:cNvSpPr>
      </xdr:nvSpPr>
      <xdr:spPr bwMode="auto">
        <a:xfrm>
          <a:off x="39300150" y="273586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85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D070000}"/>
            </a:ext>
          </a:extLst>
        </xdr:cNvPr>
        <xdr:cNvSpPr>
          <a:spLocks noChangeAspect="1" noChangeArrowheads="1"/>
        </xdr:cNvSpPr>
      </xdr:nvSpPr>
      <xdr:spPr bwMode="auto">
        <a:xfrm>
          <a:off x="39300150" y="273881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85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E070000}"/>
            </a:ext>
          </a:extLst>
        </xdr:cNvPr>
        <xdr:cNvSpPr>
          <a:spLocks noChangeAspect="1" noChangeArrowheads="1"/>
        </xdr:cNvSpPr>
      </xdr:nvSpPr>
      <xdr:spPr bwMode="auto">
        <a:xfrm>
          <a:off x="39300150" y="273881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85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F070000}"/>
            </a:ext>
          </a:extLst>
        </xdr:cNvPr>
        <xdr:cNvSpPr>
          <a:spLocks noChangeAspect="1" noChangeArrowheads="1"/>
        </xdr:cNvSpPr>
      </xdr:nvSpPr>
      <xdr:spPr bwMode="auto">
        <a:xfrm>
          <a:off x="39300150" y="2741771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85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0070000}"/>
            </a:ext>
          </a:extLst>
        </xdr:cNvPr>
        <xdr:cNvSpPr>
          <a:spLocks noChangeAspect="1" noChangeArrowheads="1"/>
        </xdr:cNvSpPr>
      </xdr:nvSpPr>
      <xdr:spPr bwMode="auto">
        <a:xfrm>
          <a:off x="39300150" y="2741771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85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1070000}"/>
            </a:ext>
          </a:extLst>
        </xdr:cNvPr>
        <xdr:cNvSpPr>
          <a:spLocks noChangeAspect="1" noChangeArrowheads="1"/>
        </xdr:cNvSpPr>
      </xdr:nvSpPr>
      <xdr:spPr bwMode="auto">
        <a:xfrm>
          <a:off x="39300150" y="274472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85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2070000}"/>
            </a:ext>
          </a:extLst>
        </xdr:cNvPr>
        <xdr:cNvSpPr>
          <a:spLocks noChangeAspect="1" noChangeArrowheads="1"/>
        </xdr:cNvSpPr>
      </xdr:nvSpPr>
      <xdr:spPr bwMode="auto">
        <a:xfrm>
          <a:off x="39300150" y="274472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85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3070000}"/>
            </a:ext>
          </a:extLst>
        </xdr:cNvPr>
        <xdr:cNvSpPr>
          <a:spLocks noChangeAspect="1" noChangeArrowheads="1"/>
        </xdr:cNvSpPr>
      </xdr:nvSpPr>
      <xdr:spPr bwMode="auto">
        <a:xfrm>
          <a:off x="39300150" y="2747676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86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4070000}"/>
            </a:ext>
          </a:extLst>
        </xdr:cNvPr>
        <xdr:cNvSpPr>
          <a:spLocks noChangeAspect="1" noChangeArrowheads="1"/>
        </xdr:cNvSpPr>
      </xdr:nvSpPr>
      <xdr:spPr bwMode="auto">
        <a:xfrm>
          <a:off x="39300150" y="2747676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86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5070000}"/>
            </a:ext>
          </a:extLst>
        </xdr:cNvPr>
        <xdr:cNvSpPr>
          <a:spLocks noChangeAspect="1" noChangeArrowheads="1"/>
        </xdr:cNvSpPr>
      </xdr:nvSpPr>
      <xdr:spPr bwMode="auto">
        <a:xfrm>
          <a:off x="39300150" y="275062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86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6070000}"/>
            </a:ext>
          </a:extLst>
        </xdr:cNvPr>
        <xdr:cNvSpPr>
          <a:spLocks noChangeAspect="1" noChangeArrowheads="1"/>
        </xdr:cNvSpPr>
      </xdr:nvSpPr>
      <xdr:spPr bwMode="auto">
        <a:xfrm>
          <a:off x="39300150" y="275062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86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7070000}"/>
            </a:ext>
          </a:extLst>
        </xdr:cNvPr>
        <xdr:cNvSpPr>
          <a:spLocks noChangeAspect="1" noChangeArrowheads="1"/>
        </xdr:cNvSpPr>
      </xdr:nvSpPr>
      <xdr:spPr bwMode="auto">
        <a:xfrm>
          <a:off x="39300150" y="275358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86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8070000}"/>
            </a:ext>
          </a:extLst>
        </xdr:cNvPr>
        <xdr:cNvSpPr>
          <a:spLocks noChangeAspect="1" noChangeArrowheads="1"/>
        </xdr:cNvSpPr>
      </xdr:nvSpPr>
      <xdr:spPr bwMode="auto">
        <a:xfrm>
          <a:off x="39300150" y="275358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86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9070000}"/>
            </a:ext>
          </a:extLst>
        </xdr:cNvPr>
        <xdr:cNvSpPr>
          <a:spLocks noChangeAspect="1" noChangeArrowheads="1"/>
        </xdr:cNvSpPr>
      </xdr:nvSpPr>
      <xdr:spPr bwMode="auto">
        <a:xfrm>
          <a:off x="39300150" y="27565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86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A070000}"/>
            </a:ext>
          </a:extLst>
        </xdr:cNvPr>
        <xdr:cNvSpPr>
          <a:spLocks noChangeAspect="1" noChangeArrowheads="1"/>
        </xdr:cNvSpPr>
      </xdr:nvSpPr>
      <xdr:spPr bwMode="auto">
        <a:xfrm>
          <a:off x="39300150" y="27565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86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B070000}"/>
            </a:ext>
          </a:extLst>
        </xdr:cNvPr>
        <xdr:cNvSpPr>
          <a:spLocks noChangeAspect="1" noChangeArrowheads="1"/>
        </xdr:cNvSpPr>
      </xdr:nvSpPr>
      <xdr:spPr bwMode="auto">
        <a:xfrm>
          <a:off x="39300150" y="2759487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86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C070000}"/>
            </a:ext>
          </a:extLst>
        </xdr:cNvPr>
        <xdr:cNvSpPr>
          <a:spLocks noChangeAspect="1" noChangeArrowheads="1"/>
        </xdr:cNvSpPr>
      </xdr:nvSpPr>
      <xdr:spPr bwMode="auto">
        <a:xfrm>
          <a:off x="39300150" y="2759487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86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D070000}"/>
            </a:ext>
          </a:extLst>
        </xdr:cNvPr>
        <xdr:cNvSpPr>
          <a:spLocks noChangeAspect="1" noChangeArrowheads="1"/>
        </xdr:cNvSpPr>
      </xdr:nvSpPr>
      <xdr:spPr bwMode="auto">
        <a:xfrm>
          <a:off x="39300150" y="276244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87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E070000}"/>
            </a:ext>
          </a:extLst>
        </xdr:cNvPr>
        <xdr:cNvSpPr>
          <a:spLocks noChangeAspect="1" noChangeArrowheads="1"/>
        </xdr:cNvSpPr>
      </xdr:nvSpPr>
      <xdr:spPr bwMode="auto">
        <a:xfrm>
          <a:off x="39300150" y="276244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87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F070000}"/>
            </a:ext>
          </a:extLst>
        </xdr:cNvPr>
        <xdr:cNvSpPr>
          <a:spLocks noChangeAspect="1" noChangeArrowheads="1"/>
        </xdr:cNvSpPr>
      </xdr:nvSpPr>
      <xdr:spPr bwMode="auto">
        <a:xfrm>
          <a:off x="39300150" y="276539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87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0070000}"/>
            </a:ext>
          </a:extLst>
        </xdr:cNvPr>
        <xdr:cNvSpPr>
          <a:spLocks noChangeAspect="1" noChangeArrowheads="1"/>
        </xdr:cNvSpPr>
      </xdr:nvSpPr>
      <xdr:spPr bwMode="auto">
        <a:xfrm>
          <a:off x="39300150" y="276539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87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1070000}"/>
            </a:ext>
          </a:extLst>
        </xdr:cNvPr>
        <xdr:cNvSpPr>
          <a:spLocks noChangeAspect="1" noChangeArrowheads="1"/>
        </xdr:cNvSpPr>
      </xdr:nvSpPr>
      <xdr:spPr bwMode="auto">
        <a:xfrm>
          <a:off x="39300150" y="276834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87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2070000}"/>
            </a:ext>
          </a:extLst>
        </xdr:cNvPr>
        <xdr:cNvSpPr>
          <a:spLocks noChangeAspect="1" noChangeArrowheads="1"/>
        </xdr:cNvSpPr>
      </xdr:nvSpPr>
      <xdr:spPr bwMode="auto">
        <a:xfrm>
          <a:off x="39300150" y="276834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87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3070000}"/>
            </a:ext>
          </a:extLst>
        </xdr:cNvPr>
        <xdr:cNvSpPr>
          <a:spLocks noChangeAspect="1" noChangeArrowheads="1"/>
        </xdr:cNvSpPr>
      </xdr:nvSpPr>
      <xdr:spPr bwMode="auto">
        <a:xfrm>
          <a:off x="39300150" y="277129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87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4070000}"/>
            </a:ext>
          </a:extLst>
        </xdr:cNvPr>
        <xdr:cNvSpPr>
          <a:spLocks noChangeAspect="1" noChangeArrowheads="1"/>
        </xdr:cNvSpPr>
      </xdr:nvSpPr>
      <xdr:spPr bwMode="auto">
        <a:xfrm>
          <a:off x="39300150" y="277129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87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5070000}"/>
            </a:ext>
          </a:extLst>
        </xdr:cNvPr>
        <xdr:cNvSpPr>
          <a:spLocks noChangeAspect="1" noChangeArrowheads="1"/>
        </xdr:cNvSpPr>
      </xdr:nvSpPr>
      <xdr:spPr bwMode="auto">
        <a:xfrm>
          <a:off x="39300150" y="277425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87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6070000}"/>
            </a:ext>
          </a:extLst>
        </xdr:cNvPr>
        <xdr:cNvSpPr>
          <a:spLocks noChangeAspect="1" noChangeArrowheads="1"/>
        </xdr:cNvSpPr>
      </xdr:nvSpPr>
      <xdr:spPr bwMode="auto">
        <a:xfrm>
          <a:off x="39300150" y="277425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87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7070000}"/>
            </a:ext>
          </a:extLst>
        </xdr:cNvPr>
        <xdr:cNvSpPr>
          <a:spLocks noChangeAspect="1" noChangeArrowheads="1"/>
        </xdr:cNvSpPr>
      </xdr:nvSpPr>
      <xdr:spPr bwMode="auto">
        <a:xfrm>
          <a:off x="39300150" y="2777204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88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8070000}"/>
            </a:ext>
          </a:extLst>
        </xdr:cNvPr>
        <xdr:cNvSpPr>
          <a:spLocks noChangeAspect="1" noChangeArrowheads="1"/>
        </xdr:cNvSpPr>
      </xdr:nvSpPr>
      <xdr:spPr bwMode="auto">
        <a:xfrm>
          <a:off x="39300150" y="2777204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88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9070000}"/>
            </a:ext>
          </a:extLst>
        </xdr:cNvPr>
        <xdr:cNvSpPr>
          <a:spLocks noChangeAspect="1" noChangeArrowheads="1"/>
        </xdr:cNvSpPr>
      </xdr:nvSpPr>
      <xdr:spPr bwMode="auto">
        <a:xfrm>
          <a:off x="39300150" y="278015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88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A070000}"/>
            </a:ext>
          </a:extLst>
        </xdr:cNvPr>
        <xdr:cNvSpPr>
          <a:spLocks noChangeAspect="1" noChangeArrowheads="1"/>
        </xdr:cNvSpPr>
      </xdr:nvSpPr>
      <xdr:spPr bwMode="auto">
        <a:xfrm>
          <a:off x="39300150" y="278015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88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B070000}"/>
            </a:ext>
          </a:extLst>
        </xdr:cNvPr>
        <xdr:cNvSpPr>
          <a:spLocks noChangeAspect="1" noChangeArrowheads="1"/>
        </xdr:cNvSpPr>
      </xdr:nvSpPr>
      <xdr:spPr bwMode="auto">
        <a:xfrm>
          <a:off x="39300150" y="2783109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88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C070000}"/>
            </a:ext>
          </a:extLst>
        </xdr:cNvPr>
        <xdr:cNvSpPr>
          <a:spLocks noChangeAspect="1" noChangeArrowheads="1"/>
        </xdr:cNvSpPr>
      </xdr:nvSpPr>
      <xdr:spPr bwMode="auto">
        <a:xfrm>
          <a:off x="39300150" y="2783109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88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D070000}"/>
            </a:ext>
          </a:extLst>
        </xdr:cNvPr>
        <xdr:cNvSpPr>
          <a:spLocks noChangeAspect="1" noChangeArrowheads="1"/>
        </xdr:cNvSpPr>
      </xdr:nvSpPr>
      <xdr:spPr bwMode="auto">
        <a:xfrm>
          <a:off x="39300150" y="278606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88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E070000}"/>
            </a:ext>
          </a:extLst>
        </xdr:cNvPr>
        <xdr:cNvSpPr>
          <a:spLocks noChangeAspect="1" noChangeArrowheads="1"/>
        </xdr:cNvSpPr>
      </xdr:nvSpPr>
      <xdr:spPr bwMode="auto">
        <a:xfrm>
          <a:off x="39300150" y="278606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88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F070000}"/>
            </a:ext>
          </a:extLst>
        </xdr:cNvPr>
        <xdr:cNvSpPr>
          <a:spLocks noChangeAspect="1" noChangeArrowheads="1"/>
        </xdr:cNvSpPr>
      </xdr:nvSpPr>
      <xdr:spPr bwMode="auto">
        <a:xfrm>
          <a:off x="39300150" y="278901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88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0070000}"/>
            </a:ext>
          </a:extLst>
        </xdr:cNvPr>
        <xdr:cNvSpPr>
          <a:spLocks noChangeAspect="1" noChangeArrowheads="1"/>
        </xdr:cNvSpPr>
      </xdr:nvSpPr>
      <xdr:spPr bwMode="auto">
        <a:xfrm>
          <a:off x="39300150" y="278901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88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1070000}"/>
            </a:ext>
          </a:extLst>
        </xdr:cNvPr>
        <xdr:cNvSpPr>
          <a:spLocks noChangeAspect="1" noChangeArrowheads="1"/>
        </xdr:cNvSpPr>
      </xdr:nvSpPr>
      <xdr:spPr bwMode="auto">
        <a:xfrm>
          <a:off x="39300150" y="279196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89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2070000}"/>
            </a:ext>
          </a:extLst>
        </xdr:cNvPr>
        <xdr:cNvSpPr>
          <a:spLocks noChangeAspect="1" noChangeArrowheads="1"/>
        </xdr:cNvSpPr>
      </xdr:nvSpPr>
      <xdr:spPr bwMode="auto">
        <a:xfrm>
          <a:off x="39300150" y="279196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89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3070000}"/>
            </a:ext>
          </a:extLst>
        </xdr:cNvPr>
        <xdr:cNvSpPr>
          <a:spLocks noChangeAspect="1" noChangeArrowheads="1"/>
        </xdr:cNvSpPr>
      </xdr:nvSpPr>
      <xdr:spPr bwMode="auto">
        <a:xfrm>
          <a:off x="39300150" y="279492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89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4070000}"/>
            </a:ext>
          </a:extLst>
        </xdr:cNvPr>
        <xdr:cNvSpPr>
          <a:spLocks noChangeAspect="1" noChangeArrowheads="1"/>
        </xdr:cNvSpPr>
      </xdr:nvSpPr>
      <xdr:spPr bwMode="auto">
        <a:xfrm>
          <a:off x="39300150" y="279492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89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5070000}"/>
            </a:ext>
          </a:extLst>
        </xdr:cNvPr>
        <xdr:cNvSpPr>
          <a:spLocks noChangeAspect="1" noChangeArrowheads="1"/>
        </xdr:cNvSpPr>
      </xdr:nvSpPr>
      <xdr:spPr bwMode="auto">
        <a:xfrm>
          <a:off x="39300150" y="279787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89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6070000}"/>
            </a:ext>
          </a:extLst>
        </xdr:cNvPr>
        <xdr:cNvSpPr>
          <a:spLocks noChangeAspect="1" noChangeArrowheads="1"/>
        </xdr:cNvSpPr>
      </xdr:nvSpPr>
      <xdr:spPr bwMode="auto">
        <a:xfrm>
          <a:off x="39300150" y="279787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89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7070000}"/>
            </a:ext>
          </a:extLst>
        </xdr:cNvPr>
        <xdr:cNvSpPr>
          <a:spLocks noChangeAspect="1" noChangeArrowheads="1"/>
        </xdr:cNvSpPr>
      </xdr:nvSpPr>
      <xdr:spPr bwMode="auto">
        <a:xfrm>
          <a:off x="39300150" y="280082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89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8070000}"/>
            </a:ext>
          </a:extLst>
        </xdr:cNvPr>
        <xdr:cNvSpPr>
          <a:spLocks noChangeAspect="1" noChangeArrowheads="1"/>
        </xdr:cNvSpPr>
      </xdr:nvSpPr>
      <xdr:spPr bwMode="auto">
        <a:xfrm>
          <a:off x="39300150" y="280082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89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9070000}"/>
            </a:ext>
          </a:extLst>
        </xdr:cNvPr>
        <xdr:cNvSpPr>
          <a:spLocks noChangeAspect="1" noChangeArrowheads="1"/>
        </xdr:cNvSpPr>
      </xdr:nvSpPr>
      <xdr:spPr bwMode="auto">
        <a:xfrm>
          <a:off x="39300150" y="280377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89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A070000}"/>
            </a:ext>
          </a:extLst>
        </xdr:cNvPr>
        <xdr:cNvSpPr>
          <a:spLocks noChangeAspect="1" noChangeArrowheads="1"/>
        </xdr:cNvSpPr>
      </xdr:nvSpPr>
      <xdr:spPr bwMode="auto">
        <a:xfrm>
          <a:off x="39300150" y="280377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89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B070000}"/>
            </a:ext>
          </a:extLst>
        </xdr:cNvPr>
        <xdr:cNvSpPr>
          <a:spLocks noChangeAspect="1" noChangeArrowheads="1"/>
        </xdr:cNvSpPr>
      </xdr:nvSpPr>
      <xdr:spPr bwMode="auto">
        <a:xfrm>
          <a:off x="39300150" y="2806731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90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C070000}"/>
            </a:ext>
          </a:extLst>
        </xdr:cNvPr>
        <xdr:cNvSpPr>
          <a:spLocks noChangeAspect="1" noChangeArrowheads="1"/>
        </xdr:cNvSpPr>
      </xdr:nvSpPr>
      <xdr:spPr bwMode="auto">
        <a:xfrm>
          <a:off x="39300150" y="2806731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90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D070000}"/>
            </a:ext>
          </a:extLst>
        </xdr:cNvPr>
        <xdr:cNvSpPr>
          <a:spLocks noChangeAspect="1" noChangeArrowheads="1"/>
        </xdr:cNvSpPr>
      </xdr:nvSpPr>
      <xdr:spPr bwMode="auto">
        <a:xfrm>
          <a:off x="39300150" y="280968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90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E070000}"/>
            </a:ext>
          </a:extLst>
        </xdr:cNvPr>
        <xdr:cNvSpPr>
          <a:spLocks noChangeAspect="1" noChangeArrowheads="1"/>
        </xdr:cNvSpPr>
      </xdr:nvSpPr>
      <xdr:spPr bwMode="auto">
        <a:xfrm>
          <a:off x="39300150" y="280968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90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F070000}"/>
            </a:ext>
          </a:extLst>
        </xdr:cNvPr>
        <xdr:cNvSpPr>
          <a:spLocks noChangeAspect="1" noChangeArrowheads="1"/>
        </xdr:cNvSpPr>
      </xdr:nvSpPr>
      <xdr:spPr bwMode="auto">
        <a:xfrm>
          <a:off x="39300150" y="2812637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90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0070000}"/>
            </a:ext>
          </a:extLst>
        </xdr:cNvPr>
        <xdr:cNvSpPr>
          <a:spLocks noChangeAspect="1" noChangeArrowheads="1"/>
        </xdr:cNvSpPr>
      </xdr:nvSpPr>
      <xdr:spPr bwMode="auto">
        <a:xfrm>
          <a:off x="39300150" y="2812637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90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1070000}"/>
            </a:ext>
          </a:extLst>
        </xdr:cNvPr>
        <xdr:cNvSpPr>
          <a:spLocks noChangeAspect="1" noChangeArrowheads="1"/>
        </xdr:cNvSpPr>
      </xdr:nvSpPr>
      <xdr:spPr bwMode="auto">
        <a:xfrm>
          <a:off x="39300150" y="28155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90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2070000}"/>
            </a:ext>
          </a:extLst>
        </xdr:cNvPr>
        <xdr:cNvSpPr>
          <a:spLocks noChangeAspect="1" noChangeArrowheads="1"/>
        </xdr:cNvSpPr>
      </xdr:nvSpPr>
      <xdr:spPr bwMode="auto">
        <a:xfrm>
          <a:off x="39300150" y="28155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90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3070000}"/>
            </a:ext>
          </a:extLst>
        </xdr:cNvPr>
        <xdr:cNvSpPr>
          <a:spLocks noChangeAspect="1" noChangeArrowheads="1"/>
        </xdr:cNvSpPr>
      </xdr:nvSpPr>
      <xdr:spPr bwMode="auto">
        <a:xfrm>
          <a:off x="39300150" y="2818542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90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4070000}"/>
            </a:ext>
          </a:extLst>
        </xdr:cNvPr>
        <xdr:cNvSpPr>
          <a:spLocks noChangeAspect="1" noChangeArrowheads="1"/>
        </xdr:cNvSpPr>
      </xdr:nvSpPr>
      <xdr:spPr bwMode="auto">
        <a:xfrm>
          <a:off x="39300150" y="2818542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90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5070000}"/>
            </a:ext>
          </a:extLst>
        </xdr:cNvPr>
        <xdr:cNvSpPr>
          <a:spLocks noChangeAspect="1" noChangeArrowheads="1"/>
        </xdr:cNvSpPr>
      </xdr:nvSpPr>
      <xdr:spPr bwMode="auto">
        <a:xfrm>
          <a:off x="39300150" y="282149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91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6070000}"/>
            </a:ext>
          </a:extLst>
        </xdr:cNvPr>
        <xdr:cNvSpPr>
          <a:spLocks noChangeAspect="1" noChangeArrowheads="1"/>
        </xdr:cNvSpPr>
      </xdr:nvSpPr>
      <xdr:spPr bwMode="auto">
        <a:xfrm>
          <a:off x="39300150" y="282149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91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7070000}"/>
            </a:ext>
          </a:extLst>
        </xdr:cNvPr>
        <xdr:cNvSpPr>
          <a:spLocks noChangeAspect="1" noChangeArrowheads="1"/>
        </xdr:cNvSpPr>
      </xdr:nvSpPr>
      <xdr:spPr bwMode="auto">
        <a:xfrm>
          <a:off x="39300150" y="282444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91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8070000}"/>
            </a:ext>
          </a:extLst>
        </xdr:cNvPr>
        <xdr:cNvSpPr>
          <a:spLocks noChangeAspect="1" noChangeArrowheads="1"/>
        </xdr:cNvSpPr>
      </xdr:nvSpPr>
      <xdr:spPr bwMode="auto">
        <a:xfrm>
          <a:off x="39300150" y="282444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91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9070000}"/>
            </a:ext>
          </a:extLst>
        </xdr:cNvPr>
        <xdr:cNvSpPr>
          <a:spLocks noChangeAspect="1" noChangeArrowheads="1"/>
        </xdr:cNvSpPr>
      </xdr:nvSpPr>
      <xdr:spPr bwMode="auto">
        <a:xfrm>
          <a:off x="39300150" y="282740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91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A070000}"/>
            </a:ext>
          </a:extLst>
        </xdr:cNvPr>
        <xdr:cNvSpPr>
          <a:spLocks noChangeAspect="1" noChangeArrowheads="1"/>
        </xdr:cNvSpPr>
      </xdr:nvSpPr>
      <xdr:spPr bwMode="auto">
        <a:xfrm>
          <a:off x="39300150" y="282740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91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B070000}"/>
            </a:ext>
          </a:extLst>
        </xdr:cNvPr>
        <xdr:cNvSpPr>
          <a:spLocks noChangeAspect="1" noChangeArrowheads="1"/>
        </xdr:cNvSpPr>
      </xdr:nvSpPr>
      <xdr:spPr bwMode="auto">
        <a:xfrm>
          <a:off x="39300150" y="283035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91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C070000}"/>
            </a:ext>
          </a:extLst>
        </xdr:cNvPr>
        <xdr:cNvSpPr>
          <a:spLocks noChangeAspect="1" noChangeArrowheads="1"/>
        </xdr:cNvSpPr>
      </xdr:nvSpPr>
      <xdr:spPr bwMode="auto">
        <a:xfrm>
          <a:off x="39300150" y="283035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91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D070000}"/>
            </a:ext>
          </a:extLst>
        </xdr:cNvPr>
        <xdr:cNvSpPr>
          <a:spLocks noChangeAspect="1" noChangeArrowheads="1"/>
        </xdr:cNvSpPr>
      </xdr:nvSpPr>
      <xdr:spPr bwMode="auto">
        <a:xfrm>
          <a:off x="39300150" y="283330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91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E070000}"/>
            </a:ext>
          </a:extLst>
        </xdr:cNvPr>
        <xdr:cNvSpPr>
          <a:spLocks noChangeAspect="1" noChangeArrowheads="1"/>
        </xdr:cNvSpPr>
      </xdr:nvSpPr>
      <xdr:spPr bwMode="auto">
        <a:xfrm>
          <a:off x="39300150" y="283330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91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F070000}"/>
            </a:ext>
          </a:extLst>
        </xdr:cNvPr>
        <xdr:cNvSpPr>
          <a:spLocks noChangeAspect="1" noChangeArrowheads="1"/>
        </xdr:cNvSpPr>
      </xdr:nvSpPr>
      <xdr:spPr bwMode="auto">
        <a:xfrm>
          <a:off x="39300150" y="2836259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92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0070000}"/>
            </a:ext>
          </a:extLst>
        </xdr:cNvPr>
        <xdr:cNvSpPr>
          <a:spLocks noChangeAspect="1" noChangeArrowheads="1"/>
        </xdr:cNvSpPr>
      </xdr:nvSpPr>
      <xdr:spPr bwMode="auto">
        <a:xfrm>
          <a:off x="39300150" y="2836259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92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1070000}"/>
            </a:ext>
          </a:extLst>
        </xdr:cNvPr>
        <xdr:cNvSpPr>
          <a:spLocks noChangeAspect="1" noChangeArrowheads="1"/>
        </xdr:cNvSpPr>
      </xdr:nvSpPr>
      <xdr:spPr bwMode="auto">
        <a:xfrm>
          <a:off x="39300150" y="283921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92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2070000}"/>
            </a:ext>
          </a:extLst>
        </xdr:cNvPr>
        <xdr:cNvSpPr>
          <a:spLocks noChangeAspect="1" noChangeArrowheads="1"/>
        </xdr:cNvSpPr>
      </xdr:nvSpPr>
      <xdr:spPr bwMode="auto">
        <a:xfrm>
          <a:off x="39300150" y="283921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92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3070000}"/>
            </a:ext>
          </a:extLst>
        </xdr:cNvPr>
        <xdr:cNvSpPr>
          <a:spLocks noChangeAspect="1" noChangeArrowheads="1"/>
        </xdr:cNvSpPr>
      </xdr:nvSpPr>
      <xdr:spPr bwMode="auto">
        <a:xfrm>
          <a:off x="39300150" y="2842164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92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4070000}"/>
            </a:ext>
          </a:extLst>
        </xdr:cNvPr>
        <xdr:cNvSpPr>
          <a:spLocks noChangeAspect="1" noChangeArrowheads="1"/>
        </xdr:cNvSpPr>
      </xdr:nvSpPr>
      <xdr:spPr bwMode="auto">
        <a:xfrm>
          <a:off x="39300150" y="2842164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92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5070000}"/>
            </a:ext>
          </a:extLst>
        </xdr:cNvPr>
        <xdr:cNvSpPr>
          <a:spLocks noChangeAspect="1" noChangeArrowheads="1"/>
        </xdr:cNvSpPr>
      </xdr:nvSpPr>
      <xdr:spPr bwMode="auto">
        <a:xfrm>
          <a:off x="39300150" y="284511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92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6070000}"/>
            </a:ext>
          </a:extLst>
        </xdr:cNvPr>
        <xdr:cNvSpPr>
          <a:spLocks noChangeAspect="1" noChangeArrowheads="1"/>
        </xdr:cNvSpPr>
      </xdr:nvSpPr>
      <xdr:spPr bwMode="auto">
        <a:xfrm>
          <a:off x="39300150" y="284511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92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7070000}"/>
            </a:ext>
          </a:extLst>
        </xdr:cNvPr>
        <xdr:cNvSpPr>
          <a:spLocks noChangeAspect="1" noChangeArrowheads="1"/>
        </xdr:cNvSpPr>
      </xdr:nvSpPr>
      <xdr:spPr bwMode="auto">
        <a:xfrm>
          <a:off x="39300150" y="284807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92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8070000}"/>
            </a:ext>
          </a:extLst>
        </xdr:cNvPr>
        <xdr:cNvSpPr>
          <a:spLocks noChangeAspect="1" noChangeArrowheads="1"/>
        </xdr:cNvSpPr>
      </xdr:nvSpPr>
      <xdr:spPr bwMode="auto">
        <a:xfrm>
          <a:off x="39300150" y="284807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92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9070000}"/>
            </a:ext>
          </a:extLst>
        </xdr:cNvPr>
        <xdr:cNvSpPr>
          <a:spLocks noChangeAspect="1" noChangeArrowheads="1"/>
        </xdr:cNvSpPr>
      </xdr:nvSpPr>
      <xdr:spPr bwMode="auto">
        <a:xfrm>
          <a:off x="39300150" y="285102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93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A070000}"/>
            </a:ext>
          </a:extLst>
        </xdr:cNvPr>
        <xdr:cNvSpPr>
          <a:spLocks noChangeAspect="1" noChangeArrowheads="1"/>
        </xdr:cNvSpPr>
      </xdr:nvSpPr>
      <xdr:spPr bwMode="auto">
        <a:xfrm>
          <a:off x="39300150" y="285102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93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B070000}"/>
            </a:ext>
          </a:extLst>
        </xdr:cNvPr>
        <xdr:cNvSpPr>
          <a:spLocks noChangeAspect="1" noChangeArrowheads="1"/>
        </xdr:cNvSpPr>
      </xdr:nvSpPr>
      <xdr:spPr bwMode="auto">
        <a:xfrm>
          <a:off x="39300150" y="285397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93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C070000}"/>
            </a:ext>
          </a:extLst>
        </xdr:cNvPr>
        <xdr:cNvSpPr>
          <a:spLocks noChangeAspect="1" noChangeArrowheads="1"/>
        </xdr:cNvSpPr>
      </xdr:nvSpPr>
      <xdr:spPr bwMode="auto">
        <a:xfrm>
          <a:off x="39300150" y="285397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93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D070000}"/>
            </a:ext>
          </a:extLst>
        </xdr:cNvPr>
        <xdr:cNvSpPr>
          <a:spLocks noChangeAspect="1" noChangeArrowheads="1"/>
        </xdr:cNvSpPr>
      </xdr:nvSpPr>
      <xdr:spPr bwMode="auto">
        <a:xfrm>
          <a:off x="39300150" y="285692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93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E070000}"/>
            </a:ext>
          </a:extLst>
        </xdr:cNvPr>
        <xdr:cNvSpPr>
          <a:spLocks noChangeAspect="1" noChangeArrowheads="1"/>
        </xdr:cNvSpPr>
      </xdr:nvSpPr>
      <xdr:spPr bwMode="auto">
        <a:xfrm>
          <a:off x="39300150" y="285692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93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F070000}"/>
            </a:ext>
          </a:extLst>
        </xdr:cNvPr>
        <xdr:cNvSpPr>
          <a:spLocks noChangeAspect="1" noChangeArrowheads="1"/>
        </xdr:cNvSpPr>
      </xdr:nvSpPr>
      <xdr:spPr bwMode="auto">
        <a:xfrm>
          <a:off x="39300150" y="2859881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93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0070000}"/>
            </a:ext>
          </a:extLst>
        </xdr:cNvPr>
        <xdr:cNvSpPr>
          <a:spLocks noChangeAspect="1" noChangeArrowheads="1"/>
        </xdr:cNvSpPr>
      </xdr:nvSpPr>
      <xdr:spPr bwMode="auto">
        <a:xfrm>
          <a:off x="39300150" y="2859881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93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1070000}"/>
            </a:ext>
          </a:extLst>
        </xdr:cNvPr>
        <xdr:cNvSpPr>
          <a:spLocks noChangeAspect="1" noChangeArrowheads="1"/>
        </xdr:cNvSpPr>
      </xdr:nvSpPr>
      <xdr:spPr bwMode="auto">
        <a:xfrm>
          <a:off x="39300150" y="286283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93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2070000}"/>
            </a:ext>
          </a:extLst>
        </xdr:cNvPr>
        <xdr:cNvSpPr>
          <a:spLocks noChangeAspect="1" noChangeArrowheads="1"/>
        </xdr:cNvSpPr>
      </xdr:nvSpPr>
      <xdr:spPr bwMode="auto">
        <a:xfrm>
          <a:off x="39300150" y="286283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93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3070000}"/>
            </a:ext>
          </a:extLst>
        </xdr:cNvPr>
        <xdr:cNvSpPr>
          <a:spLocks noChangeAspect="1" noChangeArrowheads="1"/>
        </xdr:cNvSpPr>
      </xdr:nvSpPr>
      <xdr:spPr bwMode="auto">
        <a:xfrm>
          <a:off x="39300150" y="2865786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94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4070000}"/>
            </a:ext>
          </a:extLst>
        </xdr:cNvPr>
        <xdr:cNvSpPr>
          <a:spLocks noChangeAspect="1" noChangeArrowheads="1"/>
        </xdr:cNvSpPr>
      </xdr:nvSpPr>
      <xdr:spPr bwMode="auto">
        <a:xfrm>
          <a:off x="39300150" y="2865786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94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5070000}"/>
            </a:ext>
          </a:extLst>
        </xdr:cNvPr>
        <xdr:cNvSpPr>
          <a:spLocks noChangeAspect="1" noChangeArrowheads="1"/>
        </xdr:cNvSpPr>
      </xdr:nvSpPr>
      <xdr:spPr bwMode="auto">
        <a:xfrm>
          <a:off x="39300150" y="286873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94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6070000}"/>
            </a:ext>
          </a:extLst>
        </xdr:cNvPr>
        <xdr:cNvSpPr>
          <a:spLocks noChangeAspect="1" noChangeArrowheads="1"/>
        </xdr:cNvSpPr>
      </xdr:nvSpPr>
      <xdr:spPr bwMode="auto">
        <a:xfrm>
          <a:off x="39300150" y="286873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94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7070000}"/>
            </a:ext>
          </a:extLst>
        </xdr:cNvPr>
        <xdr:cNvSpPr>
          <a:spLocks noChangeAspect="1" noChangeArrowheads="1"/>
        </xdr:cNvSpPr>
      </xdr:nvSpPr>
      <xdr:spPr bwMode="auto">
        <a:xfrm>
          <a:off x="39300150" y="287169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94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8070000}"/>
            </a:ext>
          </a:extLst>
        </xdr:cNvPr>
        <xdr:cNvSpPr>
          <a:spLocks noChangeAspect="1" noChangeArrowheads="1"/>
        </xdr:cNvSpPr>
      </xdr:nvSpPr>
      <xdr:spPr bwMode="auto">
        <a:xfrm>
          <a:off x="39300150" y="287169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94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9070000}"/>
            </a:ext>
          </a:extLst>
        </xdr:cNvPr>
        <xdr:cNvSpPr>
          <a:spLocks noChangeAspect="1" noChangeArrowheads="1"/>
        </xdr:cNvSpPr>
      </xdr:nvSpPr>
      <xdr:spPr bwMode="auto">
        <a:xfrm>
          <a:off x="39300150" y="287464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94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A070000}"/>
            </a:ext>
          </a:extLst>
        </xdr:cNvPr>
        <xdr:cNvSpPr>
          <a:spLocks noChangeAspect="1" noChangeArrowheads="1"/>
        </xdr:cNvSpPr>
      </xdr:nvSpPr>
      <xdr:spPr bwMode="auto">
        <a:xfrm>
          <a:off x="39300150" y="287464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94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B070000}"/>
            </a:ext>
          </a:extLst>
        </xdr:cNvPr>
        <xdr:cNvSpPr>
          <a:spLocks noChangeAspect="1" noChangeArrowheads="1"/>
        </xdr:cNvSpPr>
      </xdr:nvSpPr>
      <xdr:spPr bwMode="auto">
        <a:xfrm>
          <a:off x="39300150" y="2877597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94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C070000}"/>
            </a:ext>
          </a:extLst>
        </xdr:cNvPr>
        <xdr:cNvSpPr>
          <a:spLocks noChangeAspect="1" noChangeArrowheads="1"/>
        </xdr:cNvSpPr>
      </xdr:nvSpPr>
      <xdr:spPr bwMode="auto">
        <a:xfrm>
          <a:off x="39300150" y="2877597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94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D070000}"/>
            </a:ext>
          </a:extLst>
        </xdr:cNvPr>
        <xdr:cNvSpPr>
          <a:spLocks noChangeAspect="1" noChangeArrowheads="1"/>
        </xdr:cNvSpPr>
      </xdr:nvSpPr>
      <xdr:spPr bwMode="auto">
        <a:xfrm>
          <a:off x="39300150" y="288055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95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E070000}"/>
            </a:ext>
          </a:extLst>
        </xdr:cNvPr>
        <xdr:cNvSpPr>
          <a:spLocks noChangeAspect="1" noChangeArrowheads="1"/>
        </xdr:cNvSpPr>
      </xdr:nvSpPr>
      <xdr:spPr bwMode="auto">
        <a:xfrm>
          <a:off x="39300150" y="288055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95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F070000}"/>
            </a:ext>
          </a:extLst>
        </xdr:cNvPr>
        <xdr:cNvSpPr>
          <a:spLocks noChangeAspect="1" noChangeArrowheads="1"/>
        </xdr:cNvSpPr>
      </xdr:nvSpPr>
      <xdr:spPr bwMode="auto">
        <a:xfrm>
          <a:off x="39300150" y="288350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95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0070000}"/>
            </a:ext>
          </a:extLst>
        </xdr:cNvPr>
        <xdr:cNvSpPr>
          <a:spLocks noChangeAspect="1" noChangeArrowheads="1"/>
        </xdr:cNvSpPr>
      </xdr:nvSpPr>
      <xdr:spPr bwMode="auto">
        <a:xfrm>
          <a:off x="39300150" y="288350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95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1070000}"/>
            </a:ext>
          </a:extLst>
        </xdr:cNvPr>
        <xdr:cNvSpPr>
          <a:spLocks noChangeAspect="1" noChangeArrowheads="1"/>
        </xdr:cNvSpPr>
      </xdr:nvSpPr>
      <xdr:spPr bwMode="auto">
        <a:xfrm>
          <a:off x="39300150" y="288645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95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2070000}"/>
            </a:ext>
          </a:extLst>
        </xdr:cNvPr>
        <xdr:cNvSpPr>
          <a:spLocks noChangeAspect="1" noChangeArrowheads="1"/>
        </xdr:cNvSpPr>
      </xdr:nvSpPr>
      <xdr:spPr bwMode="auto">
        <a:xfrm>
          <a:off x="39300150" y="288645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95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3070000}"/>
            </a:ext>
          </a:extLst>
        </xdr:cNvPr>
        <xdr:cNvSpPr>
          <a:spLocks noChangeAspect="1" noChangeArrowheads="1"/>
        </xdr:cNvSpPr>
      </xdr:nvSpPr>
      <xdr:spPr bwMode="auto">
        <a:xfrm>
          <a:off x="39300150" y="288940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95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4070000}"/>
            </a:ext>
          </a:extLst>
        </xdr:cNvPr>
        <xdr:cNvSpPr>
          <a:spLocks noChangeAspect="1" noChangeArrowheads="1"/>
        </xdr:cNvSpPr>
      </xdr:nvSpPr>
      <xdr:spPr bwMode="auto">
        <a:xfrm>
          <a:off x="39300150" y="288940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95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5070000}"/>
            </a:ext>
          </a:extLst>
        </xdr:cNvPr>
        <xdr:cNvSpPr>
          <a:spLocks noChangeAspect="1" noChangeArrowheads="1"/>
        </xdr:cNvSpPr>
      </xdr:nvSpPr>
      <xdr:spPr bwMode="auto">
        <a:xfrm>
          <a:off x="39300150" y="289236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95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6070000}"/>
            </a:ext>
          </a:extLst>
        </xdr:cNvPr>
        <xdr:cNvSpPr>
          <a:spLocks noChangeAspect="1" noChangeArrowheads="1"/>
        </xdr:cNvSpPr>
      </xdr:nvSpPr>
      <xdr:spPr bwMode="auto">
        <a:xfrm>
          <a:off x="39300150" y="289236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95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7070000}"/>
            </a:ext>
          </a:extLst>
        </xdr:cNvPr>
        <xdr:cNvSpPr>
          <a:spLocks noChangeAspect="1" noChangeArrowheads="1"/>
        </xdr:cNvSpPr>
      </xdr:nvSpPr>
      <xdr:spPr bwMode="auto">
        <a:xfrm>
          <a:off x="39300150" y="2895314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96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8070000}"/>
            </a:ext>
          </a:extLst>
        </xdr:cNvPr>
        <xdr:cNvSpPr>
          <a:spLocks noChangeAspect="1" noChangeArrowheads="1"/>
        </xdr:cNvSpPr>
      </xdr:nvSpPr>
      <xdr:spPr bwMode="auto">
        <a:xfrm>
          <a:off x="39300150" y="2895314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96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9070000}"/>
            </a:ext>
          </a:extLst>
        </xdr:cNvPr>
        <xdr:cNvSpPr>
          <a:spLocks noChangeAspect="1" noChangeArrowheads="1"/>
        </xdr:cNvSpPr>
      </xdr:nvSpPr>
      <xdr:spPr bwMode="auto">
        <a:xfrm>
          <a:off x="39300150" y="289826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96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A070000}"/>
            </a:ext>
          </a:extLst>
        </xdr:cNvPr>
        <xdr:cNvSpPr>
          <a:spLocks noChangeAspect="1" noChangeArrowheads="1"/>
        </xdr:cNvSpPr>
      </xdr:nvSpPr>
      <xdr:spPr bwMode="auto">
        <a:xfrm>
          <a:off x="39300150" y="289826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96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B070000}"/>
            </a:ext>
          </a:extLst>
        </xdr:cNvPr>
        <xdr:cNvSpPr>
          <a:spLocks noChangeAspect="1" noChangeArrowheads="1"/>
        </xdr:cNvSpPr>
      </xdr:nvSpPr>
      <xdr:spPr bwMode="auto">
        <a:xfrm>
          <a:off x="39300150" y="2901219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96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C070000}"/>
            </a:ext>
          </a:extLst>
        </xdr:cNvPr>
        <xdr:cNvSpPr>
          <a:spLocks noChangeAspect="1" noChangeArrowheads="1"/>
        </xdr:cNvSpPr>
      </xdr:nvSpPr>
      <xdr:spPr bwMode="auto">
        <a:xfrm>
          <a:off x="39300150" y="2901219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96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D070000}"/>
            </a:ext>
          </a:extLst>
        </xdr:cNvPr>
        <xdr:cNvSpPr>
          <a:spLocks noChangeAspect="1" noChangeArrowheads="1"/>
        </xdr:cNvSpPr>
      </xdr:nvSpPr>
      <xdr:spPr bwMode="auto">
        <a:xfrm>
          <a:off x="39300150" y="290417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96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E070000}"/>
            </a:ext>
          </a:extLst>
        </xdr:cNvPr>
        <xdr:cNvSpPr>
          <a:spLocks noChangeAspect="1" noChangeArrowheads="1"/>
        </xdr:cNvSpPr>
      </xdr:nvSpPr>
      <xdr:spPr bwMode="auto">
        <a:xfrm>
          <a:off x="39300150" y="290417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96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F070000}"/>
            </a:ext>
          </a:extLst>
        </xdr:cNvPr>
        <xdr:cNvSpPr>
          <a:spLocks noChangeAspect="1" noChangeArrowheads="1"/>
        </xdr:cNvSpPr>
      </xdr:nvSpPr>
      <xdr:spPr bwMode="auto">
        <a:xfrm>
          <a:off x="39300150" y="290712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96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0070000}"/>
            </a:ext>
          </a:extLst>
        </xdr:cNvPr>
        <xdr:cNvSpPr>
          <a:spLocks noChangeAspect="1" noChangeArrowheads="1"/>
        </xdr:cNvSpPr>
      </xdr:nvSpPr>
      <xdr:spPr bwMode="auto">
        <a:xfrm>
          <a:off x="39300150" y="290712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96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1070000}"/>
            </a:ext>
          </a:extLst>
        </xdr:cNvPr>
        <xdr:cNvSpPr>
          <a:spLocks noChangeAspect="1" noChangeArrowheads="1"/>
        </xdr:cNvSpPr>
      </xdr:nvSpPr>
      <xdr:spPr bwMode="auto">
        <a:xfrm>
          <a:off x="39300150" y="291007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97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2070000}"/>
            </a:ext>
          </a:extLst>
        </xdr:cNvPr>
        <xdr:cNvSpPr>
          <a:spLocks noChangeAspect="1" noChangeArrowheads="1"/>
        </xdr:cNvSpPr>
      </xdr:nvSpPr>
      <xdr:spPr bwMode="auto">
        <a:xfrm>
          <a:off x="39300150" y="291007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97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3070000}"/>
            </a:ext>
          </a:extLst>
        </xdr:cNvPr>
        <xdr:cNvSpPr>
          <a:spLocks noChangeAspect="1" noChangeArrowheads="1"/>
        </xdr:cNvSpPr>
      </xdr:nvSpPr>
      <xdr:spPr bwMode="auto">
        <a:xfrm>
          <a:off x="39300150" y="291303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97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4070000}"/>
            </a:ext>
          </a:extLst>
        </xdr:cNvPr>
        <xdr:cNvSpPr>
          <a:spLocks noChangeAspect="1" noChangeArrowheads="1"/>
        </xdr:cNvSpPr>
      </xdr:nvSpPr>
      <xdr:spPr bwMode="auto">
        <a:xfrm>
          <a:off x="39300150" y="291303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97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5070000}"/>
            </a:ext>
          </a:extLst>
        </xdr:cNvPr>
        <xdr:cNvSpPr>
          <a:spLocks noChangeAspect="1" noChangeArrowheads="1"/>
        </xdr:cNvSpPr>
      </xdr:nvSpPr>
      <xdr:spPr bwMode="auto">
        <a:xfrm>
          <a:off x="39300150" y="291598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97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6070000}"/>
            </a:ext>
          </a:extLst>
        </xdr:cNvPr>
        <xdr:cNvSpPr>
          <a:spLocks noChangeAspect="1" noChangeArrowheads="1"/>
        </xdr:cNvSpPr>
      </xdr:nvSpPr>
      <xdr:spPr bwMode="auto">
        <a:xfrm>
          <a:off x="39300150" y="291598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97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7070000}"/>
            </a:ext>
          </a:extLst>
        </xdr:cNvPr>
        <xdr:cNvSpPr>
          <a:spLocks noChangeAspect="1" noChangeArrowheads="1"/>
        </xdr:cNvSpPr>
      </xdr:nvSpPr>
      <xdr:spPr bwMode="auto">
        <a:xfrm>
          <a:off x="39300150" y="291893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97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8070000}"/>
            </a:ext>
          </a:extLst>
        </xdr:cNvPr>
        <xdr:cNvSpPr>
          <a:spLocks noChangeAspect="1" noChangeArrowheads="1"/>
        </xdr:cNvSpPr>
      </xdr:nvSpPr>
      <xdr:spPr bwMode="auto">
        <a:xfrm>
          <a:off x="39300150" y="291893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97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9070000}"/>
            </a:ext>
          </a:extLst>
        </xdr:cNvPr>
        <xdr:cNvSpPr>
          <a:spLocks noChangeAspect="1" noChangeArrowheads="1"/>
        </xdr:cNvSpPr>
      </xdr:nvSpPr>
      <xdr:spPr bwMode="auto">
        <a:xfrm>
          <a:off x="39300150" y="292188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97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A070000}"/>
            </a:ext>
          </a:extLst>
        </xdr:cNvPr>
        <xdr:cNvSpPr>
          <a:spLocks noChangeAspect="1" noChangeArrowheads="1"/>
        </xdr:cNvSpPr>
      </xdr:nvSpPr>
      <xdr:spPr bwMode="auto">
        <a:xfrm>
          <a:off x="39300150" y="292188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97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B070000}"/>
            </a:ext>
          </a:extLst>
        </xdr:cNvPr>
        <xdr:cNvSpPr>
          <a:spLocks noChangeAspect="1" noChangeArrowheads="1"/>
        </xdr:cNvSpPr>
      </xdr:nvSpPr>
      <xdr:spPr bwMode="auto">
        <a:xfrm>
          <a:off x="39300150" y="2924841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98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C070000}"/>
            </a:ext>
          </a:extLst>
        </xdr:cNvPr>
        <xdr:cNvSpPr>
          <a:spLocks noChangeAspect="1" noChangeArrowheads="1"/>
        </xdr:cNvSpPr>
      </xdr:nvSpPr>
      <xdr:spPr bwMode="auto">
        <a:xfrm>
          <a:off x="39300150" y="2924841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98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D070000}"/>
            </a:ext>
          </a:extLst>
        </xdr:cNvPr>
        <xdr:cNvSpPr>
          <a:spLocks noChangeAspect="1" noChangeArrowheads="1"/>
        </xdr:cNvSpPr>
      </xdr:nvSpPr>
      <xdr:spPr bwMode="auto">
        <a:xfrm>
          <a:off x="39300150" y="292779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98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E070000}"/>
            </a:ext>
          </a:extLst>
        </xdr:cNvPr>
        <xdr:cNvSpPr>
          <a:spLocks noChangeAspect="1" noChangeArrowheads="1"/>
        </xdr:cNvSpPr>
      </xdr:nvSpPr>
      <xdr:spPr bwMode="auto">
        <a:xfrm>
          <a:off x="39300150" y="292779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98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F070000}"/>
            </a:ext>
          </a:extLst>
        </xdr:cNvPr>
        <xdr:cNvSpPr>
          <a:spLocks noChangeAspect="1" noChangeArrowheads="1"/>
        </xdr:cNvSpPr>
      </xdr:nvSpPr>
      <xdr:spPr bwMode="auto">
        <a:xfrm>
          <a:off x="39300150" y="2930747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98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0070000}"/>
            </a:ext>
          </a:extLst>
        </xdr:cNvPr>
        <xdr:cNvSpPr>
          <a:spLocks noChangeAspect="1" noChangeArrowheads="1"/>
        </xdr:cNvSpPr>
      </xdr:nvSpPr>
      <xdr:spPr bwMode="auto">
        <a:xfrm>
          <a:off x="39300150" y="2930747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98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1070000}"/>
            </a:ext>
          </a:extLst>
        </xdr:cNvPr>
        <xdr:cNvSpPr>
          <a:spLocks noChangeAspect="1" noChangeArrowheads="1"/>
        </xdr:cNvSpPr>
      </xdr:nvSpPr>
      <xdr:spPr bwMode="auto">
        <a:xfrm>
          <a:off x="39300150" y="29337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98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2070000}"/>
            </a:ext>
          </a:extLst>
        </xdr:cNvPr>
        <xdr:cNvSpPr>
          <a:spLocks noChangeAspect="1" noChangeArrowheads="1"/>
        </xdr:cNvSpPr>
      </xdr:nvSpPr>
      <xdr:spPr bwMode="auto">
        <a:xfrm>
          <a:off x="39300150" y="29337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98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3070000}"/>
            </a:ext>
          </a:extLst>
        </xdr:cNvPr>
        <xdr:cNvSpPr>
          <a:spLocks noChangeAspect="1" noChangeArrowheads="1"/>
        </xdr:cNvSpPr>
      </xdr:nvSpPr>
      <xdr:spPr bwMode="auto">
        <a:xfrm>
          <a:off x="39300150" y="2936652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98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4070000}"/>
            </a:ext>
          </a:extLst>
        </xdr:cNvPr>
        <xdr:cNvSpPr>
          <a:spLocks noChangeAspect="1" noChangeArrowheads="1"/>
        </xdr:cNvSpPr>
      </xdr:nvSpPr>
      <xdr:spPr bwMode="auto">
        <a:xfrm>
          <a:off x="39300150" y="2936652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98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5070000}"/>
            </a:ext>
          </a:extLst>
        </xdr:cNvPr>
        <xdr:cNvSpPr>
          <a:spLocks noChangeAspect="1" noChangeArrowheads="1"/>
        </xdr:cNvSpPr>
      </xdr:nvSpPr>
      <xdr:spPr bwMode="auto">
        <a:xfrm>
          <a:off x="39300150" y="293960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99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6070000}"/>
            </a:ext>
          </a:extLst>
        </xdr:cNvPr>
        <xdr:cNvSpPr>
          <a:spLocks noChangeAspect="1" noChangeArrowheads="1"/>
        </xdr:cNvSpPr>
      </xdr:nvSpPr>
      <xdr:spPr bwMode="auto">
        <a:xfrm>
          <a:off x="39300150" y="293960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99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7070000}"/>
            </a:ext>
          </a:extLst>
        </xdr:cNvPr>
        <xdr:cNvSpPr>
          <a:spLocks noChangeAspect="1" noChangeArrowheads="1"/>
        </xdr:cNvSpPr>
      </xdr:nvSpPr>
      <xdr:spPr bwMode="auto">
        <a:xfrm>
          <a:off x="39300150" y="294255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99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8070000}"/>
            </a:ext>
          </a:extLst>
        </xdr:cNvPr>
        <xdr:cNvSpPr>
          <a:spLocks noChangeAspect="1" noChangeArrowheads="1"/>
        </xdr:cNvSpPr>
      </xdr:nvSpPr>
      <xdr:spPr bwMode="auto">
        <a:xfrm>
          <a:off x="39300150" y="294255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99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9070000}"/>
            </a:ext>
          </a:extLst>
        </xdr:cNvPr>
        <xdr:cNvSpPr>
          <a:spLocks noChangeAspect="1" noChangeArrowheads="1"/>
        </xdr:cNvSpPr>
      </xdr:nvSpPr>
      <xdr:spPr bwMode="auto">
        <a:xfrm>
          <a:off x="39300150" y="294551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99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A070000}"/>
            </a:ext>
          </a:extLst>
        </xdr:cNvPr>
        <xdr:cNvSpPr>
          <a:spLocks noChangeAspect="1" noChangeArrowheads="1"/>
        </xdr:cNvSpPr>
      </xdr:nvSpPr>
      <xdr:spPr bwMode="auto">
        <a:xfrm>
          <a:off x="39300150" y="294551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99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B070000}"/>
            </a:ext>
          </a:extLst>
        </xdr:cNvPr>
        <xdr:cNvSpPr>
          <a:spLocks noChangeAspect="1" noChangeArrowheads="1"/>
        </xdr:cNvSpPr>
      </xdr:nvSpPr>
      <xdr:spPr bwMode="auto">
        <a:xfrm>
          <a:off x="39300150" y="294846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99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C070000}"/>
            </a:ext>
          </a:extLst>
        </xdr:cNvPr>
        <xdr:cNvSpPr>
          <a:spLocks noChangeAspect="1" noChangeArrowheads="1"/>
        </xdr:cNvSpPr>
      </xdr:nvSpPr>
      <xdr:spPr bwMode="auto">
        <a:xfrm>
          <a:off x="39300150" y="294846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99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D070000}"/>
            </a:ext>
          </a:extLst>
        </xdr:cNvPr>
        <xdr:cNvSpPr>
          <a:spLocks noChangeAspect="1" noChangeArrowheads="1"/>
        </xdr:cNvSpPr>
      </xdr:nvSpPr>
      <xdr:spPr bwMode="auto">
        <a:xfrm>
          <a:off x="39300150" y="295141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99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E070000}"/>
            </a:ext>
          </a:extLst>
        </xdr:cNvPr>
        <xdr:cNvSpPr>
          <a:spLocks noChangeAspect="1" noChangeArrowheads="1"/>
        </xdr:cNvSpPr>
      </xdr:nvSpPr>
      <xdr:spPr bwMode="auto">
        <a:xfrm>
          <a:off x="39300150" y="295141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199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F070000}"/>
            </a:ext>
          </a:extLst>
        </xdr:cNvPr>
        <xdr:cNvSpPr>
          <a:spLocks noChangeAspect="1" noChangeArrowheads="1"/>
        </xdr:cNvSpPr>
      </xdr:nvSpPr>
      <xdr:spPr bwMode="auto">
        <a:xfrm>
          <a:off x="39300150" y="2954369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200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0070000}"/>
            </a:ext>
          </a:extLst>
        </xdr:cNvPr>
        <xdr:cNvSpPr>
          <a:spLocks noChangeAspect="1" noChangeArrowheads="1"/>
        </xdr:cNvSpPr>
      </xdr:nvSpPr>
      <xdr:spPr bwMode="auto">
        <a:xfrm>
          <a:off x="39300150" y="2954369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200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1070000}"/>
            </a:ext>
          </a:extLst>
        </xdr:cNvPr>
        <xdr:cNvSpPr>
          <a:spLocks noChangeAspect="1" noChangeArrowheads="1"/>
        </xdr:cNvSpPr>
      </xdr:nvSpPr>
      <xdr:spPr bwMode="auto">
        <a:xfrm>
          <a:off x="39300150" y="295732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200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2070000}"/>
            </a:ext>
          </a:extLst>
        </xdr:cNvPr>
        <xdr:cNvSpPr>
          <a:spLocks noChangeAspect="1" noChangeArrowheads="1"/>
        </xdr:cNvSpPr>
      </xdr:nvSpPr>
      <xdr:spPr bwMode="auto">
        <a:xfrm>
          <a:off x="39300150" y="295732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200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3070000}"/>
            </a:ext>
          </a:extLst>
        </xdr:cNvPr>
        <xdr:cNvSpPr>
          <a:spLocks noChangeAspect="1" noChangeArrowheads="1"/>
        </xdr:cNvSpPr>
      </xdr:nvSpPr>
      <xdr:spPr bwMode="auto">
        <a:xfrm>
          <a:off x="39300150" y="2960274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200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4070000}"/>
            </a:ext>
          </a:extLst>
        </xdr:cNvPr>
        <xdr:cNvSpPr>
          <a:spLocks noChangeAspect="1" noChangeArrowheads="1"/>
        </xdr:cNvSpPr>
      </xdr:nvSpPr>
      <xdr:spPr bwMode="auto">
        <a:xfrm>
          <a:off x="39300150" y="2960274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200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5070000}"/>
            </a:ext>
          </a:extLst>
        </xdr:cNvPr>
        <xdr:cNvSpPr>
          <a:spLocks noChangeAspect="1" noChangeArrowheads="1"/>
        </xdr:cNvSpPr>
      </xdr:nvSpPr>
      <xdr:spPr bwMode="auto">
        <a:xfrm>
          <a:off x="39300150" y="296322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200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6070000}"/>
            </a:ext>
          </a:extLst>
        </xdr:cNvPr>
        <xdr:cNvSpPr>
          <a:spLocks noChangeAspect="1" noChangeArrowheads="1"/>
        </xdr:cNvSpPr>
      </xdr:nvSpPr>
      <xdr:spPr bwMode="auto">
        <a:xfrm>
          <a:off x="39300150" y="296322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200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7070000}"/>
            </a:ext>
          </a:extLst>
        </xdr:cNvPr>
        <xdr:cNvSpPr>
          <a:spLocks noChangeAspect="1" noChangeArrowheads="1"/>
        </xdr:cNvSpPr>
      </xdr:nvSpPr>
      <xdr:spPr bwMode="auto">
        <a:xfrm>
          <a:off x="39300150" y="296618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200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8070000}"/>
            </a:ext>
          </a:extLst>
        </xdr:cNvPr>
        <xdr:cNvSpPr>
          <a:spLocks noChangeAspect="1" noChangeArrowheads="1"/>
        </xdr:cNvSpPr>
      </xdr:nvSpPr>
      <xdr:spPr bwMode="auto">
        <a:xfrm>
          <a:off x="39300150" y="296618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200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9070000}"/>
            </a:ext>
          </a:extLst>
        </xdr:cNvPr>
        <xdr:cNvSpPr>
          <a:spLocks noChangeAspect="1" noChangeArrowheads="1"/>
        </xdr:cNvSpPr>
      </xdr:nvSpPr>
      <xdr:spPr bwMode="auto">
        <a:xfrm>
          <a:off x="39300150" y="296913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201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A070000}"/>
            </a:ext>
          </a:extLst>
        </xdr:cNvPr>
        <xdr:cNvSpPr>
          <a:spLocks noChangeAspect="1" noChangeArrowheads="1"/>
        </xdr:cNvSpPr>
      </xdr:nvSpPr>
      <xdr:spPr bwMode="auto">
        <a:xfrm>
          <a:off x="39300150" y="296913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201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B070000}"/>
            </a:ext>
          </a:extLst>
        </xdr:cNvPr>
        <xdr:cNvSpPr>
          <a:spLocks noChangeAspect="1" noChangeArrowheads="1"/>
        </xdr:cNvSpPr>
      </xdr:nvSpPr>
      <xdr:spPr bwMode="auto">
        <a:xfrm>
          <a:off x="39300150" y="297208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201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C070000}"/>
            </a:ext>
          </a:extLst>
        </xdr:cNvPr>
        <xdr:cNvSpPr>
          <a:spLocks noChangeAspect="1" noChangeArrowheads="1"/>
        </xdr:cNvSpPr>
      </xdr:nvSpPr>
      <xdr:spPr bwMode="auto">
        <a:xfrm>
          <a:off x="39300150" y="297208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201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D070000}"/>
            </a:ext>
          </a:extLst>
        </xdr:cNvPr>
        <xdr:cNvSpPr>
          <a:spLocks noChangeAspect="1" noChangeArrowheads="1"/>
        </xdr:cNvSpPr>
      </xdr:nvSpPr>
      <xdr:spPr bwMode="auto">
        <a:xfrm>
          <a:off x="39300150" y="297503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201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E070000}"/>
            </a:ext>
          </a:extLst>
        </xdr:cNvPr>
        <xdr:cNvSpPr>
          <a:spLocks noChangeAspect="1" noChangeArrowheads="1"/>
        </xdr:cNvSpPr>
      </xdr:nvSpPr>
      <xdr:spPr bwMode="auto">
        <a:xfrm>
          <a:off x="39300150" y="297503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201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F070000}"/>
            </a:ext>
          </a:extLst>
        </xdr:cNvPr>
        <xdr:cNvSpPr>
          <a:spLocks noChangeAspect="1" noChangeArrowheads="1"/>
        </xdr:cNvSpPr>
      </xdr:nvSpPr>
      <xdr:spPr bwMode="auto">
        <a:xfrm>
          <a:off x="39300150" y="2977991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201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0070000}"/>
            </a:ext>
          </a:extLst>
        </xdr:cNvPr>
        <xdr:cNvSpPr>
          <a:spLocks noChangeAspect="1" noChangeArrowheads="1"/>
        </xdr:cNvSpPr>
      </xdr:nvSpPr>
      <xdr:spPr bwMode="auto">
        <a:xfrm>
          <a:off x="39300150" y="2977991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201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1070000}"/>
            </a:ext>
          </a:extLst>
        </xdr:cNvPr>
        <xdr:cNvSpPr>
          <a:spLocks noChangeAspect="1" noChangeArrowheads="1"/>
        </xdr:cNvSpPr>
      </xdr:nvSpPr>
      <xdr:spPr bwMode="auto">
        <a:xfrm>
          <a:off x="39300150" y="298094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201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2070000}"/>
            </a:ext>
          </a:extLst>
        </xdr:cNvPr>
        <xdr:cNvSpPr>
          <a:spLocks noChangeAspect="1" noChangeArrowheads="1"/>
        </xdr:cNvSpPr>
      </xdr:nvSpPr>
      <xdr:spPr bwMode="auto">
        <a:xfrm>
          <a:off x="39300150" y="298094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201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3070000}"/>
            </a:ext>
          </a:extLst>
        </xdr:cNvPr>
        <xdr:cNvSpPr>
          <a:spLocks noChangeAspect="1" noChangeArrowheads="1"/>
        </xdr:cNvSpPr>
      </xdr:nvSpPr>
      <xdr:spPr bwMode="auto">
        <a:xfrm>
          <a:off x="39300150" y="2983896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202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4070000}"/>
            </a:ext>
          </a:extLst>
        </xdr:cNvPr>
        <xdr:cNvSpPr>
          <a:spLocks noChangeAspect="1" noChangeArrowheads="1"/>
        </xdr:cNvSpPr>
      </xdr:nvSpPr>
      <xdr:spPr bwMode="auto">
        <a:xfrm>
          <a:off x="39300150" y="2983896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202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5070000}"/>
            </a:ext>
          </a:extLst>
        </xdr:cNvPr>
        <xdr:cNvSpPr>
          <a:spLocks noChangeAspect="1" noChangeArrowheads="1"/>
        </xdr:cNvSpPr>
      </xdr:nvSpPr>
      <xdr:spPr bwMode="auto">
        <a:xfrm>
          <a:off x="39300150" y="298684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202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6070000}"/>
            </a:ext>
          </a:extLst>
        </xdr:cNvPr>
        <xdr:cNvSpPr>
          <a:spLocks noChangeAspect="1" noChangeArrowheads="1"/>
        </xdr:cNvSpPr>
      </xdr:nvSpPr>
      <xdr:spPr bwMode="auto">
        <a:xfrm>
          <a:off x="39300150" y="298684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202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7070000}"/>
            </a:ext>
          </a:extLst>
        </xdr:cNvPr>
        <xdr:cNvSpPr>
          <a:spLocks noChangeAspect="1" noChangeArrowheads="1"/>
        </xdr:cNvSpPr>
      </xdr:nvSpPr>
      <xdr:spPr bwMode="auto">
        <a:xfrm>
          <a:off x="39300150" y="298980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202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8070000}"/>
            </a:ext>
          </a:extLst>
        </xdr:cNvPr>
        <xdr:cNvSpPr>
          <a:spLocks noChangeAspect="1" noChangeArrowheads="1"/>
        </xdr:cNvSpPr>
      </xdr:nvSpPr>
      <xdr:spPr bwMode="auto">
        <a:xfrm>
          <a:off x="39300150" y="298980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202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9070000}"/>
            </a:ext>
          </a:extLst>
        </xdr:cNvPr>
        <xdr:cNvSpPr>
          <a:spLocks noChangeAspect="1" noChangeArrowheads="1"/>
        </xdr:cNvSpPr>
      </xdr:nvSpPr>
      <xdr:spPr bwMode="auto">
        <a:xfrm>
          <a:off x="39300150" y="299275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202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A070000}"/>
            </a:ext>
          </a:extLst>
        </xdr:cNvPr>
        <xdr:cNvSpPr>
          <a:spLocks noChangeAspect="1" noChangeArrowheads="1"/>
        </xdr:cNvSpPr>
      </xdr:nvSpPr>
      <xdr:spPr bwMode="auto">
        <a:xfrm>
          <a:off x="39300150" y="299275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202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B070000}"/>
            </a:ext>
          </a:extLst>
        </xdr:cNvPr>
        <xdr:cNvSpPr>
          <a:spLocks noChangeAspect="1" noChangeArrowheads="1"/>
        </xdr:cNvSpPr>
      </xdr:nvSpPr>
      <xdr:spPr bwMode="auto">
        <a:xfrm>
          <a:off x="39300150" y="2995707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202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C070000}"/>
            </a:ext>
          </a:extLst>
        </xdr:cNvPr>
        <xdr:cNvSpPr>
          <a:spLocks noChangeAspect="1" noChangeArrowheads="1"/>
        </xdr:cNvSpPr>
      </xdr:nvSpPr>
      <xdr:spPr bwMode="auto">
        <a:xfrm>
          <a:off x="39300150" y="2995707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202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D070000}"/>
            </a:ext>
          </a:extLst>
        </xdr:cNvPr>
        <xdr:cNvSpPr>
          <a:spLocks noChangeAspect="1" noChangeArrowheads="1"/>
        </xdr:cNvSpPr>
      </xdr:nvSpPr>
      <xdr:spPr bwMode="auto">
        <a:xfrm>
          <a:off x="39300150" y="299866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203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E070000}"/>
            </a:ext>
          </a:extLst>
        </xdr:cNvPr>
        <xdr:cNvSpPr>
          <a:spLocks noChangeAspect="1" noChangeArrowheads="1"/>
        </xdr:cNvSpPr>
      </xdr:nvSpPr>
      <xdr:spPr bwMode="auto">
        <a:xfrm>
          <a:off x="39300150" y="299866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203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F070000}"/>
            </a:ext>
          </a:extLst>
        </xdr:cNvPr>
        <xdr:cNvSpPr>
          <a:spLocks noChangeAspect="1" noChangeArrowheads="1"/>
        </xdr:cNvSpPr>
      </xdr:nvSpPr>
      <xdr:spPr bwMode="auto">
        <a:xfrm>
          <a:off x="39300150" y="300161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203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0070000}"/>
            </a:ext>
          </a:extLst>
        </xdr:cNvPr>
        <xdr:cNvSpPr>
          <a:spLocks noChangeAspect="1" noChangeArrowheads="1"/>
        </xdr:cNvSpPr>
      </xdr:nvSpPr>
      <xdr:spPr bwMode="auto">
        <a:xfrm>
          <a:off x="39300150" y="300161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203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1070000}"/>
            </a:ext>
          </a:extLst>
        </xdr:cNvPr>
        <xdr:cNvSpPr>
          <a:spLocks noChangeAspect="1" noChangeArrowheads="1"/>
        </xdr:cNvSpPr>
      </xdr:nvSpPr>
      <xdr:spPr bwMode="auto">
        <a:xfrm>
          <a:off x="39300150" y="300456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203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2070000}"/>
            </a:ext>
          </a:extLst>
        </xdr:cNvPr>
        <xdr:cNvSpPr>
          <a:spLocks noChangeAspect="1" noChangeArrowheads="1"/>
        </xdr:cNvSpPr>
      </xdr:nvSpPr>
      <xdr:spPr bwMode="auto">
        <a:xfrm>
          <a:off x="39300150" y="300456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203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3070000}"/>
            </a:ext>
          </a:extLst>
        </xdr:cNvPr>
        <xdr:cNvSpPr>
          <a:spLocks noChangeAspect="1" noChangeArrowheads="1"/>
        </xdr:cNvSpPr>
      </xdr:nvSpPr>
      <xdr:spPr bwMode="auto">
        <a:xfrm>
          <a:off x="39300150" y="300751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203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4070000}"/>
            </a:ext>
          </a:extLst>
        </xdr:cNvPr>
        <xdr:cNvSpPr>
          <a:spLocks noChangeAspect="1" noChangeArrowheads="1"/>
        </xdr:cNvSpPr>
      </xdr:nvSpPr>
      <xdr:spPr bwMode="auto">
        <a:xfrm>
          <a:off x="39300150" y="300751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203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5070000}"/>
            </a:ext>
          </a:extLst>
        </xdr:cNvPr>
        <xdr:cNvSpPr>
          <a:spLocks noChangeAspect="1" noChangeArrowheads="1"/>
        </xdr:cNvSpPr>
      </xdr:nvSpPr>
      <xdr:spPr bwMode="auto">
        <a:xfrm>
          <a:off x="39300150" y="301047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203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6070000}"/>
            </a:ext>
          </a:extLst>
        </xdr:cNvPr>
        <xdr:cNvSpPr>
          <a:spLocks noChangeAspect="1" noChangeArrowheads="1"/>
        </xdr:cNvSpPr>
      </xdr:nvSpPr>
      <xdr:spPr bwMode="auto">
        <a:xfrm>
          <a:off x="39300150" y="301047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203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7070000}"/>
            </a:ext>
          </a:extLst>
        </xdr:cNvPr>
        <xdr:cNvSpPr>
          <a:spLocks noChangeAspect="1" noChangeArrowheads="1"/>
        </xdr:cNvSpPr>
      </xdr:nvSpPr>
      <xdr:spPr bwMode="auto">
        <a:xfrm>
          <a:off x="39300150" y="3013424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204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8070000}"/>
            </a:ext>
          </a:extLst>
        </xdr:cNvPr>
        <xdr:cNvSpPr>
          <a:spLocks noChangeAspect="1" noChangeArrowheads="1"/>
        </xdr:cNvSpPr>
      </xdr:nvSpPr>
      <xdr:spPr bwMode="auto">
        <a:xfrm>
          <a:off x="39300150" y="3013424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204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9070000}"/>
            </a:ext>
          </a:extLst>
        </xdr:cNvPr>
        <xdr:cNvSpPr>
          <a:spLocks noChangeAspect="1" noChangeArrowheads="1"/>
        </xdr:cNvSpPr>
      </xdr:nvSpPr>
      <xdr:spPr bwMode="auto">
        <a:xfrm>
          <a:off x="39300150" y="30163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204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A070000}"/>
            </a:ext>
          </a:extLst>
        </xdr:cNvPr>
        <xdr:cNvSpPr>
          <a:spLocks noChangeAspect="1" noChangeArrowheads="1"/>
        </xdr:cNvSpPr>
      </xdr:nvSpPr>
      <xdr:spPr bwMode="auto">
        <a:xfrm>
          <a:off x="39300150" y="30163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204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B070000}"/>
            </a:ext>
          </a:extLst>
        </xdr:cNvPr>
        <xdr:cNvSpPr>
          <a:spLocks noChangeAspect="1" noChangeArrowheads="1"/>
        </xdr:cNvSpPr>
      </xdr:nvSpPr>
      <xdr:spPr bwMode="auto">
        <a:xfrm>
          <a:off x="39300150" y="3019329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204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C070000}"/>
            </a:ext>
          </a:extLst>
        </xdr:cNvPr>
        <xdr:cNvSpPr>
          <a:spLocks noChangeAspect="1" noChangeArrowheads="1"/>
        </xdr:cNvSpPr>
      </xdr:nvSpPr>
      <xdr:spPr bwMode="auto">
        <a:xfrm>
          <a:off x="39300150" y="3019329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204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D070000}"/>
            </a:ext>
          </a:extLst>
        </xdr:cNvPr>
        <xdr:cNvSpPr>
          <a:spLocks noChangeAspect="1" noChangeArrowheads="1"/>
        </xdr:cNvSpPr>
      </xdr:nvSpPr>
      <xdr:spPr bwMode="auto">
        <a:xfrm>
          <a:off x="39300150" y="302228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204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E070000}"/>
            </a:ext>
          </a:extLst>
        </xdr:cNvPr>
        <xdr:cNvSpPr>
          <a:spLocks noChangeAspect="1" noChangeArrowheads="1"/>
        </xdr:cNvSpPr>
      </xdr:nvSpPr>
      <xdr:spPr bwMode="auto">
        <a:xfrm>
          <a:off x="39300150" y="302228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204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F070000}"/>
            </a:ext>
          </a:extLst>
        </xdr:cNvPr>
        <xdr:cNvSpPr>
          <a:spLocks noChangeAspect="1" noChangeArrowheads="1"/>
        </xdr:cNvSpPr>
      </xdr:nvSpPr>
      <xdr:spPr bwMode="auto">
        <a:xfrm>
          <a:off x="39300150" y="302523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204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0080000}"/>
            </a:ext>
          </a:extLst>
        </xdr:cNvPr>
        <xdr:cNvSpPr>
          <a:spLocks noChangeAspect="1" noChangeArrowheads="1"/>
        </xdr:cNvSpPr>
      </xdr:nvSpPr>
      <xdr:spPr bwMode="auto">
        <a:xfrm>
          <a:off x="39300150" y="302523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204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1080000}"/>
            </a:ext>
          </a:extLst>
        </xdr:cNvPr>
        <xdr:cNvSpPr>
          <a:spLocks noChangeAspect="1" noChangeArrowheads="1"/>
        </xdr:cNvSpPr>
      </xdr:nvSpPr>
      <xdr:spPr bwMode="auto">
        <a:xfrm>
          <a:off x="39300150" y="302818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205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2080000}"/>
            </a:ext>
          </a:extLst>
        </xdr:cNvPr>
        <xdr:cNvSpPr>
          <a:spLocks noChangeAspect="1" noChangeArrowheads="1"/>
        </xdr:cNvSpPr>
      </xdr:nvSpPr>
      <xdr:spPr bwMode="auto">
        <a:xfrm>
          <a:off x="39300150" y="302818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205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3080000}"/>
            </a:ext>
          </a:extLst>
        </xdr:cNvPr>
        <xdr:cNvSpPr>
          <a:spLocks noChangeAspect="1" noChangeArrowheads="1"/>
        </xdr:cNvSpPr>
      </xdr:nvSpPr>
      <xdr:spPr bwMode="auto">
        <a:xfrm>
          <a:off x="39300150" y="303114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205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4080000}"/>
            </a:ext>
          </a:extLst>
        </xdr:cNvPr>
        <xdr:cNvSpPr>
          <a:spLocks noChangeAspect="1" noChangeArrowheads="1"/>
        </xdr:cNvSpPr>
      </xdr:nvSpPr>
      <xdr:spPr bwMode="auto">
        <a:xfrm>
          <a:off x="39300150" y="303114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205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5080000}"/>
            </a:ext>
          </a:extLst>
        </xdr:cNvPr>
        <xdr:cNvSpPr>
          <a:spLocks noChangeAspect="1" noChangeArrowheads="1"/>
        </xdr:cNvSpPr>
      </xdr:nvSpPr>
      <xdr:spPr bwMode="auto">
        <a:xfrm>
          <a:off x="39300150" y="303409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205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6080000}"/>
            </a:ext>
          </a:extLst>
        </xdr:cNvPr>
        <xdr:cNvSpPr>
          <a:spLocks noChangeAspect="1" noChangeArrowheads="1"/>
        </xdr:cNvSpPr>
      </xdr:nvSpPr>
      <xdr:spPr bwMode="auto">
        <a:xfrm>
          <a:off x="39300150" y="303409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205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7080000}"/>
            </a:ext>
          </a:extLst>
        </xdr:cNvPr>
        <xdr:cNvSpPr>
          <a:spLocks noChangeAspect="1" noChangeArrowheads="1"/>
        </xdr:cNvSpPr>
      </xdr:nvSpPr>
      <xdr:spPr bwMode="auto">
        <a:xfrm>
          <a:off x="39300150" y="303704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205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8080000}"/>
            </a:ext>
          </a:extLst>
        </xdr:cNvPr>
        <xdr:cNvSpPr>
          <a:spLocks noChangeAspect="1" noChangeArrowheads="1"/>
        </xdr:cNvSpPr>
      </xdr:nvSpPr>
      <xdr:spPr bwMode="auto">
        <a:xfrm>
          <a:off x="39300150" y="303704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205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9080000}"/>
            </a:ext>
          </a:extLst>
        </xdr:cNvPr>
        <xdr:cNvSpPr>
          <a:spLocks noChangeAspect="1" noChangeArrowheads="1"/>
        </xdr:cNvSpPr>
      </xdr:nvSpPr>
      <xdr:spPr bwMode="auto">
        <a:xfrm>
          <a:off x="39300150" y="303999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205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A080000}"/>
            </a:ext>
          </a:extLst>
        </xdr:cNvPr>
        <xdr:cNvSpPr>
          <a:spLocks noChangeAspect="1" noChangeArrowheads="1"/>
        </xdr:cNvSpPr>
      </xdr:nvSpPr>
      <xdr:spPr bwMode="auto">
        <a:xfrm>
          <a:off x="39300150" y="303999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205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B080000}"/>
            </a:ext>
          </a:extLst>
        </xdr:cNvPr>
        <xdr:cNvSpPr>
          <a:spLocks noChangeAspect="1" noChangeArrowheads="1"/>
        </xdr:cNvSpPr>
      </xdr:nvSpPr>
      <xdr:spPr bwMode="auto">
        <a:xfrm>
          <a:off x="39300150" y="3042951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206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C080000}"/>
            </a:ext>
          </a:extLst>
        </xdr:cNvPr>
        <xdr:cNvSpPr>
          <a:spLocks noChangeAspect="1" noChangeArrowheads="1"/>
        </xdr:cNvSpPr>
      </xdr:nvSpPr>
      <xdr:spPr bwMode="auto">
        <a:xfrm>
          <a:off x="39300150" y="3042951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206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D080000}"/>
            </a:ext>
          </a:extLst>
        </xdr:cNvPr>
        <xdr:cNvSpPr>
          <a:spLocks noChangeAspect="1" noChangeArrowheads="1"/>
        </xdr:cNvSpPr>
      </xdr:nvSpPr>
      <xdr:spPr bwMode="auto">
        <a:xfrm>
          <a:off x="39300150" y="304590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206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E080000}"/>
            </a:ext>
          </a:extLst>
        </xdr:cNvPr>
        <xdr:cNvSpPr>
          <a:spLocks noChangeAspect="1" noChangeArrowheads="1"/>
        </xdr:cNvSpPr>
      </xdr:nvSpPr>
      <xdr:spPr bwMode="auto">
        <a:xfrm>
          <a:off x="39300150" y="304590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206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F080000}"/>
            </a:ext>
          </a:extLst>
        </xdr:cNvPr>
        <xdr:cNvSpPr>
          <a:spLocks noChangeAspect="1" noChangeArrowheads="1"/>
        </xdr:cNvSpPr>
      </xdr:nvSpPr>
      <xdr:spPr bwMode="auto">
        <a:xfrm>
          <a:off x="39300150" y="3048857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206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0080000}"/>
            </a:ext>
          </a:extLst>
        </xdr:cNvPr>
        <xdr:cNvSpPr>
          <a:spLocks noChangeAspect="1" noChangeArrowheads="1"/>
        </xdr:cNvSpPr>
      </xdr:nvSpPr>
      <xdr:spPr bwMode="auto">
        <a:xfrm>
          <a:off x="39300150" y="3048857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206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1080000}"/>
            </a:ext>
          </a:extLst>
        </xdr:cNvPr>
        <xdr:cNvSpPr>
          <a:spLocks noChangeAspect="1" noChangeArrowheads="1"/>
        </xdr:cNvSpPr>
      </xdr:nvSpPr>
      <xdr:spPr bwMode="auto">
        <a:xfrm>
          <a:off x="39300150" y="30518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206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2080000}"/>
            </a:ext>
          </a:extLst>
        </xdr:cNvPr>
        <xdr:cNvSpPr>
          <a:spLocks noChangeAspect="1" noChangeArrowheads="1"/>
        </xdr:cNvSpPr>
      </xdr:nvSpPr>
      <xdr:spPr bwMode="auto">
        <a:xfrm>
          <a:off x="39300150" y="30518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206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3080000}"/>
            </a:ext>
          </a:extLst>
        </xdr:cNvPr>
        <xdr:cNvSpPr>
          <a:spLocks noChangeAspect="1" noChangeArrowheads="1"/>
        </xdr:cNvSpPr>
      </xdr:nvSpPr>
      <xdr:spPr bwMode="auto">
        <a:xfrm>
          <a:off x="39300150" y="3054762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206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4080000}"/>
            </a:ext>
          </a:extLst>
        </xdr:cNvPr>
        <xdr:cNvSpPr>
          <a:spLocks noChangeAspect="1" noChangeArrowheads="1"/>
        </xdr:cNvSpPr>
      </xdr:nvSpPr>
      <xdr:spPr bwMode="auto">
        <a:xfrm>
          <a:off x="39300150" y="3054762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206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5080000}"/>
            </a:ext>
          </a:extLst>
        </xdr:cNvPr>
        <xdr:cNvSpPr>
          <a:spLocks noChangeAspect="1" noChangeArrowheads="1"/>
        </xdr:cNvSpPr>
      </xdr:nvSpPr>
      <xdr:spPr bwMode="auto">
        <a:xfrm>
          <a:off x="39300150" y="305771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207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6080000}"/>
            </a:ext>
          </a:extLst>
        </xdr:cNvPr>
        <xdr:cNvSpPr>
          <a:spLocks noChangeAspect="1" noChangeArrowheads="1"/>
        </xdr:cNvSpPr>
      </xdr:nvSpPr>
      <xdr:spPr bwMode="auto">
        <a:xfrm>
          <a:off x="39300150" y="305771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207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7080000}"/>
            </a:ext>
          </a:extLst>
        </xdr:cNvPr>
        <xdr:cNvSpPr>
          <a:spLocks noChangeAspect="1" noChangeArrowheads="1"/>
        </xdr:cNvSpPr>
      </xdr:nvSpPr>
      <xdr:spPr bwMode="auto">
        <a:xfrm>
          <a:off x="39300150" y="306066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207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8080000}"/>
            </a:ext>
          </a:extLst>
        </xdr:cNvPr>
        <xdr:cNvSpPr>
          <a:spLocks noChangeAspect="1" noChangeArrowheads="1"/>
        </xdr:cNvSpPr>
      </xdr:nvSpPr>
      <xdr:spPr bwMode="auto">
        <a:xfrm>
          <a:off x="39300150" y="306066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207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9080000}"/>
            </a:ext>
          </a:extLst>
        </xdr:cNvPr>
        <xdr:cNvSpPr>
          <a:spLocks noChangeAspect="1" noChangeArrowheads="1"/>
        </xdr:cNvSpPr>
      </xdr:nvSpPr>
      <xdr:spPr bwMode="auto">
        <a:xfrm>
          <a:off x="39300150" y="306362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207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A080000}"/>
            </a:ext>
          </a:extLst>
        </xdr:cNvPr>
        <xdr:cNvSpPr>
          <a:spLocks noChangeAspect="1" noChangeArrowheads="1"/>
        </xdr:cNvSpPr>
      </xdr:nvSpPr>
      <xdr:spPr bwMode="auto">
        <a:xfrm>
          <a:off x="39300150" y="306362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207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B080000}"/>
            </a:ext>
          </a:extLst>
        </xdr:cNvPr>
        <xdr:cNvSpPr>
          <a:spLocks noChangeAspect="1" noChangeArrowheads="1"/>
        </xdr:cNvSpPr>
      </xdr:nvSpPr>
      <xdr:spPr bwMode="auto">
        <a:xfrm>
          <a:off x="39300150" y="306657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207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C080000}"/>
            </a:ext>
          </a:extLst>
        </xdr:cNvPr>
        <xdr:cNvSpPr>
          <a:spLocks noChangeAspect="1" noChangeArrowheads="1"/>
        </xdr:cNvSpPr>
      </xdr:nvSpPr>
      <xdr:spPr bwMode="auto">
        <a:xfrm>
          <a:off x="39300150" y="306657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207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D080000}"/>
            </a:ext>
          </a:extLst>
        </xdr:cNvPr>
        <xdr:cNvSpPr>
          <a:spLocks noChangeAspect="1" noChangeArrowheads="1"/>
        </xdr:cNvSpPr>
      </xdr:nvSpPr>
      <xdr:spPr bwMode="auto">
        <a:xfrm>
          <a:off x="39300150" y="306952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207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E080000}"/>
            </a:ext>
          </a:extLst>
        </xdr:cNvPr>
        <xdr:cNvSpPr>
          <a:spLocks noChangeAspect="1" noChangeArrowheads="1"/>
        </xdr:cNvSpPr>
      </xdr:nvSpPr>
      <xdr:spPr bwMode="auto">
        <a:xfrm>
          <a:off x="39300150" y="306952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6</xdr:row>
      <xdr:rowOff>0</xdr:rowOff>
    </xdr:from>
    <xdr:ext cx="304800" cy="304800"/>
    <xdr:sp macro="" textlink="">
      <xdr:nvSpPr>
        <xdr:cNvPr id="207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F080000}"/>
            </a:ext>
          </a:extLst>
        </xdr:cNvPr>
        <xdr:cNvSpPr>
          <a:spLocks noChangeAspect="1" noChangeArrowheads="1"/>
        </xdr:cNvSpPr>
      </xdr:nvSpPr>
      <xdr:spPr bwMode="auto">
        <a:xfrm>
          <a:off x="46110525" y="1933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xdr:row>
      <xdr:rowOff>0</xdr:rowOff>
    </xdr:from>
    <xdr:ext cx="304800" cy="304800"/>
    <xdr:sp macro="" textlink="">
      <xdr:nvSpPr>
        <xdr:cNvPr id="208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0080000}"/>
            </a:ext>
          </a:extLst>
        </xdr:cNvPr>
        <xdr:cNvSpPr>
          <a:spLocks noChangeAspect="1" noChangeArrowheads="1"/>
        </xdr:cNvSpPr>
      </xdr:nvSpPr>
      <xdr:spPr bwMode="auto">
        <a:xfrm>
          <a:off x="46110525" y="2228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xdr:row>
      <xdr:rowOff>0</xdr:rowOff>
    </xdr:from>
    <xdr:ext cx="304800" cy="304800"/>
    <xdr:sp macro="" textlink="">
      <xdr:nvSpPr>
        <xdr:cNvPr id="208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1080000}"/>
            </a:ext>
          </a:extLst>
        </xdr:cNvPr>
        <xdr:cNvSpPr>
          <a:spLocks noChangeAspect="1" noChangeArrowheads="1"/>
        </xdr:cNvSpPr>
      </xdr:nvSpPr>
      <xdr:spPr bwMode="auto">
        <a:xfrm>
          <a:off x="46110525" y="2228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8</xdr:row>
      <xdr:rowOff>0</xdr:rowOff>
    </xdr:from>
    <xdr:ext cx="304800" cy="304800"/>
    <xdr:sp macro="" textlink="">
      <xdr:nvSpPr>
        <xdr:cNvPr id="208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2080000}"/>
            </a:ext>
          </a:extLst>
        </xdr:cNvPr>
        <xdr:cNvSpPr>
          <a:spLocks noChangeAspect="1" noChangeArrowheads="1"/>
        </xdr:cNvSpPr>
      </xdr:nvSpPr>
      <xdr:spPr bwMode="auto">
        <a:xfrm>
          <a:off x="46110525" y="25241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8</xdr:row>
      <xdr:rowOff>0</xdr:rowOff>
    </xdr:from>
    <xdr:ext cx="304800" cy="304800"/>
    <xdr:sp macro="" textlink="">
      <xdr:nvSpPr>
        <xdr:cNvPr id="208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3080000}"/>
            </a:ext>
          </a:extLst>
        </xdr:cNvPr>
        <xdr:cNvSpPr>
          <a:spLocks noChangeAspect="1" noChangeArrowheads="1"/>
        </xdr:cNvSpPr>
      </xdr:nvSpPr>
      <xdr:spPr bwMode="auto">
        <a:xfrm>
          <a:off x="46110525" y="25241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9</xdr:row>
      <xdr:rowOff>0</xdr:rowOff>
    </xdr:from>
    <xdr:ext cx="304800" cy="304800"/>
    <xdr:sp macro="" textlink="">
      <xdr:nvSpPr>
        <xdr:cNvPr id="208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4080000}"/>
            </a:ext>
          </a:extLst>
        </xdr:cNvPr>
        <xdr:cNvSpPr>
          <a:spLocks noChangeAspect="1" noChangeArrowheads="1"/>
        </xdr:cNvSpPr>
      </xdr:nvSpPr>
      <xdr:spPr bwMode="auto">
        <a:xfrm>
          <a:off x="46110525" y="2819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9</xdr:row>
      <xdr:rowOff>0</xdr:rowOff>
    </xdr:from>
    <xdr:ext cx="304800" cy="304800"/>
    <xdr:sp macro="" textlink="">
      <xdr:nvSpPr>
        <xdr:cNvPr id="208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5080000}"/>
            </a:ext>
          </a:extLst>
        </xdr:cNvPr>
        <xdr:cNvSpPr>
          <a:spLocks noChangeAspect="1" noChangeArrowheads="1"/>
        </xdr:cNvSpPr>
      </xdr:nvSpPr>
      <xdr:spPr bwMode="auto">
        <a:xfrm>
          <a:off x="46110525" y="2819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10</xdr:row>
      <xdr:rowOff>0</xdr:rowOff>
    </xdr:from>
    <xdr:ext cx="304800" cy="304800"/>
    <xdr:sp macro="" textlink="">
      <xdr:nvSpPr>
        <xdr:cNvPr id="208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6080000}"/>
            </a:ext>
          </a:extLst>
        </xdr:cNvPr>
        <xdr:cNvSpPr>
          <a:spLocks noChangeAspect="1" noChangeArrowheads="1"/>
        </xdr:cNvSpPr>
      </xdr:nvSpPr>
      <xdr:spPr bwMode="auto">
        <a:xfrm>
          <a:off x="46110525" y="31146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10</xdr:row>
      <xdr:rowOff>0</xdr:rowOff>
    </xdr:from>
    <xdr:ext cx="304800" cy="304800"/>
    <xdr:sp macro="" textlink="">
      <xdr:nvSpPr>
        <xdr:cNvPr id="208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7080000}"/>
            </a:ext>
          </a:extLst>
        </xdr:cNvPr>
        <xdr:cNvSpPr>
          <a:spLocks noChangeAspect="1" noChangeArrowheads="1"/>
        </xdr:cNvSpPr>
      </xdr:nvSpPr>
      <xdr:spPr bwMode="auto">
        <a:xfrm>
          <a:off x="46110525" y="31146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11</xdr:row>
      <xdr:rowOff>0</xdr:rowOff>
    </xdr:from>
    <xdr:ext cx="304800" cy="304800"/>
    <xdr:sp macro="" textlink="">
      <xdr:nvSpPr>
        <xdr:cNvPr id="208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8080000}"/>
            </a:ext>
          </a:extLst>
        </xdr:cNvPr>
        <xdr:cNvSpPr>
          <a:spLocks noChangeAspect="1" noChangeArrowheads="1"/>
        </xdr:cNvSpPr>
      </xdr:nvSpPr>
      <xdr:spPr bwMode="auto">
        <a:xfrm>
          <a:off x="46110525" y="3409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11</xdr:row>
      <xdr:rowOff>0</xdr:rowOff>
    </xdr:from>
    <xdr:ext cx="304800" cy="304800"/>
    <xdr:sp macro="" textlink="">
      <xdr:nvSpPr>
        <xdr:cNvPr id="208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9080000}"/>
            </a:ext>
          </a:extLst>
        </xdr:cNvPr>
        <xdr:cNvSpPr>
          <a:spLocks noChangeAspect="1" noChangeArrowheads="1"/>
        </xdr:cNvSpPr>
      </xdr:nvSpPr>
      <xdr:spPr bwMode="auto">
        <a:xfrm>
          <a:off x="46110525" y="3409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12</xdr:row>
      <xdr:rowOff>0</xdr:rowOff>
    </xdr:from>
    <xdr:ext cx="304800" cy="304800"/>
    <xdr:sp macro="" textlink="">
      <xdr:nvSpPr>
        <xdr:cNvPr id="209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A080000}"/>
            </a:ext>
          </a:extLst>
        </xdr:cNvPr>
        <xdr:cNvSpPr>
          <a:spLocks noChangeAspect="1" noChangeArrowheads="1"/>
        </xdr:cNvSpPr>
      </xdr:nvSpPr>
      <xdr:spPr bwMode="auto">
        <a:xfrm>
          <a:off x="46110525" y="3705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12</xdr:row>
      <xdr:rowOff>0</xdr:rowOff>
    </xdr:from>
    <xdr:ext cx="304800" cy="304800"/>
    <xdr:sp macro="" textlink="">
      <xdr:nvSpPr>
        <xdr:cNvPr id="209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B080000}"/>
            </a:ext>
          </a:extLst>
        </xdr:cNvPr>
        <xdr:cNvSpPr>
          <a:spLocks noChangeAspect="1" noChangeArrowheads="1"/>
        </xdr:cNvSpPr>
      </xdr:nvSpPr>
      <xdr:spPr bwMode="auto">
        <a:xfrm>
          <a:off x="46110525" y="3705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13</xdr:row>
      <xdr:rowOff>0</xdr:rowOff>
    </xdr:from>
    <xdr:ext cx="304800" cy="304800"/>
    <xdr:sp macro="" textlink="">
      <xdr:nvSpPr>
        <xdr:cNvPr id="209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C080000}"/>
            </a:ext>
          </a:extLst>
        </xdr:cNvPr>
        <xdr:cNvSpPr>
          <a:spLocks noChangeAspect="1" noChangeArrowheads="1"/>
        </xdr:cNvSpPr>
      </xdr:nvSpPr>
      <xdr:spPr bwMode="auto">
        <a:xfrm>
          <a:off x="46110525" y="400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13</xdr:row>
      <xdr:rowOff>0</xdr:rowOff>
    </xdr:from>
    <xdr:ext cx="304800" cy="304800"/>
    <xdr:sp macro="" textlink="">
      <xdr:nvSpPr>
        <xdr:cNvPr id="209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D080000}"/>
            </a:ext>
          </a:extLst>
        </xdr:cNvPr>
        <xdr:cNvSpPr>
          <a:spLocks noChangeAspect="1" noChangeArrowheads="1"/>
        </xdr:cNvSpPr>
      </xdr:nvSpPr>
      <xdr:spPr bwMode="auto">
        <a:xfrm>
          <a:off x="46110525" y="400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14</xdr:row>
      <xdr:rowOff>0</xdr:rowOff>
    </xdr:from>
    <xdr:ext cx="304800" cy="304800"/>
    <xdr:sp macro="" textlink="">
      <xdr:nvSpPr>
        <xdr:cNvPr id="209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E080000}"/>
            </a:ext>
          </a:extLst>
        </xdr:cNvPr>
        <xdr:cNvSpPr>
          <a:spLocks noChangeAspect="1" noChangeArrowheads="1"/>
        </xdr:cNvSpPr>
      </xdr:nvSpPr>
      <xdr:spPr bwMode="auto">
        <a:xfrm>
          <a:off x="46110525" y="42957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14</xdr:row>
      <xdr:rowOff>0</xdr:rowOff>
    </xdr:from>
    <xdr:ext cx="304800" cy="304800"/>
    <xdr:sp macro="" textlink="">
      <xdr:nvSpPr>
        <xdr:cNvPr id="209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F080000}"/>
            </a:ext>
          </a:extLst>
        </xdr:cNvPr>
        <xdr:cNvSpPr>
          <a:spLocks noChangeAspect="1" noChangeArrowheads="1"/>
        </xdr:cNvSpPr>
      </xdr:nvSpPr>
      <xdr:spPr bwMode="auto">
        <a:xfrm>
          <a:off x="46110525" y="42957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15</xdr:row>
      <xdr:rowOff>0</xdr:rowOff>
    </xdr:from>
    <xdr:ext cx="304800" cy="304800"/>
    <xdr:sp macro="" textlink="">
      <xdr:nvSpPr>
        <xdr:cNvPr id="209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0080000}"/>
            </a:ext>
          </a:extLst>
        </xdr:cNvPr>
        <xdr:cNvSpPr>
          <a:spLocks noChangeAspect="1" noChangeArrowheads="1"/>
        </xdr:cNvSpPr>
      </xdr:nvSpPr>
      <xdr:spPr bwMode="auto">
        <a:xfrm>
          <a:off x="46110525" y="4591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15</xdr:row>
      <xdr:rowOff>0</xdr:rowOff>
    </xdr:from>
    <xdr:ext cx="304800" cy="304800"/>
    <xdr:sp macro="" textlink="">
      <xdr:nvSpPr>
        <xdr:cNvPr id="209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1080000}"/>
            </a:ext>
          </a:extLst>
        </xdr:cNvPr>
        <xdr:cNvSpPr>
          <a:spLocks noChangeAspect="1" noChangeArrowheads="1"/>
        </xdr:cNvSpPr>
      </xdr:nvSpPr>
      <xdr:spPr bwMode="auto">
        <a:xfrm>
          <a:off x="46110525" y="4591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16</xdr:row>
      <xdr:rowOff>0</xdr:rowOff>
    </xdr:from>
    <xdr:ext cx="304800" cy="304800"/>
    <xdr:sp macro="" textlink="">
      <xdr:nvSpPr>
        <xdr:cNvPr id="209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2080000}"/>
            </a:ext>
          </a:extLst>
        </xdr:cNvPr>
        <xdr:cNvSpPr>
          <a:spLocks noChangeAspect="1" noChangeArrowheads="1"/>
        </xdr:cNvSpPr>
      </xdr:nvSpPr>
      <xdr:spPr bwMode="auto">
        <a:xfrm>
          <a:off x="46110525" y="4886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16</xdr:row>
      <xdr:rowOff>0</xdr:rowOff>
    </xdr:from>
    <xdr:ext cx="304800" cy="304800"/>
    <xdr:sp macro="" textlink="">
      <xdr:nvSpPr>
        <xdr:cNvPr id="209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3080000}"/>
            </a:ext>
          </a:extLst>
        </xdr:cNvPr>
        <xdr:cNvSpPr>
          <a:spLocks noChangeAspect="1" noChangeArrowheads="1"/>
        </xdr:cNvSpPr>
      </xdr:nvSpPr>
      <xdr:spPr bwMode="auto">
        <a:xfrm>
          <a:off x="46110525" y="4886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17</xdr:row>
      <xdr:rowOff>0</xdr:rowOff>
    </xdr:from>
    <xdr:ext cx="304800" cy="304800"/>
    <xdr:sp macro="" textlink="">
      <xdr:nvSpPr>
        <xdr:cNvPr id="210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4080000}"/>
            </a:ext>
          </a:extLst>
        </xdr:cNvPr>
        <xdr:cNvSpPr>
          <a:spLocks noChangeAspect="1" noChangeArrowheads="1"/>
        </xdr:cNvSpPr>
      </xdr:nvSpPr>
      <xdr:spPr bwMode="auto">
        <a:xfrm>
          <a:off x="46110525" y="5181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17</xdr:row>
      <xdr:rowOff>0</xdr:rowOff>
    </xdr:from>
    <xdr:ext cx="304800" cy="304800"/>
    <xdr:sp macro="" textlink="">
      <xdr:nvSpPr>
        <xdr:cNvPr id="210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5080000}"/>
            </a:ext>
          </a:extLst>
        </xdr:cNvPr>
        <xdr:cNvSpPr>
          <a:spLocks noChangeAspect="1" noChangeArrowheads="1"/>
        </xdr:cNvSpPr>
      </xdr:nvSpPr>
      <xdr:spPr bwMode="auto">
        <a:xfrm>
          <a:off x="46110525" y="5181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18</xdr:row>
      <xdr:rowOff>0</xdr:rowOff>
    </xdr:from>
    <xdr:ext cx="304800" cy="304800"/>
    <xdr:sp macro="" textlink="">
      <xdr:nvSpPr>
        <xdr:cNvPr id="210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6080000}"/>
            </a:ext>
          </a:extLst>
        </xdr:cNvPr>
        <xdr:cNvSpPr>
          <a:spLocks noChangeAspect="1" noChangeArrowheads="1"/>
        </xdr:cNvSpPr>
      </xdr:nvSpPr>
      <xdr:spPr bwMode="auto">
        <a:xfrm>
          <a:off x="46110525" y="5476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18</xdr:row>
      <xdr:rowOff>0</xdr:rowOff>
    </xdr:from>
    <xdr:ext cx="304800" cy="304800"/>
    <xdr:sp macro="" textlink="">
      <xdr:nvSpPr>
        <xdr:cNvPr id="210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7080000}"/>
            </a:ext>
          </a:extLst>
        </xdr:cNvPr>
        <xdr:cNvSpPr>
          <a:spLocks noChangeAspect="1" noChangeArrowheads="1"/>
        </xdr:cNvSpPr>
      </xdr:nvSpPr>
      <xdr:spPr bwMode="auto">
        <a:xfrm>
          <a:off x="46110525" y="5476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18</xdr:row>
      <xdr:rowOff>0</xdr:rowOff>
    </xdr:from>
    <xdr:ext cx="304800" cy="304800"/>
    <xdr:sp macro="" textlink="">
      <xdr:nvSpPr>
        <xdr:cNvPr id="210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8080000}"/>
            </a:ext>
          </a:extLst>
        </xdr:cNvPr>
        <xdr:cNvSpPr>
          <a:spLocks noChangeAspect="1" noChangeArrowheads="1"/>
        </xdr:cNvSpPr>
      </xdr:nvSpPr>
      <xdr:spPr bwMode="auto">
        <a:xfrm>
          <a:off x="46110525" y="5772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18</xdr:row>
      <xdr:rowOff>0</xdr:rowOff>
    </xdr:from>
    <xdr:ext cx="304800" cy="304800"/>
    <xdr:sp macro="" textlink="">
      <xdr:nvSpPr>
        <xdr:cNvPr id="210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9080000}"/>
            </a:ext>
          </a:extLst>
        </xdr:cNvPr>
        <xdr:cNvSpPr>
          <a:spLocks noChangeAspect="1" noChangeArrowheads="1"/>
        </xdr:cNvSpPr>
      </xdr:nvSpPr>
      <xdr:spPr bwMode="auto">
        <a:xfrm>
          <a:off x="46110525" y="5772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18</xdr:row>
      <xdr:rowOff>0</xdr:rowOff>
    </xdr:from>
    <xdr:ext cx="304800" cy="304800"/>
    <xdr:sp macro="" textlink="">
      <xdr:nvSpPr>
        <xdr:cNvPr id="210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A080000}"/>
            </a:ext>
          </a:extLst>
        </xdr:cNvPr>
        <xdr:cNvSpPr>
          <a:spLocks noChangeAspect="1" noChangeArrowheads="1"/>
        </xdr:cNvSpPr>
      </xdr:nvSpPr>
      <xdr:spPr bwMode="auto">
        <a:xfrm>
          <a:off x="46110525" y="60674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18</xdr:row>
      <xdr:rowOff>0</xdr:rowOff>
    </xdr:from>
    <xdr:ext cx="304800" cy="304800"/>
    <xdr:sp macro="" textlink="">
      <xdr:nvSpPr>
        <xdr:cNvPr id="210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B080000}"/>
            </a:ext>
          </a:extLst>
        </xdr:cNvPr>
        <xdr:cNvSpPr>
          <a:spLocks noChangeAspect="1" noChangeArrowheads="1"/>
        </xdr:cNvSpPr>
      </xdr:nvSpPr>
      <xdr:spPr bwMode="auto">
        <a:xfrm>
          <a:off x="46110525" y="60674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18</xdr:row>
      <xdr:rowOff>0</xdr:rowOff>
    </xdr:from>
    <xdr:ext cx="304800" cy="304800"/>
    <xdr:sp macro="" textlink="">
      <xdr:nvSpPr>
        <xdr:cNvPr id="210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C080000}"/>
            </a:ext>
          </a:extLst>
        </xdr:cNvPr>
        <xdr:cNvSpPr>
          <a:spLocks noChangeAspect="1" noChangeArrowheads="1"/>
        </xdr:cNvSpPr>
      </xdr:nvSpPr>
      <xdr:spPr bwMode="auto">
        <a:xfrm>
          <a:off x="46110525" y="6362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18</xdr:row>
      <xdr:rowOff>0</xdr:rowOff>
    </xdr:from>
    <xdr:ext cx="304800" cy="304800"/>
    <xdr:sp macro="" textlink="">
      <xdr:nvSpPr>
        <xdr:cNvPr id="210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D080000}"/>
            </a:ext>
          </a:extLst>
        </xdr:cNvPr>
        <xdr:cNvSpPr>
          <a:spLocks noChangeAspect="1" noChangeArrowheads="1"/>
        </xdr:cNvSpPr>
      </xdr:nvSpPr>
      <xdr:spPr bwMode="auto">
        <a:xfrm>
          <a:off x="46110525" y="6362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18</xdr:row>
      <xdr:rowOff>0</xdr:rowOff>
    </xdr:from>
    <xdr:ext cx="304800" cy="304800"/>
    <xdr:sp macro="" textlink="">
      <xdr:nvSpPr>
        <xdr:cNvPr id="211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E080000}"/>
            </a:ext>
          </a:extLst>
        </xdr:cNvPr>
        <xdr:cNvSpPr>
          <a:spLocks noChangeAspect="1" noChangeArrowheads="1"/>
        </xdr:cNvSpPr>
      </xdr:nvSpPr>
      <xdr:spPr bwMode="auto">
        <a:xfrm>
          <a:off x="46110525" y="66579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18</xdr:row>
      <xdr:rowOff>0</xdr:rowOff>
    </xdr:from>
    <xdr:ext cx="304800" cy="304800"/>
    <xdr:sp macro="" textlink="">
      <xdr:nvSpPr>
        <xdr:cNvPr id="211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F080000}"/>
            </a:ext>
          </a:extLst>
        </xdr:cNvPr>
        <xdr:cNvSpPr>
          <a:spLocks noChangeAspect="1" noChangeArrowheads="1"/>
        </xdr:cNvSpPr>
      </xdr:nvSpPr>
      <xdr:spPr bwMode="auto">
        <a:xfrm>
          <a:off x="46110525" y="66579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18</xdr:row>
      <xdr:rowOff>0</xdr:rowOff>
    </xdr:from>
    <xdr:ext cx="304800" cy="304800"/>
    <xdr:sp macro="" textlink="">
      <xdr:nvSpPr>
        <xdr:cNvPr id="211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0080000}"/>
            </a:ext>
          </a:extLst>
        </xdr:cNvPr>
        <xdr:cNvSpPr>
          <a:spLocks noChangeAspect="1" noChangeArrowheads="1"/>
        </xdr:cNvSpPr>
      </xdr:nvSpPr>
      <xdr:spPr bwMode="auto">
        <a:xfrm>
          <a:off x="46110525" y="6953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18</xdr:row>
      <xdr:rowOff>0</xdr:rowOff>
    </xdr:from>
    <xdr:ext cx="304800" cy="304800"/>
    <xdr:sp macro="" textlink="">
      <xdr:nvSpPr>
        <xdr:cNvPr id="211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1080000}"/>
            </a:ext>
          </a:extLst>
        </xdr:cNvPr>
        <xdr:cNvSpPr>
          <a:spLocks noChangeAspect="1" noChangeArrowheads="1"/>
        </xdr:cNvSpPr>
      </xdr:nvSpPr>
      <xdr:spPr bwMode="auto">
        <a:xfrm>
          <a:off x="46110525" y="6953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18</xdr:row>
      <xdr:rowOff>0</xdr:rowOff>
    </xdr:from>
    <xdr:ext cx="304800" cy="304800"/>
    <xdr:sp macro="" textlink="">
      <xdr:nvSpPr>
        <xdr:cNvPr id="211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2080000}"/>
            </a:ext>
          </a:extLst>
        </xdr:cNvPr>
        <xdr:cNvSpPr>
          <a:spLocks noChangeAspect="1" noChangeArrowheads="1"/>
        </xdr:cNvSpPr>
      </xdr:nvSpPr>
      <xdr:spPr bwMode="auto">
        <a:xfrm>
          <a:off x="46110525" y="7248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18</xdr:row>
      <xdr:rowOff>0</xdr:rowOff>
    </xdr:from>
    <xdr:ext cx="304800" cy="304800"/>
    <xdr:sp macro="" textlink="">
      <xdr:nvSpPr>
        <xdr:cNvPr id="211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3080000}"/>
            </a:ext>
          </a:extLst>
        </xdr:cNvPr>
        <xdr:cNvSpPr>
          <a:spLocks noChangeAspect="1" noChangeArrowheads="1"/>
        </xdr:cNvSpPr>
      </xdr:nvSpPr>
      <xdr:spPr bwMode="auto">
        <a:xfrm>
          <a:off x="46110525" y="7248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18</xdr:row>
      <xdr:rowOff>0</xdr:rowOff>
    </xdr:from>
    <xdr:ext cx="304800" cy="304800"/>
    <xdr:sp macro="" textlink="">
      <xdr:nvSpPr>
        <xdr:cNvPr id="211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4080000}"/>
            </a:ext>
          </a:extLst>
        </xdr:cNvPr>
        <xdr:cNvSpPr>
          <a:spLocks noChangeAspect="1" noChangeArrowheads="1"/>
        </xdr:cNvSpPr>
      </xdr:nvSpPr>
      <xdr:spPr bwMode="auto">
        <a:xfrm>
          <a:off x="46110525" y="7543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18</xdr:row>
      <xdr:rowOff>0</xdr:rowOff>
    </xdr:from>
    <xdr:ext cx="304800" cy="304800"/>
    <xdr:sp macro="" textlink="">
      <xdr:nvSpPr>
        <xdr:cNvPr id="211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5080000}"/>
            </a:ext>
          </a:extLst>
        </xdr:cNvPr>
        <xdr:cNvSpPr>
          <a:spLocks noChangeAspect="1" noChangeArrowheads="1"/>
        </xdr:cNvSpPr>
      </xdr:nvSpPr>
      <xdr:spPr bwMode="auto">
        <a:xfrm>
          <a:off x="46110525" y="7543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19</xdr:row>
      <xdr:rowOff>0</xdr:rowOff>
    </xdr:from>
    <xdr:ext cx="304800" cy="304800"/>
    <xdr:sp macro="" textlink="">
      <xdr:nvSpPr>
        <xdr:cNvPr id="211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6080000}"/>
            </a:ext>
          </a:extLst>
        </xdr:cNvPr>
        <xdr:cNvSpPr>
          <a:spLocks noChangeAspect="1" noChangeArrowheads="1"/>
        </xdr:cNvSpPr>
      </xdr:nvSpPr>
      <xdr:spPr bwMode="auto">
        <a:xfrm>
          <a:off x="46110525" y="7839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19</xdr:row>
      <xdr:rowOff>0</xdr:rowOff>
    </xdr:from>
    <xdr:ext cx="304800" cy="304800"/>
    <xdr:sp macro="" textlink="">
      <xdr:nvSpPr>
        <xdr:cNvPr id="211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7080000}"/>
            </a:ext>
          </a:extLst>
        </xdr:cNvPr>
        <xdr:cNvSpPr>
          <a:spLocks noChangeAspect="1" noChangeArrowheads="1"/>
        </xdr:cNvSpPr>
      </xdr:nvSpPr>
      <xdr:spPr bwMode="auto">
        <a:xfrm>
          <a:off x="46110525" y="7839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20</xdr:row>
      <xdr:rowOff>0</xdr:rowOff>
    </xdr:from>
    <xdr:ext cx="304800" cy="304800"/>
    <xdr:sp macro="" textlink="">
      <xdr:nvSpPr>
        <xdr:cNvPr id="212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8080000}"/>
            </a:ext>
          </a:extLst>
        </xdr:cNvPr>
        <xdr:cNvSpPr>
          <a:spLocks noChangeAspect="1" noChangeArrowheads="1"/>
        </xdr:cNvSpPr>
      </xdr:nvSpPr>
      <xdr:spPr bwMode="auto">
        <a:xfrm>
          <a:off x="46110525" y="8134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20</xdr:row>
      <xdr:rowOff>0</xdr:rowOff>
    </xdr:from>
    <xdr:ext cx="304800" cy="304800"/>
    <xdr:sp macro="" textlink="">
      <xdr:nvSpPr>
        <xdr:cNvPr id="212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9080000}"/>
            </a:ext>
          </a:extLst>
        </xdr:cNvPr>
        <xdr:cNvSpPr>
          <a:spLocks noChangeAspect="1" noChangeArrowheads="1"/>
        </xdr:cNvSpPr>
      </xdr:nvSpPr>
      <xdr:spPr bwMode="auto">
        <a:xfrm>
          <a:off x="46110525" y="8134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21</xdr:row>
      <xdr:rowOff>0</xdr:rowOff>
    </xdr:from>
    <xdr:ext cx="304800" cy="304800"/>
    <xdr:sp macro="" textlink="">
      <xdr:nvSpPr>
        <xdr:cNvPr id="212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A080000}"/>
            </a:ext>
          </a:extLst>
        </xdr:cNvPr>
        <xdr:cNvSpPr>
          <a:spLocks noChangeAspect="1" noChangeArrowheads="1"/>
        </xdr:cNvSpPr>
      </xdr:nvSpPr>
      <xdr:spPr bwMode="auto">
        <a:xfrm>
          <a:off x="46110525" y="8429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21</xdr:row>
      <xdr:rowOff>0</xdr:rowOff>
    </xdr:from>
    <xdr:ext cx="304800" cy="304800"/>
    <xdr:sp macro="" textlink="">
      <xdr:nvSpPr>
        <xdr:cNvPr id="212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B080000}"/>
            </a:ext>
          </a:extLst>
        </xdr:cNvPr>
        <xdr:cNvSpPr>
          <a:spLocks noChangeAspect="1" noChangeArrowheads="1"/>
        </xdr:cNvSpPr>
      </xdr:nvSpPr>
      <xdr:spPr bwMode="auto">
        <a:xfrm>
          <a:off x="46110525" y="8429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22</xdr:row>
      <xdr:rowOff>0</xdr:rowOff>
    </xdr:from>
    <xdr:ext cx="304800" cy="304800"/>
    <xdr:sp macro="" textlink="">
      <xdr:nvSpPr>
        <xdr:cNvPr id="212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C080000}"/>
            </a:ext>
          </a:extLst>
        </xdr:cNvPr>
        <xdr:cNvSpPr>
          <a:spLocks noChangeAspect="1" noChangeArrowheads="1"/>
        </xdr:cNvSpPr>
      </xdr:nvSpPr>
      <xdr:spPr bwMode="auto">
        <a:xfrm>
          <a:off x="46110525" y="8724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22</xdr:row>
      <xdr:rowOff>0</xdr:rowOff>
    </xdr:from>
    <xdr:ext cx="304800" cy="304800"/>
    <xdr:sp macro="" textlink="">
      <xdr:nvSpPr>
        <xdr:cNvPr id="212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D080000}"/>
            </a:ext>
          </a:extLst>
        </xdr:cNvPr>
        <xdr:cNvSpPr>
          <a:spLocks noChangeAspect="1" noChangeArrowheads="1"/>
        </xdr:cNvSpPr>
      </xdr:nvSpPr>
      <xdr:spPr bwMode="auto">
        <a:xfrm>
          <a:off x="46110525" y="8724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23</xdr:row>
      <xdr:rowOff>0</xdr:rowOff>
    </xdr:from>
    <xdr:ext cx="304800" cy="304800"/>
    <xdr:sp macro="" textlink="">
      <xdr:nvSpPr>
        <xdr:cNvPr id="212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E080000}"/>
            </a:ext>
          </a:extLst>
        </xdr:cNvPr>
        <xdr:cNvSpPr>
          <a:spLocks noChangeAspect="1" noChangeArrowheads="1"/>
        </xdr:cNvSpPr>
      </xdr:nvSpPr>
      <xdr:spPr bwMode="auto">
        <a:xfrm>
          <a:off x="46110525" y="90201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23</xdr:row>
      <xdr:rowOff>0</xdr:rowOff>
    </xdr:from>
    <xdr:ext cx="304800" cy="304800"/>
    <xdr:sp macro="" textlink="">
      <xdr:nvSpPr>
        <xdr:cNvPr id="212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F080000}"/>
            </a:ext>
          </a:extLst>
        </xdr:cNvPr>
        <xdr:cNvSpPr>
          <a:spLocks noChangeAspect="1" noChangeArrowheads="1"/>
        </xdr:cNvSpPr>
      </xdr:nvSpPr>
      <xdr:spPr bwMode="auto">
        <a:xfrm>
          <a:off x="46110525" y="90201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24</xdr:row>
      <xdr:rowOff>0</xdr:rowOff>
    </xdr:from>
    <xdr:ext cx="304800" cy="304800"/>
    <xdr:sp macro="" textlink="">
      <xdr:nvSpPr>
        <xdr:cNvPr id="212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0080000}"/>
            </a:ext>
          </a:extLst>
        </xdr:cNvPr>
        <xdr:cNvSpPr>
          <a:spLocks noChangeAspect="1" noChangeArrowheads="1"/>
        </xdr:cNvSpPr>
      </xdr:nvSpPr>
      <xdr:spPr bwMode="auto">
        <a:xfrm>
          <a:off x="46110525" y="9315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24</xdr:row>
      <xdr:rowOff>0</xdr:rowOff>
    </xdr:from>
    <xdr:ext cx="304800" cy="304800"/>
    <xdr:sp macro="" textlink="">
      <xdr:nvSpPr>
        <xdr:cNvPr id="212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1080000}"/>
            </a:ext>
          </a:extLst>
        </xdr:cNvPr>
        <xdr:cNvSpPr>
          <a:spLocks noChangeAspect="1" noChangeArrowheads="1"/>
        </xdr:cNvSpPr>
      </xdr:nvSpPr>
      <xdr:spPr bwMode="auto">
        <a:xfrm>
          <a:off x="46110525" y="9315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25</xdr:row>
      <xdr:rowOff>0</xdr:rowOff>
    </xdr:from>
    <xdr:ext cx="304800" cy="304800"/>
    <xdr:sp macro="" textlink="">
      <xdr:nvSpPr>
        <xdr:cNvPr id="213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2080000}"/>
            </a:ext>
          </a:extLst>
        </xdr:cNvPr>
        <xdr:cNvSpPr>
          <a:spLocks noChangeAspect="1" noChangeArrowheads="1"/>
        </xdr:cNvSpPr>
      </xdr:nvSpPr>
      <xdr:spPr bwMode="auto">
        <a:xfrm>
          <a:off x="46110525" y="96107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25</xdr:row>
      <xdr:rowOff>0</xdr:rowOff>
    </xdr:from>
    <xdr:ext cx="304800" cy="304800"/>
    <xdr:sp macro="" textlink="">
      <xdr:nvSpPr>
        <xdr:cNvPr id="213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3080000}"/>
            </a:ext>
          </a:extLst>
        </xdr:cNvPr>
        <xdr:cNvSpPr>
          <a:spLocks noChangeAspect="1" noChangeArrowheads="1"/>
        </xdr:cNvSpPr>
      </xdr:nvSpPr>
      <xdr:spPr bwMode="auto">
        <a:xfrm>
          <a:off x="46110525" y="96107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26</xdr:row>
      <xdr:rowOff>0</xdr:rowOff>
    </xdr:from>
    <xdr:ext cx="304800" cy="304800"/>
    <xdr:sp macro="" textlink="">
      <xdr:nvSpPr>
        <xdr:cNvPr id="213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4080000}"/>
            </a:ext>
          </a:extLst>
        </xdr:cNvPr>
        <xdr:cNvSpPr>
          <a:spLocks noChangeAspect="1" noChangeArrowheads="1"/>
        </xdr:cNvSpPr>
      </xdr:nvSpPr>
      <xdr:spPr bwMode="auto">
        <a:xfrm>
          <a:off x="46110525" y="9906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26</xdr:row>
      <xdr:rowOff>0</xdr:rowOff>
    </xdr:from>
    <xdr:ext cx="304800" cy="304800"/>
    <xdr:sp macro="" textlink="">
      <xdr:nvSpPr>
        <xdr:cNvPr id="213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5080000}"/>
            </a:ext>
          </a:extLst>
        </xdr:cNvPr>
        <xdr:cNvSpPr>
          <a:spLocks noChangeAspect="1" noChangeArrowheads="1"/>
        </xdr:cNvSpPr>
      </xdr:nvSpPr>
      <xdr:spPr bwMode="auto">
        <a:xfrm>
          <a:off x="46110525" y="9906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27</xdr:row>
      <xdr:rowOff>0</xdr:rowOff>
    </xdr:from>
    <xdr:ext cx="304800" cy="304800"/>
    <xdr:sp macro="" textlink="">
      <xdr:nvSpPr>
        <xdr:cNvPr id="213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6080000}"/>
            </a:ext>
          </a:extLst>
        </xdr:cNvPr>
        <xdr:cNvSpPr>
          <a:spLocks noChangeAspect="1" noChangeArrowheads="1"/>
        </xdr:cNvSpPr>
      </xdr:nvSpPr>
      <xdr:spPr bwMode="auto">
        <a:xfrm>
          <a:off x="46110525" y="102012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27</xdr:row>
      <xdr:rowOff>0</xdr:rowOff>
    </xdr:from>
    <xdr:ext cx="304800" cy="304800"/>
    <xdr:sp macro="" textlink="">
      <xdr:nvSpPr>
        <xdr:cNvPr id="213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7080000}"/>
            </a:ext>
          </a:extLst>
        </xdr:cNvPr>
        <xdr:cNvSpPr>
          <a:spLocks noChangeAspect="1" noChangeArrowheads="1"/>
        </xdr:cNvSpPr>
      </xdr:nvSpPr>
      <xdr:spPr bwMode="auto">
        <a:xfrm>
          <a:off x="46110525" y="102012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28</xdr:row>
      <xdr:rowOff>0</xdr:rowOff>
    </xdr:from>
    <xdr:ext cx="304800" cy="304800"/>
    <xdr:sp macro="" textlink="">
      <xdr:nvSpPr>
        <xdr:cNvPr id="213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8080000}"/>
            </a:ext>
          </a:extLst>
        </xdr:cNvPr>
        <xdr:cNvSpPr>
          <a:spLocks noChangeAspect="1" noChangeArrowheads="1"/>
        </xdr:cNvSpPr>
      </xdr:nvSpPr>
      <xdr:spPr bwMode="auto">
        <a:xfrm>
          <a:off x="46110525" y="10496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28</xdr:row>
      <xdr:rowOff>0</xdr:rowOff>
    </xdr:from>
    <xdr:ext cx="304800" cy="304800"/>
    <xdr:sp macro="" textlink="">
      <xdr:nvSpPr>
        <xdr:cNvPr id="213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9080000}"/>
            </a:ext>
          </a:extLst>
        </xdr:cNvPr>
        <xdr:cNvSpPr>
          <a:spLocks noChangeAspect="1" noChangeArrowheads="1"/>
        </xdr:cNvSpPr>
      </xdr:nvSpPr>
      <xdr:spPr bwMode="auto">
        <a:xfrm>
          <a:off x="46110525" y="10496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29</xdr:row>
      <xdr:rowOff>0</xdr:rowOff>
    </xdr:from>
    <xdr:ext cx="304800" cy="304800"/>
    <xdr:sp macro="" textlink="">
      <xdr:nvSpPr>
        <xdr:cNvPr id="213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A080000}"/>
            </a:ext>
          </a:extLst>
        </xdr:cNvPr>
        <xdr:cNvSpPr>
          <a:spLocks noChangeAspect="1" noChangeArrowheads="1"/>
        </xdr:cNvSpPr>
      </xdr:nvSpPr>
      <xdr:spPr bwMode="auto">
        <a:xfrm>
          <a:off x="46110525" y="10791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29</xdr:row>
      <xdr:rowOff>0</xdr:rowOff>
    </xdr:from>
    <xdr:ext cx="304800" cy="304800"/>
    <xdr:sp macro="" textlink="">
      <xdr:nvSpPr>
        <xdr:cNvPr id="213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B080000}"/>
            </a:ext>
          </a:extLst>
        </xdr:cNvPr>
        <xdr:cNvSpPr>
          <a:spLocks noChangeAspect="1" noChangeArrowheads="1"/>
        </xdr:cNvSpPr>
      </xdr:nvSpPr>
      <xdr:spPr bwMode="auto">
        <a:xfrm>
          <a:off x="46110525" y="10791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30</xdr:row>
      <xdr:rowOff>0</xdr:rowOff>
    </xdr:from>
    <xdr:ext cx="304800" cy="304800"/>
    <xdr:sp macro="" textlink="">
      <xdr:nvSpPr>
        <xdr:cNvPr id="214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C080000}"/>
            </a:ext>
          </a:extLst>
        </xdr:cNvPr>
        <xdr:cNvSpPr>
          <a:spLocks noChangeAspect="1" noChangeArrowheads="1"/>
        </xdr:cNvSpPr>
      </xdr:nvSpPr>
      <xdr:spPr bwMode="auto">
        <a:xfrm>
          <a:off x="46110525" y="11087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30</xdr:row>
      <xdr:rowOff>0</xdr:rowOff>
    </xdr:from>
    <xdr:ext cx="304800" cy="304800"/>
    <xdr:sp macro="" textlink="">
      <xdr:nvSpPr>
        <xdr:cNvPr id="214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D080000}"/>
            </a:ext>
          </a:extLst>
        </xdr:cNvPr>
        <xdr:cNvSpPr>
          <a:spLocks noChangeAspect="1" noChangeArrowheads="1"/>
        </xdr:cNvSpPr>
      </xdr:nvSpPr>
      <xdr:spPr bwMode="auto">
        <a:xfrm>
          <a:off x="46110525" y="11087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31</xdr:row>
      <xdr:rowOff>0</xdr:rowOff>
    </xdr:from>
    <xdr:ext cx="304800" cy="304800"/>
    <xdr:sp macro="" textlink="">
      <xdr:nvSpPr>
        <xdr:cNvPr id="214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E080000}"/>
            </a:ext>
          </a:extLst>
        </xdr:cNvPr>
        <xdr:cNvSpPr>
          <a:spLocks noChangeAspect="1" noChangeArrowheads="1"/>
        </xdr:cNvSpPr>
      </xdr:nvSpPr>
      <xdr:spPr bwMode="auto">
        <a:xfrm>
          <a:off x="46110525" y="11382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31</xdr:row>
      <xdr:rowOff>0</xdr:rowOff>
    </xdr:from>
    <xdr:ext cx="304800" cy="304800"/>
    <xdr:sp macro="" textlink="">
      <xdr:nvSpPr>
        <xdr:cNvPr id="214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F080000}"/>
            </a:ext>
          </a:extLst>
        </xdr:cNvPr>
        <xdr:cNvSpPr>
          <a:spLocks noChangeAspect="1" noChangeArrowheads="1"/>
        </xdr:cNvSpPr>
      </xdr:nvSpPr>
      <xdr:spPr bwMode="auto">
        <a:xfrm>
          <a:off x="46110525" y="11382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32</xdr:row>
      <xdr:rowOff>0</xdr:rowOff>
    </xdr:from>
    <xdr:ext cx="304800" cy="304800"/>
    <xdr:sp macro="" textlink="">
      <xdr:nvSpPr>
        <xdr:cNvPr id="214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0080000}"/>
            </a:ext>
          </a:extLst>
        </xdr:cNvPr>
        <xdr:cNvSpPr>
          <a:spLocks noChangeAspect="1" noChangeArrowheads="1"/>
        </xdr:cNvSpPr>
      </xdr:nvSpPr>
      <xdr:spPr bwMode="auto">
        <a:xfrm>
          <a:off x="46110525" y="11677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32</xdr:row>
      <xdr:rowOff>0</xdr:rowOff>
    </xdr:from>
    <xdr:ext cx="304800" cy="304800"/>
    <xdr:sp macro="" textlink="">
      <xdr:nvSpPr>
        <xdr:cNvPr id="214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1080000}"/>
            </a:ext>
          </a:extLst>
        </xdr:cNvPr>
        <xdr:cNvSpPr>
          <a:spLocks noChangeAspect="1" noChangeArrowheads="1"/>
        </xdr:cNvSpPr>
      </xdr:nvSpPr>
      <xdr:spPr bwMode="auto">
        <a:xfrm>
          <a:off x="46110525" y="11677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33</xdr:row>
      <xdr:rowOff>0</xdr:rowOff>
    </xdr:from>
    <xdr:ext cx="304800" cy="304800"/>
    <xdr:sp macro="" textlink="">
      <xdr:nvSpPr>
        <xdr:cNvPr id="214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2080000}"/>
            </a:ext>
          </a:extLst>
        </xdr:cNvPr>
        <xdr:cNvSpPr>
          <a:spLocks noChangeAspect="1" noChangeArrowheads="1"/>
        </xdr:cNvSpPr>
      </xdr:nvSpPr>
      <xdr:spPr bwMode="auto">
        <a:xfrm>
          <a:off x="46110525" y="119729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33</xdr:row>
      <xdr:rowOff>0</xdr:rowOff>
    </xdr:from>
    <xdr:ext cx="304800" cy="304800"/>
    <xdr:sp macro="" textlink="">
      <xdr:nvSpPr>
        <xdr:cNvPr id="214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3080000}"/>
            </a:ext>
          </a:extLst>
        </xdr:cNvPr>
        <xdr:cNvSpPr>
          <a:spLocks noChangeAspect="1" noChangeArrowheads="1"/>
        </xdr:cNvSpPr>
      </xdr:nvSpPr>
      <xdr:spPr bwMode="auto">
        <a:xfrm>
          <a:off x="46110525" y="119729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34</xdr:row>
      <xdr:rowOff>0</xdr:rowOff>
    </xdr:from>
    <xdr:ext cx="304800" cy="304800"/>
    <xdr:sp macro="" textlink="">
      <xdr:nvSpPr>
        <xdr:cNvPr id="214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4080000}"/>
            </a:ext>
          </a:extLst>
        </xdr:cNvPr>
        <xdr:cNvSpPr>
          <a:spLocks noChangeAspect="1" noChangeArrowheads="1"/>
        </xdr:cNvSpPr>
      </xdr:nvSpPr>
      <xdr:spPr bwMode="auto">
        <a:xfrm>
          <a:off x="46110525" y="1226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34</xdr:row>
      <xdr:rowOff>0</xdr:rowOff>
    </xdr:from>
    <xdr:ext cx="304800" cy="304800"/>
    <xdr:sp macro="" textlink="">
      <xdr:nvSpPr>
        <xdr:cNvPr id="214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5080000}"/>
            </a:ext>
          </a:extLst>
        </xdr:cNvPr>
        <xdr:cNvSpPr>
          <a:spLocks noChangeAspect="1" noChangeArrowheads="1"/>
        </xdr:cNvSpPr>
      </xdr:nvSpPr>
      <xdr:spPr bwMode="auto">
        <a:xfrm>
          <a:off x="46110525" y="1226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35</xdr:row>
      <xdr:rowOff>0</xdr:rowOff>
    </xdr:from>
    <xdr:ext cx="304800" cy="304800"/>
    <xdr:sp macro="" textlink="">
      <xdr:nvSpPr>
        <xdr:cNvPr id="215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6080000}"/>
            </a:ext>
          </a:extLst>
        </xdr:cNvPr>
        <xdr:cNvSpPr>
          <a:spLocks noChangeAspect="1" noChangeArrowheads="1"/>
        </xdr:cNvSpPr>
      </xdr:nvSpPr>
      <xdr:spPr bwMode="auto">
        <a:xfrm>
          <a:off x="46110525" y="125634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35</xdr:row>
      <xdr:rowOff>0</xdr:rowOff>
    </xdr:from>
    <xdr:ext cx="304800" cy="304800"/>
    <xdr:sp macro="" textlink="">
      <xdr:nvSpPr>
        <xdr:cNvPr id="215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7080000}"/>
            </a:ext>
          </a:extLst>
        </xdr:cNvPr>
        <xdr:cNvSpPr>
          <a:spLocks noChangeAspect="1" noChangeArrowheads="1"/>
        </xdr:cNvSpPr>
      </xdr:nvSpPr>
      <xdr:spPr bwMode="auto">
        <a:xfrm>
          <a:off x="46110525" y="125634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36</xdr:row>
      <xdr:rowOff>0</xdr:rowOff>
    </xdr:from>
    <xdr:ext cx="304800" cy="304800"/>
    <xdr:sp macro="" textlink="">
      <xdr:nvSpPr>
        <xdr:cNvPr id="215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8080000}"/>
            </a:ext>
          </a:extLst>
        </xdr:cNvPr>
        <xdr:cNvSpPr>
          <a:spLocks noChangeAspect="1" noChangeArrowheads="1"/>
        </xdr:cNvSpPr>
      </xdr:nvSpPr>
      <xdr:spPr bwMode="auto">
        <a:xfrm>
          <a:off x="46110525" y="12858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36</xdr:row>
      <xdr:rowOff>0</xdr:rowOff>
    </xdr:from>
    <xdr:ext cx="304800" cy="304800"/>
    <xdr:sp macro="" textlink="">
      <xdr:nvSpPr>
        <xdr:cNvPr id="215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9080000}"/>
            </a:ext>
          </a:extLst>
        </xdr:cNvPr>
        <xdr:cNvSpPr>
          <a:spLocks noChangeAspect="1" noChangeArrowheads="1"/>
        </xdr:cNvSpPr>
      </xdr:nvSpPr>
      <xdr:spPr bwMode="auto">
        <a:xfrm>
          <a:off x="46110525" y="12858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37</xdr:row>
      <xdr:rowOff>0</xdr:rowOff>
    </xdr:from>
    <xdr:ext cx="304800" cy="304800"/>
    <xdr:sp macro="" textlink="">
      <xdr:nvSpPr>
        <xdr:cNvPr id="215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A080000}"/>
            </a:ext>
          </a:extLst>
        </xdr:cNvPr>
        <xdr:cNvSpPr>
          <a:spLocks noChangeAspect="1" noChangeArrowheads="1"/>
        </xdr:cNvSpPr>
      </xdr:nvSpPr>
      <xdr:spPr bwMode="auto">
        <a:xfrm>
          <a:off x="46110525" y="13154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37</xdr:row>
      <xdr:rowOff>0</xdr:rowOff>
    </xdr:from>
    <xdr:ext cx="304800" cy="304800"/>
    <xdr:sp macro="" textlink="">
      <xdr:nvSpPr>
        <xdr:cNvPr id="215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B080000}"/>
            </a:ext>
          </a:extLst>
        </xdr:cNvPr>
        <xdr:cNvSpPr>
          <a:spLocks noChangeAspect="1" noChangeArrowheads="1"/>
        </xdr:cNvSpPr>
      </xdr:nvSpPr>
      <xdr:spPr bwMode="auto">
        <a:xfrm>
          <a:off x="46110525" y="13154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38</xdr:row>
      <xdr:rowOff>0</xdr:rowOff>
    </xdr:from>
    <xdr:ext cx="304800" cy="304800"/>
    <xdr:sp macro="" textlink="">
      <xdr:nvSpPr>
        <xdr:cNvPr id="215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C080000}"/>
            </a:ext>
          </a:extLst>
        </xdr:cNvPr>
        <xdr:cNvSpPr>
          <a:spLocks noChangeAspect="1" noChangeArrowheads="1"/>
        </xdr:cNvSpPr>
      </xdr:nvSpPr>
      <xdr:spPr bwMode="auto">
        <a:xfrm>
          <a:off x="46110525" y="13449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38</xdr:row>
      <xdr:rowOff>0</xdr:rowOff>
    </xdr:from>
    <xdr:ext cx="304800" cy="304800"/>
    <xdr:sp macro="" textlink="">
      <xdr:nvSpPr>
        <xdr:cNvPr id="215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D080000}"/>
            </a:ext>
          </a:extLst>
        </xdr:cNvPr>
        <xdr:cNvSpPr>
          <a:spLocks noChangeAspect="1" noChangeArrowheads="1"/>
        </xdr:cNvSpPr>
      </xdr:nvSpPr>
      <xdr:spPr bwMode="auto">
        <a:xfrm>
          <a:off x="46110525" y="13449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39</xdr:row>
      <xdr:rowOff>0</xdr:rowOff>
    </xdr:from>
    <xdr:ext cx="304800" cy="304800"/>
    <xdr:sp macro="" textlink="">
      <xdr:nvSpPr>
        <xdr:cNvPr id="215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E080000}"/>
            </a:ext>
          </a:extLst>
        </xdr:cNvPr>
        <xdr:cNvSpPr>
          <a:spLocks noChangeAspect="1" noChangeArrowheads="1"/>
        </xdr:cNvSpPr>
      </xdr:nvSpPr>
      <xdr:spPr bwMode="auto">
        <a:xfrm>
          <a:off x="46110525" y="13744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39</xdr:row>
      <xdr:rowOff>0</xdr:rowOff>
    </xdr:from>
    <xdr:ext cx="304800" cy="304800"/>
    <xdr:sp macro="" textlink="">
      <xdr:nvSpPr>
        <xdr:cNvPr id="215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F080000}"/>
            </a:ext>
          </a:extLst>
        </xdr:cNvPr>
        <xdr:cNvSpPr>
          <a:spLocks noChangeAspect="1" noChangeArrowheads="1"/>
        </xdr:cNvSpPr>
      </xdr:nvSpPr>
      <xdr:spPr bwMode="auto">
        <a:xfrm>
          <a:off x="46110525" y="13744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40</xdr:row>
      <xdr:rowOff>0</xdr:rowOff>
    </xdr:from>
    <xdr:ext cx="304800" cy="304800"/>
    <xdr:sp macro="" textlink="">
      <xdr:nvSpPr>
        <xdr:cNvPr id="216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0080000}"/>
            </a:ext>
          </a:extLst>
        </xdr:cNvPr>
        <xdr:cNvSpPr>
          <a:spLocks noChangeAspect="1" noChangeArrowheads="1"/>
        </xdr:cNvSpPr>
      </xdr:nvSpPr>
      <xdr:spPr bwMode="auto">
        <a:xfrm>
          <a:off x="46110525" y="14039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40</xdr:row>
      <xdr:rowOff>0</xdr:rowOff>
    </xdr:from>
    <xdr:ext cx="304800" cy="304800"/>
    <xdr:sp macro="" textlink="">
      <xdr:nvSpPr>
        <xdr:cNvPr id="216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1080000}"/>
            </a:ext>
          </a:extLst>
        </xdr:cNvPr>
        <xdr:cNvSpPr>
          <a:spLocks noChangeAspect="1" noChangeArrowheads="1"/>
        </xdr:cNvSpPr>
      </xdr:nvSpPr>
      <xdr:spPr bwMode="auto">
        <a:xfrm>
          <a:off x="46110525" y="14039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41</xdr:row>
      <xdr:rowOff>0</xdr:rowOff>
    </xdr:from>
    <xdr:ext cx="304800" cy="304800"/>
    <xdr:sp macro="" textlink="">
      <xdr:nvSpPr>
        <xdr:cNvPr id="216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2080000}"/>
            </a:ext>
          </a:extLst>
        </xdr:cNvPr>
        <xdr:cNvSpPr>
          <a:spLocks noChangeAspect="1" noChangeArrowheads="1"/>
        </xdr:cNvSpPr>
      </xdr:nvSpPr>
      <xdr:spPr bwMode="auto">
        <a:xfrm>
          <a:off x="46110525" y="143351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41</xdr:row>
      <xdr:rowOff>0</xdr:rowOff>
    </xdr:from>
    <xdr:ext cx="304800" cy="304800"/>
    <xdr:sp macro="" textlink="">
      <xdr:nvSpPr>
        <xdr:cNvPr id="216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3080000}"/>
            </a:ext>
          </a:extLst>
        </xdr:cNvPr>
        <xdr:cNvSpPr>
          <a:spLocks noChangeAspect="1" noChangeArrowheads="1"/>
        </xdr:cNvSpPr>
      </xdr:nvSpPr>
      <xdr:spPr bwMode="auto">
        <a:xfrm>
          <a:off x="46110525" y="143351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42</xdr:row>
      <xdr:rowOff>0</xdr:rowOff>
    </xdr:from>
    <xdr:ext cx="304800" cy="304800"/>
    <xdr:sp macro="" textlink="">
      <xdr:nvSpPr>
        <xdr:cNvPr id="216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4080000}"/>
            </a:ext>
          </a:extLst>
        </xdr:cNvPr>
        <xdr:cNvSpPr>
          <a:spLocks noChangeAspect="1" noChangeArrowheads="1"/>
        </xdr:cNvSpPr>
      </xdr:nvSpPr>
      <xdr:spPr bwMode="auto">
        <a:xfrm>
          <a:off x="46110525" y="14630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42</xdr:row>
      <xdr:rowOff>0</xdr:rowOff>
    </xdr:from>
    <xdr:ext cx="304800" cy="304800"/>
    <xdr:sp macro="" textlink="">
      <xdr:nvSpPr>
        <xdr:cNvPr id="216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5080000}"/>
            </a:ext>
          </a:extLst>
        </xdr:cNvPr>
        <xdr:cNvSpPr>
          <a:spLocks noChangeAspect="1" noChangeArrowheads="1"/>
        </xdr:cNvSpPr>
      </xdr:nvSpPr>
      <xdr:spPr bwMode="auto">
        <a:xfrm>
          <a:off x="46110525" y="14630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43</xdr:row>
      <xdr:rowOff>0</xdr:rowOff>
    </xdr:from>
    <xdr:ext cx="304800" cy="304800"/>
    <xdr:sp macro="" textlink="">
      <xdr:nvSpPr>
        <xdr:cNvPr id="216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6080000}"/>
            </a:ext>
          </a:extLst>
        </xdr:cNvPr>
        <xdr:cNvSpPr>
          <a:spLocks noChangeAspect="1" noChangeArrowheads="1"/>
        </xdr:cNvSpPr>
      </xdr:nvSpPr>
      <xdr:spPr bwMode="auto">
        <a:xfrm>
          <a:off x="46110525" y="149256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43</xdr:row>
      <xdr:rowOff>0</xdr:rowOff>
    </xdr:from>
    <xdr:ext cx="304800" cy="304800"/>
    <xdr:sp macro="" textlink="">
      <xdr:nvSpPr>
        <xdr:cNvPr id="216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7080000}"/>
            </a:ext>
          </a:extLst>
        </xdr:cNvPr>
        <xdr:cNvSpPr>
          <a:spLocks noChangeAspect="1" noChangeArrowheads="1"/>
        </xdr:cNvSpPr>
      </xdr:nvSpPr>
      <xdr:spPr bwMode="auto">
        <a:xfrm>
          <a:off x="46110525" y="149256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44</xdr:row>
      <xdr:rowOff>0</xdr:rowOff>
    </xdr:from>
    <xdr:ext cx="304800" cy="304800"/>
    <xdr:sp macro="" textlink="">
      <xdr:nvSpPr>
        <xdr:cNvPr id="216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8080000}"/>
            </a:ext>
          </a:extLst>
        </xdr:cNvPr>
        <xdr:cNvSpPr>
          <a:spLocks noChangeAspect="1" noChangeArrowheads="1"/>
        </xdr:cNvSpPr>
      </xdr:nvSpPr>
      <xdr:spPr bwMode="auto">
        <a:xfrm>
          <a:off x="46110525" y="15220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44</xdr:row>
      <xdr:rowOff>0</xdr:rowOff>
    </xdr:from>
    <xdr:ext cx="304800" cy="304800"/>
    <xdr:sp macro="" textlink="">
      <xdr:nvSpPr>
        <xdr:cNvPr id="216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9080000}"/>
            </a:ext>
          </a:extLst>
        </xdr:cNvPr>
        <xdr:cNvSpPr>
          <a:spLocks noChangeAspect="1" noChangeArrowheads="1"/>
        </xdr:cNvSpPr>
      </xdr:nvSpPr>
      <xdr:spPr bwMode="auto">
        <a:xfrm>
          <a:off x="46110525" y="15220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45</xdr:row>
      <xdr:rowOff>0</xdr:rowOff>
    </xdr:from>
    <xdr:ext cx="304800" cy="304800"/>
    <xdr:sp macro="" textlink="">
      <xdr:nvSpPr>
        <xdr:cNvPr id="217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A080000}"/>
            </a:ext>
          </a:extLst>
        </xdr:cNvPr>
        <xdr:cNvSpPr>
          <a:spLocks noChangeAspect="1" noChangeArrowheads="1"/>
        </xdr:cNvSpPr>
      </xdr:nvSpPr>
      <xdr:spPr bwMode="auto">
        <a:xfrm>
          <a:off x="46110525" y="15516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45</xdr:row>
      <xdr:rowOff>0</xdr:rowOff>
    </xdr:from>
    <xdr:ext cx="304800" cy="304800"/>
    <xdr:sp macro="" textlink="">
      <xdr:nvSpPr>
        <xdr:cNvPr id="217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B080000}"/>
            </a:ext>
          </a:extLst>
        </xdr:cNvPr>
        <xdr:cNvSpPr>
          <a:spLocks noChangeAspect="1" noChangeArrowheads="1"/>
        </xdr:cNvSpPr>
      </xdr:nvSpPr>
      <xdr:spPr bwMode="auto">
        <a:xfrm>
          <a:off x="46110525" y="15516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46</xdr:row>
      <xdr:rowOff>0</xdr:rowOff>
    </xdr:from>
    <xdr:ext cx="304800" cy="304800"/>
    <xdr:sp macro="" textlink="">
      <xdr:nvSpPr>
        <xdr:cNvPr id="217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C080000}"/>
            </a:ext>
          </a:extLst>
        </xdr:cNvPr>
        <xdr:cNvSpPr>
          <a:spLocks noChangeAspect="1" noChangeArrowheads="1"/>
        </xdr:cNvSpPr>
      </xdr:nvSpPr>
      <xdr:spPr bwMode="auto">
        <a:xfrm>
          <a:off x="46110525" y="15811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46</xdr:row>
      <xdr:rowOff>0</xdr:rowOff>
    </xdr:from>
    <xdr:ext cx="304800" cy="304800"/>
    <xdr:sp macro="" textlink="">
      <xdr:nvSpPr>
        <xdr:cNvPr id="217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D080000}"/>
            </a:ext>
          </a:extLst>
        </xdr:cNvPr>
        <xdr:cNvSpPr>
          <a:spLocks noChangeAspect="1" noChangeArrowheads="1"/>
        </xdr:cNvSpPr>
      </xdr:nvSpPr>
      <xdr:spPr bwMode="auto">
        <a:xfrm>
          <a:off x="46110525" y="15811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47</xdr:row>
      <xdr:rowOff>0</xdr:rowOff>
    </xdr:from>
    <xdr:ext cx="304800" cy="304800"/>
    <xdr:sp macro="" textlink="">
      <xdr:nvSpPr>
        <xdr:cNvPr id="217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E080000}"/>
            </a:ext>
          </a:extLst>
        </xdr:cNvPr>
        <xdr:cNvSpPr>
          <a:spLocks noChangeAspect="1" noChangeArrowheads="1"/>
        </xdr:cNvSpPr>
      </xdr:nvSpPr>
      <xdr:spPr bwMode="auto">
        <a:xfrm>
          <a:off x="46110525" y="161067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47</xdr:row>
      <xdr:rowOff>0</xdr:rowOff>
    </xdr:from>
    <xdr:ext cx="304800" cy="304800"/>
    <xdr:sp macro="" textlink="">
      <xdr:nvSpPr>
        <xdr:cNvPr id="217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F080000}"/>
            </a:ext>
          </a:extLst>
        </xdr:cNvPr>
        <xdr:cNvSpPr>
          <a:spLocks noChangeAspect="1" noChangeArrowheads="1"/>
        </xdr:cNvSpPr>
      </xdr:nvSpPr>
      <xdr:spPr bwMode="auto">
        <a:xfrm>
          <a:off x="46110525" y="161067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48</xdr:row>
      <xdr:rowOff>0</xdr:rowOff>
    </xdr:from>
    <xdr:ext cx="304800" cy="304800"/>
    <xdr:sp macro="" textlink="">
      <xdr:nvSpPr>
        <xdr:cNvPr id="217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0080000}"/>
            </a:ext>
          </a:extLst>
        </xdr:cNvPr>
        <xdr:cNvSpPr>
          <a:spLocks noChangeAspect="1" noChangeArrowheads="1"/>
        </xdr:cNvSpPr>
      </xdr:nvSpPr>
      <xdr:spPr bwMode="auto">
        <a:xfrm>
          <a:off x="46110525" y="16402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48</xdr:row>
      <xdr:rowOff>0</xdr:rowOff>
    </xdr:from>
    <xdr:ext cx="304800" cy="304800"/>
    <xdr:sp macro="" textlink="">
      <xdr:nvSpPr>
        <xdr:cNvPr id="217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1080000}"/>
            </a:ext>
          </a:extLst>
        </xdr:cNvPr>
        <xdr:cNvSpPr>
          <a:spLocks noChangeAspect="1" noChangeArrowheads="1"/>
        </xdr:cNvSpPr>
      </xdr:nvSpPr>
      <xdr:spPr bwMode="auto">
        <a:xfrm>
          <a:off x="46110525" y="16402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49</xdr:row>
      <xdr:rowOff>0</xdr:rowOff>
    </xdr:from>
    <xdr:ext cx="304800" cy="304800"/>
    <xdr:sp macro="" textlink="">
      <xdr:nvSpPr>
        <xdr:cNvPr id="217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2080000}"/>
            </a:ext>
          </a:extLst>
        </xdr:cNvPr>
        <xdr:cNvSpPr>
          <a:spLocks noChangeAspect="1" noChangeArrowheads="1"/>
        </xdr:cNvSpPr>
      </xdr:nvSpPr>
      <xdr:spPr bwMode="auto">
        <a:xfrm>
          <a:off x="46110525" y="16697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49</xdr:row>
      <xdr:rowOff>0</xdr:rowOff>
    </xdr:from>
    <xdr:ext cx="304800" cy="304800"/>
    <xdr:sp macro="" textlink="">
      <xdr:nvSpPr>
        <xdr:cNvPr id="217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3080000}"/>
            </a:ext>
          </a:extLst>
        </xdr:cNvPr>
        <xdr:cNvSpPr>
          <a:spLocks noChangeAspect="1" noChangeArrowheads="1"/>
        </xdr:cNvSpPr>
      </xdr:nvSpPr>
      <xdr:spPr bwMode="auto">
        <a:xfrm>
          <a:off x="46110525" y="16697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50</xdr:row>
      <xdr:rowOff>0</xdr:rowOff>
    </xdr:from>
    <xdr:ext cx="304800" cy="304800"/>
    <xdr:sp macro="" textlink="">
      <xdr:nvSpPr>
        <xdr:cNvPr id="218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4080000}"/>
            </a:ext>
          </a:extLst>
        </xdr:cNvPr>
        <xdr:cNvSpPr>
          <a:spLocks noChangeAspect="1" noChangeArrowheads="1"/>
        </xdr:cNvSpPr>
      </xdr:nvSpPr>
      <xdr:spPr bwMode="auto">
        <a:xfrm>
          <a:off x="46110525" y="16992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50</xdr:row>
      <xdr:rowOff>0</xdr:rowOff>
    </xdr:from>
    <xdr:ext cx="304800" cy="304800"/>
    <xdr:sp macro="" textlink="">
      <xdr:nvSpPr>
        <xdr:cNvPr id="218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5080000}"/>
            </a:ext>
          </a:extLst>
        </xdr:cNvPr>
        <xdr:cNvSpPr>
          <a:spLocks noChangeAspect="1" noChangeArrowheads="1"/>
        </xdr:cNvSpPr>
      </xdr:nvSpPr>
      <xdr:spPr bwMode="auto">
        <a:xfrm>
          <a:off x="46110525" y="16992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51</xdr:row>
      <xdr:rowOff>0</xdr:rowOff>
    </xdr:from>
    <xdr:ext cx="304800" cy="304800"/>
    <xdr:sp macro="" textlink="">
      <xdr:nvSpPr>
        <xdr:cNvPr id="218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6080000}"/>
            </a:ext>
          </a:extLst>
        </xdr:cNvPr>
        <xdr:cNvSpPr>
          <a:spLocks noChangeAspect="1" noChangeArrowheads="1"/>
        </xdr:cNvSpPr>
      </xdr:nvSpPr>
      <xdr:spPr bwMode="auto">
        <a:xfrm>
          <a:off x="46110525" y="17287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51</xdr:row>
      <xdr:rowOff>0</xdr:rowOff>
    </xdr:from>
    <xdr:ext cx="304800" cy="304800"/>
    <xdr:sp macro="" textlink="">
      <xdr:nvSpPr>
        <xdr:cNvPr id="218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7080000}"/>
            </a:ext>
          </a:extLst>
        </xdr:cNvPr>
        <xdr:cNvSpPr>
          <a:spLocks noChangeAspect="1" noChangeArrowheads="1"/>
        </xdr:cNvSpPr>
      </xdr:nvSpPr>
      <xdr:spPr bwMode="auto">
        <a:xfrm>
          <a:off x="46110525" y="17287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52</xdr:row>
      <xdr:rowOff>0</xdr:rowOff>
    </xdr:from>
    <xdr:ext cx="304800" cy="304800"/>
    <xdr:sp macro="" textlink="">
      <xdr:nvSpPr>
        <xdr:cNvPr id="218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8080000}"/>
            </a:ext>
          </a:extLst>
        </xdr:cNvPr>
        <xdr:cNvSpPr>
          <a:spLocks noChangeAspect="1" noChangeArrowheads="1"/>
        </xdr:cNvSpPr>
      </xdr:nvSpPr>
      <xdr:spPr bwMode="auto">
        <a:xfrm>
          <a:off x="46110525" y="17583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52</xdr:row>
      <xdr:rowOff>0</xdr:rowOff>
    </xdr:from>
    <xdr:ext cx="304800" cy="304800"/>
    <xdr:sp macro="" textlink="">
      <xdr:nvSpPr>
        <xdr:cNvPr id="218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9080000}"/>
            </a:ext>
          </a:extLst>
        </xdr:cNvPr>
        <xdr:cNvSpPr>
          <a:spLocks noChangeAspect="1" noChangeArrowheads="1"/>
        </xdr:cNvSpPr>
      </xdr:nvSpPr>
      <xdr:spPr bwMode="auto">
        <a:xfrm>
          <a:off x="46110525" y="17583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53</xdr:row>
      <xdr:rowOff>0</xdr:rowOff>
    </xdr:from>
    <xdr:ext cx="304800" cy="304800"/>
    <xdr:sp macro="" textlink="">
      <xdr:nvSpPr>
        <xdr:cNvPr id="218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A080000}"/>
            </a:ext>
          </a:extLst>
        </xdr:cNvPr>
        <xdr:cNvSpPr>
          <a:spLocks noChangeAspect="1" noChangeArrowheads="1"/>
        </xdr:cNvSpPr>
      </xdr:nvSpPr>
      <xdr:spPr bwMode="auto">
        <a:xfrm>
          <a:off x="46110525" y="178784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53</xdr:row>
      <xdr:rowOff>0</xdr:rowOff>
    </xdr:from>
    <xdr:ext cx="304800" cy="304800"/>
    <xdr:sp macro="" textlink="">
      <xdr:nvSpPr>
        <xdr:cNvPr id="218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B080000}"/>
            </a:ext>
          </a:extLst>
        </xdr:cNvPr>
        <xdr:cNvSpPr>
          <a:spLocks noChangeAspect="1" noChangeArrowheads="1"/>
        </xdr:cNvSpPr>
      </xdr:nvSpPr>
      <xdr:spPr bwMode="auto">
        <a:xfrm>
          <a:off x="46110525" y="178784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54</xdr:row>
      <xdr:rowOff>0</xdr:rowOff>
    </xdr:from>
    <xdr:ext cx="304800" cy="304800"/>
    <xdr:sp macro="" textlink="">
      <xdr:nvSpPr>
        <xdr:cNvPr id="218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C080000}"/>
            </a:ext>
          </a:extLst>
        </xdr:cNvPr>
        <xdr:cNvSpPr>
          <a:spLocks noChangeAspect="1" noChangeArrowheads="1"/>
        </xdr:cNvSpPr>
      </xdr:nvSpPr>
      <xdr:spPr bwMode="auto">
        <a:xfrm>
          <a:off x="46110525" y="18173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54</xdr:row>
      <xdr:rowOff>0</xdr:rowOff>
    </xdr:from>
    <xdr:ext cx="304800" cy="304800"/>
    <xdr:sp macro="" textlink="">
      <xdr:nvSpPr>
        <xdr:cNvPr id="218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D080000}"/>
            </a:ext>
          </a:extLst>
        </xdr:cNvPr>
        <xdr:cNvSpPr>
          <a:spLocks noChangeAspect="1" noChangeArrowheads="1"/>
        </xdr:cNvSpPr>
      </xdr:nvSpPr>
      <xdr:spPr bwMode="auto">
        <a:xfrm>
          <a:off x="46110525" y="18173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55</xdr:row>
      <xdr:rowOff>0</xdr:rowOff>
    </xdr:from>
    <xdr:ext cx="304800" cy="304800"/>
    <xdr:sp macro="" textlink="">
      <xdr:nvSpPr>
        <xdr:cNvPr id="219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E080000}"/>
            </a:ext>
          </a:extLst>
        </xdr:cNvPr>
        <xdr:cNvSpPr>
          <a:spLocks noChangeAspect="1" noChangeArrowheads="1"/>
        </xdr:cNvSpPr>
      </xdr:nvSpPr>
      <xdr:spPr bwMode="auto">
        <a:xfrm>
          <a:off x="46110525" y="184689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55</xdr:row>
      <xdr:rowOff>0</xdr:rowOff>
    </xdr:from>
    <xdr:ext cx="304800" cy="304800"/>
    <xdr:sp macro="" textlink="">
      <xdr:nvSpPr>
        <xdr:cNvPr id="219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F080000}"/>
            </a:ext>
          </a:extLst>
        </xdr:cNvPr>
        <xdr:cNvSpPr>
          <a:spLocks noChangeAspect="1" noChangeArrowheads="1"/>
        </xdr:cNvSpPr>
      </xdr:nvSpPr>
      <xdr:spPr bwMode="auto">
        <a:xfrm>
          <a:off x="46110525" y="184689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56</xdr:row>
      <xdr:rowOff>0</xdr:rowOff>
    </xdr:from>
    <xdr:ext cx="304800" cy="304800"/>
    <xdr:sp macro="" textlink="">
      <xdr:nvSpPr>
        <xdr:cNvPr id="219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0080000}"/>
            </a:ext>
          </a:extLst>
        </xdr:cNvPr>
        <xdr:cNvSpPr>
          <a:spLocks noChangeAspect="1" noChangeArrowheads="1"/>
        </xdr:cNvSpPr>
      </xdr:nvSpPr>
      <xdr:spPr bwMode="auto">
        <a:xfrm>
          <a:off x="46110525" y="18764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56</xdr:row>
      <xdr:rowOff>0</xdr:rowOff>
    </xdr:from>
    <xdr:ext cx="304800" cy="304800"/>
    <xdr:sp macro="" textlink="">
      <xdr:nvSpPr>
        <xdr:cNvPr id="219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1080000}"/>
            </a:ext>
          </a:extLst>
        </xdr:cNvPr>
        <xdr:cNvSpPr>
          <a:spLocks noChangeAspect="1" noChangeArrowheads="1"/>
        </xdr:cNvSpPr>
      </xdr:nvSpPr>
      <xdr:spPr bwMode="auto">
        <a:xfrm>
          <a:off x="46110525" y="18764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57</xdr:row>
      <xdr:rowOff>0</xdr:rowOff>
    </xdr:from>
    <xdr:ext cx="304800" cy="304800"/>
    <xdr:sp macro="" textlink="">
      <xdr:nvSpPr>
        <xdr:cNvPr id="219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2080000}"/>
            </a:ext>
          </a:extLst>
        </xdr:cNvPr>
        <xdr:cNvSpPr>
          <a:spLocks noChangeAspect="1" noChangeArrowheads="1"/>
        </xdr:cNvSpPr>
      </xdr:nvSpPr>
      <xdr:spPr bwMode="auto">
        <a:xfrm>
          <a:off x="46110525" y="19059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57</xdr:row>
      <xdr:rowOff>0</xdr:rowOff>
    </xdr:from>
    <xdr:ext cx="304800" cy="304800"/>
    <xdr:sp macro="" textlink="">
      <xdr:nvSpPr>
        <xdr:cNvPr id="219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3080000}"/>
            </a:ext>
          </a:extLst>
        </xdr:cNvPr>
        <xdr:cNvSpPr>
          <a:spLocks noChangeAspect="1" noChangeArrowheads="1"/>
        </xdr:cNvSpPr>
      </xdr:nvSpPr>
      <xdr:spPr bwMode="auto">
        <a:xfrm>
          <a:off x="46110525" y="19059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58</xdr:row>
      <xdr:rowOff>0</xdr:rowOff>
    </xdr:from>
    <xdr:ext cx="304800" cy="304800"/>
    <xdr:sp macro="" textlink="">
      <xdr:nvSpPr>
        <xdr:cNvPr id="219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4080000}"/>
            </a:ext>
          </a:extLst>
        </xdr:cNvPr>
        <xdr:cNvSpPr>
          <a:spLocks noChangeAspect="1" noChangeArrowheads="1"/>
        </xdr:cNvSpPr>
      </xdr:nvSpPr>
      <xdr:spPr bwMode="auto">
        <a:xfrm>
          <a:off x="46110525" y="19354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58</xdr:row>
      <xdr:rowOff>0</xdr:rowOff>
    </xdr:from>
    <xdr:ext cx="304800" cy="304800"/>
    <xdr:sp macro="" textlink="">
      <xdr:nvSpPr>
        <xdr:cNvPr id="219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5080000}"/>
            </a:ext>
          </a:extLst>
        </xdr:cNvPr>
        <xdr:cNvSpPr>
          <a:spLocks noChangeAspect="1" noChangeArrowheads="1"/>
        </xdr:cNvSpPr>
      </xdr:nvSpPr>
      <xdr:spPr bwMode="auto">
        <a:xfrm>
          <a:off x="46110525" y="19354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59</xdr:row>
      <xdr:rowOff>0</xdr:rowOff>
    </xdr:from>
    <xdr:ext cx="304800" cy="304800"/>
    <xdr:sp macro="" textlink="">
      <xdr:nvSpPr>
        <xdr:cNvPr id="219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6080000}"/>
            </a:ext>
          </a:extLst>
        </xdr:cNvPr>
        <xdr:cNvSpPr>
          <a:spLocks noChangeAspect="1" noChangeArrowheads="1"/>
        </xdr:cNvSpPr>
      </xdr:nvSpPr>
      <xdr:spPr bwMode="auto">
        <a:xfrm>
          <a:off x="46110525" y="19650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59</xdr:row>
      <xdr:rowOff>0</xdr:rowOff>
    </xdr:from>
    <xdr:ext cx="304800" cy="304800"/>
    <xdr:sp macro="" textlink="">
      <xdr:nvSpPr>
        <xdr:cNvPr id="219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7080000}"/>
            </a:ext>
          </a:extLst>
        </xdr:cNvPr>
        <xdr:cNvSpPr>
          <a:spLocks noChangeAspect="1" noChangeArrowheads="1"/>
        </xdr:cNvSpPr>
      </xdr:nvSpPr>
      <xdr:spPr bwMode="auto">
        <a:xfrm>
          <a:off x="46110525" y="19650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60</xdr:row>
      <xdr:rowOff>0</xdr:rowOff>
    </xdr:from>
    <xdr:ext cx="304800" cy="304800"/>
    <xdr:sp macro="" textlink="">
      <xdr:nvSpPr>
        <xdr:cNvPr id="220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8080000}"/>
            </a:ext>
          </a:extLst>
        </xdr:cNvPr>
        <xdr:cNvSpPr>
          <a:spLocks noChangeAspect="1" noChangeArrowheads="1"/>
        </xdr:cNvSpPr>
      </xdr:nvSpPr>
      <xdr:spPr bwMode="auto">
        <a:xfrm>
          <a:off x="46110525" y="19945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60</xdr:row>
      <xdr:rowOff>0</xdr:rowOff>
    </xdr:from>
    <xdr:ext cx="304800" cy="304800"/>
    <xdr:sp macro="" textlink="">
      <xdr:nvSpPr>
        <xdr:cNvPr id="220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9080000}"/>
            </a:ext>
          </a:extLst>
        </xdr:cNvPr>
        <xdr:cNvSpPr>
          <a:spLocks noChangeAspect="1" noChangeArrowheads="1"/>
        </xdr:cNvSpPr>
      </xdr:nvSpPr>
      <xdr:spPr bwMode="auto">
        <a:xfrm>
          <a:off x="46110525" y="19945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61</xdr:row>
      <xdr:rowOff>0</xdr:rowOff>
    </xdr:from>
    <xdr:ext cx="304800" cy="304800"/>
    <xdr:sp macro="" textlink="">
      <xdr:nvSpPr>
        <xdr:cNvPr id="220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A080000}"/>
            </a:ext>
          </a:extLst>
        </xdr:cNvPr>
        <xdr:cNvSpPr>
          <a:spLocks noChangeAspect="1" noChangeArrowheads="1"/>
        </xdr:cNvSpPr>
      </xdr:nvSpPr>
      <xdr:spPr bwMode="auto">
        <a:xfrm>
          <a:off x="46110525" y="20240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61</xdr:row>
      <xdr:rowOff>0</xdr:rowOff>
    </xdr:from>
    <xdr:ext cx="304800" cy="304800"/>
    <xdr:sp macro="" textlink="">
      <xdr:nvSpPr>
        <xdr:cNvPr id="220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B080000}"/>
            </a:ext>
          </a:extLst>
        </xdr:cNvPr>
        <xdr:cNvSpPr>
          <a:spLocks noChangeAspect="1" noChangeArrowheads="1"/>
        </xdr:cNvSpPr>
      </xdr:nvSpPr>
      <xdr:spPr bwMode="auto">
        <a:xfrm>
          <a:off x="46110525" y="20240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62</xdr:row>
      <xdr:rowOff>0</xdr:rowOff>
    </xdr:from>
    <xdr:ext cx="304800" cy="304800"/>
    <xdr:sp macro="" textlink="">
      <xdr:nvSpPr>
        <xdr:cNvPr id="220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C080000}"/>
            </a:ext>
          </a:extLst>
        </xdr:cNvPr>
        <xdr:cNvSpPr>
          <a:spLocks noChangeAspect="1" noChangeArrowheads="1"/>
        </xdr:cNvSpPr>
      </xdr:nvSpPr>
      <xdr:spPr bwMode="auto">
        <a:xfrm>
          <a:off x="46110525" y="20535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62</xdr:row>
      <xdr:rowOff>0</xdr:rowOff>
    </xdr:from>
    <xdr:ext cx="304800" cy="304800"/>
    <xdr:sp macro="" textlink="">
      <xdr:nvSpPr>
        <xdr:cNvPr id="220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D080000}"/>
            </a:ext>
          </a:extLst>
        </xdr:cNvPr>
        <xdr:cNvSpPr>
          <a:spLocks noChangeAspect="1" noChangeArrowheads="1"/>
        </xdr:cNvSpPr>
      </xdr:nvSpPr>
      <xdr:spPr bwMode="auto">
        <a:xfrm>
          <a:off x="46110525" y="20535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63</xdr:row>
      <xdr:rowOff>0</xdr:rowOff>
    </xdr:from>
    <xdr:ext cx="304800" cy="304800"/>
    <xdr:sp macro="" textlink="">
      <xdr:nvSpPr>
        <xdr:cNvPr id="220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E080000}"/>
            </a:ext>
          </a:extLst>
        </xdr:cNvPr>
        <xdr:cNvSpPr>
          <a:spLocks noChangeAspect="1" noChangeArrowheads="1"/>
        </xdr:cNvSpPr>
      </xdr:nvSpPr>
      <xdr:spPr bwMode="auto">
        <a:xfrm>
          <a:off x="46110525" y="208311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63</xdr:row>
      <xdr:rowOff>0</xdr:rowOff>
    </xdr:from>
    <xdr:ext cx="304800" cy="304800"/>
    <xdr:sp macro="" textlink="">
      <xdr:nvSpPr>
        <xdr:cNvPr id="220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F080000}"/>
            </a:ext>
          </a:extLst>
        </xdr:cNvPr>
        <xdr:cNvSpPr>
          <a:spLocks noChangeAspect="1" noChangeArrowheads="1"/>
        </xdr:cNvSpPr>
      </xdr:nvSpPr>
      <xdr:spPr bwMode="auto">
        <a:xfrm>
          <a:off x="46110525" y="208311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64</xdr:row>
      <xdr:rowOff>0</xdr:rowOff>
    </xdr:from>
    <xdr:ext cx="304800" cy="304800"/>
    <xdr:sp macro="" textlink="">
      <xdr:nvSpPr>
        <xdr:cNvPr id="220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0080000}"/>
            </a:ext>
          </a:extLst>
        </xdr:cNvPr>
        <xdr:cNvSpPr>
          <a:spLocks noChangeAspect="1" noChangeArrowheads="1"/>
        </xdr:cNvSpPr>
      </xdr:nvSpPr>
      <xdr:spPr bwMode="auto">
        <a:xfrm>
          <a:off x="46110525" y="21126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64</xdr:row>
      <xdr:rowOff>0</xdr:rowOff>
    </xdr:from>
    <xdr:ext cx="304800" cy="304800"/>
    <xdr:sp macro="" textlink="">
      <xdr:nvSpPr>
        <xdr:cNvPr id="220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1080000}"/>
            </a:ext>
          </a:extLst>
        </xdr:cNvPr>
        <xdr:cNvSpPr>
          <a:spLocks noChangeAspect="1" noChangeArrowheads="1"/>
        </xdr:cNvSpPr>
      </xdr:nvSpPr>
      <xdr:spPr bwMode="auto">
        <a:xfrm>
          <a:off x="46110525" y="21126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65</xdr:row>
      <xdr:rowOff>0</xdr:rowOff>
    </xdr:from>
    <xdr:ext cx="304800" cy="304800"/>
    <xdr:sp macro="" textlink="">
      <xdr:nvSpPr>
        <xdr:cNvPr id="221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2080000}"/>
            </a:ext>
          </a:extLst>
        </xdr:cNvPr>
        <xdr:cNvSpPr>
          <a:spLocks noChangeAspect="1" noChangeArrowheads="1"/>
        </xdr:cNvSpPr>
      </xdr:nvSpPr>
      <xdr:spPr bwMode="auto">
        <a:xfrm>
          <a:off x="46110525" y="214217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65</xdr:row>
      <xdr:rowOff>0</xdr:rowOff>
    </xdr:from>
    <xdr:ext cx="304800" cy="304800"/>
    <xdr:sp macro="" textlink="">
      <xdr:nvSpPr>
        <xdr:cNvPr id="221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3080000}"/>
            </a:ext>
          </a:extLst>
        </xdr:cNvPr>
        <xdr:cNvSpPr>
          <a:spLocks noChangeAspect="1" noChangeArrowheads="1"/>
        </xdr:cNvSpPr>
      </xdr:nvSpPr>
      <xdr:spPr bwMode="auto">
        <a:xfrm>
          <a:off x="46110525" y="214217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66</xdr:row>
      <xdr:rowOff>0</xdr:rowOff>
    </xdr:from>
    <xdr:ext cx="304800" cy="304800"/>
    <xdr:sp macro="" textlink="">
      <xdr:nvSpPr>
        <xdr:cNvPr id="221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4080000}"/>
            </a:ext>
          </a:extLst>
        </xdr:cNvPr>
        <xdr:cNvSpPr>
          <a:spLocks noChangeAspect="1" noChangeArrowheads="1"/>
        </xdr:cNvSpPr>
      </xdr:nvSpPr>
      <xdr:spPr bwMode="auto">
        <a:xfrm>
          <a:off x="46110525" y="2171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66</xdr:row>
      <xdr:rowOff>0</xdr:rowOff>
    </xdr:from>
    <xdr:ext cx="304800" cy="304800"/>
    <xdr:sp macro="" textlink="">
      <xdr:nvSpPr>
        <xdr:cNvPr id="221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5080000}"/>
            </a:ext>
          </a:extLst>
        </xdr:cNvPr>
        <xdr:cNvSpPr>
          <a:spLocks noChangeAspect="1" noChangeArrowheads="1"/>
        </xdr:cNvSpPr>
      </xdr:nvSpPr>
      <xdr:spPr bwMode="auto">
        <a:xfrm>
          <a:off x="46110525" y="2171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67</xdr:row>
      <xdr:rowOff>0</xdr:rowOff>
    </xdr:from>
    <xdr:ext cx="304800" cy="304800"/>
    <xdr:sp macro="" textlink="">
      <xdr:nvSpPr>
        <xdr:cNvPr id="221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6080000}"/>
            </a:ext>
          </a:extLst>
        </xdr:cNvPr>
        <xdr:cNvSpPr>
          <a:spLocks noChangeAspect="1" noChangeArrowheads="1"/>
        </xdr:cNvSpPr>
      </xdr:nvSpPr>
      <xdr:spPr bwMode="auto">
        <a:xfrm>
          <a:off x="46110525" y="220122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67</xdr:row>
      <xdr:rowOff>0</xdr:rowOff>
    </xdr:from>
    <xdr:ext cx="304800" cy="304800"/>
    <xdr:sp macro="" textlink="">
      <xdr:nvSpPr>
        <xdr:cNvPr id="221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7080000}"/>
            </a:ext>
          </a:extLst>
        </xdr:cNvPr>
        <xdr:cNvSpPr>
          <a:spLocks noChangeAspect="1" noChangeArrowheads="1"/>
        </xdr:cNvSpPr>
      </xdr:nvSpPr>
      <xdr:spPr bwMode="auto">
        <a:xfrm>
          <a:off x="46110525" y="220122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68</xdr:row>
      <xdr:rowOff>0</xdr:rowOff>
    </xdr:from>
    <xdr:ext cx="304800" cy="304800"/>
    <xdr:sp macro="" textlink="">
      <xdr:nvSpPr>
        <xdr:cNvPr id="221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8080000}"/>
            </a:ext>
          </a:extLst>
        </xdr:cNvPr>
        <xdr:cNvSpPr>
          <a:spLocks noChangeAspect="1" noChangeArrowheads="1"/>
        </xdr:cNvSpPr>
      </xdr:nvSpPr>
      <xdr:spPr bwMode="auto">
        <a:xfrm>
          <a:off x="46110525" y="22307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68</xdr:row>
      <xdr:rowOff>0</xdr:rowOff>
    </xdr:from>
    <xdr:ext cx="304800" cy="304800"/>
    <xdr:sp macro="" textlink="">
      <xdr:nvSpPr>
        <xdr:cNvPr id="221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9080000}"/>
            </a:ext>
          </a:extLst>
        </xdr:cNvPr>
        <xdr:cNvSpPr>
          <a:spLocks noChangeAspect="1" noChangeArrowheads="1"/>
        </xdr:cNvSpPr>
      </xdr:nvSpPr>
      <xdr:spPr bwMode="auto">
        <a:xfrm>
          <a:off x="46110525" y="22307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69</xdr:row>
      <xdr:rowOff>0</xdr:rowOff>
    </xdr:from>
    <xdr:ext cx="304800" cy="304800"/>
    <xdr:sp macro="" textlink="">
      <xdr:nvSpPr>
        <xdr:cNvPr id="221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A080000}"/>
            </a:ext>
          </a:extLst>
        </xdr:cNvPr>
        <xdr:cNvSpPr>
          <a:spLocks noChangeAspect="1" noChangeArrowheads="1"/>
        </xdr:cNvSpPr>
      </xdr:nvSpPr>
      <xdr:spPr bwMode="auto">
        <a:xfrm>
          <a:off x="46110525" y="22602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69</xdr:row>
      <xdr:rowOff>0</xdr:rowOff>
    </xdr:from>
    <xdr:ext cx="304800" cy="304800"/>
    <xdr:sp macro="" textlink="">
      <xdr:nvSpPr>
        <xdr:cNvPr id="221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B080000}"/>
            </a:ext>
          </a:extLst>
        </xdr:cNvPr>
        <xdr:cNvSpPr>
          <a:spLocks noChangeAspect="1" noChangeArrowheads="1"/>
        </xdr:cNvSpPr>
      </xdr:nvSpPr>
      <xdr:spPr bwMode="auto">
        <a:xfrm>
          <a:off x="46110525" y="22602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70</xdr:row>
      <xdr:rowOff>0</xdr:rowOff>
    </xdr:from>
    <xdr:ext cx="304800" cy="304800"/>
    <xdr:sp macro="" textlink="">
      <xdr:nvSpPr>
        <xdr:cNvPr id="222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C080000}"/>
            </a:ext>
          </a:extLst>
        </xdr:cNvPr>
        <xdr:cNvSpPr>
          <a:spLocks noChangeAspect="1" noChangeArrowheads="1"/>
        </xdr:cNvSpPr>
      </xdr:nvSpPr>
      <xdr:spPr bwMode="auto">
        <a:xfrm>
          <a:off x="46110525" y="22898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70</xdr:row>
      <xdr:rowOff>0</xdr:rowOff>
    </xdr:from>
    <xdr:ext cx="304800" cy="304800"/>
    <xdr:sp macro="" textlink="">
      <xdr:nvSpPr>
        <xdr:cNvPr id="222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D080000}"/>
            </a:ext>
          </a:extLst>
        </xdr:cNvPr>
        <xdr:cNvSpPr>
          <a:spLocks noChangeAspect="1" noChangeArrowheads="1"/>
        </xdr:cNvSpPr>
      </xdr:nvSpPr>
      <xdr:spPr bwMode="auto">
        <a:xfrm>
          <a:off x="46110525" y="22898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71</xdr:row>
      <xdr:rowOff>0</xdr:rowOff>
    </xdr:from>
    <xdr:ext cx="304800" cy="304800"/>
    <xdr:sp macro="" textlink="">
      <xdr:nvSpPr>
        <xdr:cNvPr id="222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E080000}"/>
            </a:ext>
          </a:extLst>
        </xdr:cNvPr>
        <xdr:cNvSpPr>
          <a:spLocks noChangeAspect="1" noChangeArrowheads="1"/>
        </xdr:cNvSpPr>
      </xdr:nvSpPr>
      <xdr:spPr bwMode="auto">
        <a:xfrm>
          <a:off x="46110525" y="23193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71</xdr:row>
      <xdr:rowOff>0</xdr:rowOff>
    </xdr:from>
    <xdr:ext cx="304800" cy="304800"/>
    <xdr:sp macro="" textlink="">
      <xdr:nvSpPr>
        <xdr:cNvPr id="222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F080000}"/>
            </a:ext>
          </a:extLst>
        </xdr:cNvPr>
        <xdr:cNvSpPr>
          <a:spLocks noChangeAspect="1" noChangeArrowheads="1"/>
        </xdr:cNvSpPr>
      </xdr:nvSpPr>
      <xdr:spPr bwMode="auto">
        <a:xfrm>
          <a:off x="46110525" y="23193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22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0080000}"/>
            </a:ext>
          </a:extLst>
        </xdr:cNvPr>
        <xdr:cNvSpPr>
          <a:spLocks noChangeAspect="1" noChangeArrowheads="1"/>
        </xdr:cNvSpPr>
      </xdr:nvSpPr>
      <xdr:spPr bwMode="auto">
        <a:xfrm>
          <a:off x="46110525" y="23488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22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1080000}"/>
            </a:ext>
          </a:extLst>
        </xdr:cNvPr>
        <xdr:cNvSpPr>
          <a:spLocks noChangeAspect="1" noChangeArrowheads="1"/>
        </xdr:cNvSpPr>
      </xdr:nvSpPr>
      <xdr:spPr bwMode="auto">
        <a:xfrm>
          <a:off x="46110525" y="23488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22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2080000}"/>
            </a:ext>
          </a:extLst>
        </xdr:cNvPr>
        <xdr:cNvSpPr>
          <a:spLocks noChangeAspect="1" noChangeArrowheads="1"/>
        </xdr:cNvSpPr>
      </xdr:nvSpPr>
      <xdr:spPr bwMode="auto">
        <a:xfrm>
          <a:off x="46110525" y="237839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22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3080000}"/>
            </a:ext>
          </a:extLst>
        </xdr:cNvPr>
        <xdr:cNvSpPr>
          <a:spLocks noChangeAspect="1" noChangeArrowheads="1"/>
        </xdr:cNvSpPr>
      </xdr:nvSpPr>
      <xdr:spPr bwMode="auto">
        <a:xfrm>
          <a:off x="46110525" y="237839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22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4080000}"/>
            </a:ext>
          </a:extLst>
        </xdr:cNvPr>
        <xdr:cNvSpPr>
          <a:spLocks noChangeAspect="1" noChangeArrowheads="1"/>
        </xdr:cNvSpPr>
      </xdr:nvSpPr>
      <xdr:spPr bwMode="auto">
        <a:xfrm>
          <a:off x="46110525" y="2407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22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5080000}"/>
            </a:ext>
          </a:extLst>
        </xdr:cNvPr>
        <xdr:cNvSpPr>
          <a:spLocks noChangeAspect="1" noChangeArrowheads="1"/>
        </xdr:cNvSpPr>
      </xdr:nvSpPr>
      <xdr:spPr bwMode="auto">
        <a:xfrm>
          <a:off x="46110525" y="2407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23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6080000}"/>
            </a:ext>
          </a:extLst>
        </xdr:cNvPr>
        <xdr:cNvSpPr>
          <a:spLocks noChangeAspect="1" noChangeArrowheads="1"/>
        </xdr:cNvSpPr>
      </xdr:nvSpPr>
      <xdr:spPr bwMode="auto">
        <a:xfrm>
          <a:off x="46110525" y="243744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23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7080000}"/>
            </a:ext>
          </a:extLst>
        </xdr:cNvPr>
        <xdr:cNvSpPr>
          <a:spLocks noChangeAspect="1" noChangeArrowheads="1"/>
        </xdr:cNvSpPr>
      </xdr:nvSpPr>
      <xdr:spPr bwMode="auto">
        <a:xfrm>
          <a:off x="46110525" y="243744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23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8080000}"/>
            </a:ext>
          </a:extLst>
        </xdr:cNvPr>
        <xdr:cNvSpPr>
          <a:spLocks noChangeAspect="1" noChangeArrowheads="1"/>
        </xdr:cNvSpPr>
      </xdr:nvSpPr>
      <xdr:spPr bwMode="auto">
        <a:xfrm>
          <a:off x="46110525" y="24669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23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9080000}"/>
            </a:ext>
          </a:extLst>
        </xdr:cNvPr>
        <xdr:cNvSpPr>
          <a:spLocks noChangeAspect="1" noChangeArrowheads="1"/>
        </xdr:cNvSpPr>
      </xdr:nvSpPr>
      <xdr:spPr bwMode="auto">
        <a:xfrm>
          <a:off x="46110525" y="24669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23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A080000}"/>
            </a:ext>
          </a:extLst>
        </xdr:cNvPr>
        <xdr:cNvSpPr>
          <a:spLocks noChangeAspect="1" noChangeArrowheads="1"/>
        </xdr:cNvSpPr>
      </xdr:nvSpPr>
      <xdr:spPr bwMode="auto">
        <a:xfrm>
          <a:off x="46110525" y="24965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23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B080000}"/>
            </a:ext>
          </a:extLst>
        </xdr:cNvPr>
        <xdr:cNvSpPr>
          <a:spLocks noChangeAspect="1" noChangeArrowheads="1"/>
        </xdr:cNvSpPr>
      </xdr:nvSpPr>
      <xdr:spPr bwMode="auto">
        <a:xfrm>
          <a:off x="46110525" y="24965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23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C080000}"/>
            </a:ext>
          </a:extLst>
        </xdr:cNvPr>
        <xdr:cNvSpPr>
          <a:spLocks noChangeAspect="1" noChangeArrowheads="1"/>
        </xdr:cNvSpPr>
      </xdr:nvSpPr>
      <xdr:spPr bwMode="auto">
        <a:xfrm>
          <a:off x="46110525" y="25260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23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D080000}"/>
            </a:ext>
          </a:extLst>
        </xdr:cNvPr>
        <xdr:cNvSpPr>
          <a:spLocks noChangeAspect="1" noChangeArrowheads="1"/>
        </xdr:cNvSpPr>
      </xdr:nvSpPr>
      <xdr:spPr bwMode="auto">
        <a:xfrm>
          <a:off x="46110525" y="25260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23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E080000}"/>
            </a:ext>
          </a:extLst>
        </xdr:cNvPr>
        <xdr:cNvSpPr>
          <a:spLocks noChangeAspect="1" noChangeArrowheads="1"/>
        </xdr:cNvSpPr>
      </xdr:nvSpPr>
      <xdr:spPr bwMode="auto">
        <a:xfrm>
          <a:off x="46110525" y="25555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23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F080000}"/>
            </a:ext>
          </a:extLst>
        </xdr:cNvPr>
        <xdr:cNvSpPr>
          <a:spLocks noChangeAspect="1" noChangeArrowheads="1"/>
        </xdr:cNvSpPr>
      </xdr:nvSpPr>
      <xdr:spPr bwMode="auto">
        <a:xfrm>
          <a:off x="46110525" y="25555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24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0080000}"/>
            </a:ext>
          </a:extLst>
        </xdr:cNvPr>
        <xdr:cNvSpPr>
          <a:spLocks noChangeAspect="1" noChangeArrowheads="1"/>
        </xdr:cNvSpPr>
      </xdr:nvSpPr>
      <xdr:spPr bwMode="auto">
        <a:xfrm>
          <a:off x="46110525" y="25850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24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1080000}"/>
            </a:ext>
          </a:extLst>
        </xdr:cNvPr>
        <xdr:cNvSpPr>
          <a:spLocks noChangeAspect="1" noChangeArrowheads="1"/>
        </xdr:cNvSpPr>
      </xdr:nvSpPr>
      <xdr:spPr bwMode="auto">
        <a:xfrm>
          <a:off x="46110525" y="25850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24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2080000}"/>
            </a:ext>
          </a:extLst>
        </xdr:cNvPr>
        <xdr:cNvSpPr>
          <a:spLocks noChangeAspect="1" noChangeArrowheads="1"/>
        </xdr:cNvSpPr>
      </xdr:nvSpPr>
      <xdr:spPr bwMode="auto">
        <a:xfrm>
          <a:off x="46110525" y="261461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24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3080000}"/>
            </a:ext>
          </a:extLst>
        </xdr:cNvPr>
        <xdr:cNvSpPr>
          <a:spLocks noChangeAspect="1" noChangeArrowheads="1"/>
        </xdr:cNvSpPr>
      </xdr:nvSpPr>
      <xdr:spPr bwMode="auto">
        <a:xfrm>
          <a:off x="46110525" y="261461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24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4080000}"/>
            </a:ext>
          </a:extLst>
        </xdr:cNvPr>
        <xdr:cNvSpPr>
          <a:spLocks noChangeAspect="1" noChangeArrowheads="1"/>
        </xdr:cNvSpPr>
      </xdr:nvSpPr>
      <xdr:spPr bwMode="auto">
        <a:xfrm>
          <a:off x="46110525" y="26441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24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5080000}"/>
            </a:ext>
          </a:extLst>
        </xdr:cNvPr>
        <xdr:cNvSpPr>
          <a:spLocks noChangeAspect="1" noChangeArrowheads="1"/>
        </xdr:cNvSpPr>
      </xdr:nvSpPr>
      <xdr:spPr bwMode="auto">
        <a:xfrm>
          <a:off x="46110525" y="26441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24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6080000}"/>
            </a:ext>
          </a:extLst>
        </xdr:cNvPr>
        <xdr:cNvSpPr>
          <a:spLocks noChangeAspect="1" noChangeArrowheads="1"/>
        </xdr:cNvSpPr>
      </xdr:nvSpPr>
      <xdr:spPr bwMode="auto">
        <a:xfrm>
          <a:off x="46110525" y="267366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24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7080000}"/>
            </a:ext>
          </a:extLst>
        </xdr:cNvPr>
        <xdr:cNvSpPr>
          <a:spLocks noChangeAspect="1" noChangeArrowheads="1"/>
        </xdr:cNvSpPr>
      </xdr:nvSpPr>
      <xdr:spPr bwMode="auto">
        <a:xfrm>
          <a:off x="46110525" y="267366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24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8080000}"/>
            </a:ext>
          </a:extLst>
        </xdr:cNvPr>
        <xdr:cNvSpPr>
          <a:spLocks noChangeAspect="1" noChangeArrowheads="1"/>
        </xdr:cNvSpPr>
      </xdr:nvSpPr>
      <xdr:spPr bwMode="auto">
        <a:xfrm>
          <a:off x="46110525" y="27031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24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9080000}"/>
            </a:ext>
          </a:extLst>
        </xdr:cNvPr>
        <xdr:cNvSpPr>
          <a:spLocks noChangeAspect="1" noChangeArrowheads="1"/>
        </xdr:cNvSpPr>
      </xdr:nvSpPr>
      <xdr:spPr bwMode="auto">
        <a:xfrm>
          <a:off x="46110525" y="27031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25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A080000}"/>
            </a:ext>
          </a:extLst>
        </xdr:cNvPr>
        <xdr:cNvSpPr>
          <a:spLocks noChangeAspect="1" noChangeArrowheads="1"/>
        </xdr:cNvSpPr>
      </xdr:nvSpPr>
      <xdr:spPr bwMode="auto">
        <a:xfrm>
          <a:off x="46110525" y="27327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25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B080000}"/>
            </a:ext>
          </a:extLst>
        </xdr:cNvPr>
        <xdr:cNvSpPr>
          <a:spLocks noChangeAspect="1" noChangeArrowheads="1"/>
        </xdr:cNvSpPr>
      </xdr:nvSpPr>
      <xdr:spPr bwMode="auto">
        <a:xfrm>
          <a:off x="46110525" y="27327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25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C080000}"/>
            </a:ext>
          </a:extLst>
        </xdr:cNvPr>
        <xdr:cNvSpPr>
          <a:spLocks noChangeAspect="1" noChangeArrowheads="1"/>
        </xdr:cNvSpPr>
      </xdr:nvSpPr>
      <xdr:spPr bwMode="auto">
        <a:xfrm>
          <a:off x="46110525" y="2762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25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D080000}"/>
            </a:ext>
          </a:extLst>
        </xdr:cNvPr>
        <xdr:cNvSpPr>
          <a:spLocks noChangeAspect="1" noChangeArrowheads="1"/>
        </xdr:cNvSpPr>
      </xdr:nvSpPr>
      <xdr:spPr bwMode="auto">
        <a:xfrm>
          <a:off x="46110525" y="2762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25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E080000}"/>
            </a:ext>
          </a:extLst>
        </xdr:cNvPr>
        <xdr:cNvSpPr>
          <a:spLocks noChangeAspect="1" noChangeArrowheads="1"/>
        </xdr:cNvSpPr>
      </xdr:nvSpPr>
      <xdr:spPr bwMode="auto">
        <a:xfrm>
          <a:off x="46110525" y="279177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25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F080000}"/>
            </a:ext>
          </a:extLst>
        </xdr:cNvPr>
        <xdr:cNvSpPr>
          <a:spLocks noChangeAspect="1" noChangeArrowheads="1"/>
        </xdr:cNvSpPr>
      </xdr:nvSpPr>
      <xdr:spPr bwMode="auto">
        <a:xfrm>
          <a:off x="46110525" y="279177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25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0080000}"/>
            </a:ext>
          </a:extLst>
        </xdr:cNvPr>
        <xdr:cNvSpPr>
          <a:spLocks noChangeAspect="1" noChangeArrowheads="1"/>
        </xdr:cNvSpPr>
      </xdr:nvSpPr>
      <xdr:spPr bwMode="auto">
        <a:xfrm>
          <a:off x="46110525" y="28213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25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1080000}"/>
            </a:ext>
          </a:extLst>
        </xdr:cNvPr>
        <xdr:cNvSpPr>
          <a:spLocks noChangeAspect="1" noChangeArrowheads="1"/>
        </xdr:cNvSpPr>
      </xdr:nvSpPr>
      <xdr:spPr bwMode="auto">
        <a:xfrm>
          <a:off x="46110525" y="28213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25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2080000}"/>
            </a:ext>
          </a:extLst>
        </xdr:cNvPr>
        <xdr:cNvSpPr>
          <a:spLocks noChangeAspect="1" noChangeArrowheads="1"/>
        </xdr:cNvSpPr>
      </xdr:nvSpPr>
      <xdr:spPr bwMode="auto">
        <a:xfrm>
          <a:off x="46110525" y="28508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25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3080000}"/>
            </a:ext>
          </a:extLst>
        </xdr:cNvPr>
        <xdr:cNvSpPr>
          <a:spLocks noChangeAspect="1" noChangeArrowheads="1"/>
        </xdr:cNvSpPr>
      </xdr:nvSpPr>
      <xdr:spPr bwMode="auto">
        <a:xfrm>
          <a:off x="46110525" y="28508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26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4080000}"/>
            </a:ext>
          </a:extLst>
        </xdr:cNvPr>
        <xdr:cNvSpPr>
          <a:spLocks noChangeAspect="1" noChangeArrowheads="1"/>
        </xdr:cNvSpPr>
      </xdr:nvSpPr>
      <xdr:spPr bwMode="auto">
        <a:xfrm>
          <a:off x="46110525" y="28803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26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5080000}"/>
            </a:ext>
          </a:extLst>
        </xdr:cNvPr>
        <xdr:cNvSpPr>
          <a:spLocks noChangeAspect="1" noChangeArrowheads="1"/>
        </xdr:cNvSpPr>
      </xdr:nvSpPr>
      <xdr:spPr bwMode="auto">
        <a:xfrm>
          <a:off x="46110525" y="28803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26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6080000}"/>
            </a:ext>
          </a:extLst>
        </xdr:cNvPr>
        <xdr:cNvSpPr>
          <a:spLocks noChangeAspect="1" noChangeArrowheads="1"/>
        </xdr:cNvSpPr>
      </xdr:nvSpPr>
      <xdr:spPr bwMode="auto">
        <a:xfrm>
          <a:off x="46110525" y="29098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26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7080000}"/>
            </a:ext>
          </a:extLst>
        </xdr:cNvPr>
        <xdr:cNvSpPr>
          <a:spLocks noChangeAspect="1" noChangeArrowheads="1"/>
        </xdr:cNvSpPr>
      </xdr:nvSpPr>
      <xdr:spPr bwMode="auto">
        <a:xfrm>
          <a:off x="46110525" y="29098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26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8080000}"/>
            </a:ext>
          </a:extLst>
        </xdr:cNvPr>
        <xdr:cNvSpPr>
          <a:spLocks noChangeAspect="1" noChangeArrowheads="1"/>
        </xdr:cNvSpPr>
      </xdr:nvSpPr>
      <xdr:spPr bwMode="auto">
        <a:xfrm>
          <a:off x="46110525" y="29394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26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9080000}"/>
            </a:ext>
          </a:extLst>
        </xdr:cNvPr>
        <xdr:cNvSpPr>
          <a:spLocks noChangeAspect="1" noChangeArrowheads="1"/>
        </xdr:cNvSpPr>
      </xdr:nvSpPr>
      <xdr:spPr bwMode="auto">
        <a:xfrm>
          <a:off x="46110525" y="29394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26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A080000}"/>
            </a:ext>
          </a:extLst>
        </xdr:cNvPr>
        <xdr:cNvSpPr>
          <a:spLocks noChangeAspect="1" noChangeArrowheads="1"/>
        </xdr:cNvSpPr>
      </xdr:nvSpPr>
      <xdr:spPr bwMode="auto">
        <a:xfrm>
          <a:off x="46110525" y="296894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26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B080000}"/>
            </a:ext>
          </a:extLst>
        </xdr:cNvPr>
        <xdr:cNvSpPr>
          <a:spLocks noChangeAspect="1" noChangeArrowheads="1"/>
        </xdr:cNvSpPr>
      </xdr:nvSpPr>
      <xdr:spPr bwMode="auto">
        <a:xfrm>
          <a:off x="46110525" y="296894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26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C080000}"/>
            </a:ext>
          </a:extLst>
        </xdr:cNvPr>
        <xdr:cNvSpPr>
          <a:spLocks noChangeAspect="1" noChangeArrowheads="1"/>
        </xdr:cNvSpPr>
      </xdr:nvSpPr>
      <xdr:spPr bwMode="auto">
        <a:xfrm>
          <a:off x="46110525" y="29984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26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D080000}"/>
            </a:ext>
          </a:extLst>
        </xdr:cNvPr>
        <xdr:cNvSpPr>
          <a:spLocks noChangeAspect="1" noChangeArrowheads="1"/>
        </xdr:cNvSpPr>
      </xdr:nvSpPr>
      <xdr:spPr bwMode="auto">
        <a:xfrm>
          <a:off x="46110525" y="29984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27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E080000}"/>
            </a:ext>
          </a:extLst>
        </xdr:cNvPr>
        <xdr:cNvSpPr>
          <a:spLocks noChangeAspect="1" noChangeArrowheads="1"/>
        </xdr:cNvSpPr>
      </xdr:nvSpPr>
      <xdr:spPr bwMode="auto">
        <a:xfrm>
          <a:off x="46110525" y="302799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27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F080000}"/>
            </a:ext>
          </a:extLst>
        </xdr:cNvPr>
        <xdr:cNvSpPr>
          <a:spLocks noChangeAspect="1" noChangeArrowheads="1"/>
        </xdr:cNvSpPr>
      </xdr:nvSpPr>
      <xdr:spPr bwMode="auto">
        <a:xfrm>
          <a:off x="46110525" y="302799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27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0080000}"/>
            </a:ext>
          </a:extLst>
        </xdr:cNvPr>
        <xdr:cNvSpPr>
          <a:spLocks noChangeAspect="1" noChangeArrowheads="1"/>
        </xdr:cNvSpPr>
      </xdr:nvSpPr>
      <xdr:spPr bwMode="auto">
        <a:xfrm>
          <a:off x="46110525" y="30575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27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1080000}"/>
            </a:ext>
          </a:extLst>
        </xdr:cNvPr>
        <xdr:cNvSpPr>
          <a:spLocks noChangeAspect="1" noChangeArrowheads="1"/>
        </xdr:cNvSpPr>
      </xdr:nvSpPr>
      <xdr:spPr bwMode="auto">
        <a:xfrm>
          <a:off x="46110525" y="30575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27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2080000}"/>
            </a:ext>
          </a:extLst>
        </xdr:cNvPr>
        <xdr:cNvSpPr>
          <a:spLocks noChangeAspect="1" noChangeArrowheads="1"/>
        </xdr:cNvSpPr>
      </xdr:nvSpPr>
      <xdr:spPr bwMode="auto">
        <a:xfrm>
          <a:off x="46110525" y="30870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27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3080000}"/>
            </a:ext>
          </a:extLst>
        </xdr:cNvPr>
        <xdr:cNvSpPr>
          <a:spLocks noChangeAspect="1" noChangeArrowheads="1"/>
        </xdr:cNvSpPr>
      </xdr:nvSpPr>
      <xdr:spPr bwMode="auto">
        <a:xfrm>
          <a:off x="46110525" y="30870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27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4080000}"/>
            </a:ext>
          </a:extLst>
        </xdr:cNvPr>
        <xdr:cNvSpPr>
          <a:spLocks noChangeAspect="1" noChangeArrowheads="1"/>
        </xdr:cNvSpPr>
      </xdr:nvSpPr>
      <xdr:spPr bwMode="auto">
        <a:xfrm>
          <a:off x="46110525" y="31165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27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5080000}"/>
            </a:ext>
          </a:extLst>
        </xdr:cNvPr>
        <xdr:cNvSpPr>
          <a:spLocks noChangeAspect="1" noChangeArrowheads="1"/>
        </xdr:cNvSpPr>
      </xdr:nvSpPr>
      <xdr:spPr bwMode="auto">
        <a:xfrm>
          <a:off x="46110525" y="31165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27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6080000}"/>
            </a:ext>
          </a:extLst>
        </xdr:cNvPr>
        <xdr:cNvSpPr>
          <a:spLocks noChangeAspect="1" noChangeArrowheads="1"/>
        </xdr:cNvSpPr>
      </xdr:nvSpPr>
      <xdr:spPr bwMode="auto">
        <a:xfrm>
          <a:off x="46110525" y="31461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27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7080000}"/>
            </a:ext>
          </a:extLst>
        </xdr:cNvPr>
        <xdr:cNvSpPr>
          <a:spLocks noChangeAspect="1" noChangeArrowheads="1"/>
        </xdr:cNvSpPr>
      </xdr:nvSpPr>
      <xdr:spPr bwMode="auto">
        <a:xfrm>
          <a:off x="46110525" y="31461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28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8080000}"/>
            </a:ext>
          </a:extLst>
        </xdr:cNvPr>
        <xdr:cNvSpPr>
          <a:spLocks noChangeAspect="1" noChangeArrowheads="1"/>
        </xdr:cNvSpPr>
      </xdr:nvSpPr>
      <xdr:spPr bwMode="auto">
        <a:xfrm>
          <a:off x="46110525" y="31756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28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9080000}"/>
            </a:ext>
          </a:extLst>
        </xdr:cNvPr>
        <xdr:cNvSpPr>
          <a:spLocks noChangeAspect="1" noChangeArrowheads="1"/>
        </xdr:cNvSpPr>
      </xdr:nvSpPr>
      <xdr:spPr bwMode="auto">
        <a:xfrm>
          <a:off x="46110525" y="31756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28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A080000}"/>
            </a:ext>
          </a:extLst>
        </xdr:cNvPr>
        <xdr:cNvSpPr>
          <a:spLocks noChangeAspect="1" noChangeArrowheads="1"/>
        </xdr:cNvSpPr>
      </xdr:nvSpPr>
      <xdr:spPr bwMode="auto">
        <a:xfrm>
          <a:off x="46110525" y="32051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28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B080000}"/>
            </a:ext>
          </a:extLst>
        </xdr:cNvPr>
        <xdr:cNvSpPr>
          <a:spLocks noChangeAspect="1" noChangeArrowheads="1"/>
        </xdr:cNvSpPr>
      </xdr:nvSpPr>
      <xdr:spPr bwMode="auto">
        <a:xfrm>
          <a:off x="46110525" y="32051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28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C080000}"/>
            </a:ext>
          </a:extLst>
        </xdr:cNvPr>
        <xdr:cNvSpPr>
          <a:spLocks noChangeAspect="1" noChangeArrowheads="1"/>
        </xdr:cNvSpPr>
      </xdr:nvSpPr>
      <xdr:spPr bwMode="auto">
        <a:xfrm>
          <a:off x="46110525" y="32346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28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D080000}"/>
            </a:ext>
          </a:extLst>
        </xdr:cNvPr>
        <xdr:cNvSpPr>
          <a:spLocks noChangeAspect="1" noChangeArrowheads="1"/>
        </xdr:cNvSpPr>
      </xdr:nvSpPr>
      <xdr:spPr bwMode="auto">
        <a:xfrm>
          <a:off x="46110525" y="32346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28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E080000}"/>
            </a:ext>
          </a:extLst>
        </xdr:cNvPr>
        <xdr:cNvSpPr>
          <a:spLocks noChangeAspect="1" noChangeArrowheads="1"/>
        </xdr:cNvSpPr>
      </xdr:nvSpPr>
      <xdr:spPr bwMode="auto">
        <a:xfrm>
          <a:off x="46110525" y="326421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28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F080000}"/>
            </a:ext>
          </a:extLst>
        </xdr:cNvPr>
        <xdr:cNvSpPr>
          <a:spLocks noChangeAspect="1" noChangeArrowheads="1"/>
        </xdr:cNvSpPr>
      </xdr:nvSpPr>
      <xdr:spPr bwMode="auto">
        <a:xfrm>
          <a:off x="46110525" y="326421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28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0080000}"/>
            </a:ext>
          </a:extLst>
        </xdr:cNvPr>
        <xdr:cNvSpPr>
          <a:spLocks noChangeAspect="1" noChangeArrowheads="1"/>
        </xdr:cNvSpPr>
      </xdr:nvSpPr>
      <xdr:spPr bwMode="auto">
        <a:xfrm>
          <a:off x="46110525" y="32937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28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1080000}"/>
            </a:ext>
          </a:extLst>
        </xdr:cNvPr>
        <xdr:cNvSpPr>
          <a:spLocks noChangeAspect="1" noChangeArrowheads="1"/>
        </xdr:cNvSpPr>
      </xdr:nvSpPr>
      <xdr:spPr bwMode="auto">
        <a:xfrm>
          <a:off x="46110525" y="32937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29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2080000}"/>
            </a:ext>
          </a:extLst>
        </xdr:cNvPr>
        <xdr:cNvSpPr>
          <a:spLocks noChangeAspect="1" noChangeArrowheads="1"/>
        </xdr:cNvSpPr>
      </xdr:nvSpPr>
      <xdr:spPr bwMode="auto">
        <a:xfrm>
          <a:off x="46110525" y="332327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29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3080000}"/>
            </a:ext>
          </a:extLst>
        </xdr:cNvPr>
        <xdr:cNvSpPr>
          <a:spLocks noChangeAspect="1" noChangeArrowheads="1"/>
        </xdr:cNvSpPr>
      </xdr:nvSpPr>
      <xdr:spPr bwMode="auto">
        <a:xfrm>
          <a:off x="46110525" y="332327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29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4080000}"/>
            </a:ext>
          </a:extLst>
        </xdr:cNvPr>
        <xdr:cNvSpPr>
          <a:spLocks noChangeAspect="1" noChangeArrowheads="1"/>
        </xdr:cNvSpPr>
      </xdr:nvSpPr>
      <xdr:spPr bwMode="auto">
        <a:xfrm>
          <a:off x="46110525" y="3352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29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5080000}"/>
            </a:ext>
          </a:extLst>
        </xdr:cNvPr>
        <xdr:cNvSpPr>
          <a:spLocks noChangeAspect="1" noChangeArrowheads="1"/>
        </xdr:cNvSpPr>
      </xdr:nvSpPr>
      <xdr:spPr bwMode="auto">
        <a:xfrm>
          <a:off x="46110525" y="3352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29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6080000}"/>
            </a:ext>
          </a:extLst>
        </xdr:cNvPr>
        <xdr:cNvSpPr>
          <a:spLocks noChangeAspect="1" noChangeArrowheads="1"/>
        </xdr:cNvSpPr>
      </xdr:nvSpPr>
      <xdr:spPr bwMode="auto">
        <a:xfrm>
          <a:off x="46110525" y="338232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29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7080000}"/>
            </a:ext>
          </a:extLst>
        </xdr:cNvPr>
        <xdr:cNvSpPr>
          <a:spLocks noChangeAspect="1" noChangeArrowheads="1"/>
        </xdr:cNvSpPr>
      </xdr:nvSpPr>
      <xdr:spPr bwMode="auto">
        <a:xfrm>
          <a:off x="46110525" y="338232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29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8080000}"/>
            </a:ext>
          </a:extLst>
        </xdr:cNvPr>
        <xdr:cNvSpPr>
          <a:spLocks noChangeAspect="1" noChangeArrowheads="1"/>
        </xdr:cNvSpPr>
      </xdr:nvSpPr>
      <xdr:spPr bwMode="auto">
        <a:xfrm>
          <a:off x="46110525" y="34118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29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9080000}"/>
            </a:ext>
          </a:extLst>
        </xdr:cNvPr>
        <xdr:cNvSpPr>
          <a:spLocks noChangeAspect="1" noChangeArrowheads="1"/>
        </xdr:cNvSpPr>
      </xdr:nvSpPr>
      <xdr:spPr bwMode="auto">
        <a:xfrm>
          <a:off x="46110525" y="34118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29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A080000}"/>
            </a:ext>
          </a:extLst>
        </xdr:cNvPr>
        <xdr:cNvSpPr>
          <a:spLocks noChangeAspect="1" noChangeArrowheads="1"/>
        </xdr:cNvSpPr>
      </xdr:nvSpPr>
      <xdr:spPr bwMode="auto">
        <a:xfrm>
          <a:off x="46110525" y="34413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29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B080000}"/>
            </a:ext>
          </a:extLst>
        </xdr:cNvPr>
        <xdr:cNvSpPr>
          <a:spLocks noChangeAspect="1" noChangeArrowheads="1"/>
        </xdr:cNvSpPr>
      </xdr:nvSpPr>
      <xdr:spPr bwMode="auto">
        <a:xfrm>
          <a:off x="46110525" y="34413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30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C080000}"/>
            </a:ext>
          </a:extLst>
        </xdr:cNvPr>
        <xdr:cNvSpPr>
          <a:spLocks noChangeAspect="1" noChangeArrowheads="1"/>
        </xdr:cNvSpPr>
      </xdr:nvSpPr>
      <xdr:spPr bwMode="auto">
        <a:xfrm>
          <a:off x="46110525" y="34709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30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D080000}"/>
            </a:ext>
          </a:extLst>
        </xdr:cNvPr>
        <xdr:cNvSpPr>
          <a:spLocks noChangeAspect="1" noChangeArrowheads="1"/>
        </xdr:cNvSpPr>
      </xdr:nvSpPr>
      <xdr:spPr bwMode="auto">
        <a:xfrm>
          <a:off x="46110525" y="34709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30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E080000}"/>
            </a:ext>
          </a:extLst>
        </xdr:cNvPr>
        <xdr:cNvSpPr>
          <a:spLocks noChangeAspect="1" noChangeArrowheads="1"/>
        </xdr:cNvSpPr>
      </xdr:nvSpPr>
      <xdr:spPr bwMode="auto">
        <a:xfrm>
          <a:off x="46110525" y="35004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30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F080000}"/>
            </a:ext>
          </a:extLst>
        </xdr:cNvPr>
        <xdr:cNvSpPr>
          <a:spLocks noChangeAspect="1" noChangeArrowheads="1"/>
        </xdr:cNvSpPr>
      </xdr:nvSpPr>
      <xdr:spPr bwMode="auto">
        <a:xfrm>
          <a:off x="46110525" y="35004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47625</xdr:colOff>
      <xdr:row>77</xdr:row>
      <xdr:rowOff>0</xdr:rowOff>
    </xdr:from>
    <xdr:ext cx="304800" cy="304800"/>
    <xdr:sp macro="" textlink="">
      <xdr:nvSpPr>
        <xdr:cNvPr id="230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0090000}"/>
            </a:ext>
          </a:extLst>
        </xdr:cNvPr>
        <xdr:cNvSpPr>
          <a:spLocks noChangeAspect="1" noChangeArrowheads="1"/>
        </xdr:cNvSpPr>
      </xdr:nvSpPr>
      <xdr:spPr bwMode="auto">
        <a:xfrm>
          <a:off x="46158150" y="35271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30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1090000}"/>
            </a:ext>
          </a:extLst>
        </xdr:cNvPr>
        <xdr:cNvSpPr>
          <a:spLocks noChangeAspect="1" noChangeArrowheads="1"/>
        </xdr:cNvSpPr>
      </xdr:nvSpPr>
      <xdr:spPr bwMode="auto">
        <a:xfrm>
          <a:off x="46110525" y="35299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30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2090000}"/>
            </a:ext>
          </a:extLst>
        </xdr:cNvPr>
        <xdr:cNvSpPr>
          <a:spLocks noChangeAspect="1" noChangeArrowheads="1"/>
        </xdr:cNvSpPr>
      </xdr:nvSpPr>
      <xdr:spPr bwMode="auto">
        <a:xfrm>
          <a:off x="46110525" y="355949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30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3090000}"/>
            </a:ext>
          </a:extLst>
        </xdr:cNvPr>
        <xdr:cNvSpPr>
          <a:spLocks noChangeAspect="1" noChangeArrowheads="1"/>
        </xdr:cNvSpPr>
      </xdr:nvSpPr>
      <xdr:spPr bwMode="auto">
        <a:xfrm>
          <a:off x="46110525" y="355949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30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4090000}"/>
            </a:ext>
          </a:extLst>
        </xdr:cNvPr>
        <xdr:cNvSpPr>
          <a:spLocks noChangeAspect="1" noChangeArrowheads="1"/>
        </xdr:cNvSpPr>
      </xdr:nvSpPr>
      <xdr:spPr bwMode="auto">
        <a:xfrm>
          <a:off x="46110525" y="3589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30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5090000}"/>
            </a:ext>
          </a:extLst>
        </xdr:cNvPr>
        <xdr:cNvSpPr>
          <a:spLocks noChangeAspect="1" noChangeArrowheads="1"/>
        </xdr:cNvSpPr>
      </xdr:nvSpPr>
      <xdr:spPr bwMode="auto">
        <a:xfrm>
          <a:off x="46110525" y="3589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31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6090000}"/>
            </a:ext>
          </a:extLst>
        </xdr:cNvPr>
        <xdr:cNvSpPr>
          <a:spLocks noChangeAspect="1" noChangeArrowheads="1"/>
        </xdr:cNvSpPr>
      </xdr:nvSpPr>
      <xdr:spPr bwMode="auto">
        <a:xfrm>
          <a:off x="46110525" y="361854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31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7090000}"/>
            </a:ext>
          </a:extLst>
        </xdr:cNvPr>
        <xdr:cNvSpPr>
          <a:spLocks noChangeAspect="1" noChangeArrowheads="1"/>
        </xdr:cNvSpPr>
      </xdr:nvSpPr>
      <xdr:spPr bwMode="auto">
        <a:xfrm>
          <a:off x="46110525" y="361854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31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8090000}"/>
            </a:ext>
          </a:extLst>
        </xdr:cNvPr>
        <xdr:cNvSpPr>
          <a:spLocks noChangeAspect="1" noChangeArrowheads="1"/>
        </xdr:cNvSpPr>
      </xdr:nvSpPr>
      <xdr:spPr bwMode="auto">
        <a:xfrm>
          <a:off x="46110525" y="36480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31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9090000}"/>
            </a:ext>
          </a:extLst>
        </xdr:cNvPr>
        <xdr:cNvSpPr>
          <a:spLocks noChangeAspect="1" noChangeArrowheads="1"/>
        </xdr:cNvSpPr>
      </xdr:nvSpPr>
      <xdr:spPr bwMode="auto">
        <a:xfrm>
          <a:off x="46110525" y="36480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31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A090000}"/>
            </a:ext>
          </a:extLst>
        </xdr:cNvPr>
        <xdr:cNvSpPr>
          <a:spLocks noChangeAspect="1" noChangeArrowheads="1"/>
        </xdr:cNvSpPr>
      </xdr:nvSpPr>
      <xdr:spPr bwMode="auto">
        <a:xfrm>
          <a:off x="46110525" y="36776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31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B090000}"/>
            </a:ext>
          </a:extLst>
        </xdr:cNvPr>
        <xdr:cNvSpPr>
          <a:spLocks noChangeAspect="1" noChangeArrowheads="1"/>
        </xdr:cNvSpPr>
      </xdr:nvSpPr>
      <xdr:spPr bwMode="auto">
        <a:xfrm>
          <a:off x="46110525" y="36776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31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C090000}"/>
            </a:ext>
          </a:extLst>
        </xdr:cNvPr>
        <xdr:cNvSpPr>
          <a:spLocks noChangeAspect="1" noChangeArrowheads="1"/>
        </xdr:cNvSpPr>
      </xdr:nvSpPr>
      <xdr:spPr bwMode="auto">
        <a:xfrm>
          <a:off x="46110525" y="37071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31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D090000}"/>
            </a:ext>
          </a:extLst>
        </xdr:cNvPr>
        <xdr:cNvSpPr>
          <a:spLocks noChangeAspect="1" noChangeArrowheads="1"/>
        </xdr:cNvSpPr>
      </xdr:nvSpPr>
      <xdr:spPr bwMode="auto">
        <a:xfrm>
          <a:off x="46110525" y="37071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31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E090000}"/>
            </a:ext>
          </a:extLst>
        </xdr:cNvPr>
        <xdr:cNvSpPr>
          <a:spLocks noChangeAspect="1" noChangeArrowheads="1"/>
        </xdr:cNvSpPr>
      </xdr:nvSpPr>
      <xdr:spPr bwMode="auto">
        <a:xfrm>
          <a:off x="46110525" y="37366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31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F090000}"/>
            </a:ext>
          </a:extLst>
        </xdr:cNvPr>
        <xdr:cNvSpPr>
          <a:spLocks noChangeAspect="1" noChangeArrowheads="1"/>
        </xdr:cNvSpPr>
      </xdr:nvSpPr>
      <xdr:spPr bwMode="auto">
        <a:xfrm>
          <a:off x="46110525" y="37366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32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0090000}"/>
            </a:ext>
          </a:extLst>
        </xdr:cNvPr>
        <xdr:cNvSpPr>
          <a:spLocks noChangeAspect="1" noChangeArrowheads="1"/>
        </xdr:cNvSpPr>
      </xdr:nvSpPr>
      <xdr:spPr bwMode="auto">
        <a:xfrm>
          <a:off x="46110525" y="37661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32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1090000}"/>
            </a:ext>
          </a:extLst>
        </xdr:cNvPr>
        <xdr:cNvSpPr>
          <a:spLocks noChangeAspect="1" noChangeArrowheads="1"/>
        </xdr:cNvSpPr>
      </xdr:nvSpPr>
      <xdr:spPr bwMode="auto">
        <a:xfrm>
          <a:off x="46110525" y="37661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32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2090000}"/>
            </a:ext>
          </a:extLst>
        </xdr:cNvPr>
        <xdr:cNvSpPr>
          <a:spLocks noChangeAspect="1" noChangeArrowheads="1"/>
        </xdr:cNvSpPr>
      </xdr:nvSpPr>
      <xdr:spPr bwMode="auto">
        <a:xfrm>
          <a:off x="46110525" y="379571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32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3090000}"/>
            </a:ext>
          </a:extLst>
        </xdr:cNvPr>
        <xdr:cNvSpPr>
          <a:spLocks noChangeAspect="1" noChangeArrowheads="1"/>
        </xdr:cNvSpPr>
      </xdr:nvSpPr>
      <xdr:spPr bwMode="auto">
        <a:xfrm>
          <a:off x="46110525" y="379571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32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4090000}"/>
            </a:ext>
          </a:extLst>
        </xdr:cNvPr>
        <xdr:cNvSpPr>
          <a:spLocks noChangeAspect="1" noChangeArrowheads="1"/>
        </xdr:cNvSpPr>
      </xdr:nvSpPr>
      <xdr:spPr bwMode="auto">
        <a:xfrm>
          <a:off x="46110525" y="38252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32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5090000}"/>
            </a:ext>
          </a:extLst>
        </xdr:cNvPr>
        <xdr:cNvSpPr>
          <a:spLocks noChangeAspect="1" noChangeArrowheads="1"/>
        </xdr:cNvSpPr>
      </xdr:nvSpPr>
      <xdr:spPr bwMode="auto">
        <a:xfrm>
          <a:off x="46110525" y="38252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32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6090000}"/>
            </a:ext>
          </a:extLst>
        </xdr:cNvPr>
        <xdr:cNvSpPr>
          <a:spLocks noChangeAspect="1" noChangeArrowheads="1"/>
        </xdr:cNvSpPr>
      </xdr:nvSpPr>
      <xdr:spPr bwMode="auto">
        <a:xfrm>
          <a:off x="46110525" y="385476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32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7090000}"/>
            </a:ext>
          </a:extLst>
        </xdr:cNvPr>
        <xdr:cNvSpPr>
          <a:spLocks noChangeAspect="1" noChangeArrowheads="1"/>
        </xdr:cNvSpPr>
      </xdr:nvSpPr>
      <xdr:spPr bwMode="auto">
        <a:xfrm>
          <a:off x="46110525" y="385476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32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8090000}"/>
            </a:ext>
          </a:extLst>
        </xdr:cNvPr>
        <xdr:cNvSpPr>
          <a:spLocks noChangeAspect="1" noChangeArrowheads="1"/>
        </xdr:cNvSpPr>
      </xdr:nvSpPr>
      <xdr:spPr bwMode="auto">
        <a:xfrm>
          <a:off x="46110525" y="38842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32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9090000}"/>
            </a:ext>
          </a:extLst>
        </xdr:cNvPr>
        <xdr:cNvSpPr>
          <a:spLocks noChangeAspect="1" noChangeArrowheads="1"/>
        </xdr:cNvSpPr>
      </xdr:nvSpPr>
      <xdr:spPr bwMode="auto">
        <a:xfrm>
          <a:off x="46110525" y="38842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33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A090000}"/>
            </a:ext>
          </a:extLst>
        </xdr:cNvPr>
        <xdr:cNvSpPr>
          <a:spLocks noChangeAspect="1" noChangeArrowheads="1"/>
        </xdr:cNvSpPr>
      </xdr:nvSpPr>
      <xdr:spPr bwMode="auto">
        <a:xfrm>
          <a:off x="46110525" y="39138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33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B090000}"/>
            </a:ext>
          </a:extLst>
        </xdr:cNvPr>
        <xdr:cNvSpPr>
          <a:spLocks noChangeAspect="1" noChangeArrowheads="1"/>
        </xdr:cNvSpPr>
      </xdr:nvSpPr>
      <xdr:spPr bwMode="auto">
        <a:xfrm>
          <a:off x="46110525" y="39138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33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C090000}"/>
            </a:ext>
          </a:extLst>
        </xdr:cNvPr>
        <xdr:cNvSpPr>
          <a:spLocks noChangeAspect="1" noChangeArrowheads="1"/>
        </xdr:cNvSpPr>
      </xdr:nvSpPr>
      <xdr:spPr bwMode="auto">
        <a:xfrm>
          <a:off x="46110525" y="3943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33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D090000}"/>
            </a:ext>
          </a:extLst>
        </xdr:cNvPr>
        <xdr:cNvSpPr>
          <a:spLocks noChangeAspect="1" noChangeArrowheads="1"/>
        </xdr:cNvSpPr>
      </xdr:nvSpPr>
      <xdr:spPr bwMode="auto">
        <a:xfrm>
          <a:off x="46110525" y="3943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33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E090000}"/>
            </a:ext>
          </a:extLst>
        </xdr:cNvPr>
        <xdr:cNvSpPr>
          <a:spLocks noChangeAspect="1" noChangeArrowheads="1"/>
        </xdr:cNvSpPr>
      </xdr:nvSpPr>
      <xdr:spPr bwMode="auto">
        <a:xfrm>
          <a:off x="46110525" y="397287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33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F090000}"/>
            </a:ext>
          </a:extLst>
        </xdr:cNvPr>
        <xdr:cNvSpPr>
          <a:spLocks noChangeAspect="1" noChangeArrowheads="1"/>
        </xdr:cNvSpPr>
      </xdr:nvSpPr>
      <xdr:spPr bwMode="auto">
        <a:xfrm>
          <a:off x="46110525" y="397287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33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0090000}"/>
            </a:ext>
          </a:extLst>
        </xdr:cNvPr>
        <xdr:cNvSpPr>
          <a:spLocks noChangeAspect="1" noChangeArrowheads="1"/>
        </xdr:cNvSpPr>
      </xdr:nvSpPr>
      <xdr:spPr bwMode="auto">
        <a:xfrm>
          <a:off x="46110525" y="40024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33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1090000}"/>
            </a:ext>
          </a:extLst>
        </xdr:cNvPr>
        <xdr:cNvSpPr>
          <a:spLocks noChangeAspect="1" noChangeArrowheads="1"/>
        </xdr:cNvSpPr>
      </xdr:nvSpPr>
      <xdr:spPr bwMode="auto">
        <a:xfrm>
          <a:off x="46110525" y="40024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33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2090000}"/>
            </a:ext>
          </a:extLst>
        </xdr:cNvPr>
        <xdr:cNvSpPr>
          <a:spLocks noChangeAspect="1" noChangeArrowheads="1"/>
        </xdr:cNvSpPr>
      </xdr:nvSpPr>
      <xdr:spPr bwMode="auto">
        <a:xfrm>
          <a:off x="46110525" y="40319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33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3090000}"/>
            </a:ext>
          </a:extLst>
        </xdr:cNvPr>
        <xdr:cNvSpPr>
          <a:spLocks noChangeAspect="1" noChangeArrowheads="1"/>
        </xdr:cNvSpPr>
      </xdr:nvSpPr>
      <xdr:spPr bwMode="auto">
        <a:xfrm>
          <a:off x="46110525" y="40319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34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4090000}"/>
            </a:ext>
          </a:extLst>
        </xdr:cNvPr>
        <xdr:cNvSpPr>
          <a:spLocks noChangeAspect="1" noChangeArrowheads="1"/>
        </xdr:cNvSpPr>
      </xdr:nvSpPr>
      <xdr:spPr bwMode="auto">
        <a:xfrm>
          <a:off x="46110525" y="40614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34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5090000}"/>
            </a:ext>
          </a:extLst>
        </xdr:cNvPr>
        <xdr:cNvSpPr>
          <a:spLocks noChangeAspect="1" noChangeArrowheads="1"/>
        </xdr:cNvSpPr>
      </xdr:nvSpPr>
      <xdr:spPr bwMode="auto">
        <a:xfrm>
          <a:off x="46110525" y="40614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34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6090000}"/>
            </a:ext>
          </a:extLst>
        </xdr:cNvPr>
        <xdr:cNvSpPr>
          <a:spLocks noChangeAspect="1" noChangeArrowheads="1"/>
        </xdr:cNvSpPr>
      </xdr:nvSpPr>
      <xdr:spPr bwMode="auto">
        <a:xfrm>
          <a:off x="46110525" y="40909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34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7090000}"/>
            </a:ext>
          </a:extLst>
        </xdr:cNvPr>
        <xdr:cNvSpPr>
          <a:spLocks noChangeAspect="1" noChangeArrowheads="1"/>
        </xdr:cNvSpPr>
      </xdr:nvSpPr>
      <xdr:spPr bwMode="auto">
        <a:xfrm>
          <a:off x="46110525" y="40909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34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8090000}"/>
            </a:ext>
          </a:extLst>
        </xdr:cNvPr>
        <xdr:cNvSpPr>
          <a:spLocks noChangeAspect="1" noChangeArrowheads="1"/>
        </xdr:cNvSpPr>
      </xdr:nvSpPr>
      <xdr:spPr bwMode="auto">
        <a:xfrm>
          <a:off x="46110525" y="41205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34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9090000}"/>
            </a:ext>
          </a:extLst>
        </xdr:cNvPr>
        <xdr:cNvSpPr>
          <a:spLocks noChangeAspect="1" noChangeArrowheads="1"/>
        </xdr:cNvSpPr>
      </xdr:nvSpPr>
      <xdr:spPr bwMode="auto">
        <a:xfrm>
          <a:off x="46110525" y="41205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34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A090000}"/>
            </a:ext>
          </a:extLst>
        </xdr:cNvPr>
        <xdr:cNvSpPr>
          <a:spLocks noChangeAspect="1" noChangeArrowheads="1"/>
        </xdr:cNvSpPr>
      </xdr:nvSpPr>
      <xdr:spPr bwMode="auto">
        <a:xfrm>
          <a:off x="46110525" y="415004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34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B090000}"/>
            </a:ext>
          </a:extLst>
        </xdr:cNvPr>
        <xdr:cNvSpPr>
          <a:spLocks noChangeAspect="1" noChangeArrowheads="1"/>
        </xdr:cNvSpPr>
      </xdr:nvSpPr>
      <xdr:spPr bwMode="auto">
        <a:xfrm>
          <a:off x="46110525" y="415004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38100</xdr:colOff>
      <xdr:row>77</xdr:row>
      <xdr:rowOff>0</xdr:rowOff>
    </xdr:from>
    <xdr:ext cx="304800" cy="304800"/>
    <xdr:sp macro="" textlink="">
      <xdr:nvSpPr>
        <xdr:cNvPr id="234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C090000}"/>
            </a:ext>
          </a:extLst>
        </xdr:cNvPr>
        <xdr:cNvSpPr>
          <a:spLocks noChangeAspect="1" noChangeArrowheads="1"/>
        </xdr:cNvSpPr>
      </xdr:nvSpPr>
      <xdr:spPr bwMode="auto">
        <a:xfrm>
          <a:off x="46148625" y="41795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34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D090000}"/>
            </a:ext>
          </a:extLst>
        </xdr:cNvPr>
        <xdr:cNvSpPr>
          <a:spLocks noChangeAspect="1" noChangeArrowheads="1"/>
        </xdr:cNvSpPr>
      </xdr:nvSpPr>
      <xdr:spPr bwMode="auto">
        <a:xfrm>
          <a:off x="46110525" y="41795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35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E090000}"/>
            </a:ext>
          </a:extLst>
        </xdr:cNvPr>
        <xdr:cNvSpPr>
          <a:spLocks noChangeAspect="1" noChangeArrowheads="1"/>
        </xdr:cNvSpPr>
      </xdr:nvSpPr>
      <xdr:spPr bwMode="auto">
        <a:xfrm>
          <a:off x="46110525" y="420909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35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F090000}"/>
            </a:ext>
          </a:extLst>
        </xdr:cNvPr>
        <xdr:cNvSpPr>
          <a:spLocks noChangeAspect="1" noChangeArrowheads="1"/>
        </xdr:cNvSpPr>
      </xdr:nvSpPr>
      <xdr:spPr bwMode="auto">
        <a:xfrm>
          <a:off x="46110525" y="420909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35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0090000}"/>
            </a:ext>
          </a:extLst>
        </xdr:cNvPr>
        <xdr:cNvSpPr>
          <a:spLocks noChangeAspect="1" noChangeArrowheads="1"/>
        </xdr:cNvSpPr>
      </xdr:nvSpPr>
      <xdr:spPr bwMode="auto">
        <a:xfrm>
          <a:off x="46110525" y="42386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35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1090000}"/>
            </a:ext>
          </a:extLst>
        </xdr:cNvPr>
        <xdr:cNvSpPr>
          <a:spLocks noChangeAspect="1" noChangeArrowheads="1"/>
        </xdr:cNvSpPr>
      </xdr:nvSpPr>
      <xdr:spPr bwMode="auto">
        <a:xfrm>
          <a:off x="46110525" y="42386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35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2090000}"/>
            </a:ext>
          </a:extLst>
        </xdr:cNvPr>
        <xdr:cNvSpPr>
          <a:spLocks noChangeAspect="1" noChangeArrowheads="1"/>
        </xdr:cNvSpPr>
      </xdr:nvSpPr>
      <xdr:spPr bwMode="auto">
        <a:xfrm>
          <a:off x="46110525" y="42681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35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3090000}"/>
            </a:ext>
          </a:extLst>
        </xdr:cNvPr>
        <xdr:cNvSpPr>
          <a:spLocks noChangeAspect="1" noChangeArrowheads="1"/>
        </xdr:cNvSpPr>
      </xdr:nvSpPr>
      <xdr:spPr bwMode="auto">
        <a:xfrm>
          <a:off x="46110525" y="42681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35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4090000}"/>
            </a:ext>
          </a:extLst>
        </xdr:cNvPr>
        <xdr:cNvSpPr>
          <a:spLocks noChangeAspect="1" noChangeArrowheads="1"/>
        </xdr:cNvSpPr>
      </xdr:nvSpPr>
      <xdr:spPr bwMode="auto">
        <a:xfrm>
          <a:off x="46110525" y="42976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35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5090000}"/>
            </a:ext>
          </a:extLst>
        </xdr:cNvPr>
        <xdr:cNvSpPr>
          <a:spLocks noChangeAspect="1" noChangeArrowheads="1"/>
        </xdr:cNvSpPr>
      </xdr:nvSpPr>
      <xdr:spPr bwMode="auto">
        <a:xfrm>
          <a:off x="46110525" y="42976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35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6090000}"/>
            </a:ext>
          </a:extLst>
        </xdr:cNvPr>
        <xdr:cNvSpPr>
          <a:spLocks noChangeAspect="1" noChangeArrowheads="1"/>
        </xdr:cNvSpPr>
      </xdr:nvSpPr>
      <xdr:spPr bwMode="auto">
        <a:xfrm>
          <a:off x="46110525" y="43272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35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7090000}"/>
            </a:ext>
          </a:extLst>
        </xdr:cNvPr>
        <xdr:cNvSpPr>
          <a:spLocks noChangeAspect="1" noChangeArrowheads="1"/>
        </xdr:cNvSpPr>
      </xdr:nvSpPr>
      <xdr:spPr bwMode="auto">
        <a:xfrm>
          <a:off x="46110525" y="43272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36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8090000}"/>
            </a:ext>
          </a:extLst>
        </xdr:cNvPr>
        <xdr:cNvSpPr>
          <a:spLocks noChangeAspect="1" noChangeArrowheads="1"/>
        </xdr:cNvSpPr>
      </xdr:nvSpPr>
      <xdr:spPr bwMode="auto">
        <a:xfrm>
          <a:off x="46110525" y="43567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36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9090000}"/>
            </a:ext>
          </a:extLst>
        </xdr:cNvPr>
        <xdr:cNvSpPr>
          <a:spLocks noChangeAspect="1" noChangeArrowheads="1"/>
        </xdr:cNvSpPr>
      </xdr:nvSpPr>
      <xdr:spPr bwMode="auto">
        <a:xfrm>
          <a:off x="46110525" y="43567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36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A090000}"/>
            </a:ext>
          </a:extLst>
        </xdr:cNvPr>
        <xdr:cNvSpPr>
          <a:spLocks noChangeAspect="1" noChangeArrowheads="1"/>
        </xdr:cNvSpPr>
      </xdr:nvSpPr>
      <xdr:spPr bwMode="auto">
        <a:xfrm>
          <a:off x="46110525" y="43862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36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B090000}"/>
            </a:ext>
          </a:extLst>
        </xdr:cNvPr>
        <xdr:cNvSpPr>
          <a:spLocks noChangeAspect="1" noChangeArrowheads="1"/>
        </xdr:cNvSpPr>
      </xdr:nvSpPr>
      <xdr:spPr bwMode="auto">
        <a:xfrm>
          <a:off x="46110525" y="43862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36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C090000}"/>
            </a:ext>
          </a:extLst>
        </xdr:cNvPr>
        <xdr:cNvSpPr>
          <a:spLocks noChangeAspect="1" noChangeArrowheads="1"/>
        </xdr:cNvSpPr>
      </xdr:nvSpPr>
      <xdr:spPr bwMode="auto">
        <a:xfrm>
          <a:off x="46110525" y="44157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36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D090000}"/>
            </a:ext>
          </a:extLst>
        </xdr:cNvPr>
        <xdr:cNvSpPr>
          <a:spLocks noChangeAspect="1" noChangeArrowheads="1"/>
        </xdr:cNvSpPr>
      </xdr:nvSpPr>
      <xdr:spPr bwMode="auto">
        <a:xfrm>
          <a:off x="46110525" y="44157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36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E090000}"/>
            </a:ext>
          </a:extLst>
        </xdr:cNvPr>
        <xdr:cNvSpPr>
          <a:spLocks noChangeAspect="1" noChangeArrowheads="1"/>
        </xdr:cNvSpPr>
      </xdr:nvSpPr>
      <xdr:spPr bwMode="auto">
        <a:xfrm>
          <a:off x="46110525" y="444531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36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F090000}"/>
            </a:ext>
          </a:extLst>
        </xdr:cNvPr>
        <xdr:cNvSpPr>
          <a:spLocks noChangeAspect="1" noChangeArrowheads="1"/>
        </xdr:cNvSpPr>
      </xdr:nvSpPr>
      <xdr:spPr bwMode="auto">
        <a:xfrm>
          <a:off x="46110525" y="444531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36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0090000}"/>
            </a:ext>
          </a:extLst>
        </xdr:cNvPr>
        <xdr:cNvSpPr>
          <a:spLocks noChangeAspect="1" noChangeArrowheads="1"/>
        </xdr:cNvSpPr>
      </xdr:nvSpPr>
      <xdr:spPr bwMode="auto">
        <a:xfrm>
          <a:off x="46110525" y="44748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36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1090000}"/>
            </a:ext>
          </a:extLst>
        </xdr:cNvPr>
        <xdr:cNvSpPr>
          <a:spLocks noChangeAspect="1" noChangeArrowheads="1"/>
        </xdr:cNvSpPr>
      </xdr:nvSpPr>
      <xdr:spPr bwMode="auto">
        <a:xfrm>
          <a:off x="46110525" y="44748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37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2090000}"/>
            </a:ext>
          </a:extLst>
        </xdr:cNvPr>
        <xdr:cNvSpPr>
          <a:spLocks noChangeAspect="1" noChangeArrowheads="1"/>
        </xdr:cNvSpPr>
      </xdr:nvSpPr>
      <xdr:spPr bwMode="auto">
        <a:xfrm>
          <a:off x="46110525" y="450437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37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3090000}"/>
            </a:ext>
          </a:extLst>
        </xdr:cNvPr>
        <xdr:cNvSpPr>
          <a:spLocks noChangeAspect="1" noChangeArrowheads="1"/>
        </xdr:cNvSpPr>
      </xdr:nvSpPr>
      <xdr:spPr bwMode="auto">
        <a:xfrm>
          <a:off x="46110525" y="450437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37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4090000}"/>
            </a:ext>
          </a:extLst>
        </xdr:cNvPr>
        <xdr:cNvSpPr>
          <a:spLocks noChangeAspect="1" noChangeArrowheads="1"/>
        </xdr:cNvSpPr>
      </xdr:nvSpPr>
      <xdr:spPr bwMode="auto">
        <a:xfrm>
          <a:off x="46110525" y="453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37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5090000}"/>
            </a:ext>
          </a:extLst>
        </xdr:cNvPr>
        <xdr:cNvSpPr>
          <a:spLocks noChangeAspect="1" noChangeArrowheads="1"/>
        </xdr:cNvSpPr>
      </xdr:nvSpPr>
      <xdr:spPr bwMode="auto">
        <a:xfrm>
          <a:off x="46110525" y="453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37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6090000}"/>
            </a:ext>
          </a:extLst>
        </xdr:cNvPr>
        <xdr:cNvSpPr>
          <a:spLocks noChangeAspect="1" noChangeArrowheads="1"/>
        </xdr:cNvSpPr>
      </xdr:nvSpPr>
      <xdr:spPr bwMode="auto">
        <a:xfrm>
          <a:off x="46110525" y="456342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37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7090000}"/>
            </a:ext>
          </a:extLst>
        </xdr:cNvPr>
        <xdr:cNvSpPr>
          <a:spLocks noChangeAspect="1" noChangeArrowheads="1"/>
        </xdr:cNvSpPr>
      </xdr:nvSpPr>
      <xdr:spPr bwMode="auto">
        <a:xfrm>
          <a:off x="46110525" y="456342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37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8090000}"/>
            </a:ext>
          </a:extLst>
        </xdr:cNvPr>
        <xdr:cNvSpPr>
          <a:spLocks noChangeAspect="1" noChangeArrowheads="1"/>
        </xdr:cNvSpPr>
      </xdr:nvSpPr>
      <xdr:spPr bwMode="auto">
        <a:xfrm>
          <a:off x="46110525" y="45929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37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9090000}"/>
            </a:ext>
          </a:extLst>
        </xdr:cNvPr>
        <xdr:cNvSpPr>
          <a:spLocks noChangeAspect="1" noChangeArrowheads="1"/>
        </xdr:cNvSpPr>
      </xdr:nvSpPr>
      <xdr:spPr bwMode="auto">
        <a:xfrm>
          <a:off x="46110525" y="45929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37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A090000}"/>
            </a:ext>
          </a:extLst>
        </xdr:cNvPr>
        <xdr:cNvSpPr>
          <a:spLocks noChangeAspect="1" noChangeArrowheads="1"/>
        </xdr:cNvSpPr>
      </xdr:nvSpPr>
      <xdr:spPr bwMode="auto">
        <a:xfrm>
          <a:off x="46110525" y="46224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37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B090000}"/>
            </a:ext>
          </a:extLst>
        </xdr:cNvPr>
        <xdr:cNvSpPr>
          <a:spLocks noChangeAspect="1" noChangeArrowheads="1"/>
        </xdr:cNvSpPr>
      </xdr:nvSpPr>
      <xdr:spPr bwMode="auto">
        <a:xfrm>
          <a:off x="46110525" y="46224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38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C090000}"/>
            </a:ext>
          </a:extLst>
        </xdr:cNvPr>
        <xdr:cNvSpPr>
          <a:spLocks noChangeAspect="1" noChangeArrowheads="1"/>
        </xdr:cNvSpPr>
      </xdr:nvSpPr>
      <xdr:spPr bwMode="auto">
        <a:xfrm>
          <a:off x="46110525" y="46520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38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D090000}"/>
            </a:ext>
          </a:extLst>
        </xdr:cNvPr>
        <xdr:cNvSpPr>
          <a:spLocks noChangeAspect="1" noChangeArrowheads="1"/>
        </xdr:cNvSpPr>
      </xdr:nvSpPr>
      <xdr:spPr bwMode="auto">
        <a:xfrm>
          <a:off x="46110525" y="46520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38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E090000}"/>
            </a:ext>
          </a:extLst>
        </xdr:cNvPr>
        <xdr:cNvSpPr>
          <a:spLocks noChangeAspect="1" noChangeArrowheads="1"/>
        </xdr:cNvSpPr>
      </xdr:nvSpPr>
      <xdr:spPr bwMode="auto">
        <a:xfrm>
          <a:off x="46110525" y="46815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38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F090000}"/>
            </a:ext>
          </a:extLst>
        </xdr:cNvPr>
        <xdr:cNvSpPr>
          <a:spLocks noChangeAspect="1" noChangeArrowheads="1"/>
        </xdr:cNvSpPr>
      </xdr:nvSpPr>
      <xdr:spPr bwMode="auto">
        <a:xfrm>
          <a:off x="46110525" y="46815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38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0090000}"/>
            </a:ext>
          </a:extLst>
        </xdr:cNvPr>
        <xdr:cNvSpPr>
          <a:spLocks noChangeAspect="1" noChangeArrowheads="1"/>
        </xdr:cNvSpPr>
      </xdr:nvSpPr>
      <xdr:spPr bwMode="auto">
        <a:xfrm>
          <a:off x="46110525" y="47110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38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1090000}"/>
            </a:ext>
          </a:extLst>
        </xdr:cNvPr>
        <xdr:cNvSpPr>
          <a:spLocks noChangeAspect="1" noChangeArrowheads="1"/>
        </xdr:cNvSpPr>
      </xdr:nvSpPr>
      <xdr:spPr bwMode="auto">
        <a:xfrm>
          <a:off x="46110525" y="47110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38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2090000}"/>
            </a:ext>
          </a:extLst>
        </xdr:cNvPr>
        <xdr:cNvSpPr>
          <a:spLocks noChangeAspect="1" noChangeArrowheads="1"/>
        </xdr:cNvSpPr>
      </xdr:nvSpPr>
      <xdr:spPr bwMode="auto">
        <a:xfrm>
          <a:off x="46110525" y="474059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38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3090000}"/>
            </a:ext>
          </a:extLst>
        </xdr:cNvPr>
        <xdr:cNvSpPr>
          <a:spLocks noChangeAspect="1" noChangeArrowheads="1"/>
        </xdr:cNvSpPr>
      </xdr:nvSpPr>
      <xdr:spPr bwMode="auto">
        <a:xfrm>
          <a:off x="46110525" y="474059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38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4090000}"/>
            </a:ext>
          </a:extLst>
        </xdr:cNvPr>
        <xdr:cNvSpPr>
          <a:spLocks noChangeAspect="1" noChangeArrowheads="1"/>
        </xdr:cNvSpPr>
      </xdr:nvSpPr>
      <xdr:spPr bwMode="auto">
        <a:xfrm>
          <a:off x="46110525" y="47701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38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5090000}"/>
            </a:ext>
          </a:extLst>
        </xdr:cNvPr>
        <xdr:cNvSpPr>
          <a:spLocks noChangeAspect="1" noChangeArrowheads="1"/>
        </xdr:cNvSpPr>
      </xdr:nvSpPr>
      <xdr:spPr bwMode="auto">
        <a:xfrm>
          <a:off x="46110525" y="47701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39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6090000}"/>
            </a:ext>
          </a:extLst>
        </xdr:cNvPr>
        <xdr:cNvSpPr>
          <a:spLocks noChangeAspect="1" noChangeArrowheads="1"/>
        </xdr:cNvSpPr>
      </xdr:nvSpPr>
      <xdr:spPr bwMode="auto">
        <a:xfrm>
          <a:off x="46110525" y="479964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39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7090000}"/>
            </a:ext>
          </a:extLst>
        </xdr:cNvPr>
        <xdr:cNvSpPr>
          <a:spLocks noChangeAspect="1" noChangeArrowheads="1"/>
        </xdr:cNvSpPr>
      </xdr:nvSpPr>
      <xdr:spPr bwMode="auto">
        <a:xfrm>
          <a:off x="46110525" y="479964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39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8090000}"/>
            </a:ext>
          </a:extLst>
        </xdr:cNvPr>
        <xdr:cNvSpPr>
          <a:spLocks noChangeAspect="1" noChangeArrowheads="1"/>
        </xdr:cNvSpPr>
      </xdr:nvSpPr>
      <xdr:spPr bwMode="auto">
        <a:xfrm>
          <a:off x="46110525" y="48291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39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9090000}"/>
            </a:ext>
          </a:extLst>
        </xdr:cNvPr>
        <xdr:cNvSpPr>
          <a:spLocks noChangeAspect="1" noChangeArrowheads="1"/>
        </xdr:cNvSpPr>
      </xdr:nvSpPr>
      <xdr:spPr bwMode="auto">
        <a:xfrm>
          <a:off x="46110525" y="48291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39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A090000}"/>
            </a:ext>
          </a:extLst>
        </xdr:cNvPr>
        <xdr:cNvSpPr>
          <a:spLocks noChangeAspect="1" noChangeArrowheads="1"/>
        </xdr:cNvSpPr>
      </xdr:nvSpPr>
      <xdr:spPr bwMode="auto">
        <a:xfrm>
          <a:off x="46110525" y="48587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39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B090000}"/>
            </a:ext>
          </a:extLst>
        </xdr:cNvPr>
        <xdr:cNvSpPr>
          <a:spLocks noChangeAspect="1" noChangeArrowheads="1"/>
        </xdr:cNvSpPr>
      </xdr:nvSpPr>
      <xdr:spPr bwMode="auto">
        <a:xfrm>
          <a:off x="46110525" y="48587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39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C090000}"/>
            </a:ext>
          </a:extLst>
        </xdr:cNvPr>
        <xdr:cNvSpPr>
          <a:spLocks noChangeAspect="1" noChangeArrowheads="1"/>
        </xdr:cNvSpPr>
      </xdr:nvSpPr>
      <xdr:spPr bwMode="auto">
        <a:xfrm>
          <a:off x="46110525" y="48882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39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D090000}"/>
            </a:ext>
          </a:extLst>
        </xdr:cNvPr>
        <xdr:cNvSpPr>
          <a:spLocks noChangeAspect="1" noChangeArrowheads="1"/>
        </xdr:cNvSpPr>
      </xdr:nvSpPr>
      <xdr:spPr bwMode="auto">
        <a:xfrm>
          <a:off x="46110525" y="48882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39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E090000}"/>
            </a:ext>
          </a:extLst>
        </xdr:cNvPr>
        <xdr:cNvSpPr>
          <a:spLocks noChangeAspect="1" noChangeArrowheads="1"/>
        </xdr:cNvSpPr>
      </xdr:nvSpPr>
      <xdr:spPr bwMode="auto">
        <a:xfrm>
          <a:off x="46110525" y="49177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39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F090000}"/>
            </a:ext>
          </a:extLst>
        </xdr:cNvPr>
        <xdr:cNvSpPr>
          <a:spLocks noChangeAspect="1" noChangeArrowheads="1"/>
        </xdr:cNvSpPr>
      </xdr:nvSpPr>
      <xdr:spPr bwMode="auto">
        <a:xfrm>
          <a:off x="46110525" y="49177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40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0090000}"/>
            </a:ext>
          </a:extLst>
        </xdr:cNvPr>
        <xdr:cNvSpPr>
          <a:spLocks noChangeAspect="1" noChangeArrowheads="1"/>
        </xdr:cNvSpPr>
      </xdr:nvSpPr>
      <xdr:spPr bwMode="auto">
        <a:xfrm>
          <a:off x="46110525" y="49472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40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1090000}"/>
            </a:ext>
          </a:extLst>
        </xdr:cNvPr>
        <xdr:cNvSpPr>
          <a:spLocks noChangeAspect="1" noChangeArrowheads="1"/>
        </xdr:cNvSpPr>
      </xdr:nvSpPr>
      <xdr:spPr bwMode="auto">
        <a:xfrm>
          <a:off x="46110525" y="49472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40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2090000}"/>
            </a:ext>
          </a:extLst>
        </xdr:cNvPr>
        <xdr:cNvSpPr>
          <a:spLocks noChangeAspect="1" noChangeArrowheads="1"/>
        </xdr:cNvSpPr>
      </xdr:nvSpPr>
      <xdr:spPr bwMode="auto">
        <a:xfrm>
          <a:off x="46110525" y="497681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40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3090000}"/>
            </a:ext>
          </a:extLst>
        </xdr:cNvPr>
        <xdr:cNvSpPr>
          <a:spLocks noChangeAspect="1" noChangeArrowheads="1"/>
        </xdr:cNvSpPr>
      </xdr:nvSpPr>
      <xdr:spPr bwMode="auto">
        <a:xfrm>
          <a:off x="46110525" y="497681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40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4090000}"/>
            </a:ext>
          </a:extLst>
        </xdr:cNvPr>
        <xdr:cNvSpPr>
          <a:spLocks noChangeAspect="1" noChangeArrowheads="1"/>
        </xdr:cNvSpPr>
      </xdr:nvSpPr>
      <xdr:spPr bwMode="auto">
        <a:xfrm>
          <a:off x="46110525" y="50063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40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5090000}"/>
            </a:ext>
          </a:extLst>
        </xdr:cNvPr>
        <xdr:cNvSpPr>
          <a:spLocks noChangeAspect="1" noChangeArrowheads="1"/>
        </xdr:cNvSpPr>
      </xdr:nvSpPr>
      <xdr:spPr bwMode="auto">
        <a:xfrm>
          <a:off x="46110525" y="50063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40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6090000}"/>
            </a:ext>
          </a:extLst>
        </xdr:cNvPr>
        <xdr:cNvSpPr>
          <a:spLocks noChangeAspect="1" noChangeArrowheads="1"/>
        </xdr:cNvSpPr>
      </xdr:nvSpPr>
      <xdr:spPr bwMode="auto">
        <a:xfrm>
          <a:off x="46110525" y="503586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40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7090000}"/>
            </a:ext>
          </a:extLst>
        </xdr:cNvPr>
        <xdr:cNvSpPr>
          <a:spLocks noChangeAspect="1" noChangeArrowheads="1"/>
        </xdr:cNvSpPr>
      </xdr:nvSpPr>
      <xdr:spPr bwMode="auto">
        <a:xfrm>
          <a:off x="46110525" y="503586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40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8090000}"/>
            </a:ext>
          </a:extLst>
        </xdr:cNvPr>
        <xdr:cNvSpPr>
          <a:spLocks noChangeAspect="1" noChangeArrowheads="1"/>
        </xdr:cNvSpPr>
      </xdr:nvSpPr>
      <xdr:spPr bwMode="auto">
        <a:xfrm>
          <a:off x="46110525" y="50653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40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9090000}"/>
            </a:ext>
          </a:extLst>
        </xdr:cNvPr>
        <xdr:cNvSpPr>
          <a:spLocks noChangeAspect="1" noChangeArrowheads="1"/>
        </xdr:cNvSpPr>
      </xdr:nvSpPr>
      <xdr:spPr bwMode="auto">
        <a:xfrm>
          <a:off x="46110525" y="50653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41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A090000}"/>
            </a:ext>
          </a:extLst>
        </xdr:cNvPr>
        <xdr:cNvSpPr>
          <a:spLocks noChangeAspect="1" noChangeArrowheads="1"/>
        </xdr:cNvSpPr>
      </xdr:nvSpPr>
      <xdr:spPr bwMode="auto">
        <a:xfrm>
          <a:off x="46110525" y="50949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41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B090000}"/>
            </a:ext>
          </a:extLst>
        </xdr:cNvPr>
        <xdr:cNvSpPr>
          <a:spLocks noChangeAspect="1" noChangeArrowheads="1"/>
        </xdr:cNvSpPr>
      </xdr:nvSpPr>
      <xdr:spPr bwMode="auto">
        <a:xfrm>
          <a:off x="46110525" y="50949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41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C090000}"/>
            </a:ext>
          </a:extLst>
        </xdr:cNvPr>
        <xdr:cNvSpPr>
          <a:spLocks noChangeAspect="1" noChangeArrowheads="1"/>
        </xdr:cNvSpPr>
      </xdr:nvSpPr>
      <xdr:spPr bwMode="auto">
        <a:xfrm>
          <a:off x="46110525" y="51244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41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D090000}"/>
            </a:ext>
          </a:extLst>
        </xdr:cNvPr>
        <xdr:cNvSpPr>
          <a:spLocks noChangeAspect="1" noChangeArrowheads="1"/>
        </xdr:cNvSpPr>
      </xdr:nvSpPr>
      <xdr:spPr bwMode="auto">
        <a:xfrm>
          <a:off x="46110525" y="51244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41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E090000}"/>
            </a:ext>
          </a:extLst>
        </xdr:cNvPr>
        <xdr:cNvSpPr>
          <a:spLocks noChangeAspect="1" noChangeArrowheads="1"/>
        </xdr:cNvSpPr>
      </xdr:nvSpPr>
      <xdr:spPr bwMode="auto">
        <a:xfrm>
          <a:off x="46110525" y="515397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41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F090000}"/>
            </a:ext>
          </a:extLst>
        </xdr:cNvPr>
        <xdr:cNvSpPr>
          <a:spLocks noChangeAspect="1" noChangeArrowheads="1"/>
        </xdr:cNvSpPr>
      </xdr:nvSpPr>
      <xdr:spPr bwMode="auto">
        <a:xfrm>
          <a:off x="46110525" y="515397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41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0090000}"/>
            </a:ext>
          </a:extLst>
        </xdr:cNvPr>
        <xdr:cNvSpPr>
          <a:spLocks noChangeAspect="1" noChangeArrowheads="1"/>
        </xdr:cNvSpPr>
      </xdr:nvSpPr>
      <xdr:spPr bwMode="auto">
        <a:xfrm>
          <a:off x="46110525" y="51835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41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1090000}"/>
            </a:ext>
          </a:extLst>
        </xdr:cNvPr>
        <xdr:cNvSpPr>
          <a:spLocks noChangeAspect="1" noChangeArrowheads="1"/>
        </xdr:cNvSpPr>
      </xdr:nvSpPr>
      <xdr:spPr bwMode="auto">
        <a:xfrm>
          <a:off x="46110525" y="51835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41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2090000}"/>
            </a:ext>
          </a:extLst>
        </xdr:cNvPr>
        <xdr:cNvSpPr>
          <a:spLocks noChangeAspect="1" noChangeArrowheads="1"/>
        </xdr:cNvSpPr>
      </xdr:nvSpPr>
      <xdr:spPr bwMode="auto">
        <a:xfrm>
          <a:off x="46110525" y="52130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41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3090000}"/>
            </a:ext>
          </a:extLst>
        </xdr:cNvPr>
        <xdr:cNvSpPr>
          <a:spLocks noChangeAspect="1" noChangeArrowheads="1"/>
        </xdr:cNvSpPr>
      </xdr:nvSpPr>
      <xdr:spPr bwMode="auto">
        <a:xfrm>
          <a:off x="46110525" y="52130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42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4090000}"/>
            </a:ext>
          </a:extLst>
        </xdr:cNvPr>
        <xdr:cNvSpPr>
          <a:spLocks noChangeAspect="1" noChangeArrowheads="1"/>
        </xdr:cNvSpPr>
      </xdr:nvSpPr>
      <xdr:spPr bwMode="auto">
        <a:xfrm>
          <a:off x="46110525" y="52425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42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5090000}"/>
            </a:ext>
          </a:extLst>
        </xdr:cNvPr>
        <xdr:cNvSpPr>
          <a:spLocks noChangeAspect="1" noChangeArrowheads="1"/>
        </xdr:cNvSpPr>
      </xdr:nvSpPr>
      <xdr:spPr bwMode="auto">
        <a:xfrm>
          <a:off x="46110525" y="52425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42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6090000}"/>
            </a:ext>
          </a:extLst>
        </xdr:cNvPr>
        <xdr:cNvSpPr>
          <a:spLocks noChangeAspect="1" noChangeArrowheads="1"/>
        </xdr:cNvSpPr>
      </xdr:nvSpPr>
      <xdr:spPr bwMode="auto">
        <a:xfrm>
          <a:off x="46110525" y="52720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42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7090000}"/>
            </a:ext>
          </a:extLst>
        </xdr:cNvPr>
        <xdr:cNvSpPr>
          <a:spLocks noChangeAspect="1" noChangeArrowheads="1"/>
        </xdr:cNvSpPr>
      </xdr:nvSpPr>
      <xdr:spPr bwMode="auto">
        <a:xfrm>
          <a:off x="46110525" y="52720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42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8090000}"/>
            </a:ext>
          </a:extLst>
        </xdr:cNvPr>
        <xdr:cNvSpPr>
          <a:spLocks noChangeAspect="1" noChangeArrowheads="1"/>
        </xdr:cNvSpPr>
      </xdr:nvSpPr>
      <xdr:spPr bwMode="auto">
        <a:xfrm>
          <a:off x="46110525" y="53016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42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9090000}"/>
            </a:ext>
          </a:extLst>
        </xdr:cNvPr>
        <xdr:cNvSpPr>
          <a:spLocks noChangeAspect="1" noChangeArrowheads="1"/>
        </xdr:cNvSpPr>
      </xdr:nvSpPr>
      <xdr:spPr bwMode="auto">
        <a:xfrm>
          <a:off x="46110525" y="53016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42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A090000}"/>
            </a:ext>
          </a:extLst>
        </xdr:cNvPr>
        <xdr:cNvSpPr>
          <a:spLocks noChangeAspect="1" noChangeArrowheads="1"/>
        </xdr:cNvSpPr>
      </xdr:nvSpPr>
      <xdr:spPr bwMode="auto">
        <a:xfrm>
          <a:off x="46110525" y="533114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42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B090000}"/>
            </a:ext>
          </a:extLst>
        </xdr:cNvPr>
        <xdr:cNvSpPr>
          <a:spLocks noChangeAspect="1" noChangeArrowheads="1"/>
        </xdr:cNvSpPr>
      </xdr:nvSpPr>
      <xdr:spPr bwMode="auto">
        <a:xfrm>
          <a:off x="46110525" y="533114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42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C090000}"/>
            </a:ext>
          </a:extLst>
        </xdr:cNvPr>
        <xdr:cNvSpPr>
          <a:spLocks noChangeAspect="1" noChangeArrowheads="1"/>
        </xdr:cNvSpPr>
      </xdr:nvSpPr>
      <xdr:spPr bwMode="auto">
        <a:xfrm>
          <a:off x="46110525" y="53606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42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D090000}"/>
            </a:ext>
          </a:extLst>
        </xdr:cNvPr>
        <xdr:cNvSpPr>
          <a:spLocks noChangeAspect="1" noChangeArrowheads="1"/>
        </xdr:cNvSpPr>
      </xdr:nvSpPr>
      <xdr:spPr bwMode="auto">
        <a:xfrm>
          <a:off x="46110525" y="53606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43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E090000}"/>
            </a:ext>
          </a:extLst>
        </xdr:cNvPr>
        <xdr:cNvSpPr>
          <a:spLocks noChangeAspect="1" noChangeArrowheads="1"/>
        </xdr:cNvSpPr>
      </xdr:nvSpPr>
      <xdr:spPr bwMode="auto">
        <a:xfrm>
          <a:off x="46110525" y="539019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43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F090000}"/>
            </a:ext>
          </a:extLst>
        </xdr:cNvPr>
        <xdr:cNvSpPr>
          <a:spLocks noChangeAspect="1" noChangeArrowheads="1"/>
        </xdr:cNvSpPr>
      </xdr:nvSpPr>
      <xdr:spPr bwMode="auto">
        <a:xfrm>
          <a:off x="46110525" y="539019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43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0090000}"/>
            </a:ext>
          </a:extLst>
        </xdr:cNvPr>
        <xdr:cNvSpPr>
          <a:spLocks noChangeAspect="1" noChangeArrowheads="1"/>
        </xdr:cNvSpPr>
      </xdr:nvSpPr>
      <xdr:spPr bwMode="auto">
        <a:xfrm>
          <a:off x="46110525" y="54197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43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1090000}"/>
            </a:ext>
          </a:extLst>
        </xdr:cNvPr>
        <xdr:cNvSpPr>
          <a:spLocks noChangeAspect="1" noChangeArrowheads="1"/>
        </xdr:cNvSpPr>
      </xdr:nvSpPr>
      <xdr:spPr bwMode="auto">
        <a:xfrm>
          <a:off x="46110525" y="54197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43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2090000}"/>
            </a:ext>
          </a:extLst>
        </xdr:cNvPr>
        <xdr:cNvSpPr>
          <a:spLocks noChangeAspect="1" noChangeArrowheads="1"/>
        </xdr:cNvSpPr>
      </xdr:nvSpPr>
      <xdr:spPr bwMode="auto">
        <a:xfrm>
          <a:off x="46110525" y="54492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43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3090000}"/>
            </a:ext>
          </a:extLst>
        </xdr:cNvPr>
        <xdr:cNvSpPr>
          <a:spLocks noChangeAspect="1" noChangeArrowheads="1"/>
        </xdr:cNvSpPr>
      </xdr:nvSpPr>
      <xdr:spPr bwMode="auto">
        <a:xfrm>
          <a:off x="46110525" y="54492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43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4090000}"/>
            </a:ext>
          </a:extLst>
        </xdr:cNvPr>
        <xdr:cNvSpPr>
          <a:spLocks noChangeAspect="1" noChangeArrowheads="1"/>
        </xdr:cNvSpPr>
      </xdr:nvSpPr>
      <xdr:spPr bwMode="auto">
        <a:xfrm>
          <a:off x="46110525" y="54787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43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5090000}"/>
            </a:ext>
          </a:extLst>
        </xdr:cNvPr>
        <xdr:cNvSpPr>
          <a:spLocks noChangeAspect="1" noChangeArrowheads="1"/>
        </xdr:cNvSpPr>
      </xdr:nvSpPr>
      <xdr:spPr bwMode="auto">
        <a:xfrm>
          <a:off x="46110525" y="54787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43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6090000}"/>
            </a:ext>
          </a:extLst>
        </xdr:cNvPr>
        <xdr:cNvSpPr>
          <a:spLocks noChangeAspect="1" noChangeArrowheads="1"/>
        </xdr:cNvSpPr>
      </xdr:nvSpPr>
      <xdr:spPr bwMode="auto">
        <a:xfrm>
          <a:off x="46110525" y="55083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43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7090000}"/>
            </a:ext>
          </a:extLst>
        </xdr:cNvPr>
        <xdr:cNvSpPr>
          <a:spLocks noChangeAspect="1" noChangeArrowheads="1"/>
        </xdr:cNvSpPr>
      </xdr:nvSpPr>
      <xdr:spPr bwMode="auto">
        <a:xfrm>
          <a:off x="46110525" y="55083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44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8090000}"/>
            </a:ext>
          </a:extLst>
        </xdr:cNvPr>
        <xdr:cNvSpPr>
          <a:spLocks noChangeAspect="1" noChangeArrowheads="1"/>
        </xdr:cNvSpPr>
      </xdr:nvSpPr>
      <xdr:spPr bwMode="auto">
        <a:xfrm>
          <a:off x="46110525" y="55378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44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9090000}"/>
            </a:ext>
          </a:extLst>
        </xdr:cNvPr>
        <xdr:cNvSpPr>
          <a:spLocks noChangeAspect="1" noChangeArrowheads="1"/>
        </xdr:cNvSpPr>
      </xdr:nvSpPr>
      <xdr:spPr bwMode="auto">
        <a:xfrm>
          <a:off x="46110525" y="55378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44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A090000}"/>
            </a:ext>
          </a:extLst>
        </xdr:cNvPr>
        <xdr:cNvSpPr>
          <a:spLocks noChangeAspect="1" noChangeArrowheads="1"/>
        </xdr:cNvSpPr>
      </xdr:nvSpPr>
      <xdr:spPr bwMode="auto">
        <a:xfrm>
          <a:off x="46110525" y="55673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44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B090000}"/>
            </a:ext>
          </a:extLst>
        </xdr:cNvPr>
        <xdr:cNvSpPr>
          <a:spLocks noChangeAspect="1" noChangeArrowheads="1"/>
        </xdr:cNvSpPr>
      </xdr:nvSpPr>
      <xdr:spPr bwMode="auto">
        <a:xfrm>
          <a:off x="46110525" y="55673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44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C090000}"/>
            </a:ext>
          </a:extLst>
        </xdr:cNvPr>
        <xdr:cNvSpPr>
          <a:spLocks noChangeAspect="1" noChangeArrowheads="1"/>
        </xdr:cNvSpPr>
      </xdr:nvSpPr>
      <xdr:spPr bwMode="auto">
        <a:xfrm>
          <a:off x="46110525" y="55968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44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D090000}"/>
            </a:ext>
          </a:extLst>
        </xdr:cNvPr>
        <xdr:cNvSpPr>
          <a:spLocks noChangeAspect="1" noChangeArrowheads="1"/>
        </xdr:cNvSpPr>
      </xdr:nvSpPr>
      <xdr:spPr bwMode="auto">
        <a:xfrm>
          <a:off x="46110525" y="55968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44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E090000}"/>
            </a:ext>
          </a:extLst>
        </xdr:cNvPr>
        <xdr:cNvSpPr>
          <a:spLocks noChangeAspect="1" noChangeArrowheads="1"/>
        </xdr:cNvSpPr>
      </xdr:nvSpPr>
      <xdr:spPr bwMode="auto">
        <a:xfrm>
          <a:off x="46110525" y="562641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44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F090000}"/>
            </a:ext>
          </a:extLst>
        </xdr:cNvPr>
        <xdr:cNvSpPr>
          <a:spLocks noChangeAspect="1" noChangeArrowheads="1"/>
        </xdr:cNvSpPr>
      </xdr:nvSpPr>
      <xdr:spPr bwMode="auto">
        <a:xfrm>
          <a:off x="46110525" y="562641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44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0090000}"/>
            </a:ext>
          </a:extLst>
        </xdr:cNvPr>
        <xdr:cNvSpPr>
          <a:spLocks noChangeAspect="1" noChangeArrowheads="1"/>
        </xdr:cNvSpPr>
      </xdr:nvSpPr>
      <xdr:spPr bwMode="auto">
        <a:xfrm>
          <a:off x="46110525" y="56559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44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1090000}"/>
            </a:ext>
          </a:extLst>
        </xdr:cNvPr>
        <xdr:cNvSpPr>
          <a:spLocks noChangeAspect="1" noChangeArrowheads="1"/>
        </xdr:cNvSpPr>
      </xdr:nvSpPr>
      <xdr:spPr bwMode="auto">
        <a:xfrm>
          <a:off x="46110525" y="56559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45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2090000}"/>
            </a:ext>
          </a:extLst>
        </xdr:cNvPr>
        <xdr:cNvSpPr>
          <a:spLocks noChangeAspect="1" noChangeArrowheads="1"/>
        </xdr:cNvSpPr>
      </xdr:nvSpPr>
      <xdr:spPr bwMode="auto">
        <a:xfrm>
          <a:off x="46110525" y="568547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45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3090000}"/>
            </a:ext>
          </a:extLst>
        </xdr:cNvPr>
        <xdr:cNvSpPr>
          <a:spLocks noChangeAspect="1" noChangeArrowheads="1"/>
        </xdr:cNvSpPr>
      </xdr:nvSpPr>
      <xdr:spPr bwMode="auto">
        <a:xfrm>
          <a:off x="46110525" y="568547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45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4090000}"/>
            </a:ext>
          </a:extLst>
        </xdr:cNvPr>
        <xdr:cNvSpPr>
          <a:spLocks noChangeAspect="1" noChangeArrowheads="1"/>
        </xdr:cNvSpPr>
      </xdr:nvSpPr>
      <xdr:spPr bwMode="auto">
        <a:xfrm>
          <a:off x="46110525" y="5715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45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5090000}"/>
            </a:ext>
          </a:extLst>
        </xdr:cNvPr>
        <xdr:cNvSpPr>
          <a:spLocks noChangeAspect="1" noChangeArrowheads="1"/>
        </xdr:cNvSpPr>
      </xdr:nvSpPr>
      <xdr:spPr bwMode="auto">
        <a:xfrm>
          <a:off x="46110525" y="5715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45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6090000}"/>
            </a:ext>
          </a:extLst>
        </xdr:cNvPr>
        <xdr:cNvSpPr>
          <a:spLocks noChangeAspect="1" noChangeArrowheads="1"/>
        </xdr:cNvSpPr>
      </xdr:nvSpPr>
      <xdr:spPr bwMode="auto">
        <a:xfrm>
          <a:off x="46110525" y="574452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45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7090000}"/>
            </a:ext>
          </a:extLst>
        </xdr:cNvPr>
        <xdr:cNvSpPr>
          <a:spLocks noChangeAspect="1" noChangeArrowheads="1"/>
        </xdr:cNvSpPr>
      </xdr:nvSpPr>
      <xdr:spPr bwMode="auto">
        <a:xfrm>
          <a:off x="46110525" y="574452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45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8090000}"/>
            </a:ext>
          </a:extLst>
        </xdr:cNvPr>
        <xdr:cNvSpPr>
          <a:spLocks noChangeAspect="1" noChangeArrowheads="1"/>
        </xdr:cNvSpPr>
      </xdr:nvSpPr>
      <xdr:spPr bwMode="auto">
        <a:xfrm>
          <a:off x="46110525" y="57740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45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9090000}"/>
            </a:ext>
          </a:extLst>
        </xdr:cNvPr>
        <xdr:cNvSpPr>
          <a:spLocks noChangeAspect="1" noChangeArrowheads="1"/>
        </xdr:cNvSpPr>
      </xdr:nvSpPr>
      <xdr:spPr bwMode="auto">
        <a:xfrm>
          <a:off x="46110525" y="57740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45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A090000}"/>
            </a:ext>
          </a:extLst>
        </xdr:cNvPr>
        <xdr:cNvSpPr>
          <a:spLocks noChangeAspect="1" noChangeArrowheads="1"/>
        </xdr:cNvSpPr>
      </xdr:nvSpPr>
      <xdr:spPr bwMode="auto">
        <a:xfrm>
          <a:off x="46110525" y="58035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45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B090000}"/>
            </a:ext>
          </a:extLst>
        </xdr:cNvPr>
        <xdr:cNvSpPr>
          <a:spLocks noChangeAspect="1" noChangeArrowheads="1"/>
        </xdr:cNvSpPr>
      </xdr:nvSpPr>
      <xdr:spPr bwMode="auto">
        <a:xfrm>
          <a:off x="46110525" y="58035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46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C090000}"/>
            </a:ext>
          </a:extLst>
        </xdr:cNvPr>
        <xdr:cNvSpPr>
          <a:spLocks noChangeAspect="1" noChangeArrowheads="1"/>
        </xdr:cNvSpPr>
      </xdr:nvSpPr>
      <xdr:spPr bwMode="auto">
        <a:xfrm>
          <a:off x="46110525" y="58331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46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D090000}"/>
            </a:ext>
          </a:extLst>
        </xdr:cNvPr>
        <xdr:cNvSpPr>
          <a:spLocks noChangeAspect="1" noChangeArrowheads="1"/>
        </xdr:cNvSpPr>
      </xdr:nvSpPr>
      <xdr:spPr bwMode="auto">
        <a:xfrm>
          <a:off x="46110525" y="58331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46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E090000}"/>
            </a:ext>
          </a:extLst>
        </xdr:cNvPr>
        <xdr:cNvSpPr>
          <a:spLocks noChangeAspect="1" noChangeArrowheads="1"/>
        </xdr:cNvSpPr>
      </xdr:nvSpPr>
      <xdr:spPr bwMode="auto">
        <a:xfrm>
          <a:off x="46110525" y="58626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46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F090000}"/>
            </a:ext>
          </a:extLst>
        </xdr:cNvPr>
        <xdr:cNvSpPr>
          <a:spLocks noChangeAspect="1" noChangeArrowheads="1"/>
        </xdr:cNvSpPr>
      </xdr:nvSpPr>
      <xdr:spPr bwMode="auto">
        <a:xfrm>
          <a:off x="46110525" y="58921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46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0090000}"/>
            </a:ext>
          </a:extLst>
        </xdr:cNvPr>
        <xdr:cNvSpPr>
          <a:spLocks noChangeAspect="1" noChangeArrowheads="1"/>
        </xdr:cNvSpPr>
      </xdr:nvSpPr>
      <xdr:spPr bwMode="auto">
        <a:xfrm>
          <a:off x="46110525" y="58921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46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1090000}"/>
            </a:ext>
          </a:extLst>
        </xdr:cNvPr>
        <xdr:cNvSpPr>
          <a:spLocks noChangeAspect="1" noChangeArrowheads="1"/>
        </xdr:cNvSpPr>
      </xdr:nvSpPr>
      <xdr:spPr bwMode="auto">
        <a:xfrm>
          <a:off x="46110525" y="592169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46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2090000}"/>
            </a:ext>
          </a:extLst>
        </xdr:cNvPr>
        <xdr:cNvSpPr>
          <a:spLocks noChangeAspect="1" noChangeArrowheads="1"/>
        </xdr:cNvSpPr>
      </xdr:nvSpPr>
      <xdr:spPr bwMode="auto">
        <a:xfrm>
          <a:off x="46110525" y="592169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46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3090000}"/>
            </a:ext>
          </a:extLst>
        </xdr:cNvPr>
        <xdr:cNvSpPr>
          <a:spLocks noChangeAspect="1" noChangeArrowheads="1"/>
        </xdr:cNvSpPr>
      </xdr:nvSpPr>
      <xdr:spPr bwMode="auto">
        <a:xfrm>
          <a:off x="46110525" y="59512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46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4090000}"/>
            </a:ext>
          </a:extLst>
        </xdr:cNvPr>
        <xdr:cNvSpPr>
          <a:spLocks noChangeAspect="1" noChangeArrowheads="1"/>
        </xdr:cNvSpPr>
      </xdr:nvSpPr>
      <xdr:spPr bwMode="auto">
        <a:xfrm>
          <a:off x="46110525" y="59512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57150</xdr:colOff>
      <xdr:row>77</xdr:row>
      <xdr:rowOff>0</xdr:rowOff>
    </xdr:from>
    <xdr:ext cx="304800" cy="304800"/>
    <xdr:sp macro="" textlink="">
      <xdr:nvSpPr>
        <xdr:cNvPr id="246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5090000}"/>
            </a:ext>
          </a:extLst>
        </xdr:cNvPr>
        <xdr:cNvSpPr>
          <a:spLocks noChangeAspect="1" noChangeArrowheads="1"/>
        </xdr:cNvSpPr>
      </xdr:nvSpPr>
      <xdr:spPr bwMode="auto">
        <a:xfrm>
          <a:off x="46167675" y="59855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47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6090000}"/>
            </a:ext>
          </a:extLst>
        </xdr:cNvPr>
        <xdr:cNvSpPr>
          <a:spLocks noChangeAspect="1" noChangeArrowheads="1"/>
        </xdr:cNvSpPr>
      </xdr:nvSpPr>
      <xdr:spPr bwMode="auto">
        <a:xfrm>
          <a:off x="46110525" y="598074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47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7090000}"/>
            </a:ext>
          </a:extLst>
        </xdr:cNvPr>
        <xdr:cNvSpPr>
          <a:spLocks noChangeAspect="1" noChangeArrowheads="1"/>
        </xdr:cNvSpPr>
      </xdr:nvSpPr>
      <xdr:spPr bwMode="auto">
        <a:xfrm>
          <a:off x="46110525" y="60102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47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8090000}"/>
            </a:ext>
          </a:extLst>
        </xdr:cNvPr>
        <xdr:cNvSpPr>
          <a:spLocks noChangeAspect="1" noChangeArrowheads="1"/>
        </xdr:cNvSpPr>
      </xdr:nvSpPr>
      <xdr:spPr bwMode="auto">
        <a:xfrm>
          <a:off x="46110525" y="60102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47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9090000}"/>
            </a:ext>
          </a:extLst>
        </xdr:cNvPr>
        <xdr:cNvSpPr>
          <a:spLocks noChangeAspect="1" noChangeArrowheads="1"/>
        </xdr:cNvSpPr>
      </xdr:nvSpPr>
      <xdr:spPr bwMode="auto">
        <a:xfrm>
          <a:off x="46110525" y="60398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47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A090000}"/>
            </a:ext>
          </a:extLst>
        </xdr:cNvPr>
        <xdr:cNvSpPr>
          <a:spLocks noChangeAspect="1" noChangeArrowheads="1"/>
        </xdr:cNvSpPr>
      </xdr:nvSpPr>
      <xdr:spPr bwMode="auto">
        <a:xfrm>
          <a:off x="46110525" y="60398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47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B090000}"/>
            </a:ext>
          </a:extLst>
        </xdr:cNvPr>
        <xdr:cNvSpPr>
          <a:spLocks noChangeAspect="1" noChangeArrowheads="1"/>
        </xdr:cNvSpPr>
      </xdr:nvSpPr>
      <xdr:spPr bwMode="auto">
        <a:xfrm>
          <a:off x="46110525" y="60693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47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C090000}"/>
            </a:ext>
          </a:extLst>
        </xdr:cNvPr>
        <xdr:cNvSpPr>
          <a:spLocks noChangeAspect="1" noChangeArrowheads="1"/>
        </xdr:cNvSpPr>
      </xdr:nvSpPr>
      <xdr:spPr bwMode="auto">
        <a:xfrm>
          <a:off x="46110525" y="60693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47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D090000}"/>
            </a:ext>
          </a:extLst>
        </xdr:cNvPr>
        <xdr:cNvSpPr>
          <a:spLocks noChangeAspect="1" noChangeArrowheads="1"/>
        </xdr:cNvSpPr>
      </xdr:nvSpPr>
      <xdr:spPr bwMode="auto">
        <a:xfrm>
          <a:off x="46110525" y="60988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47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E090000}"/>
            </a:ext>
          </a:extLst>
        </xdr:cNvPr>
        <xdr:cNvSpPr>
          <a:spLocks noChangeAspect="1" noChangeArrowheads="1"/>
        </xdr:cNvSpPr>
      </xdr:nvSpPr>
      <xdr:spPr bwMode="auto">
        <a:xfrm>
          <a:off x="46110525" y="60988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47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F090000}"/>
            </a:ext>
          </a:extLst>
        </xdr:cNvPr>
        <xdr:cNvSpPr>
          <a:spLocks noChangeAspect="1" noChangeArrowheads="1"/>
        </xdr:cNvSpPr>
      </xdr:nvSpPr>
      <xdr:spPr bwMode="auto">
        <a:xfrm>
          <a:off x="46110525" y="61283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48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0090000}"/>
            </a:ext>
          </a:extLst>
        </xdr:cNvPr>
        <xdr:cNvSpPr>
          <a:spLocks noChangeAspect="1" noChangeArrowheads="1"/>
        </xdr:cNvSpPr>
      </xdr:nvSpPr>
      <xdr:spPr bwMode="auto">
        <a:xfrm>
          <a:off x="46110525" y="61283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48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1090000}"/>
            </a:ext>
          </a:extLst>
        </xdr:cNvPr>
        <xdr:cNvSpPr>
          <a:spLocks noChangeAspect="1" noChangeArrowheads="1"/>
        </xdr:cNvSpPr>
      </xdr:nvSpPr>
      <xdr:spPr bwMode="auto">
        <a:xfrm>
          <a:off x="46110525" y="615791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48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2090000}"/>
            </a:ext>
          </a:extLst>
        </xdr:cNvPr>
        <xdr:cNvSpPr>
          <a:spLocks noChangeAspect="1" noChangeArrowheads="1"/>
        </xdr:cNvSpPr>
      </xdr:nvSpPr>
      <xdr:spPr bwMode="auto">
        <a:xfrm>
          <a:off x="46110525" y="615791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48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3090000}"/>
            </a:ext>
          </a:extLst>
        </xdr:cNvPr>
        <xdr:cNvSpPr>
          <a:spLocks noChangeAspect="1" noChangeArrowheads="1"/>
        </xdr:cNvSpPr>
      </xdr:nvSpPr>
      <xdr:spPr bwMode="auto">
        <a:xfrm>
          <a:off x="46110525" y="61874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48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4090000}"/>
            </a:ext>
          </a:extLst>
        </xdr:cNvPr>
        <xdr:cNvSpPr>
          <a:spLocks noChangeAspect="1" noChangeArrowheads="1"/>
        </xdr:cNvSpPr>
      </xdr:nvSpPr>
      <xdr:spPr bwMode="auto">
        <a:xfrm>
          <a:off x="46110525" y="61874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48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5090000}"/>
            </a:ext>
          </a:extLst>
        </xdr:cNvPr>
        <xdr:cNvSpPr>
          <a:spLocks noChangeAspect="1" noChangeArrowheads="1"/>
        </xdr:cNvSpPr>
      </xdr:nvSpPr>
      <xdr:spPr bwMode="auto">
        <a:xfrm>
          <a:off x="46110525" y="621696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48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6090000}"/>
            </a:ext>
          </a:extLst>
        </xdr:cNvPr>
        <xdr:cNvSpPr>
          <a:spLocks noChangeAspect="1" noChangeArrowheads="1"/>
        </xdr:cNvSpPr>
      </xdr:nvSpPr>
      <xdr:spPr bwMode="auto">
        <a:xfrm>
          <a:off x="46110525" y="621696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48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7090000}"/>
            </a:ext>
          </a:extLst>
        </xdr:cNvPr>
        <xdr:cNvSpPr>
          <a:spLocks noChangeAspect="1" noChangeArrowheads="1"/>
        </xdr:cNvSpPr>
      </xdr:nvSpPr>
      <xdr:spPr bwMode="auto">
        <a:xfrm>
          <a:off x="46110525" y="62464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48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8090000}"/>
            </a:ext>
          </a:extLst>
        </xdr:cNvPr>
        <xdr:cNvSpPr>
          <a:spLocks noChangeAspect="1" noChangeArrowheads="1"/>
        </xdr:cNvSpPr>
      </xdr:nvSpPr>
      <xdr:spPr bwMode="auto">
        <a:xfrm>
          <a:off x="46110525" y="62464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48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9090000}"/>
            </a:ext>
          </a:extLst>
        </xdr:cNvPr>
        <xdr:cNvSpPr>
          <a:spLocks noChangeAspect="1" noChangeArrowheads="1"/>
        </xdr:cNvSpPr>
      </xdr:nvSpPr>
      <xdr:spPr bwMode="auto">
        <a:xfrm>
          <a:off x="46110525" y="62760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49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A090000}"/>
            </a:ext>
          </a:extLst>
        </xdr:cNvPr>
        <xdr:cNvSpPr>
          <a:spLocks noChangeAspect="1" noChangeArrowheads="1"/>
        </xdr:cNvSpPr>
      </xdr:nvSpPr>
      <xdr:spPr bwMode="auto">
        <a:xfrm>
          <a:off x="46110525" y="62760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49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B090000}"/>
            </a:ext>
          </a:extLst>
        </xdr:cNvPr>
        <xdr:cNvSpPr>
          <a:spLocks noChangeAspect="1" noChangeArrowheads="1"/>
        </xdr:cNvSpPr>
      </xdr:nvSpPr>
      <xdr:spPr bwMode="auto">
        <a:xfrm>
          <a:off x="46110525" y="63055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49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C090000}"/>
            </a:ext>
          </a:extLst>
        </xdr:cNvPr>
        <xdr:cNvSpPr>
          <a:spLocks noChangeAspect="1" noChangeArrowheads="1"/>
        </xdr:cNvSpPr>
      </xdr:nvSpPr>
      <xdr:spPr bwMode="auto">
        <a:xfrm>
          <a:off x="46110525" y="63055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49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D090000}"/>
            </a:ext>
          </a:extLst>
        </xdr:cNvPr>
        <xdr:cNvSpPr>
          <a:spLocks noChangeAspect="1" noChangeArrowheads="1"/>
        </xdr:cNvSpPr>
      </xdr:nvSpPr>
      <xdr:spPr bwMode="auto">
        <a:xfrm>
          <a:off x="46110525" y="633507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49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E090000}"/>
            </a:ext>
          </a:extLst>
        </xdr:cNvPr>
        <xdr:cNvSpPr>
          <a:spLocks noChangeAspect="1" noChangeArrowheads="1"/>
        </xdr:cNvSpPr>
      </xdr:nvSpPr>
      <xdr:spPr bwMode="auto">
        <a:xfrm>
          <a:off x="46110525" y="633507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49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F090000}"/>
            </a:ext>
          </a:extLst>
        </xdr:cNvPr>
        <xdr:cNvSpPr>
          <a:spLocks noChangeAspect="1" noChangeArrowheads="1"/>
        </xdr:cNvSpPr>
      </xdr:nvSpPr>
      <xdr:spPr bwMode="auto">
        <a:xfrm>
          <a:off x="46110525" y="63646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49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0090000}"/>
            </a:ext>
          </a:extLst>
        </xdr:cNvPr>
        <xdr:cNvSpPr>
          <a:spLocks noChangeAspect="1" noChangeArrowheads="1"/>
        </xdr:cNvSpPr>
      </xdr:nvSpPr>
      <xdr:spPr bwMode="auto">
        <a:xfrm>
          <a:off x="46110525" y="63646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49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1090000}"/>
            </a:ext>
          </a:extLst>
        </xdr:cNvPr>
        <xdr:cNvSpPr>
          <a:spLocks noChangeAspect="1" noChangeArrowheads="1"/>
        </xdr:cNvSpPr>
      </xdr:nvSpPr>
      <xdr:spPr bwMode="auto">
        <a:xfrm>
          <a:off x="46110525" y="63941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49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2090000}"/>
            </a:ext>
          </a:extLst>
        </xdr:cNvPr>
        <xdr:cNvSpPr>
          <a:spLocks noChangeAspect="1" noChangeArrowheads="1"/>
        </xdr:cNvSpPr>
      </xdr:nvSpPr>
      <xdr:spPr bwMode="auto">
        <a:xfrm>
          <a:off x="46110525" y="63941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49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3090000}"/>
            </a:ext>
          </a:extLst>
        </xdr:cNvPr>
        <xdr:cNvSpPr>
          <a:spLocks noChangeAspect="1" noChangeArrowheads="1"/>
        </xdr:cNvSpPr>
      </xdr:nvSpPr>
      <xdr:spPr bwMode="auto">
        <a:xfrm>
          <a:off x="46110525" y="64236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50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4090000}"/>
            </a:ext>
          </a:extLst>
        </xdr:cNvPr>
        <xdr:cNvSpPr>
          <a:spLocks noChangeAspect="1" noChangeArrowheads="1"/>
        </xdr:cNvSpPr>
      </xdr:nvSpPr>
      <xdr:spPr bwMode="auto">
        <a:xfrm>
          <a:off x="46110525" y="64236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50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5090000}"/>
            </a:ext>
          </a:extLst>
        </xdr:cNvPr>
        <xdr:cNvSpPr>
          <a:spLocks noChangeAspect="1" noChangeArrowheads="1"/>
        </xdr:cNvSpPr>
      </xdr:nvSpPr>
      <xdr:spPr bwMode="auto">
        <a:xfrm>
          <a:off x="46110525" y="64531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50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6090000}"/>
            </a:ext>
          </a:extLst>
        </xdr:cNvPr>
        <xdr:cNvSpPr>
          <a:spLocks noChangeAspect="1" noChangeArrowheads="1"/>
        </xdr:cNvSpPr>
      </xdr:nvSpPr>
      <xdr:spPr bwMode="auto">
        <a:xfrm>
          <a:off x="46110525" y="64531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50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7090000}"/>
            </a:ext>
          </a:extLst>
        </xdr:cNvPr>
        <xdr:cNvSpPr>
          <a:spLocks noChangeAspect="1" noChangeArrowheads="1"/>
        </xdr:cNvSpPr>
      </xdr:nvSpPr>
      <xdr:spPr bwMode="auto">
        <a:xfrm>
          <a:off x="46110525" y="64827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50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8090000}"/>
            </a:ext>
          </a:extLst>
        </xdr:cNvPr>
        <xdr:cNvSpPr>
          <a:spLocks noChangeAspect="1" noChangeArrowheads="1"/>
        </xdr:cNvSpPr>
      </xdr:nvSpPr>
      <xdr:spPr bwMode="auto">
        <a:xfrm>
          <a:off x="46110525" y="64827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50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9090000}"/>
            </a:ext>
          </a:extLst>
        </xdr:cNvPr>
        <xdr:cNvSpPr>
          <a:spLocks noChangeAspect="1" noChangeArrowheads="1"/>
        </xdr:cNvSpPr>
      </xdr:nvSpPr>
      <xdr:spPr bwMode="auto">
        <a:xfrm>
          <a:off x="46110525" y="651224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50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A090000}"/>
            </a:ext>
          </a:extLst>
        </xdr:cNvPr>
        <xdr:cNvSpPr>
          <a:spLocks noChangeAspect="1" noChangeArrowheads="1"/>
        </xdr:cNvSpPr>
      </xdr:nvSpPr>
      <xdr:spPr bwMode="auto">
        <a:xfrm>
          <a:off x="46110525" y="651224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50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B090000}"/>
            </a:ext>
          </a:extLst>
        </xdr:cNvPr>
        <xdr:cNvSpPr>
          <a:spLocks noChangeAspect="1" noChangeArrowheads="1"/>
        </xdr:cNvSpPr>
      </xdr:nvSpPr>
      <xdr:spPr bwMode="auto">
        <a:xfrm>
          <a:off x="46110525" y="6541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50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C090000}"/>
            </a:ext>
          </a:extLst>
        </xdr:cNvPr>
        <xdr:cNvSpPr>
          <a:spLocks noChangeAspect="1" noChangeArrowheads="1"/>
        </xdr:cNvSpPr>
      </xdr:nvSpPr>
      <xdr:spPr bwMode="auto">
        <a:xfrm>
          <a:off x="46110525" y="6541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50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D090000}"/>
            </a:ext>
          </a:extLst>
        </xdr:cNvPr>
        <xdr:cNvSpPr>
          <a:spLocks noChangeAspect="1" noChangeArrowheads="1"/>
        </xdr:cNvSpPr>
      </xdr:nvSpPr>
      <xdr:spPr bwMode="auto">
        <a:xfrm>
          <a:off x="46110525" y="657129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51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E090000}"/>
            </a:ext>
          </a:extLst>
        </xdr:cNvPr>
        <xdr:cNvSpPr>
          <a:spLocks noChangeAspect="1" noChangeArrowheads="1"/>
        </xdr:cNvSpPr>
      </xdr:nvSpPr>
      <xdr:spPr bwMode="auto">
        <a:xfrm>
          <a:off x="46110525" y="66008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51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F090000}"/>
            </a:ext>
          </a:extLst>
        </xdr:cNvPr>
        <xdr:cNvSpPr>
          <a:spLocks noChangeAspect="1" noChangeArrowheads="1"/>
        </xdr:cNvSpPr>
      </xdr:nvSpPr>
      <xdr:spPr bwMode="auto">
        <a:xfrm>
          <a:off x="46110525" y="66008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51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0090000}"/>
            </a:ext>
          </a:extLst>
        </xdr:cNvPr>
        <xdr:cNvSpPr>
          <a:spLocks noChangeAspect="1" noChangeArrowheads="1"/>
        </xdr:cNvSpPr>
      </xdr:nvSpPr>
      <xdr:spPr bwMode="auto">
        <a:xfrm>
          <a:off x="46110525" y="66303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51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1090000}"/>
            </a:ext>
          </a:extLst>
        </xdr:cNvPr>
        <xdr:cNvSpPr>
          <a:spLocks noChangeAspect="1" noChangeArrowheads="1"/>
        </xdr:cNvSpPr>
      </xdr:nvSpPr>
      <xdr:spPr bwMode="auto">
        <a:xfrm>
          <a:off x="46110525" y="66303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51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2090000}"/>
            </a:ext>
          </a:extLst>
        </xdr:cNvPr>
        <xdr:cNvSpPr>
          <a:spLocks noChangeAspect="1" noChangeArrowheads="1"/>
        </xdr:cNvSpPr>
      </xdr:nvSpPr>
      <xdr:spPr bwMode="auto">
        <a:xfrm>
          <a:off x="46110525" y="66598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51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3090000}"/>
            </a:ext>
          </a:extLst>
        </xdr:cNvPr>
        <xdr:cNvSpPr>
          <a:spLocks noChangeAspect="1" noChangeArrowheads="1"/>
        </xdr:cNvSpPr>
      </xdr:nvSpPr>
      <xdr:spPr bwMode="auto">
        <a:xfrm>
          <a:off x="46110525" y="66598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51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4090000}"/>
            </a:ext>
          </a:extLst>
        </xdr:cNvPr>
        <xdr:cNvSpPr>
          <a:spLocks noChangeAspect="1" noChangeArrowheads="1"/>
        </xdr:cNvSpPr>
      </xdr:nvSpPr>
      <xdr:spPr bwMode="auto">
        <a:xfrm>
          <a:off x="46110525" y="66894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51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5090000}"/>
            </a:ext>
          </a:extLst>
        </xdr:cNvPr>
        <xdr:cNvSpPr>
          <a:spLocks noChangeAspect="1" noChangeArrowheads="1"/>
        </xdr:cNvSpPr>
      </xdr:nvSpPr>
      <xdr:spPr bwMode="auto">
        <a:xfrm>
          <a:off x="46110525" y="66894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51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6090000}"/>
            </a:ext>
          </a:extLst>
        </xdr:cNvPr>
        <xdr:cNvSpPr>
          <a:spLocks noChangeAspect="1" noChangeArrowheads="1"/>
        </xdr:cNvSpPr>
      </xdr:nvSpPr>
      <xdr:spPr bwMode="auto">
        <a:xfrm>
          <a:off x="46110525" y="67189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51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7090000}"/>
            </a:ext>
          </a:extLst>
        </xdr:cNvPr>
        <xdr:cNvSpPr>
          <a:spLocks noChangeAspect="1" noChangeArrowheads="1"/>
        </xdr:cNvSpPr>
      </xdr:nvSpPr>
      <xdr:spPr bwMode="auto">
        <a:xfrm>
          <a:off x="46110525" y="67189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52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8090000}"/>
            </a:ext>
          </a:extLst>
        </xdr:cNvPr>
        <xdr:cNvSpPr>
          <a:spLocks noChangeAspect="1" noChangeArrowheads="1"/>
        </xdr:cNvSpPr>
      </xdr:nvSpPr>
      <xdr:spPr bwMode="auto">
        <a:xfrm>
          <a:off x="46110525" y="67484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52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9090000}"/>
            </a:ext>
          </a:extLst>
        </xdr:cNvPr>
        <xdr:cNvSpPr>
          <a:spLocks noChangeAspect="1" noChangeArrowheads="1"/>
        </xdr:cNvSpPr>
      </xdr:nvSpPr>
      <xdr:spPr bwMode="auto">
        <a:xfrm>
          <a:off x="46110525" y="67484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52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A090000}"/>
            </a:ext>
          </a:extLst>
        </xdr:cNvPr>
        <xdr:cNvSpPr>
          <a:spLocks noChangeAspect="1" noChangeArrowheads="1"/>
        </xdr:cNvSpPr>
      </xdr:nvSpPr>
      <xdr:spPr bwMode="auto">
        <a:xfrm>
          <a:off x="46110525" y="67779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52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B090000}"/>
            </a:ext>
          </a:extLst>
        </xdr:cNvPr>
        <xdr:cNvSpPr>
          <a:spLocks noChangeAspect="1" noChangeArrowheads="1"/>
        </xdr:cNvSpPr>
      </xdr:nvSpPr>
      <xdr:spPr bwMode="auto">
        <a:xfrm>
          <a:off x="46110525" y="67779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52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C090000}"/>
            </a:ext>
          </a:extLst>
        </xdr:cNvPr>
        <xdr:cNvSpPr>
          <a:spLocks noChangeAspect="1" noChangeArrowheads="1"/>
        </xdr:cNvSpPr>
      </xdr:nvSpPr>
      <xdr:spPr bwMode="auto">
        <a:xfrm>
          <a:off x="46110525" y="680751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52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D090000}"/>
            </a:ext>
          </a:extLst>
        </xdr:cNvPr>
        <xdr:cNvSpPr>
          <a:spLocks noChangeAspect="1" noChangeArrowheads="1"/>
        </xdr:cNvSpPr>
      </xdr:nvSpPr>
      <xdr:spPr bwMode="auto">
        <a:xfrm>
          <a:off x="46110525" y="680751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52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E090000}"/>
            </a:ext>
          </a:extLst>
        </xdr:cNvPr>
        <xdr:cNvSpPr>
          <a:spLocks noChangeAspect="1" noChangeArrowheads="1"/>
        </xdr:cNvSpPr>
      </xdr:nvSpPr>
      <xdr:spPr bwMode="auto">
        <a:xfrm>
          <a:off x="46110525" y="68370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52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F090000}"/>
            </a:ext>
          </a:extLst>
        </xdr:cNvPr>
        <xdr:cNvSpPr>
          <a:spLocks noChangeAspect="1" noChangeArrowheads="1"/>
        </xdr:cNvSpPr>
      </xdr:nvSpPr>
      <xdr:spPr bwMode="auto">
        <a:xfrm>
          <a:off x="46110525" y="68370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52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0090000}"/>
            </a:ext>
          </a:extLst>
        </xdr:cNvPr>
        <xdr:cNvSpPr>
          <a:spLocks noChangeAspect="1" noChangeArrowheads="1"/>
        </xdr:cNvSpPr>
      </xdr:nvSpPr>
      <xdr:spPr bwMode="auto">
        <a:xfrm>
          <a:off x="46110525" y="686657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52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1090000}"/>
            </a:ext>
          </a:extLst>
        </xdr:cNvPr>
        <xdr:cNvSpPr>
          <a:spLocks noChangeAspect="1" noChangeArrowheads="1"/>
        </xdr:cNvSpPr>
      </xdr:nvSpPr>
      <xdr:spPr bwMode="auto">
        <a:xfrm>
          <a:off x="46110525" y="686657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53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2090000}"/>
            </a:ext>
          </a:extLst>
        </xdr:cNvPr>
        <xdr:cNvSpPr>
          <a:spLocks noChangeAspect="1" noChangeArrowheads="1"/>
        </xdr:cNvSpPr>
      </xdr:nvSpPr>
      <xdr:spPr bwMode="auto">
        <a:xfrm>
          <a:off x="46110525" y="6896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53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3090000}"/>
            </a:ext>
          </a:extLst>
        </xdr:cNvPr>
        <xdr:cNvSpPr>
          <a:spLocks noChangeAspect="1" noChangeArrowheads="1"/>
        </xdr:cNvSpPr>
      </xdr:nvSpPr>
      <xdr:spPr bwMode="auto">
        <a:xfrm>
          <a:off x="46110525" y="6896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53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4090000}"/>
            </a:ext>
          </a:extLst>
        </xdr:cNvPr>
        <xdr:cNvSpPr>
          <a:spLocks noChangeAspect="1" noChangeArrowheads="1"/>
        </xdr:cNvSpPr>
      </xdr:nvSpPr>
      <xdr:spPr bwMode="auto">
        <a:xfrm>
          <a:off x="46110525" y="692562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53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5090000}"/>
            </a:ext>
          </a:extLst>
        </xdr:cNvPr>
        <xdr:cNvSpPr>
          <a:spLocks noChangeAspect="1" noChangeArrowheads="1"/>
        </xdr:cNvSpPr>
      </xdr:nvSpPr>
      <xdr:spPr bwMode="auto">
        <a:xfrm>
          <a:off x="46110525" y="692562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53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6090000}"/>
            </a:ext>
          </a:extLst>
        </xdr:cNvPr>
        <xdr:cNvSpPr>
          <a:spLocks noChangeAspect="1" noChangeArrowheads="1"/>
        </xdr:cNvSpPr>
      </xdr:nvSpPr>
      <xdr:spPr bwMode="auto">
        <a:xfrm>
          <a:off x="46110525" y="69551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53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7090000}"/>
            </a:ext>
          </a:extLst>
        </xdr:cNvPr>
        <xdr:cNvSpPr>
          <a:spLocks noChangeAspect="1" noChangeArrowheads="1"/>
        </xdr:cNvSpPr>
      </xdr:nvSpPr>
      <xdr:spPr bwMode="auto">
        <a:xfrm>
          <a:off x="46110525" y="69551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53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8090000}"/>
            </a:ext>
          </a:extLst>
        </xdr:cNvPr>
        <xdr:cNvSpPr>
          <a:spLocks noChangeAspect="1" noChangeArrowheads="1"/>
        </xdr:cNvSpPr>
      </xdr:nvSpPr>
      <xdr:spPr bwMode="auto">
        <a:xfrm>
          <a:off x="46110525" y="69846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53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9090000}"/>
            </a:ext>
          </a:extLst>
        </xdr:cNvPr>
        <xdr:cNvSpPr>
          <a:spLocks noChangeAspect="1" noChangeArrowheads="1"/>
        </xdr:cNvSpPr>
      </xdr:nvSpPr>
      <xdr:spPr bwMode="auto">
        <a:xfrm>
          <a:off x="46110525" y="69846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53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A090000}"/>
            </a:ext>
          </a:extLst>
        </xdr:cNvPr>
        <xdr:cNvSpPr>
          <a:spLocks noChangeAspect="1" noChangeArrowheads="1"/>
        </xdr:cNvSpPr>
      </xdr:nvSpPr>
      <xdr:spPr bwMode="auto">
        <a:xfrm>
          <a:off x="46110525" y="70142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53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B090000}"/>
            </a:ext>
          </a:extLst>
        </xdr:cNvPr>
        <xdr:cNvSpPr>
          <a:spLocks noChangeAspect="1" noChangeArrowheads="1"/>
        </xdr:cNvSpPr>
      </xdr:nvSpPr>
      <xdr:spPr bwMode="auto">
        <a:xfrm>
          <a:off x="46110525" y="70142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54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C090000}"/>
            </a:ext>
          </a:extLst>
        </xdr:cNvPr>
        <xdr:cNvSpPr>
          <a:spLocks noChangeAspect="1" noChangeArrowheads="1"/>
        </xdr:cNvSpPr>
      </xdr:nvSpPr>
      <xdr:spPr bwMode="auto">
        <a:xfrm>
          <a:off x="46110525" y="70437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54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D090000}"/>
            </a:ext>
          </a:extLst>
        </xdr:cNvPr>
        <xdr:cNvSpPr>
          <a:spLocks noChangeAspect="1" noChangeArrowheads="1"/>
        </xdr:cNvSpPr>
      </xdr:nvSpPr>
      <xdr:spPr bwMode="auto">
        <a:xfrm>
          <a:off x="46110525" y="70437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54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E090000}"/>
            </a:ext>
          </a:extLst>
        </xdr:cNvPr>
        <xdr:cNvSpPr>
          <a:spLocks noChangeAspect="1" noChangeArrowheads="1"/>
        </xdr:cNvSpPr>
      </xdr:nvSpPr>
      <xdr:spPr bwMode="auto">
        <a:xfrm>
          <a:off x="46110525" y="70732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54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F090000}"/>
            </a:ext>
          </a:extLst>
        </xdr:cNvPr>
        <xdr:cNvSpPr>
          <a:spLocks noChangeAspect="1" noChangeArrowheads="1"/>
        </xdr:cNvSpPr>
      </xdr:nvSpPr>
      <xdr:spPr bwMode="auto">
        <a:xfrm>
          <a:off x="46110525" y="70732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54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0090000}"/>
            </a:ext>
          </a:extLst>
        </xdr:cNvPr>
        <xdr:cNvSpPr>
          <a:spLocks noChangeAspect="1" noChangeArrowheads="1"/>
        </xdr:cNvSpPr>
      </xdr:nvSpPr>
      <xdr:spPr bwMode="auto">
        <a:xfrm>
          <a:off x="46110525" y="710279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54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1090000}"/>
            </a:ext>
          </a:extLst>
        </xdr:cNvPr>
        <xdr:cNvSpPr>
          <a:spLocks noChangeAspect="1" noChangeArrowheads="1"/>
        </xdr:cNvSpPr>
      </xdr:nvSpPr>
      <xdr:spPr bwMode="auto">
        <a:xfrm>
          <a:off x="46110525" y="710279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54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2090000}"/>
            </a:ext>
          </a:extLst>
        </xdr:cNvPr>
        <xdr:cNvSpPr>
          <a:spLocks noChangeAspect="1" noChangeArrowheads="1"/>
        </xdr:cNvSpPr>
      </xdr:nvSpPr>
      <xdr:spPr bwMode="auto">
        <a:xfrm>
          <a:off x="46110525" y="71323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54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3090000}"/>
            </a:ext>
          </a:extLst>
        </xdr:cNvPr>
        <xdr:cNvSpPr>
          <a:spLocks noChangeAspect="1" noChangeArrowheads="1"/>
        </xdr:cNvSpPr>
      </xdr:nvSpPr>
      <xdr:spPr bwMode="auto">
        <a:xfrm>
          <a:off x="46110525" y="71323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54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4090000}"/>
            </a:ext>
          </a:extLst>
        </xdr:cNvPr>
        <xdr:cNvSpPr>
          <a:spLocks noChangeAspect="1" noChangeArrowheads="1"/>
        </xdr:cNvSpPr>
      </xdr:nvSpPr>
      <xdr:spPr bwMode="auto">
        <a:xfrm>
          <a:off x="46110525" y="716184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54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5090000}"/>
            </a:ext>
          </a:extLst>
        </xdr:cNvPr>
        <xdr:cNvSpPr>
          <a:spLocks noChangeAspect="1" noChangeArrowheads="1"/>
        </xdr:cNvSpPr>
      </xdr:nvSpPr>
      <xdr:spPr bwMode="auto">
        <a:xfrm>
          <a:off x="46110525" y="716184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55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6090000}"/>
            </a:ext>
          </a:extLst>
        </xdr:cNvPr>
        <xdr:cNvSpPr>
          <a:spLocks noChangeAspect="1" noChangeArrowheads="1"/>
        </xdr:cNvSpPr>
      </xdr:nvSpPr>
      <xdr:spPr bwMode="auto">
        <a:xfrm>
          <a:off x="46110525" y="71913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55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7090000}"/>
            </a:ext>
          </a:extLst>
        </xdr:cNvPr>
        <xdr:cNvSpPr>
          <a:spLocks noChangeAspect="1" noChangeArrowheads="1"/>
        </xdr:cNvSpPr>
      </xdr:nvSpPr>
      <xdr:spPr bwMode="auto">
        <a:xfrm>
          <a:off x="46110525" y="71913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55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8090000}"/>
            </a:ext>
          </a:extLst>
        </xdr:cNvPr>
        <xdr:cNvSpPr>
          <a:spLocks noChangeAspect="1" noChangeArrowheads="1"/>
        </xdr:cNvSpPr>
      </xdr:nvSpPr>
      <xdr:spPr bwMode="auto">
        <a:xfrm>
          <a:off x="46110525" y="72209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55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9090000}"/>
            </a:ext>
          </a:extLst>
        </xdr:cNvPr>
        <xdr:cNvSpPr>
          <a:spLocks noChangeAspect="1" noChangeArrowheads="1"/>
        </xdr:cNvSpPr>
      </xdr:nvSpPr>
      <xdr:spPr bwMode="auto">
        <a:xfrm>
          <a:off x="46110525" y="72209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55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A090000}"/>
            </a:ext>
          </a:extLst>
        </xdr:cNvPr>
        <xdr:cNvSpPr>
          <a:spLocks noChangeAspect="1" noChangeArrowheads="1"/>
        </xdr:cNvSpPr>
      </xdr:nvSpPr>
      <xdr:spPr bwMode="auto">
        <a:xfrm>
          <a:off x="46110525" y="72504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55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B090000}"/>
            </a:ext>
          </a:extLst>
        </xdr:cNvPr>
        <xdr:cNvSpPr>
          <a:spLocks noChangeAspect="1" noChangeArrowheads="1"/>
        </xdr:cNvSpPr>
      </xdr:nvSpPr>
      <xdr:spPr bwMode="auto">
        <a:xfrm>
          <a:off x="46110525" y="72504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55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C090000}"/>
            </a:ext>
          </a:extLst>
        </xdr:cNvPr>
        <xdr:cNvSpPr>
          <a:spLocks noChangeAspect="1" noChangeArrowheads="1"/>
        </xdr:cNvSpPr>
      </xdr:nvSpPr>
      <xdr:spPr bwMode="auto">
        <a:xfrm>
          <a:off x="46110525" y="72799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55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D090000}"/>
            </a:ext>
          </a:extLst>
        </xdr:cNvPr>
        <xdr:cNvSpPr>
          <a:spLocks noChangeAspect="1" noChangeArrowheads="1"/>
        </xdr:cNvSpPr>
      </xdr:nvSpPr>
      <xdr:spPr bwMode="auto">
        <a:xfrm>
          <a:off x="46110525" y="72799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55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E090000}"/>
            </a:ext>
          </a:extLst>
        </xdr:cNvPr>
        <xdr:cNvSpPr>
          <a:spLocks noChangeAspect="1" noChangeArrowheads="1"/>
        </xdr:cNvSpPr>
      </xdr:nvSpPr>
      <xdr:spPr bwMode="auto">
        <a:xfrm>
          <a:off x="46110525" y="73094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55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F090000}"/>
            </a:ext>
          </a:extLst>
        </xdr:cNvPr>
        <xdr:cNvSpPr>
          <a:spLocks noChangeAspect="1" noChangeArrowheads="1"/>
        </xdr:cNvSpPr>
      </xdr:nvSpPr>
      <xdr:spPr bwMode="auto">
        <a:xfrm>
          <a:off x="46110525" y="73094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56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00A0000}"/>
            </a:ext>
          </a:extLst>
        </xdr:cNvPr>
        <xdr:cNvSpPr>
          <a:spLocks noChangeAspect="1" noChangeArrowheads="1"/>
        </xdr:cNvSpPr>
      </xdr:nvSpPr>
      <xdr:spPr bwMode="auto">
        <a:xfrm>
          <a:off x="46110525" y="733901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56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10A0000}"/>
            </a:ext>
          </a:extLst>
        </xdr:cNvPr>
        <xdr:cNvSpPr>
          <a:spLocks noChangeAspect="1" noChangeArrowheads="1"/>
        </xdr:cNvSpPr>
      </xdr:nvSpPr>
      <xdr:spPr bwMode="auto">
        <a:xfrm>
          <a:off x="46110525" y="733901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56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20A0000}"/>
            </a:ext>
          </a:extLst>
        </xdr:cNvPr>
        <xdr:cNvSpPr>
          <a:spLocks noChangeAspect="1" noChangeArrowheads="1"/>
        </xdr:cNvSpPr>
      </xdr:nvSpPr>
      <xdr:spPr bwMode="auto">
        <a:xfrm>
          <a:off x="46110525" y="73685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56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30A0000}"/>
            </a:ext>
          </a:extLst>
        </xdr:cNvPr>
        <xdr:cNvSpPr>
          <a:spLocks noChangeAspect="1" noChangeArrowheads="1"/>
        </xdr:cNvSpPr>
      </xdr:nvSpPr>
      <xdr:spPr bwMode="auto">
        <a:xfrm>
          <a:off x="46110525" y="73685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56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40A0000}"/>
            </a:ext>
          </a:extLst>
        </xdr:cNvPr>
        <xdr:cNvSpPr>
          <a:spLocks noChangeAspect="1" noChangeArrowheads="1"/>
        </xdr:cNvSpPr>
      </xdr:nvSpPr>
      <xdr:spPr bwMode="auto">
        <a:xfrm>
          <a:off x="46110525" y="739806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56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50A0000}"/>
            </a:ext>
          </a:extLst>
        </xdr:cNvPr>
        <xdr:cNvSpPr>
          <a:spLocks noChangeAspect="1" noChangeArrowheads="1"/>
        </xdr:cNvSpPr>
      </xdr:nvSpPr>
      <xdr:spPr bwMode="auto">
        <a:xfrm>
          <a:off x="46110525" y="739806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56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60A0000}"/>
            </a:ext>
          </a:extLst>
        </xdr:cNvPr>
        <xdr:cNvSpPr>
          <a:spLocks noChangeAspect="1" noChangeArrowheads="1"/>
        </xdr:cNvSpPr>
      </xdr:nvSpPr>
      <xdr:spPr bwMode="auto">
        <a:xfrm>
          <a:off x="46110525" y="74275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56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70A0000}"/>
            </a:ext>
          </a:extLst>
        </xdr:cNvPr>
        <xdr:cNvSpPr>
          <a:spLocks noChangeAspect="1" noChangeArrowheads="1"/>
        </xdr:cNvSpPr>
      </xdr:nvSpPr>
      <xdr:spPr bwMode="auto">
        <a:xfrm>
          <a:off x="46110525" y="74275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56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80A0000}"/>
            </a:ext>
          </a:extLst>
        </xdr:cNvPr>
        <xdr:cNvSpPr>
          <a:spLocks noChangeAspect="1" noChangeArrowheads="1"/>
        </xdr:cNvSpPr>
      </xdr:nvSpPr>
      <xdr:spPr bwMode="auto">
        <a:xfrm>
          <a:off x="46110525" y="74571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56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90A0000}"/>
            </a:ext>
          </a:extLst>
        </xdr:cNvPr>
        <xdr:cNvSpPr>
          <a:spLocks noChangeAspect="1" noChangeArrowheads="1"/>
        </xdr:cNvSpPr>
      </xdr:nvSpPr>
      <xdr:spPr bwMode="auto">
        <a:xfrm>
          <a:off x="46110525" y="74571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57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A0A0000}"/>
            </a:ext>
          </a:extLst>
        </xdr:cNvPr>
        <xdr:cNvSpPr>
          <a:spLocks noChangeAspect="1" noChangeArrowheads="1"/>
        </xdr:cNvSpPr>
      </xdr:nvSpPr>
      <xdr:spPr bwMode="auto">
        <a:xfrm>
          <a:off x="46110525" y="7486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57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B0A0000}"/>
            </a:ext>
          </a:extLst>
        </xdr:cNvPr>
        <xdr:cNvSpPr>
          <a:spLocks noChangeAspect="1" noChangeArrowheads="1"/>
        </xdr:cNvSpPr>
      </xdr:nvSpPr>
      <xdr:spPr bwMode="auto">
        <a:xfrm>
          <a:off x="46110525" y="7486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57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C0A0000}"/>
            </a:ext>
          </a:extLst>
        </xdr:cNvPr>
        <xdr:cNvSpPr>
          <a:spLocks noChangeAspect="1" noChangeArrowheads="1"/>
        </xdr:cNvSpPr>
      </xdr:nvSpPr>
      <xdr:spPr bwMode="auto">
        <a:xfrm>
          <a:off x="46110525" y="751617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57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D0A0000}"/>
            </a:ext>
          </a:extLst>
        </xdr:cNvPr>
        <xdr:cNvSpPr>
          <a:spLocks noChangeAspect="1" noChangeArrowheads="1"/>
        </xdr:cNvSpPr>
      </xdr:nvSpPr>
      <xdr:spPr bwMode="auto">
        <a:xfrm>
          <a:off x="46110525" y="751617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57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E0A0000}"/>
            </a:ext>
          </a:extLst>
        </xdr:cNvPr>
        <xdr:cNvSpPr>
          <a:spLocks noChangeAspect="1" noChangeArrowheads="1"/>
        </xdr:cNvSpPr>
      </xdr:nvSpPr>
      <xdr:spPr bwMode="auto">
        <a:xfrm>
          <a:off x="46110525" y="75457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57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F0A0000}"/>
            </a:ext>
          </a:extLst>
        </xdr:cNvPr>
        <xdr:cNvSpPr>
          <a:spLocks noChangeAspect="1" noChangeArrowheads="1"/>
        </xdr:cNvSpPr>
      </xdr:nvSpPr>
      <xdr:spPr bwMode="auto">
        <a:xfrm>
          <a:off x="46110525" y="75457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57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00A0000}"/>
            </a:ext>
          </a:extLst>
        </xdr:cNvPr>
        <xdr:cNvSpPr>
          <a:spLocks noChangeAspect="1" noChangeArrowheads="1"/>
        </xdr:cNvSpPr>
      </xdr:nvSpPr>
      <xdr:spPr bwMode="auto">
        <a:xfrm>
          <a:off x="46110525" y="75752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57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10A0000}"/>
            </a:ext>
          </a:extLst>
        </xdr:cNvPr>
        <xdr:cNvSpPr>
          <a:spLocks noChangeAspect="1" noChangeArrowheads="1"/>
        </xdr:cNvSpPr>
      </xdr:nvSpPr>
      <xdr:spPr bwMode="auto">
        <a:xfrm>
          <a:off x="46110525" y="75752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57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20A0000}"/>
            </a:ext>
          </a:extLst>
        </xdr:cNvPr>
        <xdr:cNvSpPr>
          <a:spLocks noChangeAspect="1" noChangeArrowheads="1"/>
        </xdr:cNvSpPr>
      </xdr:nvSpPr>
      <xdr:spPr bwMode="auto">
        <a:xfrm>
          <a:off x="46110525" y="76047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57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30A0000}"/>
            </a:ext>
          </a:extLst>
        </xdr:cNvPr>
        <xdr:cNvSpPr>
          <a:spLocks noChangeAspect="1" noChangeArrowheads="1"/>
        </xdr:cNvSpPr>
      </xdr:nvSpPr>
      <xdr:spPr bwMode="auto">
        <a:xfrm>
          <a:off x="46110525" y="76047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58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40A0000}"/>
            </a:ext>
          </a:extLst>
        </xdr:cNvPr>
        <xdr:cNvSpPr>
          <a:spLocks noChangeAspect="1" noChangeArrowheads="1"/>
        </xdr:cNvSpPr>
      </xdr:nvSpPr>
      <xdr:spPr bwMode="auto">
        <a:xfrm>
          <a:off x="46110525" y="76342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58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50A0000}"/>
            </a:ext>
          </a:extLst>
        </xdr:cNvPr>
        <xdr:cNvSpPr>
          <a:spLocks noChangeAspect="1" noChangeArrowheads="1"/>
        </xdr:cNvSpPr>
      </xdr:nvSpPr>
      <xdr:spPr bwMode="auto">
        <a:xfrm>
          <a:off x="46110525" y="76342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58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60A0000}"/>
            </a:ext>
          </a:extLst>
        </xdr:cNvPr>
        <xdr:cNvSpPr>
          <a:spLocks noChangeAspect="1" noChangeArrowheads="1"/>
        </xdr:cNvSpPr>
      </xdr:nvSpPr>
      <xdr:spPr bwMode="auto">
        <a:xfrm>
          <a:off x="46110525" y="76638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58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70A0000}"/>
            </a:ext>
          </a:extLst>
        </xdr:cNvPr>
        <xdr:cNvSpPr>
          <a:spLocks noChangeAspect="1" noChangeArrowheads="1"/>
        </xdr:cNvSpPr>
      </xdr:nvSpPr>
      <xdr:spPr bwMode="auto">
        <a:xfrm>
          <a:off x="46110525" y="76638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58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80A0000}"/>
            </a:ext>
          </a:extLst>
        </xdr:cNvPr>
        <xdr:cNvSpPr>
          <a:spLocks noChangeAspect="1" noChangeArrowheads="1"/>
        </xdr:cNvSpPr>
      </xdr:nvSpPr>
      <xdr:spPr bwMode="auto">
        <a:xfrm>
          <a:off x="46110525" y="769334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58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90A0000}"/>
            </a:ext>
          </a:extLst>
        </xdr:cNvPr>
        <xdr:cNvSpPr>
          <a:spLocks noChangeAspect="1" noChangeArrowheads="1"/>
        </xdr:cNvSpPr>
      </xdr:nvSpPr>
      <xdr:spPr bwMode="auto">
        <a:xfrm>
          <a:off x="46110525" y="769334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58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A0A0000}"/>
            </a:ext>
          </a:extLst>
        </xdr:cNvPr>
        <xdr:cNvSpPr>
          <a:spLocks noChangeAspect="1" noChangeArrowheads="1"/>
        </xdr:cNvSpPr>
      </xdr:nvSpPr>
      <xdr:spPr bwMode="auto">
        <a:xfrm>
          <a:off x="46110525" y="7722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58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B0A0000}"/>
            </a:ext>
          </a:extLst>
        </xdr:cNvPr>
        <xdr:cNvSpPr>
          <a:spLocks noChangeAspect="1" noChangeArrowheads="1"/>
        </xdr:cNvSpPr>
      </xdr:nvSpPr>
      <xdr:spPr bwMode="auto">
        <a:xfrm>
          <a:off x="46110525" y="7722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58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C0A0000}"/>
            </a:ext>
          </a:extLst>
        </xdr:cNvPr>
        <xdr:cNvSpPr>
          <a:spLocks noChangeAspect="1" noChangeArrowheads="1"/>
        </xdr:cNvSpPr>
      </xdr:nvSpPr>
      <xdr:spPr bwMode="auto">
        <a:xfrm>
          <a:off x="46110525" y="775239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58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D0A0000}"/>
            </a:ext>
          </a:extLst>
        </xdr:cNvPr>
        <xdr:cNvSpPr>
          <a:spLocks noChangeAspect="1" noChangeArrowheads="1"/>
        </xdr:cNvSpPr>
      </xdr:nvSpPr>
      <xdr:spPr bwMode="auto">
        <a:xfrm>
          <a:off x="46110525" y="775239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59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E0A0000}"/>
            </a:ext>
          </a:extLst>
        </xdr:cNvPr>
        <xdr:cNvSpPr>
          <a:spLocks noChangeAspect="1" noChangeArrowheads="1"/>
        </xdr:cNvSpPr>
      </xdr:nvSpPr>
      <xdr:spPr bwMode="auto">
        <a:xfrm>
          <a:off x="46110525" y="77819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59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F0A0000}"/>
            </a:ext>
          </a:extLst>
        </xdr:cNvPr>
        <xdr:cNvSpPr>
          <a:spLocks noChangeAspect="1" noChangeArrowheads="1"/>
        </xdr:cNvSpPr>
      </xdr:nvSpPr>
      <xdr:spPr bwMode="auto">
        <a:xfrm>
          <a:off x="46110525" y="77819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59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00A0000}"/>
            </a:ext>
          </a:extLst>
        </xdr:cNvPr>
        <xdr:cNvSpPr>
          <a:spLocks noChangeAspect="1" noChangeArrowheads="1"/>
        </xdr:cNvSpPr>
      </xdr:nvSpPr>
      <xdr:spPr bwMode="auto">
        <a:xfrm>
          <a:off x="46110525" y="78114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59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10A0000}"/>
            </a:ext>
          </a:extLst>
        </xdr:cNvPr>
        <xdr:cNvSpPr>
          <a:spLocks noChangeAspect="1" noChangeArrowheads="1"/>
        </xdr:cNvSpPr>
      </xdr:nvSpPr>
      <xdr:spPr bwMode="auto">
        <a:xfrm>
          <a:off x="46110525" y="78114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59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20A0000}"/>
            </a:ext>
          </a:extLst>
        </xdr:cNvPr>
        <xdr:cNvSpPr>
          <a:spLocks noChangeAspect="1" noChangeArrowheads="1"/>
        </xdr:cNvSpPr>
      </xdr:nvSpPr>
      <xdr:spPr bwMode="auto">
        <a:xfrm>
          <a:off x="46110525" y="78409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59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30A0000}"/>
            </a:ext>
          </a:extLst>
        </xdr:cNvPr>
        <xdr:cNvSpPr>
          <a:spLocks noChangeAspect="1" noChangeArrowheads="1"/>
        </xdr:cNvSpPr>
      </xdr:nvSpPr>
      <xdr:spPr bwMode="auto">
        <a:xfrm>
          <a:off x="46110525" y="78409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59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40A0000}"/>
            </a:ext>
          </a:extLst>
        </xdr:cNvPr>
        <xdr:cNvSpPr>
          <a:spLocks noChangeAspect="1" noChangeArrowheads="1"/>
        </xdr:cNvSpPr>
      </xdr:nvSpPr>
      <xdr:spPr bwMode="auto">
        <a:xfrm>
          <a:off x="46110525" y="78705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59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50A0000}"/>
            </a:ext>
          </a:extLst>
        </xdr:cNvPr>
        <xdr:cNvSpPr>
          <a:spLocks noChangeAspect="1" noChangeArrowheads="1"/>
        </xdr:cNvSpPr>
      </xdr:nvSpPr>
      <xdr:spPr bwMode="auto">
        <a:xfrm>
          <a:off x="46110525" y="78705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59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60A0000}"/>
            </a:ext>
          </a:extLst>
        </xdr:cNvPr>
        <xdr:cNvSpPr>
          <a:spLocks noChangeAspect="1" noChangeArrowheads="1"/>
        </xdr:cNvSpPr>
      </xdr:nvSpPr>
      <xdr:spPr bwMode="auto">
        <a:xfrm>
          <a:off x="46110525" y="79000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59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70A0000}"/>
            </a:ext>
          </a:extLst>
        </xdr:cNvPr>
        <xdr:cNvSpPr>
          <a:spLocks noChangeAspect="1" noChangeArrowheads="1"/>
        </xdr:cNvSpPr>
      </xdr:nvSpPr>
      <xdr:spPr bwMode="auto">
        <a:xfrm>
          <a:off x="46110525" y="79000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60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80A0000}"/>
            </a:ext>
          </a:extLst>
        </xdr:cNvPr>
        <xdr:cNvSpPr>
          <a:spLocks noChangeAspect="1" noChangeArrowheads="1"/>
        </xdr:cNvSpPr>
      </xdr:nvSpPr>
      <xdr:spPr bwMode="auto">
        <a:xfrm>
          <a:off x="46110525" y="79295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60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90A0000}"/>
            </a:ext>
          </a:extLst>
        </xdr:cNvPr>
        <xdr:cNvSpPr>
          <a:spLocks noChangeAspect="1" noChangeArrowheads="1"/>
        </xdr:cNvSpPr>
      </xdr:nvSpPr>
      <xdr:spPr bwMode="auto">
        <a:xfrm>
          <a:off x="46110525" y="79295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60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A0A0000}"/>
            </a:ext>
          </a:extLst>
        </xdr:cNvPr>
        <xdr:cNvSpPr>
          <a:spLocks noChangeAspect="1" noChangeArrowheads="1"/>
        </xdr:cNvSpPr>
      </xdr:nvSpPr>
      <xdr:spPr bwMode="auto">
        <a:xfrm>
          <a:off x="46110525" y="79590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60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B0A0000}"/>
            </a:ext>
          </a:extLst>
        </xdr:cNvPr>
        <xdr:cNvSpPr>
          <a:spLocks noChangeAspect="1" noChangeArrowheads="1"/>
        </xdr:cNvSpPr>
      </xdr:nvSpPr>
      <xdr:spPr bwMode="auto">
        <a:xfrm>
          <a:off x="46110525" y="79590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60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C0A0000}"/>
            </a:ext>
          </a:extLst>
        </xdr:cNvPr>
        <xdr:cNvSpPr>
          <a:spLocks noChangeAspect="1" noChangeArrowheads="1"/>
        </xdr:cNvSpPr>
      </xdr:nvSpPr>
      <xdr:spPr bwMode="auto">
        <a:xfrm>
          <a:off x="46110525" y="798861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60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D0A0000}"/>
            </a:ext>
          </a:extLst>
        </xdr:cNvPr>
        <xdr:cNvSpPr>
          <a:spLocks noChangeAspect="1" noChangeArrowheads="1"/>
        </xdr:cNvSpPr>
      </xdr:nvSpPr>
      <xdr:spPr bwMode="auto">
        <a:xfrm>
          <a:off x="46110525" y="798861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60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E0A0000}"/>
            </a:ext>
          </a:extLst>
        </xdr:cNvPr>
        <xdr:cNvSpPr>
          <a:spLocks noChangeAspect="1" noChangeArrowheads="1"/>
        </xdr:cNvSpPr>
      </xdr:nvSpPr>
      <xdr:spPr bwMode="auto">
        <a:xfrm>
          <a:off x="46110525" y="80181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60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F0A0000}"/>
            </a:ext>
          </a:extLst>
        </xdr:cNvPr>
        <xdr:cNvSpPr>
          <a:spLocks noChangeAspect="1" noChangeArrowheads="1"/>
        </xdr:cNvSpPr>
      </xdr:nvSpPr>
      <xdr:spPr bwMode="auto">
        <a:xfrm>
          <a:off x="46110525" y="80181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60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00A0000}"/>
            </a:ext>
          </a:extLst>
        </xdr:cNvPr>
        <xdr:cNvSpPr>
          <a:spLocks noChangeAspect="1" noChangeArrowheads="1"/>
        </xdr:cNvSpPr>
      </xdr:nvSpPr>
      <xdr:spPr bwMode="auto">
        <a:xfrm>
          <a:off x="46110525" y="804767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60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10A0000}"/>
            </a:ext>
          </a:extLst>
        </xdr:cNvPr>
        <xdr:cNvSpPr>
          <a:spLocks noChangeAspect="1" noChangeArrowheads="1"/>
        </xdr:cNvSpPr>
      </xdr:nvSpPr>
      <xdr:spPr bwMode="auto">
        <a:xfrm>
          <a:off x="46110525" y="804767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61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20A0000}"/>
            </a:ext>
          </a:extLst>
        </xdr:cNvPr>
        <xdr:cNvSpPr>
          <a:spLocks noChangeAspect="1" noChangeArrowheads="1"/>
        </xdr:cNvSpPr>
      </xdr:nvSpPr>
      <xdr:spPr bwMode="auto">
        <a:xfrm>
          <a:off x="46110525" y="80772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61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30A0000}"/>
            </a:ext>
          </a:extLst>
        </xdr:cNvPr>
        <xdr:cNvSpPr>
          <a:spLocks noChangeAspect="1" noChangeArrowheads="1"/>
        </xdr:cNvSpPr>
      </xdr:nvSpPr>
      <xdr:spPr bwMode="auto">
        <a:xfrm>
          <a:off x="46110525" y="80772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61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40A0000}"/>
            </a:ext>
          </a:extLst>
        </xdr:cNvPr>
        <xdr:cNvSpPr>
          <a:spLocks noChangeAspect="1" noChangeArrowheads="1"/>
        </xdr:cNvSpPr>
      </xdr:nvSpPr>
      <xdr:spPr bwMode="auto">
        <a:xfrm>
          <a:off x="46110525" y="810672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61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50A0000}"/>
            </a:ext>
          </a:extLst>
        </xdr:cNvPr>
        <xdr:cNvSpPr>
          <a:spLocks noChangeAspect="1" noChangeArrowheads="1"/>
        </xdr:cNvSpPr>
      </xdr:nvSpPr>
      <xdr:spPr bwMode="auto">
        <a:xfrm>
          <a:off x="46110525" y="810672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61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60A0000}"/>
            </a:ext>
          </a:extLst>
        </xdr:cNvPr>
        <xdr:cNvSpPr>
          <a:spLocks noChangeAspect="1" noChangeArrowheads="1"/>
        </xdr:cNvSpPr>
      </xdr:nvSpPr>
      <xdr:spPr bwMode="auto">
        <a:xfrm>
          <a:off x="46110525" y="81362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61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70A0000}"/>
            </a:ext>
          </a:extLst>
        </xdr:cNvPr>
        <xdr:cNvSpPr>
          <a:spLocks noChangeAspect="1" noChangeArrowheads="1"/>
        </xdr:cNvSpPr>
      </xdr:nvSpPr>
      <xdr:spPr bwMode="auto">
        <a:xfrm>
          <a:off x="46110525" y="81362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61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80A0000}"/>
            </a:ext>
          </a:extLst>
        </xdr:cNvPr>
        <xdr:cNvSpPr>
          <a:spLocks noChangeAspect="1" noChangeArrowheads="1"/>
        </xdr:cNvSpPr>
      </xdr:nvSpPr>
      <xdr:spPr bwMode="auto">
        <a:xfrm>
          <a:off x="46110525" y="81657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61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90A0000}"/>
            </a:ext>
          </a:extLst>
        </xdr:cNvPr>
        <xdr:cNvSpPr>
          <a:spLocks noChangeAspect="1" noChangeArrowheads="1"/>
        </xdr:cNvSpPr>
      </xdr:nvSpPr>
      <xdr:spPr bwMode="auto">
        <a:xfrm>
          <a:off x="46110525" y="81657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61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A0A0000}"/>
            </a:ext>
          </a:extLst>
        </xdr:cNvPr>
        <xdr:cNvSpPr>
          <a:spLocks noChangeAspect="1" noChangeArrowheads="1"/>
        </xdr:cNvSpPr>
      </xdr:nvSpPr>
      <xdr:spPr bwMode="auto">
        <a:xfrm>
          <a:off x="46110525" y="81953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61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B0A0000}"/>
            </a:ext>
          </a:extLst>
        </xdr:cNvPr>
        <xdr:cNvSpPr>
          <a:spLocks noChangeAspect="1" noChangeArrowheads="1"/>
        </xdr:cNvSpPr>
      </xdr:nvSpPr>
      <xdr:spPr bwMode="auto">
        <a:xfrm>
          <a:off x="46110525" y="81953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62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C0A0000}"/>
            </a:ext>
          </a:extLst>
        </xdr:cNvPr>
        <xdr:cNvSpPr>
          <a:spLocks noChangeAspect="1" noChangeArrowheads="1"/>
        </xdr:cNvSpPr>
      </xdr:nvSpPr>
      <xdr:spPr bwMode="auto">
        <a:xfrm>
          <a:off x="46110525" y="82248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62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D0A0000}"/>
            </a:ext>
          </a:extLst>
        </xdr:cNvPr>
        <xdr:cNvSpPr>
          <a:spLocks noChangeAspect="1" noChangeArrowheads="1"/>
        </xdr:cNvSpPr>
      </xdr:nvSpPr>
      <xdr:spPr bwMode="auto">
        <a:xfrm>
          <a:off x="46110525" y="82248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62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E0A0000}"/>
            </a:ext>
          </a:extLst>
        </xdr:cNvPr>
        <xdr:cNvSpPr>
          <a:spLocks noChangeAspect="1" noChangeArrowheads="1"/>
        </xdr:cNvSpPr>
      </xdr:nvSpPr>
      <xdr:spPr bwMode="auto">
        <a:xfrm>
          <a:off x="46110525" y="82543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62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F0A0000}"/>
            </a:ext>
          </a:extLst>
        </xdr:cNvPr>
        <xdr:cNvSpPr>
          <a:spLocks noChangeAspect="1" noChangeArrowheads="1"/>
        </xdr:cNvSpPr>
      </xdr:nvSpPr>
      <xdr:spPr bwMode="auto">
        <a:xfrm>
          <a:off x="46110525" y="82543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62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00A0000}"/>
            </a:ext>
          </a:extLst>
        </xdr:cNvPr>
        <xdr:cNvSpPr>
          <a:spLocks noChangeAspect="1" noChangeArrowheads="1"/>
        </xdr:cNvSpPr>
      </xdr:nvSpPr>
      <xdr:spPr bwMode="auto">
        <a:xfrm>
          <a:off x="46110525" y="828389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62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10A0000}"/>
            </a:ext>
          </a:extLst>
        </xdr:cNvPr>
        <xdr:cNvSpPr>
          <a:spLocks noChangeAspect="1" noChangeArrowheads="1"/>
        </xdr:cNvSpPr>
      </xdr:nvSpPr>
      <xdr:spPr bwMode="auto">
        <a:xfrm>
          <a:off x="46110525" y="828389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62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20A0000}"/>
            </a:ext>
          </a:extLst>
        </xdr:cNvPr>
        <xdr:cNvSpPr>
          <a:spLocks noChangeAspect="1" noChangeArrowheads="1"/>
        </xdr:cNvSpPr>
      </xdr:nvSpPr>
      <xdr:spPr bwMode="auto">
        <a:xfrm>
          <a:off x="46110525" y="83134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62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30A0000}"/>
            </a:ext>
          </a:extLst>
        </xdr:cNvPr>
        <xdr:cNvSpPr>
          <a:spLocks noChangeAspect="1" noChangeArrowheads="1"/>
        </xdr:cNvSpPr>
      </xdr:nvSpPr>
      <xdr:spPr bwMode="auto">
        <a:xfrm>
          <a:off x="46110525" y="83134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62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40A0000}"/>
            </a:ext>
          </a:extLst>
        </xdr:cNvPr>
        <xdr:cNvSpPr>
          <a:spLocks noChangeAspect="1" noChangeArrowheads="1"/>
        </xdr:cNvSpPr>
      </xdr:nvSpPr>
      <xdr:spPr bwMode="auto">
        <a:xfrm>
          <a:off x="46110525" y="834294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62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50A0000}"/>
            </a:ext>
          </a:extLst>
        </xdr:cNvPr>
        <xdr:cNvSpPr>
          <a:spLocks noChangeAspect="1" noChangeArrowheads="1"/>
        </xdr:cNvSpPr>
      </xdr:nvSpPr>
      <xdr:spPr bwMode="auto">
        <a:xfrm>
          <a:off x="46110525" y="834294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63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60A0000}"/>
            </a:ext>
          </a:extLst>
        </xdr:cNvPr>
        <xdr:cNvSpPr>
          <a:spLocks noChangeAspect="1" noChangeArrowheads="1"/>
        </xdr:cNvSpPr>
      </xdr:nvSpPr>
      <xdr:spPr bwMode="auto">
        <a:xfrm>
          <a:off x="46110525" y="83724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63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70A0000}"/>
            </a:ext>
          </a:extLst>
        </xdr:cNvPr>
        <xdr:cNvSpPr>
          <a:spLocks noChangeAspect="1" noChangeArrowheads="1"/>
        </xdr:cNvSpPr>
      </xdr:nvSpPr>
      <xdr:spPr bwMode="auto">
        <a:xfrm>
          <a:off x="46110525" y="83724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63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80A0000}"/>
            </a:ext>
          </a:extLst>
        </xdr:cNvPr>
        <xdr:cNvSpPr>
          <a:spLocks noChangeAspect="1" noChangeArrowheads="1"/>
        </xdr:cNvSpPr>
      </xdr:nvSpPr>
      <xdr:spPr bwMode="auto">
        <a:xfrm>
          <a:off x="46110525" y="84020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63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90A0000}"/>
            </a:ext>
          </a:extLst>
        </xdr:cNvPr>
        <xdr:cNvSpPr>
          <a:spLocks noChangeAspect="1" noChangeArrowheads="1"/>
        </xdr:cNvSpPr>
      </xdr:nvSpPr>
      <xdr:spPr bwMode="auto">
        <a:xfrm>
          <a:off x="46110525" y="84020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63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A0A0000}"/>
            </a:ext>
          </a:extLst>
        </xdr:cNvPr>
        <xdr:cNvSpPr>
          <a:spLocks noChangeAspect="1" noChangeArrowheads="1"/>
        </xdr:cNvSpPr>
      </xdr:nvSpPr>
      <xdr:spPr bwMode="auto">
        <a:xfrm>
          <a:off x="46110525" y="84315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63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B0A0000}"/>
            </a:ext>
          </a:extLst>
        </xdr:cNvPr>
        <xdr:cNvSpPr>
          <a:spLocks noChangeAspect="1" noChangeArrowheads="1"/>
        </xdr:cNvSpPr>
      </xdr:nvSpPr>
      <xdr:spPr bwMode="auto">
        <a:xfrm>
          <a:off x="46110525" y="84315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63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C0A0000}"/>
            </a:ext>
          </a:extLst>
        </xdr:cNvPr>
        <xdr:cNvSpPr>
          <a:spLocks noChangeAspect="1" noChangeArrowheads="1"/>
        </xdr:cNvSpPr>
      </xdr:nvSpPr>
      <xdr:spPr bwMode="auto">
        <a:xfrm>
          <a:off x="46110525" y="84610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63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D0A0000}"/>
            </a:ext>
          </a:extLst>
        </xdr:cNvPr>
        <xdr:cNvSpPr>
          <a:spLocks noChangeAspect="1" noChangeArrowheads="1"/>
        </xdr:cNvSpPr>
      </xdr:nvSpPr>
      <xdr:spPr bwMode="auto">
        <a:xfrm>
          <a:off x="46110525" y="84610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63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E0A0000}"/>
            </a:ext>
          </a:extLst>
        </xdr:cNvPr>
        <xdr:cNvSpPr>
          <a:spLocks noChangeAspect="1" noChangeArrowheads="1"/>
        </xdr:cNvSpPr>
      </xdr:nvSpPr>
      <xdr:spPr bwMode="auto">
        <a:xfrm>
          <a:off x="46110525" y="84905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63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F0A0000}"/>
            </a:ext>
          </a:extLst>
        </xdr:cNvPr>
        <xdr:cNvSpPr>
          <a:spLocks noChangeAspect="1" noChangeArrowheads="1"/>
        </xdr:cNvSpPr>
      </xdr:nvSpPr>
      <xdr:spPr bwMode="auto">
        <a:xfrm>
          <a:off x="46110525" y="84905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64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00A0000}"/>
            </a:ext>
          </a:extLst>
        </xdr:cNvPr>
        <xdr:cNvSpPr>
          <a:spLocks noChangeAspect="1" noChangeArrowheads="1"/>
        </xdr:cNvSpPr>
      </xdr:nvSpPr>
      <xdr:spPr bwMode="auto">
        <a:xfrm>
          <a:off x="46110525" y="852011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64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10A0000}"/>
            </a:ext>
          </a:extLst>
        </xdr:cNvPr>
        <xdr:cNvSpPr>
          <a:spLocks noChangeAspect="1" noChangeArrowheads="1"/>
        </xdr:cNvSpPr>
      </xdr:nvSpPr>
      <xdr:spPr bwMode="auto">
        <a:xfrm>
          <a:off x="46110525" y="852011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64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20A0000}"/>
            </a:ext>
          </a:extLst>
        </xdr:cNvPr>
        <xdr:cNvSpPr>
          <a:spLocks noChangeAspect="1" noChangeArrowheads="1"/>
        </xdr:cNvSpPr>
      </xdr:nvSpPr>
      <xdr:spPr bwMode="auto">
        <a:xfrm>
          <a:off x="46110525" y="85496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64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30A0000}"/>
            </a:ext>
          </a:extLst>
        </xdr:cNvPr>
        <xdr:cNvSpPr>
          <a:spLocks noChangeAspect="1" noChangeArrowheads="1"/>
        </xdr:cNvSpPr>
      </xdr:nvSpPr>
      <xdr:spPr bwMode="auto">
        <a:xfrm>
          <a:off x="46110525" y="85496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64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40A0000}"/>
            </a:ext>
          </a:extLst>
        </xdr:cNvPr>
        <xdr:cNvSpPr>
          <a:spLocks noChangeAspect="1" noChangeArrowheads="1"/>
        </xdr:cNvSpPr>
      </xdr:nvSpPr>
      <xdr:spPr bwMode="auto">
        <a:xfrm>
          <a:off x="46110525" y="857916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64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50A0000}"/>
            </a:ext>
          </a:extLst>
        </xdr:cNvPr>
        <xdr:cNvSpPr>
          <a:spLocks noChangeAspect="1" noChangeArrowheads="1"/>
        </xdr:cNvSpPr>
      </xdr:nvSpPr>
      <xdr:spPr bwMode="auto">
        <a:xfrm>
          <a:off x="46110525" y="857916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64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60A0000}"/>
            </a:ext>
          </a:extLst>
        </xdr:cNvPr>
        <xdr:cNvSpPr>
          <a:spLocks noChangeAspect="1" noChangeArrowheads="1"/>
        </xdr:cNvSpPr>
      </xdr:nvSpPr>
      <xdr:spPr bwMode="auto">
        <a:xfrm>
          <a:off x="46110525" y="86086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64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70A0000}"/>
            </a:ext>
          </a:extLst>
        </xdr:cNvPr>
        <xdr:cNvSpPr>
          <a:spLocks noChangeAspect="1" noChangeArrowheads="1"/>
        </xdr:cNvSpPr>
      </xdr:nvSpPr>
      <xdr:spPr bwMode="auto">
        <a:xfrm>
          <a:off x="46110525" y="86086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64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80A0000}"/>
            </a:ext>
          </a:extLst>
        </xdr:cNvPr>
        <xdr:cNvSpPr>
          <a:spLocks noChangeAspect="1" noChangeArrowheads="1"/>
        </xdr:cNvSpPr>
      </xdr:nvSpPr>
      <xdr:spPr bwMode="auto">
        <a:xfrm>
          <a:off x="46110525" y="86382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64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90A0000}"/>
            </a:ext>
          </a:extLst>
        </xdr:cNvPr>
        <xdr:cNvSpPr>
          <a:spLocks noChangeAspect="1" noChangeArrowheads="1"/>
        </xdr:cNvSpPr>
      </xdr:nvSpPr>
      <xdr:spPr bwMode="auto">
        <a:xfrm>
          <a:off x="46110525" y="86382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65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A0A0000}"/>
            </a:ext>
          </a:extLst>
        </xdr:cNvPr>
        <xdr:cNvSpPr>
          <a:spLocks noChangeAspect="1" noChangeArrowheads="1"/>
        </xdr:cNvSpPr>
      </xdr:nvSpPr>
      <xdr:spPr bwMode="auto">
        <a:xfrm>
          <a:off x="46110525" y="8667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65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B0A0000}"/>
            </a:ext>
          </a:extLst>
        </xdr:cNvPr>
        <xdr:cNvSpPr>
          <a:spLocks noChangeAspect="1" noChangeArrowheads="1"/>
        </xdr:cNvSpPr>
      </xdr:nvSpPr>
      <xdr:spPr bwMode="auto">
        <a:xfrm>
          <a:off x="46110525" y="8667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65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C0A0000}"/>
            </a:ext>
          </a:extLst>
        </xdr:cNvPr>
        <xdr:cNvSpPr>
          <a:spLocks noChangeAspect="1" noChangeArrowheads="1"/>
        </xdr:cNvSpPr>
      </xdr:nvSpPr>
      <xdr:spPr bwMode="auto">
        <a:xfrm>
          <a:off x="46110525" y="869727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65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D0A0000}"/>
            </a:ext>
          </a:extLst>
        </xdr:cNvPr>
        <xdr:cNvSpPr>
          <a:spLocks noChangeAspect="1" noChangeArrowheads="1"/>
        </xdr:cNvSpPr>
      </xdr:nvSpPr>
      <xdr:spPr bwMode="auto">
        <a:xfrm>
          <a:off x="46110525" y="869727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65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E0A0000}"/>
            </a:ext>
          </a:extLst>
        </xdr:cNvPr>
        <xdr:cNvSpPr>
          <a:spLocks noChangeAspect="1" noChangeArrowheads="1"/>
        </xdr:cNvSpPr>
      </xdr:nvSpPr>
      <xdr:spPr bwMode="auto">
        <a:xfrm>
          <a:off x="46110525" y="87268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65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F0A0000}"/>
            </a:ext>
          </a:extLst>
        </xdr:cNvPr>
        <xdr:cNvSpPr>
          <a:spLocks noChangeAspect="1" noChangeArrowheads="1"/>
        </xdr:cNvSpPr>
      </xdr:nvSpPr>
      <xdr:spPr bwMode="auto">
        <a:xfrm>
          <a:off x="46110525" y="87268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65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00A0000}"/>
            </a:ext>
          </a:extLst>
        </xdr:cNvPr>
        <xdr:cNvSpPr>
          <a:spLocks noChangeAspect="1" noChangeArrowheads="1"/>
        </xdr:cNvSpPr>
      </xdr:nvSpPr>
      <xdr:spPr bwMode="auto">
        <a:xfrm>
          <a:off x="46110525" y="87563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65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10A0000}"/>
            </a:ext>
          </a:extLst>
        </xdr:cNvPr>
        <xdr:cNvSpPr>
          <a:spLocks noChangeAspect="1" noChangeArrowheads="1"/>
        </xdr:cNvSpPr>
      </xdr:nvSpPr>
      <xdr:spPr bwMode="auto">
        <a:xfrm>
          <a:off x="46110525" y="87563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65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20A0000}"/>
            </a:ext>
          </a:extLst>
        </xdr:cNvPr>
        <xdr:cNvSpPr>
          <a:spLocks noChangeAspect="1" noChangeArrowheads="1"/>
        </xdr:cNvSpPr>
      </xdr:nvSpPr>
      <xdr:spPr bwMode="auto">
        <a:xfrm>
          <a:off x="46110525" y="87858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65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30A0000}"/>
            </a:ext>
          </a:extLst>
        </xdr:cNvPr>
        <xdr:cNvSpPr>
          <a:spLocks noChangeAspect="1" noChangeArrowheads="1"/>
        </xdr:cNvSpPr>
      </xdr:nvSpPr>
      <xdr:spPr bwMode="auto">
        <a:xfrm>
          <a:off x="46110525" y="87858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66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40A0000}"/>
            </a:ext>
          </a:extLst>
        </xdr:cNvPr>
        <xdr:cNvSpPr>
          <a:spLocks noChangeAspect="1" noChangeArrowheads="1"/>
        </xdr:cNvSpPr>
      </xdr:nvSpPr>
      <xdr:spPr bwMode="auto">
        <a:xfrm>
          <a:off x="46110525" y="88153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66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50A0000}"/>
            </a:ext>
          </a:extLst>
        </xdr:cNvPr>
        <xdr:cNvSpPr>
          <a:spLocks noChangeAspect="1" noChangeArrowheads="1"/>
        </xdr:cNvSpPr>
      </xdr:nvSpPr>
      <xdr:spPr bwMode="auto">
        <a:xfrm>
          <a:off x="46110525" y="88153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66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60A0000}"/>
            </a:ext>
          </a:extLst>
        </xdr:cNvPr>
        <xdr:cNvSpPr>
          <a:spLocks noChangeAspect="1" noChangeArrowheads="1"/>
        </xdr:cNvSpPr>
      </xdr:nvSpPr>
      <xdr:spPr bwMode="auto">
        <a:xfrm>
          <a:off x="46110525" y="88449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66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70A0000}"/>
            </a:ext>
          </a:extLst>
        </xdr:cNvPr>
        <xdr:cNvSpPr>
          <a:spLocks noChangeAspect="1" noChangeArrowheads="1"/>
        </xdr:cNvSpPr>
      </xdr:nvSpPr>
      <xdr:spPr bwMode="auto">
        <a:xfrm>
          <a:off x="46110525" y="88449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66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80A0000}"/>
            </a:ext>
          </a:extLst>
        </xdr:cNvPr>
        <xdr:cNvSpPr>
          <a:spLocks noChangeAspect="1" noChangeArrowheads="1"/>
        </xdr:cNvSpPr>
      </xdr:nvSpPr>
      <xdr:spPr bwMode="auto">
        <a:xfrm>
          <a:off x="46110525" y="887444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66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90A0000}"/>
            </a:ext>
          </a:extLst>
        </xdr:cNvPr>
        <xdr:cNvSpPr>
          <a:spLocks noChangeAspect="1" noChangeArrowheads="1"/>
        </xdr:cNvSpPr>
      </xdr:nvSpPr>
      <xdr:spPr bwMode="auto">
        <a:xfrm>
          <a:off x="46110525" y="887444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66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A0A0000}"/>
            </a:ext>
          </a:extLst>
        </xdr:cNvPr>
        <xdr:cNvSpPr>
          <a:spLocks noChangeAspect="1" noChangeArrowheads="1"/>
        </xdr:cNvSpPr>
      </xdr:nvSpPr>
      <xdr:spPr bwMode="auto">
        <a:xfrm>
          <a:off x="46110525" y="8903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66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B0A0000}"/>
            </a:ext>
          </a:extLst>
        </xdr:cNvPr>
        <xdr:cNvSpPr>
          <a:spLocks noChangeAspect="1" noChangeArrowheads="1"/>
        </xdr:cNvSpPr>
      </xdr:nvSpPr>
      <xdr:spPr bwMode="auto">
        <a:xfrm>
          <a:off x="46110525" y="8903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66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C0A0000}"/>
            </a:ext>
          </a:extLst>
        </xdr:cNvPr>
        <xdr:cNvSpPr>
          <a:spLocks noChangeAspect="1" noChangeArrowheads="1"/>
        </xdr:cNvSpPr>
      </xdr:nvSpPr>
      <xdr:spPr bwMode="auto">
        <a:xfrm>
          <a:off x="46110525" y="893349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66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D0A0000}"/>
            </a:ext>
          </a:extLst>
        </xdr:cNvPr>
        <xdr:cNvSpPr>
          <a:spLocks noChangeAspect="1" noChangeArrowheads="1"/>
        </xdr:cNvSpPr>
      </xdr:nvSpPr>
      <xdr:spPr bwMode="auto">
        <a:xfrm>
          <a:off x="46110525" y="893349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67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E0A0000}"/>
            </a:ext>
          </a:extLst>
        </xdr:cNvPr>
        <xdr:cNvSpPr>
          <a:spLocks noChangeAspect="1" noChangeArrowheads="1"/>
        </xdr:cNvSpPr>
      </xdr:nvSpPr>
      <xdr:spPr bwMode="auto">
        <a:xfrm>
          <a:off x="46110525" y="89630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67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F0A0000}"/>
            </a:ext>
          </a:extLst>
        </xdr:cNvPr>
        <xdr:cNvSpPr>
          <a:spLocks noChangeAspect="1" noChangeArrowheads="1"/>
        </xdr:cNvSpPr>
      </xdr:nvSpPr>
      <xdr:spPr bwMode="auto">
        <a:xfrm>
          <a:off x="46110525" y="89630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67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00A0000}"/>
            </a:ext>
          </a:extLst>
        </xdr:cNvPr>
        <xdr:cNvSpPr>
          <a:spLocks noChangeAspect="1" noChangeArrowheads="1"/>
        </xdr:cNvSpPr>
      </xdr:nvSpPr>
      <xdr:spPr bwMode="auto">
        <a:xfrm>
          <a:off x="46110525" y="89925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67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10A0000}"/>
            </a:ext>
          </a:extLst>
        </xdr:cNvPr>
        <xdr:cNvSpPr>
          <a:spLocks noChangeAspect="1" noChangeArrowheads="1"/>
        </xdr:cNvSpPr>
      </xdr:nvSpPr>
      <xdr:spPr bwMode="auto">
        <a:xfrm>
          <a:off x="46110525" y="89925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67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20A0000}"/>
            </a:ext>
          </a:extLst>
        </xdr:cNvPr>
        <xdr:cNvSpPr>
          <a:spLocks noChangeAspect="1" noChangeArrowheads="1"/>
        </xdr:cNvSpPr>
      </xdr:nvSpPr>
      <xdr:spPr bwMode="auto">
        <a:xfrm>
          <a:off x="46110525" y="90220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67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30A0000}"/>
            </a:ext>
          </a:extLst>
        </xdr:cNvPr>
        <xdr:cNvSpPr>
          <a:spLocks noChangeAspect="1" noChangeArrowheads="1"/>
        </xdr:cNvSpPr>
      </xdr:nvSpPr>
      <xdr:spPr bwMode="auto">
        <a:xfrm>
          <a:off x="46110525" y="90220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67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40A0000}"/>
            </a:ext>
          </a:extLst>
        </xdr:cNvPr>
        <xdr:cNvSpPr>
          <a:spLocks noChangeAspect="1" noChangeArrowheads="1"/>
        </xdr:cNvSpPr>
      </xdr:nvSpPr>
      <xdr:spPr bwMode="auto">
        <a:xfrm>
          <a:off x="46110525" y="90516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67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50A0000}"/>
            </a:ext>
          </a:extLst>
        </xdr:cNvPr>
        <xdr:cNvSpPr>
          <a:spLocks noChangeAspect="1" noChangeArrowheads="1"/>
        </xdr:cNvSpPr>
      </xdr:nvSpPr>
      <xdr:spPr bwMode="auto">
        <a:xfrm>
          <a:off x="46110525" y="90516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67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60A0000}"/>
            </a:ext>
          </a:extLst>
        </xdr:cNvPr>
        <xdr:cNvSpPr>
          <a:spLocks noChangeAspect="1" noChangeArrowheads="1"/>
        </xdr:cNvSpPr>
      </xdr:nvSpPr>
      <xdr:spPr bwMode="auto">
        <a:xfrm>
          <a:off x="46110525" y="90811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67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70A0000}"/>
            </a:ext>
          </a:extLst>
        </xdr:cNvPr>
        <xdr:cNvSpPr>
          <a:spLocks noChangeAspect="1" noChangeArrowheads="1"/>
        </xdr:cNvSpPr>
      </xdr:nvSpPr>
      <xdr:spPr bwMode="auto">
        <a:xfrm>
          <a:off x="46110525" y="90811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68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80A0000}"/>
            </a:ext>
          </a:extLst>
        </xdr:cNvPr>
        <xdr:cNvSpPr>
          <a:spLocks noChangeAspect="1" noChangeArrowheads="1"/>
        </xdr:cNvSpPr>
      </xdr:nvSpPr>
      <xdr:spPr bwMode="auto">
        <a:xfrm>
          <a:off x="46110525" y="91106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68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90A0000}"/>
            </a:ext>
          </a:extLst>
        </xdr:cNvPr>
        <xdr:cNvSpPr>
          <a:spLocks noChangeAspect="1" noChangeArrowheads="1"/>
        </xdr:cNvSpPr>
      </xdr:nvSpPr>
      <xdr:spPr bwMode="auto">
        <a:xfrm>
          <a:off x="46110525" y="91106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68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A0A0000}"/>
            </a:ext>
          </a:extLst>
        </xdr:cNvPr>
        <xdr:cNvSpPr>
          <a:spLocks noChangeAspect="1" noChangeArrowheads="1"/>
        </xdr:cNvSpPr>
      </xdr:nvSpPr>
      <xdr:spPr bwMode="auto">
        <a:xfrm>
          <a:off x="46110525" y="91401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68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B0A0000}"/>
            </a:ext>
          </a:extLst>
        </xdr:cNvPr>
        <xdr:cNvSpPr>
          <a:spLocks noChangeAspect="1" noChangeArrowheads="1"/>
        </xdr:cNvSpPr>
      </xdr:nvSpPr>
      <xdr:spPr bwMode="auto">
        <a:xfrm>
          <a:off x="46110525" y="91401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68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C0A0000}"/>
            </a:ext>
          </a:extLst>
        </xdr:cNvPr>
        <xdr:cNvSpPr>
          <a:spLocks noChangeAspect="1" noChangeArrowheads="1"/>
        </xdr:cNvSpPr>
      </xdr:nvSpPr>
      <xdr:spPr bwMode="auto">
        <a:xfrm>
          <a:off x="46110525" y="916971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68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D0A0000}"/>
            </a:ext>
          </a:extLst>
        </xdr:cNvPr>
        <xdr:cNvSpPr>
          <a:spLocks noChangeAspect="1" noChangeArrowheads="1"/>
        </xdr:cNvSpPr>
      </xdr:nvSpPr>
      <xdr:spPr bwMode="auto">
        <a:xfrm>
          <a:off x="46110525" y="916971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68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E0A0000}"/>
            </a:ext>
          </a:extLst>
        </xdr:cNvPr>
        <xdr:cNvSpPr>
          <a:spLocks noChangeAspect="1" noChangeArrowheads="1"/>
        </xdr:cNvSpPr>
      </xdr:nvSpPr>
      <xdr:spPr bwMode="auto">
        <a:xfrm>
          <a:off x="46110525" y="91992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68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F0A0000}"/>
            </a:ext>
          </a:extLst>
        </xdr:cNvPr>
        <xdr:cNvSpPr>
          <a:spLocks noChangeAspect="1" noChangeArrowheads="1"/>
        </xdr:cNvSpPr>
      </xdr:nvSpPr>
      <xdr:spPr bwMode="auto">
        <a:xfrm>
          <a:off x="46110525" y="91992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68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00A0000}"/>
            </a:ext>
          </a:extLst>
        </xdr:cNvPr>
        <xdr:cNvSpPr>
          <a:spLocks noChangeAspect="1" noChangeArrowheads="1"/>
        </xdr:cNvSpPr>
      </xdr:nvSpPr>
      <xdr:spPr bwMode="auto">
        <a:xfrm>
          <a:off x="46110525" y="922877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68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10A0000}"/>
            </a:ext>
          </a:extLst>
        </xdr:cNvPr>
        <xdr:cNvSpPr>
          <a:spLocks noChangeAspect="1" noChangeArrowheads="1"/>
        </xdr:cNvSpPr>
      </xdr:nvSpPr>
      <xdr:spPr bwMode="auto">
        <a:xfrm>
          <a:off x="46110525" y="922877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69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20A0000}"/>
            </a:ext>
          </a:extLst>
        </xdr:cNvPr>
        <xdr:cNvSpPr>
          <a:spLocks noChangeAspect="1" noChangeArrowheads="1"/>
        </xdr:cNvSpPr>
      </xdr:nvSpPr>
      <xdr:spPr bwMode="auto">
        <a:xfrm>
          <a:off x="46110525" y="92583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69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30A0000}"/>
            </a:ext>
          </a:extLst>
        </xdr:cNvPr>
        <xdr:cNvSpPr>
          <a:spLocks noChangeAspect="1" noChangeArrowheads="1"/>
        </xdr:cNvSpPr>
      </xdr:nvSpPr>
      <xdr:spPr bwMode="auto">
        <a:xfrm>
          <a:off x="46110525" y="92583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69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40A0000}"/>
            </a:ext>
          </a:extLst>
        </xdr:cNvPr>
        <xdr:cNvSpPr>
          <a:spLocks noChangeAspect="1" noChangeArrowheads="1"/>
        </xdr:cNvSpPr>
      </xdr:nvSpPr>
      <xdr:spPr bwMode="auto">
        <a:xfrm>
          <a:off x="46110525" y="928782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69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50A0000}"/>
            </a:ext>
          </a:extLst>
        </xdr:cNvPr>
        <xdr:cNvSpPr>
          <a:spLocks noChangeAspect="1" noChangeArrowheads="1"/>
        </xdr:cNvSpPr>
      </xdr:nvSpPr>
      <xdr:spPr bwMode="auto">
        <a:xfrm>
          <a:off x="46110525" y="928782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69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60A0000}"/>
            </a:ext>
          </a:extLst>
        </xdr:cNvPr>
        <xdr:cNvSpPr>
          <a:spLocks noChangeAspect="1" noChangeArrowheads="1"/>
        </xdr:cNvSpPr>
      </xdr:nvSpPr>
      <xdr:spPr bwMode="auto">
        <a:xfrm>
          <a:off x="46110525" y="93173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69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70A0000}"/>
            </a:ext>
          </a:extLst>
        </xdr:cNvPr>
        <xdr:cNvSpPr>
          <a:spLocks noChangeAspect="1" noChangeArrowheads="1"/>
        </xdr:cNvSpPr>
      </xdr:nvSpPr>
      <xdr:spPr bwMode="auto">
        <a:xfrm>
          <a:off x="46110525" y="93173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69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80A0000}"/>
            </a:ext>
          </a:extLst>
        </xdr:cNvPr>
        <xdr:cNvSpPr>
          <a:spLocks noChangeAspect="1" noChangeArrowheads="1"/>
        </xdr:cNvSpPr>
      </xdr:nvSpPr>
      <xdr:spPr bwMode="auto">
        <a:xfrm>
          <a:off x="46110525" y="93468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69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90A0000}"/>
            </a:ext>
          </a:extLst>
        </xdr:cNvPr>
        <xdr:cNvSpPr>
          <a:spLocks noChangeAspect="1" noChangeArrowheads="1"/>
        </xdr:cNvSpPr>
      </xdr:nvSpPr>
      <xdr:spPr bwMode="auto">
        <a:xfrm>
          <a:off x="46110525" y="93468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69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A0A0000}"/>
            </a:ext>
          </a:extLst>
        </xdr:cNvPr>
        <xdr:cNvSpPr>
          <a:spLocks noChangeAspect="1" noChangeArrowheads="1"/>
        </xdr:cNvSpPr>
      </xdr:nvSpPr>
      <xdr:spPr bwMode="auto">
        <a:xfrm>
          <a:off x="46110525" y="93764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69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B0A0000}"/>
            </a:ext>
          </a:extLst>
        </xdr:cNvPr>
        <xdr:cNvSpPr>
          <a:spLocks noChangeAspect="1" noChangeArrowheads="1"/>
        </xdr:cNvSpPr>
      </xdr:nvSpPr>
      <xdr:spPr bwMode="auto">
        <a:xfrm>
          <a:off x="46110525" y="93764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70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C0A0000}"/>
            </a:ext>
          </a:extLst>
        </xdr:cNvPr>
        <xdr:cNvSpPr>
          <a:spLocks noChangeAspect="1" noChangeArrowheads="1"/>
        </xdr:cNvSpPr>
      </xdr:nvSpPr>
      <xdr:spPr bwMode="auto">
        <a:xfrm>
          <a:off x="46110525" y="94059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70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D0A0000}"/>
            </a:ext>
          </a:extLst>
        </xdr:cNvPr>
        <xdr:cNvSpPr>
          <a:spLocks noChangeAspect="1" noChangeArrowheads="1"/>
        </xdr:cNvSpPr>
      </xdr:nvSpPr>
      <xdr:spPr bwMode="auto">
        <a:xfrm>
          <a:off x="46110525" y="94059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70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E0A0000}"/>
            </a:ext>
          </a:extLst>
        </xdr:cNvPr>
        <xdr:cNvSpPr>
          <a:spLocks noChangeAspect="1" noChangeArrowheads="1"/>
        </xdr:cNvSpPr>
      </xdr:nvSpPr>
      <xdr:spPr bwMode="auto">
        <a:xfrm>
          <a:off x="46110525" y="94059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70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F0A0000}"/>
            </a:ext>
          </a:extLst>
        </xdr:cNvPr>
        <xdr:cNvSpPr>
          <a:spLocks noChangeAspect="1" noChangeArrowheads="1"/>
        </xdr:cNvSpPr>
      </xdr:nvSpPr>
      <xdr:spPr bwMode="auto">
        <a:xfrm>
          <a:off x="46110525" y="94059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70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00A0000}"/>
            </a:ext>
          </a:extLst>
        </xdr:cNvPr>
        <xdr:cNvSpPr>
          <a:spLocks noChangeAspect="1" noChangeArrowheads="1"/>
        </xdr:cNvSpPr>
      </xdr:nvSpPr>
      <xdr:spPr bwMode="auto">
        <a:xfrm>
          <a:off x="46110525" y="94059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70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10A0000}"/>
            </a:ext>
          </a:extLst>
        </xdr:cNvPr>
        <xdr:cNvSpPr>
          <a:spLocks noChangeAspect="1" noChangeArrowheads="1"/>
        </xdr:cNvSpPr>
      </xdr:nvSpPr>
      <xdr:spPr bwMode="auto">
        <a:xfrm>
          <a:off x="46110525" y="94059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70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20A0000}"/>
            </a:ext>
          </a:extLst>
        </xdr:cNvPr>
        <xdr:cNvSpPr>
          <a:spLocks noChangeAspect="1" noChangeArrowheads="1"/>
        </xdr:cNvSpPr>
      </xdr:nvSpPr>
      <xdr:spPr bwMode="auto">
        <a:xfrm>
          <a:off x="46110525" y="94059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70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30A0000}"/>
            </a:ext>
          </a:extLst>
        </xdr:cNvPr>
        <xdr:cNvSpPr>
          <a:spLocks noChangeAspect="1" noChangeArrowheads="1"/>
        </xdr:cNvSpPr>
      </xdr:nvSpPr>
      <xdr:spPr bwMode="auto">
        <a:xfrm>
          <a:off x="46110525" y="94059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70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40A0000}"/>
            </a:ext>
          </a:extLst>
        </xdr:cNvPr>
        <xdr:cNvSpPr>
          <a:spLocks noChangeAspect="1" noChangeArrowheads="1"/>
        </xdr:cNvSpPr>
      </xdr:nvSpPr>
      <xdr:spPr bwMode="auto">
        <a:xfrm>
          <a:off x="46110525" y="94059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70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50A0000}"/>
            </a:ext>
          </a:extLst>
        </xdr:cNvPr>
        <xdr:cNvSpPr>
          <a:spLocks noChangeAspect="1" noChangeArrowheads="1"/>
        </xdr:cNvSpPr>
      </xdr:nvSpPr>
      <xdr:spPr bwMode="auto">
        <a:xfrm>
          <a:off x="46110525" y="94059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71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60A0000}"/>
            </a:ext>
          </a:extLst>
        </xdr:cNvPr>
        <xdr:cNvSpPr>
          <a:spLocks noChangeAspect="1" noChangeArrowheads="1"/>
        </xdr:cNvSpPr>
      </xdr:nvSpPr>
      <xdr:spPr bwMode="auto">
        <a:xfrm>
          <a:off x="46110525" y="94059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71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70A0000}"/>
            </a:ext>
          </a:extLst>
        </xdr:cNvPr>
        <xdr:cNvSpPr>
          <a:spLocks noChangeAspect="1" noChangeArrowheads="1"/>
        </xdr:cNvSpPr>
      </xdr:nvSpPr>
      <xdr:spPr bwMode="auto">
        <a:xfrm>
          <a:off x="46110525" y="94059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71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80A0000}"/>
            </a:ext>
          </a:extLst>
        </xdr:cNvPr>
        <xdr:cNvSpPr>
          <a:spLocks noChangeAspect="1" noChangeArrowheads="1"/>
        </xdr:cNvSpPr>
      </xdr:nvSpPr>
      <xdr:spPr bwMode="auto">
        <a:xfrm>
          <a:off x="46110525" y="94059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71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90A0000}"/>
            </a:ext>
          </a:extLst>
        </xdr:cNvPr>
        <xdr:cNvSpPr>
          <a:spLocks noChangeAspect="1" noChangeArrowheads="1"/>
        </xdr:cNvSpPr>
      </xdr:nvSpPr>
      <xdr:spPr bwMode="auto">
        <a:xfrm>
          <a:off x="46110525" y="94059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71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A0A0000}"/>
            </a:ext>
          </a:extLst>
        </xdr:cNvPr>
        <xdr:cNvSpPr>
          <a:spLocks noChangeAspect="1" noChangeArrowheads="1"/>
        </xdr:cNvSpPr>
      </xdr:nvSpPr>
      <xdr:spPr bwMode="auto">
        <a:xfrm>
          <a:off x="46110525" y="94354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71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B0A0000}"/>
            </a:ext>
          </a:extLst>
        </xdr:cNvPr>
        <xdr:cNvSpPr>
          <a:spLocks noChangeAspect="1" noChangeArrowheads="1"/>
        </xdr:cNvSpPr>
      </xdr:nvSpPr>
      <xdr:spPr bwMode="auto">
        <a:xfrm>
          <a:off x="46110525" y="94354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71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C0A0000}"/>
            </a:ext>
          </a:extLst>
        </xdr:cNvPr>
        <xdr:cNvSpPr>
          <a:spLocks noChangeAspect="1" noChangeArrowheads="1"/>
        </xdr:cNvSpPr>
      </xdr:nvSpPr>
      <xdr:spPr bwMode="auto">
        <a:xfrm>
          <a:off x="46110525" y="946499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71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D0A0000}"/>
            </a:ext>
          </a:extLst>
        </xdr:cNvPr>
        <xdr:cNvSpPr>
          <a:spLocks noChangeAspect="1" noChangeArrowheads="1"/>
        </xdr:cNvSpPr>
      </xdr:nvSpPr>
      <xdr:spPr bwMode="auto">
        <a:xfrm>
          <a:off x="46110525" y="946499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71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E0A0000}"/>
            </a:ext>
          </a:extLst>
        </xdr:cNvPr>
        <xdr:cNvSpPr>
          <a:spLocks noChangeAspect="1" noChangeArrowheads="1"/>
        </xdr:cNvSpPr>
      </xdr:nvSpPr>
      <xdr:spPr bwMode="auto">
        <a:xfrm>
          <a:off x="46110525" y="94945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71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F0A0000}"/>
            </a:ext>
          </a:extLst>
        </xdr:cNvPr>
        <xdr:cNvSpPr>
          <a:spLocks noChangeAspect="1" noChangeArrowheads="1"/>
        </xdr:cNvSpPr>
      </xdr:nvSpPr>
      <xdr:spPr bwMode="auto">
        <a:xfrm>
          <a:off x="46110525" y="94945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72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00A0000}"/>
            </a:ext>
          </a:extLst>
        </xdr:cNvPr>
        <xdr:cNvSpPr>
          <a:spLocks noChangeAspect="1" noChangeArrowheads="1"/>
        </xdr:cNvSpPr>
      </xdr:nvSpPr>
      <xdr:spPr bwMode="auto">
        <a:xfrm>
          <a:off x="46110525" y="952404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72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10A0000}"/>
            </a:ext>
          </a:extLst>
        </xdr:cNvPr>
        <xdr:cNvSpPr>
          <a:spLocks noChangeAspect="1" noChangeArrowheads="1"/>
        </xdr:cNvSpPr>
      </xdr:nvSpPr>
      <xdr:spPr bwMode="auto">
        <a:xfrm>
          <a:off x="46110525" y="952404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72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20A0000}"/>
            </a:ext>
          </a:extLst>
        </xdr:cNvPr>
        <xdr:cNvSpPr>
          <a:spLocks noChangeAspect="1" noChangeArrowheads="1"/>
        </xdr:cNvSpPr>
      </xdr:nvSpPr>
      <xdr:spPr bwMode="auto">
        <a:xfrm>
          <a:off x="46110525" y="95535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72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30A0000}"/>
            </a:ext>
          </a:extLst>
        </xdr:cNvPr>
        <xdr:cNvSpPr>
          <a:spLocks noChangeAspect="1" noChangeArrowheads="1"/>
        </xdr:cNvSpPr>
      </xdr:nvSpPr>
      <xdr:spPr bwMode="auto">
        <a:xfrm>
          <a:off x="46110525" y="95535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72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40A0000}"/>
            </a:ext>
          </a:extLst>
        </xdr:cNvPr>
        <xdr:cNvSpPr>
          <a:spLocks noChangeAspect="1" noChangeArrowheads="1"/>
        </xdr:cNvSpPr>
      </xdr:nvSpPr>
      <xdr:spPr bwMode="auto">
        <a:xfrm>
          <a:off x="46110525" y="95831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72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50A0000}"/>
            </a:ext>
          </a:extLst>
        </xdr:cNvPr>
        <xdr:cNvSpPr>
          <a:spLocks noChangeAspect="1" noChangeArrowheads="1"/>
        </xdr:cNvSpPr>
      </xdr:nvSpPr>
      <xdr:spPr bwMode="auto">
        <a:xfrm>
          <a:off x="46110525" y="95831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72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60A0000}"/>
            </a:ext>
          </a:extLst>
        </xdr:cNvPr>
        <xdr:cNvSpPr>
          <a:spLocks noChangeAspect="1" noChangeArrowheads="1"/>
        </xdr:cNvSpPr>
      </xdr:nvSpPr>
      <xdr:spPr bwMode="auto">
        <a:xfrm>
          <a:off x="46110525" y="96126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72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70A0000}"/>
            </a:ext>
          </a:extLst>
        </xdr:cNvPr>
        <xdr:cNvSpPr>
          <a:spLocks noChangeAspect="1" noChangeArrowheads="1"/>
        </xdr:cNvSpPr>
      </xdr:nvSpPr>
      <xdr:spPr bwMode="auto">
        <a:xfrm>
          <a:off x="46110525" y="96126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72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80A0000}"/>
            </a:ext>
          </a:extLst>
        </xdr:cNvPr>
        <xdr:cNvSpPr>
          <a:spLocks noChangeAspect="1" noChangeArrowheads="1"/>
        </xdr:cNvSpPr>
      </xdr:nvSpPr>
      <xdr:spPr bwMode="auto">
        <a:xfrm>
          <a:off x="46110525" y="96421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72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90A0000}"/>
            </a:ext>
          </a:extLst>
        </xdr:cNvPr>
        <xdr:cNvSpPr>
          <a:spLocks noChangeAspect="1" noChangeArrowheads="1"/>
        </xdr:cNvSpPr>
      </xdr:nvSpPr>
      <xdr:spPr bwMode="auto">
        <a:xfrm>
          <a:off x="46110525" y="96421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73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A0A0000}"/>
            </a:ext>
          </a:extLst>
        </xdr:cNvPr>
        <xdr:cNvSpPr>
          <a:spLocks noChangeAspect="1" noChangeArrowheads="1"/>
        </xdr:cNvSpPr>
      </xdr:nvSpPr>
      <xdr:spPr bwMode="auto">
        <a:xfrm>
          <a:off x="46110525" y="96716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73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B0A0000}"/>
            </a:ext>
          </a:extLst>
        </xdr:cNvPr>
        <xdr:cNvSpPr>
          <a:spLocks noChangeAspect="1" noChangeArrowheads="1"/>
        </xdr:cNvSpPr>
      </xdr:nvSpPr>
      <xdr:spPr bwMode="auto">
        <a:xfrm>
          <a:off x="46110525" y="96716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73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C0A0000}"/>
            </a:ext>
          </a:extLst>
        </xdr:cNvPr>
        <xdr:cNvSpPr>
          <a:spLocks noChangeAspect="1" noChangeArrowheads="1"/>
        </xdr:cNvSpPr>
      </xdr:nvSpPr>
      <xdr:spPr bwMode="auto">
        <a:xfrm>
          <a:off x="46110525" y="970121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73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D0A0000}"/>
            </a:ext>
          </a:extLst>
        </xdr:cNvPr>
        <xdr:cNvSpPr>
          <a:spLocks noChangeAspect="1" noChangeArrowheads="1"/>
        </xdr:cNvSpPr>
      </xdr:nvSpPr>
      <xdr:spPr bwMode="auto">
        <a:xfrm>
          <a:off x="46110525" y="970121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73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E0A0000}"/>
            </a:ext>
          </a:extLst>
        </xdr:cNvPr>
        <xdr:cNvSpPr>
          <a:spLocks noChangeAspect="1" noChangeArrowheads="1"/>
        </xdr:cNvSpPr>
      </xdr:nvSpPr>
      <xdr:spPr bwMode="auto">
        <a:xfrm>
          <a:off x="46110525" y="97307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73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F0A0000}"/>
            </a:ext>
          </a:extLst>
        </xdr:cNvPr>
        <xdr:cNvSpPr>
          <a:spLocks noChangeAspect="1" noChangeArrowheads="1"/>
        </xdr:cNvSpPr>
      </xdr:nvSpPr>
      <xdr:spPr bwMode="auto">
        <a:xfrm>
          <a:off x="46110525" y="97307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73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00A0000}"/>
            </a:ext>
          </a:extLst>
        </xdr:cNvPr>
        <xdr:cNvSpPr>
          <a:spLocks noChangeAspect="1" noChangeArrowheads="1"/>
        </xdr:cNvSpPr>
      </xdr:nvSpPr>
      <xdr:spPr bwMode="auto">
        <a:xfrm>
          <a:off x="46110525" y="976026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73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10A0000}"/>
            </a:ext>
          </a:extLst>
        </xdr:cNvPr>
        <xdr:cNvSpPr>
          <a:spLocks noChangeAspect="1" noChangeArrowheads="1"/>
        </xdr:cNvSpPr>
      </xdr:nvSpPr>
      <xdr:spPr bwMode="auto">
        <a:xfrm>
          <a:off x="46110525" y="976026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73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20A0000}"/>
            </a:ext>
          </a:extLst>
        </xdr:cNvPr>
        <xdr:cNvSpPr>
          <a:spLocks noChangeAspect="1" noChangeArrowheads="1"/>
        </xdr:cNvSpPr>
      </xdr:nvSpPr>
      <xdr:spPr bwMode="auto">
        <a:xfrm>
          <a:off x="46110525" y="97897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73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30A0000}"/>
            </a:ext>
          </a:extLst>
        </xdr:cNvPr>
        <xdr:cNvSpPr>
          <a:spLocks noChangeAspect="1" noChangeArrowheads="1"/>
        </xdr:cNvSpPr>
      </xdr:nvSpPr>
      <xdr:spPr bwMode="auto">
        <a:xfrm>
          <a:off x="46110525" y="97897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74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40A0000}"/>
            </a:ext>
          </a:extLst>
        </xdr:cNvPr>
        <xdr:cNvSpPr>
          <a:spLocks noChangeAspect="1" noChangeArrowheads="1"/>
        </xdr:cNvSpPr>
      </xdr:nvSpPr>
      <xdr:spPr bwMode="auto">
        <a:xfrm>
          <a:off x="46110525" y="98193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74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50A0000}"/>
            </a:ext>
          </a:extLst>
        </xdr:cNvPr>
        <xdr:cNvSpPr>
          <a:spLocks noChangeAspect="1" noChangeArrowheads="1"/>
        </xdr:cNvSpPr>
      </xdr:nvSpPr>
      <xdr:spPr bwMode="auto">
        <a:xfrm>
          <a:off x="46110525" y="98193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74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60A0000}"/>
            </a:ext>
          </a:extLst>
        </xdr:cNvPr>
        <xdr:cNvSpPr>
          <a:spLocks noChangeAspect="1" noChangeArrowheads="1"/>
        </xdr:cNvSpPr>
      </xdr:nvSpPr>
      <xdr:spPr bwMode="auto">
        <a:xfrm>
          <a:off x="46110525" y="9848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74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70A0000}"/>
            </a:ext>
          </a:extLst>
        </xdr:cNvPr>
        <xdr:cNvSpPr>
          <a:spLocks noChangeAspect="1" noChangeArrowheads="1"/>
        </xdr:cNvSpPr>
      </xdr:nvSpPr>
      <xdr:spPr bwMode="auto">
        <a:xfrm>
          <a:off x="46110525" y="9848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74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80A0000}"/>
            </a:ext>
          </a:extLst>
        </xdr:cNvPr>
        <xdr:cNvSpPr>
          <a:spLocks noChangeAspect="1" noChangeArrowheads="1"/>
        </xdr:cNvSpPr>
      </xdr:nvSpPr>
      <xdr:spPr bwMode="auto">
        <a:xfrm>
          <a:off x="46110525" y="987837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74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90A0000}"/>
            </a:ext>
          </a:extLst>
        </xdr:cNvPr>
        <xdr:cNvSpPr>
          <a:spLocks noChangeAspect="1" noChangeArrowheads="1"/>
        </xdr:cNvSpPr>
      </xdr:nvSpPr>
      <xdr:spPr bwMode="auto">
        <a:xfrm>
          <a:off x="46110525" y="987837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74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A0A0000}"/>
            </a:ext>
          </a:extLst>
        </xdr:cNvPr>
        <xdr:cNvSpPr>
          <a:spLocks noChangeAspect="1" noChangeArrowheads="1"/>
        </xdr:cNvSpPr>
      </xdr:nvSpPr>
      <xdr:spPr bwMode="auto">
        <a:xfrm>
          <a:off x="46110525" y="99079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74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B0A0000}"/>
            </a:ext>
          </a:extLst>
        </xdr:cNvPr>
        <xdr:cNvSpPr>
          <a:spLocks noChangeAspect="1" noChangeArrowheads="1"/>
        </xdr:cNvSpPr>
      </xdr:nvSpPr>
      <xdr:spPr bwMode="auto">
        <a:xfrm>
          <a:off x="46110525" y="99079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74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C0A0000}"/>
            </a:ext>
          </a:extLst>
        </xdr:cNvPr>
        <xdr:cNvSpPr>
          <a:spLocks noChangeAspect="1" noChangeArrowheads="1"/>
        </xdr:cNvSpPr>
      </xdr:nvSpPr>
      <xdr:spPr bwMode="auto">
        <a:xfrm>
          <a:off x="46110525" y="99374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74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D0A0000}"/>
            </a:ext>
          </a:extLst>
        </xdr:cNvPr>
        <xdr:cNvSpPr>
          <a:spLocks noChangeAspect="1" noChangeArrowheads="1"/>
        </xdr:cNvSpPr>
      </xdr:nvSpPr>
      <xdr:spPr bwMode="auto">
        <a:xfrm>
          <a:off x="46110525" y="99374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75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E0A0000}"/>
            </a:ext>
          </a:extLst>
        </xdr:cNvPr>
        <xdr:cNvSpPr>
          <a:spLocks noChangeAspect="1" noChangeArrowheads="1"/>
        </xdr:cNvSpPr>
      </xdr:nvSpPr>
      <xdr:spPr bwMode="auto">
        <a:xfrm>
          <a:off x="46110525" y="99669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75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F0A0000}"/>
            </a:ext>
          </a:extLst>
        </xdr:cNvPr>
        <xdr:cNvSpPr>
          <a:spLocks noChangeAspect="1" noChangeArrowheads="1"/>
        </xdr:cNvSpPr>
      </xdr:nvSpPr>
      <xdr:spPr bwMode="auto">
        <a:xfrm>
          <a:off x="46110525" y="99669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75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00A0000}"/>
            </a:ext>
          </a:extLst>
        </xdr:cNvPr>
        <xdr:cNvSpPr>
          <a:spLocks noChangeAspect="1" noChangeArrowheads="1"/>
        </xdr:cNvSpPr>
      </xdr:nvSpPr>
      <xdr:spPr bwMode="auto">
        <a:xfrm>
          <a:off x="46110525" y="99964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75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10A0000}"/>
            </a:ext>
          </a:extLst>
        </xdr:cNvPr>
        <xdr:cNvSpPr>
          <a:spLocks noChangeAspect="1" noChangeArrowheads="1"/>
        </xdr:cNvSpPr>
      </xdr:nvSpPr>
      <xdr:spPr bwMode="auto">
        <a:xfrm>
          <a:off x="46110525" y="99964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75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20A0000}"/>
            </a:ext>
          </a:extLst>
        </xdr:cNvPr>
        <xdr:cNvSpPr>
          <a:spLocks noChangeAspect="1" noChangeArrowheads="1"/>
        </xdr:cNvSpPr>
      </xdr:nvSpPr>
      <xdr:spPr bwMode="auto">
        <a:xfrm>
          <a:off x="46110525" y="100260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75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30A0000}"/>
            </a:ext>
          </a:extLst>
        </xdr:cNvPr>
        <xdr:cNvSpPr>
          <a:spLocks noChangeAspect="1" noChangeArrowheads="1"/>
        </xdr:cNvSpPr>
      </xdr:nvSpPr>
      <xdr:spPr bwMode="auto">
        <a:xfrm>
          <a:off x="46110525" y="100260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75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40A0000}"/>
            </a:ext>
          </a:extLst>
        </xdr:cNvPr>
        <xdr:cNvSpPr>
          <a:spLocks noChangeAspect="1" noChangeArrowheads="1"/>
        </xdr:cNvSpPr>
      </xdr:nvSpPr>
      <xdr:spPr bwMode="auto">
        <a:xfrm>
          <a:off x="46110525" y="1005554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75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50A0000}"/>
            </a:ext>
          </a:extLst>
        </xdr:cNvPr>
        <xdr:cNvSpPr>
          <a:spLocks noChangeAspect="1" noChangeArrowheads="1"/>
        </xdr:cNvSpPr>
      </xdr:nvSpPr>
      <xdr:spPr bwMode="auto">
        <a:xfrm>
          <a:off x="46110525" y="1005554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75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60A0000}"/>
            </a:ext>
          </a:extLst>
        </xdr:cNvPr>
        <xdr:cNvSpPr>
          <a:spLocks noChangeAspect="1" noChangeArrowheads="1"/>
        </xdr:cNvSpPr>
      </xdr:nvSpPr>
      <xdr:spPr bwMode="auto">
        <a:xfrm>
          <a:off x="46110525" y="100850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75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70A0000}"/>
            </a:ext>
          </a:extLst>
        </xdr:cNvPr>
        <xdr:cNvSpPr>
          <a:spLocks noChangeAspect="1" noChangeArrowheads="1"/>
        </xdr:cNvSpPr>
      </xdr:nvSpPr>
      <xdr:spPr bwMode="auto">
        <a:xfrm>
          <a:off x="46110525" y="100850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76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80A0000}"/>
            </a:ext>
          </a:extLst>
        </xdr:cNvPr>
        <xdr:cNvSpPr>
          <a:spLocks noChangeAspect="1" noChangeArrowheads="1"/>
        </xdr:cNvSpPr>
      </xdr:nvSpPr>
      <xdr:spPr bwMode="auto">
        <a:xfrm>
          <a:off x="46110525" y="1011459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76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90A0000}"/>
            </a:ext>
          </a:extLst>
        </xdr:cNvPr>
        <xdr:cNvSpPr>
          <a:spLocks noChangeAspect="1" noChangeArrowheads="1"/>
        </xdr:cNvSpPr>
      </xdr:nvSpPr>
      <xdr:spPr bwMode="auto">
        <a:xfrm>
          <a:off x="46110525" y="1011459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76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A0A0000}"/>
            </a:ext>
          </a:extLst>
        </xdr:cNvPr>
        <xdr:cNvSpPr>
          <a:spLocks noChangeAspect="1" noChangeArrowheads="1"/>
        </xdr:cNvSpPr>
      </xdr:nvSpPr>
      <xdr:spPr bwMode="auto">
        <a:xfrm>
          <a:off x="46110525" y="101441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76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B0A0000}"/>
            </a:ext>
          </a:extLst>
        </xdr:cNvPr>
        <xdr:cNvSpPr>
          <a:spLocks noChangeAspect="1" noChangeArrowheads="1"/>
        </xdr:cNvSpPr>
      </xdr:nvSpPr>
      <xdr:spPr bwMode="auto">
        <a:xfrm>
          <a:off x="46110525" y="101441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76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C0A0000}"/>
            </a:ext>
          </a:extLst>
        </xdr:cNvPr>
        <xdr:cNvSpPr>
          <a:spLocks noChangeAspect="1" noChangeArrowheads="1"/>
        </xdr:cNvSpPr>
      </xdr:nvSpPr>
      <xdr:spPr bwMode="auto">
        <a:xfrm>
          <a:off x="46110525" y="101736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76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D0A0000}"/>
            </a:ext>
          </a:extLst>
        </xdr:cNvPr>
        <xdr:cNvSpPr>
          <a:spLocks noChangeAspect="1" noChangeArrowheads="1"/>
        </xdr:cNvSpPr>
      </xdr:nvSpPr>
      <xdr:spPr bwMode="auto">
        <a:xfrm>
          <a:off x="46110525" y="101736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76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E0A0000}"/>
            </a:ext>
          </a:extLst>
        </xdr:cNvPr>
        <xdr:cNvSpPr>
          <a:spLocks noChangeAspect="1" noChangeArrowheads="1"/>
        </xdr:cNvSpPr>
      </xdr:nvSpPr>
      <xdr:spPr bwMode="auto">
        <a:xfrm>
          <a:off x="46110525" y="102031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76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F0A0000}"/>
            </a:ext>
          </a:extLst>
        </xdr:cNvPr>
        <xdr:cNvSpPr>
          <a:spLocks noChangeAspect="1" noChangeArrowheads="1"/>
        </xdr:cNvSpPr>
      </xdr:nvSpPr>
      <xdr:spPr bwMode="auto">
        <a:xfrm>
          <a:off x="46110525" y="102031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76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00A0000}"/>
            </a:ext>
          </a:extLst>
        </xdr:cNvPr>
        <xdr:cNvSpPr>
          <a:spLocks noChangeAspect="1" noChangeArrowheads="1"/>
        </xdr:cNvSpPr>
      </xdr:nvSpPr>
      <xdr:spPr bwMode="auto">
        <a:xfrm>
          <a:off x="46110525" y="102327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76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10A0000}"/>
            </a:ext>
          </a:extLst>
        </xdr:cNvPr>
        <xdr:cNvSpPr>
          <a:spLocks noChangeAspect="1" noChangeArrowheads="1"/>
        </xdr:cNvSpPr>
      </xdr:nvSpPr>
      <xdr:spPr bwMode="auto">
        <a:xfrm>
          <a:off x="46110525" y="102327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77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20A0000}"/>
            </a:ext>
          </a:extLst>
        </xdr:cNvPr>
        <xdr:cNvSpPr>
          <a:spLocks noChangeAspect="1" noChangeArrowheads="1"/>
        </xdr:cNvSpPr>
      </xdr:nvSpPr>
      <xdr:spPr bwMode="auto">
        <a:xfrm>
          <a:off x="46110525" y="102622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77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30A0000}"/>
            </a:ext>
          </a:extLst>
        </xdr:cNvPr>
        <xdr:cNvSpPr>
          <a:spLocks noChangeAspect="1" noChangeArrowheads="1"/>
        </xdr:cNvSpPr>
      </xdr:nvSpPr>
      <xdr:spPr bwMode="auto">
        <a:xfrm>
          <a:off x="46110525" y="102622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77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40A0000}"/>
            </a:ext>
          </a:extLst>
        </xdr:cNvPr>
        <xdr:cNvSpPr>
          <a:spLocks noChangeAspect="1" noChangeArrowheads="1"/>
        </xdr:cNvSpPr>
      </xdr:nvSpPr>
      <xdr:spPr bwMode="auto">
        <a:xfrm>
          <a:off x="46110525" y="102917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77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50A0000}"/>
            </a:ext>
          </a:extLst>
        </xdr:cNvPr>
        <xdr:cNvSpPr>
          <a:spLocks noChangeAspect="1" noChangeArrowheads="1"/>
        </xdr:cNvSpPr>
      </xdr:nvSpPr>
      <xdr:spPr bwMode="auto">
        <a:xfrm>
          <a:off x="46110525" y="102917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77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60A0000}"/>
            </a:ext>
          </a:extLst>
        </xdr:cNvPr>
        <xdr:cNvSpPr>
          <a:spLocks noChangeAspect="1" noChangeArrowheads="1"/>
        </xdr:cNvSpPr>
      </xdr:nvSpPr>
      <xdr:spPr bwMode="auto">
        <a:xfrm>
          <a:off x="46110525" y="103212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77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70A0000}"/>
            </a:ext>
          </a:extLst>
        </xdr:cNvPr>
        <xdr:cNvSpPr>
          <a:spLocks noChangeAspect="1" noChangeArrowheads="1"/>
        </xdr:cNvSpPr>
      </xdr:nvSpPr>
      <xdr:spPr bwMode="auto">
        <a:xfrm>
          <a:off x="46110525" y="103212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77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80A0000}"/>
            </a:ext>
          </a:extLst>
        </xdr:cNvPr>
        <xdr:cNvSpPr>
          <a:spLocks noChangeAspect="1" noChangeArrowheads="1"/>
        </xdr:cNvSpPr>
      </xdr:nvSpPr>
      <xdr:spPr bwMode="auto">
        <a:xfrm>
          <a:off x="46110525" y="1035081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77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90A0000}"/>
            </a:ext>
          </a:extLst>
        </xdr:cNvPr>
        <xdr:cNvSpPr>
          <a:spLocks noChangeAspect="1" noChangeArrowheads="1"/>
        </xdr:cNvSpPr>
      </xdr:nvSpPr>
      <xdr:spPr bwMode="auto">
        <a:xfrm>
          <a:off x="46110525" y="1035081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77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A0A0000}"/>
            </a:ext>
          </a:extLst>
        </xdr:cNvPr>
        <xdr:cNvSpPr>
          <a:spLocks noChangeAspect="1" noChangeArrowheads="1"/>
        </xdr:cNvSpPr>
      </xdr:nvSpPr>
      <xdr:spPr bwMode="auto">
        <a:xfrm>
          <a:off x="46110525" y="103803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77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B0A0000}"/>
            </a:ext>
          </a:extLst>
        </xdr:cNvPr>
        <xdr:cNvSpPr>
          <a:spLocks noChangeAspect="1" noChangeArrowheads="1"/>
        </xdr:cNvSpPr>
      </xdr:nvSpPr>
      <xdr:spPr bwMode="auto">
        <a:xfrm>
          <a:off x="46110525" y="103803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78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C0A0000}"/>
            </a:ext>
          </a:extLst>
        </xdr:cNvPr>
        <xdr:cNvSpPr>
          <a:spLocks noChangeAspect="1" noChangeArrowheads="1"/>
        </xdr:cNvSpPr>
      </xdr:nvSpPr>
      <xdr:spPr bwMode="auto">
        <a:xfrm>
          <a:off x="46110525" y="1040987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78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D0A0000}"/>
            </a:ext>
          </a:extLst>
        </xdr:cNvPr>
        <xdr:cNvSpPr>
          <a:spLocks noChangeAspect="1" noChangeArrowheads="1"/>
        </xdr:cNvSpPr>
      </xdr:nvSpPr>
      <xdr:spPr bwMode="auto">
        <a:xfrm>
          <a:off x="46110525" y="1040987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78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E0A0000}"/>
            </a:ext>
          </a:extLst>
        </xdr:cNvPr>
        <xdr:cNvSpPr>
          <a:spLocks noChangeAspect="1" noChangeArrowheads="1"/>
        </xdr:cNvSpPr>
      </xdr:nvSpPr>
      <xdr:spPr bwMode="auto">
        <a:xfrm>
          <a:off x="46110525" y="104394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78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F0A0000}"/>
            </a:ext>
          </a:extLst>
        </xdr:cNvPr>
        <xdr:cNvSpPr>
          <a:spLocks noChangeAspect="1" noChangeArrowheads="1"/>
        </xdr:cNvSpPr>
      </xdr:nvSpPr>
      <xdr:spPr bwMode="auto">
        <a:xfrm>
          <a:off x="46110525" y="104394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78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00A0000}"/>
            </a:ext>
          </a:extLst>
        </xdr:cNvPr>
        <xdr:cNvSpPr>
          <a:spLocks noChangeAspect="1" noChangeArrowheads="1"/>
        </xdr:cNvSpPr>
      </xdr:nvSpPr>
      <xdr:spPr bwMode="auto">
        <a:xfrm>
          <a:off x="46110525" y="1046892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78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10A0000}"/>
            </a:ext>
          </a:extLst>
        </xdr:cNvPr>
        <xdr:cNvSpPr>
          <a:spLocks noChangeAspect="1" noChangeArrowheads="1"/>
        </xdr:cNvSpPr>
      </xdr:nvSpPr>
      <xdr:spPr bwMode="auto">
        <a:xfrm>
          <a:off x="46110525" y="1046892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78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20A0000}"/>
            </a:ext>
          </a:extLst>
        </xdr:cNvPr>
        <xdr:cNvSpPr>
          <a:spLocks noChangeAspect="1" noChangeArrowheads="1"/>
        </xdr:cNvSpPr>
      </xdr:nvSpPr>
      <xdr:spPr bwMode="auto">
        <a:xfrm>
          <a:off x="46110525" y="104984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78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30A0000}"/>
            </a:ext>
          </a:extLst>
        </xdr:cNvPr>
        <xdr:cNvSpPr>
          <a:spLocks noChangeAspect="1" noChangeArrowheads="1"/>
        </xdr:cNvSpPr>
      </xdr:nvSpPr>
      <xdr:spPr bwMode="auto">
        <a:xfrm>
          <a:off x="46110525" y="104984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78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40A0000}"/>
            </a:ext>
          </a:extLst>
        </xdr:cNvPr>
        <xdr:cNvSpPr>
          <a:spLocks noChangeAspect="1" noChangeArrowheads="1"/>
        </xdr:cNvSpPr>
      </xdr:nvSpPr>
      <xdr:spPr bwMode="auto">
        <a:xfrm>
          <a:off x="46110525" y="105279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78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50A0000}"/>
            </a:ext>
          </a:extLst>
        </xdr:cNvPr>
        <xdr:cNvSpPr>
          <a:spLocks noChangeAspect="1" noChangeArrowheads="1"/>
        </xdr:cNvSpPr>
      </xdr:nvSpPr>
      <xdr:spPr bwMode="auto">
        <a:xfrm>
          <a:off x="46110525" y="105279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79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60A0000}"/>
            </a:ext>
          </a:extLst>
        </xdr:cNvPr>
        <xdr:cNvSpPr>
          <a:spLocks noChangeAspect="1" noChangeArrowheads="1"/>
        </xdr:cNvSpPr>
      </xdr:nvSpPr>
      <xdr:spPr bwMode="auto">
        <a:xfrm>
          <a:off x="46110525" y="105575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79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70A0000}"/>
            </a:ext>
          </a:extLst>
        </xdr:cNvPr>
        <xdr:cNvSpPr>
          <a:spLocks noChangeAspect="1" noChangeArrowheads="1"/>
        </xdr:cNvSpPr>
      </xdr:nvSpPr>
      <xdr:spPr bwMode="auto">
        <a:xfrm>
          <a:off x="46110525" y="105575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79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80A0000}"/>
            </a:ext>
          </a:extLst>
        </xdr:cNvPr>
        <xdr:cNvSpPr>
          <a:spLocks noChangeAspect="1" noChangeArrowheads="1"/>
        </xdr:cNvSpPr>
      </xdr:nvSpPr>
      <xdr:spPr bwMode="auto">
        <a:xfrm>
          <a:off x="46110525" y="105870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79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90A0000}"/>
            </a:ext>
          </a:extLst>
        </xdr:cNvPr>
        <xdr:cNvSpPr>
          <a:spLocks noChangeAspect="1" noChangeArrowheads="1"/>
        </xdr:cNvSpPr>
      </xdr:nvSpPr>
      <xdr:spPr bwMode="auto">
        <a:xfrm>
          <a:off x="46110525" y="105870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79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A0A0000}"/>
            </a:ext>
          </a:extLst>
        </xdr:cNvPr>
        <xdr:cNvSpPr>
          <a:spLocks noChangeAspect="1" noChangeArrowheads="1"/>
        </xdr:cNvSpPr>
      </xdr:nvSpPr>
      <xdr:spPr bwMode="auto">
        <a:xfrm>
          <a:off x="46110525" y="106165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79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B0A0000}"/>
            </a:ext>
          </a:extLst>
        </xdr:cNvPr>
        <xdr:cNvSpPr>
          <a:spLocks noChangeAspect="1" noChangeArrowheads="1"/>
        </xdr:cNvSpPr>
      </xdr:nvSpPr>
      <xdr:spPr bwMode="auto">
        <a:xfrm>
          <a:off x="46110525" y="106165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79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C0A0000}"/>
            </a:ext>
          </a:extLst>
        </xdr:cNvPr>
        <xdr:cNvSpPr>
          <a:spLocks noChangeAspect="1" noChangeArrowheads="1"/>
        </xdr:cNvSpPr>
      </xdr:nvSpPr>
      <xdr:spPr bwMode="auto">
        <a:xfrm>
          <a:off x="46110525" y="1064609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79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D0A0000}"/>
            </a:ext>
          </a:extLst>
        </xdr:cNvPr>
        <xdr:cNvSpPr>
          <a:spLocks noChangeAspect="1" noChangeArrowheads="1"/>
        </xdr:cNvSpPr>
      </xdr:nvSpPr>
      <xdr:spPr bwMode="auto">
        <a:xfrm>
          <a:off x="46110525" y="1064609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79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E0A0000}"/>
            </a:ext>
          </a:extLst>
        </xdr:cNvPr>
        <xdr:cNvSpPr>
          <a:spLocks noChangeAspect="1" noChangeArrowheads="1"/>
        </xdr:cNvSpPr>
      </xdr:nvSpPr>
      <xdr:spPr bwMode="auto">
        <a:xfrm>
          <a:off x="46110525" y="106756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79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F0A0000}"/>
            </a:ext>
          </a:extLst>
        </xdr:cNvPr>
        <xdr:cNvSpPr>
          <a:spLocks noChangeAspect="1" noChangeArrowheads="1"/>
        </xdr:cNvSpPr>
      </xdr:nvSpPr>
      <xdr:spPr bwMode="auto">
        <a:xfrm>
          <a:off x="46110525" y="106756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80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00A0000}"/>
            </a:ext>
          </a:extLst>
        </xdr:cNvPr>
        <xdr:cNvSpPr>
          <a:spLocks noChangeAspect="1" noChangeArrowheads="1"/>
        </xdr:cNvSpPr>
      </xdr:nvSpPr>
      <xdr:spPr bwMode="auto">
        <a:xfrm>
          <a:off x="46110525" y="1070514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80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10A0000}"/>
            </a:ext>
          </a:extLst>
        </xdr:cNvPr>
        <xdr:cNvSpPr>
          <a:spLocks noChangeAspect="1" noChangeArrowheads="1"/>
        </xdr:cNvSpPr>
      </xdr:nvSpPr>
      <xdr:spPr bwMode="auto">
        <a:xfrm>
          <a:off x="46110525" y="1070514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80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20A0000}"/>
            </a:ext>
          </a:extLst>
        </xdr:cNvPr>
        <xdr:cNvSpPr>
          <a:spLocks noChangeAspect="1" noChangeArrowheads="1"/>
        </xdr:cNvSpPr>
      </xdr:nvSpPr>
      <xdr:spPr bwMode="auto">
        <a:xfrm>
          <a:off x="46110525" y="107346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80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30A0000}"/>
            </a:ext>
          </a:extLst>
        </xdr:cNvPr>
        <xdr:cNvSpPr>
          <a:spLocks noChangeAspect="1" noChangeArrowheads="1"/>
        </xdr:cNvSpPr>
      </xdr:nvSpPr>
      <xdr:spPr bwMode="auto">
        <a:xfrm>
          <a:off x="46110525" y="107346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80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40A0000}"/>
            </a:ext>
          </a:extLst>
        </xdr:cNvPr>
        <xdr:cNvSpPr>
          <a:spLocks noChangeAspect="1" noChangeArrowheads="1"/>
        </xdr:cNvSpPr>
      </xdr:nvSpPr>
      <xdr:spPr bwMode="auto">
        <a:xfrm>
          <a:off x="46110525" y="107642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80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50A0000}"/>
            </a:ext>
          </a:extLst>
        </xdr:cNvPr>
        <xdr:cNvSpPr>
          <a:spLocks noChangeAspect="1" noChangeArrowheads="1"/>
        </xdr:cNvSpPr>
      </xdr:nvSpPr>
      <xdr:spPr bwMode="auto">
        <a:xfrm>
          <a:off x="46110525" y="107642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80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60A0000}"/>
            </a:ext>
          </a:extLst>
        </xdr:cNvPr>
        <xdr:cNvSpPr>
          <a:spLocks noChangeAspect="1" noChangeArrowheads="1"/>
        </xdr:cNvSpPr>
      </xdr:nvSpPr>
      <xdr:spPr bwMode="auto">
        <a:xfrm>
          <a:off x="46110525" y="107937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80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70A0000}"/>
            </a:ext>
          </a:extLst>
        </xdr:cNvPr>
        <xdr:cNvSpPr>
          <a:spLocks noChangeAspect="1" noChangeArrowheads="1"/>
        </xdr:cNvSpPr>
      </xdr:nvSpPr>
      <xdr:spPr bwMode="auto">
        <a:xfrm>
          <a:off x="46110525" y="107937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80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80A0000}"/>
            </a:ext>
          </a:extLst>
        </xdr:cNvPr>
        <xdr:cNvSpPr>
          <a:spLocks noChangeAspect="1" noChangeArrowheads="1"/>
        </xdr:cNvSpPr>
      </xdr:nvSpPr>
      <xdr:spPr bwMode="auto">
        <a:xfrm>
          <a:off x="46110525" y="108232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80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90A0000}"/>
            </a:ext>
          </a:extLst>
        </xdr:cNvPr>
        <xdr:cNvSpPr>
          <a:spLocks noChangeAspect="1" noChangeArrowheads="1"/>
        </xdr:cNvSpPr>
      </xdr:nvSpPr>
      <xdr:spPr bwMode="auto">
        <a:xfrm>
          <a:off x="46110525" y="108232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81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A0A0000}"/>
            </a:ext>
          </a:extLst>
        </xdr:cNvPr>
        <xdr:cNvSpPr>
          <a:spLocks noChangeAspect="1" noChangeArrowheads="1"/>
        </xdr:cNvSpPr>
      </xdr:nvSpPr>
      <xdr:spPr bwMode="auto">
        <a:xfrm>
          <a:off x="46110525" y="108527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81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B0A0000}"/>
            </a:ext>
          </a:extLst>
        </xdr:cNvPr>
        <xdr:cNvSpPr>
          <a:spLocks noChangeAspect="1" noChangeArrowheads="1"/>
        </xdr:cNvSpPr>
      </xdr:nvSpPr>
      <xdr:spPr bwMode="auto">
        <a:xfrm>
          <a:off x="46110525" y="108527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81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C0A0000}"/>
            </a:ext>
          </a:extLst>
        </xdr:cNvPr>
        <xdr:cNvSpPr>
          <a:spLocks noChangeAspect="1" noChangeArrowheads="1"/>
        </xdr:cNvSpPr>
      </xdr:nvSpPr>
      <xdr:spPr bwMode="auto">
        <a:xfrm>
          <a:off x="46110525" y="1088231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81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D0A0000}"/>
            </a:ext>
          </a:extLst>
        </xdr:cNvPr>
        <xdr:cNvSpPr>
          <a:spLocks noChangeAspect="1" noChangeArrowheads="1"/>
        </xdr:cNvSpPr>
      </xdr:nvSpPr>
      <xdr:spPr bwMode="auto">
        <a:xfrm>
          <a:off x="46110525" y="1088231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81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E0A0000}"/>
            </a:ext>
          </a:extLst>
        </xdr:cNvPr>
        <xdr:cNvSpPr>
          <a:spLocks noChangeAspect="1" noChangeArrowheads="1"/>
        </xdr:cNvSpPr>
      </xdr:nvSpPr>
      <xdr:spPr bwMode="auto">
        <a:xfrm>
          <a:off x="46110525" y="109118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81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F0A0000}"/>
            </a:ext>
          </a:extLst>
        </xdr:cNvPr>
        <xdr:cNvSpPr>
          <a:spLocks noChangeAspect="1" noChangeArrowheads="1"/>
        </xdr:cNvSpPr>
      </xdr:nvSpPr>
      <xdr:spPr bwMode="auto">
        <a:xfrm>
          <a:off x="46110525" y="109118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81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00B0000}"/>
            </a:ext>
          </a:extLst>
        </xdr:cNvPr>
        <xdr:cNvSpPr>
          <a:spLocks noChangeAspect="1" noChangeArrowheads="1"/>
        </xdr:cNvSpPr>
      </xdr:nvSpPr>
      <xdr:spPr bwMode="auto">
        <a:xfrm>
          <a:off x="46110525" y="1094136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81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10B0000}"/>
            </a:ext>
          </a:extLst>
        </xdr:cNvPr>
        <xdr:cNvSpPr>
          <a:spLocks noChangeAspect="1" noChangeArrowheads="1"/>
        </xdr:cNvSpPr>
      </xdr:nvSpPr>
      <xdr:spPr bwMode="auto">
        <a:xfrm>
          <a:off x="46110525" y="1094136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81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20B0000}"/>
            </a:ext>
          </a:extLst>
        </xdr:cNvPr>
        <xdr:cNvSpPr>
          <a:spLocks noChangeAspect="1" noChangeArrowheads="1"/>
        </xdr:cNvSpPr>
      </xdr:nvSpPr>
      <xdr:spPr bwMode="auto">
        <a:xfrm>
          <a:off x="46110525" y="109708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81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30B0000}"/>
            </a:ext>
          </a:extLst>
        </xdr:cNvPr>
        <xdr:cNvSpPr>
          <a:spLocks noChangeAspect="1" noChangeArrowheads="1"/>
        </xdr:cNvSpPr>
      </xdr:nvSpPr>
      <xdr:spPr bwMode="auto">
        <a:xfrm>
          <a:off x="46110525" y="109708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82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40B0000}"/>
            </a:ext>
          </a:extLst>
        </xdr:cNvPr>
        <xdr:cNvSpPr>
          <a:spLocks noChangeAspect="1" noChangeArrowheads="1"/>
        </xdr:cNvSpPr>
      </xdr:nvSpPr>
      <xdr:spPr bwMode="auto">
        <a:xfrm>
          <a:off x="46110525" y="110004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82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50B0000}"/>
            </a:ext>
          </a:extLst>
        </xdr:cNvPr>
        <xdr:cNvSpPr>
          <a:spLocks noChangeAspect="1" noChangeArrowheads="1"/>
        </xdr:cNvSpPr>
      </xdr:nvSpPr>
      <xdr:spPr bwMode="auto">
        <a:xfrm>
          <a:off x="46110525" y="110004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82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60B0000}"/>
            </a:ext>
          </a:extLst>
        </xdr:cNvPr>
        <xdr:cNvSpPr>
          <a:spLocks noChangeAspect="1" noChangeArrowheads="1"/>
        </xdr:cNvSpPr>
      </xdr:nvSpPr>
      <xdr:spPr bwMode="auto">
        <a:xfrm>
          <a:off x="46110525" y="11029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82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70B0000}"/>
            </a:ext>
          </a:extLst>
        </xdr:cNvPr>
        <xdr:cNvSpPr>
          <a:spLocks noChangeAspect="1" noChangeArrowheads="1"/>
        </xdr:cNvSpPr>
      </xdr:nvSpPr>
      <xdr:spPr bwMode="auto">
        <a:xfrm>
          <a:off x="46110525" y="11029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82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80B0000}"/>
            </a:ext>
          </a:extLst>
        </xdr:cNvPr>
        <xdr:cNvSpPr>
          <a:spLocks noChangeAspect="1" noChangeArrowheads="1"/>
        </xdr:cNvSpPr>
      </xdr:nvSpPr>
      <xdr:spPr bwMode="auto">
        <a:xfrm>
          <a:off x="46110525" y="1105947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82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90B0000}"/>
            </a:ext>
          </a:extLst>
        </xdr:cNvPr>
        <xdr:cNvSpPr>
          <a:spLocks noChangeAspect="1" noChangeArrowheads="1"/>
        </xdr:cNvSpPr>
      </xdr:nvSpPr>
      <xdr:spPr bwMode="auto">
        <a:xfrm>
          <a:off x="46110525" y="1105947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82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A0B0000}"/>
            </a:ext>
          </a:extLst>
        </xdr:cNvPr>
        <xdr:cNvSpPr>
          <a:spLocks noChangeAspect="1" noChangeArrowheads="1"/>
        </xdr:cNvSpPr>
      </xdr:nvSpPr>
      <xdr:spPr bwMode="auto">
        <a:xfrm>
          <a:off x="46110525" y="110890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82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B0B0000}"/>
            </a:ext>
          </a:extLst>
        </xdr:cNvPr>
        <xdr:cNvSpPr>
          <a:spLocks noChangeAspect="1" noChangeArrowheads="1"/>
        </xdr:cNvSpPr>
      </xdr:nvSpPr>
      <xdr:spPr bwMode="auto">
        <a:xfrm>
          <a:off x="46110525" y="110890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82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C0B0000}"/>
            </a:ext>
          </a:extLst>
        </xdr:cNvPr>
        <xdr:cNvSpPr>
          <a:spLocks noChangeAspect="1" noChangeArrowheads="1"/>
        </xdr:cNvSpPr>
      </xdr:nvSpPr>
      <xdr:spPr bwMode="auto">
        <a:xfrm>
          <a:off x="46110525" y="111185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82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D0B0000}"/>
            </a:ext>
          </a:extLst>
        </xdr:cNvPr>
        <xdr:cNvSpPr>
          <a:spLocks noChangeAspect="1" noChangeArrowheads="1"/>
        </xdr:cNvSpPr>
      </xdr:nvSpPr>
      <xdr:spPr bwMode="auto">
        <a:xfrm>
          <a:off x="46110525" y="111185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83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E0B0000}"/>
            </a:ext>
          </a:extLst>
        </xdr:cNvPr>
        <xdr:cNvSpPr>
          <a:spLocks noChangeAspect="1" noChangeArrowheads="1"/>
        </xdr:cNvSpPr>
      </xdr:nvSpPr>
      <xdr:spPr bwMode="auto">
        <a:xfrm>
          <a:off x="46110525" y="111480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83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F0B0000}"/>
            </a:ext>
          </a:extLst>
        </xdr:cNvPr>
        <xdr:cNvSpPr>
          <a:spLocks noChangeAspect="1" noChangeArrowheads="1"/>
        </xdr:cNvSpPr>
      </xdr:nvSpPr>
      <xdr:spPr bwMode="auto">
        <a:xfrm>
          <a:off x="46110525" y="111480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83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00B0000}"/>
            </a:ext>
          </a:extLst>
        </xdr:cNvPr>
        <xdr:cNvSpPr>
          <a:spLocks noChangeAspect="1" noChangeArrowheads="1"/>
        </xdr:cNvSpPr>
      </xdr:nvSpPr>
      <xdr:spPr bwMode="auto">
        <a:xfrm>
          <a:off x="46110525" y="111775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83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10B0000}"/>
            </a:ext>
          </a:extLst>
        </xdr:cNvPr>
        <xdr:cNvSpPr>
          <a:spLocks noChangeAspect="1" noChangeArrowheads="1"/>
        </xdr:cNvSpPr>
      </xdr:nvSpPr>
      <xdr:spPr bwMode="auto">
        <a:xfrm>
          <a:off x="46110525" y="111775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83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20B0000}"/>
            </a:ext>
          </a:extLst>
        </xdr:cNvPr>
        <xdr:cNvSpPr>
          <a:spLocks noChangeAspect="1" noChangeArrowheads="1"/>
        </xdr:cNvSpPr>
      </xdr:nvSpPr>
      <xdr:spPr bwMode="auto">
        <a:xfrm>
          <a:off x="46110525" y="112071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83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30B0000}"/>
            </a:ext>
          </a:extLst>
        </xdr:cNvPr>
        <xdr:cNvSpPr>
          <a:spLocks noChangeAspect="1" noChangeArrowheads="1"/>
        </xdr:cNvSpPr>
      </xdr:nvSpPr>
      <xdr:spPr bwMode="auto">
        <a:xfrm>
          <a:off x="46110525" y="112071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83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40B0000}"/>
            </a:ext>
          </a:extLst>
        </xdr:cNvPr>
        <xdr:cNvSpPr>
          <a:spLocks noChangeAspect="1" noChangeArrowheads="1"/>
        </xdr:cNvSpPr>
      </xdr:nvSpPr>
      <xdr:spPr bwMode="auto">
        <a:xfrm>
          <a:off x="46110525" y="1123664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83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50B0000}"/>
            </a:ext>
          </a:extLst>
        </xdr:cNvPr>
        <xdr:cNvSpPr>
          <a:spLocks noChangeAspect="1" noChangeArrowheads="1"/>
        </xdr:cNvSpPr>
      </xdr:nvSpPr>
      <xdr:spPr bwMode="auto">
        <a:xfrm>
          <a:off x="46110525" y="1123664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83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60B0000}"/>
            </a:ext>
          </a:extLst>
        </xdr:cNvPr>
        <xdr:cNvSpPr>
          <a:spLocks noChangeAspect="1" noChangeArrowheads="1"/>
        </xdr:cNvSpPr>
      </xdr:nvSpPr>
      <xdr:spPr bwMode="auto">
        <a:xfrm>
          <a:off x="46110525" y="112661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83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70B0000}"/>
            </a:ext>
          </a:extLst>
        </xdr:cNvPr>
        <xdr:cNvSpPr>
          <a:spLocks noChangeAspect="1" noChangeArrowheads="1"/>
        </xdr:cNvSpPr>
      </xdr:nvSpPr>
      <xdr:spPr bwMode="auto">
        <a:xfrm>
          <a:off x="46110525" y="112661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84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80B0000}"/>
            </a:ext>
          </a:extLst>
        </xdr:cNvPr>
        <xdr:cNvSpPr>
          <a:spLocks noChangeAspect="1" noChangeArrowheads="1"/>
        </xdr:cNvSpPr>
      </xdr:nvSpPr>
      <xdr:spPr bwMode="auto">
        <a:xfrm>
          <a:off x="46110525" y="1129569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84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90B0000}"/>
            </a:ext>
          </a:extLst>
        </xdr:cNvPr>
        <xdr:cNvSpPr>
          <a:spLocks noChangeAspect="1" noChangeArrowheads="1"/>
        </xdr:cNvSpPr>
      </xdr:nvSpPr>
      <xdr:spPr bwMode="auto">
        <a:xfrm>
          <a:off x="46110525" y="1129569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84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A0B0000}"/>
            </a:ext>
          </a:extLst>
        </xdr:cNvPr>
        <xdr:cNvSpPr>
          <a:spLocks noChangeAspect="1" noChangeArrowheads="1"/>
        </xdr:cNvSpPr>
      </xdr:nvSpPr>
      <xdr:spPr bwMode="auto">
        <a:xfrm>
          <a:off x="46110525" y="113252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84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B0B0000}"/>
            </a:ext>
          </a:extLst>
        </xdr:cNvPr>
        <xdr:cNvSpPr>
          <a:spLocks noChangeAspect="1" noChangeArrowheads="1"/>
        </xdr:cNvSpPr>
      </xdr:nvSpPr>
      <xdr:spPr bwMode="auto">
        <a:xfrm>
          <a:off x="46110525" y="113252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84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C0B0000}"/>
            </a:ext>
          </a:extLst>
        </xdr:cNvPr>
        <xdr:cNvSpPr>
          <a:spLocks noChangeAspect="1" noChangeArrowheads="1"/>
        </xdr:cNvSpPr>
      </xdr:nvSpPr>
      <xdr:spPr bwMode="auto">
        <a:xfrm>
          <a:off x="46110525" y="113547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84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D0B0000}"/>
            </a:ext>
          </a:extLst>
        </xdr:cNvPr>
        <xdr:cNvSpPr>
          <a:spLocks noChangeAspect="1" noChangeArrowheads="1"/>
        </xdr:cNvSpPr>
      </xdr:nvSpPr>
      <xdr:spPr bwMode="auto">
        <a:xfrm>
          <a:off x="46110525" y="113547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84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E0B0000}"/>
            </a:ext>
          </a:extLst>
        </xdr:cNvPr>
        <xdr:cNvSpPr>
          <a:spLocks noChangeAspect="1" noChangeArrowheads="1"/>
        </xdr:cNvSpPr>
      </xdr:nvSpPr>
      <xdr:spPr bwMode="auto">
        <a:xfrm>
          <a:off x="46110525" y="113842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84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F0B0000}"/>
            </a:ext>
          </a:extLst>
        </xdr:cNvPr>
        <xdr:cNvSpPr>
          <a:spLocks noChangeAspect="1" noChangeArrowheads="1"/>
        </xdr:cNvSpPr>
      </xdr:nvSpPr>
      <xdr:spPr bwMode="auto">
        <a:xfrm>
          <a:off x="46110525" y="113842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84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00B0000}"/>
            </a:ext>
          </a:extLst>
        </xdr:cNvPr>
        <xdr:cNvSpPr>
          <a:spLocks noChangeAspect="1" noChangeArrowheads="1"/>
        </xdr:cNvSpPr>
      </xdr:nvSpPr>
      <xdr:spPr bwMode="auto">
        <a:xfrm>
          <a:off x="46110525" y="114138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84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10B0000}"/>
            </a:ext>
          </a:extLst>
        </xdr:cNvPr>
        <xdr:cNvSpPr>
          <a:spLocks noChangeAspect="1" noChangeArrowheads="1"/>
        </xdr:cNvSpPr>
      </xdr:nvSpPr>
      <xdr:spPr bwMode="auto">
        <a:xfrm>
          <a:off x="46110525" y="114138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85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20B0000}"/>
            </a:ext>
          </a:extLst>
        </xdr:cNvPr>
        <xdr:cNvSpPr>
          <a:spLocks noChangeAspect="1" noChangeArrowheads="1"/>
        </xdr:cNvSpPr>
      </xdr:nvSpPr>
      <xdr:spPr bwMode="auto">
        <a:xfrm>
          <a:off x="46110525" y="114433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85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30B0000}"/>
            </a:ext>
          </a:extLst>
        </xdr:cNvPr>
        <xdr:cNvSpPr>
          <a:spLocks noChangeAspect="1" noChangeArrowheads="1"/>
        </xdr:cNvSpPr>
      </xdr:nvSpPr>
      <xdr:spPr bwMode="auto">
        <a:xfrm>
          <a:off x="46110525" y="114433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85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40B0000}"/>
            </a:ext>
          </a:extLst>
        </xdr:cNvPr>
        <xdr:cNvSpPr>
          <a:spLocks noChangeAspect="1" noChangeArrowheads="1"/>
        </xdr:cNvSpPr>
      </xdr:nvSpPr>
      <xdr:spPr bwMode="auto">
        <a:xfrm>
          <a:off x="46110525" y="114728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85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50B0000}"/>
            </a:ext>
          </a:extLst>
        </xdr:cNvPr>
        <xdr:cNvSpPr>
          <a:spLocks noChangeAspect="1" noChangeArrowheads="1"/>
        </xdr:cNvSpPr>
      </xdr:nvSpPr>
      <xdr:spPr bwMode="auto">
        <a:xfrm>
          <a:off x="46110525" y="114728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85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60B0000}"/>
            </a:ext>
          </a:extLst>
        </xdr:cNvPr>
        <xdr:cNvSpPr>
          <a:spLocks noChangeAspect="1" noChangeArrowheads="1"/>
        </xdr:cNvSpPr>
      </xdr:nvSpPr>
      <xdr:spPr bwMode="auto">
        <a:xfrm>
          <a:off x="46110525" y="115023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85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70B0000}"/>
            </a:ext>
          </a:extLst>
        </xdr:cNvPr>
        <xdr:cNvSpPr>
          <a:spLocks noChangeAspect="1" noChangeArrowheads="1"/>
        </xdr:cNvSpPr>
      </xdr:nvSpPr>
      <xdr:spPr bwMode="auto">
        <a:xfrm>
          <a:off x="46110525" y="115023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85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80B0000}"/>
            </a:ext>
          </a:extLst>
        </xdr:cNvPr>
        <xdr:cNvSpPr>
          <a:spLocks noChangeAspect="1" noChangeArrowheads="1"/>
        </xdr:cNvSpPr>
      </xdr:nvSpPr>
      <xdr:spPr bwMode="auto">
        <a:xfrm>
          <a:off x="46110525" y="1153191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85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90B0000}"/>
            </a:ext>
          </a:extLst>
        </xdr:cNvPr>
        <xdr:cNvSpPr>
          <a:spLocks noChangeAspect="1" noChangeArrowheads="1"/>
        </xdr:cNvSpPr>
      </xdr:nvSpPr>
      <xdr:spPr bwMode="auto">
        <a:xfrm>
          <a:off x="46110525" y="1153191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85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A0B0000}"/>
            </a:ext>
          </a:extLst>
        </xdr:cNvPr>
        <xdr:cNvSpPr>
          <a:spLocks noChangeAspect="1" noChangeArrowheads="1"/>
        </xdr:cNvSpPr>
      </xdr:nvSpPr>
      <xdr:spPr bwMode="auto">
        <a:xfrm>
          <a:off x="46110525" y="115614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85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B0B0000}"/>
            </a:ext>
          </a:extLst>
        </xdr:cNvPr>
        <xdr:cNvSpPr>
          <a:spLocks noChangeAspect="1" noChangeArrowheads="1"/>
        </xdr:cNvSpPr>
      </xdr:nvSpPr>
      <xdr:spPr bwMode="auto">
        <a:xfrm>
          <a:off x="46110525" y="115614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86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C0B0000}"/>
            </a:ext>
          </a:extLst>
        </xdr:cNvPr>
        <xdr:cNvSpPr>
          <a:spLocks noChangeAspect="1" noChangeArrowheads="1"/>
        </xdr:cNvSpPr>
      </xdr:nvSpPr>
      <xdr:spPr bwMode="auto">
        <a:xfrm>
          <a:off x="46110525" y="1159097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86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D0B0000}"/>
            </a:ext>
          </a:extLst>
        </xdr:cNvPr>
        <xdr:cNvSpPr>
          <a:spLocks noChangeAspect="1" noChangeArrowheads="1"/>
        </xdr:cNvSpPr>
      </xdr:nvSpPr>
      <xdr:spPr bwMode="auto">
        <a:xfrm>
          <a:off x="46110525" y="1159097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86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E0B0000}"/>
            </a:ext>
          </a:extLst>
        </xdr:cNvPr>
        <xdr:cNvSpPr>
          <a:spLocks noChangeAspect="1" noChangeArrowheads="1"/>
        </xdr:cNvSpPr>
      </xdr:nvSpPr>
      <xdr:spPr bwMode="auto">
        <a:xfrm>
          <a:off x="46110525" y="116205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86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F0B0000}"/>
            </a:ext>
          </a:extLst>
        </xdr:cNvPr>
        <xdr:cNvSpPr>
          <a:spLocks noChangeAspect="1" noChangeArrowheads="1"/>
        </xdr:cNvSpPr>
      </xdr:nvSpPr>
      <xdr:spPr bwMode="auto">
        <a:xfrm>
          <a:off x="46110525" y="116205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86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00B0000}"/>
            </a:ext>
          </a:extLst>
        </xdr:cNvPr>
        <xdr:cNvSpPr>
          <a:spLocks noChangeAspect="1" noChangeArrowheads="1"/>
        </xdr:cNvSpPr>
      </xdr:nvSpPr>
      <xdr:spPr bwMode="auto">
        <a:xfrm>
          <a:off x="46110525" y="1165002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86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10B0000}"/>
            </a:ext>
          </a:extLst>
        </xdr:cNvPr>
        <xdr:cNvSpPr>
          <a:spLocks noChangeAspect="1" noChangeArrowheads="1"/>
        </xdr:cNvSpPr>
      </xdr:nvSpPr>
      <xdr:spPr bwMode="auto">
        <a:xfrm>
          <a:off x="46110525" y="1165002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86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20B0000}"/>
            </a:ext>
          </a:extLst>
        </xdr:cNvPr>
        <xdr:cNvSpPr>
          <a:spLocks noChangeAspect="1" noChangeArrowheads="1"/>
        </xdr:cNvSpPr>
      </xdr:nvSpPr>
      <xdr:spPr bwMode="auto">
        <a:xfrm>
          <a:off x="46110525" y="116795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86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30B0000}"/>
            </a:ext>
          </a:extLst>
        </xdr:cNvPr>
        <xdr:cNvSpPr>
          <a:spLocks noChangeAspect="1" noChangeArrowheads="1"/>
        </xdr:cNvSpPr>
      </xdr:nvSpPr>
      <xdr:spPr bwMode="auto">
        <a:xfrm>
          <a:off x="46110525" y="116795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86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40B0000}"/>
            </a:ext>
          </a:extLst>
        </xdr:cNvPr>
        <xdr:cNvSpPr>
          <a:spLocks noChangeAspect="1" noChangeArrowheads="1"/>
        </xdr:cNvSpPr>
      </xdr:nvSpPr>
      <xdr:spPr bwMode="auto">
        <a:xfrm>
          <a:off x="46110525" y="117090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86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50B0000}"/>
            </a:ext>
          </a:extLst>
        </xdr:cNvPr>
        <xdr:cNvSpPr>
          <a:spLocks noChangeAspect="1" noChangeArrowheads="1"/>
        </xdr:cNvSpPr>
      </xdr:nvSpPr>
      <xdr:spPr bwMode="auto">
        <a:xfrm>
          <a:off x="46110525" y="117090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87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60B0000}"/>
            </a:ext>
          </a:extLst>
        </xdr:cNvPr>
        <xdr:cNvSpPr>
          <a:spLocks noChangeAspect="1" noChangeArrowheads="1"/>
        </xdr:cNvSpPr>
      </xdr:nvSpPr>
      <xdr:spPr bwMode="auto">
        <a:xfrm>
          <a:off x="46110525" y="117386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87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70B0000}"/>
            </a:ext>
          </a:extLst>
        </xdr:cNvPr>
        <xdr:cNvSpPr>
          <a:spLocks noChangeAspect="1" noChangeArrowheads="1"/>
        </xdr:cNvSpPr>
      </xdr:nvSpPr>
      <xdr:spPr bwMode="auto">
        <a:xfrm>
          <a:off x="46110525" y="117386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87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80B0000}"/>
            </a:ext>
          </a:extLst>
        </xdr:cNvPr>
        <xdr:cNvSpPr>
          <a:spLocks noChangeAspect="1" noChangeArrowheads="1"/>
        </xdr:cNvSpPr>
      </xdr:nvSpPr>
      <xdr:spPr bwMode="auto">
        <a:xfrm>
          <a:off x="46110525" y="117681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87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90B0000}"/>
            </a:ext>
          </a:extLst>
        </xdr:cNvPr>
        <xdr:cNvSpPr>
          <a:spLocks noChangeAspect="1" noChangeArrowheads="1"/>
        </xdr:cNvSpPr>
      </xdr:nvSpPr>
      <xdr:spPr bwMode="auto">
        <a:xfrm>
          <a:off x="46110525" y="117681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87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A0B0000}"/>
            </a:ext>
          </a:extLst>
        </xdr:cNvPr>
        <xdr:cNvSpPr>
          <a:spLocks noChangeAspect="1" noChangeArrowheads="1"/>
        </xdr:cNvSpPr>
      </xdr:nvSpPr>
      <xdr:spPr bwMode="auto">
        <a:xfrm>
          <a:off x="46110525" y="117976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87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B0B0000}"/>
            </a:ext>
          </a:extLst>
        </xdr:cNvPr>
        <xdr:cNvSpPr>
          <a:spLocks noChangeAspect="1" noChangeArrowheads="1"/>
        </xdr:cNvSpPr>
      </xdr:nvSpPr>
      <xdr:spPr bwMode="auto">
        <a:xfrm>
          <a:off x="46110525" y="117976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87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C0B0000}"/>
            </a:ext>
          </a:extLst>
        </xdr:cNvPr>
        <xdr:cNvSpPr>
          <a:spLocks noChangeAspect="1" noChangeArrowheads="1"/>
        </xdr:cNvSpPr>
      </xdr:nvSpPr>
      <xdr:spPr bwMode="auto">
        <a:xfrm>
          <a:off x="46110525" y="1182719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87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D0B0000}"/>
            </a:ext>
          </a:extLst>
        </xdr:cNvPr>
        <xdr:cNvSpPr>
          <a:spLocks noChangeAspect="1" noChangeArrowheads="1"/>
        </xdr:cNvSpPr>
      </xdr:nvSpPr>
      <xdr:spPr bwMode="auto">
        <a:xfrm>
          <a:off x="46110525" y="1182719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87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E0B0000}"/>
            </a:ext>
          </a:extLst>
        </xdr:cNvPr>
        <xdr:cNvSpPr>
          <a:spLocks noChangeAspect="1" noChangeArrowheads="1"/>
        </xdr:cNvSpPr>
      </xdr:nvSpPr>
      <xdr:spPr bwMode="auto">
        <a:xfrm>
          <a:off x="46110525" y="118567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87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F0B0000}"/>
            </a:ext>
          </a:extLst>
        </xdr:cNvPr>
        <xdr:cNvSpPr>
          <a:spLocks noChangeAspect="1" noChangeArrowheads="1"/>
        </xdr:cNvSpPr>
      </xdr:nvSpPr>
      <xdr:spPr bwMode="auto">
        <a:xfrm>
          <a:off x="46110525" y="118567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88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00B0000}"/>
            </a:ext>
          </a:extLst>
        </xdr:cNvPr>
        <xdr:cNvSpPr>
          <a:spLocks noChangeAspect="1" noChangeArrowheads="1"/>
        </xdr:cNvSpPr>
      </xdr:nvSpPr>
      <xdr:spPr bwMode="auto">
        <a:xfrm>
          <a:off x="46110525" y="1188624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88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10B0000}"/>
            </a:ext>
          </a:extLst>
        </xdr:cNvPr>
        <xdr:cNvSpPr>
          <a:spLocks noChangeAspect="1" noChangeArrowheads="1"/>
        </xdr:cNvSpPr>
      </xdr:nvSpPr>
      <xdr:spPr bwMode="auto">
        <a:xfrm>
          <a:off x="46110525" y="1188624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88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20B0000}"/>
            </a:ext>
          </a:extLst>
        </xdr:cNvPr>
        <xdr:cNvSpPr>
          <a:spLocks noChangeAspect="1" noChangeArrowheads="1"/>
        </xdr:cNvSpPr>
      </xdr:nvSpPr>
      <xdr:spPr bwMode="auto">
        <a:xfrm>
          <a:off x="46110525" y="119157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88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30B0000}"/>
            </a:ext>
          </a:extLst>
        </xdr:cNvPr>
        <xdr:cNvSpPr>
          <a:spLocks noChangeAspect="1" noChangeArrowheads="1"/>
        </xdr:cNvSpPr>
      </xdr:nvSpPr>
      <xdr:spPr bwMode="auto">
        <a:xfrm>
          <a:off x="46110525" y="119157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88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40B0000}"/>
            </a:ext>
          </a:extLst>
        </xdr:cNvPr>
        <xdr:cNvSpPr>
          <a:spLocks noChangeAspect="1" noChangeArrowheads="1"/>
        </xdr:cNvSpPr>
      </xdr:nvSpPr>
      <xdr:spPr bwMode="auto">
        <a:xfrm>
          <a:off x="46110525" y="119453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88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50B0000}"/>
            </a:ext>
          </a:extLst>
        </xdr:cNvPr>
        <xdr:cNvSpPr>
          <a:spLocks noChangeAspect="1" noChangeArrowheads="1"/>
        </xdr:cNvSpPr>
      </xdr:nvSpPr>
      <xdr:spPr bwMode="auto">
        <a:xfrm>
          <a:off x="46110525" y="119453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88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60B0000}"/>
            </a:ext>
          </a:extLst>
        </xdr:cNvPr>
        <xdr:cNvSpPr>
          <a:spLocks noChangeAspect="1" noChangeArrowheads="1"/>
        </xdr:cNvSpPr>
      </xdr:nvSpPr>
      <xdr:spPr bwMode="auto">
        <a:xfrm>
          <a:off x="46110525" y="119748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88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70B0000}"/>
            </a:ext>
          </a:extLst>
        </xdr:cNvPr>
        <xdr:cNvSpPr>
          <a:spLocks noChangeAspect="1" noChangeArrowheads="1"/>
        </xdr:cNvSpPr>
      </xdr:nvSpPr>
      <xdr:spPr bwMode="auto">
        <a:xfrm>
          <a:off x="46110525" y="119748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88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80B0000}"/>
            </a:ext>
          </a:extLst>
        </xdr:cNvPr>
        <xdr:cNvSpPr>
          <a:spLocks noChangeAspect="1" noChangeArrowheads="1"/>
        </xdr:cNvSpPr>
      </xdr:nvSpPr>
      <xdr:spPr bwMode="auto">
        <a:xfrm>
          <a:off x="46110525" y="120043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88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90B0000}"/>
            </a:ext>
          </a:extLst>
        </xdr:cNvPr>
        <xdr:cNvSpPr>
          <a:spLocks noChangeAspect="1" noChangeArrowheads="1"/>
        </xdr:cNvSpPr>
      </xdr:nvSpPr>
      <xdr:spPr bwMode="auto">
        <a:xfrm>
          <a:off x="46110525" y="120043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89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A0B0000}"/>
            </a:ext>
          </a:extLst>
        </xdr:cNvPr>
        <xdr:cNvSpPr>
          <a:spLocks noChangeAspect="1" noChangeArrowheads="1"/>
        </xdr:cNvSpPr>
      </xdr:nvSpPr>
      <xdr:spPr bwMode="auto">
        <a:xfrm>
          <a:off x="46110525" y="120338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89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B0B0000}"/>
            </a:ext>
          </a:extLst>
        </xdr:cNvPr>
        <xdr:cNvSpPr>
          <a:spLocks noChangeAspect="1" noChangeArrowheads="1"/>
        </xdr:cNvSpPr>
      </xdr:nvSpPr>
      <xdr:spPr bwMode="auto">
        <a:xfrm>
          <a:off x="46110525" y="120338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89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C0B0000}"/>
            </a:ext>
          </a:extLst>
        </xdr:cNvPr>
        <xdr:cNvSpPr>
          <a:spLocks noChangeAspect="1" noChangeArrowheads="1"/>
        </xdr:cNvSpPr>
      </xdr:nvSpPr>
      <xdr:spPr bwMode="auto">
        <a:xfrm>
          <a:off x="46110525" y="1206341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89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D0B0000}"/>
            </a:ext>
          </a:extLst>
        </xdr:cNvPr>
        <xdr:cNvSpPr>
          <a:spLocks noChangeAspect="1" noChangeArrowheads="1"/>
        </xdr:cNvSpPr>
      </xdr:nvSpPr>
      <xdr:spPr bwMode="auto">
        <a:xfrm>
          <a:off x="46110525" y="1206341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89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E0B0000}"/>
            </a:ext>
          </a:extLst>
        </xdr:cNvPr>
        <xdr:cNvSpPr>
          <a:spLocks noChangeAspect="1" noChangeArrowheads="1"/>
        </xdr:cNvSpPr>
      </xdr:nvSpPr>
      <xdr:spPr bwMode="auto">
        <a:xfrm>
          <a:off x="46110525" y="120929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89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F0B0000}"/>
            </a:ext>
          </a:extLst>
        </xdr:cNvPr>
        <xdr:cNvSpPr>
          <a:spLocks noChangeAspect="1" noChangeArrowheads="1"/>
        </xdr:cNvSpPr>
      </xdr:nvSpPr>
      <xdr:spPr bwMode="auto">
        <a:xfrm>
          <a:off x="46110525" y="120929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89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00B0000}"/>
            </a:ext>
          </a:extLst>
        </xdr:cNvPr>
        <xdr:cNvSpPr>
          <a:spLocks noChangeAspect="1" noChangeArrowheads="1"/>
        </xdr:cNvSpPr>
      </xdr:nvSpPr>
      <xdr:spPr bwMode="auto">
        <a:xfrm>
          <a:off x="46110525" y="1212246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89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10B0000}"/>
            </a:ext>
          </a:extLst>
        </xdr:cNvPr>
        <xdr:cNvSpPr>
          <a:spLocks noChangeAspect="1" noChangeArrowheads="1"/>
        </xdr:cNvSpPr>
      </xdr:nvSpPr>
      <xdr:spPr bwMode="auto">
        <a:xfrm>
          <a:off x="46110525" y="1212246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89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20B0000}"/>
            </a:ext>
          </a:extLst>
        </xdr:cNvPr>
        <xdr:cNvSpPr>
          <a:spLocks noChangeAspect="1" noChangeArrowheads="1"/>
        </xdr:cNvSpPr>
      </xdr:nvSpPr>
      <xdr:spPr bwMode="auto">
        <a:xfrm>
          <a:off x="46110525" y="121519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89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30B0000}"/>
            </a:ext>
          </a:extLst>
        </xdr:cNvPr>
        <xdr:cNvSpPr>
          <a:spLocks noChangeAspect="1" noChangeArrowheads="1"/>
        </xdr:cNvSpPr>
      </xdr:nvSpPr>
      <xdr:spPr bwMode="auto">
        <a:xfrm>
          <a:off x="46110525" y="121519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90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40B0000}"/>
            </a:ext>
          </a:extLst>
        </xdr:cNvPr>
        <xdr:cNvSpPr>
          <a:spLocks noChangeAspect="1" noChangeArrowheads="1"/>
        </xdr:cNvSpPr>
      </xdr:nvSpPr>
      <xdr:spPr bwMode="auto">
        <a:xfrm>
          <a:off x="46110525" y="121815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90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50B0000}"/>
            </a:ext>
          </a:extLst>
        </xdr:cNvPr>
        <xdr:cNvSpPr>
          <a:spLocks noChangeAspect="1" noChangeArrowheads="1"/>
        </xdr:cNvSpPr>
      </xdr:nvSpPr>
      <xdr:spPr bwMode="auto">
        <a:xfrm>
          <a:off x="46110525" y="121815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90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60B0000}"/>
            </a:ext>
          </a:extLst>
        </xdr:cNvPr>
        <xdr:cNvSpPr>
          <a:spLocks noChangeAspect="1" noChangeArrowheads="1"/>
        </xdr:cNvSpPr>
      </xdr:nvSpPr>
      <xdr:spPr bwMode="auto">
        <a:xfrm>
          <a:off x="46110525" y="1221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90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70B0000}"/>
            </a:ext>
          </a:extLst>
        </xdr:cNvPr>
        <xdr:cNvSpPr>
          <a:spLocks noChangeAspect="1" noChangeArrowheads="1"/>
        </xdr:cNvSpPr>
      </xdr:nvSpPr>
      <xdr:spPr bwMode="auto">
        <a:xfrm>
          <a:off x="46110525" y="1221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90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80B0000}"/>
            </a:ext>
          </a:extLst>
        </xdr:cNvPr>
        <xdr:cNvSpPr>
          <a:spLocks noChangeAspect="1" noChangeArrowheads="1"/>
        </xdr:cNvSpPr>
      </xdr:nvSpPr>
      <xdr:spPr bwMode="auto">
        <a:xfrm>
          <a:off x="46110525" y="1224057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90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90B0000}"/>
            </a:ext>
          </a:extLst>
        </xdr:cNvPr>
        <xdr:cNvSpPr>
          <a:spLocks noChangeAspect="1" noChangeArrowheads="1"/>
        </xdr:cNvSpPr>
      </xdr:nvSpPr>
      <xdr:spPr bwMode="auto">
        <a:xfrm>
          <a:off x="46110525" y="1224057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90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A0B0000}"/>
            </a:ext>
          </a:extLst>
        </xdr:cNvPr>
        <xdr:cNvSpPr>
          <a:spLocks noChangeAspect="1" noChangeArrowheads="1"/>
        </xdr:cNvSpPr>
      </xdr:nvSpPr>
      <xdr:spPr bwMode="auto">
        <a:xfrm>
          <a:off x="46110525" y="122701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90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B0B0000}"/>
            </a:ext>
          </a:extLst>
        </xdr:cNvPr>
        <xdr:cNvSpPr>
          <a:spLocks noChangeAspect="1" noChangeArrowheads="1"/>
        </xdr:cNvSpPr>
      </xdr:nvSpPr>
      <xdr:spPr bwMode="auto">
        <a:xfrm>
          <a:off x="46110525" y="122701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90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C0B0000}"/>
            </a:ext>
          </a:extLst>
        </xdr:cNvPr>
        <xdr:cNvSpPr>
          <a:spLocks noChangeAspect="1" noChangeArrowheads="1"/>
        </xdr:cNvSpPr>
      </xdr:nvSpPr>
      <xdr:spPr bwMode="auto">
        <a:xfrm>
          <a:off x="46110525" y="122996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90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D0B0000}"/>
            </a:ext>
          </a:extLst>
        </xdr:cNvPr>
        <xdr:cNvSpPr>
          <a:spLocks noChangeAspect="1" noChangeArrowheads="1"/>
        </xdr:cNvSpPr>
      </xdr:nvSpPr>
      <xdr:spPr bwMode="auto">
        <a:xfrm>
          <a:off x="46110525" y="122996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91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E0B0000}"/>
            </a:ext>
          </a:extLst>
        </xdr:cNvPr>
        <xdr:cNvSpPr>
          <a:spLocks noChangeAspect="1" noChangeArrowheads="1"/>
        </xdr:cNvSpPr>
      </xdr:nvSpPr>
      <xdr:spPr bwMode="auto">
        <a:xfrm>
          <a:off x="46110525" y="123291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91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F0B0000}"/>
            </a:ext>
          </a:extLst>
        </xdr:cNvPr>
        <xdr:cNvSpPr>
          <a:spLocks noChangeAspect="1" noChangeArrowheads="1"/>
        </xdr:cNvSpPr>
      </xdr:nvSpPr>
      <xdr:spPr bwMode="auto">
        <a:xfrm>
          <a:off x="46110525" y="123291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91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00B0000}"/>
            </a:ext>
          </a:extLst>
        </xdr:cNvPr>
        <xdr:cNvSpPr>
          <a:spLocks noChangeAspect="1" noChangeArrowheads="1"/>
        </xdr:cNvSpPr>
      </xdr:nvSpPr>
      <xdr:spPr bwMode="auto">
        <a:xfrm>
          <a:off x="46110525" y="123586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91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10B0000}"/>
            </a:ext>
          </a:extLst>
        </xdr:cNvPr>
        <xdr:cNvSpPr>
          <a:spLocks noChangeAspect="1" noChangeArrowheads="1"/>
        </xdr:cNvSpPr>
      </xdr:nvSpPr>
      <xdr:spPr bwMode="auto">
        <a:xfrm>
          <a:off x="46110525" y="123586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91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20B0000}"/>
            </a:ext>
          </a:extLst>
        </xdr:cNvPr>
        <xdr:cNvSpPr>
          <a:spLocks noChangeAspect="1" noChangeArrowheads="1"/>
        </xdr:cNvSpPr>
      </xdr:nvSpPr>
      <xdr:spPr bwMode="auto">
        <a:xfrm>
          <a:off x="46110525" y="123882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91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30B0000}"/>
            </a:ext>
          </a:extLst>
        </xdr:cNvPr>
        <xdr:cNvSpPr>
          <a:spLocks noChangeAspect="1" noChangeArrowheads="1"/>
        </xdr:cNvSpPr>
      </xdr:nvSpPr>
      <xdr:spPr bwMode="auto">
        <a:xfrm>
          <a:off x="46110525" y="123882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91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40B0000}"/>
            </a:ext>
          </a:extLst>
        </xdr:cNvPr>
        <xdr:cNvSpPr>
          <a:spLocks noChangeAspect="1" noChangeArrowheads="1"/>
        </xdr:cNvSpPr>
      </xdr:nvSpPr>
      <xdr:spPr bwMode="auto">
        <a:xfrm>
          <a:off x="46110525" y="1241774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91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50B0000}"/>
            </a:ext>
          </a:extLst>
        </xdr:cNvPr>
        <xdr:cNvSpPr>
          <a:spLocks noChangeAspect="1" noChangeArrowheads="1"/>
        </xdr:cNvSpPr>
      </xdr:nvSpPr>
      <xdr:spPr bwMode="auto">
        <a:xfrm>
          <a:off x="46110525" y="1241774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91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60B0000}"/>
            </a:ext>
          </a:extLst>
        </xdr:cNvPr>
        <xdr:cNvSpPr>
          <a:spLocks noChangeAspect="1" noChangeArrowheads="1"/>
        </xdr:cNvSpPr>
      </xdr:nvSpPr>
      <xdr:spPr bwMode="auto">
        <a:xfrm>
          <a:off x="46110525" y="124472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91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70B0000}"/>
            </a:ext>
          </a:extLst>
        </xdr:cNvPr>
        <xdr:cNvSpPr>
          <a:spLocks noChangeAspect="1" noChangeArrowheads="1"/>
        </xdr:cNvSpPr>
      </xdr:nvSpPr>
      <xdr:spPr bwMode="auto">
        <a:xfrm>
          <a:off x="46110525" y="124472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92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80B0000}"/>
            </a:ext>
          </a:extLst>
        </xdr:cNvPr>
        <xdr:cNvSpPr>
          <a:spLocks noChangeAspect="1" noChangeArrowheads="1"/>
        </xdr:cNvSpPr>
      </xdr:nvSpPr>
      <xdr:spPr bwMode="auto">
        <a:xfrm>
          <a:off x="46110525" y="1247679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92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90B0000}"/>
            </a:ext>
          </a:extLst>
        </xdr:cNvPr>
        <xdr:cNvSpPr>
          <a:spLocks noChangeAspect="1" noChangeArrowheads="1"/>
        </xdr:cNvSpPr>
      </xdr:nvSpPr>
      <xdr:spPr bwMode="auto">
        <a:xfrm>
          <a:off x="46110525" y="1247679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92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A0B0000}"/>
            </a:ext>
          </a:extLst>
        </xdr:cNvPr>
        <xdr:cNvSpPr>
          <a:spLocks noChangeAspect="1" noChangeArrowheads="1"/>
        </xdr:cNvSpPr>
      </xdr:nvSpPr>
      <xdr:spPr bwMode="auto">
        <a:xfrm>
          <a:off x="46110525" y="125063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92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B0B0000}"/>
            </a:ext>
          </a:extLst>
        </xdr:cNvPr>
        <xdr:cNvSpPr>
          <a:spLocks noChangeAspect="1" noChangeArrowheads="1"/>
        </xdr:cNvSpPr>
      </xdr:nvSpPr>
      <xdr:spPr bwMode="auto">
        <a:xfrm>
          <a:off x="46110525" y="125063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92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C0B0000}"/>
            </a:ext>
          </a:extLst>
        </xdr:cNvPr>
        <xdr:cNvSpPr>
          <a:spLocks noChangeAspect="1" noChangeArrowheads="1"/>
        </xdr:cNvSpPr>
      </xdr:nvSpPr>
      <xdr:spPr bwMode="auto">
        <a:xfrm>
          <a:off x="46110525" y="125358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92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D0B0000}"/>
            </a:ext>
          </a:extLst>
        </xdr:cNvPr>
        <xdr:cNvSpPr>
          <a:spLocks noChangeAspect="1" noChangeArrowheads="1"/>
        </xdr:cNvSpPr>
      </xdr:nvSpPr>
      <xdr:spPr bwMode="auto">
        <a:xfrm>
          <a:off x="46110525" y="125358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92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E0B0000}"/>
            </a:ext>
          </a:extLst>
        </xdr:cNvPr>
        <xdr:cNvSpPr>
          <a:spLocks noChangeAspect="1" noChangeArrowheads="1"/>
        </xdr:cNvSpPr>
      </xdr:nvSpPr>
      <xdr:spPr bwMode="auto">
        <a:xfrm>
          <a:off x="46110525" y="125653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92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F0B0000}"/>
            </a:ext>
          </a:extLst>
        </xdr:cNvPr>
        <xdr:cNvSpPr>
          <a:spLocks noChangeAspect="1" noChangeArrowheads="1"/>
        </xdr:cNvSpPr>
      </xdr:nvSpPr>
      <xdr:spPr bwMode="auto">
        <a:xfrm>
          <a:off x="46110525" y="125653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92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00B0000}"/>
            </a:ext>
          </a:extLst>
        </xdr:cNvPr>
        <xdr:cNvSpPr>
          <a:spLocks noChangeAspect="1" noChangeArrowheads="1"/>
        </xdr:cNvSpPr>
      </xdr:nvSpPr>
      <xdr:spPr bwMode="auto">
        <a:xfrm>
          <a:off x="46110525" y="125949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92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10B0000}"/>
            </a:ext>
          </a:extLst>
        </xdr:cNvPr>
        <xdr:cNvSpPr>
          <a:spLocks noChangeAspect="1" noChangeArrowheads="1"/>
        </xdr:cNvSpPr>
      </xdr:nvSpPr>
      <xdr:spPr bwMode="auto">
        <a:xfrm>
          <a:off x="46110525" y="125949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93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20B0000}"/>
            </a:ext>
          </a:extLst>
        </xdr:cNvPr>
        <xdr:cNvSpPr>
          <a:spLocks noChangeAspect="1" noChangeArrowheads="1"/>
        </xdr:cNvSpPr>
      </xdr:nvSpPr>
      <xdr:spPr bwMode="auto">
        <a:xfrm>
          <a:off x="46110525" y="126539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93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30B0000}"/>
            </a:ext>
          </a:extLst>
        </xdr:cNvPr>
        <xdr:cNvSpPr>
          <a:spLocks noChangeAspect="1" noChangeArrowheads="1"/>
        </xdr:cNvSpPr>
      </xdr:nvSpPr>
      <xdr:spPr bwMode="auto">
        <a:xfrm>
          <a:off x="46110525" y="126539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93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40B0000}"/>
            </a:ext>
          </a:extLst>
        </xdr:cNvPr>
        <xdr:cNvSpPr>
          <a:spLocks noChangeAspect="1" noChangeArrowheads="1"/>
        </xdr:cNvSpPr>
      </xdr:nvSpPr>
      <xdr:spPr bwMode="auto">
        <a:xfrm>
          <a:off x="46110525" y="126834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93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50B0000}"/>
            </a:ext>
          </a:extLst>
        </xdr:cNvPr>
        <xdr:cNvSpPr>
          <a:spLocks noChangeAspect="1" noChangeArrowheads="1"/>
        </xdr:cNvSpPr>
      </xdr:nvSpPr>
      <xdr:spPr bwMode="auto">
        <a:xfrm>
          <a:off x="46110525" y="126834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93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60B0000}"/>
            </a:ext>
          </a:extLst>
        </xdr:cNvPr>
        <xdr:cNvSpPr>
          <a:spLocks noChangeAspect="1" noChangeArrowheads="1"/>
        </xdr:cNvSpPr>
      </xdr:nvSpPr>
      <xdr:spPr bwMode="auto">
        <a:xfrm>
          <a:off x="46110525" y="1271301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93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70B0000}"/>
            </a:ext>
          </a:extLst>
        </xdr:cNvPr>
        <xdr:cNvSpPr>
          <a:spLocks noChangeAspect="1" noChangeArrowheads="1"/>
        </xdr:cNvSpPr>
      </xdr:nvSpPr>
      <xdr:spPr bwMode="auto">
        <a:xfrm>
          <a:off x="46110525" y="1271301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93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80B0000}"/>
            </a:ext>
          </a:extLst>
        </xdr:cNvPr>
        <xdr:cNvSpPr>
          <a:spLocks noChangeAspect="1" noChangeArrowheads="1"/>
        </xdr:cNvSpPr>
      </xdr:nvSpPr>
      <xdr:spPr bwMode="auto">
        <a:xfrm>
          <a:off x="46110525" y="127425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93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90B0000}"/>
            </a:ext>
          </a:extLst>
        </xdr:cNvPr>
        <xdr:cNvSpPr>
          <a:spLocks noChangeAspect="1" noChangeArrowheads="1"/>
        </xdr:cNvSpPr>
      </xdr:nvSpPr>
      <xdr:spPr bwMode="auto">
        <a:xfrm>
          <a:off x="46110525" y="127425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93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A0B0000}"/>
            </a:ext>
          </a:extLst>
        </xdr:cNvPr>
        <xdr:cNvSpPr>
          <a:spLocks noChangeAspect="1" noChangeArrowheads="1"/>
        </xdr:cNvSpPr>
      </xdr:nvSpPr>
      <xdr:spPr bwMode="auto">
        <a:xfrm>
          <a:off x="46110525" y="1277207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93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B0B0000}"/>
            </a:ext>
          </a:extLst>
        </xdr:cNvPr>
        <xdr:cNvSpPr>
          <a:spLocks noChangeAspect="1" noChangeArrowheads="1"/>
        </xdr:cNvSpPr>
      </xdr:nvSpPr>
      <xdr:spPr bwMode="auto">
        <a:xfrm>
          <a:off x="46110525" y="1277207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94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C0B0000}"/>
            </a:ext>
          </a:extLst>
        </xdr:cNvPr>
        <xdr:cNvSpPr>
          <a:spLocks noChangeAspect="1" noChangeArrowheads="1"/>
        </xdr:cNvSpPr>
      </xdr:nvSpPr>
      <xdr:spPr bwMode="auto">
        <a:xfrm>
          <a:off x="46110525" y="128016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94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D0B0000}"/>
            </a:ext>
          </a:extLst>
        </xdr:cNvPr>
        <xdr:cNvSpPr>
          <a:spLocks noChangeAspect="1" noChangeArrowheads="1"/>
        </xdr:cNvSpPr>
      </xdr:nvSpPr>
      <xdr:spPr bwMode="auto">
        <a:xfrm>
          <a:off x="46110525" y="128016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94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E0B0000}"/>
            </a:ext>
          </a:extLst>
        </xdr:cNvPr>
        <xdr:cNvSpPr>
          <a:spLocks noChangeAspect="1" noChangeArrowheads="1"/>
        </xdr:cNvSpPr>
      </xdr:nvSpPr>
      <xdr:spPr bwMode="auto">
        <a:xfrm>
          <a:off x="46110525" y="1283112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94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F0B0000}"/>
            </a:ext>
          </a:extLst>
        </xdr:cNvPr>
        <xdr:cNvSpPr>
          <a:spLocks noChangeAspect="1" noChangeArrowheads="1"/>
        </xdr:cNvSpPr>
      </xdr:nvSpPr>
      <xdr:spPr bwMode="auto">
        <a:xfrm>
          <a:off x="46110525" y="1283112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94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00B0000}"/>
            </a:ext>
          </a:extLst>
        </xdr:cNvPr>
        <xdr:cNvSpPr>
          <a:spLocks noChangeAspect="1" noChangeArrowheads="1"/>
        </xdr:cNvSpPr>
      </xdr:nvSpPr>
      <xdr:spPr bwMode="auto">
        <a:xfrm>
          <a:off x="46110525" y="128606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94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10B0000}"/>
            </a:ext>
          </a:extLst>
        </xdr:cNvPr>
        <xdr:cNvSpPr>
          <a:spLocks noChangeAspect="1" noChangeArrowheads="1"/>
        </xdr:cNvSpPr>
      </xdr:nvSpPr>
      <xdr:spPr bwMode="auto">
        <a:xfrm>
          <a:off x="46110525" y="128606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94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20B0000}"/>
            </a:ext>
          </a:extLst>
        </xdr:cNvPr>
        <xdr:cNvSpPr>
          <a:spLocks noChangeAspect="1" noChangeArrowheads="1"/>
        </xdr:cNvSpPr>
      </xdr:nvSpPr>
      <xdr:spPr bwMode="auto">
        <a:xfrm>
          <a:off x="46110525" y="128901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94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30B0000}"/>
            </a:ext>
          </a:extLst>
        </xdr:cNvPr>
        <xdr:cNvSpPr>
          <a:spLocks noChangeAspect="1" noChangeArrowheads="1"/>
        </xdr:cNvSpPr>
      </xdr:nvSpPr>
      <xdr:spPr bwMode="auto">
        <a:xfrm>
          <a:off x="46110525" y="128901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94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40B0000}"/>
            </a:ext>
          </a:extLst>
        </xdr:cNvPr>
        <xdr:cNvSpPr>
          <a:spLocks noChangeAspect="1" noChangeArrowheads="1"/>
        </xdr:cNvSpPr>
      </xdr:nvSpPr>
      <xdr:spPr bwMode="auto">
        <a:xfrm>
          <a:off x="46110525" y="129197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94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50B0000}"/>
            </a:ext>
          </a:extLst>
        </xdr:cNvPr>
        <xdr:cNvSpPr>
          <a:spLocks noChangeAspect="1" noChangeArrowheads="1"/>
        </xdr:cNvSpPr>
      </xdr:nvSpPr>
      <xdr:spPr bwMode="auto">
        <a:xfrm>
          <a:off x="46110525" y="129197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95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60B0000}"/>
            </a:ext>
          </a:extLst>
        </xdr:cNvPr>
        <xdr:cNvSpPr>
          <a:spLocks noChangeAspect="1" noChangeArrowheads="1"/>
        </xdr:cNvSpPr>
      </xdr:nvSpPr>
      <xdr:spPr bwMode="auto">
        <a:xfrm>
          <a:off x="46110525" y="129492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95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70B0000}"/>
            </a:ext>
          </a:extLst>
        </xdr:cNvPr>
        <xdr:cNvSpPr>
          <a:spLocks noChangeAspect="1" noChangeArrowheads="1"/>
        </xdr:cNvSpPr>
      </xdr:nvSpPr>
      <xdr:spPr bwMode="auto">
        <a:xfrm>
          <a:off x="46110525" y="129492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95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80B0000}"/>
            </a:ext>
          </a:extLst>
        </xdr:cNvPr>
        <xdr:cNvSpPr>
          <a:spLocks noChangeAspect="1" noChangeArrowheads="1"/>
        </xdr:cNvSpPr>
      </xdr:nvSpPr>
      <xdr:spPr bwMode="auto">
        <a:xfrm>
          <a:off x="46110525" y="129787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95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90B0000}"/>
            </a:ext>
          </a:extLst>
        </xdr:cNvPr>
        <xdr:cNvSpPr>
          <a:spLocks noChangeAspect="1" noChangeArrowheads="1"/>
        </xdr:cNvSpPr>
      </xdr:nvSpPr>
      <xdr:spPr bwMode="auto">
        <a:xfrm>
          <a:off x="46110525" y="129787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95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A0B0000}"/>
            </a:ext>
          </a:extLst>
        </xdr:cNvPr>
        <xdr:cNvSpPr>
          <a:spLocks noChangeAspect="1" noChangeArrowheads="1"/>
        </xdr:cNvSpPr>
      </xdr:nvSpPr>
      <xdr:spPr bwMode="auto">
        <a:xfrm>
          <a:off x="46110525" y="1300829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95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B0B0000}"/>
            </a:ext>
          </a:extLst>
        </xdr:cNvPr>
        <xdr:cNvSpPr>
          <a:spLocks noChangeAspect="1" noChangeArrowheads="1"/>
        </xdr:cNvSpPr>
      </xdr:nvSpPr>
      <xdr:spPr bwMode="auto">
        <a:xfrm>
          <a:off x="46110525" y="1300829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95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C0B0000}"/>
            </a:ext>
          </a:extLst>
        </xdr:cNvPr>
        <xdr:cNvSpPr>
          <a:spLocks noChangeAspect="1" noChangeArrowheads="1"/>
        </xdr:cNvSpPr>
      </xdr:nvSpPr>
      <xdr:spPr bwMode="auto">
        <a:xfrm>
          <a:off x="46110525" y="13037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95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D0B0000}"/>
            </a:ext>
          </a:extLst>
        </xdr:cNvPr>
        <xdr:cNvSpPr>
          <a:spLocks noChangeAspect="1" noChangeArrowheads="1"/>
        </xdr:cNvSpPr>
      </xdr:nvSpPr>
      <xdr:spPr bwMode="auto">
        <a:xfrm>
          <a:off x="46110525" y="13037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95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E0B0000}"/>
            </a:ext>
          </a:extLst>
        </xdr:cNvPr>
        <xdr:cNvSpPr>
          <a:spLocks noChangeAspect="1" noChangeArrowheads="1"/>
        </xdr:cNvSpPr>
      </xdr:nvSpPr>
      <xdr:spPr bwMode="auto">
        <a:xfrm>
          <a:off x="46110525" y="1306734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95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F0B0000}"/>
            </a:ext>
          </a:extLst>
        </xdr:cNvPr>
        <xdr:cNvSpPr>
          <a:spLocks noChangeAspect="1" noChangeArrowheads="1"/>
        </xdr:cNvSpPr>
      </xdr:nvSpPr>
      <xdr:spPr bwMode="auto">
        <a:xfrm>
          <a:off x="46110525" y="1306734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96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00B0000}"/>
            </a:ext>
          </a:extLst>
        </xdr:cNvPr>
        <xdr:cNvSpPr>
          <a:spLocks noChangeAspect="1" noChangeArrowheads="1"/>
        </xdr:cNvSpPr>
      </xdr:nvSpPr>
      <xdr:spPr bwMode="auto">
        <a:xfrm>
          <a:off x="46110525" y="130968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96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10B0000}"/>
            </a:ext>
          </a:extLst>
        </xdr:cNvPr>
        <xdr:cNvSpPr>
          <a:spLocks noChangeAspect="1" noChangeArrowheads="1"/>
        </xdr:cNvSpPr>
      </xdr:nvSpPr>
      <xdr:spPr bwMode="auto">
        <a:xfrm>
          <a:off x="46110525" y="130968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96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20B0000}"/>
            </a:ext>
          </a:extLst>
        </xdr:cNvPr>
        <xdr:cNvSpPr>
          <a:spLocks noChangeAspect="1" noChangeArrowheads="1"/>
        </xdr:cNvSpPr>
      </xdr:nvSpPr>
      <xdr:spPr bwMode="auto">
        <a:xfrm>
          <a:off x="46110525" y="131264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96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30B0000}"/>
            </a:ext>
          </a:extLst>
        </xdr:cNvPr>
        <xdr:cNvSpPr>
          <a:spLocks noChangeAspect="1" noChangeArrowheads="1"/>
        </xdr:cNvSpPr>
      </xdr:nvSpPr>
      <xdr:spPr bwMode="auto">
        <a:xfrm>
          <a:off x="46110525" y="131264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96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40B0000}"/>
            </a:ext>
          </a:extLst>
        </xdr:cNvPr>
        <xdr:cNvSpPr>
          <a:spLocks noChangeAspect="1" noChangeArrowheads="1"/>
        </xdr:cNvSpPr>
      </xdr:nvSpPr>
      <xdr:spPr bwMode="auto">
        <a:xfrm>
          <a:off x="46110525" y="131559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96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50B0000}"/>
            </a:ext>
          </a:extLst>
        </xdr:cNvPr>
        <xdr:cNvSpPr>
          <a:spLocks noChangeAspect="1" noChangeArrowheads="1"/>
        </xdr:cNvSpPr>
      </xdr:nvSpPr>
      <xdr:spPr bwMode="auto">
        <a:xfrm>
          <a:off x="46110525" y="131559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96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60B0000}"/>
            </a:ext>
          </a:extLst>
        </xdr:cNvPr>
        <xdr:cNvSpPr>
          <a:spLocks noChangeAspect="1" noChangeArrowheads="1"/>
        </xdr:cNvSpPr>
      </xdr:nvSpPr>
      <xdr:spPr bwMode="auto">
        <a:xfrm>
          <a:off x="46110525" y="131854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96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70B0000}"/>
            </a:ext>
          </a:extLst>
        </xdr:cNvPr>
        <xdr:cNvSpPr>
          <a:spLocks noChangeAspect="1" noChangeArrowheads="1"/>
        </xdr:cNvSpPr>
      </xdr:nvSpPr>
      <xdr:spPr bwMode="auto">
        <a:xfrm>
          <a:off x="46110525" y="131854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96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80B0000}"/>
            </a:ext>
          </a:extLst>
        </xdr:cNvPr>
        <xdr:cNvSpPr>
          <a:spLocks noChangeAspect="1" noChangeArrowheads="1"/>
        </xdr:cNvSpPr>
      </xdr:nvSpPr>
      <xdr:spPr bwMode="auto">
        <a:xfrm>
          <a:off x="46110525" y="132149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96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90B0000}"/>
            </a:ext>
          </a:extLst>
        </xdr:cNvPr>
        <xdr:cNvSpPr>
          <a:spLocks noChangeAspect="1" noChangeArrowheads="1"/>
        </xdr:cNvSpPr>
      </xdr:nvSpPr>
      <xdr:spPr bwMode="auto">
        <a:xfrm>
          <a:off x="46110525" y="132149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97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A0B0000}"/>
            </a:ext>
          </a:extLst>
        </xdr:cNvPr>
        <xdr:cNvSpPr>
          <a:spLocks noChangeAspect="1" noChangeArrowheads="1"/>
        </xdr:cNvSpPr>
      </xdr:nvSpPr>
      <xdr:spPr bwMode="auto">
        <a:xfrm>
          <a:off x="46110525" y="1324451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97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B0B0000}"/>
            </a:ext>
          </a:extLst>
        </xdr:cNvPr>
        <xdr:cNvSpPr>
          <a:spLocks noChangeAspect="1" noChangeArrowheads="1"/>
        </xdr:cNvSpPr>
      </xdr:nvSpPr>
      <xdr:spPr bwMode="auto">
        <a:xfrm>
          <a:off x="46110525" y="1324451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97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C0B0000}"/>
            </a:ext>
          </a:extLst>
        </xdr:cNvPr>
        <xdr:cNvSpPr>
          <a:spLocks noChangeAspect="1" noChangeArrowheads="1"/>
        </xdr:cNvSpPr>
      </xdr:nvSpPr>
      <xdr:spPr bwMode="auto">
        <a:xfrm>
          <a:off x="46110525" y="132740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97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D0B0000}"/>
            </a:ext>
          </a:extLst>
        </xdr:cNvPr>
        <xdr:cNvSpPr>
          <a:spLocks noChangeAspect="1" noChangeArrowheads="1"/>
        </xdr:cNvSpPr>
      </xdr:nvSpPr>
      <xdr:spPr bwMode="auto">
        <a:xfrm>
          <a:off x="46110525" y="132740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97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E0B0000}"/>
            </a:ext>
          </a:extLst>
        </xdr:cNvPr>
        <xdr:cNvSpPr>
          <a:spLocks noChangeAspect="1" noChangeArrowheads="1"/>
        </xdr:cNvSpPr>
      </xdr:nvSpPr>
      <xdr:spPr bwMode="auto">
        <a:xfrm>
          <a:off x="46110525" y="1330356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97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F0B0000}"/>
            </a:ext>
          </a:extLst>
        </xdr:cNvPr>
        <xdr:cNvSpPr>
          <a:spLocks noChangeAspect="1" noChangeArrowheads="1"/>
        </xdr:cNvSpPr>
      </xdr:nvSpPr>
      <xdr:spPr bwMode="auto">
        <a:xfrm>
          <a:off x="46110525" y="1330356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97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00B0000}"/>
            </a:ext>
          </a:extLst>
        </xdr:cNvPr>
        <xdr:cNvSpPr>
          <a:spLocks noChangeAspect="1" noChangeArrowheads="1"/>
        </xdr:cNvSpPr>
      </xdr:nvSpPr>
      <xdr:spPr bwMode="auto">
        <a:xfrm>
          <a:off x="46110525" y="133330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97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10B0000}"/>
            </a:ext>
          </a:extLst>
        </xdr:cNvPr>
        <xdr:cNvSpPr>
          <a:spLocks noChangeAspect="1" noChangeArrowheads="1"/>
        </xdr:cNvSpPr>
      </xdr:nvSpPr>
      <xdr:spPr bwMode="auto">
        <a:xfrm>
          <a:off x="46110525" y="133330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97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20B0000}"/>
            </a:ext>
          </a:extLst>
        </xdr:cNvPr>
        <xdr:cNvSpPr>
          <a:spLocks noChangeAspect="1" noChangeArrowheads="1"/>
        </xdr:cNvSpPr>
      </xdr:nvSpPr>
      <xdr:spPr bwMode="auto">
        <a:xfrm>
          <a:off x="46110525" y="133626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97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30B0000}"/>
            </a:ext>
          </a:extLst>
        </xdr:cNvPr>
        <xdr:cNvSpPr>
          <a:spLocks noChangeAspect="1" noChangeArrowheads="1"/>
        </xdr:cNvSpPr>
      </xdr:nvSpPr>
      <xdr:spPr bwMode="auto">
        <a:xfrm>
          <a:off x="46110525" y="133626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98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40B0000}"/>
            </a:ext>
          </a:extLst>
        </xdr:cNvPr>
        <xdr:cNvSpPr>
          <a:spLocks noChangeAspect="1" noChangeArrowheads="1"/>
        </xdr:cNvSpPr>
      </xdr:nvSpPr>
      <xdr:spPr bwMode="auto">
        <a:xfrm>
          <a:off x="46110525" y="133921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98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50B0000}"/>
            </a:ext>
          </a:extLst>
        </xdr:cNvPr>
        <xdr:cNvSpPr>
          <a:spLocks noChangeAspect="1" noChangeArrowheads="1"/>
        </xdr:cNvSpPr>
      </xdr:nvSpPr>
      <xdr:spPr bwMode="auto">
        <a:xfrm>
          <a:off x="46110525" y="133921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98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60B0000}"/>
            </a:ext>
          </a:extLst>
        </xdr:cNvPr>
        <xdr:cNvSpPr>
          <a:spLocks noChangeAspect="1" noChangeArrowheads="1"/>
        </xdr:cNvSpPr>
      </xdr:nvSpPr>
      <xdr:spPr bwMode="auto">
        <a:xfrm>
          <a:off x="46110525" y="1342167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98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70B0000}"/>
            </a:ext>
          </a:extLst>
        </xdr:cNvPr>
        <xdr:cNvSpPr>
          <a:spLocks noChangeAspect="1" noChangeArrowheads="1"/>
        </xdr:cNvSpPr>
      </xdr:nvSpPr>
      <xdr:spPr bwMode="auto">
        <a:xfrm>
          <a:off x="46110525" y="1342167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98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80B0000}"/>
            </a:ext>
          </a:extLst>
        </xdr:cNvPr>
        <xdr:cNvSpPr>
          <a:spLocks noChangeAspect="1" noChangeArrowheads="1"/>
        </xdr:cNvSpPr>
      </xdr:nvSpPr>
      <xdr:spPr bwMode="auto">
        <a:xfrm>
          <a:off x="46110525" y="134512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98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90B0000}"/>
            </a:ext>
          </a:extLst>
        </xdr:cNvPr>
        <xdr:cNvSpPr>
          <a:spLocks noChangeAspect="1" noChangeArrowheads="1"/>
        </xdr:cNvSpPr>
      </xdr:nvSpPr>
      <xdr:spPr bwMode="auto">
        <a:xfrm>
          <a:off x="46110525" y="134512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98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A0B0000}"/>
            </a:ext>
          </a:extLst>
        </xdr:cNvPr>
        <xdr:cNvSpPr>
          <a:spLocks noChangeAspect="1" noChangeArrowheads="1"/>
        </xdr:cNvSpPr>
      </xdr:nvSpPr>
      <xdr:spPr bwMode="auto">
        <a:xfrm>
          <a:off x="46110525" y="134807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98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B0B0000}"/>
            </a:ext>
          </a:extLst>
        </xdr:cNvPr>
        <xdr:cNvSpPr>
          <a:spLocks noChangeAspect="1" noChangeArrowheads="1"/>
        </xdr:cNvSpPr>
      </xdr:nvSpPr>
      <xdr:spPr bwMode="auto">
        <a:xfrm>
          <a:off x="46110525" y="134807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98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C0B0000}"/>
            </a:ext>
          </a:extLst>
        </xdr:cNvPr>
        <xdr:cNvSpPr>
          <a:spLocks noChangeAspect="1" noChangeArrowheads="1"/>
        </xdr:cNvSpPr>
      </xdr:nvSpPr>
      <xdr:spPr bwMode="auto">
        <a:xfrm>
          <a:off x="46110525" y="135102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98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D0B0000}"/>
            </a:ext>
          </a:extLst>
        </xdr:cNvPr>
        <xdr:cNvSpPr>
          <a:spLocks noChangeAspect="1" noChangeArrowheads="1"/>
        </xdr:cNvSpPr>
      </xdr:nvSpPr>
      <xdr:spPr bwMode="auto">
        <a:xfrm>
          <a:off x="46110525" y="135102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99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E0B0000}"/>
            </a:ext>
          </a:extLst>
        </xdr:cNvPr>
        <xdr:cNvSpPr>
          <a:spLocks noChangeAspect="1" noChangeArrowheads="1"/>
        </xdr:cNvSpPr>
      </xdr:nvSpPr>
      <xdr:spPr bwMode="auto">
        <a:xfrm>
          <a:off x="46110525" y="135397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99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F0B0000}"/>
            </a:ext>
          </a:extLst>
        </xdr:cNvPr>
        <xdr:cNvSpPr>
          <a:spLocks noChangeAspect="1" noChangeArrowheads="1"/>
        </xdr:cNvSpPr>
      </xdr:nvSpPr>
      <xdr:spPr bwMode="auto">
        <a:xfrm>
          <a:off x="46110525" y="135397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99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00B0000}"/>
            </a:ext>
          </a:extLst>
        </xdr:cNvPr>
        <xdr:cNvSpPr>
          <a:spLocks noChangeAspect="1" noChangeArrowheads="1"/>
        </xdr:cNvSpPr>
      </xdr:nvSpPr>
      <xdr:spPr bwMode="auto">
        <a:xfrm>
          <a:off x="46110525" y="135693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99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10B0000}"/>
            </a:ext>
          </a:extLst>
        </xdr:cNvPr>
        <xdr:cNvSpPr>
          <a:spLocks noChangeAspect="1" noChangeArrowheads="1"/>
        </xdr:cNvSpPr>
      </xdr:nvSpPr>
      <xdr:spPr bwMode="auto">
        <a:xfrm>
          <a:off x="46110525" y="135693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99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20B0000}"/>
            </a:ext>
          </a:extLst>
        </xdr:cNvPr>
        <xdr:cNvSpPr>
          <a:spLocks noChangeAspect="1" noChangeArrowheads="1"/>
        </xdr:cNvSpPr>
      </xdr:nvSpPr>
      <xdr:spPr bwMode="auto">
        <a:xfrm>
          <a:off x="46110525" y="1359884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99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30B0000}"/>
            </a:ext>
          </a:extLst>
        </xdr:cNvPr>
        <xdr:cNvSpPr>
          <a:spLocks noChangeAspect="1" noChangeArrowheads="1"/>
        </xdr:cNvSpPr>
      </xdr:nvSpPr>
      <xdr:spPr bwMode="auto">
        <a:xfrm>
          <a:off x="46110525" y="1359884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99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40B0000}"/>
            </a:ext>
          </a:extLst>
        </xdr:cNvPr>
        <xdr:cNvSpPr>
          <a:spLocks noChangeAspect="1" noChangeArrowheads="1"/>
        </xdr:cNvSpPr>
      </xdr:nvSpPr>
      <xdr:spPr bwMode="auto">
        <a:xfrm>
          <a:off x="46110525" y="136283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99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50B0000}"/>
            </a:ext>
          </a:extLst>
        </xdr:cNvPr>
        <xdr:cNvSpPr>
          <a:spLocks noChangeAspect="1" noChangeArrowheads="1"/>
        </xdr:cNvSpPr>
      </xdr:nvSpPr>
      <xdr:spPr bwMode="auto">
        <a:xfrm>
          <a:off x="46110525" y="136283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99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60B0000}"/>
            </a:ext>
          </a:extLst>
        </xdr:cNvPr>
        <xdr:cNvSpPr>
          <a:spLocks noChangeAspect="1" noChangeArrowheads="1"/>
        </xdr:cNvSpPr>
      </xdr:nvSpPr>
      <xdr:spPr bwMode="auto">
        <a:xfrm>
          <a:off x="46110525" y="1365789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299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70B0000}"/>
            </a:ext>
          </a:extLst>
        </xdr:cNvPr>
        <xdr:cNvSpPr>
          <a:spLocks noChangeAspect="1" noChangeArrowheads="1"/>
        </xdr:cNvSpPr>
      </xdr:nvSpPr>
      <xdr:spPr bwMode="auto">
        <a:xfrm>
          <a:off x="46110525" y="1365789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00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80B0000}"/>
            </a:ext>
          </a:extLst>
        </xdr:cNvPr>
        <xdr:cNvSpPr>
          <a:spLocks noChangeAspect="1" noChangeArrowheads="1"/>
        </xdr:cNvSpPr>
      </xdr:nvSpPr>
      <xdr:spPr bwMode="auto">
        <a:xfrm>
          <a:off x="46110525" y="136874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00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90B0000}"/>
            </a:ext>
          </a:extLst>
        </xdr:cNvPr>
        <xdr:cNvSpPr>
          <a:spLocks noChangeAspect="1" noChangeArrowheads="1"/>
        </xdr:cNvSpPr>
      </xdr:nvSpPr>
      <xdr:spPr bwMode="auto">
        <a:xfrm>
          <a:off x="46110525" y="136874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00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A0B0000}"/>
            </a:ext>
          </a:extLst>
        </xdr:cNvPr>
        <xdr:cNvSpPr>
          <a:spLocks noChangeAspect="1" noChangeArrowheads="1"/>
        </xdr:cNvSpPr>
      </xdr:nvSpPr>
      <xdr:spPr bwMode="auto">
        <a:xfrm>
          <a:off x="46110525" y="137169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00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B0B0000}"/>
            </a:ext>
          </a:extLst>
        </xdr:cNvPr>
        <xdr:cNvSpPr>
          <a:spLocks noChangeAspect="1" noChangeArrowheads="1"/>
        </xdr:cNvSpPr>
      </xdr:nvSpPr>
      <xdr:spPr bwMode="auto">
        <a:xfrm>
          <a:off x="46110525" y="137169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00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C0B0000}"/>
            </a:ext>
          </a:extLst>
        </xdr:cNvPr>
        <xdr:cNvSpPr>
          <a:spLocks noChangeAspect="1" noChangeArrowheads="1"/>
        </xdr:cNvSpPr>
      </xdr:nvSpPr>
      <xdr:spPr bwMode="auto">
        <a:xfrm>
          <a:off x="46110525" y="137464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00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D0B0000}"/>
            </a:ext>
          </a:extLst>
        </xdr:cNvPr>
        <xdr:cNvSpPr>
          <a:spLocks noChangeAspect="1" noChangeArrowheads="1"/>
        </xdr:cNvSpPr>
      </xdr:nvSpPr>
      <xdr:spPr bwMode="auto">
        <a:xfrm>
          <a:off x="46110525" y="137464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00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E0B0000}"/>
            </a:ext>
          </a:extLst>
        </xdr:cNvPr>
        <xdr:cNvSpPr>
          <a:spLocks noChangeAspect="1" noChangeArrowheads="1"/>
        </xdr:cNvSpPr>
      </xdr:nvSpPr>
      <xdr:spPr bwMode="auto">
        <a:xfrm>
          <a:off x="46110525" y="137760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00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F0B0000}"/>
            </a:ext>
          </a:extLst>
        </xdr:cNvPr>
        <xdr:cNvSpPr>
          <a:spLocks noChangeAspect="1" noChangeArrowheads="1"/>
        </xdr:cNvSpPr>
      </xdr:nvSpPr>
      <xdr:spPr bwMode="auto">
        <a:xfrm>
          <a:off x="46110525" y="137760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00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00B0000}"/>
            </a:ext>
          </a:extLst>
        </xdr:cNvPr>
        <xdr:cNvSpPr>
          <a:spLocks noChangeAspect="1" noChangeArrowheads="1"/>
        </xdr:cNvSpPr>
      </xdr:nvSpPr>
      <xdr:spPr bwMode="auto">
        <a:xfrm>
          <a:off x="46110525" y="138055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00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10B0000}"/>
            </a:ext>
          </a:extLst>
        </xdr:cNvPr>
        <xdr:cNvSpPr>
          <a:spLocks noChangeAspect="1" noChangeArrowheads="1"/>
        </xdr:cNvSpPr>
      </xdr:nvSpPr>
      <xdr:spPr bwMode="auto">
        <a:xfrm>
          <a:off x="46110525" y="138055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01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20B0000}"/>
            </a:ext>
          </a:extLst>
        </xdr:cNvPr>
        <xdr:cNvSpPr>
          <a:spLocks noChangeAspect="1" noChangeArrowheads="1"/>
        </xdr:cNvSpPr>
      </xdr:nvSpPr>
      <xdr:spPr bwMode="auto">
        <a:xfrm>
          <a:off x="46110525" y="138350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01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30B0000}"/>
            </a:ext>
          </a:extLst>
        </xdr:cNvPr>
        <xdr:cNvSpPr>
          <a:spLocks noChangeAspect="1" noChangeArrowheads="1"/>
        </xdr:cNvSpPr>
      </xdr:nvSpPr>
      <xdr:spPr bwMode="auto">
        <a:xfrm>
          <a:off x="46110525" y="138350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01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40B0000}"/>
            </a:ext>
          </a:extLst>
        </xdr:cNvPr>
        <xdr:cNvSpPr>
          <a:spLocks noChangeAspect="1" noChangeArrowheads="1"/>
        </xdr:cNvSpPr>
      </xdr:nvSpPr>
      <xdr:spPr bwMode="auto">
        <a:xfrm>
          <a:off x="46110525" y="138645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01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50B0000}"/>
            </a:ext>
          </a:extLst>
        </xdr:cNvPr>
        <xdr:cNvSpPr>
          <a:spLocks noChangeAspect="1" noChangeArrowheads="1"/>
        </xdr:cNvSpPr>
      </xdr:nvSpPr>
      <xdr:spPr bwMode="auto">
        <a:xfrm>
          <a:off x="46110525" y="138645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01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60B0000}"/>
            </a:ext>
          </a:extLst>
        </xdr:cNvPr>
        <xdr:cNvSpPr>
          <a:spLocks noChangeAspect="1" noChangeArrowheads="1"/>
        </xdr:cNvSpPr>
      </xdr:nvSpPr>
      <xdr:spPr bwMode="auto">
        <a:xfrm>
          <a:off x="46110525" y="1389411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01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70B0000}"/>
            </a:ext>
          </a:extLst>
        </xdr:cNvPr>
        <xdr:cNvSpPr>
          <a:spLocks noChangeAspect="1" noChangeArrowheads="1"/>
        </xdr:cNvSpPr>
      </xdr:nvSpPr>
      <xdr:spPr bwMode="auto">
        <a:xfrm>
          <a:off x="46110525" y="1389411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01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80B0000}"/>
            </a:ext>
          </a:extLst>
        </xdr:cNvPr>
        <xdr:cNvSpPr>
          <a:spLocks noChangeAspect="1" noChangeArrowheads="1"/>
        </xdr:cNvSpPr>
      </xdr:nvSpPr>
      <xdr:spPr bwMode="auto">
        <a:xfrm>
          <a:off x="46110525" y="139236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01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90B0000}"/>
            </a:ext>
          </a:extLst>
        </xdr:cNvPr>
        <xdr:cNvSpPr>
          <a:spLocks noChangeAspect="1" noChangeArrowheads="1"/>
        </xdr:cNvSpPr>
      </xdr:nvSpPr>
      <xdr:spPr bwMode="auto">
        <a:xfrm>
          <a:off x="46110525" y="139236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01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A0B0000}"/>
            </a:ext>
          </a:extLst>
        </xdr:cNvPr>
        <xdr:cNvSpPr>
          <a:spLocks noChangeAspect="1" noChangeArrowheads="1"/>
        </xdr:cNvSpPr>
      </xdr:nvSpPr>
      <xdr:spPr bwMode="auto">
        <a:xfrm>
          <a:off x="46110525" y="1395317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01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B0B0000}"/>
            </a:ext>
          </a:extLst>
        </xdr:cNvPr>
        <xdr:cNvSpPr>
          <a:spLocks noChangeAspect="1" noChangeArrowheads="1"/>
        </xdr:cNvSpPr>
      </xdr:nvSpPr>
      <xdr:spPr bwMode="auto">
        <a:xfrm>
          <a:off x="46110525" y="1395317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02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C0B0000}"/>
            </a:ext>
          </a:extLst>
        </xdr:cNvPr>
        <xdr:cNvSpPr>
          <a:spLocks noChangeAspect="1" noChangeArrowheads="1"/>
        </xdr:cNvSpPr>
      </xdr:nvSpPr>
      <xdr:spPr bwMode="auto">
        <a:xfrm>
          <a:off x="46110525" y="13982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02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D0B0000}"/>
            </a:ext>
          </a:extLst>
        </xdr:cNvPr>
        <xdr:cNvSpPr>
          <a:spLocks noChangeAspect="1" noChangeArrowheads="1"/>
        </xdr:cNvSpPr>
      </xdr:nvSpPr>
      <xdr:spPr bwMode="auto">
        <a:xfrm>
          <a:off x="46110525" y="13982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02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E0B0000}"/>
            </a:ext>
          </a:extLst>
        </xdr:cNvPr>
        <xdr:cNvSpPr>
          <a:spLocks noChangeAspect="1" noChangeArrowheads="1"/>
        </xdr:cNvSpPr>
      </xdr:nvSpPr>
      <xdr:spPr bwMode="auto">
        <a:xfrm>
          <a:off x="46110525" y="1401222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02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F0B0000}"/>
            </a:ext>
          </a:extLst>
        </xdr:cNvPr>
        <xdr:cNvSpPr>
          <a:spLocks noChangeAspect="1" noChangeArrowheads="1"/>
        </xdr:cNvSpPr>
      </xdr:nvSpPr>
      <xdr:spPr bwMode="auto">
        <a:xfrm>
          <a:off x="46110525" y="1401222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02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00B0000}"/>
            </a:ext>
          </a:extLst>
        </xdr:cNvPr>
        <xdr:cNvSpPr>
          <a:spLocks noChangeAspect="1" noChangeArrowheads="1"/>
        </xdr:cNvSpPr>
      </xdr:nvSpPr>
      <xdr:spPr bwMode="auto">
        <a:xfrm>
          <a:off x="46110525" y="140417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02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10B0000}"/>
            </a:ext>
          </a:extLst>
        </xdr:cNvPr>
        <xdr:cNvSpPr>
          <a:spLocks noChangeAspect="1" noChangeArrowheads="1"/>
        </xdr:cNvSpPr>
      </xdr:nvSpPr>
      <xdr:spPr bwMode="auto">
        <a:xfrm>
          <a:off x="46110525" y="140417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02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20B0000}"/>
            </a:ext>
          </a:extLst>
        </xdr:cNvPr>
        <xdr:cNvSpPr>
          <a:spLocks noChangeAspect="1" noChangeArrowheads="1"/>
        </xdr:cNvSpPr>
      </xdr:nvSpPr>
      <xdr:spPr bwMode="auto">
        <a:xfrm>
          <a:off x="46110525" y="140712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02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30B0000}"/>
            </a:ext>
          </a:extLst>
        </xdr:cNvPr>
        <xdr:cNvSpPr>
          <a:spLocks noChangeAspect="1" noChangeArrowheads="1"/>
        </xdr:cNvSpPr>
      </xdr:nvSpPr>
      <xdr:spPr bwMode="auto">
        <a:xfrm>
          <a:off x="46110525" y="140712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02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40B0000}"/>
            </a:ext>
          </a:extLst>
        </xdr:cNvPr>
        <xdr:cNvSpPr>
          <a:spLocks noChangeAspect="1" noChangeArrowheads="1"/>
        </xdr:cNvSpPr>
      </xdr:nvSpPr>
      <xdr:spPr bwMode="auto">
        <a:xfrm>
          <a:off x="46110525" y="141008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02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50B0000}"/>
            </a:ext>
          </a:extLst>
        </xdr:cNvPr>
        <xdr:cNvSpPr>
          <a:spLocks noChangeAspect="1" noChangeArrowheads="1"/>
        </xdr:cNvSpPr>
      </xdr:nvSpPr>
      <xdr:spPr bwMode="auto">
        <a:xfrm>
          <a:off x="46110525" y="141008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03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60B0000}"/>
            </a:ext>
          </a:extLst>
        </xdr:cNvPr>
        <xdr:cNvSpPr>
          <a:spLocks noChangeAspect="1" noChangeArrowheads="1"/>
        </xdr:cNvSpPr>
      </xdr:nvSpPr>
      <xdr:spPr bwMode="auto">
        <a:xfrm>
          <a:off x="46110525" y="141303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03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70B0000}"/>
            </a:ext>
          </a:extLst>
        </xdr:cNvPr>
        <xdr:cNvSpPr>
          <a:spLocks noChangeAspect="1" noChangeArrowheads="1"/>
        </xdr:cNvSpPr>
      </xdr:nvSpPr>
      <xdr:spPr bwMode="auto">
        <a:xfrm>
          <a:off x="46110525" y="141303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03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80B0000}"/>
            </a:ext>
          </a:extLst>
        </xdr:cNvPr>
        <xdr:cNvSpPr>
          <a:spLocks noChangeAspect="1" noChangeArrowheads="1"/>
        </xdr:cNvSpPr>
      </xdr:nvSpPr>
      <xdr:spPr bwMode="auto">
        <a:xfrm>
          <a:off x="46110525" y="141598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03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90B0000}"/>
            </a:ext>
          </a:extLst>
        </xdr:cNvPr>
        <xdr:cNvSpPr>
          <a:spLocks noChangeAspect="1" noChangeArrowheads="1"/>
        </xdr:cNvSpPr>
      </xdr:nvSpPr>
      <xdr:spPr bwMode="auto">
        <a:xfrm>
          <a:off x="46110525" y="141598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03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A0B0000}"/>
            </a:ext>
          </a:extLst>
        </xdr:cNvPr>
        <xdr:cNvSpPr>
          <a:spLocks noChangeAspect="1" noChangeArrowheads="1"/>
        </xdr:cNvSpPr>
      </xdr:nvSpPr>
      <xdr:spPr bwMode="auto">
        <a:xfrm>
          <a:off x="46110525" y="1418939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03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B0B0000}"/>
            </a:ext>
          </a:extLst>
        </xdr:cNvPr>
        <xdr:cNvSpPr>
          <a:spLocks noChangeAspect="1" noChangeArrowheads="1"/>
        </xdr:cNvSpPr>
      </xdr:nvSpPr>
      <xdr:spPr bwMode="auto">
        <a:xfrm>
          <a:off x="46110525" y="1418939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03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C0B0000}"/>
            </a:ext>
          </a:extLst>
        </xdr:cNvPr>
        <xdr:cNvSpPr>
          <a:spLocks noChangeAspect="1" noChangeArrowheads="1"/>
        </xdr:cNvSpPr>
      </xdr:nvSpPr>
      <xdr:spPr bwMode="auto">
        <a:xfrm>
          <a:off x="46110525" y="14218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03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D0B0000}"/>
            </a:ext>
          </a:extLst>
        </xdr:cNvPr>
        <xdr:cNvSpPr>
          <a:spLocks noChangeAspect="1" noChangeArrowheads="1"/>
        </xdr:cNvSpPr>
      </xdr:nvSpPr>
      <xdr:spPr bwMode="auto">
        <a:xfrm>
          <a:off x="46110525" y="14218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03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E0B0000}"/>
            </a:ext>
          </a:extLst>
        </xdr:cNvPr>
        <xdr:cNvSpPr>
          <a:spLocks noChangeAspect="1" noChangeArrowheads="1"/>
        </xdr:cNvSpPr>
      </xdr:nvSpPr>
      <xdr:spPr bwMode="auto">
        <a:xfrm>
          <a:off x="46110525" y="1424844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03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F0B0000}"/>
            </a:ext>
          </a:extLst>
        </xdr:cNvPr>
        <xdr:cNvSpPr>
          <a:spLocks noChangeAspect="1" noChangeArrowheads="1"/>
        </xdr:cNvSpPr>
      </xdr:nvSpPr>
      <xdr:spPr bwMode="auto">
        <a:xfrm>
          <a:off x="46110525" y="1424844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04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00B0000}"/>
            </a:ext>
          </a:extLst>
        </xdr:cNvPr>
        <xdr:cNvSpPr>
          <a:spLocks noChangeAspect="1" noChangeArrowheads="1"/>
        </xdr:cNvSpPr>
      </xdr:nvSpPr>
      <xdr:spPr bwMode="auto">
        <a:xfrm>
          <a:off x="46110525" y="142779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04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10B0000}"/>
            </a:ext>
          </a:extLst>
        </xdr:cNvPr>
        <xdr:cNvSpPr>
          <a:spLocks noChangeAspect="1" noChangeArrowheads="1"/>
        </xdr:cNvSpPr>
      </xdr:nvSpPr>
      <xdr:spPr bwMode="auto">
        <a:xfrm>
          <a:off x="46110525" y="142779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04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20B0000}"/>
            </a:ext>
          </a:extLst>
        </xdr:cNvPr>
        <xdr:cNvSpPr>
          <a:spLocks noChangeAspect="1" noChangeArrowheads="1"/>
        </xdr:cNvSpPr>
      </xdr:nvSpPr>
      <xdr:spPr bwMode="auto">
        <a:xfrm>
          <a:off x="46110525" y="143075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04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30B0000}"/>
            </a:ext>
          </a:extLst>
        </xdr:cNvPr>
        <xdr:cNvSpPr>
          <a:spLocks noChangeAspect="1" noChangeArrowheads="1"/>
        </xdr:cNvSpPr>
      </xdr:nvSpPr>
      <xdr:spPr bwMode="auto">
        <a:xfrm>
          <a:off x="46110525" y="143075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04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40B0000}"/>
            </a:ext>
          </a:extLst>
        </xdr:cNvPr>
        <xdr:cNvSpPr>
          <a:spLocks noChangeAspect="1" noChangeArrowheads="1"/>
        </xdr:cNvSpPr>
      </xdr:nvSpPr>
      <xdr:spPr bwMode="auto">
        <a:xfrm>
          <a:off x="46110525" y="143370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04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50B0000}"/>
            </a:ext>
          </a:extLst>
        </xdr:cNvPr>
        <xdr:cNvSpPr>
          <a:spLocks noChangeAspect="1" noChangeArrowheads="1"/>
        </xdr:cNvSpPr>
      </xdr:nvSpPr>
      <xdr:spPr bwMode="auto">
        <a:xfrm>
          <a:off x="46110525" y="143370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04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60B0000}"/>
            </a:ext>
          </a:extLst>
        </xdr:cNvPr>
        <xdr:cNvSpPr>
          <a:spLocks noChangeAspect="1" noChangeArrowheads="1"/>
        </xdr:cNvSpPr>
      </xdr:nvSpPr>
      <xdr:spPr bwMode="auto">
        <a:xfrm>
          <a:off x="46110525" y="143665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04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70B0000}"/>
            </a:ext>
          </a:extLst>
        </xdr:cNvPr>
        <xdr:cNvSpPr>
          <a:spLocks noChangeAspect="1" noChangeArrowheads="1"/>
        </xdr:cNvSpPr>
      </xdr:nvSpPr>
      <xdr:spPr bwMode="auto">
        <a:xfrm>
          <a:off x="46110525" y="143665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04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80B0000}"/>
            </a:ext>
          </a:extLst>
        </xdr:cNvPr>
        <xdr:cNvSpPr>
          <a:spLocks noChangeAspect="1" noChangeArrowheads="1"/>
        </xdr:cNvSpPr>
      </xdr:nvSpPr>
      <xdr:spPr bwMode="auto">
        <a:xfrm>
          <a:off x="46110525" y="143960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04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90B0000}"/>
            </a:ext>
          </a:extLst>
        </xdr:cNvPr>
        <xdr:cNvSpPr>
          <a:spLocks noChangeAspect="1" noChangeArrowheads="1"/>
        </xdr:cNvSpPr>
      </xdr:nvSpPr>
      <xdr:spPr bwMode="auto">
        <a:xfrm>
          <a:off x="46110525" y="143960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05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A0B0000}"/>
            </a:ext>
          </a:extLst>
        </xdr:cNvPr>
        <xdr:cNvSpPr>
          <a:spLocks noChangeAspect="1" noChangeArrowheads="1"/>
        </xdr:cNvSpPr>
      </xdr:nvSpPr>
      <xdr:spPr bwMode="auto">
        <a:xfrm>
          <a:off x="46110525" y="1442561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05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B0B0000}"/>
            </a:ext>
          </a:extLst>
        </xdr:cNvPr>
        <xdr:cNvSpPr>
          <a:spLocks noChangeAspect="1" noChangeArrowheads="1"/>
        </xdr:cNvSpPr>
      </xdr:nvSpPr>
      <xdr:spPr bwMode="auto">
        <a:xfrm>
          <a:off x="46110525" y="1442561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05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C0B0000}"/>
            </a:ext>
          </a:extLst>
        </xdr:cNvPr>
        <xdr:cNvSpPr>
          <a:spLocks noChangeAspect="1" noChangeArrowheads="1"/>
        </xdr:cNvSpPr>
      </xdr:nvSpPr>
      <xdr:spPr bwMode="auto">
        <a:xfrm>
          <a:off x="46110525" y="144551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05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D0B0000}"/>
            </a:ext>
          </a:extLst>
        </xdr:cNvPr>
        <xdr:cNvSpPr>
          <a:spLocks noChangeAspect="1" noChangeArrowheads="1"/>
        </xdr:cNvSpPr>
      </xdr:nvSpPr>
      <xdr:spPr bwMode="auto">
        <a:xfrm>
          <a:off x="46110525" y="144551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05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E0B0000}"/>
            </a:ext>
          </a:extLst>
        </xdr:cNvPr>
        <xdr:cNvSpPr>
          <a:spLocks noChangeAspect="1" noChangeArrowheads="1"/>
        </xdr:cNvSpPr>
      </xdr:nvSpPr>
      <xdr:spPr bwMode="auto">
        <a:xfrm>
          <a:off x="46110525" y="1448466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05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F0B0000}"/>
            </a:ext>
          </a:extLst>
        </xdr:cNvPr>
        <xdr:cNvSpPr>
          <a:spLocks noChangeAspect="1" noChangeArrowheads="1"/>
        </xdr:cNvSpPr>
      </xdr:nvSpPr>
      <xdr:spPr bwMode="auto">
        <a:xfrm>
          <a:off x="46110525" y="1448466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05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00B0000}"/>
            </a:ext>
          </a:extLst>
        </xdr:cNvPr>
        <xdr:cNvSpPr>
          <a:spLocks noChangeAspect="1" noChangeArrowheads="1"/>
        </xdr:cNvSpPr>
      </xdr:nvSpPr>
      <xdr:spPr bwMode="auto">
        <a:xfrm>
          <a:off x="46110525" y="145141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05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10B0000}"/>
            </a:ext>
          </a:extLst>
        </xdr:cNvPr>
        <xdr:cNvSpPr>
          <a:spLocks noChangeAspect="1" noChangeArrowheads="1"/>
        </xdr:cNvSpPr>
      </xdr:nvSpPr>
      <xdr:spPr bwMode="auto">
        <a:xfrm>
          <a:off x="46110525" y="145141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05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20B0000}"/>
            </a:ext>
          </a:extLst>
        </xdr:cNvPr>
        <xdr:cNvSpPr>
          <a:spLocks noChangeAspect="1" noChangeArrowheads="1"/>
        </xdr:cNvSpPr>
      </xdr:nvSpPr>
      <xdr:spPr bwMode="auto">
        <a:xfrm>
          <a:off x="46110525" y="145437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05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30B0000}"/>
            </a:ext>
          </a:extLst>
        </xdr:cNvPr>
        <xdr:cNvSpPr>
          <a:spLocks noChangeAspect="1" noChangeArrowheads="1"/>
        </xdr:cNvSpPr>
      </xdr:nvSpPr>
      <xdr:spPr bwMode="auto">
        <a:xfrm>
          <a:off x="46110525" y="145437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06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40B0000}"/>
            </a:ext>
          </a:extLst>
        </xdr:cNvPr>
        <xdr:cNvSpPr>
          <a:spLocks noChangeAspect="1" noChangeArrowheads="1"/>
        </xdr:cNvSpPr>
      </xdr:nvSpPr>
      <xdr:spPr bwMode="auto">
        <a:xfrm>
          <a:off x="46110525" y="14573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06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50B0000}"/>
            </a:ext>
          </a:extLst>
        </xdr:cNvPr>
        <xdr:cNvSpPr>
          <a:spLocks noChangeAspect="1" noChangeArrowheads="1"/>
        </xdr:cNvSpPr>
      </xdr:nvSpPr>
      <xdr:spPr bwMode="auto">
        <a:xfrm>
          <a:off x="46110525" y="14573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06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60B0000}"/>
            </a:ext>
          </a:extLst>
        </xdr:cNvPr>
        <xdr:cNvSpPr>
          <a:spLocks noChangeAspect="1" noChangeArrowheads="1"/>
        </xdr:cNvSpPr>
      </xdr:nvSpPr>
      <xdr:spPr bwMode="auto">
        <a:xfrm>
          <a:off x="46110525" y="1460277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06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70B0000}"/>
            </a:ext>
          </a:extLst>
        </xdr:cNvPr>
        <xdr:cNvSpPr>
          <a:spLocks noChangeAspect="1" noChangeArrowheads="1"/>
        </xdr:cNvSpPr>
      </xdr:nvSpPr>
      <xdr:spPr bwMode="auto">
        <a:xfrm>
          <a:off x="46110525" y="1460277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06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80B0000}"/>
            </a:ext>
          </a:extLst>
        </xdr:cNvPr>
        <xdr:cNvSpPr>
          <a:spLocks noChangeAspect="1" noChangeArrowheads="1"/>
        </xdr:cNvSpPr>
      </xdr:nvSpPr>
      <xdr:spPr bwMode="auto">
        <a:xfrm>
          <a:off x="46110525" y="146323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06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90B0000}"/>
            </a:ext>
          </a:extLst>
        </xdr:cNvPr>
        <xdr:cNvSpPr>
          <a:spLocks noChangeAspect="1" noChangeArrowheads="1"/>
        </xdr:cNvSpPr>
      </xdr:nvSpPr>
      <xdr:spPr bwMode="auto">
        <a:xfrm>
          <a:off x="46110525" y="146323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06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A0B0000}"/>
            </a:ext>
          </a:extLst>
        </xdr:cNvPr>
        <xdr:cNvSpPr>
          <a:spLocks noChangeAspect="1" noChangeArrowheads="1"/>
        </xdr:cNvSpPr>
      </xdr:nvSpPr>
      <xdr:spPr bwMode="auto">
        <a:xfrm>
          <a:off x="46110525" y="146618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06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B0B0000}"/>
            </a:ext>
          </a:extLst>
        </xdr:cNvPr>
        <xdr:cNvSpPr>
          <a:spLocks noChangeAspect="1" noChangeArrowheads="1"/>
        </xdr:cNvSpPr>
      </xdr:nvSpPr>
      <xdr:spPr bwMode="auto">
        <a:xfrm>
          <a:off x="46110525" y="146618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06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C0B0000}"/>
            </a:ext>
          </a:extLst>
        </xdr:cNvPr>
        <xdr:cNvSpPr>
          <a:spLocks noChangeAspect="1" noChangeArrowheads="1"/>
        </xdr:cNvSpPr>
      </xdr:nvSpPr>
      <xdr:spPr bwMode="auto">
        <a:xfrm>
          <a:off x="46110525" y="146913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06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D0B0000}"/>
            </a:ext>
          </a:extLst>
        </xdr:cNvPr>
        <xdr:cNvSpPr>
          <a:spLocks noChangeAspect="1" noChangeArrowheads="1"/>
        </xdr:cNvSpPr>
      </xdr:nvSpPr>
      <xdr:spPr bwMode="auto">
        <a:xfrm>
          <a:off x="46110525" y="146913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07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E0B0000}"/>
            </a:ext>
          </a:extLst>
        </xdr:cNvPr>
        <xdr:cNvSpPr>
          <a:spLocks noChangeAspect="1" noChangeArrowheads="1"/>
        </xdr:cNvSpPr>
      </xdr:nvSpPr>
      <xdr:spPr bwMode="auto">
        <a:xfrm>
          <a:off x="46110525" y="147208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07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F0B0000}"/>
            </a:ext>
          </a:extLst>
        </xdr:cNvPr>
        <xdr:cNvSpPr>
          <a:spLocks noChangeAspect="1" noChangeArrowheads="1"/>
        </xdr:cNvSpPr>
      </xdr:nvSpPr>
      <xdr:spPr bwMode="auto">
        <a:xfrm>
          <a:off x="46110525" y="147208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07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00C0000}"/>
            </a:ext>
          </a:extLst>
        </xdr:cNvPr>
        <xdr:cNvSpPr>
          <a:spLocks noChangeAspect="1" noChangeArrowheads="1"/>
        </xdr:cNvSpPr>
      </xdr:nvSpPr>
      <xdr:spPr bwMode="auto">
        <a:xfrm>
          <a:off x="46110525" y="147504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07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10C0000}"/>
            </a:ext>
          </a:extLst>
        </xdr:cNvPr>
        <xdr:cNvSpPr>
          <a:spLocks noChangeAspect="1" noChangeArrowheads="1"/>
        </xdr:cNvSpPr>
      </xdr:nvSpPr>
      <xdr:spPr bwMode="auto">
        <a:xfrm>
          <a:off x="46110525" y="147504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07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20C0000}"/>
            </a:ext>
          </a:extLst>
        </xdr:cNvPr>
        <xdr:cNvSpPr>
          <a:spLocks noChangeAspect="1" noChangeArrowheads="1"/>
        </xdr:cNvSpPr>
      </xdr:nvSpPr>
      <xdr:spPr bwMode="auto">
        <a:xfrm>
          <a:off x="46110525" y="1477994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07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30C0000}"/>
            </a:ext>
          </a:extLst>
        </xdr:cNvPr>
        <xdr:cNvSpPr>
          <a:spLocks noChangeAspect="1" noChangeArrowheads="1"/>
        </xdr:cNvSpPr>
      </xdr:nvSpPr>
      <xdr:spPr bwMode="auto">
        <a:xfrm>
          <a:off x="46110525" y="1477994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07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40C0000}"/>
            </a:ext>
          </a:extLst>
        </xdr:cNvPr>
        <xdr:cNvSpPr>
          <a:spLocks noChangeAspect="1" noChangeArrowheads="1"/>
        </xdr:cNvSpPr>
      </xdr:nvSpPr>
      <xdr:spPr bwMode="auto">
        <a:xfrm>
          <a:off x="46110525" y="148094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07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50C0000}"/>
            </a:ext>
          </a:extLst>
        </xdr:cNvPr>
        <xdr:cNvSpPr>
          <a:spLocks noChangeAspect="1" noChangeArrowheads="1"/>
        </xdr:cNvSpPr>
      </xdr:nvSpPr>
      <xdr:spPr bwMode="auto">
        <a:xfrm>
          <a:off x="46110525" y="148094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07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60C0000}"/>
            </a:ext>
          </a:extLst>
        </xdr:cNvPr>
        <xdr:cNvSpPr>
          <a:spLocks noChangeAspect="1" noChangeArrowheads="1"/>
        </xdr:cNvSpPr>
      </xdr:nvSpPr>
      <xdr:spPr bwMode="auto">
        <a:xfrm>
          <a:off x="46110525" y="1483899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07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70C0000}"/>
            </a:ext>
          </a:extLst>
        </xdr:cNvPr>
        <xdr:cNvSpPr>
          <a:spLocks noChangeAspect="1" noChangeArrowheads="1"/>
        </xdr:cNvSpPr>
      </xdr:nvSpPr>
      <xdr:spPr bwMode="auto">
        <a:xfrm>
          <a:off x="46110525" y="1483899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08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80C0000}"/>
            </a:ext>
          </a:extLst>
        </xdr:cNvPr>
        <xdr:cNvSpPr>
          <a:spLocks noChangeAspect="1" noChangeArrowheads="1"/>
        </xdr:cNvSpPr>
      </xdr:nvSpPr>
      <xdr:spPr bwMode="auto">
        <a:xfrm>
          <a:off x="46110525" y="148685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08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90C0000}"/>
            </a:ext>
          </a:extLst>
        </xdr:cNvPr>
        <xdr:cNvSpPr>
          <a:spLocks noChangeAspect="1" noChangeArrowheads="1"/>
        </xdr:cNvSpPr>
      </xdr:nvSpPr>
      <xdr:spPr bwMode="auto">
        <a:xfrm>
          <a:off x="46110525" y="148685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08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A0C0000}"/>
            </a:ext>
          </a:extLst>
        </xdr:cNvPr>
        <xdr:cNvSpPr>
          <a:spLocks noChangeAspect="1" noChangeArrowheads="1"/>
        </xdr:cNvSpPr>
      </xdr:nvSpPr>
      <xdr:spPr bwMode="auto">
        <a:xfrm>
          <a:off x="46110525" y="148980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08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B0C0000}"/>
            </a:ext>
          </a:extLst>
        </xdr:cNvPr>
        <xdr:cNvSpPr>
          <a:spLocks noChangeAspect="1" noChangeArrowheads="1"/>
        </xdr:cNvSpPr>
      </xdr:nvSpPr>
      <xdr:spPr bwMode="auto">
        <a:xfrm>
          <a:off x="46110525" y="148980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08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C0C0000}"/>
            </a:ext>
          </a:extLst>
        </xdr:cNvPr>
        <xdr:cNvSpPr>
          <a:spLocks noChangeAspect="1" noChangeArrowheads="1"/>
        </xdr:cNvSpPr>
      </xdr:nvSpPr>
      <xdr:spPr bwMode="auto">
        <a:xfrm>
          <a:off x="46110525" y="149275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08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D0C0000}"/>
            </a:ext>
          </a:extLst>
        </xdr:cNvPr>
        <xdr:cNvSpPr>
          <a:spLocks noChangeAspect="1" noChangeArrowheads="1"/>
        </xdr:cNvSpPr>
      </xdr:nvSpPr>
      <xdr:spPr bwMode="auto">
        <a:xfrm>
          <a:off x="46110525" y="149275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08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E0C0000}"/>
            </a:ext>
          </a:extLst>
        </xdr:cNvPr>
        <xdr:cNvSpPr>
          <a:spLocks noChangeAspect="1" noChangeArrowheads="1"/>
        </xdr:cNvSpPr>
      </xdr:nvSpPr>
      <xdr:spPr bwMode="auto">
        <a:xfrm>
          <a:off x="46110525" y="149571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08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F0C0000}"/>
            </a:ext>
          </a:extLst>
        </xdr:cNvPr>
        <xdr:cNvSpPr>
          <a:spLocks noChangeAspect="1" noChangeArrowheads="1"/>
        </xdr:cNvSpPr>
      </xdr:nvSpPr>
      <xdr:spPr bwMode="auto">
        <a:xfrm>
          <a:off x="46110525" y="149571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08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00C0000}"/>
            </a:ext>
          </a:extLst>
        </xdr:cNvPr>
        <xdr:cNvSpPr>
          <a:spLocks noChangeAspect="1" noChangeArrowheads="1"/>
        </xdr:cNvSpPr>
      </xdr:nvSpPr>
      <xdr:spPr bwMode="auto">
        <a:xfrm>
          <a:off x="46110525" y="149866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08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10C0000}"/>
            </a:ext>
          </a:extLst>
        </xdr:cNvPr>
        <xdr:cNvSpPr>
          <a:spLocks noChangeAspect="1" noChangeArrowheads="1"/>
        </xdr:cNvSpPr>
      </xdr:nvSpPr>
      <xdr:spPr bwMode="auto">
        <a:xfrm>
          <a:off x="46110525" y="149866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09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20C0000}"/>
            </a:ext>
          </a:extLst>
        </xdr:cNvPr>
        <xdr:cNvSpPr>
          <a:spLocks noChangeAspect="1" noChangeArrowheads="1"/>
        </xdr:cNvSpPr>
      </xdr:nvSpPr>
      <xdr:spPr bwMode="auto">
        <a:xfrm>
          <a:off x="46110525" y="150161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09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30C0000}"/>
            </a:ext>
          </a:extLst>
        </xdr:cNvPr>
        <xdr:cNvSpPr>
          <a:spLocks noChangeAspect="1" noChangeArrowheads="1"/>
        </xdr:cNvSpPr>
      </xdr:nvSpPr>
      <xdr:spPr bwMode="auto">
        <a:xfrm>
          <a:off x="46110525" y="150161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09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40C0000}"/>
            </a:ext>
          </a:extLst>
        </xdr:cNvPr>
        <xdr:cNvSpPr>
          <a:spLocks noChangeAspect="1" noChangeArrowheads="1"/>
        </xdr:cNvSpPr>
      </xdr:nvSpPr>
      <xdr:spPr bwMode="auto">
        <a:xfrm>
          <a:off x="46110525" y="150456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09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50C0000}"/>
            </a:ext>
          </a:extLst>
        </xdr:cNvPr>
        <xdr:cNvSpPr>
          <a:spLocks noChangeAspect="1" noChangeArrowheads="1"/>
        </xdr:cNvSpPr>
      </xdr:nvSpPr>
      <xdr:spPr bwMode="auto">
        <a:xfrm>
          <a:off x="46110525" y="150456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09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60C0000}"/>
            </a:ext>
          </a:extLst>
        </xdr:cNvPr>
        <xdr:cNvSpPr>
          <a:spLocks noChangeAspect="1" noChangeArrowheads="1"/>
        </xdr:cNvSpPr>
      </xdr:nvSpPr>
      <xdr:spPr bwMode="auto">
        <a:xfrm>
          <a:off x="46110525" y="1507521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09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70C0000}"/>
            </a:ext>
          </a:extLst>
        </xdr:cNvPr>
        <xdr:cNvSpPr>
          <a:spLocks noChangeAspect="1" noChangeArrowheads="1"/>
        </xdr:cNvSpPr>
      </xdr:nvSpPr>
      <xdr:spPr bwMode="auto">
        <a:xfrm>
          <a:off x="46110525" y="1507521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09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80C0000}"/>
            </a:ext>
          </a:extLst>
        </xdr:cNvPr>
        <xdr:cNvSpPr>
          <a:spLocks noChangeAspect="1" noChangeArrowheads="1"/>
        </xdr:cNvSpPr>
      </xdr:nvSpPr>
      <xdr:spPr bwMode="auto">
        <a:xfrm>
          <a:off x="46110525" y="151047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09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90C0000}"/>
            </a:ext>
          </a:extLst>
        </xdr:cNvPr>
        <xdr:cNvSpPr>
          <a:spLocks noChangeAspect="1" noChangeArrowheads="1"/>
        </xdr:cNvSpPr>
      </xdr:nvSpPr>
      <xdr:spPr bwMode="auto">
        <a:xfrm>
          <a:off x="46110525" y="151047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09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A0C0000}"/>
            </a:ext>
          </a:extLst>
        </xdr:cNvPr>
        <xdr:cNvSpPr>
          <a:spLocks noChangeAspect="1" noChangeArrowheads="1"/>
        </xdr:cNvSpPr>
      </xdr:nvSpPr>
      <xdr:spPr bwMode="auto">
        <a:xfrm>
          <a:off x="46110525" y="1513427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09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B0C0000}"/>
            </a:ext>
          </a:extLst>
        </xdr:cNvPr>
        <xdr:cNvSpPr>
          <a:spLocks noChangeAspect="1" noChangeArrowheads="1"/>
        </xdr:cNvSpPr>
      </xdr:nvSpPr>
      <xdr:spPr bwMode="auto">
        <a:xfrm>
          <a:off x="46110525" y="1513427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10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C0C0000}"/>
            </a:ext>
          </a:extLst>
        </xdr:cNvPr>
        <xdr:cNvSpPr>
          <a:spLocks noChangeAspect="1" noChangeArrowheads="1"/>
        </xdr:cNvSpPr>
      </xdr:nvSpPr>
      <xdr:spPr bwMode="auto">
        <a:xfrm>
          <a:off x="46110525" y="15163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10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D0C0000}"/>
            </a:ext>
          </a:extLst>
        </xdr:cNvPr>
        <xdr:cNvSpPr>
          <a:spLocks noChangeAspect="1" noChangeArrowheads="1"/>
        </xdr:cNvSpPr>
      </xdr:nvSpPr>
      <xdr:spPr bwMode="auto">
        <a:xfrm>
          <a:off x="46110525" y="15163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10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E0C0000}"/>
            </a:ext>
          </a:extLst>
        </xdr:cNvPr>
        <xdr:cNvSpPr>
          <a:spLocks noChangeAspect="1" noChangeArrowheads="1"/>
        </xdr:cNvSpPr>
      </xdr:nvSpPr>
      <xdr:spPr bwMode="auto">
        <a:xfrm>
          <a:off x="46110525" y="1519332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10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F0C0000}"/>
            </a:ext>
          </a:extLst>
        </xdr:cNvPr>
        <xdr:cNvSpPr>
          <a:spLocks noChangeAspect="1" noChangeArrowheads="1"/>
        </xdr:cNvSpPr>
      </xdr:nvSpPr>
      <xdr:spPr bwMode="auto">
        <a:xfrm>
          <a:off x="46110525" y="1519332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10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00C0000}"/>
            </a:ext>
          </a:extLst>
        </xdr:cNvPr>
        <xdr:cNvSpPr>
          <a:spLocks noChangeAspect="1" noChangeArrowheads="1"/>
        </xdr:cNvSpPr>
      </xdr:nvSpPr>
      <xdr:spPr bwMode="auto">
        <a:xfrm>
          <a:off x="46110525" y="152228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10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10C0000}"/>
            </a:ext>
          </a:extLst>
        </xdr:cNvPr>
        <xdr:cNvSpPr>
          <a:spLocks noChangeAspect="1" noChangeArrowheads="1"/>
        </xdr:cNvSpPr>
      </xdr:nvSpPr>
      <xdr:spPr bwMode="auto">
        <a:xfrm>
          <a:off x="46110525" y="152228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10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20C0000}"/>
            </a:ext>
          </a:extLst>
        </xdr:cNvPr>
        <xdr:cNvSpPr>
          <a:spLocks noChangeAspect="1" noChangeArrowheads="1"/>
        </xdr:cNvSpPr>
      </xdr:nvSpPr>
      <xdr:spPr bwMode="auto">
        <a:xfrm>
          <a:off x="46110525" y="152523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10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30C0000}"/>
            </a:ext>
          </a:extLst>
        </xdr:cNvPr>
        <xdr:cNvSpPr>
          <a:spLocks noChangeAspect="1" noChangeArrowheads="1"/>
        </xdr:cNvSpPr>
      </xdr:nvSpPr>
      <xdr:spPr bwMode="auto">
        <a:xfrm>
          <a:off x="46110525" y="152523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10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40C0000}"/>
            </a:ext>
          </a:extLst>
        </xdr:cNvPr>
        <xdr:cNvSpPr>
          <a:spLocks noChangeAspect="1" noChangeArrowheads="1"/>
        </xdr:cNvSpPr>
      </xdr:nvSpPr>
      <xdr:spPr bwMode="auto">
        <a:xfrm>
          <a:off x="46110525" y="152819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10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50C0000}"/>
            </a:ext>
          </a:extLst>
        </xdr:cNvPr>
        <xdr:cNvSpPr>
          <a:spLocks noChangeAspect="1" noChangeArrowheads="1"/>
        </xdr:cNvSpPr>
      </xdr:nvSpPr>
      <xdr:spPr bwMode="auto">
        <a:xfrm>
          <a:off x="46110525" y="152819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11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60C0000}"/>
            </a:ext>
          </a:extLst>
        </xdr:cNvPr>
        <xdr:cNvSpPr>
          <a:spLocks noChangeAspect="1" noChangeArrowheads="1"/>
        </xdr:cNvSpPr>
      </xdr:nvSpPr>
      <xdr:spPr bwMode="auto">
        <a:xfrm>
          <a:off x="46110525" y="153114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11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70C0000}"/>
            </a:ext>
          </a:extLst>
        </xdr:cNvPr>
        <xdr:cNvSpPr>
          <a:spLocks noChangeAspect="1" noChangeArrowheads="1"/>
        </xdr:cNvSpPr>
      </xdr:nvSpPr>
      <xdr:spPr bwMode="auto">
        <a:xfrm>
          <a:off x="46110525" y="153114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11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80C0000}"/>
            </a:ext>
          </a:extLst>
        </xdr:cNvPr>
        <xdr:cNvSpPr>
          <a:spLocks noChangeAspect="1" noChangeArrowheads="1"/>
        </xdr:cNvSpPr>
      </xdr:nvSpPr>
      <xdr:spPr bwMode="auto">
        <a:xfrm>
          <a:off x="46110525" y="153409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11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90C0000}"/>
            </a:ext>
          </a:extLst>
        </xdr:cNvPr>
        <xdr:cNvSpPr>
          <a:spLocks noChangeAspect="1" noChangeArrowheads="1"/>
        </xdr:cNvSpPr>
      </xdr:nvSpPr>
      <xdr:spPr bwMode="auto">
        <a:xfrm>
          <a:off x="46110525" y="153409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11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A0C0000}"/>
            </a:ext>
          </a:extLst>
        </xdr:cNvPr>
        <xdr:cNvSpPr>
          <a:spLocks noChangeAspect="1" noChangeArrowheads="1"/>
        </xdr:cNvSpPr>
      </xdr:nvSpPr>
      <xdr:spPr bwMode="auto">
        <a:xfrm>
          <a:off x="46110525" y="1537049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11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B0C0000}"/>
            </a:ext>
          </a:extLst>
        </xdr:cNvPr>
        <xdr:cNvSpPr>
          <a:spLocks noChangeAspect="1" noChangeArrowheads="1"/>
        </xdr:cNvSpPr>
      </xdr:nvSpPr>
      <xdr:spPr bwMode="auto">
        <a:xfrm>
          <a:off x="46110525" y="1537049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11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C0C0000}"/>
            </a:ext>
          </a:extLst>
        </xdr:cNvPr>
        <xdr:cNvSpPr>
          <a:spLocks noChangeAspect="1" noChangeArrowheads="1"/>
        </xdr:cNvSpPr>
      </xdr:nvSpPr>
      <xdr:spPr bwMode="auto">
        <a:xfrm>
          <a:off x="46110525" y="15400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11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D0C0000}"/>
            </a:ext>
          </a:extLst>
        </xdr:cNvPr>
        <xdr:cNvSpPr>
          <a:spLocks noChangeAspect="1" noChangeArrowheads="1"/>
        </xdr:cNvSpPr>
      </xdr:nvSpPr>
      <xdr:spPr bwMode="auto">
        <a:xfrm>
          <a:off x="46110525" y="15400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11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E0C0000}"/>
            </a:ext>
          </a:extLst>
        </xdr:cNvPr>
        <xdr:cNvSpPr>
          <a:spLocks noChangeAspect="1" noChangeArrowheads="1"/>
        </xdr:cNvSpPr>
      </xdr:nvSpPr>
      <xdr:spPr bwMode="auto">
        <a:xfrm>
          <a:off x="46110525" y="1542954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11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F0C0000}"/>
            </a:ext>
          </a:extLst>
        </xdr:cNvPr>
        <xdr:cNvSpPr>
          <a:spLocks noChangeAspect="1" noChangeArrowheads="1"/>
        </xdr:cNvSpPr>
      </xdr:nvSpPr>
      <xdr:spPr bwMode="auto">
        <a:xfrm>
          <a:off x="46110525" y="1542954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12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00C0000}"/>
            </a:ext>
          </a:extLst>
        </xdr:cNvPr>
        <xdr:cNvSpPr>
          <a:spLocks noChangeAspect="1" noChangeArrowheads="1"/>
        </xdr:cNvSpPr>
      </xdr:nvSpPr>
      <xdr:spPr bwMode="auto">
        <a:xfrm>
          <a:off x="46110525" y="154590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12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10C0000}"/>
            </a:ext>
          </a:extLst>
        </xdr:cNvPr>
        <xdr:cNvSpPr>
          <a:spLocks noChangeAspect="1" noChangeArrowheads="1"/>
        </xdr:cNvSpPr>
      </xdr:nvSpPr>
      <xdr:spPr bwMode="auto">
        <a:xfrm>
          <a:off x="46110525" y="154590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12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20C0000}"/>
            </a:ext>
          </a:extLst>
        </xdr:cNvPr>
        <xdr:cNvSpPr>
          <a:spLocks noChangeAspect="1" noChangeArrowheads="1"/>
        </xdr:cNvSpPr>
      </xdr:nvSpPr>
      <xdr:spPr bwMode="auto">
        <a:xfrm>
          <a:off x="46110525" y="154886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12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30C0000}"/>
            </a:ext>
          </a:extLst>
        </xdr:cNvPr>
        <xdr:cNvSpPr>
          <a:spLocks noChangeAspect="1" noChangeArrowheads="1"/>
        </xdr:cNvSpPr>
      </xdr:nvSpPr>
      <xdr:spPr bwMode="auto">
        <a:xfrm>
          <a:off x="46110525" y="154886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12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40C0000}"/>
            </a:ext>
          </a:extLst>
        </xdr:cNvPr>
        <xdr:cNvSpPr>
          <a:spLocks noChangeAspect="1" noChangeArrowheads="1"/>
        </xdr:cNvSpPr>
      </xdr:nvSpPr>
      <xdr:spPr bwMode="auto">
        <a:xfrm>
          <a:off x="46110525" y="155181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12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50C0000}"/>
            </a:ext>
          </a:extLst>
        </xdr:cNvPr>
        <xdr:cNvSpPr>
          <a:spLocks noChangeAspect="1" noChangeArrowheads="1"/>
        </xdr:cNvSpPr>
      </xdr:nvSpPr>
      <xdr:spPr bwMode="auto">
        <a:xfrm>
          <a:off x="46110525" y="155181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12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60C0000}"/>
            </a:ext>
          </a:extLst>
        </xdr:cNvPr>
        <xdr:cNvSpPr>
          <a:spLocks noChangeAspect="1" noChangeArrowheads="1"/>
        </xdr:cNvSpPr>
      </xdr:nvSpPr>
      <xdr:spPr bwMode="auto">
        <a:xfrm>
          <a:off x="46110525" y="155476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12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70C0000}"/>
            </a:ext>
          </a:extLst>
        </xdr:cNvPr>
        <xdr:cNvSpPr>
          <a:spLocks noChangeAspect="1" noChangeArrowheads="1"/>
        </xdr:cNvSpPr>
      </xdr:nvSpPr>
      <xdr:spPr bwMode="auto">
        <a:xfrm>
          <a:off x="46110525" y="155476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12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80C0000}"/>
            </a:ext>
          </a:extLst>
        </xdr:cNvPr>
        <xdr:cNvSpPr>
          <a:spLocks noChangeAspect="1" noChangeArrowheads="1"/>
        </xdr:cNvSpPr>
      </xdr:nvSpPr>
      <xdr:spPr bwMode="auto">
        <a:xfrm>
          <a:off x="46110525" y="155771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12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90C0000}"/>
            </a:ext>
          </a:extLst>
        </xdr:cNvPr>
        <xdr:cNvSpPr>
          <a:spLocks noChangeAspect="1" noChangeArrowheads="1"/>
        </xdr:cNvSpPr>
      </xdr:nvSpPr>
      <xdr:spPr bwMode="auto">
        <a:xfrm>
          <a:off x="46110525" y="155771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13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A0C0000}"/>
            </a:ext>
          </a:extLst>
        </xdr:cNvPr>
        <xdr:cNvSpPr>
          <a:spLocks noChangeAspect="1" noChangeArrowheads="1"/>
        </xdr:cNvSpPr>
      </xdr:nvSpPr>
      <xdr:spPr bwMode="auto">
        <a:xfrm>
          <a:off x="46110525" y="1560671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13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B0C0000}"/>
            </a:ext>
          </a:extLst>
        </xdr:cNvPr>
        <xdr:cNvSpPr>
          <a:spLocks noChangeAspect="1" noChangeArrowheads="1"/>
        </xdr:cNvSpPr>
      </xdr:nvSpPr>
      <xdr:spPr bwMode="auto">
        <a:xfrm>
          <a:off x="46110525" y="1560671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13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C0C0000}"/>
            </a:ext>
          </a:extLst>
        </xdr:cNvPr>
        <xdr:cNvSpPr>
          <a:spLocks noChangeAspect="1" noChangeArrowheads="1"/>
        </xdr:cNvSpPr>
      </xdr:nvSpPr>
      <xdr:spPr bwMode="auto">
        <a:xfrm>
          <a:off x="46110525" y="156362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13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D0C0000}"/>
            </a:ext>
          </a:extLst>
        </xdr:cNvPr>
        <xdr:cNvSpPr>
          <a:spLocks noChangeAspect="1" noChangeArrowheads="1"/>
        </xdr:cNvSpPr>
      </xdr:nvSpPr>
      <xdr:spPr bwMode="auto">
        <a:xfrm>
          <a:off x="46110525" y="156362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13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E0C0000}"/>
            </a:ext>
          </a:extLst>
        </xdr:cNvPr>
        <xdr:cNvSpPr>
          <a:spLocks noChangeAspect="1" noChangeArrowheads="1"/>
        </xdr:cNvSpPr>
      </xdr:nvSpPr>
      <xdr:spPr bwMode="auto">
        <a:xfrm>
          <a:off x="46110525" y="1566576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13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F0C0000}"/>
            </a:ext>
          </a:extLst>
        </xdr:cNvPr>
        <xdr:cNvSpPr>
          <a:spLocks noChangeAspect="1" noChangeArrowheads="1"/>
        </xdr:cNvSpPr>
      </xdr:nvSpPr>
      <xdr:spPr bwMode="auto">
        <a:xfrm>
          <a:off x="46110525" y="1566576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13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00C0000}"/>
            </a:ext>
          </a:extLst>
        </xdr:cNvPr>
        <xdr:cNvSpPr>
          <a:spLocks noChangeAspect="1" noChangeArrowheads="1"/>
        </xdr:cNvSpPr>
      </xdr:nvSpPr>
      <xdr:spPr bwMode="auto">
        <a:xfrm>
          <a:off x="46110525" y="156952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13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10C0000}"/>
            </a:ext>
          </a:extLst>
        </xdr:cNvPr>
        <xdr:cNvSpPr>
          <a:spLocks noChangeAspect="1" noChangeArrowheads="1"/>
        </xdr:cNvSpPr>
      </xdr:nvSpPr>
      <xdr:spPr bwMode="auto">
        <a:xfrm>
          <a:off x="46110525" y="156952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13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20C0000}"/>
            </a:ext>
          </a:extLst>
        </xdr:cNvPr>
        <xdr:cNvSpPr>
          <a:spLocks noChangeAspect="1" noChangeArrowheads="1"/>
        </xdr:cNvSpPr>
      </xdr:nvSpPr>
      <xdr:spPr bwMode="auto">
        <a:xfrm>
          <a:off x="46110525" y="157248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13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30C0000}"/>
            </a:ext>
          </a:extLst>
        </xdr:cNvPr>
        <xdr:cNvSpPr>
          <a:spLocks noChangeAspect="1" noChangeArrowheads="1"/>
        </xdr:cNvSpPr>
      </xdr:nvSpPr>
      <xdr:spPr bwMode="auto">
        <a:xfrm>
          <a:off x="46110525" y="157248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14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40C0000}"/>
            </a:ext>
          </a:extLst>
        </xdr:cNvPr>
        <xdr:cNvSpPr>
          <a:spLocks noChangeAspect="1" noChangeArrowheads="1"/>
        </xdr:cNvSpPr>
      </xdr:nvSpPr>
      <xdr:spPr bwMode="auto">
        <a:xfrm>
          <a:off x="46110525" y="15754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14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50C0000}"/>
            </a:ext>
          </a:extLst>
        </xdr:cNvPr>
        <xdr:cNvSpPr>
          <a:spLocks noChangeAspect="1" noChangeArrowheads="1"/>
        </xdr:cNvSpPr>
      </xdr:nvSpPr>
      <xdr:spPr bwMode="auto">
        <a:xfrm>
          <a:off x="46110525" y="15754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14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60C0000}"/>
            </a:ext>
          </a:extLst>
        </xdr:cNvPr>
        <xdr:cNvSpPr>
          <a:spLocks noChangeAspect="1" noChangeArrowheads="1"/>
        </xdr:cNvSpPr>
      </xdr:nvSpPr>
      <xdr:spPr bwMode="auto">
        <a:xfrm>
          <a:off x="46110525" y="1578387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14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70C0000}"/>
            </a:ext>
          </a:extLst>
        </xdr:cNvPr>
        <xdr:cNvSpPr>
          <a:spLocks noChangeAspect="1" noChangeArrowheads="1"/>
        </xdr:cNvSpPr>
      </xdr:nvSpPr>
      <xdr:spPr bwMode="auto">
        <a:xfrm>
          <a:off x="46110525" y="1578387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14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80C0000}"/>
            </a:ext>
          </a:extLst>
        </xdr:cNvPr>
        <xdr:cNvSpPr>
          <a:spLocks noChangeAspect="1" noChangeArrowheads="1"/>
        </xdr:cNvSpPr>
      </xdr:nvSpPr>
      <xdr:spPr bwMode="auto">
        <a:xfrm>
          <a:off x="46110525" y="158134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14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90C0000}"/>
            </a:ext>
          </a:extLst>
        </xdr:cNvPr>
        <xdr:cNvSpPr>
          <a:spLocks noChangeAspect="1" noChangeArrowheads="1"/>
        </xdr:cNvSpPr>
      </xdr:nvSpPr>
      <xdr:spPr bwMode="auto">
        <a:xfrm>
          <a:off x="46110525" y="158134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14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A0C0000}"/>
            </a:ext>
          </a:extLst>
        </xdr:cNvPr>
        <xdr:cNvSpPr>
          <a:spLocks noChangeAspect="1" noChangeArrowheads="1"/>
        </xdr:cNvSpPr>
      </xdr:nvSpPr>
      <xdr:spPr bwMode="auto">
        <a:xfrm>
          <a:off x="46110525" y="158429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14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B0C0000}"/>
            </a:ext>
          </a:extLst>
        </xdr:cNvPr>
        <xdr:cNvSpPr>
          <a:spLocks noChangeAspect="1" noChangeArrowheads="1"/>
        </xdr:cNvSpPr>
      </xdr:nvSpPr>
      <xdr:spPr bwMode="auto">
        <a:xfrm>
          <a:off x="46110525" y="158429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14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C0C0000}"/>
            </a:ext>
          </a:extLst>
        </xdr:cNvPr>
        <xdr:cNvSpPr>
          <a:spLocks noChangeAspect="1" noChangeArrowheads="1"/>
        </xdr:cNvSpPr>
      </xdr:nvSpPr>
      <xdr:spPr bwMode="auto">
        <a:xfrm>
          <a:off x="46110525" y="158724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14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D0C0000}"/>
            </a:ext>
          </a:extLst>
        </xdr:cNvPr>
        <xdr:cNvSpPr>
          <a:spLocks noChangeAspect="1" noChangeArrowheads="1"/>
        </xdr:cNvSpPr>
      </xdr:nvSpPr>
      <xdr:spPr bwMode="auto">
        <a:xfrm>
          <a:off x="46110525" y="158724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15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E0C0000}"/>
            </a:ext>
          </a:extLst>
        </xdr:cNvPr>
        <xdr:cNvSpPr>
          <a:spLocks noChangeAspect="1" noChangeArrowheads="1"/>
        </xdr:cNvSpPr>
      </xdr:nvSpPr>
      <xdr:spPr bwMode="auto">
        <a:xfrm>
          <a:off x="46110525" y="159019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15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F0C0000}"/>
            </a:ext>
          </a:extLst>
        </xdr:cNvPr>
        <xdr:cNvSpPr>
          <a:spLocks noChangeAspect="1" noChangeArrowheads="1"/>
        </xdr:cNvSpPr>
      </xdr:nvSpPr>
      <xdr:spPr bwMode="auto">
        <a:xfrm>
          <a:off x="46110525" y="159019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15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00C0000}"/>
            </a:ext>
          </a:extLst>
        </xdr:cNvPr>
        <xdr:cNvSpPr>
          <a:spLocks noChangeAspect="1" noChangeArrowheads="1"/>
        </xdr:cNvSpPr>
      </xdr:nvSpPr>
      <xdr:spPr bwMode="auto">
        <a:xfrm>
          <a:off x="46110525" y="159315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15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10C0000}"/>
            </a:ext>
          </a:extLst>
        </xdr:cNvPr>
        <xdr:cNvSpPr>
          <a:spLocks noChangeAspect="1" noChangeArrowheads="1"/>
        </xdr:cNvSpPr>
      </xdr:nvSpPr>
      <xdr:spPr bwMode="auto">
        <a:xfrm>
          <a:off x="46110525" y="159315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15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20C0000}"/>
            </a:ext>
          </a:extLst>
        </xdr:cNvPr>
        <xdr:cNvSpPr>
          <a:spLocks noChangeAspect="1" noChangeArrowheads="1"/>
        </xdr:cNvSpPr>
      </xdr:nvSpPr>
      <xdr:spPr bwMode="auto">
        <a:xfrm>
          <a:off x="46110525" y="1596104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15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30C0000}"/>
            </a:ext>
          </a:extLst>
        </xdr:cNvPr>
        <xdr:cNvSpPr>
          <a:spLocks noChangeAspect="1" noChangeArrowheads="1"/>
        </xdr:cNvSpPr>
      </xdr:nvSpPr>
      <xdr:spPr bwMode="auto">
        <a:xfrm>
          <a:off x="46110525" y="1596104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15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40C0000}"/>
            </a:ext>
          </a:extLst>
        </xdr:cNvPr>
        <xdr:cNvSpPr>
          <a:spLocks noChangeAspect="1" noChangeArrowheads="1"/>
        </xdr:cNvSpPr>
      </xdr:nvSpPr>
      <xdr:spPr bwMode="auto">
        <a:xfrm>
          <a:off x="46110525" y="159905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15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50C0000}"/>
            </a:ext>
          </a:extLst>
        </xdr:cNvPr>
        <xdr:cNvSpPr>
          <a:spLocks noChangeAspect="1" noChangeArrowheads="1"/>
        </xdr:cNvSpPr>
      </xdr:nvSpPr>
      <xdr:spPr bwMode="auto">
        <a:xfrm>
          <a:off x="46110525" y="159905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15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60C0000}"/>
            </a:ext>
          </a:extLst>
        </xdr:cNvPr>
        <xdr:cNvSpPr>
          <a:spLocks noChangeAspect="1" noChangeArrowheads="1"/>
        </xdr:cNvSpPr>
      </xdr:nvSpPr>
      <xdr:spPr bwMode="auto">
        <a:xfrm>
          <a:off x="46110525" y="1602009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15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70C0000}"/>
            </a:ext>
          </a:extLst>
        </xdr:cNvPr>
        <xdr:cNvSpPr>
          <a:spLocks noChangeAspect="1" noChangeArrowheads="1"/>
        </xdr:cNvSpPr>
      </xdr:nvSpPr>
      <xdr:spPr bwMode="auto">
        <a:xfrm>
          <a:off x="46110525" y="1602009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16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80C0000}"/>
            </a:ext>
          </a:extLst>
        </xdr:cNvPr>
        <xdr:cNvSpPr>
          <a:spLocks noChangeAspect="1" noChangeArrowheads="1"/>
        </xdr:cNvSpPr>
      </xdr:nvSpPr>
      <xdr:spPr bwMode="auto">
        <a:xfrm>
          <a:off x="46110525" y="160496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16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90C0000}"/>
            </a:ext>
          </a:extLst>
        </xdr:cNvPr>
        <xdr:cNvSpPr>
          <a:spLocks noChangeAspect="1" noChangeArrowheads="1"/>
        </xdr:cNvSpPr>
      </xdr:nvSpPr>
      <xdr:spPr bwMode="auto">
        <a:xfrm>
          <a:off x="46110525" y="160496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16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A0C0000}"/>
            </a:ext>
          </a:extLst>
        </xdr:cNvPr>
        <xdr:cNvSpPr>
          <a:spLocks noChangeAspect="1" noChangeArrowheads="1"/>
        </xdr:cNvSpPr>
      </xdr:nvSpPr>
      <xdr:spPr bwMode="auto">
        <a:xfrm>
          <a:off x="46110525" y="160791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16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B0C0000}"/>
            </a:ext>
          </a:extLst>
        </xdr:cNvPr>
        <xdr:cNvSpPr>
          <a:spLocks noChangeAspect="1" noChangeArrowheads="1"/>
        </xdr:cNvSpPr>
      </xdr:nvSpPr>
      <xdr:spPr bwMode="auto">
        <a:xfrm>
          <a:off x="46110525" y="160791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16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C0C0000}"/>
            </a:ext>
          </a:extLst>
        </xdr:cNvPr>
        <xdr:cNvSpPr>
          <a:spLocks noChangeAspect="1" noChangeArrowheads="1"/>
        </xdr:cNvSpPr>
      </xdr:nvSpPr>
      <xdr:spPr bwMode="auto">
        <a:xfrm>
          <a:off x="46110525" y="161086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16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D0C0000}"/>
            </a:ext>
          </a:extLst>
        </xdr:cNvPr>
        <xdr:cNvSpPr>
          <a:spLocks noChangeAspect="1" noChangeArrowheads="1"/>
        </xdr:cNvSpPr>
      </xdr:nvSpPr>
      <xdr:spPr bwMode="auto">
        <a:xfrm>
          <a:off x="46110525" y="161086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16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E0C0000}"/>
            </a:ext>
          </a:extLst>
        </xdr:cNvPr>
        <xdr:cNvSpPr>
          <a:spLocks noChangeAspect="1" noChangeArrowheads="1"/>
        </xdr:cNvSpPr>
      </xdr:nvSpPr>
      <xdr:spPr bwMode="auto">
        <a:xfrm>
          <a:off x="46110525" y="161382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16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F0C0000}"/>
            </a:ext>
          </a:extLst>
        </xdr:cNvPr>
        <xdr:cNvSpPr>
          <a:spLocks noChangeAspect="1" noChangeArrowheads="1"/>
        </xdr:cNvSpPr>
      </xdr:nvSpPr>
      <xdr:spPr bwMode="auto">
        <a:xfrm>
          <a:off x="46110525" y="161382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16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00C0000}"/>
            </a:ext>
          </a:extLst>
        </xdr:cNvPr>
        <xdr:cNvSpPr>
          <a:spLocks noChangeAspect="1" noChangeArrowheads="1"/>
        </xdr:cNvSpPr>
      </xdr:nvSpPr>
      <xdr:spPr bwMode="auto">
        <a:xfrm>
          <a:off x="46110525" y="161677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16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10C0000}"/>
            </a:ext>
          </a:extLst>
        </xdr:cNvPr>
        <xdr:cNvSpPr>
          <a:spLocks noChangeAspect="1" noChangeArrowheads="1"/>
        </xdr:cNvSpPr>
      </xdr:nvSpPr>
      <xdr:spPr bwMode="auto">
        <a:xfrm>
          <a:off x="46110525" y="161677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17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20C0000}"/>
            </a:ext>
          </a:extLst>
        </xdr:cNvPr>
        <xdr:cNvSpPr>
          <a:spLocks noChangeAspect="1" noChangeArrowheads="1"/>
        </xdr:cNvSpPr>
      </xdr:nvSpPr>
      <xdr:spPr bwMode="auto">
        <a:xfrm>
          <a:off x="46110525" y="161972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17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30C0000}"/>
            </a:ext>
          </a:extLst>
        </xdr:cNvPr>
        <xdr:cNvSpPr>
          <a:spLocks noChangeAspect="1" noChangeArrowheads="1"/>
        </xdr:cNvSpPr>
      </xdr:nvSpPr>
      <xdr:spPr bwMode="auto">
        <a:xfrm>
          <a:off x="46110525" y="161972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17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40C0000}"/>
            </a:ext>
          </a:extLst>
        </xdr:cNvPr>
        <xdr:cNvSpPr>
          <a:spLocks noChangeAspect="1" noChangeArrowheads="1"/>
        </xdr:cNvSpPr>
      </xdr:nvSpPr>
      <xdr:spPr bwMode="auto">
        <a:xfrm>
          <a:off x="46110525" y="162267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17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50C0000}"/>
            </a:ext>
          </a:extLst>
        </xdr:cNvPr>
        <xdr:cNvSpPr>
          <a:spLocks noChangeAspect="1" noChangeArrowheads="1"/>
        </xdr:cNvSpPr>
      </xdr:nvSpPr>
      <xdr:spPr bwMode="auto">
        <a:xfrm>
          <a:off x="46110525" y="162267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17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60C0000}"/>
            </a:ext>
          </a:extLst>
        </xdr:cNvPr>
        <xdr:cNvSpPr>
          <a:spLocks noChangeAspect="1" noChangeArrowheads="1"/>
        </xdr:cNvSpPr>
      </xdr:nvSpPr>
      <xdr:spPr bwMode="auto">
        <a:xfrm>
          <a:off x="46110525" y="1625631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17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70C0000}"/>
            </a:ext>
          </a:extLst>
        </xdr:cNvPr>
        <xdr:cNvSpPr>
          <a:spLocks noChangeAspect="1" noChangeArrowheads="1"/>
        </xdr:cNvSpPr>
      </xdr:nvSpPr>
      <xdr:spPr bwMode="auto">
        <a:xfrm>
          <a:off x="46110525" y="1625631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17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80C0000}"/>
            </a:ext>
          </a:extLst>
        </xdr:cNvPr>
        <xdr:cNvSpPr>
          <a:spLocks noChangeAspect="1" noChangeArrowheads="1"/>
        </xdr:cNvSpPr>
      </xdr:nvSpPr>
      <xdr:spPr bwMode="auto">
        <a:xfrm>
          <a:off x="46110525" y="162858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17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90C0000}"/>
            </a:ext>
          </a:extLst>
        </xdr:cNvPr>
        <xdr:cNvSpPr>
          <a:spLocks noChangeAspect="1" noChangeArrowheads="1"/>
        </xdr:cNvSpPr>
      </xdr:nvSpPr>
      <xdr:spPr bwMode="auto">
        <a:xfrm>
          <a:off x="46110525" y="162858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17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A0C0000}"/>
            </a:ext>
          </a:extLst>
        </xdr:cNvPr>
        <xdr:cNvSpPr>
          <a:spLocks noChangeAspect="1" noChangeArrowheads="1"/>
        </xdr:cNvSpPr>
      </xdr:nvSpPr>
      <xdr:spPr bwMode="auto">
        <a:xfrm>
          <a:off x="46110525" y="1631537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17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B0C0000}"/>
            </a:ext>
          </a:extLst>
        </xdr:cNvPr>
        <xdr:cNvSpPr>
          <a:spLocks noChangeAspect="1" noChangeArrowheads="1"/>
        </xdr:cNvSpPr>
      </xdr:nvSpPr>
      <xdr:spPr bwMode="auto">
        <a:xfrm>
          <a:off x="46110525" y="1631537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18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C0C0000}"/>
            </a:ext>
          </a:extLst>
        </xdr:cNvPr>
        <xdr:cNvSpPr>
          <a:spLocks noChangeAspect="1" noChangeArrowheads="1"/>
        </xdr:cNvSpPr>
      </xdr:nvSpPr>
      <xdr:spPr bwMode="auto">
        <a:xfrm>
          <a:off x="46110525" y="16344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18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D0C0000}"/>
            </a:ext>
          </a:extLst>
        </xdr:cNvPr>
        <xdr:cNvSpPr>
          <a:spLocks noChangeAspect="1" noChangeArrowheads="1"/>
        </xdr:cNvSpPr>
      </xdr:nvSpPr>
      <xdr:spPr bwMode="auto">
        <a:xfrm>
          <a:off x="46110525" y="16344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18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E0C0000}"/>
            </a:ext>
          </a:extLst>
        </xdr:cNvPr>
        <xdr:cNvSpPr>
          <a:spLocks noChangeAspect="1" noChangeArrowheads="1"/>
        </xdr:cNvSpPr>
      </xdr:nvSpPr>
      <xdr:spPr bwMode="auto">
        <a:xfrm>
          <a:off x="46110525" y="1637442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18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F0C0000}"/>
            </a:ext>
          </a:extLst>
        </xdr:cNvPr>
        <xdr:cNvSpPr>
          <a:spLocks noChangeAspect="1" noChangeArrowheads="1"/>
        </xdr:cNvSpPr>
      </xdr:nvSpPr>
      <xdr:spPr bwMode="auto">
        <a:xfrm>
          <a:off x="46110525" y="1637442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18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00C0000}"/>
            </a:ext>
          </a:extLst>
        </xdr:cNvPr>
        <xdr:cNvSpPr>
          <a:spLocks noChangeAspect="1" noChangeArrowheads="1"/>
        </xdr:cNvSpPr>
      </xdr:nvSpPr>
      <xdr:spPr bwMode="auto">
        <a:xfrm>
          <a:off x="46110525" y="164039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18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10C0000}"/>
            </a:ext>
          </a:extLst>
        </xdr:cNvPr>
        <xdr:cNvSpPr>
          <a:spLocks noChangeAspect="1" noChangeArrowheads="1"/>
        </xdr:cNvSpPr>
      </xdr:nvSpPr>
      <xdr:spPr bwMode="auto">
        <a:xfrm>
          <a:off x="46110525" y="164039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18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20C0000}"/>
            </a:ext>
          </a:extLst>
        </xdr:cNvPr>
        <xdr:cNvSpPr>
          <a:spLocks noChangeAspect="1" noChangeArrowheads="1"/>
        </xdr:cNvSpPr>
      </xdr:nvSpPr>
      <xdr:spPr bwMode="auto">
        <a:xfrm>
          <a:off x="46110525" y="164334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18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30C0000}"/>
            </a:ext>
          </a:extLst>
        </xdr:cNvPr>
        <xdr:cNvSpPr>
          <a:spLocks noChangeAspect="1" noChangeArrowheads="1"/>
        </xdr:cNvSpPr>
      </xdr:nvSpPr>
      <xdr:spPr bwMode="auto">
        <a:xfrm>
          <a:off x="46110525" y="164334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18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40C0000}"/>
            </a:ext>
          </a:extLst>
        </xdr:cNvPr>
        <xdr:cNvSpPr>
          <a:spLocks noChangeAspect="1" noChangeArrowheads="1"/>
        </xdr:cNvSpPr>
      </xdr:nvSpPr>
      <xdr:spPr bwMode="auto">
        <a:xfrm>
          <a:off x="46110525" y="164630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18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50C0000}"/>
            </a:ext>
          </a:extLst>
        </xdr:cNvPr>
        <xdr:cNvSpPr>
          <a:spLocks noChangeAspect="1" noChangeArrowheads="1"/>
        </xdr:cNvSpPr>
      </xdr:nvSpPr>
      <xdr:spPr bwMode="auto">
        <a:xfrm>
          <a:off x="46110525" y="164630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19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60C0000}"/>
            </a:ext>
          </a:extLst>
        </xdr:cNvPr>
        <xdr:cNvSpPr>
          <a:spLocks noChangeAspect="1" noChangeArrowheads="1"/>
        </xdr:cNvSpPr>
      </xdr:nvSpPr>
      <xdr:spPr bwMode="auto">
        <a:xfrm>
          <a:off x="46110525" y="164925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19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70C0000}"/>
            </a:ext>
          </a:extLst>
        </xdr:cNvPr>
        <xdr:cNvSpPr>
          <a:spLocks noChangeAspect="1" noChangeArrowheads="1"/>
        </xdr:cNvSpPr>
      </xdr:nvSpPr>
      <xdr:spPr bwMode="auto">
        <a:xfrm>
          <a:off x="46110525" y="164925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19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80C0000}"/>
            </a:ext>
          </a:extLst>
        </xdr:cNvPr>
        <xdr:cNvSpPr>
          <a:spLocks noChangeAspect="1" noChangeArrowheads="1"/>
        </xdr:cNvSpPr>
      </xdr:nvSpPr>
      <xdr:spPr bwMode="auto">
        <a:xfrm>
          <a:off x="46110525" y="165220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19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90C0000}"/>
            </a:ext>
          </a:extLst>
        </xdr:cNvPr>
        <xdr:cNvSpPr>
          <a:spLocks noChangeAspect="1" noChangeArrowheads="1"/>
        </xdr:cNvSpPr>
      </xdr:nvSpPr>
      <xdr:spPr bwMode="auto">
        <a:xfrm>
          <a:off x="46110525" y="165220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19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A0C0000}"/>
            </a:ext>
          </a:extLst>
        </xdr:cNvPr>
        <xdr:cNvSpPr>
          <a:spLocks noChangeAspect="1" noChangeArrowheads="1"/>
        </xdr:cNvSpPr>
      </xdr:nvSpPr>
      <xdr:spPr bwMode="auto">
        <a:xfrm>
          <a:off x="46110525" y="1655159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19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B0C0000}"/>
            </a:ext>
          </a:extLst>
        </xdr:cNvPr>
        <xdr:cNvSpPr>
          <a:spLocks noChangeAspect="1" noChangeArrowheads="1"/>
        </xdr:cNvSpPr>
      </xdr:nvSpPr>
      <xdr:spPr bwMode="auto">
        <a:xfrm>
          <a:off x="46110525" y="1655159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19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C0C0000}"/>
            </a:ext>
          </a:extLst>
        </xdr:cNvPr>
        <xdr:cNvSpPr>
          <a:spLocks noChangeAspect="1" noChangeArrowheads="1"/>
        </xdr:cNvSpPr>
      </xdr:nvSpPr>
      <xdr:spPr bwMode="auto">
        <a:xfrm>
          <a:off x="46110525" y="165811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19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D0C0000}"/>
            </a:ext>
          </a:extLst>
        </xdr:cNvPr>
        <xdr:cNvSpPr>
          <a:spLocks noChangeAspect="1" noChangeArrowheads="1"/>
        </xdr:cNvSpPr>
      </xdr:nvSpPr>
      <xdr:spPr bwMode="auto">
        <a:xfrm>
          <a:off x="46110525" y="165811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19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E0C0000}"/>
            </a:ext>
          </a:extLst>
        </xdr:cNvPr>
        <xdr:cNvSpPr>
          <a:spLocks noChangeAspect="1" noChangeArrowheads="1"/>
        </xdr:cNvSpPr>
      </xdr:nvSpPr>
      <xdr:spPr bwMode="auto">
        <a:xfrm>
          <a:off x="46110525" y="1661064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19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F0C0000}"/>
            </a:ext>
          </a:extLst>
        </xdr:cNvPr>
        <xdr:cNvSpPr>
          <a:spLocks noChangeAspect="1" noChangeArrowheads="1"/>
        </xdr:cNvSpPr>
      </xdr:nvSpPr>
      <xdr:spPr bwMode="auto">
        <a:xfrm>
          <a:off x="46110525" y="1661064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20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00C0000}"/>
            </a:ext>
          </a:extLst>
        </xdr:cNvPr>
        <xdr:cNvSpPr>
          <a:spLocks noChangeAspect="1" noChangeArrowheads="1"/>
        </xdr:cNvSpPr>
      </xdr:nvSpPr>
      <xdr:spPr bwMode="auto">
        <a:xfrm>
          <a:off x="46110525" y="166401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20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10C0000}"/>
            </a:ext>
          </a:extLst>
        </xdr:cNvPr>
        <xdr:cNvSpPr>
          <a:spLocks noChangeAspect="1" noChangeArrowheads="1"/>
        </xdr:cNvSpPr>
      </xdr:nvSpPr>
      <xdr:spPr bwMode="auto">
        <a:xfrm>
          <a:off x="46110525" y="166401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20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20C0000}"/>
            </a:ext>
          </a:extLst>
        </xdr:cNvPr>
        <xdr:cNvSpPr>
          <a:spLocks noChangeAspect="1" noChangeArrowheads="1"/>
        </xdr:cNvSpPr>
      </xdr:nvSpPr>
      <xdr:spPr bwMode="auto">
        <a:xfrm>
          <a:off x="46110525" y="166697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20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30C0000}"/>
            </a:ext>
          </a:extLst>
        </xdr:cNvPr>
        <xdr:cNvSpPr>
          <a:spLocks noChangeAspect="1" noChangeArrowheads="1"/>
        </xdr:cNvSpPr>
      </xdr:nvSpPr>
      <xdr:spPr bwMode="auto">
        <a:xfrm>
          <a:off x="46110525" y="166697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20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40C0000}"/>
            </a:ext>
          </a:extLst>
        </xdr:cNvPr>
        <xdr:cNvSpPr>
          <a:spLocks noChangeAspect="1" noChangeArrowheads="1"/>
        </xdr:cNvSpPr>
      </xdr:nvSpPr>
      <xdr:spPr bwMode="auto">
        <a:xfrm>
          <a:off x="46110525" y="166992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20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50C0000}"/>
            </a:ext>
          </a:extLst>
        </xdr:cNvPr>
        <xdr:cNvSpPr>
          <a:spLocks noChangeAspect="1" noChangeArrowheads="1"/>
        </xdr:cNvSpPr>
      </xdr:nvSpPr>
      <xdr:spPr bwMode="auto">
        <a:xfrm>
          <a:off x="46110525" y="166992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20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60C0000}"/>
            </a:ext>
          </a:extLst>
        </xdr:cNvPr>
        <xdr:cNvSpPr>
          <a:spLocks noChangeAspect="1" noChangeArrowheads="1"/>
        </xdr:cNvSpPr>
      </xdr:nvSpPr>
      <xdr:spPr bwMode="auto">
        <a:xfrm>
          <a:off x="46110525" y="167287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20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70C0000}"/>
            </a:ext>
          </a:extLst>
        </xdr:cNvPr>
        <xdr:cNvSpPr>
          <a:spLocks noChangeAspect="1" noChangeArrowheads="1"/>
        </xdr:cNvSpPr>
      </xdr:nvSpPr>
      <xdr:spPr bwMode="auto">
        <a:xfrm>
          <a:off x="46110525" y="167287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20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80C0000}"/>
            </a:ext>
          </a:extLst>
        </xdr:cNvPr>
        <xdr:cNvSpPr>
          <a:spLocks noChangeAspect="1" noChangeArrowheads="1"/>
        </xdr:cNvSpPr>
      </xdr:nvSpPr>
      <xdr:spPr bwMode="auto">
        <a:xfrm>
          <a:off x="46110525" y="167582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20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90C0000}"/>
            </a:ext>
          </a:extLst>
        </xdr:cNvPr>
        <xdr:cNvSpPr>
          <a:spLocks noChangeAspect="1" noChangeArrowheads="1"/>
        </xdr:cNvSpPr>
      </xdr:nvSpPr>
      <xdr:spPr bwMode="auto">
        <a:xfrm>
          <a:off x="46110525" y="167582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21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A0C0000}"/>
            </a:ext>
          </a:extLst>
        </xdr:cNvPr>
        <xdr:cNvSpPr>
          <a:spLocks noChangeAspect="1" noChangeArrowheads="1"/>
        </xdr:cNvSpPr>
      </xdr:nvSpPr>
      <xdr:spPr bwMode="auto">
        <a:xfrm>
          <a:off x="46110525" y="1678781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21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B0C0000}"/>
            </a:ext>
          </a:extLst>
        </xdr:cNvPr>
        <xdr:cNvSpPr>
          <a:spLocks noChangeAspect="1" noChangeArrowheads="1"/>
        </xdr:cNvSpPr>
      </xdr:nvSpPr>
      <xdr:spPr bwMode="auto">
        <a:xfrm>
          <a:off x="46110525" y="1678781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21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C0C0000}"/>
            </a:ext>
          </a:extLst>
        </xdr:cNvPr>
        <xdr:cNvSpPr>
          <a:spLocks noChangeAspect="1" noChangeArrowheads="1"/>
        </xdr:cNvSpPr>
      </xdr:nvSpPr>
      <xdr:spPr bwMode="auto">
        <a:xfrm>
          <a:off x="46110525" y="168173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21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D0C0000}"/>
            </a:ext>
          </a:extLst>
        </xdr:cNvPr>
        <xdr:cNvSpPr>
          <a:spLocks noChangeAspect="1" noChangeArrowheads="1"/>
        </xdr:cNvSpPr>
      </xdr:nvSpPr>
      <xdr:spPr bwMode="auto">
        <a:xfrm>
          <a:off x="46110525" y="168173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21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E0C0000}"/>
            </a:ext>
          </a:extLst>
        </xdr:cNvPr>
        <xdr:cNvSpPr>
          <a:spLocks noChangeAspect="1" noChangeArrowheads="1"/>
        </xdr:cNvSpPr>
      </xdr:nvSpPr>
      <xdr:spPr bwMode="auto">
        <a:xfrm>
          <a:off x="46110525" y="1684686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21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F0C0000}"/>
            </a:ext>
          </a:extLst>
        </xdr:cNvPr>
        <xdr:cNvSpPr>
          <a:spLocks noChangeAspect="1" noChangeArrowheads="1"/>
        </xdr:cNvSpPr>
      </xdr:nvSpPr>
      <xdr:spPr bwMode="auto">
        <a:xfrm>
          <a:off x="46110525" y="1684686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21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00C0000}"/>
            </a:ext>
          </a:extLst>
        </xdr:cNvPr>
        <xdr:cNvSpPr>
          <a:spLocks noChangeAspect="1" noChangeArrowheads="1"/>
        </xdr:cNvSpPr>
      </xdr:nvSpPr>
      <xdr:spPr bwMode="auto">
        <a:xfrm>
          <a:off x="46110525" y="168763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21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10C0000}"/>
            </a:ext>
          </a:extLst>
        </xdr:cNvPr>
        <xdr:cNvSpPr>
          <a:spLocks noChangeAspect="1" noChangeArrowheads="1"/>
        </xdr:cNvSpPr>
      </xdr:nvSpPr>
      <xdr:spPr bwMode="auto">
        <a:xfrm>
          <a:off x="46110525" y="168763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21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20C0000}"/>
            </a:ext>
          </a:extLst>
        </xdr:cNvPr>
        <xdr:cNvSpPr>
          <a:spLocks noChangeAspect="1" noChangeArrowheads="1"/>
        </xdr:cNvSpPr>
      </xdr:nvSpPr>
      <xdr:spPr bwMode="auto">
        <a:xfrm>
          <a:off x="46110525" y="169059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21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30C0000}"/>
            </a:ext>
          </a:extLst>
        </xdr:cNvPr>
        <xdr:cNvSpPr>
          <a:spLocks noChangeAspect="1" noChangeArrowheads="1"/>
        </xdr:cNvSpPr>
      </xdr:nvSpPr>
      <xdr:spPr bwMode="auto">
        <a:xfrm>
          <a:off x="46110525" y="169059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22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40C0000}"/>
            </a:ext>
          </a:extLst>
        </xdr:cNvPr>
        <xdr:cNvSpPr>
          <a:spLocks noChangeAspect="1" noChangeArrowheads="1"/>
        </xdr:cNvSpPr>
      </xdr:nvSpPr>
      <xdr:spPr bwMode="auto">
        <a:xfrm>
          <a:off x="46110525" y="169354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22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50C0000}"/>
            </a:ext>
          </a:extLst>
        </xdr:cNvPr>
        <xdr:cNvSpPr>
          <a:spLocks noChangeAspect="1" noChangeArrowheads="1"/>
        </xdr:cNvSpPr>
      </xdr:nvSpPr>
      <xdr:spPr bwMode="auto">
        <a:xfrm>
          <a:off x="46110525" y="169354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22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60C0000}"/>
            </a:ext>
          </a:extLst>
        </xdr:cNvPr>
        <xdr:cNvSpPr>
          <a:spLocks noChangeAspect="1" noChangeArrowheads="1"/>
        </xdr:cNvSpPr>
      </xdr:nvSpPr>
      <xdr:spPr bwMode="auto">
        <a:xfrm>
          <a:off x="46110525" y="1696497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22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70C0000}"/>
            </a:ext>
          </a:extLst>
        </xdr:cNvPr>
        <xdr:cNvSpPr>
          <a:spLocks noChangeAspect="1" noChangeArrowheads="1"/>
        </xdr:cNvSpPr>
      </xdr:nvSpPr>
      <xdr:spPr bwMode="auto">
        <a:xfrm>
          <a:off x="46110525" y="1696497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22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80C0000}"/>
            </a:ext>
          </a:extLst>
        </xdr:cNvPr>
        <xdr:cNvSpPr>
          <a:spLocks noChangeAspect="1" noChangeArrowheads="1"/>
        </xdr:cNvSpPr>
      </xdr:nvSpPr>
      <xdr:spPr bwMode="auto">
        <a:xfrm>
          <a:off x="46110525" y="169945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22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90C0000}"/>
            </a:ext>
          </a:extLst>
        </xdr:cNvPr>
        <xdr:cNvSpPr>
          <a:spLocks noChangeAspect="1" noChangeArrowheads="1"/>
        </xdr:cNvSpPr>
      </xdr:nvSpPr>
      <xdr:spPr bwMode="auto">
        <a:xfrm>
          <a:off x="46110525" y="169945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22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A0C0000}"/>
            </a:ext>
          </a:extLst>
        </xdr:cNvPr>
        <xdr:cNvSpPr>
          <a:spLocks noChangeAspect="1" noChangeArrowheads="1"/>
        </xdr:cNvSpPr>
      </xdr:nvSpPr>
      <xdr:spPr bwMode="auto">
        <a:xfrm>
          <a:off x="46110525" y="170240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22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B0C0000}"/>
            </a:ext>
          </a:extLst>
        </xdr:cNvPr>
        <xdr:cNvSpPr>
          <a:spLocks noChangeAspect="1" noChangeArrowheads="1"/>
        </xdr:cNvSpPr>
      </xdr:nvSpPr>
      <xdr:spPr bwMode="auto">
        <a:xfrm>
          <a:off x="46110525" y="170240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22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C0C0000}"/>
            </a:ext>
          </a:extLst>
        </xdr:cNvPr>
        <xdr:cNvSpPr>
          <a:spLocks noChangeAspect="1" noChangeArrowheads="1"/>
        </xdr:cNvSpPr>
      </xdr:nvSpPr>
      <xdr:spPr bwMode="auto">
        <a:xfrm>
          <a:off x="46110525" y="170535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22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D0C0000}"/>
            </a:ext>
          </a:extLst>
        </xdr:cNvPr>
        <xdr:cNvSpPr>
          <a:spLocks noChangeAspect="1" noChangeArrowheads="1"/>
        </xdr:cNvSpPr>
      </xdr:nvSpPr>
      <xdr:spPr bwMode="auto">
        <a:xfrm>
          <a:off x="46110525" y="170535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23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E0C0000}"/>
            </a:ext>
          </a:extLst>
        </xdr:cNvPr>
        <xdr:cNvSpPr>
          <a:spLocks noChangeAspect="1" noChangeArrowheads="1"/>
        </xdr:cNvSpPr>
      </xdr:nvSpPr>
      <xdr:spPr bwMode="auto">
        <a:xfrm>
          <a:off x="46110525" y="170830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23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F0C0000}"/>
            </a:ext>
          </a:extLst>
        </xdr:cNvPr>
        <xdr:cNvSpPr>
          <a:spLocks noChangeAspect="1" noChangeArrowheads="1"/>
        </xdr:cNvSpPr>
      </xdr:nvSpPr>
      <xdr:spPr bwMode="auto">
        <a:xfrm>
          <a:off x="46110525" y="170830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23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00C0000}"/>
            </a:ext>
          </a:extLst>
        </xdr:cNvPr>
        <xdr:cNvSpPr>
          <a:spLocks noChangeAspect="1" noChangeArrowheads="1"/>
        </xdr:cNvSpPr>
      </xdr:nvSpPr>
      <xdr:spPr bwMode="auto">
        <a:xfrm>
          <a:off x="46110525" y="171126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23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10C0000}"/>
            </a:ext>
          </a:extLst>
        </xdr:cNvPr>
        <xdr:cNvSpPr>
          <a:spLocks noChangeAspect="1" noChangeArrowheads="1"/>
        </xdr:cNvSpPr>
      </xdr:nvSpPr>
      <xdr:spPr bwMode="auto">
        <a:xfrm>
          <a:off x="46110525" y="171126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23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20C0000}"/>
            </a:ext>
          </a:extLst>
        </xdr:cNvPr>
        <xdr:cNvSpPr>
          <a:spLocks noChangeAspect="1" noChangeArrowheads="1"/>
        </xdr:cNvSpPr>
      </xdr:nvSpPr>
      <xdr:spPr bwMode="auto">
        <a:xfrm>
          <a:off x="46110525" y="1714214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23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30C0000}"/>
            </a:ext>
          </a:extLst>
        </xdr:cNvPr>
        <xdr:cNvSpPr>
          <a:spLocks noChangeAspect="1" noChangeArrowheads="1"/>
        </xdr:cNvSpPr>
      </xdr:nvSpPr>
      <xdr:spPr bwMode="auto">
        <a:xfrm>
          <a:off x="46110525" y="1714214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23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40C0000}"/>
            </a:ext>
          </a:extLst>
        </xdr:cNvPr>
        <xdr:cNvSpPr>
          <a:spLocks noChangeAspect="1" noChangeArrowheads="1"/>
        </xdr:cNvSpPr>
      </xdr:nvSpPr>
      <xdr:spPr bwMode="auto">
        <a:xfrm>
          <a:off x="46110525" y="171716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23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50C0000}"/>
            </a:ext>
          </a:extLst>
        </xdr:cNvPr>
        <xdr:cNvSpPr>
          <a:spLocks noChangeAspect="1" noChangeArrowheads="1"/>
        </xdr:cNvSpPr>
      </xdr:nvSpPr>
      <xdr:spPr bwMode="auto">
        <a:xfrm>
          <a:off x="46110525" y="171716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23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60C0000}"/>
            </a:ext>
          </a:extLst>
        </xdr:cNvPr>
        <xdr:cNvSpPr>
          <a:spLocks noChangeAspect="1" noChangeArrowheads="1"/>
        </xdr:cNvSpPr>
      </xdr:nvSpPr>
      <xdr:spPr bwMode="auto">
        <a:xfrm>
          <a:off x="46110525" y="1720119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23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70C0000}"/>
            </a:ext>
          </a:extLst>
        </xdr:cNvPr>
        <xdr:cNvSpPr>
          <a:spLocks noChangeAspect="1" noChangeArrowheads="1"/>
        </xdr:cNvSpPr>
      </xdr:nvSpPr>
      <xdr:spPr bwMode="auto">
        <a:xfrm>
          <a:off x="46110525" y="1720119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24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80C0000}"/>
            </a:ext>
          </a:extLst>
        </xdr:cNvPr>
        <xdr:cNvSpPr>
          <a:spLocks noChangeAspect="1" noChangeArrowheads="1"/>
        </xdr:cNvSpPr>
      </xdr:nvSpPr>
      <xdr:spPr bwMode="auto">
        <a:xfrm>
          <a:off x="46110525" y="172307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24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90C0000}"/>
            </a:ext>
          </a:extLst>
        </xdr:cNvPr>
        <xdr:cNvSpPr>
          <a:spLocks noChangeAspect="1" noChangeArrowheads="1"/>
        </xdr:cNvSpPr>
      </xdr:nvSpPr>
      <xdr:spPr bwMode="auto">
        <a:xfrm>
          <a:off x="46110525" y="172307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24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A0C0000}"/>
            </a:ext>
          </a:extLst>
        </xdr:cNvPr>
        <xdr:cNvSpPr>
          <a:spLocks noChangeAspect="1" noChangeArrowheads="1"/>
        </xdr:cNvSpPr>
      </xdr:nvSpPr>
      <xdr:spPr bwMode="auto">
        <a:xfrm>
          <a:off x="46110525" y="172602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24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B0C0000}"/>
            </a:ext>
          </a:extLst>
        </xdr:cNvPr>
        <xdr:cNvSpPr>
          <a:spLocks noChangeAspect="1" noChangeArrowheads="1"/>
        </xdr:cNvSpPr>
      </xdr:nvSpPr>
      <xdr:spPr bwMode="auto">
        <a:xfrm>
          <a:off x="46110525" y="172602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24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C0C0000}"/>
            </a:ext>
          </a:extLst>
        </xdr:cNvPr>
        <xdr:cNvSpPr>
          <a:spLocks noChangeAspect="1" noChangeArrowheads="1"/>
        </xdr:cNvSpPr>
      </xdr:nvSpPr>
      <xdr:spPr bwMode="auto">
        <a:xfrm>
          <a:off x="46110525" y="172897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24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D0C0000}"/>
            </a:ext>
          </a:extLst>
        </xdr:cNvPr>
        <xdr:cNvSpPr>
          <a:spLocks noChangeAspect="1" noChangeArrowheads="1"/>
        </xdr:cNvSpPr>
      </xdr:nvSpPr>
      <xdr:spPr bwMode="auto">
        <a:xfrm>
          <a:off x="46110525" y="172897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24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E0C0000}"/>
            </a:ext>
          </a:extLst>
        </xdr:cNvPr>
        <xdr:cNvSpPr>
          <a:spLocks noChangeAspect="1" noChangeArrowheads="1"/>
        </xdr:cNvSpPr>
      </xdr:nvSpPr>
      <xdr:spPr bwMode="auto">
        <a:xfrm>
          <a:off x="46110525" y="173193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24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F0C0000}"/>
            </a:ext>
          </a:extLst>
        </xdr:cNvPr>
        <xdr:cNvSpPr>
          <a:spLocks noChangeAspect="1" noChangeArrowheads="1"/>
        </xdr:cNvSpPr>
      </xdr:nvSpPr>
      <xdr:spPr bwMode="auto">
        <a:xfrm>
          <a:off x="46110525" y="173193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24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00C0000}"/>
            </a:ext>
          </a:extLst>
        </xdr:cNvPr>
        <xdr:cNvSpPr>
          <a:spLocks noChangeAspect="1" noChangeArrowheads="1"/>
        </xdr:cNvSpPr>
      </xdr:nvSpPr>
      <xdr:spPr bwMode="auto">
        <a:xfrm>
          <a:off x="46110525" y="173488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24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10C0000}"/>
            </a:ext>
          </a:extLst>
        </xdr:cNvPr>
        <xdr:cNvSpPr>
          <a:spLocks noChangeAspect="1" noChangeArrowheads="1"/>
        </xdr:cNvSpPr>
      </xdr:nvSpPr>
      <xdr:spPr bwMode="auto">
        <a:xfrm>
          <a:off x="46110525" y="173488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25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20C0000}"/>
            </a:ext>
          </a:extLst>
        </xdr:cNvPr>
        <xdr:cNvSpPr>
          <a:spLocks noChangeAspect="1" noChangeArrowheads="1"/>
        </xdr:cNvSpPr>
      </xdr:nvSpPr>
      <xdr:spPr bwMode="auto">
        <a:xfrm>
          <a:off x="46110525" y="173783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25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30C0000}"/>
            </a:ext>
          </a:extLst>
        </xdr:cNvPr>
        <xdr:cNvSpPr>
          <a:spLocks noChangeAspect="1" noChangeArrowheads="1"/>
        </xdr:cNvSpPr>
      </xdr:nvSpPr>
      <xdr:spPr bwMode="auto">
        <a:xfrm>
          <a:off x="46110525" y="173783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25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40C0000}"/>
            </a:ext>
          </a:extLst>
        </xdr:cNvPr>
        <xdr:cNvSpPr>
          <a:spLocks noChangeAspect="1" noChangeArrowheads="1"/>
        </xdr:cNvSpPr>
      </xdr:nvSpPr>
      <xdr:spPr bwMode="auto">
        <a:xfrm>
          <a:off x="46110525" y="174078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25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50C0000}"/>
            </a:ext>
          </a:extLst>
        </xdr:cNvPr>
        <xdr:cNvSpPr>
          <a:spLocks noChangeAspect="1" noChangeArrowheads="1"/>
        </xdr:cNvSpPr>
      </xdr:nvSpPr>
      <xdr:spPr bwMode="auto">
        <a:xfrm>
          <a:off x="46110525" y="174078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25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60C0000}"/>
            </a:ext>
          </a:extLst>
        </xdr:cNvPr>
        <xdr:cNvSpPr>
          <a:spLocks noChangeAspect="1" noChangeArrowheads="1"/>
        </xdr:cNvSpPr>
      </xdr:nvSpPr>
      <xdr:spPr bwMode="auto">
        <a:xfrm>
          <a:off x="46110525" y="1743741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25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70C0000}"/>
            </a:ext>
          </a:extLst>
        </xdr:cNvPr>
        <xdr:cNvSpPr>
          <a:spLocks noChangeAspect="1" noChangeArrowheads="1"/>
        </xdr:cNvSpPr>
      </xdr:nvSpPr>
      <xdr:spPr bwMode="auto">
        <a:xfrm>
          <a:off x="46110525" y="1743741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25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80C0000}"/>
            </a:ext>
          </a:extLst>
        </xdr:cNvPr>
        <xdr:cNvSpPr>
          <a:spLocks noChangeAspect="1" noChangeArrowheads="1"/>
        </xdr:cNvSpPr>
      </xdr:nvSpPr>
      <xdr:spPr bwMode="auto">
        <a:xfrm>
          <a:off x="46110525" y="174669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25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90C0000}"/>
            </a:ext>
          </a:extLst>
        </xdr:cNvPr>
        <xdr:cNvSpPr>
          <a:spLocks noChangeAspect="1" noChangeArrowheads="1"/>
        </xdr:cNvSpPr>
      </xdr:nvSpPr>
      <xdr:spPr bwMode="auto">
        <a:xfrm>
          <a:off x="46110525" y="174669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25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A0C0000}"/>
            </a:ext>
          </a:extLst>
        </xdr:cNvPr>
        <xdr:cNvSpPr>
          <a:spLocks noChangeAspect="1" noChangeArrowheads="1"/>
        </xdr:cNvSpPr>
      </xdr:nvSpPr>
      <xdr:spPr bwMode="auto">
        <a:xfrm>
          <a:off x="46110525" y="1749647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25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B0C0000}"/>
            </a:ext>
          </a:extLst>
        </xdr:cNvPr>
        <xdr:cNvSpPr>
          <a:spLocks noChangeAspect="1" noChangeArrowheads="1"/>
        </xdr:cNvSpPr>
      </xdr:nvSpPr>
      <xdr:spPr bwMode="auto">
        <a:xfrm>
          <a:off x="46110525" y="1749647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26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C0C0000}"/>
            </a:ext>
          </a:extLst>
        </xdr:cNvPr>
        <xdr:cNvSpPr>
          <a:spLocks noChangeAspect="1" noChangeArrowheads="1"/>
        </xdr:cNvSpPr>
      </xdr:nvSpPr>
      <xdr:spPr bwMode="auto">
        <a:xfrm>
          <a:off x="46110525" y="17526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26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D0C0000}"/>
            </a:ext>
          </a:extLst>
        </xdr:cNvPr>
        <xdr:cNvSpPr>
          <a:spLocks noChangeAspect="1" noChangeArrowheads="1"/>
        </xdr:cNvSpPr>
      </xdr:nvSpPr>
      <xdr:spPr bwMode="auto">
        <a:xfrm>
          <a:off x="46110525" y="17526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26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E0C0000}"/>
            </a:ext>
          </a:extLst>
        </xdr:cNvPr>
        <xdr:cNvSpPr>
          <a:spLocks noChangeAspect="1" noChangeArrowheads="1"/>
        </xdr:cNvSpPr>
      </xdr:nvSpPr>
      <xdr:spPr bwMode="auto">
        <a:xfrm>
          <a:off x="46110525" y="1755552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26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F0C0000}"/>
            </a:ext>
          </a:extLst>
        </xdr:cNvPr>
        <xdr:cNvSpPr>
          <a:spLocks noChangeAspect="1" noChangeArrowheads="1"/>
        </xdr:cNvSpPr>
      </xdr:nvSpPr>
      <xdr:spPr bwMode="auto">
        <a:xfrm>
          <a:off x="46110525" y="1755552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26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00C0000}"/>
            </a:ext>
          </a:extLst>
        </xdr:cNvPr>
        <xdr:cNvSpPr>
          <a:spLocks noChangeAspect="1" noChangeArrowheads="1"/>
        </xdr:cNvSpPr>
      </xdr:nvSpPr>
      <xdr:spPr bwMode="auto">
        <a:xfrm>
          <a:off x="46110525" y="175850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26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10C0000}"/>
            </a:ext>
          </a:extLst>
        </xdr:cNvPr>
        <xdr:cNvSpPr>
          <a:spLocks noChangeAspect="1" noChangeArrowheads="1"/>
        </xdr:cNvSpPr>
      </xdr:nvSpPr>
      <xdr:spPr bwMode="auto">
        <a:xfrm>
          <a:off x="46110525" y="175850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26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20C0000}"/>
            </a:ext>
          </a:extLst>
        </xdr:cNvPr>
        <xdr:cNvSpPr>
          <a:spLocks noChangeAspect="1" noChangeArrowheads="1"/>
        </xdr:cNvSpPr>
      </xdr:nvSpPr>
      <xdr:spPr bwMode="auto">
        <a:xfrm>
          <a:off x="46110525" y="176145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26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30C0000}"/>
            </a:ext>
          </a:extLst>
        </xdr:cNvPr>
        <xdr:cNvSpPr>
          <a:spLocks noChangeAspect="1" noChangeArrowheads="1"/>
        </xdr:cNvSpPr>
      </xdr:nvSpPr>
      <xdr:spPr bwMode="auto">
        <a:xfrm>
          <a:off x="46110525" y="176145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26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40C0000}"/>
            </a:ext>
          </a:extLst>
        </xdr:cNvPr>
        <xdr:cNvSpPr>
          <a:spLocks noChangeAspect="1" noChangeArrowheads="1"/>
        </xdr:cNvSpPr>
      </xdr:nvSpPr>
      <xdr:spPr bwMode="auto">
        <a:xfrm>
          <a:off x="46110525" y="176441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26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50C0000}"/>
            </a:ext>
          </a:extLst>
        </xdr:cNvPr>
        <xdr:cNvSpPr>
          <a:spLocks noChangeAspect="1" noChangeArrowheads="1"/>
        </xdr:cNvSpPr>
      </xdr:nvSpPr>
      <xdr:spPr bwMode="auto">
        <a:xfrm>
          <a:off x="46110525" y="176441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27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60C0000}"/>
            </a:ext>
          </a:extLst>
        </xdr:cNvPr>
        <xdr:cNvSpPr>
          <a:spLocks noChangeAspect="1" noChangeArrowheads="1"/>
        </xdr:cNvSpPr>
      </xdr:nvSpPr>
      <xdr:spPr bwMode="auto">
        <a:xfrm>
          <a:off x="46110525" y="176736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27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70C0000}"/>
            </a:ext>
          </a:extLst>
        </xdr:cNvPr>
        <xdr:cNvSpPr>
          <a:spLocks noChangeAspect="1" noChangeArrowheads="1"/>
        </xdr:cNvSpPr>
      </xdr:nvSpPr>
      <xdr:spPr bwMode="auto">
        <a:xfrm>
          <a:off x="46110525" y="176736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27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80C0000}"/>
            </a:ext>
          </a:extLst>
        </xdr:cNvPr>
        <xdr:cNvSpPr>
          <a:spLocks noChangeAspect="1" noChangeArrowheads="1"/>
        </xdr:cNvSpPr>
      </xdr:nvSpPr>
      <xdr:spPr bwMode="auto">
        <a:xfrm>
          <a:off x="46110525" y="177031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27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90C0000}"/>
            </a:ext>
          </a:extLst>
        </xdr:cNvPr>
        <xdr:cNvSpPr>
          <a:spLocks noChangeAspect="1" noChangeArrowheads="1"/>
        </xdr:cNvSpPr>
      </xdr:nvSpPr>
      <xdr:spPr bwMode="auto">
        <a:xfrm>
          <a:off x="46110525" y="177031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27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A0C0000}"/>
            </a:ext>
          </a:extLst>
        </xdr:cNvPr>
        <xdr:cNvSpPr>
          <a:spLocks noChangeAspect="1" noChangeArrowheads="1"/>
        </xdr:cNvSpPr>
      </xdr:nvSpPr>
      <xdr:spPr bwMode="auto">
        <a:xfrm>
          <a:off x="46110525" y="1773269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27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B0C0000}"/>
            </a:ext>
          </a:extLst>
        </xdr:cNvPr>
        <xdr:cNvSpPr>
          <a:spLocks noChangeAspect="1" noChangeArrowheads="1"/>
        </xdr:cNvSpPr>
      </xdr:nvSpPr>
      <xdr:spPr bwMode="auto">
        <a:xfrm>
          <a:off x="46110525" y="1773269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27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C0C0000}"/>
            </a:ext>
          </a:extLst>
        </xdr:cNvPr>
        <xdr:cNvSpPr>
          <a:spLocks noChangeAspect="1" noChangeArrowheads="1"/>
        </xdr:cNvSpPr>
      </xdr:nvSpPr>
      <xdr:spPr bwMode="auto">
        <a:xfrm>
          <a:off x="46110525" y="177622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27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D0C0000}"/>
            </a:ext>
          </a:extLst>
        </xdr:cNvPr>
        <xdr:cNvSpPr>
          <a:spLocks noChangeAspect="1" noChangeArrowheads="1"/>
        </xdr:cNvSpPr>
      </xdr:nvSpPr>
      <xdr:spPr bwMode="auto">
        <a:xfrm>
          <a:off x="46110525" y="177622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27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E0C0000}"/>
            </a:ext>
          </a:extLst>
        </xdr:cNvPr>
        <xdr:cNvSpPr>
          <a:spLocks noChangeAspect="1" noChangeArrowheads="1"/>
        </xdr:cNvSpPr>
      </xdr:nvSpPr>
      <xdr:spPr bwMode="auto">
        <a:xfrm>
          <a:off x="46110525" y="1779174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27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F0C0000}"/>
            </a:ext>
          </a:extLst>
        </xdr:cNvPr>
        <xdr:cNvSpPr>
          <a:spLocks noChangeAspect="1" noChangeArrowheads="1"/>
        </xdr:cNvSpPr>
      </xdr:nvSpPr>
      <xdr:spPr bwMode="auto">
        <a:xfrm>
          <a:off x="46110525" y="1779174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28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00C0000}"/>
            </a:ext>
          </a:extLst>
        </xdr:cNvPr>
        <xdr:cNvSpPr>
          <a:spLocks noChangeAspect="1" noChangeArrowheads="1"/>
        </xdr:cNvSpPr>
      </xdr:nvSpPr>
      <xdr:spPr bwMode="auto">
        <a:xfrm>
          <a:off x="46110525" y="178212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28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10C0000}"/>
            </a:ext>
          </a:extLst>
        </xdr:cNvPr>
        <xdr:cNvSpPr>
          <a:spLocks noChangeAspect="1" noChangeArrowheads="1"/>
        </xdr:cNvSpPr>
      </xdr:nvSpPr>
      <xdr:spPr bwMode="auto">
        <a:xfrm>
          <a:off x="46110525" y="178212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28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20C0000}"/>
            </a:ext>
          </a:extLst>
        </xdr:cNvPr>
        <xdr:cNvSpPr>
          <a:spLocks noChangeAspect="1" noChangeArrowheads="1"/>
        </xdr:cNvSpPr>
      </xdr:nvSpPr>
      <xdr:spPr bwMode="auto">
        <a:xfrm>
          <a:off x="46110525" y="178508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28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30C0000}"/>
            </a:ext>
          </a:extLst>
        </xdr:cNvPr>
        <xdr:cNvSpPr>
          <a:spLocks noChangeAspect="1" noChangeArrowheads="1"/>
        </xdr:cNvSpPr>
      </xdr:nvSpPr>
      <xdr:spPr bwMode="auto">
        <a:xfrm>
          <a:off x="46110525" y="178508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28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40C0000}"/>
            </a:ext>
          </a:extLst>
        </xdr:cNvPr>
        <xdr:cNvSpPr>
          <a:spLocks noChangeAspect="1" noChangeArrowheads="1"/>
        </xdr:cNvSpPr>
      </xdr:nvSpPr>
      <xdr:spPr bwMode="auto">
        <a:xfrm>
          <a:off x="46110525" y="178803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28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50C0000}"/>
            </a:ext>
          </a:extLst>
        </xdr:cNvPr>
        <xdr:cNvSpPr>
          <a:spLocks noChangeAspect="1" noChangeArrowheads="1"/>
        </xdr:cNvSpPr>
      </xdr:nvSpPr>
      <xdr:spPr bwMode="auto">
        <a:xfrm>
          <a:off x="46110525" y="178803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28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60C0000}"/>
            </a:ext>
          </a:extLst>
        </xdr:cNvPr>
        <xdr:cNvSpPr>
          <a:spLocks noChangeAspect="1" noChangeArrowheads="1"/>
        </xdr:cNvSpPr>
      </xdr:nvSpPr>
      <xdr:spPr bwMode="auto">
        <a:xfrm>
          <a:off x="46110525" y="179098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28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70C0000}"/>
            </a:ext>
          </a:extLst>
        </xdr:cNvPr>
        <xdr:cNvSpPr>
          <a:spLocks noChangeAspect="1" noChangeArrowheads="1"/>
        </xdr:cNvSpPr>
      </xdr:nvSpPr>
      <xdr:spPr bwMode="auto">
        <a:xfrm>
          <a:off x="46110525" y="179098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28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80C0000}"/>
            </a:ext>
          </a:extLst>
        </xdr:cNvPr>
        <xdr:cNvSpPr>
          <a:spLocks noChangeAspect="1" noChangeArrowheads="1"/>
        </xdr:cNvSpPr>
      </xdr:nvSpPr>
      <xdr:spPr bwMode="auto">
        <a:xfrm>
          <a:off x="46110525" y="179393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28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90C0000}"/>
            </a:ext>
          </a:extLst>
        </xdr:cNvPr>
        <xdr:cNvSpPr>
          <a:spLocks noChangeAspect="1" noChangeArrowheads="1"/>
        </xdr:cNvSpPr>
      </xdr:nvSpPr>
      <xdr:spPr bwMode="auto">
        <a:xfrm>
          <a:off x="46110525" y="179393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29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A0C0000}"/>
            </a:ext>
          </a:extLst>
        </xdr:cNvPr>
        <xdr:cNvSpPr>
          <a:spLocks noChangeAspect="1" noChangeArrowheads="1"/>
        </xdr:cNvSpPr>
      </xdr:nvSpPr>
      <xdr:spPr bwMode="auto">
        <a:xfrm>
          <a:off x="46110525" y="1796891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29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B0C0000}"/>
            </a:ext>
          </a:extLst>
        </xdr:cNvPr>
        <xdr:cNvSpPr>
          <a:spLocks noChangeAspect="1" noChangeArrowheads="1"/>
        </xdr:cNvSpPr>
      </xdr:nvSpPr>
      <xdr:spPr bwMode="auto">
        <a:xfrm>
          <a:off x="46110525" y="1796891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29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C0C0000}"/>
            </a:ext>
          </a:extLst>
        </xdr:cNvPr>
        <xdr:cNvSpPr>
          <a:spLocks noChangeAspect="1" noChangeArrowheads="1"/>
        </xdr:cNvSpPr>
      </xdr:nvSpPr>
      <xdr:spPr bwMode="auto">
        <a:xfrm>
          <a:off x="46110525" y="179984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29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D0C0000}"/>
            </a:ext>
          </a:extLst>
        </xdr:cNvPr>
        <xdr:cNvSpPr>
          <a:spLocks noChangeAspect="1" noChangeArrowheads="1"/>
        </xdr:cNvSpPr>
      </xdr:nvSpPr>
      <xdr:spPr bwMode="auto">
        <a:xfrm>
          <a:off x="46110525" y="179984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29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E0C0000}"/>
            </a:ext>
          </a:extLst>
        </xdr:cNvPr>
        <xdr:cNvSpPr>
          <a:spLocks noChangeAspect="1" noChangeArrowheads="1"/>
        </xdr:cNvSpPr>
      </xdr:nvSpPr>
      <xdr:spPr bwMode="auto">
        <a:xfrm>
          <a:off x="46110525" y="1802796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29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F0C0000}"/>
            </a:ext>
          </a:extLst>
        </xdr:cNvPr>
        <xdr:cNvSpPr>
          <a:spLocks noChangeAspect="1" noChangeArrowheads="1"/>
        </xdr:cNvSpPr>
      </xdr:nvSpPr>
      <xdr:spPr bwMode="auto">
        <a:xfrm>
          <a:off x="46110525" y="1802796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29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00C0000}"/>
            </a:ext>
          </a:extLst>
        </xdr:cNvPr>
        <xdr:cNvSpPr>
          <a:spLocks noChangeAspect="1" noChangeArrowheads="1"/>
        </xdr:cNvSpPr>
      </xdr:nvSpPr>
      <xdr:spPr bwMode="auto">
        <a:xfrm>
          <a:off x="46110525" y="180574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29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10C0000}"/>
            </a:ext>
          </a:extLst>
        </xdr:cNvPr>
        <xdr:cNvSpPr>
          <a:spLocks noChangeAspect="1" noChangeArrowheads="1"/>
        </xdr:cNvSpPr>
      </xdr:nvSpPr>
      <xdr:spPr bwMode="auto">
        <a:xfrm>
          <a:off x="46110525" y="180574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29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20C0000}"/>
            </a:ext>
          </a:extLst>
        </xdr:cNvPr>
        <xdr:cNvSpPr>
          <a:spLocks noChangeAspect="1" noChangeArrowheads="1"/>
        </xdr:cNvSpPr>
      </xdr:nvSpPr>
      <xdr:spPr bwMode="auto">
        <a:xfrm>
          <a:off x="46110525" y="180870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29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30C0000}"/>
            </a:ext>
          </a:extLst>
        </xdr:cNvPr>
        <xdr:cNvSpPr>
          <a:spLocks noChangeAspect="1" noChangeArrowheads="1"/>
        </xdr:cNvSpPr>
      </xdr:nvSpPr>
      <xdr:spPr bwMode="auto">
        <a:xfrm>
          <a:off x="46110525" y="180870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30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40C0000}"/>
            </a:ext>
          </a:extLst>
        </xdr:cNvPr>
        <xdr:cNvSpPr>
          <a:spLocks noChangeAspect="1" noChangeArrowheads="1"/>
        </xdr:cNvSpPr>
      </xdr:nvSpPr>
      <xdr:spPr bwMode="auto">
        <a:xfrm>
          <a:off x="46110525" y="180870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30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50C0000}"/>
            </a:ext>
          </a:extLst>
        </xdr:cNvPr>
        <xdr:cNvSpPr>
          <a:spLocks noChangeAspect="1" noChangeArrowheads="1"/>
        </xdr:cNvSpPr>
      </xdr:nvSpPr>
      <xdr:spPr bwMode="auto">
        <a:xfrm>
          <a:off x="46110525" y="180870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30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60C0000}"/>
            </a:ext>
          </a:extLst>
        </xdr:cNvPr>
        <xdr:cNvSpPr>
          <a:spLocks noChangeAspect="1" noChangeArrowheads="1"/>
        </xdr:cNvSpPr>
      </xdr:nvSpPr>
      <xdr:spPr bwMode="auto">
        <a:xfrm>
          <a:off x="46110525" y="181165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30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70C0000}"/>
            </a:ext>
          </a:extLst>
        </xdr:cNvPr>
        <xdr:cNvSpPr>
          <a:spLocks noChangeAspect="1" noChangeArrowheads="1"/>
        </xdr:cNvSpPr>
      </xdr:nvSpPr>
      <xdr:spPr bwMode="auto">
        <a:xfrm>
          <a:off x="46110525" y="181165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30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80C0000}"/>
            </a:ext>
          </a:extLst>
        </xdr:cNvPr>
        <xdr:cNvSpPr>
          <a:spLocks noChangeAspect="1" noChangeArrowheads="1"/>
        </xdr:cNvSpPr>
      </xdr:nvSpPr>
      <xdr:spPr bwMode="auto">
        <a:xfrm>
          <a:off x="46110525" y="1814607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30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90C0000}"/>
            </a:ext>
          </a:extLst>
        </xdr:cNvPr>
        <xdr:cNvSpPr>
          <a:spLocks noChangeAspect="1" noChangeArrowheads="1"/>
        </xdr:cNvSpPr>
      </xdr:nvSpPr>
      <xdr:spPr bwMode="auto">
        <a:xfrm>
          <a:off x="46110525" y="1814607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30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A0C0000}"/>
            </a:ext>
          </a:extLst>
        </xdr:cNvPr>
        <xdr:cNvSpPr>
          <a:spLocks noChangeAspect="1" noChangeArrowheads="1"/>
        </xdr:cNvSpPr>
      </xdr:nvSpPr>
      <xdr:spPr bwMode="auto">
        <a:xfrm>
          <a:off x="46110525" y="181756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30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B0C0000}"/>
            </a:ext>
          </a:extLst>
        </xdr:cNvPr>
        <xdr:cNvSpPr>
          <a:spLocks noChangeAspect="1" noChangeArrowheads="1"/>
        </xdr:cNvSpPr>
      </xdr:nvSpPr>
      <xdr:spPr bwMode="auto">
        <a:xfrm>
          <a:off x="46110525" y="181756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30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C0C0000}"/>
            </a:ext>
          </a:extLst>
        </xdr:cNvPr>
        <xdr:cNvSpPr>
          <a:spLocks noChangeAspect="1" noChangeArrowheads="1"/>
        </xdr:cNvSpPr>
      </xdr:nvSpPr>
      <xdr:spPr bwMode="auto">
        <a:xfrm>
          <a:off x="46110525" y="182051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30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D0C0000}"/>
            </a:ext>
          </a:extLst>
        </xdr:cNvPr>
        <xdr:cNvSpPr>
          <a:spLocks noChangeAspect="1" noChangeArrowheads="1"/>
        </xdr:cNvSpPr>
      </xdr:nvSpPr>
      <xdr:spPr bwMode="auto">
        <a:xfrm>
          <a:off x="46110525" y="182051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31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E0C0000}"/>
            </a:ext>
          </a:extLst>
        </xdr:cNvPr>
        <xdr:cNvSpPr>
          <a:spLocks noChangeAspect="1" noChangeArrowheads="1"/>
        </xdr:cNvSpPr>
      </xdr:nvSpPr>
      <xdr:spPr bwMode="auto">
        <a:xfrm>
          <a:off x="46110525" y="182346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31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F0C0000}"/>
            </a:ext>
          </a:extLst>
        </xdr:cNvPr>
        <xdr:cNvSpPr>
          <a:spLocks noChangeAspect="1" noChangeArrowheads="1"/>
        </xdr:cNvSpPr>
      </xdr:nvSpPr>
      <xdr:spPr bwMode="auto">
        <a:xfrm>
          <a:off x="46110525" y="182346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31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00C0000}"/>
            </a:ext>
          </a:extLst>
        </xdr:cNvPr>
        <xdr:cNvSpPr>
          <a:spLocks noChangeAspect="1" noChangeArrowheads="1"/>
        </xdr:cNvSpPr>
      </xdr:nvSpPr>
      <xdr:spPr bwMode="auto">
        <a:xfrm>
          <a:off x="46110525" y="182641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31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10C0000}"/>
            </a:ext>
          </a:extLst>
        </xdr:cNvPr>
        <xdr:cNvSpPr>
          <a:spLocks noChangeAspect="1" noChangeArrowheads="1"/>
        </xdr:cNvSpPr>
      </xdr:nvSpPr>
      <xdr:spPr bwMode="auto">
        <a:xfrm>
          <a:off x="46110525" y="182641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31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20C0000}"/>
            </a:ext>
          </a:extLst>
        </xdr:cNvPr>
        <xdr:cNvSpPr>
          <a:spLocks noChangeAspect="1" noChangeArrowheads="1"/>
        </xdr:cNvSpPr>
      </xdr:nvSpPr>
      <xdr:spPr bwMode="auto">
        <a:xfrm>
          <a:off x="46110525" y="182937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31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30C0000}"/>
            </a:ext>
          </a:extLst>
        </xdr:cNvPr>
        <xdr:cNvSpPr>
          <a:spLocks noChangeAspect="1" noChangeArrowheads="1"/>
        </xdr:cNvSpPr>
      </xdr:nvSpPr>
      <xdr:spPr bwMode="auto">
        <a:xfrm>
          <a:off x="46110525" y="182937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31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40C0000}"/>
            </a:ext>
          </a:extLst>
        </xdr:cNvPr>
        <xdr:cNvSpPr>
          <a:spLocks noChangeAspect="1" noChangeArrowheads="1"/>
        </xdr:cNvSpPr>
      </xdr:nvSpPr>
      <xdr:spPr bwMode="auto">
        <a:xfrm>
          <a:off x="46110525" y="1832324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31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50C0000}"/>
            </a:ext>
          </a:extLst>
        </xdr:cNvPr>
        <xdr:cNvSpPr>
          <a:spLocks noChangeAspect="1" noChangeArrowheads="1"/>
        </xdr:cNvSpPr>
      </xdr:nvSpPr>
      <xdr:spPr bwMode="auto">
        <a:xfrm>
          <a:off x="46110525" y="1832324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31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60C0000}"/>
            </a:ext>
          </a:extLst>
        </xdr:cNvPr>
        <xdr:cNvSpPr>
          <a:spLocks noChangeAspect="1" noChangeArrowheads="1"/>
        </xdr:cNvSpPr>
      </xdr:nvSpPr>
      <xdr:spPr bwMode="auto">
        <a:xfrm>
          <a:off x="46110525" y="1835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31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70C0000}"/>
            </a:ext>
          </a:extLst>
        </xdr:cNvPr>
        <xdr:cNvSpPr>
          <a:spLocks noChangeAspect="1" noChangeArrowheads="1"/>
        </xdr:cNvSpPr>
      </xdr:nvSpPr>
      <xdr:spPr bwMode="auto">
        <a:xfrm>
          <a:off x="46110525" y="1835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32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80C0000}"/>
            </a:ext>
          </a:extLst>
        </xdr:cNvPr>
        <xdr:cNvSpPr>
          <a:spLocks noChangeAspect="1" noChangeArrowheads="1"/>
        </xdr:cNvSpPr>
      </xdr:nvSpPr>
      <xdr:spPr bwMode="auto">
        <a:xfrm>
          <a:off x="46110525" y="1838229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32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90C0000}"/>
            </a:ext>
          </a:extLst>
        </xdr:cNvPr>
        <xdr:cNvSpPr>
          <a:spLocks noChangeAspect="1" noChangeArrowheads="1"/>
        </xdr:cNvSpPr>
      </xdr:nvSpPr>
      <xdr:spPr bwMode="auto">
        <a:xfrm>
          <a:off x="46110525" y="1838229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32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A0C0000}"/>
            </a:ext>
          </a:extLst>
        </xdr:cNvPr>
        <xdr:cNvSpPr>
          <a:spLocks noChangeAspect="1" noChangeArrowheads="1"/>
        </xdr:cNvSpPr>
      </xdr:nvSpPr>
      <xdr:spPr bwMode="auto">
        <a:xfrm>
          <a:off x="46110525" y="184118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32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B0C0000}"/>
            </a:ext>
          </a:extLst>
        </xdr:cNvPr>
        <xdr:cNvSpPr>
          <a:spLocks noChangeAspect="1" noChangeArrowheads="1"/>
        </xdr:cNvSpPr>
      </xdr:nvSpPr>
      <xdr:spPr bwMode="auto">
        <a:xfrm>
          <a:off x="46110525" y="184118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32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C0C0000}"/>
            </a:ext>
          </a:extLst>
        </xdr:cNvPr>
        <xdr:cNvSpPr>
          <a:spLocks noChangeAspect="1" noChangeArrowheads="1"/>
        </xdr:cNvSpPr>
      </xdr:nvSpPr>
      <xdr:spPr bwMode="auto">
        <a:xfrm>
          <a:off x="46110525" y="184413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32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D0C0000}"/>
            </a:ext>
          </a:extLst>
        </xdr:cNvPr>
        <xdr:cNvSpPr>
          <a:spLocks noChangeAspect="1" noChangeArrowheads="1"/>
        </xdr:cNvSpPr>
      </xdr:nvSpPr>
      <xdr:spPr bwMode="auto">
        <a:xfrm>
          <a:off x="46110525" y="184413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32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E0C0000}"/>
            </a:ext>
          </a:extLst>
        </xdr:cNvPr>
        <xdr:cNvSpPr>
          <a:spLocks noChangeAspect="1" noChangeArrowheads="1"/>
        </xdr:cNvSpPr>
      </xdr:nvSpPr>
      <xdr:spPr bwMode="auto">
        <a:xfrm>
          <a:off x="46110525" y="184708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32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F0C0000}"/>
            </a:ext>
          </a:extLst>
        </xdr:cNvPr>
        <xdr:cNvSpPr>
          <a:spLocks noChangeAspect="1" noChangeArrowheads="1"/>
        </xdr:cNvSpPr>
      </xdr:nvSpPr>
      <xdr:spPr bwMode="auto">
        <a:xfrm>
          <a:off x="46110525" y="184708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32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00D0000}"/>
            </a:ext>
          </a:extLst>
        </xdr:cNvPr>
        <xdr:cNvSpPr>
          <a:spLocks noChangeAspect="1" noChangeArrowheads="1"/>
        </xdr:cNvSpPr>
      </xdr:nvSpPr>
      <xdr:spPr bwMode="auto">
        <a:xfrm>
          <a:off x="46110525" y="185004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32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10D0000}"/>
            </a:ext>
          </a:extLst>
        </xdr:cNvPr>
        <xdr:cNvSpPr>
          <a:spLocks noChangeAspect="1" noChangeArrowheads="1"/>
        </xdr:cNvSpPr>
      </xdr:nvSpPr>
      <xdr:spPr bwMode="auto">
        <a:xfrm>
          <a:off x="46110525" y="185004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33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20D0000}"/>
            </a:ext>
          </a:extLst>
        </xdr:cNvPr>
        <xdr:cNvSpPr>
          <a:spLocks noChangeAspect="1" noChangeArrowheads="1"/>
        </xdr:cNvSpPr>
      </xdr:nvSpPr>
      <xdr:spPr bwMode="auto">
        <a:xfrm>
          <a:off x="46110525" y="185299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33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30D0000}"/>
            </a:ext>
          </a:extLst>
        </xdr:cNvPr>
        <xdr:cNvSpPr>
          <a:spLocks noChangeAspect="1" noChangeArrowheads="1"/>
        </xdr:cNvSpPr>
      </xdr:nvSpPr>
      <xdr:spPr bwMode="auto">
        <a:xfrm>
          <a:off x="46110525" y="185299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33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40D0000}"/>
            </a:ext>
          </a:extLst>
        </xdr:cNvPr>
        <xdr:cNvSpPr>
          <a:spLocks noChangeAspect="1" noChangeArrowheads="1"/>
        </xdr:cNvSpPr>
      </xdr:nvSpPr>
      <xdr:spPr bwMode="auto">
        <a:xfrm>
          <a:off x="46110525" y="185594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33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50D0000}"/>
            </a:ext>
          </a:extLst>
        </xdr:cNvPr>
        <xdr:cNvSpPr>
          <a:spLocks noChangeAspect="1" noChangeArrowheads="1"/>
        </xdr:cNvSpPr>
      </xdr:nvSpPr>
      <xdr:spPr bwMode="auto">
        <a:xfrm>
          <a:off x="46110525" y="185594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33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60D0000}"/>
            </a:ext>
          </a:extLst>
        </xdr:cNvPr>
        <xdr:cNvSpPr>
          <a:spLocks noChangeAspect="1" noChangeArrowheads="1"/>
        </xdr:cNvSpPr>
      </xdr:nvSpPr>
      <xdr:spPr bwMode="auto">
        <a:xfrm>
          <a:off x="46110525" y="185889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33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70D0000}"/>
            </a:ext>
          </a:extLst>
        </xdr:cNvPr>
        <xdr:cNvSpPr>
          <a:spLocks noChangeAspect="1" noChangeArrowheads="1"/>
        </xdr:cNvSpPr>
      </xdr:nvSpPr>
      <xdr:spPr bwMode="auto">
        <a:xfrm>
          <a:off x="46110525" y="185889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33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80D0000}"/>
            </a:ext>
          </a:extLst>
        </xdr:cNvPr>
        <xdr:cNvSpPr>
          <a:spLocks noChangeAspect="1" noChangeArrowheads="1"/>
        </xdr:cNvSpPr>
      </xdr:nvSpPr>
      <xdr:spPr bwMode="auto">
        <a:xfrm>
          <a:off x="46110525" y="1861851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33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90D0000}"/>
            </a:ext>
          </a:extLst>
        </xdr:cNvPr>
        <xdr:cNvSpPr>
          <a:spLocks noChangeAspect="1" noChangeArrowheads="1"/>
        </xdr:cNvSpPr>
      </xdr:nvSpPr>
      <xdr:spPr bwMode="auto">
        <a:xfrm>
          <a:off x="46110525" y="1861851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33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A0D0000}"/>
            </a:ext>
          </a:extLst>
        </xdr:cNvPr>
        <xdr:cNvSpPr>
          <a:spLocks noChangeAspect="1" noChangeArrowheads="1"/>
        </xdr:cNvSpPr>
      </xdr:nvSpPr>
      <xdr:spPr bwMode="auto">
        <a:xfrm>
          <a:off x="46110525" y="186480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33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B0D0000}"/>
            </a:ext>
          </a:extLst>
        </xdr:cNvPr>
        <xdr:cNvSpPr>
          <a:spLocks noChangeAspect="1" noChangeArrowheads="1"/>
        </xdr:cNvSpPr>
      </xdr:nvSpPr>
      <xdr:spPr bwMode="auto">
        <a:xfrm>
          <a:off x="46110525" y="186480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34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C0D0000}"/>
            </a:ext>
          </a:extLst>
        </xdr:cNvPr>
        <xdr:cNvSpPr>
          <a:spLocks noChangeAspect="1" noChangeArrowheads="1"/>
        </xdr:cNvSpPr>
      </xdr:nvSpPr>
      <xdr:spPr bwMode="auto">
        <a:xfrm>
          <a:off x="46110525" y="1867757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34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D0D0000}"/>
            </a:ext>
          </a:extLst>
        </xdr:cNvPr>
        <xdr:cNvSpPr>
          <a:spLocks noChangeAspect="1" noChangeArrowheads="1"/>
        </xdr:cNvSpPr>
      </xdr:nvSpPr>
      <xdr:spPr bwMode="auto">
        <a:xfrm>
          <a:off x="46110525" y="1867757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34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E0D0000}"/>
            </a:ext>
          </a:extLst>
        </xdr:cNvPr>
        <xdr:cNvSpPr>
          <a:spLocks noChangeAspect="1" noChangeArrowheads="1"/>
        </xdr:cNvSpPr>
      </xdr:nvSpPr>
      <xdr:spPr bwMode="auto">
        <a:xfrm>
          <a:off x="46110525" y="18707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34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F0D0000}"/>
            </a:ext>
          </a:extLst>
        </xdr:cNvPr>
        <xdr:cNvSpPr>
          <a:spLocks noChangeAspect="1" noChangeArrowheads="1"/>
        </xdr:cNvSpPr>
      </xdr:nvSpPr>
      <xdr:spPr bwMode="auto">
        <a:xfrm>
          <a:off x="46110525" y="18707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34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00D0000}"/>
            </a:ext>
          </a:extLst>
        </xdr:cNvPr>
        <xdr:cNvSpPr>
          <a:spLocks noChangeAspect="1" noChangeArrowheads="1"/>
        </xdr:cNvSpPr>
      </xdr:nvSpPr>
      <xdr:spPr bwMode="auto">
        <a:xfrm>
          <a:off x="46110525" y="1873662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34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10D0000}"/>
            </a:ext>
          </a:extLst>
        </xdr:cNvPr>
        <xdr:cNvSpPr>
          <a:spLocks noChangeAspect="1" noChangeArrowheads="1"/>
        </xdr:cNvSpPr>
      </xdr:nvSpPr>
      <xdr:spPr bwMode="auto">
        <a:xfrm>
          <a:off x="46110525" y="1873662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34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20D0000}"/>
            </a:ext>
          </a:extLst>
        </xdr:cNvPr>
        <xdr:cNvSpPr>
          <a:spLocks noChangeAspect="1" noChangeArrowheads="1"/>
        </xdr:cNvSpPr>
      </xdr:nvSpPr>
      <xdr:spPr bwMode="auto">
        <a:xfrm>
          <a:off x="46110525" y="187661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34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30D0000}"/>
            </a:ext>
          </a:extLst>
        </xdr:cNvPr>
        <xdr:cNvSpPr>
          <a:spLocks noChangeAspect="1" noChangeArrowheads="1"/>
        </xdr:cNvSpPr>
      </xdr:nvSpPr>
      <xdr:spPr bwMode="auto">
        <a:xfrm>
          <a:off x="46110525" y="187661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34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40D0000}"/>
            </a:ext>
          </a:extLst>
        </xdr:cNvPr>
        <xdr:cNvSpPr>
          <a:spLocks noChangeAspect="1" noChangeArrowheads="1"/>
        </xdr:cNvSpPr>
      </xdr:nvSpPr>
      <xdr:spPr bwMode="auto">
        <a:xfrm>
          <a:off x="46110525" y="187956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34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50D0000}"/>
            </a:ext>
          </a:extLst>
        </xdr:cNvPr>
        <xdr:cNvSpPr>
          <a:spLocks noChangeAspect="1" noChangeArrowheads="1"/>
        </xdr:cNvSpPr>
      </xdr:nvSpPr>
      <xdr:spPr bwMode="auto">
        <a:xfrm>
          <a:off x="46110525" y="187956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35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60D0000}"/>
            </a:ext>
          </a:extLst>
        </xdr:cNvPr>
        <xdr:cNvSpPr>
          <a:spLocks noChangeAspect="1" noChangeArrowheads="1"/>
        </xdr:cNvSpPr>
      </xdr:nvSpPr>
      <xdr:spPr bwMode="auto">
        <a:xfrm>
          <a:off x="46110525" y="188252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35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70D0000}"/>
            </a:ext>
          </a:extLst>
        </xdr:cNvPr>
        <xdr:cNvSpPr>
          <a:spLocks noChangeAspect="1" noChangeArrowheads="1"/>
        </xdr:cNvSpPr>
      </xdr:nvSpPr>
      <xdr:spPr bwMode="auto">
        <a:xfrm>
          <a:off x="46110525" y="188252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35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80D0000}"/>
            </a:ext>
          </a:extLst>
        </xdr:cNvPr>
        <xdr:cNvSpPr>
          <a:spLocks noChangeAspect="1" noChangeArrowheads="1"/>
        </xdr:cNvSpPr>
      </xdr:nvSpPr>
      <xdr:spPr bwMode="auto">
        <a:xfrm>
          <a:off x="46110525" y="188547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35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90D0000}"/>
            </a:ext>
          </a:extLst>
        </xdr:cNvPr>
        <xdr:cNvSpPr>
          <a:spLocks noChangeAspect="1" noChangeArrowheads="1"/>
        </xdr:cNvSpPr>
      </xdr:nvSpPr>
      <xdr:spPr bwMode="auto">
        <a:xfrm>
          <a:off x="46110525" y="188547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35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A0D0000}"/>
            </a:ext>
          </a:extLst>
        </xdr:cNvPr>
        <xdr:cNvSpPr>
          <a:spLocks noChangeAspect="1" noChangeArrowheads="1"/>
        </xdr:cNvSpPr>
      </xdr:nvSpPr>
      <xdr:spPr bwMode="auto">
        <a:xfrm>
          <a:off x="46110525" y="188842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35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B0D0000}"/>
            </a:ext>
          </a:extLst>
        </xdr:cNvPr>
        <xdr:cNvSpPr>
          <a:spLocks noChangeAspect="1" noChangeArrowheads="1"/>
        </xdr:cNvSpPr>
      </xdr:nvSpPr>
      <xdr:spPr bwMode="auto">
        <a:xfrm>
          <a:off x="46110525" y="188842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35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C0D0000}"/>
            </a:ext>
          </a:extLst>
        </xdr:cNvPr>
        <xdr:cNvSpPr>
          <a:spLocks noChangeAspect="1" noChangeArrowheads="1"/>
        </xdr:cNvSpPr>
      </xdr:nvSpPr>
      <xdr:spPr bwMode="auto">
        <a:xfrm>
          <a:off x="46110525" y="1891379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35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D0D0000}"/>
            </a:ext>
          </a:extLst>
        </xdr:cNvPr>
        <xdr:cNvSpPr>
          <a:spLocks noChangeAspect="1" noChangeArrowheads="1"/>
        </xdr:cNvSpPr>
      </xdr:nvSpPr>
      <xdr:spPr bwMode="auto">
        <a:xfrm>
          <a:off x="46110525" y="1891379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35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E0D0000}"/>
            </a:ext>
          </a:extLst>
        </xdr:cNvPr>
        <xdr:cNvSpPr>
          <a:spLocks noChangeAspect="1" noChangeArrowheads="1"/>
        </xdr:cNvSpPr>
      </xdr:nvSpPr>
      <xdr:spPr bwMode="auto">
        <a:xfrm>
          <a:off x="46110525" y="189433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35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F0D0000}"/>
            </a:ext>
          </a:extLst>
        </xdr:cNvPr>
        <xdr:cNvSpPr>
          <a:spLocks noChangeAspect="1" noChangeArrowheads="1"/>
        </xdr:cNvSpPr>
      </xdr:nvSpPr>
      <xdr:spPr bwMode="auto">
        <a:xfrm>
          <a:off x="46110525" y="189433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36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00D0000}"/>
            </a:ext>
          </a:extLst>
        </xdr:cNvPr>
        <xdr:cNvSpPr>
          <a:spLocks noChangeAspect="1" noChangeArrowheads="1"/>
        </xdr:cNvSpPr>
      </xdr:nvSpPr>
      <xdr:spPr bwMode="auto">
        <a:xfrm>
          <a:off x="46110525" y="1897284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36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10D0000}"/>
            </a:ext>
          </a:extLst>
        </xdr:cNvPr>
        <xdr:cNvSpPr>
          <a:spLocks noChangeAspect="1" noChangeArrowheads="1"/>
        </xdr:cNvSpPr>
      </xdr:nvSpPr>
      <xdr:spPr bwMode="auto">
        <a:xfrm>
          <a:off x="46110525" y="1897284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36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20D0000}"/>
            </a:ext>
          </a:extLst>
        </xdr:cNvPr>
        <xdr:cNvSpPr>
          <a:spLocks noChangeAspect="1" noChangeArrowheads="1"/>
        </xdr:cNvSpPr>
      </xdr:nvSpPr>
      <xdr:spPr bwMode="auto">
        <a:xfrm>
          <a:off x="46110525" y="190023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36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30D0000}"/>
            </a:ext>
          </a:extLst>
        </xdr:cNvPr>
        <xdr:cNvSpPr>
          <a:spLocks noChangeAspect="1" noChangeArrowheads="1"/>
        </xdr:cNvSpPr>
      </xdr:nvSpPr>
      <xdr:spPr bwMode="auto">
        <a:xfrm>
          <a:off x="46110525" y="190023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36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40D0000}"/>
            </a:ext>
          </a:extLst>
        </xdr:cNvPr>
        <xdr:cNvSpPr>
          <a:spLocks noChangeAspect="1" noChangeArrowheads="1"/>
        </xdr:cNvSpPr>
      </xdr:nvSpPr>
      <xdr:spPr bwMode="auto">
        <a:xfrm>
          <a:off x="46110525" y="190319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36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50D0000}"/>
            </a:ext>
          </a:extLst>
        </xdr:cNvPr>
        <xdr:cNvSpPr>
          <a:spLocks noChangeAspect="1" noChangeArrowheads="1"/>
        </xdr:cNvSpPr>
      </xdr:nvSpPr>
      <xdr:spPr bwMode="auto">
        <a:xfrm>
          <a:off x="46110525" y="190319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36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60D0000}"/>
            </a:ext>
          </a:extLst>
        </xdr:cNvPr>
        <xdr:cNvSpPr>
          <a:spLocks noChangeAspect="1" noChangeArrowheads="1"/>
        </xdr:cNvSpPr>
      </xdr:nvSpPr>
      <xdr:spPr bwMode="auto">
        <a:xfrm>
          <a:off x="46110525" y="190614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36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70D0000}"/>
            </a:ext>
          </a:extLst>
        </xdr:cNvPr>
        <xdr:cNvSpPr>
          <a:spLocks noChangeAspect="1" noChangeArrowheads="1"/>
        </xdr:cNvSpPr>
      </xdr:nvSpPr>
      <xdr:spPr bwMode="auto">
        <a:xfrm>
          <a:off x="46110525" y="190614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36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80D0000}"/>
            </a:ext>
          </a:extLst>
        </xdr:cNvPr>
        <xdr:cNvSpPr>
          <a:spLocks noChangeAspect="1" noChangeArrowheads="1"/>
        </xdr:cNvSpPr>
      </xdr:nvSpPr>
      <xdr:spPr bwMode="auto">
        <a:xfrm>
          <a:off x="46110525" y="190909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36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90D0000}"/>
            </a:ext>
          </a:extLst>
        </xdr:cNvPr>
        <xdr:cNvSpPr>
          <a:spLocks noChangeAspect="1" noChangeArrowheads="1"/>
        </xdr:cNvSpPr>
      </xdr:nvSpPr>
      <xdr:spPr bwMode="auto">
        <a:xfrm>
          <a:off x="46110525" y="190909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37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A0D0000}"/>
            </a:ext>
          </a:extLst>
        </xdr:cNvPr>
        <xdr:cNvSpPr>
          <a:spLocks noChangeAspect="1" noChangeArrowheads="1"/>
        </xdr:cNvSpPr>
      </xdr:nvSpPr>
      <xdr:spPr bwMode="auto">
        <a:xfrm>
          <a:off x="46110525" y="191204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37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B0D0000}"/>
            </a:ext>
          </a:extLst>
        </xdr:cNvPr>
        <xdr:cNvSpPr>
          <a:spLocks noChangeAspect="1" noChangeArrowheads="1"/>
        </xdr:cNvSpPr>
      </xdr:nvSpPr>
      <xdr:spPr bwMode="auto">
        <a:xfrm>
          <a:off x="46110525" y="191204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37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C0D0000}"/>
            </a:ext>
          </a:extLst>
        </xdr:cNvPr>
        <xdr:cNvSpPr>
          <a:spLocks noChangeAspect="1" noChangeArrowheads="1"/>
        </xdr:cNvSpPr>
      </xdr:nvSpPr>
      <xdr:spPr bwMode="auto">
        <a:xfrm>
          <a:off x="46110525" y="1915001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37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D0D0000}"/>
            </a:ext>
          </a:extLst>
        </xdr:cNvPr>
        <xdr:cNvSpPr>
          <a:spLocks noChangeAspect="1" noChangeArrowheads="1"/>
        </xdr:cNvSpPr>
      </xdr:nvSpPr>
      <xdr:spPr bwMode="auto">
        <a:xfrm>
          <a:off x="46110525" y="1915001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37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E0D0000}"/>
            </a:ext>
          </a:extLst>
        </xdr:cNvPr>
        <xdr:cNvSpPr>
          <a:spLocks noChangeAspect="1" noChangeArrowheads="1"/>
        </xdr:cNvSpPr>
      </xdr:nvSpPr>
      <xdr:spPr bwMode="auto">
        <a:xfrm>
          <a:off x="46110525" y="191795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37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F0D0000}"/>
            </a:ext>
          </a:extLst>
        </xdr:cNvPr>
        <xdr:cNvSpPr>
          <a:spLocks noChangeAspect="1" noChangeArrowheads="1"/>
        </xdr:cNvSpPr>
      </xdr:nvSpPr>
      <xdr:spPr bwMode="auto">
        <a:xfrm>
          <a:off x="46110525" y="191795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37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00D0000}"/>
            </a:ext>
          </a:extLst>
        </xdr:cNvPr>
        <xdr:cNvSpPr>
          <a:spLocks noChangeAspect="1" noChangeArrowheads="1"/>
        </xdr:cNvSpPr>
      </xdr:nvSpPr>
      <xdr:spPr bwMode="auto">
        <a:xfrm>
          <a:off x="46110525" y="1920906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37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10D0000}"/>
            </a:ext>
          </a:extLst>
        </xdr:cNvPr>
        <xdr:cNvSpPr>
          <a:spLocks noChangeAspect="1" noChangeArrowheads="1"/>
        </xdr:cNvSpPr>
      </xdr:nvSpPr>
      <xdr:spPr bwMode="auto">
        <a:xfrm>
          <a:off x="46110525" y="1920906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37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20D0000}"/>
            </a:ext>
          </a:extLst>
        </xdr:cNvPr>
        <xdr:cNvSpPr>
          <a:spLocks noChangeAspect="1" noChangeArrowheads="1"/>
        </xdr:cNvSpPr>
      </xdr:nvSpPr>
      <xdr:spPr bwMode="auto">
        <a:xfrm>
          <a:off x="46110525" y="192385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37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30D0000}"/>
            </a:ext>
          </a:extLst>
        </xdr:cNvPr>
        <xdr:cNvSpPr>
          <a:spLocks noChangeAspect="1" noChangeArrowheads="1"/>
        </xdr:cNvSpPr>
      </xdr:nvSpPr>
      <xdr:spPr bwMode="auto">
        <a:xfrm>
          <a:off x="46110525" y="192385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38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40D0000}"/>
            </a:ext>
          </a:extLst>
        </xdr:cNvPr>
        <xdr:cNvSpPr>
          <a:spLocks noChangeAspect="1" noChangeArrowheads="1"/>
        </xdr:cNvSpPr>
      </xdr:nvSpPr>
      <xdr:spPr bwMode="auto">
        <a:xfrm>
          <a:off x="46110525" y="192681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38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50D0000}"/>
            </a:ext>
          </a:extLst>
        </xdr:cNvPr>
        <xdr:cNvSpPr>
          <a:spLocks noChangeAspect="1" noChangeArrowheads="1"/>
        </xdr:cNvSpPr>
      </xdr:nvSpPr>
      <xdr:spPr bwMode="auto">
        <a:xfrm>
          <a:off x="46110525" y="192681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38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60D0000}"/>
            </a:ext>
          </a:extLst>
        </xdr:cNvPr>
        <xdr:cNvSpPr>
          <a:spLocks noChangeAspect="1" noChangeArrowheads="1"/>
        </xdr:cNvSpPr>
      </xdr:nvSpPr>
      <xdr:spPr bwMode="auto">
        <a:xfrm>
          <a:off x="46110525" y="19297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38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70D0000}"/>
            </a:ext>
          </a:extLst>
        </xdr:cNvPr>
        <xdr:cNvSpPr>
          <a:spLocks noChangeAspect="1" noChangeArrowheads="1"/>
        </xdr:cNvSpPr>
      </xdr:nvSpPr>
      <xdr:spPr bwMode="auto">
        <a:xfrm>
          <a:off x="46110525" y="19297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38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80D0000}"/>
            </a:ext>
          </a:extLst>
        </xdr:cNvPr>
        <xdr:cNvSpPr>
          <a:spLocks noChangeAspect="1" noChangeArrowheads="1"/>
        </xdr:cNvSpPr>
      </xdr:nvSpPr>
      <xdr:spPr bwMode="auto">
        <a:xfrm>
          <a:off x="46110525" y="1932717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38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90D0000}"/>
            </a:ext>
          </a:extLst>
        </xdr:cNvPr>
        <xdr:cNvSpPr>
          <a:spLocks noChangeAspect="1" noChangeArrowheads="1"/>
        </xdr:cNvSpPr>
      </xdr:nvSpPr>
      <xdr:spPr bwMode="auto">
        <a:xfrm>
          <a:off x="46110525" y="1932717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38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A0D0000}"/>
            </a:ext>
          </a:extLst>
        </xdr:cNvPr>
        <xdr:cNvSpPr>
          <a:spLocks noChangeAspect="1" noChangeArrowheads="1"/>
        </xdr:cNvSpPr>
      </xdr:nvSpPr>
      <xdr:spPr bwMode="auto">
        <a:xfrm>
          <a:off x="46110525" y="193567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38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B0D0000}"/>
            </a:ext>
          </a:extLst>
        </xdr:cNvPr>
        <xdr:cNvSpPr>
          <a:spLocks noChangeAspect="1" noChangeArrowheads="1"/>
        </xdr:cNvSpPr>
      </xdr:nvSpPr>
      <xdr:spPr bwMode="auto">
        <a:xfrm>
          <a:off x="46110525" y="193567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38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C0D0000}"/>
            </a:ext>
          </a:extLst>
        </xdr:cNvPr>
        <xdr:cNvSpPr>
          <a:spLocks noChangeAspect="1" noChangeArrowheads="1"/>
        </xdr:cNvSpPr>
      </xdr:nvSpPr>
      <xdr:spPr bwMode="auto">
        <a:xfrm>
          <a:off x="46110525" y="193862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38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D0D0000}"/>
            </a:ext>
          </a:extLst>
        </xdr:cNvPr>
        <xdr:cNvSpPr>
          <a:spLocks noChangeAspect="1" noChangeArrowheads="1"/>
        </xdr:cNvSpPr>
      </xdr:nvSpPr>
      <xdr:spPr bwMode="auto">
        <a:xfrm>
          <a:off x="46110525" y="193862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39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E0D0000}"/>
            </a:ext>
          </a:extLst>
        </xdr:cNvPr>
        <xdr:cNvSpPr>
          <a:spLocks noChangeAspect="1" noChangeArrowheads="1"/>
        </xdr:cNvSpPr>
      </xdr:nvSpPr>
      <xdr:spPr bwMode="auto">
        <a:xfrm>
          <a:off x="46110525" y="194157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39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F0D0000}"/>
            </a:ext>
          </a:extLst>
        </xdr:cNvPr>
        <xdr:cNvSpPr>
          <a:spLocks noChangeAspect="1" noChangeArrowheads="1"/>
        </xdr:cNvSpPr>
      </xdr:nvSpPr>
      <xdr:spPr bwMode="auto">
        <a:xfrm>
          <a:off x="46110525" y="194157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39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00D0000}"/>
            </a:ext>
          </a:extLst>
        </xdr:cNvPr>
        <xdr:cNvSpPr>
          <a:spLocks noChangeAspect="1" noChangeArrowheads="1"/>
        </xdr:cNvSpPr>
      </xdr:nvSpPr>
      <xdr:spPr bwMode="auto">
        <a:xfrm>
          <a:off x="46110525" y="194452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39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10D0000}"/>
            </a:ext>
          </a:extLst>
        </xdr:cNvPr>
        <xdr:cNvSpPr>
          <a:spLocks noChangeAspect="1" noChangeArrowheads="1"/>
        </xdr:cNvSpPr>
      </xdr:nvSpPr>
      <xdr:spPr bwMode="auto">
        <a:xfrm>
          <a:off x="46110525" y="194452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39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20D0000}"/>
            </a:ext>
          </a:extLst>
        </xdr:cNvPr>
        <xdr:cNvSpPr>
          <a:spLocks noChangeAspect="1" noChangeArrowheads="1"/>
        </xdr:cNvSpPr>
      </xdr:nvSpPr>
      <xdr:spPr bwMode="auto">
        <a:xfrm>
          <a:off x="46110525" y="194748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39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30D0000}"/>
            </a:ext>
          </a:extLst>
        </xdr:cNvPr>
        <xdr:cNvSpPr>
          <a:spLocks noChangeAspect="1" noChangeArrowheads="1"/>
        </xdr:cNvSpPr>
      </xdr:nvSpPr>
      <xdr:spPr bwMode="auto">
        <a:xfrm>
          <a:off x="46110525" y="194748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39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40D0000}"/>
            </a:ext>
          </a:extLst>
        </xdr:cNvPr>
        <xdr:cNvSpPr>
          <a:spLocks noChangeAspect="1" noChangeArrowheads="1"/>
        </xdr:cNvSpPr>
      </xdr:nvSpPr>
      <xdr:spPr bwMode="auto">
        <a:xfrm>
          <a:off x="46110525" y="1950434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39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50D0000}"/>
            </a:ext>
          </a:extLst>
        </xdr:cNvPr>
        <xdr:cNvSpPr>
          <a:spLocks noChangeAspect="1" noChangeArrowheads="1"/>
        </xdr:cNvSpPr>
      </xdr:nvSpPr>
      <xdr:spPr bwMode="auto">
        <a:xfrm>
          <a:off x="46110525" y="1950434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39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60D0000}"/>
            </a:ext>
          </a:extLst>
        </xdr:cNvPr>
        <xdr:cNvSpPr>
          <a:spLocks noChangeAspect="1" noChangeArrowheads="1"/>
        </xdr:cNvSpPr>
      </xdr:nvSpPr>
      <xdr:spPr bwMode="auto">
        <a:xfrm>
          <a:off x="46110525" y="19533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39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70D0000}"/>
            </a:ext>
          </a:extLst>
        </xdr:cNvPr>
        <xdr:cNvSpPr>
          <a:spLocks noChangeAspect="1" noChangeArrowheads="1"/>
        </xdr:cNvSpPr>
      </xdr:nvSpPr>
      <xdr:spPr bwMode="auto">
        <a:xfrm>
          <a:off x="46110525" y="19533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40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80D0000}"/>
            </a:ext>
          </a:extLst>
        </xdr:cNvPr>
        <xdr:cNvSpPr>
          <a:spLocks noChangeAspect="1" noChangeArrowheads="1"/>
        </xdr:cNvSpPr>
      </xdr:nvSpPr>
      <xdr:spPr bwMode="auto">
        <a:xfrm>
          <a:off x="46110525" y="1956339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40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90D0000}"/>
            </a:ext>
          </a:extLst>
        </xdr:cNvPr>
        <xdr:cNvSpPr>
          <a:spLocks noChangeAspect="1" noChangeArrowheads="1"/>
        </xdr:cNvSpPr>
      </xdr:nvSpPr>
      <xdr:spPr bwMode="auto">
        <a:xfrm>
          <a:off x="46110525" y="1956339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40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A0D0000}"/>
            </a:ext>
          </a:extLst>
        </xdr:cNvPr>
        <xdr:cNvSpPr>
          <a:spLocks noChangeAspect="1" noChangeArrowheads="1"/>
        </xdr:cNvSpPr>
      </xdr:nvSpPr>
      <xdr:spPr bwMode="auto">
        <a:xfrm>
          <a:off x="46110525" y="195929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40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B0D0000}"/>
            </a:ext>
          </a:extLst>
        </xdr:cNvPr>
        <xdr:cNvSpPr>
          <a:spLocks noChangeAspect="1" noChangeArrowheads="1"/>
        </xdr:cNvSpPr>
      </xdr:nvSpPr>
      <xdr:spPr bwMode="auto">
        <a:xfrm>
          <a:off x="46110525" y="195929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40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C0D0000}"/>
            </a:ext>
          </a:extLst>
        </xdr:cNvPr>
        <xdr:cNvSpPr>
          <a:spLocks noChangeAspect="1" noChangeArrowheads="1"/>
        </xdr:cNvSpPr>
      </xdr:nvSpPr>
      <xdr:spPr bwMode="auto">
        <a:xfrm>
          <a:off x="46110525" y="196224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40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D0D0000}"/>
            </a:ext>
          </a:extLst>
        </xdr:cNvPr>
        <xdr:cNvSpPr>
          <a:spLocks noChangeAspect="1" noChangeArrowheads="1"/>
        </xdr:cNvSpPr>
      </xdr:nvSpPr>
      <xdr:spPr bwMode="auto">
        <a:xfrm>
          <a:off x="46110525" y="196224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40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E0D0000}"/>
            </a:ext>
          </a:extLst>
        </xdr:cNvPr>
        <xdr:cNvSpPr>
          <a:spLocks noChangeAspect="1" noChangeArrowheads="1"/>
        </xdr:cNvSpPr>
      </xdr:nvSpPr>
      <xdr:spPr bwMode="auto">
        <a:xfrm>
          <a:off x="46110525" y="196519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40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F0D0000}"/>
            </a:ext>
          </a:extLst>
        </xdr:cNvPr>
        <xdr:cNvSpPr>
          <a:spLocks noChangeAspect="1" noChangeArrowheads="1"/>
        </xdr:cNvSpPr>
      </xdr:nvSpPr>
      <xdr:spPr bwMode="auto">
        <a:xfrm>
          <a:off x="46110525" y="196519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40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00D0000}"/>
            </a:ext>
          </a:extLst>
        </xdr:cNvPr>
        <xdr:cNvSpPr>
          <a:spLocks noChangeAspect="1" noChangeArrowheads="1"/>
        </xdr:cNvSpPr>
      </xdr:nvSpPr>
      <xdr:spPr bwMode="auto">
        <a:xfrm>
          <a:off x="46110525" y="196815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40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10D0000}"/>
            </a:ext>
          </a:extLst>
        </xdr:cNvPr>
        <xdr:cNvSpPr>
          <a:spLocks noChangeAspect="1" noChangeArrowheads="1"/>
        </xdr:cNvSpPr>
      </xdr:nvSpPr>
      <xdr:spPr bwMode="auto">
        <a:xfrm>
          <a:off x="46110525" y="196815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41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20D0000}"/>
            </a:ext>
          </a:extLst>
        </xdr:cNvPr>
        <xdr:cNvSpPr>
          <a:spLocks noChangeAspect="1" noChangeArrowheads="1"/>
        </xdr:cNvSpPr>
      </xdr:nvSpPr>
      <xdr:spPr bwMode="auto">
        <a:xfrm>
          <a:off x="46110525" y="197110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41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30D0000}"/>
            </a:ext>
          </a:extLst>
        </xdr:cNvPr>
        <xdr:cNvSpPr>
          <a:spLocks noChangeAspect="1" noChangeArrowheads="1"/>
        </xdr:cNvSpPr>
      </xdr:nvSpPr>
      <xdr:spPr bwMode="auto">
        <a:xfrm>
          <a:off x="46110525" y="197110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41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40D0000}"/>
            </a:ext>
          </a:extLst>
        </xdr:cNvPr>
        <xdr:cNvSpPr>
          <a:spLocks noChangeAspect="1" noChangeArrowheads="1"/>
        </xdr:cNvSpPr>
      </xdr:nvSpPr>
      <xdr:spPr bwMode="auto">
        <a:xfrm>
          <a:off x="46110525" y="197405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41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50D0000}"/>
            </a:ext>
          </a:extLst>
        </xdr:cNvPr>
        <xdr:cNvSpPr>
          <a:spLocks noChangeAspect="1" noChangeArrowheads="1"/>
        </xdr:cNvSpPr>
      </xdr:nvSpPr>
      <xdr:spPr bwMode="auto">
        <a:xfrm>
          <a:off x="46110525" y="197405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41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60D0000}"/>
            </a:ext>
          </a:extLst>
        </xdr:cNvPr>
        <xdr:cNvSpPr>
          <a:spLocks noChangeAspect="1" noChangeArrowheads="1"/>
        </xdr:cNvSpPr>
      </xdr:nvSpPr>
      <xdr:spPr bwMode="auto">
        <a:xfrm>
          <a:off x="46110525" y="197700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41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70D0000}"/>
            </a:ext>
          </a:extLst>
        </xdr:cNvPr>
        <xdr:cNvSpPr>
          <a:spLocks noChangeAspect="1" noChangeArrowheads="1"/>
        </xdr:cNvSpPr>
      </xdr:nvSpPr>
      <xdr:spPr bwMode="auto">
        <a:xfrm>
          <a:off x="46110525" y="197700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41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80D0000}"/>
            </a:ext>
          </a:extLst>
        </xdr:cNvPr>
        <xdr:cNvSpPr>
          <a:spLocks noChangeAspect="1" noChangeArrowheads="1"/>
        </xdr:cNvSpPr>
      </xdr:nvSpPr>
      <xdr:spPr bwMode="auto">
        <a:xfrm>
          <a:off x="46110525" y="1979961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41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90D0000}"/>
            </a:ext>
          </a:extLst>
        </xdr:cNvPr>
        <xdr:cNvSpPr>
          <a:spLocks noChangeAspect="1" noChangeArrowheads="1"/>
        </xdr:cNvSpPr>
      </xdr:nvSpPr>
      <xdr:spPr bwMode="auto">
        <a:xfrm>
          <a:off x="46110525" y="1979961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41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A0D0000}"/>
            </a:ext>
          </a:extLst>
        </xdr:cNvPr>
        <xdr:cNvSpPr>
          <a:spLocks noChangeAspect="1" noChangeArrowheads="1"/>
        </xdr:cNvSpPr>
      </xdr:nvSpPr>
      <xdr:spPr bwMode="auto">
        <a:xfrm>
          <a:off x="46110525" y="198291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41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B0D0000}"/>
            </a:ext>
          </a:extLst>
        </xdr:cNvPr>
        <xdr:cNvSpPr>
          <a:spLocks noChangeAspect="1" noChangeArrowheads="1"/>
        </xdr:cNvSpPr>
      </xdr:nvSpPr>
      <xdr:spPr bwMode="auto">
        <a:xfrm>
          <a:off x="46110525" y="198291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42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C0D0000}"/>
            </a:ext>
          </a:extLst>
        </xdr:cNvPr>
        <xdr:cNvSpPr>
          <a:spLocks noChangeAspect="1" noChangeArrowheads="1"/>
        </xdr:cNvSpPr>
      </xdr:nvSpPr>
      <xdr:spPr bwMode="auto">
        <a:xfrm>
          <a:off x="46110525" y="1985867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42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D0D0000}"/>
            </a:ext>
          </a:extLst>
        </xdr:cNvPr>
        <xdr:cNvSpPr>
          <a:spLocks noChangeAspect="1" noChangeArrowheads="1"/>
        </xdr:cNvSpPr>
      </xdr:nvSpPr>
      <xdr:spPr bwMode="auto">
        <a:xfrm>
          <a:off x="46110525" y="1985867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42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E0D0000}"/>
            </a:ext>
          </a:extLst>
        </xdr:cNvPr>
        <xdr:cNvSpPr>
          <a:spLocks noChangeAspect="1" noChangeArrowheads="1"/>
        </xdr:cNvSpPr>
      </xdr:nvSpPr>
      <xdr:spPr bwMode="auto">
        <a:xfrm>
          <a:off x="46110525" y="198882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42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F0D0000}"/>
            </a:ext>
          </a:extLst>
        </xdr:cNvPr>
        <xdr:cNvSpPr>
          <a:spLocks noChangeAspect="1" noChangeArrowheads="1"/>
        </xdr:cNvSpPr>
      </xdr:nvSpPr>
      <xdr:spPr bwMode="auto">
        <a:xfrm>
          <a:off x="46110525" y="198882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42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00D0000}"/>
            </a:ext>
          </a:extLst>
        </xdr:cNvPr>
        <xdr:cNvSpPr>
          <a:spLocks noChangeAspect="1" noChangeArrowheads="1"/>
        </xdr:cNvSpPr>
      </xdr:nvSpPr>
      <xdr:spPr bwMode="auto">
        <a:xfrm>
          <a:off x="46110525" y="1991772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42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10D0000}"/>
            </a:ext>
          </a:extLst>
        </xdr:cNvPr>
        <xdr:cNvSpPr>
          <a:spLocks noChangeAspect="1" noChangeArrowheads="1"/>
        </xdr:cNvSpPr>
      </xdr:nvSpPr>
      <xdr:spPr bwMode="auto">
        <a:xfrm>
          <a:off x="46110525" y="1991772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42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20D0000}"/>
            </a:ext>
          </a:extLst>
        </xdr:cNvPr>
        <xdr:cNvSpPr>
          <a:spLocks noChangeAspect="1" noChangeArrowheads="1"/>
        </xdr:cNvSpPr>
      </xdr:nvSpPr>
      <xdr:spPr bwMode="auto">
        <a:xfrm>
          <a:off x="46110525" y="199472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42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30D0000}"/>
            </a:ext>
          </a:extLst>
        </xdr:cNvPr>
        <xdr:cNvSpPr>
          <a:spLocks noChangeAspect="1" noChangeArrowheads="1"/>
        </xdr:cNvSpPr>
      </xdr:nvSpPr>
      <xdr:spPr bwMode="auto">
        <a:xfrm>
          <a:off x="46110525" y="199472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42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40D0000}"/>
            </a:ext>
          </a:extLst>
        </xdr:cNvPr>
        <xdr:cNvSpPr>
          <a:spLocks noChangeAspect="1" noChangeArrowheads="1"/>
        </xdr:cNvSpPr>
      </xdr:nvSpPr>
      <xdr:spPr bwMode="auto">
        <a:xfrm>
          <a:off x="46110525" y="199767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42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50D0000}"/>
            </a:ext>
          </a:extLst>
        </xdr:cNvPr>
        <xdr:cNvSpPr>
          <a:spLocks noChangeAspect="1" noChangeArrowheads="1"/>
        </xdr:cNvSpPr>
      </xdr:nvSpPr>
      <xdr:spPr bwMode="auto">
        <a:xfrm>
          <a:off x="46110525" y="199767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43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60D0000}"/>
            </a:ext>
          </a:extLst>
        </xdr:cNvPr>
        <xdr:cNvSpPr>
          <a:spLocks noChangeAspect="1" noChangeArrowheads="1"/>
        </xdr:cNvSpPr>
      </xdr:nvSpPr>
      <xdr:spPr bwMode="auto">
        <a:xfrm>
          <a:off x="46110525" y="200063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43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70D0000}"/>
            </a:ext>
          </a:extLst>
        </xdr:cNvPr>
        <xdr:cNvSpPr>
          <a:spLocks noChangeAspect="1" noChangeArrowheads="1"/>
        </xdr:cNvSpPr>
      </xdr:nvSpPr>
      <xdr:spPr bwMode="auto">
        <a:xfrm>
          <a:off x="46110525" y="200063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43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80D0000}"/>
            </a:ext>
          </a:extLst>
        </xdr:cNvPr>
        <xdr:cNvSpPr>
          <a:spLocks noChangeAspect="1" noChangeArrowheads="1"/>
        </xdr:cNvSpPr>
      </xdr:nvSpPr>
      <xdr:spPr bwMode="auto">
        <a:xfrm>
          <a:off x="46110525" y="200358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43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90D0000}"/>
            </a:ext>
          </a:extLst>
        </xdr:cNvPr>
        <xdr:cNvSpPr>
          <a:spLocks noChangeAspect="1" noChangeArrowheads="1"/>
        </xdr:cNvSpPr>
      </xdr:nvSpPr>
      <xdr:spPr bwMode="auto">
        <a:xfrm>
          <a:off x="46110525" y="200358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43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A0D0000}"/>
            </a:ext>
          </a:extLst>
        </xdr:cNvPr>
        <xdr:cNvSpPr>
          <a:spLocks noChangeAspect="1" noChangeArrowheads="1"/>
        </xdr:cNvSpPr>
      </xdr:nvSpPr>
      <xdr:spPr bwMode="auto">
        <a:xfrm>
          <a:off x="46110525" y="200653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43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B0D0000}"/>
            </a:ext>
          </a:extLst>
        </xdr:cNvPr>
        <xdr:cNvSpPr>
          <a:spLocks noChangeAspect="1" noChangeArrowheads="1"/>
        </xdr:cNvSpPr>
      </xdr:nvSpPr>
      <xdr:spPr bwMode="auto">
        <a:xfrm>
          <a:off x="46110525" y="200653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43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C0D0000}"/>
            </a:ext>
          </a:extLst>
        </xdr:cNvPr>
        <xdr:cNvSpPr>
          <a:spLocks noChangeAspect="1" noChangeArrowheads="1"/>
        </xdr:cNvSpPr>
      </xdr:nvSpPr>
      <xdr:spPr bwMode="auto">
        <a:xfrm>
          <a:off x="46110525" y="2009489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43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D0D0000}"/>
            </a:ext>
          </a:extLst>
        </xdr:cNvPr>
        <xdr:cNvSpPr>
          <a:spLocks noChangeAspect="1" noChangeArrowheads="1"/>
        </xdr:cNvSpPr>
      </xdr:nvSpPr>
      <xdr:spPr bwMode="auto">
        <a:xfrm>
          <a:off x="46110525" y="2009489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43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E0D0000}"/>
            </a:ext>
          </a:extLst>
        </xdr:cNvPr>
        <xdr:cNvSpPr>
          <a:spLocks noChangeAspect="1" noChangeArrowheads="1"/>
        </xdr:cNvSpPr>
      </xdr:nvSpPr>
      <xdr:spPr bwMode="auto">
        <a:xfrm>
          <a:off x="46110525" y="201244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43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F0D0000}"/>
            </a:ext>
          </a:extLst>
        </xdr:cNvPr>
        <xdr:cNvSpPr>
          <a:spLocks noChangeAspect="1" noChangeArrowheads="1"/>
        </xdr:cNvSpPr>
      </xdr:nvSpPr>
      <xdr:spPr bwMode="auto">
        <a:xfrm>
          <a:off x="46110525" y="201244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44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00D0000}"/>
            </a:ext>
          </a:extLst>
        </xdr:cNvPr>
        <xdr:cNvSpPr>
          <a:spLocks noChangeAspect="1" noChangeArrowheads="1"/>
        </xdr:cNvSpPr>
      </xdr:nvSpPr>
      <xdr:spPr bwMode="auto">
        <a:xfrm>
          <a:off x="46110525" y="2015394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44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10D0000}"/>
            </a:ext>
          </a:extLst>
        </xdr:cNvPr>
        <xdr:cNvSpPr>
          <a:spLocks noChangeAspect="1" noChangeArrowheads="1"/>
        </xdr:cNvSpPr>
      </xdr:nvSpPr>
      <xdr:spPr bwMode="auto">
        <a:xfrm>
          <a:off x="46110525" y="2015394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44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20D0000}"/>
            </a:ext>
          </a:extLst>
        </xdr:cNvPr>
        <xdr:cNvSpPr>
          <a:spLocks noChangeAspect="1" noChangeArrowheads="1"/>
        </xdr:cNvSpPr>
      </xdr:nvSpPr>
      <xdr:spPr bwMode="auto">
        <a:xfrm>
          <a:off x="46110525" y="201834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44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30D0000}"/>
            </a:ext>
          </a:extLst>
        </xdr:cNvPr>
        <xdr:cNvSpPr>
          <a:spLocks noChangeAspect="1" noChangeArrowheads="1"/>
        </xdr:cNvSpPr>
      </xdr:nvSpPr>
      <xdr:spPr bwMode="auto">
        <a:xfrm>
          <a:off x="46110525" y="201834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44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40D0000}"/>
            </a:ext>
          </a:extLst>
        </xdr:cNvPr>
        <xdr:cNvSpPr>
          <a:spLocks noChangeAspect="1" noChangeArrowheads="1"/>
        </xdr:cNvSpPr>
      </xdr:nvSpPr>
      <xdr:spPr bwMode="auto">
        <a:xfrm>
          <a:off x="46110525" y="202130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44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50D0000}"/>
            </a:ext>
          </a:extLst>
        </xdr:cNvPr>
        <xdr:cNvSpPr>
          <a:spLocks noChangeAspect="1" noChangeArrowheads="1"/>
        </xdr:cNvSpPr>
      </xdr:nvSpPr>
      <xdr:spPr bwMode="auto">
        <a:xfrm>
          <a:off x="46110525" y="202130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44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60D0000}"/>
            </a:ext>
          </a:extLst>
        </xdr:cNvPr>
        <xdr:cNvSpPr>
          <a:spLocks noChangeAspect="1" noChangeArrowheads="1"/>
        </xdr:cNvSpPr>
      </xdr:nvSpPr>
      <xdr:spPr bwMode="auto">
        <a:xfrm>
          <a:off x="46110525" y="202425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44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70D0000}"/>
            </a:ext>
          </a:extLst>
        </xdr:cNvPr>
        <xdr:cNvSpPr>
          <a:spLocks noChangeAspect="1" noChangeArrowheads="1"/>
        </xdr:cNvSpPr>
      </xdr:nvSpPr>
      <xdr:spPr bwMode="auto">
        <a:xfrm>
          <a:off x="46110525" y="202425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44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80D0000}"/>
            </a:ext>
          </a:extLst>
        </xdr:cNvPr>
        <xdr:cNvSpPr>
          <a:spLocks noChangeAspect="1" noChangeArrowheads="1"/>
        </xdr:cNvSpPr>
      </xdr:nvSpPr>
      <xdr:spPr bwMode="auto">
        <a:xfrm>
          <a:off x="46110525" y="202720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44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90D0000}"/>
            </a:ext>
          </a:extLst>
        </xdr:cNvPr>
        <xdr:cNvSpPr>
          <a:spLocks noChangeAspect="1" noChangeArrowheads="1"/>
        </xdr:cNvSpPr>
      </xdr:nvSpPr>
      <xdr:spPr bwMode="auto">
        <a:xfrm>
          <a:off x="46110525" y="202720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45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A0D0000}"/>
            </a:ext>
          </a:extLst>
        </xdr:cNvPr>
        <xdr:cNvSpPr>
          <a:spLocks noChangeAspect="1" noChangeArrowheads="1"/>
        </xdr:cNvSpPr>
      </xdr:nvSpPr>
      <xdr:spPr bwMode="auto">
        <a:xfrm>
          <a:off x="46110525" y="203015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45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B0D0000}"/>
            </a:ext>
          </a:extLst>
        </xdr:cNvPr>
        <xdr:cNvSpPr>
          <a:spLocks noChangeAspect="1" noChangeArrowheads="1"/>
        </xdr:cNvSpPr>
      </xdr:nvSpPr>
      <xdr:spPr bwMode="auto">
        <a:xfrm>
          <a:off x="46110525" y="203015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45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C0D0000}"/>
            </a:ext>
          </a:extLst>
        </xdr:cNvPr>
        <xdr:cNvSpPr>
          <a:spLocks noChangeAspect="1" noChangeArrowheads="1"/>
        </xdr:cNvSpPr>
      </xdr:nvSpPr>
      <xdr:spPr bwMode="auto">
        <a:xfrm>
          <a:off x="46110525" y="2033111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45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D0D0000}"/>
            </a:ext>
          </a:extLst>
        </xdr:cNvPr>
        <xdr:cNvSpPr>
          <a:spLocks noChangeAspect="1" noChangeArrowheads="1"/>
        </xdr:cNvSpPr>
      </xdr:nvSpPr>
      <xdr:spPr bwMode="auto">
        <a:xfrm>
          <a:off x="46110525" y="2033111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45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E0D0000}"/>
            </a:ext>
          </a:extLst>
        </xdr:cNvPr>
        <xdr:cNvSpPr>
          <a:spLocks noChangeAspect="1" noChangeArrowheads="1"/>
        </xdr:cNvSpPr>
      </xdr:nvSpPr>
      <xdr:spPr bwMode="auto">
        <a:xfrm>
          <a:off x="46110525" y="203606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45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F0D0000}"/>
            </a:ext>
          </a:extLst>
        </xdr:cNvPr>
        <xdr:cNvSpPr>
          <a:spLocks noChangeAspect="1" noChangeArrowheads="1"/>
        </xdr:cNvSpPr>
      </xdr:nvSpPr>
      <xdr:spPr bwMode="auto">
        <a:xfrm>
          <a:off x="46110525" y="203606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45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00D0000}"/>
            </a:ext>
          </a:extLst>
        </xdr:cNvPr>
        <xdr:cNvSpPr>
          <a:spLocks noChangeAspect="1" noChangeArrowheads="1"/>
        </xdr:cNvSpPr>
      </xdr:nvSpPr>
      <xdr:spPr bwMode="auto">
        <a:xfrm>
          <a:off x="46110525" y="2039016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45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10D0000}"/>
            </a:ext>
          </a:extLst>
        </xdr:cNvPr>
        <xdr:cNvSpPr>
          <a:spLocks noChangeAspect="1" noChangeArrowheads="1"/>
        </xdr:cNvSpPr>
      </xdr:nvSpPr>
      <xdr:spPr bwMode="auto">
        <a:xfrm>
          <a:off x="46110525" y="2039016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45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20D0000}"/>
            </a:ext>
          </a:extLst>
        </xdr:cNvPr>
        <xdr:cNvSpPr>
          <a:spLocks noChangeAspect="1" noChangeArrowheads="1"/>
        </xdr:cNvSpPr>
      </xdr:nvSpPr>
      <xdr:spPr bwMode="auto">
        <a:xfrm>
          <a:off x="46110525" y="204196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45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30D0000}"/>
            </a:ext>
          </a:extLst>
        </xdr:cNvPr>
        <xdr:cNvSpPr>
          <a:spLocks noChangeAspect="1" noChangeArrowheads="1"/>
        </xdr:cNvSpPr>
      </xdr:nvSpPr>
      <xdr:spPr bwMode="auto">
        <a:xfrm>
          <a:off x="46110525" y="204196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46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40D0000}"/>
            </a:ext>
          </a:extLst>
        </xdr:cNvPr>
        <xdr:cNvSpPr>
          <a:spLocks noChangeAspect="1" noChangeArrowheads="1"/>
        </xdr:cNvSpPr>
      </xdr:nvSpPr>
      <xdr:spPr bwMode="auto">
        <a:xfrm>
          <a:off x="46110525" y="204492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46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50D0000}"/>
            </a:ext>
          </a:extLst>
        </xdr:cNvPr>
        <xdr:cNvSpPr>
          <a:spLocks noChangeAspect="1" noChangeArrowheads="1"/>
        </xdr:cNvSpPr>
      </xdr:nvSpPr>
      <xdr:spPr bwMode="auto">
        <a:xfrm>
          <a:off x="46110525" y="204492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46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60D0000}"/>
            </a:ext>
          </a:extLst>
        </xdr:cNvPr>
        <xdr:cNvSpPr>
          <a:spLocks noChangeAspect="1" noChangeArrowheads="1"/>
        </xdr:cNvSpPr>
      </xdr:nvSpPr>
      <xdr:spPr bwMode="auto">
        <a:xfrm>
          <a:off x="46110525" y="20478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46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70D0000}"/>
            </a:ext>
          </a:extLst>
        </xdr:cNvPr>
        <xdr:cNvSpPr>
          <a:spLocks noChangeAspect="1" noChangeArrowheads="1"/>
        </xdr:cNvSpPr>
      </xdr:nvSpPr>
      <xdr:spPr bwMode="auto">
        <a:xfrm>
          <a:off x="46110525" y="20478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46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80D0000}"/>
            </a:ext>
          </a:extLst>
        </xdr:cNvPr>
        <xdr:cNvSpPr>
          <a:spLocks noChangeAspect="1" noChangeArrowheads="1"/>
        </xdr:cNvSpPr>
      </xdr:nvSpPr>
      <xdr:spPr bwMode="auto">
        <a:xfrm>
          <a:off x="46110525" y="2050827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46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90D0000}"/>
            </a:ext>
          </a:extLst>
        </xdr:cNvPr>
        <xdr:cNvSpPr>
          <a:spLocks noChangeAspect="1" noChangeArrowheads="1"/>
        </xdr:cNvSpPr>
      </xdr:nvSpPr>
      <xdr:spPr bwMode="auto">
        <a:xfrm>
          <a:off x="46110525" y="2050827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46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A0D0000}"/>
            </a:ext>
          </a:extLst>
        </xdr:cNvPr>
        <xdr:cNvSpPr>
          <a:spLocks noChangeAspect="1" noChangeArrowheads="1"/>
        </xdr:cNvSpPr>
      </xdr:nvSpPr>
      <xdr:spPr bwMode="auto">
        <a:xfrm>
          <a:off x="46110525" y="205378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46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B0D0000}"/>
            </a:ext>
          </a:extLst>
        </xdr:cNvPr>
        <xdr:cNvSpPr>
          <a:spLocks noChangeAspect="1" noChangeArrowheads="1"/>
        </xdr:cNvSpPr>
      </xdr:nvSpPr>
      <xdr:spPr bwMode="auto">
        <a:xfrm>
          <a:off x="46110525" y="205378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46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C0D0000}"/>
            </a:ext>
          </a:extLst>
        </xdr:cNvPr>
        <xdr:cNvSpPr>
          <a:spLocks noChangeAspect="1" noChangeArrowheads="1"/>
        </xdr:cNvSpPr>
      </xdr:nvSpPr>
      <xdr:spPr bwMode="auto">
        <a:xfrm>
          <a:off x="46110525" y="205673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46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D0D0000}"/>
            </a:ext>
          </a:extLst>
        </xdr:cNvPr>
        <xdr:cNvSpPr>
          <a:spLocks noChangeAspect="1" noChangeArrowheads="1"/>
        </xdr:cNvSpPr>
      </xdr:nvSpPr>
      <xdr:spPr bwMode="auto">
        <a:xfrm>
          <a:off x="46110525" y="205673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47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E0D0000}"/>
            </a:ext>
          </a:extLst>
        </xdr:cNvPr>
        <xdr:cNvSpPr>
          <a:spLocks noChangeAspect="1" noChangeArrowheads="1"/>
        </xdr:cNvSpPr>
      </xdr:nvSpPr>
      <xdr:spPr bwMode="auto">
        <a:xfrm>
          <a:off x="46110525" y="205968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47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F0D0000}"/>
            </a:ext>
          </a:extLst>
        </xdr:cNvPr>
        <xdr:cNvSpPr>
          <a:spLocks noChangeAspect="1" noChangeArrowheads="1"/>
        </xdr:cNvSpPr>
      </xdr:nvSpPr>
      <xdr:spPr bwMode="auto">
        <a:xfrm>
          <a:off x="46110525" y="205968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47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00D0000}"/>
            </a:ext>
          </a:extLst>
        </xdr:cNvPr>
        <xdr:cNvSpPr>
          <a:spLocks noChangeAspect="1" noChangeArrowheads="1"/>
        </xdr:cNvSpPr>
      </xdr:nvSpPr>
      <xdr:spPr bwMode="auto">
        <a:xfrm>
          <a:off x="46110525" y="206263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47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10D0000}"/>
            </a:ext>
          </a:extLst>
        </xdr:cNvPr>
        <xdr:cNvSpPr>
          <a:spLocks noChangeAspect="1" noChangeArrowheads="1"/>
        </xdr:cNvSpPr>
      </xdr:nvSpPr>
      <xdr:spPr bwMode="auto">
        <a:xfrm>
          <a:off x="46110525" y="206263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47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20D0000}"/>
            </a:ext>
          </a:extLst>
        </xdr:cNvPr>
        <xdr:cNvSpPr>
          <a:spLocks noChangeAspect="1" noChangeArrowheads="1"/>
        </xdr:cNvSpPr>
      </xdr:nvSpPr>
      <xdr:spPr bwMode="auto">
        <a:xfrm>
          <a:off x="46110525" y="206559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47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30D0000}"/>
            </a:ext>
          </a:extLst>
        </xdr:cNvPr>
        <xdr:cNvSpPr>
          <a:spLocks noChangeAspect="1" noChangeArrowheads="1"/>
        </xdr:cNvSpPr>
      </xdr:nvSpPr>
      <xdr:spPr bwMode="auto">
        <a:xfrm>
          <a:off x="46110525" y="206559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47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40D0000}"/>
            </a:ext>
          </a:extLst>
        </xdr:cNvPr>
        <xdr:cNvSpPr>
          <a:spLocks noChangeAspect="1" noChangeArrowheads="1"/>
        </xdr:cNvSpPr>
      </xdr:nvSpPr>
      <xdr:spPr bwMode="auto">
        <a:xfrm>
          <a:off x="46110525" y="2068544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47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50D0000}"/>
            </a:ext>
          </a:extLst>
        </xdr:cNvPr>
        <xdr:cNvSpPr>
          <a:spLocks noChangeAspect="1" noChangeArrowheads="1"/>
        </xdr:cNvSpPr>
      </xdr:nvSpPr>
      <xdr:spPr bwMode="auto">
        <a:xfrm>
          <a:off x="46110525" y="2068544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47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60D0000}"/>
            </a:ext>
          </a:extLst>
        </xdr:cNvPr>
        <xdr:cNvSpPr>
          <a:spLocks noChangeAspect="1" noChangeArrowheads="1"/>
        </xdr:cNvSpPr>
      </xdr:nvSpPr>
      <xdr:spPr bwMode="auto">
        <a:xfrm>
          <a:off x="46110525" y="20714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47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70D0000}"/>
            </a:ext>
          </a:extLst>
        </xdr:cNvPr>
        <xdr:cNvSpPr>
          <a:spLocks noChangeAspect="1" noChangeArrowheads="1"/>
        </xdr:cNvSpPr>
      </xdr:nvSpPr>
      <xdr:spPr bwMode="auto">
        <a:xfrm>
          <a:off x="46110525" y="20714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48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80D0000}"/>
            </a:ext>
          </a:extLst>
        </xdr:cNvPr>
        <xdr:cNvSpPr>
          <a:spLocks noChangeAspect="1" noChangeArrowheads="1"/>
        </xdr:cNvSpPr>
      </xdr:nvSpPr>
      <xdr:spPr bwMode="auto">
        <a:xfrm>
          <a:off x="46110525" y="2074449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48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90D0000}"/>
            </a:ext>
          </a:extLst>
        </xdr:cNvPr>
        <xdr:cNvSpPr>
          <a:spLocks noChangeAspect="1" noChangeArrowheads="1"/>
        </xdr:cNvSpPr>
      </xdr:nvSpPr>
      <xdr:spPr bwMode="auto">
        <a:xfrm>
          <a:off x="46110525" y="2074449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48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A0D0000}"/>
            </a:ext>
          </a:extLst>
        </xdr:cNvPr>
        <xdr:cNvSpPr>
          <a:spLocks noChangeAspect="1" noChangeArrowheads="1"/>
        </xdr:cNvSpPr>
      </xdr:nvSpPr>
      <xdr:spPr bwMode="auto">
        <a:xfrm>
          <a:off x="46110525" y="207740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48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B0D0000}"/>
            </a:ext>
          </a:extLst>
        </xdr:cNvPr>
        <xdr:cNvSpPr>
          <a:spLocks noChangeAspect="1" noChangeArrowheads="1"/>
        </xdr:cNvSpPr>
      </xdr:nvSpPr>
      <xdr:spPr bwMode="auto">
        <a:xfrm>
          <a:off x="46110525" y="207740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48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C0D0000}"/>
            </a:ext>
          </a:extLst>
        </xdr:cNvPr>
        <xdr:cNvSpPr>
          <a:spLocks noChangeAspect="1" noChangeArrowheads="1"/>
        </xdr:cNvSpPr>
      </xdr:nvSpPr>
      <xdr:spPr bwMode="auto">
        <a:xfrm>
          <a:off x="46110525" y="208035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48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D0D0000}"/>
            </a:ext>
          </a:extLst>
        </xdr:cNvPr>
        <xdr:cNvSpPr>
          <a:spLocks noChangeAspect="1" noChangeArrowheads="1"/>
        </xdr:cNvSpPr>
      </xdr:nvSpPr>
      <xdr:spPr bwMode="auto">
        <a:xfrm>
          <a:off x="46110525" y="208035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48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E0D0000}"/>
            </a:ext>
          </a:extLst>
        </xdr:cNvPr>
        <xdr:cNvSpPr>
          <a:spLocks noChangeAspect="1" noChangeArrowheads="1"/>
        </xdr:cNvSpPr>
      </xdr:nvSpPr>
      <xdr:spPr bwMode="auto">
        <a:xfrm>
          <a:off x="46110525" y="208330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48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F0D0000}"/>
            </a:ext>
          </a:extLst>
        </xdr:cNvPr>
        <xdr:cNvSpPr>
          <a:spLocks noChangeAspect="1" noChangeArrowheads="1"/>
        </xdr:cNvSpPr>
      </xdr:nvSpPr>
      <xdr:spPr bwMode="auto">
        <a:xfrm>
          <a:off x="46110525" y="208330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48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00D0000}"/>
            </a:ext>
          </a:extLst>
        </xdr:cNvPr>
        <xdr:cNvSpPr>
          <a:spLocks noChangeAspect="1" noChangeArrowheads="1"/>
        </xdr:cNvSpPr>
      </xdr:nvSpPr>
      <xdr:spPr bwMode="auto">
        <a:xfrm>
          <a:off x="46110525" y="208626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48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10D0000}"/>
            </a:ext>
          </a:extLst>
        </xdr:cNvPr>
        <xdr:cNvSpPr>
          <a:spLocks noChangeAspect="1" noChangeArrowheads="1"/>
        </xdr:cNvSpPr>
      </xdr:nvSpPr>
      <xdr:spPr bwMode="auto">
        <a:xfrm>
          <a:off x="46110525" y="208626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49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20D0000}"/>
            </a:ext>
          </a:extLst>
        </xdr:cNvPr>
        <xdr:cNvSpPr>
          <a:spLocks noChangeAspect="1" noChangeArrowheads="1"/>
        </xdr:cNvSpPr>
      </xdr:nvSpPr>
      <xdr:spPr bwMode="auto">
        <a:xfrm>
          <a:off x="46110525" y="208921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49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30D0000}"/>
            </a:ext>
          </a:extLst>
        </xdr:cNvPr>
        <xdr:cNvSpPr>
          <a:spLocks noChangeAspect="1" noChangeArrowheads="1"/>
        </xdr:cNvSpPr>
      </xdr:nvSpPr>
      <xdr:spPr bwMode="auto">
        <a:xfrm>
          <a:off x="46110525" y="208921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49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40D0000}"/>
            </a:ext>
          </a:extLst>
        </xdr:cNvPr>
        <xdr:cNvSpPr>
          <a:spLocks noChangeAspect="1" noChangeArrowheads="1"/>
        </xdr:cNvSpPr>
      </xdr:nvSpPr>
      <xdr:spPr bwMode="auto">
        <a:xfrm>
          <a:off x="46110525" y="209216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49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50D0000}"/>
            </a:ext>
          </a:extLst>
        </xdr:cNvPr>
        <xdr:cNvSpPr>
          <a:spLocks noChangeAspect="1" noChangeArrowheads="1"/>
        </xdr:cNvSpPr>
      </xdr:nvSpPr>
      <xdr:spPr bwMode="auto">
        <a:xfrm>
          <a:off x="46110525" y="209216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49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60D0000}"/>
            </a:ext>
          </a:extLst>
        </xdr:cNvPr>
        <xdr:cNvSpPr>
          <a:spLocks noChangeAspect="1" noChangeArrowheads="1"/>
        </xdr:cNvSpPr>
      </xdr:nvSpPr>
      <xdr:spPr bwMode="auto">
        <a:xfrm>
          <a:off x="46110525" y="209511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49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70D0000}"/>
            </a:ext>
          </a:extLst>
        </xdr:cNvPr>
        <xdr:cNvSpPr>
          <a:spLocks noChangeAspect="1" noChangeArrowheads="1"/>
        </xdr:cNvSpPr>
      </xdr:nvSpPr>
      <xdr:spPr bwMode="auto">
        <a:xfrm>
          <a:off x="46110525" y="209511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49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80D0000}"/>
            </a:ext>
          </a:extLst>
        </xdr:cNvPr>
        <xdr:cNvSpPr>
          <a:spLocks noChangeAspect="1" noChangeArrowheads="1"/>
        </xdr:cNvSpPr>
      </xdr:nvSpPr>
      <xdr:spPr bwMode="auto">
        <a:xfrm>
          <a:off x="46110525" y="2098071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49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90D0000}"/>
            </a:ext>
          </a:extLst>
        </xdr:cNvPr>
        <xdr:cNvSpPr>
          <a:spLocks noChangeAspect="1" noChangeArrowheads="1"/>
        </xdr:cNvSpPr>
      </xdr:nvSpPr>
      <xdr:spPr bwMode="auto">
        <a:xfrm>
          <a:off x="46110525" y="2098071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49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A0D0000}"/>
            </a:ext>
          </a:extLst>
        </xdr:cNvPr>
        <xdr:cNvSpPr>
          <a:spLocks noChangeAspect="1" noChangeArrowheads="1"/>
        </xdr:cNvSpPr>
      </xdr:nvSpPr>
      <xdr:spPr bwMode="auto">
        <a:xfrm>
          <a:off x="46110525" y="210102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49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B0D0000}"/>
            </a:ext>
          </a:extLst>
        </xdr:cNvPr>
        <xdr:cNvSpPr>
          <a:spLocks noChangeAspect="1" noChangeArrowheads="1"/>
        </xdr:cNvSpPr>
      </xdr:nvSpPr>
      <xdr:spPr bwMode="auto">
        <a:xfrm>
          <a:off x="46110525" y="210102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50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C0D0000}"/>
            </a:ext>
          </a:extLst>
        </xdr:cNvPr>
        <xdr:cNvSpPr>
          <a:spLocks noChangeAspect="1" noChangeArrowheads="1"/>
        </xdr:cNvSpPr>
      </xdr:nvSpPr>
      <xdr:spPr bwMode="auto">
        <a:xfrm>
          <a:off x="46110525" y="2103977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50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D0D0000}"/>
            </a:ext>
          </a:extLst>
        </xdr:cNvPr>
        <xdr:cNvSpPr>
          <a:spLocks noChangeAspect="1" noChangeArrowheads="1"/>
        </xdr:cNvSpPr>
      </xdr:nvSpPr>
      <xdr:spPr bwMode="auto">
        <a:xfrm>
          <a:off x="46110525" y="2103977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50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E0D0000}"/>
            </a:ext>
          </a:extLst>
        </xdr:cNvPr>
        <xdr:cNvSpPr>
          <a:spLocks noChangeAspect="1" noChangeArrowheads="1"/>
        </xdr:cNvSpPr>
      </xdr:nvSpPr>
      <xdr:spPr bwMode="auto">
        <a:xfrm>
          <a:off x="46110525" y="210693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50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F0D0000}"/>
            </a:ext>
          </a:extLst>
        </xdr:cNvPr>
        <xdr:cNvSpPr>
          <a:spLocks noChangeAspect="1" noChangeArrowheads="1"/>
        </xdr:cNvSpPr>
      </xdr:nvSpPr>
      <xdr:spPr bwMode="auto">
        <a:xfrm>
          <a:off x="46110525" y="210693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50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00D0000}"/>
            </a:ext>
          </a:extLst>
        </xdr:cNvPr>
        <xdr:cNvSpPr>
          <a:spLocks noChangeAspect="1" noChangeArrowheads="1"/>
        </xdr:cNvSpPr>
      </xdr:nvSpPr>
      <xdr:spPr bwMode="auto">
        <a:xfrm>
          <a:off x="46110525" y="2109882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50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10D0000}"/>
            </a:ext>
          </a:extLst>
        </xdr:cNvPr>
        <xdr:cNvSpPr>
          <a:spLocks noChangeAspect="1" noChangeArrowheads="1"/>
        </xdr:cNvSpPr>
      </xdr:nvSpPr>
      <xdr:spPr bwMode="auto">
        <a:xfrm>
          <a:off x="46110525" y="2109882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50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20D0000}"/>
            </a:ext>
          </a:extLst>
        </xdr:cNvPr>
        <xdr:cNvSpPr>
          <a:spLocks noChangeAspect="1" noChangeArrowheads="1"/>
        </xdr:cNvSpPr>
      </xdr:nvSpPr>
      <xdr:spPr bwMode="auto">
        <a:xfrm>
          <a:off x="46110525" y="211283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50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30D0000}"/>
            </a:ext>
          </a:extLst>
        </xdr:cNvPr>
        <xdr:cNvSpPr>
          <a:spLocks noChangeAspect="1" noChangeArrowheads="1"/>
        </xdr:cNvSpPr>
      </xdr:nvSpPr>
      <xdr:spPr bwMode="auto">
        <a:xfrm>
          <a:off x="46110525" y="211283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50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40D0000}"/>
            </a:ext>
          </a:extLst>
        </xdr:cNvPr>
        <xdr:cNvSpPr>
          <a:spLocks noChangeAspect="1" noChangeArrowheads="1"/>
        </xdr:cNvSpPr>
      </xdr:nvSpPr>
      <xdr:spPr bwMode="auto">
        <a:xfrm>
          <a:off x="46110525" y="211578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50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50D0000}"/>
            </a:ext>
          </a:extLst>
        </xdr:cNvPr>
        <xdr:cNvSpPr>
          <a:spLocks noChangeAspect="1" noChangeArrowheads="1"/>
        </xdr:cNvSpPr>
      </xdr:nvSpPr>
      <xdr:spPr bwMode="auto">
        <a:xfrm>
          <a:off x="46110525" y="211578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51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60D0000}"/>
            </a:ext>
          </a:extLst>
        </xdr:cNvPr>
        <xdr:cNvSpPr>
          <a:spLocks noChangeAspect="1" noChangeArrowheads="1"/>
        </xdr:cNvSpPr>
      </xdr:nvSpPr>
      <xdr:spPr bwMode="auto">
        <a:xfrm>
          <a:off x="46110525" y="211874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51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70D0000}"/>
            </a:ext>
          </a:extLst>
        </xdr:cNvPr>
        <xdr:cNvSpPr>
          <a:spLocks noChangeAspect="1" noChangeArrowheads="1"/>
        </xdr:cNvSpPr>
      </xdr:nvSpPr>
      <xdr:spPr bwMode="auto">
        <a:xfrm>
          <a:off x="46110525" y="211874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51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80D0000}"/>
            </a:ext>
          </a:extLst>
        </xdr:cNvPr>
        <xdr:cNvSpPr>
          <a:spLocks noChangeAspect="1" noChangeArrowheads="1"/>
        </xdr:cNvSpPr>
      </xdr:nvSpPr>
      <xdr:spPr bwMode="auto">
        <a:xfrm>
          <a:off x="46110525" y="212169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51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90D0000}"/>
            </a:ext>
          </a:extLst>
        </xdr:cNvPr>
        <xdr:cNvSpPr>
          <a:spLocks noChangeAspect="1" noChangeArrowheads="1"/>
        </xdr:cNvSpPr>
      </xdr:nvSpPr>
      <xdr:spPr bwMode="auto">
        <a:xfrm>
          <a:off x="46110525" y="212169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51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A0D0000}"/>
            </a:ext>
          </a:extLst>
        </xdr:cNvPr>
        <xdr:cNvSpPr>
          <a:spLocks noChangeAspect="1" noChangeArrowheads="1"/>
        </xdr:cNvSpPr>
      </xdr:nvSpPr>
      <xdr:spPr bwMode="auto">
        <a:xfrm>
          <a:off x="46110525" y="212464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51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B0D0000}"/>
            </a:ext>
          </a:extLst>
        </xdr:cNvPr>
        <xdr:cNvSpPr>
          <a:spLocks noChangeAspect="1" noChangeArrowheads="1"/>
        </xdr:cNvSpPr>
      </xdr:nvSpPr>
      <xdr:spPr bwMode="auto">
        <a:xfrm>
          <a:off x="46110525" y="212464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51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C0D0000}"/>
            </a:ext>
          </a:extLst>
        </xdr:cNvPr>
        <xdr:cNvSpPr>
          <a:spLocks noChangeAspect="1" noChangeArrowheads="1"/>
        </xdr:cNvSpPr>
      </xdr:nvSpPr>
      <xdr:spPr bwMode="auto">
        <a:xfrm>
          <a:off x="46110525" y="2127599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51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D0D0000}"/>
            </a:ext>
          </a:extLst>
        </xdr:cNvPr>
        <xdr:cNvSpPr>
          <a:spLocks noChangeAspect="1" noChangeArrowheads="1"/>
        </xdr:cNvSpPr>
      </xdr:nvSpPr>
      <xdr:spPr bwMode="auto">
        <a:xfrm>
          <a:off x="46110525" y="2127599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51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E0D0000}"/>
            </a:ext>
          </a:extLst>
        </xdr:cNvPr>
        <xdr:cNvSpPr>
          <a:spLocks noChangeAspect="1" noChangeArrowheads="1"/>
        </xdr:cNvSpPr>
      </xdr:nvSpPr>
      <xdr:spPr bwMode="auto">
        <a:xfrm>
          <a:off x="46110525" y="213055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51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F0D0000}"/>
            </a:ext>
          </a:extLst>
        </xdr:cNvPr>
        <xdr:cNvSpPr>
          <a:spLocks noChangeAspect="1" noChangeArrowheads="1"/>
        </xdr:cNvSpPr>
      </xdr:nvSpPr>
      <xdr:spPr bwMode="auto">
        <a:xfrm>
          <a:off x="46110525" y="213055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52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00D0000}"/>
            </a:ext>
          </a:extLst>
        </xdr:cNvPr>
        <xdr:cNvSpPr>
          <a:spLocks noChangeAspect="1" noChangeArrowheads="1"/>
        </xdr:cNvSpPr>
      </xdr:nvSpPr>
      <xdr:spPr bwMode="auto">
        <a:xfrm>
          <a:off x="46110525" y="2133504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52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10D0000}"/>
            </a:ext>
          </a:extLst>
        </xdr:cNvPr>
        <xdr:cNvSpPr>
          <a:spLocks noChangeAspect="1" noChangeArrowheads="1"/>
        </xdr:cNvSpPr>
      </xdr:nvSpPr>
      <xdr:spPr bwMode="auto">
        <a:xfrm>
          <a:off x="46110525" y="2133504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52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20D0000}"/>
            </a:ext>
          </a:extLst>
        </xdr:cNvPr>
        <xdr:cNvSpPr>
          <a:spLocks noChangeAspect="1" noChangeArrowheads="1"/>
        </xdr:cNvSpPr>
      </xdr:nvSpPr>
      <xdr:spPr bwMode="auto">
        <a:xfrm>
          <a:off x="46110525" y="213645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52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30D0000}"/>
            </a:ext>
          </a:extLst>
        </xdr:cNvPr>
        <xdr:cNvSpPr>
          <a:spLocks noChangeAspect="1" noChangeArrowheads="1"/>
        </xdr:cNvSpPr>
      </xdr:nvSpPr>
      <xdr:spPr bwMode="auto">
        <a:xfrm>
          <a:off x="46110525" y="213645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52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40D0000}"/>
            </a:ext>
          </a:extLst>
        </xdr:cNvPr>
        <xdr:cNvSpPr>
          <a:spLocks noChangeAspect="1" noChangeArrowheads="1"/>
        </xdr:cNvSpPr>
      </xdr:nvSpPr>
      <xdr:spPr bwMode="auto">
        <a:xfrm>
          <a:off x="46110525" y="213941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52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50D0000}"/>
            </a:ext>
          </a:extLst>
        </xdr:cNvPr>
        <xdr:cNvSpPr>
          <a:spLocks noChangeAspect="1" noChangeArrowheads="1"/>
        </xdr:cNvSpPr>
      </xdr:nvSpPr>
      <xdr:spPr bwMode="auto">
        <a:xfrm>
          <a:off x="46110525" y="213941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52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60D0000}"/>
            </a:ext>
          </a:extLst>
        </xdr:cNvPr>
        <xdr:cNvSpPr>
          <a:spLocks noChangeAspect="1" noChangeArrowheads="1"/>
        </xdr:cNvSpPr>
      </xdr:nvSpPr>
      <xdr:spPr bwMode="auto">
        <a:xfrm>
          <a:off x="46110525" y="214236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52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70D0000}"/>
            </a:ext>
          </a:extLst>
        </xdr:cNvPr>
        <xdr:cNvSpPr>
          <a:spLocks noChangeAspect="1" noChangeArrowheads="1"/>
        </xdr:cNvSpPr>
      </xdr:nvSpPr>
      <xdr:spPr bwMode="auto">
        <a:xfrm>
          <a:off x="46110525" y="214236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52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80D0000}"/>
            </a:ext>
          </a:extLst>
        </xdr:cNvPr>
        <xdr:cNvSpPr>
          <a:spLocks noChangeAspect="1" noChangeArrowheads="1"/>
        </xdr:cNvSpPr>
      </xdr:nvSpPr>
      <xdr:spPr bwMode="auto">
        <a:xfrm>
          <a:off x="46110525" y="214531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52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90D0000}"/>
            </a:ext>
          </a:extLst>
        </xdr:cNvPr>
        <xdr:cNvSpPr>
          <a:spLocks noChangeAspect="1" noChangeArrowheads="1"/>
        </xdr:cNvSpPr>
      </xdr:nvSpPr>
      <xdr:spPr bwMode="auto">
        <a:xfrm>
          <a:off x="46110525" y="214531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53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A0D0000}"/>
            </a:ext>
          </a:extLst>
        </xdr:cNvPr>
        <xdr:cNvSpPr>
          <a:spLocks noChangeAspect="1" noChangeArrowheads="1"/>
        </xdr:cNvSpPr>
      </xdr:nvSpPr>
      <xdr:spPr bwMode="auto">
        <a:xfrm>
          <a:off x="46110525" y="214826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53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B0D0000}"/>
            </a:ext>
          </a:extLst>
        </xdr:cNvPr>
        <xdr:cNvSpPr>
          <a:spLocks noChangeAspect="1" noChangeArrowheads="1"/>
        </xdr:cNvSpPr>
      </xdr:nvSpPr>
      <xdr:spPr bwMode="auto">
        <a:xfrm>
          <a:off x="46110525" y="214826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53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C0D0000}"/>
            </a:ext>
          </a:extLst>
        </xdr:cNvPr>
        <xdr:cNvSpPr>
          <a:spLocks noChangeAspect="1" noChangeArrowheads="1"/>
        </xdr:cNvSpPr>
      </xdr:nvSpPr>
      <xdr:spPr bwMode="auto">
        <a:xfrm>
          <a:off x="46110525" y="2151221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53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D0D0000}"/>
            </a:ext>
          </a:extLst>
        </xdr:cNvPr>
        <xdr:cNvSpPr>
          <a:spLocks noChangeAspect="1" noChangeArrowheads="1"/>
        </xdr:cNvSpPr>
      </xdr:nvSpPr>
      <xdr:spPr bwMode="auto">
        <a:xfrm>
          <a:off x="46110525" y="2151221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53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E0D0000}"/>
            </a:ext>
          </a:extLst>
        </xdr:cNvPr>
        <xdr:cNvSpPr>
          <a:spLocks noChangeAspect="1" noChangeArrowheads="1"/>
        </xdr:cNvSpPr>
      </xdr:nvSpPr>
      <xdr:spPr bwMode="auto">
        <a:xfrm>
          <a:off x="46110525" y="215417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53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F0D0000}"/>
            </a:ext>
          </a:extLst>
        </xdr:cNvPr>
        <xdr:cNvSpPr>
          <a:spLocks noChangeAspect="1" noChangeArrowheads="1"/>
        </xdr:cNvSpPr>
      </xdr:nvSpPr>
      <xdr:spPr bwMode="auto">
        <a:xfrm>
          <a:off x="46110525" y="215417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53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00D0000}"/>
            </a:ext>
          </a:extLst>
        </xdr:cNvPr>
        <xdr:cNvSpPr>
          <a:spLocks noChangeAspect="1" noChangeArrowheads="1"/>
        </xdr:cNvSpPr>
      </xdr:nvSpPr>
      <xdr:spPr bwMode="auto">
        <a:xfrm>
          <a:off x="46110525" y="2157126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53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10D0000}"/>
            </a:ext>
          </a:extLst>
        </xdr:cNvPr>
        <xdr:cNvSpPr>
          <a:spLocks noChangeAspect="1" noChangeArrowheads="1"/>
        </xdr:cNvSpPr>
      </xdr:nvSpPr>
      <xdr:spPr bwMode="auto">
        <a:xfrm>
          <a:off x="46110525" y="2157126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53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20D0000}"/>
            </a:ext>
          </a:extLst>
        </xdr:cNvPr>
        <xdr:cNvSpPr>
          <a:spLocks noChangeAspect="1" noChangeArrowheads="1"/>
        </xdr:cNvSpPr>
      </xdr:nvSpPr>
      <xdr:spPr bwMode="auto">
        <a:xfrm>
          <a:off x="46110525" y="216007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53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30D0000}"/>
            </a:ext>
          </a:extLst>
        </xdr:cNvPr>
        <xdr:cNvSpPr>
          <a:spLocks noChangeAspect="1" noChangeArrowheads="1"/>
        </xdr:cNvSpPr>
      </xdr:nvSpPr>
      <xdr:spPr bwMode="auto">
        <a:xfrm>
          <a:off x="46110525" y="216007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54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40D0000}"/>
            </a:ext>
          </a:extLst>
        </xdr:cNvPr>
        <xdr:cNvSpPr>
          <a:spLocks noChangeAspect="1" noChangeArrowheads="1"/>
        </xdr:cNvSpPr>
      </xdr:nvSpPr>
      <xdr:spPr bwMode="auto">
        <a:xfrm>
          <a:off x="46110525" y="216303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54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50D0000}"/>
            </a:ext>
          </a:extLst>
        </xdr:cNvPr>
        <xdr:cNvSpPr>
          <a:spLocks noChangeAspect="1" noChangeArrowheads="1"/>
        </xdr:cNvSpPr>
      </xdr:nvSpPr>
      <xdr:spPr bwMode="auto">
        <a:xfrm>
          <a:off x="46110525" y="216303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54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60D0000}"/>
            </a:ext>
          </a:extLst>
        </xdr:cNvPr>
        <xdr:cNvSpPr>
          <a:spLocks noChangeAspect="1" noChangeArrowheads="1"/>
        </xdr:cNvSpPr>
      </xdr:nvSpPr>
      <xdr:spPr bwMode="auto">
        <a:xfrm>
          <a:off x="46110525" y="21659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54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70D0000}"/>
            </a:ext>
          </a:extLst>
        </xdr:cNvPr>
        <xdr:cNvSpPr>
          <a:spLocks noChangeAspect="1" noChangeArrowheads="1"/>
        </xdr:cNvSpPr>
      </xdr:nvSpPr>
      <xdr:spPr bwMode="auto">
        <a:xfrm>
          <a:off x="46110525" y="21659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54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80D0000}"/>
            </a:ext>
          </a:extLst>
        </xdr:cNvPr>
        <xdr:cNvSpPr>
          <a:spLocks noChangeAspect="1" noChangeArrowheads="1"/>
        </xdr:cNvSpPr>
      </xdr:nvSpPr>
      <xdr:spPr bwMode="auto">
        <a:xfrm>
          <a:off x="46110525" y="2168937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54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90D0000}"/>
            </a:ext>
          </a:extLst>
        </xdr:cNvPr>
        <xdr:cNvSpPr>
          <a:spLocks noChangeAspect="1" noChangeArrowheads="1"/>
        </xdr:cNvSpPr>
      </xdr:nvSpPr>
      <xdr:spPr bwMode="auto">
        <a:xfrm>
          <a:off x="46110525" y="2168937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54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A0D0000}"/>
            </a:ext>
          </a:extLst>
        </xdr:cNvPr>
        <xdr:cNvSpPr>
          <a:spLocks noChangeAspect="1" noChangeArrowheads="1"/>
        </xdr:cNvSpPr>
      </xdr:nvSpPr>
      <xdr:spPr bwMode="auto">
        <a:xfrm>
          <a:off x="46110525" y="217189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54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B0D0000}"/>
            </a:ext>
          </a:extLst>
        </xdr:cNvPr>
        <xdr:cNvSpPr>
          <a:spLocks noChangeAspect="1" noChangeArrowheads="1"/>
        </xdr:cNvSpPr>
      </xdr:nvSpPr>
      <xdr:spPr bwMode="auto">
        <a:xfrm>
          <a:off x="46110525" y="217189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54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C0D0000}"/>
            </a:ext>
          </a:extLst>
        </xdr:cNvPr>
        <xdr:cNvSpPr>
          <a:spLocks noChangeAspect="1" noChangeArrowheads="1"/>
        </xdr:cNvSpPr>
      </xdr:nvSpPr>
      <xdr:spPr bwMode="auto">
        <a:xfrm>
          <a:off x="46110525" y="217484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54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D0D0000}"/>
            </a:ext>
          </a:extLst>
        </xdr:cNvPr>
        <xdr:cNvSpPr>
          <a:spLocks noChangeAspect="1" noChangeArrowheads="1"/>
        </xdr:cNvSpPr>
      </xdr:nvSpPr>
      <xdr:spPr bwMode="auto">
        <a:xfrm>
          <a:off x="46110525" y="217484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55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E0D0000}"/>
            </a:ext>
          </a:extLst>
        </xdr:cNvPr>
        <xdr:cNvSpPr>
          <a:spLocks noChangeAspect="1" noChangeArrowheads="1"/>
        </xdr:cNvSpPr>
      </xdr:nvSpPr>
      <xdr:spPr bwMode="auto">
        <a:xfrm>
          <a:off x="46110525" y="217779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55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F0D0000}"/>
            </a:ext>
          </a:extLst>
        </xdr:cNvPr>
        <xdr:cNvSpPr>
          <a:spLocks noChangeAspect="1" noChangeArrowheads="1"/>
        </xdr:cNvSpPr>
      </xdr:nvSpPr>
      <xdr:spPr bwMode="auto">
        <a:xfrm>
          <a:off x="46110525" y="217779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55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00D0000}"/>
            </a:ext>
          </a:extLst>
        </xdr:cNvPr>
        <xdr:cNvSpPr>
          <a:spLocks noChangeAspect="1" noChangeArrowheads="1"/>
        </xdr:cNvSpPr>
      </xdr:nvSpPr>
      <xdr:spPr bwMode="auto">
        <a:xfrm>
          <a:off x="46110525" y="218074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55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10D0000}"/>
            </a:ext>
          </a:extLst>
        </xdr:cNvPr>
        <xdr:cNvSpPr>
          <a:spLocks noChangeAspect="1" noChangeArrowheads="1"/>
        </xdr:cNvSpPr>
      </xdr:nvSpPr>
      <xdr:spPr bwMode="auto">
        <a:xfrm>
          <a:off x="46110525" y="218074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55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20D0000}"/>
            </a:ext>
          </a:extLst>
        </xdr:cNvPr>
        <xdr:cNvSpPr>
          <a:spLocks noChangeAspect="1" noChangeArrowheads="1"/>
        </xdr:cNvSpPr>
      </xdr:nvSpPr>
      <xdr:spPr bwMode="auto">
        <a:xfrm>
          <a:off x="46110525" y="218370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55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30D0000}"/>
            </a:ext>
          </a:extLst>
        </xdr:cNvPr>
        <xdr:cNvSpPr>
          <a:spLocks noChangeAspect="1" noChangeArrowheads="1"/>
        </xdr:cNvSpPr>
      </xdr:nvSpPr>
      <xdr:spPr bwMode="auto">
        <a:xfrm>
          <a:off x="46110525" y="218370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55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40D0000}"/>
            </a:ext>
          </a:extLst>
        </xdr:cNvPr>
        <xdr:cNvSpPr>
          <a:spLocks noChangeAspect="1" noChangeArrowheads="1"/>
        </xdr:cNvSpPr>
      </xdr:nvSpPr>
      <xdr:spPr bwMode="auto">
        <a:xfrm>
          <a:off x="46110525" y="2186654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55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50D0000}"/>
            </a:ext>
          </a:extLst>
        </xdr:cNvPr>
        <xdr:cNvSpPr>
          <a:spLocks noChangeAspect="1" noChangeArrowheads="1"/>
        </xdr:cNvSpPr>
      </xdr:nvSpPr>
      <xdr:spPr bwMode="auto">
        <a:xfrm>
          <a:off x="46110525" y="2186654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55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60D0000}"/>
            </a:ext>
          </a:extLst>
        </xdr:cNvPr>
        <xdr:cNvSpPr>
          <a:spLocks noChangeAspect="1" noChangeArrowheads="1"/>
        </xdr:cNvSpPr>
      </xdr:nvSpPr>
      <xdr:spPr bwMode="auto">
        <a:xfrm>
          <a:off x="46110525" y="218960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55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70D0000}"/>
            </a:ext>
          </a:extLst>
        </xdr:cNvPr>
        <xdr:cNvSpPr>
          <a:spLocks noChangeAspect="1" noChangeArrowheads="1"/>
        </xdr:cNvSpPr>
      </xdr:nvSpPr>
      <xdr:spPr bwMode="auto">
        <a:xfrm>
          <a:off x="46110525" y="218960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56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80D0000}"/>
            </a:ext>
          </a:extLst>
        </xdr:cNvPr>
        <xdr:cNvSpPr>
          <a:spLocks noChangeAspect="1" noChangeArrowheads="1"/>
        </xdr:cNvSpPr>
      </xdr:nvSpPr>
      <xdr:spPr bwMode="auto">
        <a:xfrm>
          <a:off x="46110525" y="2192559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56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90D0000}"/>
            </a:ext>
          </a:extLst>
        </xdr:cNvPr>
        <xdr:cNvSpPr>
          <a:spLocks noChangeAspect="1" noChangeArrowheads="1"/>
        </xdr:cNvSpPr>
      </xdr:nvSpPr>
      <xdr:spPr bwMode="auto">
        <a:xfrm>
          <a:off x="46110525" y="2192559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56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A0D0000}"/>
            </a:ext>
          </a:extLst>
        </xdr:cNvPr>
        <xdr:cNvSpPr>
          <a:spLocks noChangeAspect="1" noChangeArrowheads="1"/>
        </xdr:cNvSpPr>
      </xdr:nvSpPr>
      <xdr:spPr bwMode="auto">
        <a:xfrm>
          <a:off x="46110525" y="219551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56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B0D0000}"/>
            </a:ext>
          </a:extLst>
        </xdr:cNvPr>
        <xdr:cNvSpPr>
          <a:spLocks noChangeAspect="1" noChangeArrowheads="1"/>
        </xdr:cNvSpPr>
      </xdr:nvSpPr>
      <xdr:spPr bwMode="auto">
        <a:xfrm>
          <a:off x="46110525" y="219551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56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C0D0000}"/>
            </a:ext>
          </a:extLst>
        </xdr:cNvPr>
        <xdr:cNvSpPr>
          <a:spLocks noChangeAspect="1" noChangeArrowheads="1"/>
        </xdr:cNvSpPr>
      </xdr:nvSpPr>
      <xdr:spPr bwMode="auto">
        <a:xfrm>
          <a:off x="46110525" y="219846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56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D0D0000}"/>
            </a:ext>
          </a:extLst>
        </xdr:cNvPr>
        <xdr:cNvSpPr>
          <a:spLocks noChangeAspect="1" noChangeArrowheads="1"/>
        </xdr:cNvSpPr>
      </xdr:nvSpPr>
      <xdr:spPr bwMode="auto">
        <a:xfrm>
          <a:off x="46110525" y="219846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56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E0D0000}"/>
            </a:ext>
          </a:extLst>
        </xdr:cNvPr>
        <xdr:cNvSpPr>
          <a:spLocks noChangeAspect="1" noChangeArrowheads="1"/>
        </xdr:cNvSpPr>
      </xdr:nvSpPr>
      <xdr:spPr bwMode="auto">
        <a:xfrm>
          <a:off x="46110525" y="220141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56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F0D0000}"/>
            </a:ext>
          </a:extLst>
        </xdr:cNvPr>
        <xdr:cNvSpPr>
          <a:spLocks noChangeAspect="1" noChangeArrowheads="1"/>
        </xdr:cNvSpPr>
      </xdr:nvSpPr>
      <xdr:spPr bwMode="auto">
        <a:xfrm>
          <a:off x="46110525" y="220141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56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00D0000}"/>
            </a:ext>
          </a:extLst>
        </xdr:cNvPr>
        <xdr:cNvSpPr>
          <a:spLocks noChangeAspect="1" noChangeArrowheads="1"/>
        </xdr:cNvSpPr>
      </xdr:nvSpPr>
      <xdr:spPr bwMode="auto">
        <a:xfrm>
          <a:off x="46110525" y="220437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56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10D0000}"/>
            </a:ext>
          </a:extLst>
        </xdr:cNvPr>
        <xdr:cNvSpPr>
          <a:spLocks noChangeAspect="1" noChangeArrowheads="1"/>
        </xdr:cNvSpPr>
      </xdr:nvSpPr>
      <xdr:spPr bwMode="auto">
        <a:xfrm>
          <a:off x="46110525" y="220437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57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20D0000}"/>
            </a:ext>
          </a:extLst>
        </xdr:cNvPr>
        <xdr:cNvSpPr>
          <a:spLocks noChangeAspect="1" noChangeArrowheads="1"/>
        </xdr:cNvSpPr>
      </xdr:nvSpPr>
      <xdr:spPr bwMode="auto">
        <a:xfrm>
          <a:off x="46110525" y="220732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57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30D0000}"/>
            </a:ext>
          </a:extLst>
        </xdr:cNvPr>
        <xdr:cNvSpPr>
          <a:spLocks noChangeAspect="1" noChangeArrowheads="1"/>
        </xdr:cNvSpPr>
      </xdr:nvSpPr>
      <xdr:spPr bwMode="auto">
        <a:xfrm>
          <a:off x="46110525" y="220732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57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40D0000}"/>
            </a:ext>
          </a:extLst>
        </xdr:cNvPr>
        <xdr:cNvSpPr>
          <a:spLocks noChangeAspect="1" noChangeArrowheads="1"/>
        </xdr:cNvSpPr>
      </xdr:nvSpPr>
      <xdr:spPr bwMode="auto">
        <a:xfrm>
          <a:off x="46110525" y="221027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57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50D0000}"/>
            </a:ext>
          </a:extLst>
        </xdr:cNvPr>
        <xdr:cNvSpPr>
          <a:spLocks noChangeAspect="1" noChangeArrowheads="1"/>
        </xdr:cNvSpPr>
      </xdr:nvSpPr>
      <xdr:spPr bwMode="auto">
        <a:xfrm>
          <a:off x="46110525" y="221027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57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60D0000}"/>
            </a:ext>
          </a:extLst>
        </xdr:cNvPr>
        <xdr:cNvSpPr>
          <a:spLocks noChangeAspect="1" noChangeArrowheads="1"/>
        </xdr:cNvSpPr>
      </xdr:nvSpPr>
      <xdr:spPr bwMode="auto">
        <a:xfrm>
          <a:off x="46110525" y="221322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57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70D0000}"/>
            </a:ext>
          </a:extLst>
        </xdr:cNvPr>
        <xdr:cNvSpPr>
          <a:spLocks noChangeAspect="1" noChangeArrowheads="1"/>
        </xdr:cNvSpPr>
      </xdr:nvSpPr>
      <xdr:spPr bwMode="auto">
        <a:xfrm>
          <a:off x="46110525" y="221322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57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80D0000}"/>
            </a:ext>
          </a:extLst>
        </xdr:cNvPr>
        <xdr:cNvSpPr>
          <a:spLocks noChangeAspect="1" noChangeArrowheads="1"/>
        </xdr:cNvSpPr>
      </xdr:nvSpPr>
      <xdr:spPr bwMode="auto">
        <a:xfrm>
          <a:off x="46110525" y="2216181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57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90D0000}"/>
            </a:ext>
          </a:extLst>
        </xdr:cNvPr>
        <xdr:cNvSpPr>
          <a:spLocks noChangeAspect="1" noChangeArrowheads="1"/>
        </xdr:cNvSpPr>
      </xdr:nvSpPr>
      <xdr:spPr bwMode="auto">
        <a:xfrm>
          <a:off x="46110525" y="2216181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57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A0D0000}"/>
            </a:ext>
          </a:extLst>
        </xdr:cNvPr>
        <xdr:cNvSpPr>
          <a:spLocks noChangeAspect="1" noChangeArrowheads="1"/>
        </xdr:cNvSpPr>
      </xdr:nvSpPr>
      <xdr:spPr bwMode="auto">
        <a:xfrm>
          <a:off x="46110525" y="221913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57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B0D0000}"/>
            </a:ext>
          </a:extLst>
        </xdr:cNvPr>
        <xdr:cNvSpPr>
          <a:spLocks noChangeAspect="1" noChangeArrowheads="1"/>
        </xdr:cNvSpPr>
      </xdr:nvSpPr>
      <xdr:spPr bwMode="auto">
        <a:xfrm>
          <a:off x="46110525" y="221913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58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C0D0000}"/>
            </a:ext>
          </a:extLst>
        </xdr:cNvPr>
        <xdr:cNvSpPr>
          <a:spLocks noChangeAspect="1" noChangeArrowheads="1"/>
        </xdr:cNvSpPr>
      </xdr:nvSpPr>
      <xdr:spPr bwMode="auto">
        <a:xfrm>
          <a:off x="46110525" y="2222087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58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D0D0000}"/>
            </a:ext>
          </a:extLst>
        </xdr:cNvPr>
        <xdr:cNvSpPr>
          <a:spLocks noChangeAspect="1" noChangeArrowheads="1"/>
        </xdr:cNvSpPr>
      </xdr:nvSpPr>
      <xdr:spPr bwMode="auto">
        <a:xfrm>
          <a:off x="46110525" y="2222087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58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E0D0000}"/>
            </a:ext>
          </a:extLst>
        </xdr:cNvPr>
        <xdr:cNvSpPr>
          <a:spLocks noChangeAspect="1" noChangeArrowheads="1"/>
        </xdr:cNvSpPr>
      </xdr:nvSpPr>
      <xdr:spPr bwMode="auto">
        <a:xfrm>
          <a:off x="46110525" y="222504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58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F0D0000}"/>
            </a:ext>
          </a:extLst>
        </xdr:cNvPr>
        <xdr:cNvSpPr>
          <a:spLocks noChangeAspect="1" noChangeArrowheads="1"/>
        </xdr:cNvSpPr>
      </xdr:nvSpPr>
      <xdr:spPr bwMode="auto">
        <a:xfrm>
          <a:off x="46110525" y="222504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58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00E0000}"/>
            </a:ext>
          </a:extLst>
        </xdr:cNvPr>
        <xdr:cNvSpPr>
          <a:spLocks noChangeAspect="1" noChangeArrowheads="1"/>
        </xdr:cNvSpPr>
      </xdr:nvSpPr>
      <xdr:spPr bwMode="auto">
        <a:xfrm>
          <a:off x="46110525" y="2227992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58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10E0000}"/>
            </a:ext>
          </a:extLst>
        </xdr:cNvPr>
        <xdr:cNvSpPr>
          <a:spLocks noChangeAspect="1" noChangeArrowheads="1"/>
        </xdr:cNvSpPr>
      </xdr:nvSpPr>
      <xdr:spPr bwMode="auto">
        <a:xfrm>
          <a:off x="46110525" y="2227992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58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20E0000}"/>
            </a:ext>
          </a:extLst>
        </xdr:cNvPr>
        <xdr:cNvSpPr>
          <a:spLocks noChangeAspect="1" noChangeArrowheads="1"/>
        </xdr:cNvSpPr>
      </xdr:nvSpPr>
      <xdr:spPr bwMode="auto">
        <a:xfrm>
          <a:off x="46110525" y="223094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58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30E0000}"/>
            </a:ext>
          </a:extLst>
        </xdr:cNvPr>
        <xdr:cNvSpPr>
          <a:spLocks noChangeAspect="1" noChangeArrowheads="1"/>
        </xdr:cNvSpPr>
      </xdr:nvSpPr>
      <xdr:spPr bwMode="auto">
        <a:xfrm>
          <a:off x="46110525" y="223094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58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40E0000}"/>
            </a:ext>
          </a:extLst>
        </xdr:cNvPr>
        <xdr:cNvSpPr>
          <a:spLocks noChangeAspect="1" noChangeArrowheads="1"/>
        </xdr:cNvSpPr>
      </xdr:nvSpPr>
      <xdr:spPr bwMode="auto">
        <a:xfrm>
          <a:off x="46110525" y="223389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58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50E0000}"/>
            </a:ext>
          </a:extLst>
        </xdr:cNvPr>
        <xdr:cNvSpPr>
          <a:spLocks noChangeAspect="1" noChangeArrowheads="1"/>
        </xdr:cNvSpPr>
      </xdr:nvSpPr>
      <xdr:spPr bwMode="auto">
        <a:xfrm>
          <a:off x="46110525" y="223389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59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60E0000}"/>
            </a:ext>
          </a:extLst>
        </xdr:cNvPr>
        <xdr:cNvSpPr>
          <a:spLocks noChangeAspect="1" noChangeArrowheads="1"/>
        </xdr:cNvSpPr>
      </xdr:nvSpPr>
      <xdr:spPr bwMode="auto">
        <a:xfrm>
          <a:off x="46110525" y="223685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59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70E0000}"/>
            </a:ext>
          </a:extLst>
        </xdr:cNvPr>
        <xdr:cNvSpPr>
          <a:spLocks noChangeAspect="1" noChangeArrowheads="1"/>
        </xdr:cNvSpPr>
      </xdr:nvSpPr>
      <xdr:spPr bwMode="auto">
        <a:xfrm>
          <a:off x="46110525" y="223685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59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80E0000}"/>
            </a:ext>
          </a:extLst>
        </xdr:cNvPr>
        <xdr:cNvSpPr>
          <a:spLocks noChangeAspect="1" noChangeArrowheads="1"/>
        </xdr:cNvSpPr>
      </xdr:nvSpPr>
      <xdr:spPr bwMode="auto">
        <a:xfrm>
          <a:off x="46110525" y="223980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59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90E0000}"/>
            </a:ext>
          </a:extLst>
        </xdr:cNvPr>
        <xdr:cNvSpPr>
          <a:spLocks noChangeAspect="1" noChangeArrowheads="1"/>
        </xdr:cNvSpPr>
      </xdr:nvSpPr>
      <xdr:spPr bwMode="auto">
        <a:xfrm>
          <a:off x="46110525" y="223980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59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A0E0000}"/>
            </a:ext>
          </a:extLst>
        </xdr:cNvPr>
        <xdr:cNvSpPr>
          <a:spLocks noChangeAspect="1" noChangeArrowheads="1"/>
        </xdr:cNvSpPr>
      </xdr:nvSpPr>
      <xdr:spPr bwMode="auto">
        <a:xfrm>
          <a:off x="46110525" y="224275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59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B0E0000}"/>
            </a:ext>
          </a:extLst>
        </xdr:cNvPr>
        <xdr:cNvSpPr>
          <a:spLocks noChangeAspect="1" noChangeArrowheads="1"/>
        </xdr:cNvSpPr>
      </xdr:nvSpPr>
      <xdr:spPr bwMode="auto">
        <a:xfrm>
          <a:off x="46110525" y="224275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59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C0E0000}"/>
            </a:ext>
          </a:extLst>
        </xdr:cNvPr>
        <xdr:cNvSpPr>
          <a:spLocks noChangeAspect="1" noChangeArrowheads="1"/>
        </xdr:cNvSpPr>
      </xdr:nvSpPr>
      <xdr:spPr bwMode="auto">
        <a:xfrm>
          <a:off x="46110525" y="2245709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59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D0E0000}"/>
            </a:ext>
          </a:extLst>
        </xdr:cNvPr>
        <xdr:cNvSpPr>
          <a:spLocks noChangeAspect="1" noChangeArrowheads="1"/>
        </xdr:cNvSpPr>
      </xdr:nvSpPr>
      <xdr:spPr bwMode="auto">
        <a:xfrm>
          <a:off x="46110525" y="2245709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59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E0E0000}"/>
            </a:ext>
          </a:extLst>
        </xdr:cNvPr>
        <xdr:cNvSpPr>
          <a:spLocks noChangeAspect="1" noChangeArrowheads="1"/>
        </xdr:cNvSpPr>
      </xdr:nvSpPr>
      <xdr:spPr bwMode="auto">
        <a:xfrm>
          <a:off x="46110525" y="224866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59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F0E0000}"/>
            </a:ext>
          </a:extLst>
        </xdr:cNvPr>
        <xdr:cNvSpPr>
          <a:spLocks noChangeAspect="1" noChangeArrowheads="1"/>
        </xdr:cNvSpPr>
      </xdr:nvSpPr>
      <xdr:spPr bwMode="auto">
        <a:xfrm>
          <a:off x="46110525" y="224866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60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00E0000}"/>
            </a:ext>
          </a:extLst>
        </xdr:cNvPr>
        <xdr:cNvSpPr>
          <a:spLocks noChangeAspect="1" noChangeArrowheads="1"/>
        </xdr:cNvSpPr>
      </xdr:nvSpPr>
      <xdr:spPr bwMode="auto">
        <a:xfrm>
          <a:off x="46110525" y="2251614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60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10E0000}"/>
            </a:ext>
          </a:extLst>
        </xdr:cNvPr>
        <xdr:cNvSpPr>
          <a:spLocks noChangeAspect="1" noChangeArrowheads="1"/>
        </xdr:cNvSpPr>
      </xdr:nvSpPr>
      <xdr:spPr bwMode="auto">
        <a:xfrm>
          <a:off x="46110525" y="2251614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60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20E0000}"/>
            </a:ext>
          </a:extLst>
        </xdr:cNvPr>
        <xdr:cNvSpPr>
          <a:spLocks noChangeAspect="1" noChangeArrowheads="1"/>
        </xdr:cNvSpPr>
      </xdr:nvSpPr>
      <xdr:spPr bwMode="auto">
        <a:xfrm>
          <a:off x="46110525" y="225456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60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30E0000}"/>
            </a:ext>
          </a:extLst>
        </xdr:cNvPr>
        <xdr:cNvSpPr>
          <a:spLocks noChangeAspect="1" noChangeArrowheads="1"/>
        </xdr:cNvSpPr>
      </xdr:nvSpPr>
      <xdr:spPr bwMode="auto">
        <a:xfrm>
          <a:off x="46110525" y="225456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60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40E0000}"/>
            </a:ext>
          </a:extLst>
        </xdr:cNvPr>
        <xdr:cNvSpPr>
          <a:spLocks noChangeAspect="1" noChangeArrowheads="1"/>
        </xdr:cNvSpPr>
      </xdr:nvSpPr>
      <xdr:spPr bwMode="auto">
        <a:xfrm>
          <a:off x="46110525" y="225752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60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50E0000}"/>
            </a:ext>
          </a:extLst>
        </xdr:cNvPr>
        <xdr:cNvSpPr>
          <a:spLocks noChangeAspect="1" noChangeArrowheads="1"/>
        </xdr:cNvSpPr>
      </xdr:nvSpPr>
      <xdr:spPr bwMode="auto">
        <a:xfrm>
          <a:off x="46110525" y="225752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60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60E0000}"/>
            </a:ext>
          </a:extLst>
        </xdr:cNvPr>
        <xdr:cNvSpPr>
          <a:spLocks noChangeAspect="1" noChangeArrowheads="1"/>
        </xdr:cNvSpPr>
      </xdr:nvSpPr>
      <xdr:spPr bwMode="auto">
        <a:xfrm>
          <a:off x="46110525" y="226047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60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70E0000}"/>
            </a:ext>
          </a:extLst>
        </xdr:cNvPr>
        <xdr:cNvSpPr>
          <a:spLocks noChangeAspect="1" noChangeArrowheads="1"/>
        </xdr:cNvSpPr>
      </xdr:nvSpPr>
      <xdr:spPr bwMode="auto">
        <a:xfrm>
          <a:off x="46110525" y="226047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60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80E0000}"/>
            </a:ext>
          </a:extLst>
        </xdr:cNvPr>
        <xdr:cNvSpPr>
          <a:spLocks noChangeAspect="1" noChangeArrowheads="1"/>
        </xdr:cNvSpPr>
      </xdr:nvSpPr>
      <xdr:spPr bwMode="auto">
        <a:xfrm>
          <a:off x="46110525" y="226342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60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90E0000}"/>
            </a:ext>
          </a:extLst>
        </xdr:cNvPr>
        <xdr:cNvSpPr>
          <a:spLocks noChangeAspect="1" noChangeArrowheads="1"/>
        </xdr:cNvSpPr>
      </xdr:nvSpPr>
      <xdr:spPr bwMode="auto">
        <a:xfrm>
          <a:off x="46110525" y="226342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61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A0E0000}"/>
            </a:ext>
          </a:extLst>
        </xdr:cNvPr>
        <xdr:cNvSpPr>
          <a:spLocks noChangeAspect="1" noChangeArrowheads="1"/>
        </xdr:cNvSpPr>
      </xdr:nvSpPr>
      <xdr:spPr bwMode="auto">
        <a:xfrm>
          <a:off x="46110525" y="226637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61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B0E0000}"/>
            </a:ext>
          </a:extLst>
        </xdr:cNvPr>
        <xdr:cNvSpPr>
          <a:spLocks noChangeAspect="1" noChangeArrowheads="1"/>
        </xdr:cNvSpPr>
      </xdr:nvSpPr>
      <xdr:spPr bwMode="auto">
        <a:xfrm>
          <a:off x="46110525" y="226637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61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C0E0000}"/>
            </a:ext>
          </a:extLst>
        </xdr:cNvPr>
        <xdr:cNvSpPr>
          <a:spLocks noChangeAspect="1" noChangeArrowheads="1"/>
        </xdr:cNvSpPr>
      </xdr:nvSpPr>
      <xdr:spPr bwMode="auto">
        <a:xfrm>
          <a:off x="46110525" y="2269331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61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D0E0000}"/>
            </a:ext>
          </a:extLst>
        </xdr:cNvPr>
        <xdr:cNvSpPr>
          <a:spLocks noChangeAspect="1" noChangeArrowheads="1"/>
        </xdr:cNvSpPr>
      </xdr:nvSpPr>
      <xdr:spPr bwMode="auto">
        <a:xfrm>
          <a:off x="46110525" y="2269331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61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E0E0000}"/>
            </a:ext>
          </a:extLst>
        </xdr:cNvPr>
        <xdr:cNvSpPr>
          <a:spLocks noChangeAspect="1" noChangeArrowheads="1"/>
        </xdr:cNvSpPr>
      </xdr:nvSpPr>
      <xdr:spPr bwMode="auto">
        <a:xfrm>
          <a:off x="46110525" y="227228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61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F0E0000}"/>
            </a:ext>
          </a:extLst>
        </xdr:cNvPr>
        <xdr:cNvSpPr>
          <a:spLocks noChangeAspect="1" noChangeArrowheads="1"/>
        </xdr:cNvSpPr>
      </xdr:nvSpPr>
      <xdr:spPr bwMode="auto">
        <a:xfrm>
          <a:off x="46110525" y="227228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61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00E0000}"/>
            </a:ext>
          </a:extLst>
        </xdr:cNvPr>
        <xdr:cNvSpPr>
          <a:spLocks noChangeAspect="1" noChangeArrowheads="1"/>
        </xdr:cNvSpPr>
      </xdr:nvSpPr>
      <xdr:spPr bwMode="auto">
        <a:xfrm>
          <a:off x="46110525" y="2275236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61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10E0000}"/>
            </a:ext>
          </a:extLst>
        </xdr:cNvPr>
        <xdr:cNvSpPr>
          <a:spLocks noChangeAspect="1" noChangeArrowheads="1"/>
        </xdr:cNvSpPr>
      </xdr:nvSpPr>
      <xdr:spPr bwMode="auto">
        <a:xfrm>
          <a:off x="46110525" y="2275236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61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20E0000}"/>
            </a:ext>
          </a:extLst>
        </xdr:cNvPr>
        <xdr:cNvSpPr>
          <a:spLocks noChangeAspect="1" noChangeArrowheads="1"/>
        </xdr:cNvSpPr>
      </xdr:nvSpPr>
      <xdr:spPr bwMode="auto">
        <a:xfrm>
          <a:off x="46110525" y="227818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61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30E0000}"/>
            </a:ext>
          </a:extLst>
        </xdr:cNvPr>
        <xdr:cNvSpPr>
          <a:spLocks noChangeAspect="1" noChangeArrowheads="1"/>
        </xdr:cNvSpPr>
      </xdr:nvSpPr>
      <xdr:spPr bwMode="auto">
        <a:xfrm>
          <a:off x="46110525" y="227818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62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40E0000}"/>
            </a:ext>
          </a:extLst>
        </xdr:cNvPr>
        <xdr:cNvSpPr>
          <a:spLocks noChangeAspect="1" noChangeArrowheads="1"/>
        </xdr:cNvSpPr>
      </xdr:nvSpPr>
      <xdr:spPr bwMode="auto">
        <a:xfrm>
          <a:off x="46110525" y="228114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62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50E0000}"/>
            </a:ext>
          </a:extLst>
        </xdr:cNvPr>
        <xdr:cNvSpPr>
          <a:spLocks noChangeAspect="1" noChangeArrowheads="1"/>
        </xdr:cNvSpPr>
      </xdr:nvSpPr>
      <xdr:spPr bwMode="auto">
        <a:xfrm>
          <a:off x="46110525" y="228114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62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60E0000}"/>
            </a:ext>
          </a:extLst>
        </xdr:cNvPr>
        <xdr:cNvSpPr>
          <a:spLocks noChangeAspect="1" noChangeArrowheads="1"/>
        </xdr:cNvSpPr>
      </xdr:nvSpPr>
      <xdr:spPr bwMode="auto">
        <a:xfrm>
          <a:off x="46110525" y="22840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62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70E0000}"/>
            </a:ext>
          </a:extLst>
        </xdr:cNvPr>
        <xdr:cNvSpPr>
          <a:spLocks noChangeAspect="1" noChangeArrowheads="1"/>
        </xdr:cNvSpPr>
      </xdr:nvSpPr>
      <xdr:spPr bwMode="auto">
        <a:xfrm>
          <a:off x="46110525" y="22840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62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80E0000}"/>
            </a:ext>
          </a:extLst>
        </xdr:cNvPr>
        <xdr:cNvSpPr>
          <a:spLocks noChangeAspect="1" noChangeArrowheads="1"/>
        </xdr:cNvSpPr>
      </xdr:nvSpPr>
      <xdr:spPr bwMode="auto">
        <a:xfrm>
          <a:off x="46110525" y="2287047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62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90E0000}"/>
            </a:ext>
          </a:extLst>
        </xdr:cNvPr>
        <xdr:cNvSpPr>
          <a:spLocks noChangeAspect="1" noChangeArrowheads="1"/>
        </xdr:cNvSpPr>
      </xdr:nvSpPr>
      <xdr:spPr bwMode="auto">
        <a:xfrm>
          <a:off x="46110525" y="2287047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62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A0E0000}"/>
            </a:ext>
          </a:extLst>
        </xdr:cNvPr>
        <xdr:cNvSpPr>
          <a:spLocks noChangeAspect="1" noChangeArrowheads="1"/>
        </xdr:cNvSpPr>
      </xdr:nvSpPr>
      <xdr:spPr bwMode="auto">
        <a:xfrm>
          <a:off x="46110525" y="229000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62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B0E0000}"/>
            </a:ext>
          </a:extLst>
        </xdr:cNvPr>
        <xdr:cNvSpPr>
          <a:spLocks noChangeAspect="1" noChangeArrowheads="1"/>
        </xdr:cNvSpPr>
      </xdr:nvSpPr>
      <xdr:spPr bwMode="auto">
        <a:xfrm>
          <a:off x="46110525" y="229000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62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C0E0000}"/>
            </a:ext>
          </a:extLst>
        </xdr:cNvPr>
        <xdr:cNvSpPr>
          <a:spLocks noChangeAspect="1" noChangeArrowheads="1"/>
        </xdr:cNvSpPr>
      </xdr:nvSpPr>
      <xdr:spPr bwMode="auto">
        <a:xfrm>
          <a:off x="46110525" y="229295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62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D0E0000}"/>
            </a:ext>
          </a:extLst>
        </xdr:cNvPr>
        <xdr:cNvSpPr>
          <a:spLocks noChangeAspect="1" noChangeArrowheads="1"/>
        </xdr:cNvSpPr>
      </xdr:nvSpPr>
      <xdr:spPr bwMode="auto">
        <a:xfrm>
          <a:off x="46110525" y="229295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63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E0E0000}"/>
            </a:ext>
          </a:extLst>
        </xdr:cNvPr>
        <xdr:cNvSpPr>
          <a:spLocks noChangeAspect="1" noChangeArrowheads="1"/>
        </xdr:cNvSpPr>
      </xdr:nvSpPr>
      <xdr:spPr bwMode="auto">
        <a:xfrm>
          <a:off x="46110525" y="229590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63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F0E0000}"/>
            </a:ext>
          </a:extLst>
        </xdr:cNvPr>
        <xdr:cNvSpPr>
          <a:spLocks noChangeAspect="1" noChangeArrowheads="1"/>
        </xdr:cNvSpPr>
      </xdr:nvSpPr>
      <xdr:spPr bwMode="auto">
        <a:xfrm>
          <a:off x="46110525" y="229590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63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00E0000}"/>
            </a:ext>
          </a:extLst>
        </xdr:cNvPr>
        <xdr:cNvSpPr>
          <a:spLocks noChangeAspect="1" noChangeArrowheads="1"/>
        </xdr:cNvSpPr>
      </xdr:nvSpPr>
      <xdr:spPr bwMode="auto">
        <a:xfrm>
          <a:off x="46110525" y="229885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63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10E0000}"/>
            </a:ext>
          </a:extLst>
        </xdr:cNvPr>
        <xdr:cNvSpPr>
          <a:spLocks noChangeAspect="1" noChangeArrowheads="1"/>
        </xdr:cNvSpPr>
      </xdr:nvSpPr>
      <xdr:spPr bwMode="auto">
        <a:xfrm>
          <a:off x="46110525" y="229885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63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20E0000}"/>
            </a:ext>
          </a:extLst>
        </xdr:cNvPr>
        <xdr:cNvSpPr>
          <a:spLocks noChangeAspect="1" noChangeArrowheads="1"/>
        </xdr:cNvSpPr>
      </xdr:nvSpPr>
      <xdr:spPr bwMode="auto">
        <a:xfrm>
          <a:off x="46110525" y="230181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63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30E0000}"/>
            </a:ext>
          </a:extLst>
        </xdr:cNvPr>
        <xdr:cNvSpPr>
          <a:spLocks noChangeAspect="1" noChangeArrowheads="1"/>
        </xdr:cNvSpPr>
      </xdr:nvSpPr>
      <xdr:spPr bwMode="auto">
        <a:xfrm>
          <a:off x="46110525" y="230181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63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40E0000}"/>
            </a:ext>
          </a:extLst>
        </xdr:cNvPr>
        <xdr:cNvSpPr>
          <a:spLocks noChangeAspect="1" noChangeArrowheads="1"/>
        </xdr:cNvSpPr>
      </xdr:nvSpPr>
      <xdr:spPr bwMode="auto">
        <a:xfrm>
          <a:off x="46110525" y="2304764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63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50E0000}"/>
            </a:ext>
          </a:extLst>
        </xdr:cNvPr>
        <xdr:cNvSpPr>
          <a:spLocks noChangeAspect="1" noChangeArrowheads="1"/>
        </xdr:cNvSpPr>
      </xdr:nvSpPr>
      <xdr:spPr bwMode="auto">
        <a:xfrm>
          <a:off x="46110525" y="2304764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63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60E0000}"/>
            </a:ext>
          </a:extLst>
        </xdr:cNvPr>
        <xdr:cNvSpPr>
          <a:spLocks noChangeAspect="1" noChangeArrowheads="1"/>
        </xdr:cNvSpPr>
      </xdr:nvSpPr>
      <xdr:spPr bwMode="auto">
        <a:xfrm>
          <a:off x="46110525" y="230771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63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70E0000}"/>
            </a:ext>
          </a:extLst>
        </xdr:cNvPr>
        <xdr:cNvSpPr>
          <a:spLocks noChangeAspect="1" noChangeArrowheads="1"/>
        </xdr:cNvSpPr>
      </xdr:nvSpPr>
      <xdr:spPr bwMode="auto">
        <a:xfrm>
          <a:off x="46110525" y="230771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64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80E0000}"/>
            </a:ext>
          </a:extLst>
        </xdr:cNvPr>
        <xdr:cNvSpPr>
          <a:spLocks noChangeAspect="1" noChangeArrowheads="1"/>
        </xdr:cNvSpPr>
      </xdr:nvSpPr>
      <xdr:spPr bwMode="auto">
        <a:xfrm>
          <a:off x="46110525" y="2310669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64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90E0000}"/>
            </a:ext>
          </a:extLst>
        </xdr:cNvPr>
        <xdr:cNvSpPr>
          <a:spLocks noChangeAspect="1" noChangeArrowheads="1"/>
        </xdr:cNvSpPr>
      </xdr:nvSpPr>
      <xdr:spPr bwMode="auto">
        <a:xfrm>
          <a:off x="46110525" y="2310669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64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A0E0000}"/>
            </a:ext>
          </a:extLst>
        </xdr:cNvPr>
        <xdr:cNvSpPr>
          <a:spLocks noChangeAspect="1" noChangeArrowheads="1"/>
        </xdr:cNvSpPr>
      </xdr:nvSpPr>
      <xdr:spPr bwMode="auto">
        <a:xfrm>
          <a:off x="46110525" y="231362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64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B0E0000}"/>
            </a:ext>
          </a:extLst>
        </xdr:cNvPr>
        <xdr:cNvSpPr>
          <a:spLocks noChangeAspect="1" noChangeArrowheads="1"/>
        </xdr:cNvSpPr>
      </xdr:nvSpPr>
      <xdr:spPr bwMode="auto">
        <a:xfrm>
          <a:off x="46110525" y="231362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64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C0E0000}"/>
            </a:ext>
          </a:extLst>
        </xdr:cNvPr>
        <xdr:cNvSpPr>
          <a:spLocks noChangeAspect="1" noChangeArrowheads="1"/>
        </xdr:cNvSpPr>
      </xdr:nvSpPr>
      <xdr:spPr bwMode="auto">
        <a:xfrm>
          <a:off x="46110525" y="231657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64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D0E0000}"/>
            </a:ext>
          </a:extLst>
        </xdr:cNvPr>
        <xdr:cNvSpPr>
          <a:spLocks noChangeAspect="1" noChangeArrowheads="1"/>
        </xdr:cNvSpPr>
      </xdr:nvSpPr>
      <xdr:spPr bwMode="auto">
        <a:xfrm>
          <a:off x="46110525" y="231657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64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E0E0000}"/>
            </a:ext>
          </a:extLst>
        </xdr:cNvPr>
        <xdr:cNvSpPr>
          <a:spLocks noChangeAspect="1" noChangeArrowheads="1"/>
        </xdr:cNvSpPr>
      </xdr:nvSpPr>
      <xdr:spPr bwMode="auto">
        <a:xfrm>
          <a:off x="46110525" y="231952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64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F0E0000}"/>
            </a:ext>
          </a:extLst>
        </xdr:cNvPr>
        <xdr:cNvSpPr>
          <a:spLocks noChangeAspect="1" noChangeArrowheads="1"/>
        </xdr:cNvSpPr>
      </xdr:nvSpPr>
      <xdr:spPr bwMode="auto">
        <a:xfrm>
          <a:off x="46110525" y="231952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64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00E0000}"/>
            </a:ext>
          </a:extLst>
        </xdr:cNvPr>
        <xdr:cNvSpPr>
          <a:spLocks noChangeAspect="1" noChangeArrowheads="1"/>
        </xdr:cNvSpPr>
      </xdr:nvSpPr>
      <xdr:spPr bwMode="auto">
        <a:xfrm>
          <a:off x="46110525" y="232248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64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10E0000}"/>
            </a:ext>
          </a:extLst>
        </xdr:cNvPr>
        <xdr:cNvSpPr>
          <a:spLocks noChangeAspect="1" noChangeArrowheads="1"/>
        </xdr:cNvSpPr>
      </xdr:nvSpPr>
      <xdr:spPr bwMode="auto">
        <a:xfrm>
          <a:off x="46110525" y="232248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65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20E0000}"/>
            </a:ext>
          </a:extLst>
        </xdr:cNvPr>
        <xdr:cNvSpPr>
          <a:spLocks noChangeAspect="1" noChangeArrowheads="1"/>
        </xdr:cNvSpPr>
      </xdr:nvSpPr>
      <xdr:spPr bwMode="auto">
        <a:xfrm>
          <a:off x="46110525" y="232543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65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30E0000}"/>
            </a:ext>
          </a:extLst>
        </xdr:cNvPr>
        <xdr:cNvSpPr>
          <a:spLocks noChangeAspect="1" noChangeArrowheads="1"/>
        </xdr:cNvSpPr>
      </xdr:nvSpPr>
      <xdr:spPr bwMode="auto">
        <a:xfrm>
          <a:off x="46110525" y="232543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65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40E0000}"/>
            </a:ext>
          </a:extLst>
        </xdr:cNvPr>
        <xdr:cNvSpPr>
          <a:spLocks noChangeAspect="1" noChangeArrowheads="1"/>
        </xdr:cNvSpPr>
      </xdr:nvSpPr>
      <xdr:spPr bwMode="auto">
        <a:xfrm>
          <a:off x="46110525" y="232838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65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50E0000}"/>
            </a:ext>
          </a:extLst>
        </xdr:cNvPr>
        <xdr:cNvSpPr>
          <a:spLocks noChangeAspect="1" noChangeArrowheads="1"/>
        </xdr:cNvSpPr>
      </xdr:nvSpPr>
      <xdr:spPr bwMode="auto">
        <a:xfrm>
          <a:off x="46110525" y="232838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65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60E0000}"/>
            </a:ext>
          </a:extLst>
        </xdr:cNvPr>
        <xdr:cNvSpPr>
          <a:spLocks noChangeAspect="1" noChangeArrowheads="1"/>
        </xdr:cNvSpPr>
      </xdr:nvSpPr>
      <xdr:spPr bwMode="auto">
        <a:xfrm>
          <a:off x="46110525" y="233133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65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70E0000}"/>
            </a:ext>
          </a:extLst>
        </xdr:cNvPr>
        <xdr:cNvSpPr>
          <a:spLocks noChangeAspect="1" noChangeArrowheads="1"/>
        </xdr:cNvSpPr>
      </xdr:nvSpPr>
      <xdr:spPr bwMode="auto">
        <a:xfrm>
          <a:off x="46110525" y="233133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65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80E0000}"/>
            </a:ext>
          </a:extLst>
        </xdr:cNvPr>
        <xdr:cNvSpPr>
          <a:spLocks noChangeAspect="1" noChangeArrowheads="1"/>
        </xdr:cNvSpPr>
      </xdr:nvSpPr>
      <xdr:spPr bwMode="auto">
        <a:xfrm>
          <a:off x="46110525" y="2334291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65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90E0000}"/>
            </a:ext>
          </a:extLst>
        </xdr:cNvPr>
        <xdr:cNvSpPr>
          <a:spLocks noChangeAspect="1" noChangeArrowheads="1"/>
        </xdr:cNvSpPr>
      </xdr:nvSpPr>
      <xdr:spPr bwMode="auto">
        <a:xfrm>
          <a:off x="46110525" y="2334291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65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A0E0000}"/>
            </a:ext>
          </a:extLst>
        </xdr:cNvPr>
        <xdr:cNvSpPr>
          <a:spLocks noChangeAspect="1" noChangeArrowheads="1"/>
        </xdr:cNvSpPr>
      </xdr:nvSpPr>
      <xdr:spPr bwMode="auto">
        <a:xfrm>
          <a:off x="46110525" y="233724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65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B0E0000}"/>
            </a:ext>
          </a:extLst>
        </xdr:cNvPr>
        <xdr:cNvSpPr>
          <a:spLocks noChangeAspect="1" noChangeArrowheads="1"/>
        </xdr:cNvSpPr>
      </xdr:nvSpPr>
      <xdr:spPr bwMode="auto">
        <a:xfrm>
          <a:off x="46110525" y="233724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66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C0E0000}"/>
            </a:ext>
          </a:extLst>
        </xdr:cNvPr>
        <xdr:cNvSpPr>
          <a:spLocks noChangeAspect="1" noChangeArrowheads="1"/>
        </xdr:cNvSpPr>
      </xdr:nvSpPr>
      <xdr:spPr bwMode="auto">
        <a:xfrm>
          <a:off x="46110525" y="2340197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66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D0E0000}"/>
            </a:ext>
          </a:extLst>
        </xdr:cNvPr>
        <xdr:cNvSpPr>
          <a:spLocks noChangeAspect="1" noChangeArrowheads="1"/>
        </xdr:cNvSpPr>
      </xdr:nvSpPr>
      <xdr:spPr bwMode="auto">
        <a:xfrm>
          <a:off x="46110525" y="2340197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66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E0E0000}"/>
            </a:ext>
          </a:extLst>
        </xdr:cNvPr>
        <xdr:cNvSpPr>
          <a:spLocks noChangeAspect="1" noChangeArrowheads="1"/>
        </xdr:cNvSpPr>
      </xdr:nvSpPr>
      <xdr:spPr bwMode="auto">
        <a:xfrm>
          <a:off x="46110525" y="234315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66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F0E0000}"/>
            </a:ext>
          </a:extLst>
        </xdr:cNvPr>
        <xdr:cNvSpPr>
          <a:spLocks noChangeAspect="1" noChangeArrowheads="1"/>
        </xdr:cNvSpPr>
      </xdr:nvSpPr>
      <xdr:spPr bwMode="auto">
        <a:xfrm>
          <a:off x="46110525" y="234315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66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00E0000}"/>
            </a:ext>
          </a:extLst>
        </xdr:cNvPr>
        <xdr:cNvSpPr>
          <a:spLocks noChangeAspect="1" noChangeArrowheads="1"/>
        </xdr:cNvSpPr>
      </xdr:nvSpPr>
      <xdr:spPr bwMode="auto">
        <a:xfrm>
          <a:off x="46110525" y="2346102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66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10E0000}"/>
            </a:ext>
          </a:extLst>
        </xdr:cNvPr>
        <xdr:cNvSpPr>
          <a:spLocks noChangeAspect="1" noChangeArrowheads="1"/>
        </xdr:cNvSpPr>
      </xdr:nvSpPr>
      <xdr:spPr bwMode="auto">
        <a:xfrm>
          <a:off x="46110525" y="2346102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66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20E0000}"/>
            </a:ext>
          </a:extLst>
        </xdr:cNvPr>
        <xdr:cNvSpPr>
          <a:spLocks noChangeAspect="1" noChangeArrowheads="1"/>
        </xdr:cNvSpPr>
      </xdr:nvSpPr>
      <xdr:spPr bwMode="auto">
        <a:xfrm>
          <a:off x="46110525" y="234905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66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30E0000}"/>
            </a:ext>
          </a:extLst>
        </xdr:cNvPr>
        <xdr:cNvSpPr>
          <a:spLocks noChangeAspect="1" noChangeArrowheads="1"/>
        </xdr:cNvSpPr>
      </xdr:nvSpPr>
      <xdr:spPr bwMode="auto">
        <a:xfrm>
          <a:off x="46110525" y="234905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66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40E0000}"/>
            </a:ext>
          </a:extLst>
        </xdr:cNvPr>
        <xdr:cNvSpPr>
          <a:spLocks noChangeAspect="1" noChangeArrowheads="1"/>
        </xdr:cNvSpPr>
      </xdr:nvSpPr>
      <xdr:spPr bwMode="auto">
        <a:xfrm>
          <a:off x="46110525" y="235200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66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50E0000}"/>
            </a:ext>
          </a:extLst>
        </xdr:cNvPr>
        <xdr:cNvSpPr>
          <a:spLocks noChangeAspect="1" noChangeArrowheads="1"/>
        </xdr:cNvSpPr>
      </xdr:nvSpPr>
      <xdr:spPr bwMode="auto">
        <a:xfrm>
          <a:off x="46110525" y="235200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67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60E0000}"/>
            </a:ext>
          </a:extLst>
        </xdr:cNvPr>
        <xdr:cNvSpPr>
          <a:spLocks noChangeAspect="1" noChangeArrowheads="1"/>
        </xdr:cNvSpPr>
      </xdr:nvSpPr>
      <xdr:spPr bwMode="auto">
        <a:xfrm>
          <a:off x="46110525" y="235496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67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70E0000}"/>
            </a:ext>
          </a:extLst>
        </xdr:cNvPr>
        <xdr:cNvSpPr>
          <a:spLocks noChangeAspect="1" noChangeArrowheads="1"/>
        </xdr:cNvSpPr>
      </xdr:nvSpPr>
      <xdr:spPr bwMode="auto">
        <a:xfrm>
          <a:off x="46110525" y="235496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67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80E0000}"/>
            </a:ext>
          </a:extLst>
        </xdr:cNvPr>
        <xdr:cNvSpPr>
          <a:spLocks noChangeAspect="1" noChangeArrowheads="1"/>
        </xdr:cNvSpPr>
      </xdr:nvSpPr>
      <xdr:spPr bwMode="auto">
        <a:xfrm>
          <a:off x="46110525" y="235791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67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90E0000}"/>
            </a:ext>
          </a:extLst>
        </xdr:cNvPr>
        <xdr:cNvSpPr>
          <a:spLocks noChangeAspect="1" noChangeArrowheads="1"/>
        </xdr:cNvSpPr>
      </xdr:nvSpPr>
      <xdr:spPr bwMode="auto">
        <a:xfrm>
          <a:off x="46110525" y="235791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67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A0E0000}"/>
            </a:ext>
          </a:extLst>
        </xdr:cNvPr>
        <xdr:cNvSpPr>
          <a:spLocks noChangeAspect="1" noChangeArrowheads="1"/>
        </xdr:cNvSpPr>
      </xdr:nvSpPr>
      <xdr:spPr bwMode="auto">
        <a:xfrm>
          <a:off x="46110525" y="236086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67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B0E0000}"/>
            </a:ext>
          </a:extLst>
        </xdr:cNvPr>
        <xdr:cNvSpPr>
          <a:spLocks noChangeAspect="1" noChangeArrowheads="1"/>
        </xdr:cNvSpPr>
      </xdr:nvSpPr>
      <xdr:spPr bwMode="auto">
        <a:xfrm>
          <a:off x="46110525" y="236086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67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C0E0000}"/>
            </a:ext>
          </a:extLst>
        </xdr:cNvPr>
        <xdr:cNvSpPr>
          <a:spLocks noChangeAspect="1" noChangeArrowheads="1"/>
        </xdr:cNvSpPr>
      </xdr:nvSpPr>
      <xdr:spPr bwMode="auto">
        <a:xfrm>
          <a:off x="46110525" y="2363819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67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D0E0000}"/>
            </a:ext>
          </a:extLst>
        </xdr:cNvPr>
        <xdr:cNvSpPr>
          <a:spLocks noChangeAspect="1" noChangeArrowheads="1"/>
        </xdr:cNvSpPr>
      </xdr:nvSpPr>
      <xdr:spPr bwMode="auto">
        <a:xfrm>
          <a:off x="46110525" y="2363819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67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E0E0000}"/>
            </a:ext>
          </a:extLst>
        </xdr:cNvPr>
        <xdr:cNvSpPr>
          <a:spLocks noChangeAspect="1" noChangeArrowheads="1"/>
        </xdr:cNvSpPr>
      </xdr:nvSpPr>
      <xdr:spPr bwMode="auto">
        <a:xfrm>
          <a:off x="46110525" y="236677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67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F0E0000}"/>
            </a:ext>
          </a:extLst>
        </xdr:cNvPr>
        <xdr:cNvSpPr>
          <a:spLocks noChangeAspect="1" noChangeArrowheads="1"/>
        </xdr:cNvSpPr>
      </xdr:nvSpPr>
      <xdr:spPr bwMode="auto">
        <a:xfrm>
          <a:off x="46110525" y="236677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68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00E0000}"/>
            </a:ext>
          </a:extLst>
        </xdr:cNvPr>
        <xdr:cNvSpPr>
          <a:spLocks noChangeAspect="1" noChangeArrowheads="1"/>
        </xdr:cNvSpPr>
      </xdr:nvSpPr>
      <xdr:spPr bwMode="auto">
        <a:xfrm>
          <a:off x="46110525" y="2369724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68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10E0000}"/>
            </a:ext>
          </a:extLst>
        </xdr:cNvPr>
        <xdr:cNvSpPr>
          <a:spLocks noChangeAspect="1" noChangeArrowheads="1"/>
        </xdr:cNvSpPr>
      </xdr:nvSpPr>
      <xdr:spPr bwMode="auto">
        <a:xfrm>
          <a:off x="46110525" y="2369724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68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20E0000}"/>
            </a:ext>
          </a:extLst>
        </xdr:cNvPr>
        <xdr:cNvSpPr>
          <a:spLocks noChangeAspect="1" noChangeArrowheads="1"/>
        </xdr:cNvSpPr>
      </xdr:nvSpPr>
      <xdr:spPr bwMode="auto">
        <a:xfrm>
          <a:off x="46110525" y="237267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68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30E0000}"/>
            </a:ext>
          </a:extLst>
        </xdr:cNvPr>
        <xdr:cNvSpPr>
          <a:spLocks noChangeAspect="1" noChangeArrowheads="1"/>
        </xdr:cNvSpPr>
      </xdr:nvSpPr>
      <xdr:spPr bwMode="auto">
        <a:xfrm>
          <a:off x="46110525" y="237267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68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40E0000}"/>
            </a:ext>
          </a:extLst>
        </xdr:cNvPr>
        <xdr:cNvSpPr>
          <a:spLocks noChangeAspect="1" noChangeArrowheads="1"/>
        </xdr:cNvSpPr>
      </xdr:nvSpPr>
      <xdr:spPr bwMode="auto">
        <a:xfrm>
          <a:off x="46110525" y="237563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68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50E0000}"/>
            </a:ext>
          </a:extLst>
        </xdr:cNvPr>
        <xdr:cNvSpPr>
          <a:spLocks noChangeAspect="1" noChangeArrowheads="1"/>
        </xdr:cNvSpPr>
      </xdr:nvSpPr>
      <xdr:spPr bwMode="auto">
        <a:xfrm>
          <a:off x="46110525" y="237563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68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60E0000}"/>
            </a:ext>
          </a:extLst>
        </xdr:cNvPr>
        <xdr:cNvSpPr>
          <a:spLocks noChangeAspect="1" noChangeArrowheads="1"/>
        </xdr:cNvSpPr>
      </xdr:nvSpPr>
      <xdr:spPr bwMode="auto">
        <a:xfrm>
          <a:off x="46110525" y="237858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68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70E0000}"/>
            </a:ext>
          </a:extLst>
        </xdr:cNvPr>
        <xdr:cNvSpPr>
          <a:spLocks noChangeAspect="1" noChangeArrowheads="1"/>
        </xdr:cNvSpPr>
      </xdr:nvSpPr>
      <xdr:spPr bwMode="auto">
        <a:xfrm>
          <a:off x="46110525" y="237858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68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80E0000}"/>
            </a:ext>
          </a:extLst>
        </xdr:cNvPr>
        <xdr:cNvSpPr>
          <a:spLocks noChangeAspect="1" noChangeArrowheads="1"/>
        </xdr:cNvSpPr>
      </xdr:nvSpPr>
      <xdr:spPr bwMode="auto">
        <a:xfrm>
          <a:off x="46110525" y="238153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68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90E0000}"/>
            </a:ext>
          </a:extLst>
        </xdr:cNvPr>
        <xdr:cNvSpPr>
          <a:spLocks noChangeAspect="1" noChangeArrowheads="1"/>
        </xdr:cNvSpPr>
      </xdr:nvSpPr>
      <xdr:spPr bwMode="auto">
        <a:xfrm>
          <a:off x="46110525" y="238153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69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A0E0000}"/>
            </a:ext>
          </a:extLst>
        </xdr:cNvPr>
        <xdr:cNvSpPr>
          <a:spLocks noChangeAspect="1" noChangeArrowheads="1"/>
        </xdr:cNvSpPr>
      </xdr:nvSpPr>
      <xdr:spPr bwMode="auto">
        <a:xfrm>
          <a:off x="46110525" y="238448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69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B0E0000}"/>
            </a:ext>
          </a:extLst>
        </xdr:cNvPr>
        <xdr:cNvSpPr>
          <a:spLocks noChangeAspect="1" noChangeArrowheads="1"/>
        </xdr:cNvSpPr>
      </xdr:nvSpPr>
      <xdr:spPr bwMode="auto">
        <a:xfrm>
          <a:off x="46110525" y="238448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69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C0E0000}"/>
            </a:ext>
          </a:extLst>
        </xdr:cNvPr>
        <xdr:cNvSpPr>
          <a:spLocks noChangeAspect="1" noChangeArrowheads="1"/>
        </xdr:cNvSpPr>
      </xdr:nvSpPr>
      <xdr:spPr bwMode="auto">
        <a:xfrm>
          <a:off x="46110525" y="2387441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69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D0E0000}"/>
            </a:ext>
          </a:extLst>
        </xdr:cNvPr>
        <xdr:cNvSpPr>
          <a:spLocks noChangeAspect="1" noChangeArrowheads="1"/>
        </xdr:cNvSpPr>
      </xdr:nvSpPr>
      <xdr:spPr bwMode="auto">
        <a:xfrm>
          <a:off x="46110525" y="2387441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69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E0E0000}"/>
            </a:ext>
          </a:extLst>
        </xdr:cNvPr>
        <xdr:cNvSpPr>
          <a:spLocks noChangeAspect="1" noChangeArrowheads="1"/>
        </xdr:cNvSpPr>
      </xdr:nvSpPr>
      <xdr:spPr bwMode="auto">
        <a:xfrm>
          <a:off x="46110525" y="239039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69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F0E0000}"/>
            </a:ext>
          </a:extLst>
        </xdr:cNvPr>
        <xdr:cNvSpPr>
          <a:spLocks noChangeAspect="1" noChangeArrowheads="1"/>
        </xdr:cNvSpPr>
      </xdr:nvSpPr>
      <xdr:spPr bwMode="auto">
        <a:xfrm>
          <a:off x="46110525" y="239039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69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00E0000}"/>
            </a:ext>
          </a:extLst>
        </xdr:cNvPr>
        <xdr:cNvSpPr>
          <a:spLocks noChangeAspect="1" noChangeArrowheads="1"/>
        </xdr:cNvSpPr>
      </xdr:nvSpPr>
      <xdr:spPr bwMode="auto">
        <a:xfrm>
          <a:off x="46110525" y="2393346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69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10E0000}"/>
            </a:ext>
          </a:extLst>
        </xdr:cNvPr>
        <xdr:cNvSpPr>
          <a:spLocks noChangeAspect="1" noChangeArrowheads="1"/>
        </xdr:cNvSpPr>
      </xdr:nvSpPr>
      <xdr:spPr bwMode="auto">
        <a:xfrm>
          <a:off x="46110525" y="2393346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69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20E0000}"/>
            </a:ext>
          </a:extLst>
        </xdr:cNvPr>
        <xdr:cNvSpPr>
          <a:spLocks noChangeAspect="1" noChangeArrowheads="1"/>
        </xdr:cNvSpPr>
      </xdr:nvSpPr>
      <xdr:spPr bwMode="auto">
        <a:xfrm>
          <a:off x="46110525" y="239629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69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30E0000}"/>
            </a:ext>
          </a:extLst>
        </xdr:cNvPr>
        <xdr:cNvSpPr>
          <a:spLocks noChangeAspect="1" noChangeArrowheads="1"/>
        </xdr:cNvSpPr>
      </xdr:nvSpPr>
      <xdr:spPr bwMode="auto">
        <a:xfrm>
          <a:off x="46110525" y="239629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70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40E0000}"/>
            </a:ext>
          </a:extLst>
        </xdr:cNvPr>
        <xdr:cNvSpPr>
          <a:spLocks noChangeAspect="1" noChangeArrowheads="1"/>
        </xdr:cNvSpPr>
      </xdr:nvSpPr>
      <xdr:spPr bwMode="auto">
        <a:xfrm>
          <a:off x="46110525" y="239925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70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50E0000}"/>
            </a:ext>
          </a:extLst>
        </xdr:cNvPr>
        <xdr:cNvSpPr>
          <a:spLocks noChangeAspect="1" noChangeArrowheads="1"/>
        </xdr:cNvSpPr>
      </xdr:nvSpPr>
      <xdr:spPr bwMode="auto">
        <a:xfrm>
          <a:off x="46110525" y="239925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70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60E0000}"/>
            </a:ext>
          </a:extLst>
        </xdr:cNvPr>
        <xdr:cNvSpPr>
          <a:spLocks noChangeAspect="1" noChangeArrowheads="1"/>
        </xdr:cNvSpPr>
      </xdr:nvSpPr>
      <xdr:spPr bwMode="auto">
        <a:xfrm>
          <a:off x="46110525" y="24022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70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70E0000}"/>
            </a:ext>
          </a:extLst>
        </xdr:cNvPr>
        <xdr:cNvSpPr>
          <a:spLocks noChangeAspect="1" noChangeArrowheads="1"/>
        </xdr:cNvSpPr>
      </xdr:nvSpPr>
      <xdr:spPr bwMode="auto">
        <a:xfrm>
          <a:off x="46110525" y="24022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70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80E0000}"/>
            </a:ext>
          </a:extLst>
        </xdr:cNvPr>
        <xdr:cNvSpPr>
          <a:spLocks noChangeAspect="1" noChangeArrowheads="1"/>
        </xdr:cNvSpPr>
      </xdr:nvSpPr>
      <xdr:spPr bwMode="auto">
        <a:xfrm>
          <a:off x="46110525" y="2405157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70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90E0000}"/>
            </a:ext>
          </a:extLst>
        </xdr:cNvPr>
        <xdr:cNvSpPr>
          <a:spLocks noChangeAspect="1" noChangeArrowheads="1"/>
        </xdr:cNvSpPr>
      </xdr:nvSpPr>
      <xdr:spPr bwMode="auto">
        <a:xfrm>
          <a:off x="46110525" y="2405157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70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A0E0000}"/>
            </a:ext>
          </a:extLst>
        </xdr:cNvPr>
        <xdr:cNvSpPr>
          <a:spLocks noChangeAspect="1" noChangeArrowheads="1"/>
        </xdr:cNvSpPr>
      </xdr:nvSpPr>
      <xdr:spPr bwMode="auto">
        <a:xfrm>
          <a:off x="46110525" y="240811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70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B0E0000}"/>
            </a:ext>
          </a:extLst>
        </xdr:cNvPr>
        <xdr:cNvSpPr>
          <a:spLocks noChangeAspect="1" noChangeArrowheads="1"/>
        </xdr:cNvSpPr>
      </xdr:nvSpPr>
      <xdr:spPr bwMode="auto">
        <a:xfrm>
          <a:off x="46110525" y="240811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70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C0E0000}"/>
            </a:ext>
          </a:extLst>
        </xdr:cNvPr>
        <xdr:cNvSpPr>
          <a:spLocks noChangeAspect="1" noChangeArrowheads="1"/>
        </xdr:cNvSpPr>
      </xdr:nvSpPr>
      <xdr:spPr bwMode="auto">
        <a:xfrm>
          <a:off x="46110525" y="241106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70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D0E0000}"/>
            </a:ext>
          </a:extLst>
        </xdr:cNvPr>
        <xdr:cNvSpPr>
          <a:spLocks noChangeAspect="1" noChangeArrowheads="1"/>
        </xdr:cNvSpPr>
      </xdr:nvSpPr>
      <xdr:spPr bwMode="auto">
        <a:xfrm>
          <a:off x="46110525" y="241106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71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E0E0000}"/>
            </a:ext>
          </a:extLst>
        </xdr:cNvPr>
        <xdr:cNvSpPr>
          <a:spLocks noChangeAspect="1" noChangeArrowheads="1"/>
        </xdr:cNvSpPr>
      </xdr:nvSpPr>
      <xdr:spPr bwMode="auto">
        <a:xfrm>
          <a:off x="46110525" y="241401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71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F0E0000}"/>
            </a:ext>
          </a:extLst>
        </xdr:cNvPr>
        <xdr:cNvSpPr>
          <a:spLocks noChangeAspect="1" noChangeArrowheads="1"/>
        </xdr:cNvSpPr>
      </xdr:nvSpPr>
      <xdr:spPr bwMode="auto">
        <a:xfrm>
          <a:off x="46110525" y="241401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71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00E0000}"/>
            </a:ext>
          </a:extLst>
        </xdr:cNvPr>
        <xdr:cNvSpPr>
          <a:spLocks noChangeAspect="1" noChangeArrowheads="1"/>
        </xdr:cNvSpPr>
      </xdr:nvSpPr>
      <xdr:spPr bwMode="auto">
        <a:xfrm>
          <a:off x="46110525" y="241696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71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10E0000}"/>
            </a:ext>
          </a:extLst>
        </xdr:cNvPr>
        <xdr:cNvSpPr>
          <a:spLocks noChangeAspect="1" noChangeArrowheads="1"/>
        </xdr:cNvSpPr>
      </xdr:nvSpPr>
      <xdr:spPr bwMode="auto">
        <a:xfrm>
          <a:off x="46110525" y="241696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71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20E0000}"/>
            </a:ext>
          </a:extLst>
        </xdr:cNvPr>
        <xdr:cNvSpPr>
          <a:spLocks noChangeAspect="1" noChangeArrowheads="1"/>
        </xdr:cNvSpPr>
      </xdr:nvSpPr>
      <xdr:spPr bwMode="auto">
        <a:xfrm>
          <a:off x="46110525" y="241992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71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30E0000}"/>
            </a:ext>
          </a:extLst>
        </xdr:cNvPr>
        <xdr:cNvSpPr>
          <a:spLocks noChangeAspect="1" noChangeArrowheads="1"/>
        </xdr:cNvSpPr>
      </xdr:nvSpPr>
      <xdr:spPr bwMode="auto">
        <a:xfrm>
          <a:off x="46110525" y="241992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71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40E0000}"/>
            </a:ext>
          </a:extLst>
        </xdr:cNvPr>
        <xdr:cNvSpPr>
          <a:spLocks noChangeAspect="1" noChangeArrowheads="1"/>
        </xdr:cNvSpPr>
      </xdr:nvSpPr>
      <xdr:spPr bwMode="auto">
        <a:xfrm>
          <a:off x="46110525" y="2422874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71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50E0000}"/>
            </a:ext>
          </a:extLst>
        </xdr:cNvPr>
        <xdr:cNvSpPr>
          <a:spLocks noChangeAspect="1" noChangeArrowheads="1"/>
        </xdr:cNvSpPr>
      </xdr:nvSpPr>
      <xdr:spPr bwMode="auto">
        <a:xfrm>
          <a:off x="46110525" y="2422874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71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60E0000}"/>
            </a:ext>
          </a:extLst>
        </xdr:cNvPr>
        <xdr:cNvSpPr>
          <a:spLocks noChangeAspect="1" noChangeArrowheads="1"/>
        </xdr:cNvSpPr>
      </xdr:nvSpPr>
      <xdr:spPr bwMode="auto">
        <a:xfrm>
          <a:off x="46110525" y="242582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71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70E0000}"/>
            </a:ext>
          </a:extLst>
        </xdr:cNvPr>
        <xdr:cNvSpPr>
          <a:spLocks noChangeAspect="1" noChangeArrowheads="1"/>
        </xdr:cNvSpPr>
      </xdr:nvSpPr>
      <xdr:spPr bwMode="auto">
        <a:xfrm>
          <a:off x="46110525" y="242582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72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80E0000}"/>
            </a:ext>
          </a:extLst>
        </xdr:cNvPr>
        <xdr:cNvSpPr>
          <a:spLocks noChangeAspect="1" noChangeArrowheads="1"/>
        </xdr:cNvSpPr>
      </xdr:nvSpPr>
      <xdr:spPr bwMode="auto">
        <a:xfrm>
          <a:off x="46110525" y="2428779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72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90E0000}"/>
            </a:ext>
          </a:extLst>
        </xdr:cNvPr>
        <xdr:cNvSpPr>
          <a:spLocks noChangeAspect="1" noChangeArrowheads="1"/>
        </xdr:cNvSpPr>
      </xdr:nvSpPr>
      <xdr:spPr bwMode="auto">
        <a:xfrm>
          <a:off x="46110525" y="2428779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72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A0E0000}"/>
            </a:ext>
          </a:extLst>
        </xdr:cNvPr>
        <xdr:cNvSpPr>
          <a:spLocks noChangeAspect="1" noChangeArrowheads="1"/>
        </xdr:cNvSpPr>
      </xdr:nvSpPr>
      <xdr:spPr bwMode="auto">
        <a:xfrm>
          <a:off x="46110525" y="243173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72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B0E0000}"/>
            </a:ext>
          </a:extLst>
        </xdr:cNvPr>
        <xdr:cNvSpPr>
          <a:spLocks noChangeAspect="1" noChangeArrowheads="1"/>
        </xdr:cNvSpPr>
      </xdr:nvSpPr>
      <xdr:spPr bwMode="auto">
        <a:xfrm>
          <a:off x="46110525" y="243173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72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C0E0000}"/>
            </a:ext>
          </a:extLst>
        </xdr:cNvPr>
        <xdr:cNvSpPr>
          <a:spLocks noChangeAspect="1" noChangeArrowheads="1"/>
        </xdr:cNvSpPr>
      </xdr:nvSpPr>
      <xdr:spPr bwMode="auto">
        <a:xfrm>
          <a:off x="46110525" y="243468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72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D0E0000}"/>
            </a:ext>
          </a:extLst>
        </xdr:cNvPr>
        <xdr:cNvSpPr>
          <a:spLocks noChangeAspect="1" noChangeArrowheads="1"/>
        </xdr:cNvSpPr>
      </xdr:nvSpPr>
      <xdr:spPr bwMode="auto">
        <a:xfrm>
          <a:off x="46110525" y="243468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72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E0E0000}"/>
            </a:ext>
          </a:extLst>
        </xdr:cNvPr>
        <xdr:cNvSpPr>
          <a:spLocks noChangeAspect="1" noChangeArrowheads="1"/>
        </xdr:cNvSpPr>
      </xdr:nvSpPr>
      <xdr:spPr bwMode="auto">
        <a:xfrm>
          <a:off x="46110525" y="243763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72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F0E0000}"/>
            </a:ext>
          </a:extLst>
        </xdr:cNvPr>
        <xdr:cNvSpPr>
          <a:spLocks noChangeAspect="1" noChangeArrowheads="1"/>
        </xdr:cNvSpPr>
      </xdr:nvSpPr>
      <xdr:spPr bwMode="auto">
        <a:xfrm>
          <a:off x="46110525" y="243763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72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00E0000}"/>
            </a:ext>
          </a:extLst>
        </xdr:cNvPr>
        <xdr:cNvSpPr>
          <a:spLocks noChangeAspect="1" noChangeArrowheads="1"/>
        </xdr:cNvSpPr>
      </xdr:nvSpPr>
      <xdr:spPr bwMode="auto">
        <a:xfrm>
          <a:off x="46110525" y="244059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72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10E0000}"/>
            </a:ext>
          </a:extLst>
        </xdr:cNvPr>
        <xdr:cNvSpPr>
          <a:spLocks noChangeAspect="1" noChangeArrowheads="1"/>
        </xdr:cNvSpPr>
      </xdr:nvSpPr>
      <xdr:spPr bwMode="auto">
        <a:xfrm>
          <a:off x="46110525" y="244059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73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20E0000}"/>
            </a:ext>
          </a:extLst>
        </xdr:cNvPr>
        <xdr:cNvSpPr>
          <a:spLocks noChangeAspect="1" noChangeArrowheads="1"/>
        </xdr:cNvSpPr>
      </xdr:nvSpPr>
      <xdr:spPr bwMode="auto">
        <a:xfrm>
          <a:off x="46110525" y="244354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73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30E0000}"/>
            </a:ext>
          </a:extLst>
        </xdr:cNvPr>
        <xdr:cNvSpPr>
          <a:spLocks noChangeAspect="1" noChangeArrowheads="1"/>
        </xdr:cNvSpPr>
      </xdr:nvSpPr>
      <xdr:spPr bwMode="auto">
        <a:xfrm>
          <a:off x="46110525" y="244354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73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40E0000}"/>
            </a:ext>
          </a:extLst>
        </xdr:cNvPr>
        <xdr:cNvSpPr>
          <a:spLocks noChangeAspect="1" noChangeArrowheads="1"/>
        </xdr:cNvSpPr>
      </xdr:nvSpPr>
      <xdr:spPr bwMode="auto">
        <a:xfrm>
          <a:off x="46110525" y="244649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73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50E0000}"/>
            </a:ext>
          </a:extLst>
        </xdr:cNvPr>
        <xdr:cNvSpPr>
          <a:spLocks noChangeAspect="1" noChangeArrowheads="1"/>
        </xdr:cNvSpPr>
      </xdr:nvSpPr>
      <xdr:spPr bwMode="auto">
        <a:xfrm>
          <a:off x="46110525" y="244649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73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60E0000}"/>
            </a:ext>
          </a:extLst>
        </xdr:cNvPr>
        <xdr:cNvSpPr>
          <a:spLocks noChangeAspect="1" noChangeArrowheads="1"/>
        </xdr:cNvSpPr>
      </xdr:nvSpPr>
      <xdr:spPr bwMode="auto">
        <a:xfrm>
          <a:off x="46110525" y="244944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73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70E0000}"/>
            </a:ext>
          </a:extLst>
        </xdr:cNvPr>
        <xdr:cNvSpPr>
          <a:spLocks noChangeAspect="1" noChangeArrowheads="1"/>
        </xdr:cNvSpPr>
      </xdr:nvSpPr>
      <xdr:spPr bwMode="auto">
        <a:xfrm>
          <a:off x="46110525" y="244944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73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80E0000}"/>
            </a:ext>
          </a:extLst>
        </xdr:cNvPr>
        <xdr:cNvSpPr>
          <a:spLocks noChangeAspect="1" noChangeArrowheads="1"/>
        </xdr:cNvSpPr>
      </xdr:nvSpPr>
      <xdr:spPr bwMode="auto">
        <a:xfrm>
          <a:off x="46110525" y="2452401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73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90E0000}"/>
            </a:ext>
          </a:extLst>
        </xdr:cNvPr>
        <xdr:cNvSpPr>
          <a:spLocks noChangeAspect="1" noChangeArrowheads="1"/>
        </xdr:cNvSpPr>
      </xdr:nvSpPr>
      <xdr:spPr bwMode="auto">
        <a:xfrm>
          <a:off x="46110525" y="2452401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73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A0E0000}"/>
            </a:ext>
          </a:extLst>
        </xdr:cNvPr>
        <xdr:cNvSpPr>
          <a:spLocks noChangeAspect="1" noChangeArrowheads="1"/>
        </xdr:cNvSpPr>
      </xdr:nvSpPr>
      <xdr:spPr bwMode="auto">
        <a:xfrm>
          <a:off x="46110525" y="245535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73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B0E0000}"/>
            </a:ext>
          </a:extLst>
        </xdr:cNvPr>
        <xdr:cNvSpPr>
          <a:spLocks noChangeAspect="1" noChangeArrowheads="1"/>
        </xdr:cNvSpPr>
      </xdr:nvSpPr>
      <xdr:spPr bwMode="auto">
        <a:xfrm>
          <a:off x="46110525" y="245535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74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C0E0000}"/>
            </a:ext>
          </a:extLst>
        </xdr:cNvPr>
        <xdr:cNvSpPr>
          <a:spLocks noChangeAspect="1" noChangeArrowheads="1"/>
        </xdr:cNvSpPr>
      </xdr:nvSpPr>
      <xdr:spPr bwMode="auto">
        <a:xfrm>
          <a:off x="46110525" y="2458307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74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D0E0000}"/>
            </a:ext>
          </a:extLst>
        </xdr:cNvPr>
        <xdr:cNvSpPr>
          <a:spLocks noChangeAspect="1" noChangeArrowheads="1"/>
        </xdr:cNvSpPr>
      </xdr:nvSpPr>
      <xdr:spPr bwMode="auto">
        <a:xfrm>
          <a:off x="46110525" y="2458307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74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E0E0000}"/>
            </a:ext>
          </a:extLst>
        </xdr:cNvPr>
        <xdr:cNvSpPr>
          <a:spLocks noChangeAspect="1" noChangeArrowheads="1"/>
        </xdr:cNvSpPr>
      </xdr:nvSpPr>
      <xdr:spPr bwMode="auto">
        <a:xfrm>
          <a:off x="46110525" y="246126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74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F0E0000}"/>
            </a:ext>
          </a:extLst>
        </xdr:cNvPr>
        <xdr:cNvSpPr>
          <a:spLocks noChangeAspect="1" noChangeArrowheads="1"/>
        </xdr:cNvSpPr>
      </xdr:nvSpPr>
      <xdr:spPr bwMode="auto">
        <a:xfrm>
          <a:off x="46110525" y="246126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74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00E0000}"/>
            </a:ext>
          </a:extLst>
        </xdr:cNvPr>
        <xdr:cNvSpPr>
          <a:spLocks noChangeAspect="1" noChangeArrowheads="1"/>
        </xdr:cNvSpPr>
      </xdr:nvSpPr>
      <xdr:spPr bwMode="auto">
        <a:xfrm>
          <a:off x="46110525" y="2464212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74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10E0000}"/>
            </a:ext>
          </a:extLst>
        </xdr:cNvPr>
        <xdr:cNvSpPr>
          <a:spLocks noChangeAspect="1" noChangeArrowheads="1"/>
        </xdr:cNvSpPr>
      </xdr:nvSpPr>
      <xdr:spPr bwMode="auto">
        <a:xfrm>
          <a:off x="46110525" y="2464212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74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20E0000}"/>
            </a:ext>
          </a:extLst>
        </xdr:cNvPr>
        <xdr:cNvSpPr>
          <a:spLocks noChangeAspect="1" noChangeArrowheads="1"/>
        </xdr:cNvSpPr>
      </xdr:nvSpPr>
      <xdr:spPr bwMode="auto">
        <a:xfrm>
          <a:off x="46110525" y="246716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74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30E0000}"/>
            </a:ext>
          </a:extLst>
        </xdr:cNvPr>
        <xdr:cNvSpPr>
          <a:spLocks noChangeAspect="1" noChangeArrowheads="1"/>
        </xdr:cNvSpPr>
      </xdr:nvSpPr>
      <xdr:spPr bwMode="auto">
        <a:xfrm>
          <a:off x="46110525" y="246716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74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40E0000}"/>
            </a:ext>
          </a:extLst>
        </xdr:cNvPr>
        <xdr:cNvSpPr>
          <a:spLocks noChangeAspect="1" noChangeArrowheads="1"/>
        </xdr:cNvSpPr>
      </xdr:nvSpPr>
      <xdr:spPr bwMode="auto">
        <a:xfrm>
          <a:off x="46110525" y="247011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74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50E0000}"/>
            </a:ext>
          </a:extLst>
        </xdr:cNvPr>
        <xdr:cNvSpPr>
          <a:spLocks noChangeAspect="1" noChangeArrowheads="1"/>
        </xdr:cNvSpPr>
      </xdr:nvSpPr>
      <xdr:spPr bwMode="auto">
        <a:xfrm>
          <a:off x="46110525" y="247011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75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60E0000}"/>
            </a:ext>
          </a:extLst>
        </xdr:cNvPr>
        <xdr:cNvSpPr>
          <a:spLocks noChangeAspect="1" noChangeArrowheads="1"/>
        </xdr:cNvSpPr>
      </xdr:nvSpPr>
      <xdr:spPr bwMode="auto">
        <a:xfrm>
          <a:off x="46110525" y="247307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75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70E0000}"/>
            </a:ext>
          </a:extLst>
        </xdr:cNvPr>
        <xdr:cNvSpPr>
          <a:spLocks noChangeAspect="1" noChangeArrowheads="1"/>
        </xdr:cNvSpPr>
      </xdr:nvSpPr>
      <xdr:spPr bwMode="auto">
        <a:xfrm>
          <a:off x="46110525" y="247307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75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80E0000}"/>
            </a:ext>
          </a:extLst>
        </xdr:cNvPr>
        <xdr:cNvSpPr>
          <a:spLocks noChangeAspect="1" noChangeArrowheads="1"/>
        </xdr:cNvSpPr>
      </xdr:nvSpPr>
      <xdr:spPr bwMode="auto">
        <a:xfrm>
          <a:off x="46110525" y="247602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75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90E0000}"/>
            </a:ext>
          </a:extLst>
        </xdr:cNvPr>
        <xdr:cNvSpPr>
          <a:spLocks noChangeAspect="1" noChangeArrowheads="1"/>
        </xdr:cNvSpPr>
      </xdr:nvSpPr>
      <xdr:spPr bwMode="auto">
        <a:xfrm>
          <a:off x="46110525" y="247602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75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A0E0000}"/>
            </a:ext>
          </a:extLst>
        </xdr:cNvPr>
        <xdr:cNvSpPr>
          <a:spLocks noChangeAspect="1" noChangeArrowheads="1"/>
        </xdr:cNvSpPr>
      </xdr:nvSpPr>
      <xdr:spPr bwMode="auto">
        <a:xfrm>
          <a:off x="46110525" y="247897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75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B0E0000}"/>
            </a:ext>
          </a:extLst>
        </xdr:cNvPr>
        <xdr:cNvSpPr>
          <a:spLocks noChangeAspect="1" noChangeArrowheads="1"/>
        </xdr:cNvSpPr>
      </xdr:nvSpPr>
      <xdr:spPr bwMode="auto">
        <a:xfrm>
          <a:off x="46110525" y="247897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75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C0E0000}"/>
            </a:ext>
          </a:extLst>
        </xdr:cNvPr>
        <xdr:cNvSpPr>
          <a:spLocks noChangeAspect="1" noChangeArrowheads="1"/>
        </xdr:cNvSpPr>
      </xdr:nvSpPr>
      <xdr:spPr bwMode="auto">
        <a:xfrm>
          <a:off x="46110525" y="2481929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75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D0E0000}"/>
            </a:ext>
          </a:extLst>
        </xdr:cNvPr>
        <xdr:cNvSpPr>
          <a:spLocks noChangeAspect="1" noChangeArrowheads="1"/>
        </xdr:cNvSpPr>
      </xdr:nvSpPr>
      <xdr:spPr bwMode="auto">
        <a:xfrm>
          <a:off x="46110525" y="2481929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75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E0E0000}"/>
            </a:ext>
          </a:extLst>
        </xdr:cNvPr>
        <xdr:cNvSpPr>
          <a:spLocks noChangeAspect="1" noChangeArrowheads="1"/>
        </xdr:cNvSpPr>
      </xdr:nvSpPr>
      <xdr:spPr bwMode="auto">
        <a:xfrm>
          <a:off x="46110525" y="24848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75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F0E0000}"/>
            </a:ext>
          </a:extLst>
        </xdr:cNvPr>
        <xdr:cNvSpPr>
          <a:spLocks noChangeAspect="1" noChangeArrowheads="1"/>
        </xdr:cNvSpPr>
      </xdr:nvSpPr>
      <xdr:spPr bwMode="auto">
        <a:xfrm>
          <a:off x="46110525" y="24848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76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00E0000}"/>
            </a:ext>
          </a:extLst>
        </xdr:cNvPr>
        <xdr:cNvSpPr>
          <a:spLocks noChangeAspect="1" noChangeArrowheads="1"/>
        </xdr:cNvSpPr>
      </xdr:nvSpPr>
      <xdr:spPr bwMode="auto">
        <a:xfrm>
          <a:off x="46110525" y="2487834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76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10E0000}"/>
            </a:ext>
          </a:extLst>
        </xdr:cNvPr>
        <xdr:cNvSpPr>
          <a:spLocks noChangeAspect="1" noChangeArrowheads="1"/>
        </xdr:cNvSpPr>
      </xdr:nvSpPr>
      <xdr:spPr bwMode="auto">
        <a:xfrm>
          <a:off x="46110525" y="2487834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76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20E0000}"/>
            </a:ext>
          </a:extLst>
        </xdr:cNvPr>
        <xdr:cNvSpPr>
          <a:spLocks noChangeAspect="1" noChangeArrowheads="1"/>
        </xdr:cNvSpPr>
      </xdr:nvSpPr>
      <xdr:spPr bwMode="auto">
        <a:xfrm>
          <a:off x="46110525" y="249078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76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30E0000}"/>
            </a:ext>
          </a:extLst>
        </xdr:cNvPr>
        <xdr:cNvSpPr>
          <a:spLocks noChangeAspect="1" noChangeArrowheads="1"/>
        </xdr:cNvSpPr>
      </xdr:nvSpPr>
      <xdr:spPr bwMode="auto">
        <a:xfrm>
          <a:off x="46110525" y="249078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76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40E0000}"/>
            </a:ext>
          </a:extLst>
        </xdr:cNvPr>
        <xdr:cNvSpPr>
          <a:spLocks noChangeAspect="1" noChangeArrowheads="1"/>
        </xdr:cNvSpPr>
      </xdr:nvSpPr>
      <xdr:spPr bwMode="auto">
        <a:xfrm>
          <a:off x="46110525" y="249374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76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50E0000}"/>
            </a:ext>
          </a:extLst>
        </xdr:cNvPr>
        <xdr:cNvSpPr>
          <a:spLocks noChangeAspect="1" noChangeArrowheads="1"/>
        </xdr:cNvSpPr>
      </xdr:nvSpPr>
      <xdr:spPr bwMode="auto">
        <a:xfrm>
          <a:off x="46110525" y="249374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76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60E0000}"/>
            </a:ext>
          </a:extLst>
        </xdr:cNvPr>
        <xdr:cNvSpPr>
          <a:spLocks noChangeAspect="1" noChangeArrowheads="1"/>
        </xdr:cNvSpPr>
      </xdr:nvSpPr>
      <xdr:spPr bwMode="auto">
        <a:xfrm>
          <a:off x="46110525" y="249669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76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70E0000}"/>
            </a:ext>
          </a:extLst>
        </xdr:cNvPr>
        <xdr:cNvSpPr>
          <a:spLocks noChangeAspect="1" noChangeArrowheads="1"/>
        </xdr:cNvSpPr>
      </xdr:nvSpPr>
      <xdr:spPr bwMode="auto">
        <a:xfrm>
          <a:off x="46110525" y="249669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76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80E0000}"/>
            </a:ext>
          </a:extLst>
        </xdr:cNvPr>
        <xdr:cNvSpPr>
          <a:spLocks noChangeAspect="1" noChangeArrowheads="1"/>
        </xdr:cNvSpPr>
      </xdr:nvSpPr>
      <xdr:spPr bwMode="auto">
        <a:xfrm>
          <a:off x="46110525" y="249964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76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90E0000}"/>
            </a:ext>
          </a:extLst>
        </xdr:cNvPr>
        <xdr:cNvSpPr>
          <a:spLocks noChangeAspect="1" noChangeArrowheads="1"/>
        </xdr:cNvSpPr>
      </xdr:nvSpPr>
      <xdr:spPr bwMode="auto">
        <a:xfrm>
          <a:off x="46110525" y="249964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77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A0E0000}"/>
            </a:ext>
          </a:extLst>
        </xdr:cNvPr>
        <xdr:cNvSpPr>
          <a:spLocks noChangeAspect="1" noChangeArrowheads="1"/>
        </xdr:cNvSpPr>
      </xdr:nvSpPr>
      <xdr:spPr bwMode="auto">
        <a:xfrm>
          <a:off x="46110525" y="250259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77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B0E0000}"/>
            </a:ext>
          </a:extLst>
        </xdr:cNvPr>
        <xdr:cNvSpPr>
          <a:spLocks noChangeAspect="1" noChangeArrowheads="1"/>
        </xdr:cNvSpPr>
      </xdr:nvSpPr>
      <xdr:spPr bwMode="auto">
        <a:xfrm>
          <a:off x="46110525" y="250259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77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C0E0000}"/>
            </a:ext>
          </a:extLst>
        </xdr:cNvPr>
        <xdr:cNvSpPr>
          <a:spLocks noChangeAspect="1" noChangeArrowheads="1"/>
        </xdr:cNvSpPr>
      </xdr:nvSpPr>
      <xdr:spPr bwMode="auto">
        <a:xfrm>
          <a:off x="46110525" y="2505551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77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D0E0000}"/>
            </a:ext>
          </a:extLst>
        </xdr:cNvPr>
        <xdr:cNvSpPr>
          <a:spLocks noChangeAspect="1" noChangeArrowheads="1"/>
        </xdr:cNvSpPr>
      </xdr:nvSpPr>
      <xdr:spPr bwMode="auto">
        <a:xfrm>
          <a:off x="46110525" y="2505551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77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E0E0000}"/>
            </a:ext>
          </a:extLst>
        </xdr:cNvPr>
        <xdr:cNvSpPr>
          <a:spLocks noChangeAspect="1" noChangeArrowheads="1"/>
        </xdr:cNvSpPr>
      </xdr:nvSpPr>
      <xdr:spPr bwMode="auto">
        <a:xfrm>
          <a:off x="46110525" y="250850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77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F0E0000}"/>
            </a:ext>
          </a:extLst>
        </xdr:cNvPr>
        <xdr:cNvSpPr>
          <a:spLocks noChangeAspect="1" noChangeArrowheads="1"/>
        </xdr:cNvSpPr>
      </xdr:nvSpPr>
      <xdr:spPr bwMode="auto">
        <a:xfrm>
          <a:off x="46110525" y="250850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77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00E0000}"/>
            </a:ext>
          </a:extLst>
        </xdr:cNvPr>
        <xdr:cNvSpPr>
          <a:spLocks noChangeAspect="1" noChangeArrowheads="1"/>
        </xdr:cNvSpPr>
      </xdr:nvSpPr>
      <xdr:spPr bwMode="auto">
        <a:xfrm>
          <a:off x="46110525" y="2511456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77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10E0000}"/>
            </a:ext>
          </a:extLst>
        </xdr:cNvPr>
        <xdr:cNvSpPr>
          <a:spLocks noChangeAspect="1" noChangeArrowheads="1"/>
        </xdr:cNvSpPr>
      </xdr:nvSpPr>
      <xdr:spPr bwMode="auto">
        <a:xfrm>
          <a:off x="46110525" y="2511456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77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20E0000}"/>
            </a:ext>
          </a:extLst>
        </xdr:cNvPr>
        <xdr:cNvSpPr>
          <a:spLocks noChangeAspect="1" noChangeArrowheads="1"/>
        </xdr:cNvSpPr>
      </xdr:nvSpPr>
      <xdr:spPr bwMode="auto">
        <a:xfrm>
          <a:off x="46110525" y="251440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77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30E0000}"/>
            </a:ext>
          </a:extLst>
        </xdr:cNvPr>
        <xdr:cNvSpPr>
          <a:spLocks noChangeAspect="1" noChangeArrowheads="1"/>
        </xdr:cNvSpPr>
      </xdr:nvSpPr>
      <xdr:spPr bwMode="auto">
        <a:xfrm>
          <a:off x="46110525" y="251440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78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40E0000}"/>
            </a:ext>
          </a:extLst>
        </xdr:cNvPr>
        <xdr:cNvSpPr>
          <a:spLocks noChangeAspect="1" noChangeArrowheads="1"/>
        </xdr:cNvSpPr>
      </xdr:nvSpPr>
      <xdr:spPr bwMode="auto">
        <a:xfrm>
          <a:off x="46110525" y="251736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78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50E0000}"/>
            </a:ext>
          </a:extLst>
        </xdr:cNvPr>
        <xdr:cNvSpPr>
          <a:spLocks noChangeAspect="1" noChangeArrowheads="1"/>
        </xdr:cNvSpPr>
      </xdr:nvSpPr>
      <xdr:spPr bwMode="auto">
        <a:xfrm>
          <a:off x="46110525" y="251736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78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60E0000}"/>
            </a:ext>
          </a:extLst>
        </xdr:cNvPr>
        <xdr:cNvSpPr>
          <a:spLocks noChangeAspect="1" noChangeArrowheads="1"/>
        </xdr:cNvSpPr>
      </xdr:nvSpPr>
      <xdr:spPr bwMode="auto">
        <a:xfrm>
          <a:off x="46110525" y="252031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78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70E0000}"/>
            </a:ext>
          </a:extLst>
        </xdr:cNvPr>
        <xdr:cNvSpPr>
          <a:spLocks noChangeAspect="1" noChangeArrowheads="1"/>
        </xdr:cNvSpPr>
      </xdr:nvSpPr>
      <xdr:spPr bwMode="auto">
        <a:xfrm>
          <a:off x="46110525" y="252031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78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80E0000}"/>
            </a:ext>
          </a:extLst>
        </xdr:cNvPr>
        <xdr:cNvSpPr>
          <a:spLocks noChangeAspect="1" noChangeArrowheads="1"/>
        </xdr:cNvSpPr>
      </xdr:nvSpPr>
      <xdr:spPr bwMode="auto">
        <a:xfrm>
          <a:off x="46110525" y="2523267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78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90E0000}"/>
            </a:ext>
          </a:extLst>
        </xdr:cNvPr>
        <xdr:cNvSpPr>
          <a:spLocks noChangeAspect="1" noChangeArrowheads="1"/>
        </xdr:cNvSpPr>
      </xdr:nvSpPr>
      <xdr:spPr bwMode="auto">
        <a:xfrm>
          <a:off x="46110525" y="2523267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78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A0E0000}"/>
            </a:ext>
          </a:extLst>
        </xdr:cNvPr>
        <xdr:cNvSpPr>
          <a:spLocks noChangeAspect="1" noChangeArrowheads="1"/>
        </xdr:cNvSpPr>
      </xdr:nvSpPr>
      <xdr:spPr bwMode="auto">
        <a:xfrm>
          <a:off x="46110525" y="252622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78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B0E0000}"/>
            </a:ext>
          </a:extLst>
        </xdr:cNvPr>
        <xdr:cNvSpPr>
          <a:spLocks noChangeAspect="1" noChangeArrowheads="1"/>
        </xdr:cNvSpPr>
      </xdr:nvSpPr>
      <xdr:spPr bwMode="auto">
        <a:xfrm>
          <a:off x="46110525" y="252622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78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C0E0000}"/>
            </a:ext>
          </a:extLst>
        </xdr:cNvPr>
        <xdr:cNvSpPr>
          <a:spLocks noChangeAspect="1" noChangeArrowheads="1"/>
        </xdr:cNvSpPr>
      </xdr:nvSpPr>
      <xdr:spPr bwMode="auto">
        <a:xfrm>
          <a:off x="46110525" y="252917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78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D0E0000}"/>
            </a:ext>
          </a:extLst>
        </xdr:cNvPr>
        <xdr:cNvSpPr>
          <a:spLocks noChangeAspect="1" noChangeArrowheads="1"/>
        </xdr:cNvSpPr>
      </xdr:nvSpPr>
      <xdr:spPr bwMode="auto">
        <a:xfrm>
          <a:off x="46110525" y="252917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79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E0E0000}"/>
            </a:ext>
          </a:extLst>
        </xdr:cNvPr>
        <xdr:cNvSpPr>
          <a:spLocks noChangeAspect="1" noChangeArrowheads="1"/>
        </xdr:cNvSpPr>
      </xdr:nvSpPr>
      <xdr:spPr bwMode="auto">
        <a:xfrm>
          <a:off x="46110525" y="253212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79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F0E0000}"/>
            </a:ext>
          </a:extLst>
        </xdr:cNvPr>
        <xdr:cNvSpPr>
          <a:spLocks noChangeAspect="1" noChangeArrowheads="1"/>
        </xdr:cNvSpPr>
      </xdr:nvSpPr>
      <xdr:spPr bwMode="auto">
        <a:xfrm>
          <a:off x="46110525" y="253212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79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00E0000}"/>
            </a:ext>
          </a:extLst>
        </xdr:cNvPr>
        <xdr:cNvSpPr>
          <a:spLocks noChangeAspect="1" noChangeArrowheads="1"/>
        </xdr:cNvSpPr>
      </xdr:nvSpPr>
      <xdr:spPr bwMode="auto">
        <a:xfrm>
          <a:off x="46110525" y="253507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79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10E0000}"/>
            </a:ext>
          </a:extLst>
        </xdr:cNvPr>
        <xdr:cNvSpPr>
          <a:spLocks noChangeAspect="1" noChangeArrowheads="1"/>
        </xdr:cNvSpPr>
      </xdr:nvSpPr>
      <xdr:spPr bwMode="auto">
        <a:xfrm>
          <a:off x="46110525" y="253507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79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20E0000}"/>
            </a:ext>
          </a:extLst>
        </xdr:cNvPr>
        <xdr:cNvSpPr>
          <a:spLocks noChangeAspect="1" noChangeArrowheads="1"/>
        </xdr:cNvSpPr>
      </xdr:nvSpPr>
      <xdr:spPr bwMode="auto">
        <a:xfrm>
          <a:off x="46110525" y="253803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79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30E0000}"/>
            </a:ext>
          </a:extLst>
        </xdr:cNvPr>
        <xdr:cNvSpPr>
          <a:spLocks noChangeAspect="1" noChangeArrowheads="1"/>
        </xdr:cNvSpPr>
      </xdr:nvSpPr>
      <xdr:spPr bwMode="auto">
        <a:xfrm>
          <a:off x="46110525" y="253803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79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40E0000}"/>
            </a:ext>
          </a:extLst>
        </xdr:cNvPr>
        <xdr:cNvSpPr>
          <a:spLocks noChangeAspect="1" noChangeArrowheads="1"/>
        </xdr:cNvSpPr>
      </xdr:nvSpPr>
      <xdr:spPr bwMode="auto">
        <a:xfrm>
          <a:off x="46110525" y="2540984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79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50E0000}"/>
            </a:ext>
          </a:extLst>
        </xdr:cNvPr>
        <xdr:cNvSpPr>
          <a:spLocks noChangeAspect="1" noChangeArrowheads="1"/>
        </xdr:cNvSpPr>
      </xdr:nvSpPr>
      <xdr:spPr bwMode="auto">
        <a:xfrm>
          <a:off x="46110525" y="2540984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79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60E0000}"/>
            </a:ext>
          </a:extLst>
        </xdr:cNvPr>
        <xdr:cNvSpPr>
          <a:spLocks noChangeAspect="1" noChangeArrowheads="1"/>
        </xdr:cNvSpPr>
      </xdr:nvSpPr>
      <xdr:spPr bwMode="auto">
        <a:xfrm>
          <a:off x="46110525" y="254393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79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70E0000}"/>
            </a:ext>
          </a:extLst>
        </xdr:cNvPr>
        <xdr:cNvSpPr>
          <a:spLocks noChangeAspect="1" noChangeArrowheads="1"/>
        </xdr:cNvSpPr>
      </xdr:nvSpPr>
      <xdr:spPr bwMode="auto">
        <a:xfrm>
          <a:off x="46110525" y="254393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80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80E0000}"/>
            </a:ext>
          </a:extLst>
        </xdr:cNvPr>
        <xdr:cNvSpPr>
          <a:spLocks noChangeAspect="1" noChangeArrowheads="1"/>
        </xdr:cNvSpPr>
      </xdr:nvSpPr>
      <xdr:spPr bwMode="auto">
        <a:xfrm>
          <a:off x="46110525" y="2546889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80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90E0000}"/>
            </a:ext>
          </a:extLst>
        </xdr:cNvPr>
        <xdr:cNvSpPr>
          <a:spLocks noChangeAspect="1" noChangeArrowheads="1"/>
        </xdr:cNvSpPr>
      </xdr:nvSpPr>
      <xdr:spPr bwMode="auto">
        <a:xfrm>
          <a:off x="46110525" y="2546889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80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A0E0000}"/>
            </a:ext>
          </a:extLst>
        </xdr:cNvPr>
        <xdr:cNvSpPr>
          <a:spLocks noChangeAspect="1" noChangeArrowheads="1"/>
        </xdr:cNvSpPr>
      </xdr:nvSpPr>
      <xdr:spPr bwMode="auto">
        <a:xfrm>
          <a:off x="46110525" y="254984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80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B0E0000}"/>
            </a:ext>
          </a:extLst>
        </xdr:cNvPr>
        <xdr:cNvSpPr>
          <a:spLocks noChangeAspect="1" noChangeArrowheads="1"/>
        </xdr:cNvSpPr>
      </xdr:nvSpPr>
      <xdr:spPr bwMode="auto">
        <a:xfrm>
          <a:off x="46110525" y="254984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80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C0E0000}"/>
            </a:ext>
          </a:extLst>
        </xdr:cNvPr>
        <xdr:cNvSpPr>
          <a:spLocks noChangeAspect="1" noChangeArrowheads="1"/>
        </xdr:cNvSpPr>
      </xdr:nvSpPr>
      <xdr:spPr bwMode="auto">
        <a:xfrm>
          <a:off x="46110525" y="255279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80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D0E0000}"/>
            </a:ext>
          </a:extLst>
        </xdr:cNvPr>
        <xdr:cNvSpPr>
          <a:spLocks noChangeAspect="1" noChangeArrowheads="1"/>
        </xdr:cNvSpPr>
      </xdr:nvSpPr>
      <xdr:spPr bwMode="auto">
        <a:xfrm>
          <a:off x="46110525" y="255279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80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E0E0000}"/>
            </a:ext>
          </a:extLst>
        </xdr:cNvPr>
        <xdr:cNvSpPr>
          <a:spLocks noChangeAspect="1" noChangeArrowheads="1"/>
        </xdr:cNvSpPr>
      </xdr:nvSpPr>
      <xdr:spPr bwMode="auto">
        <a:xfrm>
          <a:off x="46110525" y="255574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80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F0E0000}"/>
            </a:ext>
          </a:extLst>
        </xdr:cNvPr>
        <xdr:cNvSpPr>
          <a:spLocks noChangeAspect="1" noChangeArrowheads="1"/>
        </xdr:cNvSpPr>
      </xdr:nvSpPr>
      <xdr:spPr bwMode="auto">
        <a:xfrm>
          <a:off x="46110525" y="255574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80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00E0000}"/>
            </a:ext>
          </a:extLst>
        </xdr:cNvPr>
        <xdr:cNvSpPr>
          <a:spLocks noChangeAspect="1" noChangeArrowheads="1"/>
        </xdr:cNvSpPr>
      </xdr:nvSpPr>
      <xdr:spPr bwMode="auto">
        <a:xfrm>
          <a:off x="46110525" y="255870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80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10E0000}"/>
            </a:ext>
          </a:extLst>
        </xdr:cNvPr>
        <xdr:cNvSpPr>
          <a:spLocks noChangeAspect="1" noChangeArrowheads="1"/>
        </xdr:cNvSpPr>
      </xdr:nvSpPr>
      <xdr:spPr bwMode="auto">
        <a:xfrm>
          <a:off x="46110525" y="255870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81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20E0000}"/>
            </a:ext>
          </a:extLst>
        </xdr:cNvPr>
        <xdr:cNvSpPr>
          <a:spLocks noChangeAspect="1" noChangeArrowheads="1"/>
        </xdr:cNvSpPr>
      </xdr:nvSpPr>
      <xdr:spPr bwMode="auto">
        <a:xfrm>
          <a:off x="46110525" y="256165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81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30E0000}"/>
            </a:ext>
          </a:extLst>
        </xdr:cNvPr>
        <xdr:cNvSpPr>
          <a:spLocks noChangeAspect="1" noChangeArrowheads="1"/>
        </xdr:cNvSpPr>
      </xdr:nvSpPr>
      <xdr:spPr bwMode="auto">
        <a:xfrm>
          <a:off x="46110525" y="256165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81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40E0000}"/>
            </a:ext>
          </a:extLst>
        </xdr:cNvPr>
        <xdr:cNvSpPr>
          <a:spLocks noChangeAspect="1" noChangeArrowheads="1"/>
        </xdr:cNvSpPr>
      </xdr:nvSpPr>
      <xdr:spPr bwMode="auto">
        <a:xfrm>
          <a:off x="46110525" y="256460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81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50E0000}"/>
            </a:ext>
          </a:extLst>
        </xdr:cNvPr>
        <xdr:cNvSpPr>
          <a:spLocks noChangeAspect="1" noChangeArrowheads="1"/>
        </xdr:cNvSpPr>
      </xdr:nvSpPr>
      <xdr:spPr bwMode="auto">
        <a:xfrm>
          <a:off x="46110525" y="256460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81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60E0000}"/>
            </a:ext>
          </a:extLst>
        </xdr:cNvPr>
        <xdr:cNvSpPr>
          <a:spLocks noChangeAspect="1" noChangeArrowheads="1"/>
        </xdr:cNvSpPr>
      </xdr:nvSpPr>
      <xdr:spPr bwMode="auto">
        <a:xfrm>
          <a:off x="46110525" y="256755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81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70E0000}"/>
            </a:ext>
          </a:extLst>
        </xdr:cNvPr>
        <xdr:cNvSpPr>
          <a:spLocks noChangeAspect="1" noChangeArrowheads="1"/>
        </xdr:cNvSpPr>
      </xdr:nvSpPr>
      <xdr:spPr bwMode="auto">
        <a:xfrm>
          <a:off x="46110525" y="256755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81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80E0000}"/>
            </a:ext>
          </a:extLst>
        </xdr:cNvPr>
        <xdr:cNvSpPr>
          <a:spLocks noChangeAspect="1" noChangeArrowheads="1"/>
        </xdr:cNvSpPr>
      </xdr:nvSpPr>
      <xdr:spPr bwMode="auto">
        <a:xfrm>
          <a:off x="46110525" y="2570511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81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90E0000}"/>
            </a:ext>
          </a:extLst>
        </xdr:cNvPr>
        <xdr:cNvSpPr>
          <a:spLocks noChangeAspect="1" noChangeArrowheads="1"/>
        </xdr:cNvSpPr>
      </xdr:nvSpPr>
      <xdr:spPr bwMode="auto">
        <a:xfrm>
          <a:off x="46110525" y="2570511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81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A0E0000}"/>
            </a:ext>
          </a:extLst>
        </xdr:cNvPr>
        <xdr:cNvSpPr>
          <a:spLocks noChangeAspect="1" noChangeArrowheads="1"/>
        </xdr:cNvSpPr>
      </xdr:nvSpPr>
      <xdr:spPr bwMode="auto">
        <a:xfrm>
          <a:off x="46110525" y="257346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81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B0E0000}"/>
            </a:ext>
          </a:extLst>
        </xdr:cNvPr>
        <xdr:cNvSpPr>
          <a:spLocks noChangeAspect="1" noChangeArrowheads="1"/>
        </xdr:cNvSpPr>
      </xdr:nvSpPr>
      <xdr:spPr bwMode="auto">
        <a:xfrm>
          <a:off x="46110525" y="257346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82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C0E0000}"/>
            </a:ext>
          </a:extLst>
        </xdr:cNvPr>
        <xdr:cNvSpPr>
          <a:spLocks noChangeAspect="1" noChangeArrowheads="1"/>
        </xdr:cNvSpPr>
      </xdr:nvSpPr>
      <xdr:spPr bwMode="auto">
        <a:xfrm>
          <a:off x="46110525" y="2576417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82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D0E0000}"/>
            </a:ext>
          </a:extLst>
        </xdr:cNvPr>
        <xdr:cNvSpPr>
          <a:spLocks noChangeAspect="1" noChangeArrowheads="1"/>
        </xdr:cNvSpPr>
      </xdr:nvSpPr>
      <xdr:spPr bwMode="auto">
        <a:xfrm>
          <a:off x="46110525" y="2576417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82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E0E0000}"/>
            </a:ext>
          </a:extLst>
        </xdr:cNvPr>
        <xdr:cNvSpPr>
          <a:spLocks noChangeAspect="1" noChangeArrowheads="1"/>
        </xdr:cNvSpPr>
      </xdr:nvSpPr>
      <xdr:spPr bwMode="auto">
        <a:xfrm>
          <a:off x="46110525" y="25793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82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F0E0000}"/>
            </a:ext>
          </a:extLst>
        </xdr:cNvPr>
        <xdr:cNvSpPr>
          <a:spLocks noChangeAspect="1" noChangeArrowheads="1"/>
        </xdr:cNvSpPr>
      </xdr:nvSpPr>
      <xdr:spPr bwMode="auto">
        <a:xfrm>
          <a:off x="46110525" y="25793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82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00E0000}"/>
            </a:ext>
          </a:extLst>
        </xdr:cNvPr>
        <xdr:cNvSpPr>
          <a:spLocks noChangeAspect="1" noChangeArrowheads="1"/>
        </xdr:cNvSpPr>
      </xdr:nvSpPr>
      <xdr:spPr bwMode="auto">
        <a:xfrm>
          <a:off x="46110525" y="2582322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82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10E0000}"/>
            </a:ext>
          </a:extLst>
        </xdr:cNvPr>
        <xdr:cNvSpPr>
          <a:spLocks noChangeAspect="1" noChangeArrowheads="1"/>
        </xdr:cNvSpPr>
      </xdr:nvSpPr>
      <xdr:spPr bwMode="auto">
        <a:xfrm>
          <a:off x="46110525" y="2582322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82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20E0000}"/>
            </a:ext>
          </a:extLst>
        </xdr:cNvPr>
        <xdr:cNvSpPr>
          <a:spLocks noChangeAspect="1" noChangeArrowheads="1"/>
        </xdr:cNvSpPr>
      </xdr:nvSpPr>
      <xdr:spPr bwMode="auto">
        <a:xfrm>
          <a:off x="46110525" y="258527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82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30E0000}"/>
            </a:ext>
          </a:extLst>
        </xdr:cNvPr>
        <xdr:cNvSpPr>
          <a:spLocks noChangeAspect="1" noChangeArrowheads="1"/>
        </xdr:cNvSpPr>
      </xdr:nvSpPr>
      <xdr:spPr bwMode="auto">
        <a:xfrm>
          <a:off x="46110525" y="258527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82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40E0000}"/>
            </a:ext>
          </a:extLst>
        </xdr:cNvPr>
        <xdr:cNvSpPr>
          <a:spLocks noChangeAspect="1" noChangeArrowheads="1"/>
        </xdr:cNvSpPr>
      </xdr:nvSpPr>
      <xdr:spPr bwMode="auto">
        <a:xfrm>
          <a:off x="46110525" y="258822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82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50E0000}"/>
            </a:ext>
          </a:extLst>
        </xdr:cNvPr>
        <xdr:cNvSpPr>
          <a:spLocks noChangeAspect="1" noChangeArrowheads="1"/>
        </xdr:cNvSpPr>
      </xdr:nvSpPr>
      <xdr:spPr bwMode="auto">
        <a:xfrm>
          <a:off x="46110525" y="258822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83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60E0000}"/>
            </a:ext>
          </a:extLst>
        </xdr:cNvPr>
        <xdr:cNvSpPr>
          <a:spLocks noChangeAspect="1" noChangeArrowheads="1"/>
        </xdr:cNvSpPr>
      </xdr:nvSpPr>
      <xdr:spPr bwMode="auto">
        <a:xfrm>
          <a:off x="46110525" y="259118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83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70E0000}"/>
            </a:ext>
          </a:extLst>
        </xdr:cNvPr>
        <xdr:cNvSpPr>
          <a:spLocks noChangeAspect="1" noChangeArrowheads="1"/>
        </xdr:cNvSpPr>
      </xdr:nvSpPr>
      <xdr:spPr bwMode="auto">
        <a:xfrm>
          <a:off x="46110525" y="259118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83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80E0000}"/>
            </a:ext>
          </a:extLst>
        </xdr:cNvPr>
        <xdr:cNvSpPr>
          <a:spLocks noChangeAspect="1" noChangeArrowheads="1"/>
        </xdr:cNvSpPr>
      </xdr:nvSpPr>
      <xdr:spPr bwMode="auto">
        <a:xfrm>
          <a:off x="46110525" y="259413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83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90E0000}"/>
            </a:ext>
          </a:extLst>
        </xdr:cNvPr>
        <xdr:cNvSpPr>
          <a:spLocks noChangeAspect="1" noChangeArrowheads="1"/>
        </xdr:cNvSpPr>
      </xdr:nvSpPr>
      <xdr:spPr bwMode="auto">
        <a:xfrm>
          <a:off x="46110525" y="259413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83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A0E0000}"/>
            </a:ext>
          </a:extLst>
        </xdr:cNvPr>
        <xdr:cNvSpPr>
          <a:spLocks noChangeAspect="1" noChangeArrowheads="1"/>
        </xdr:cNvSpPr>
      </xdr:nvSpPr>
      <xdr:spPr bwMode="auto">
        <a:xfrm>
          <a:off x="46110525" y="259708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83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B0E0000}"/>
            </a:ext>
          </a:extLst>
        </xdr:cNvPr>
        <xdr:cNvSpPr>
          <a:spLocks noChangeAspect="1" noChangeArrowheads="1"/>
        </xdr:cNvSpPr>
      </xdr:nvSpPr>
      <xdr:spPr bwMode="auto">
        <a:xfrm>
          <a:off x="46110525" y="259708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83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C0E0000}"/>
            </a:ext>
          </a:extLst>
        </xdr:cNvPr>
        <xdr:cNvSpPr>
          <a:spLocks noChangeAspect="1" noChangeArrowheads="1"/>
        </xdr:cNvSpPr>
      </xdr:nvSpPr>
      <xdr:spPr bwMode="auto">
        <a:xfrm>
          <a:off x="46110525" y="2600039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83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D0E0000}"/>
            </a:ext>
          </a:extLst>
        </xdr:cNvPr>
        <xdr:cNvSpPr>
          <a:spLocks noChangeAspect="1" noChangeArrowheads="1"/>
        </xdr:cNvSpPr>
      </xdr:nvSpPr>
      <xdr:spPr bwMode="auto">
        <a:xfrm>
          <a:off x="46110525" y="2600039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83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E0E0000}"/>
            </a:ext>
          </a:extLst>
        </xdr:cNvPr>
        <xdr:cNvSpPr>
          <a:spLocks noChangeAspect="1" noChangeArrowheads="1"/>
        </xdr:cNvSpPr>
      </xdr:nvSpPr>
      <xdr:spPr bwMode="auto">
        <a:xfrm>
          <a:off x="46110525" y="26029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83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F0E0000}"/>
            </a:ext>
          </a:extLst>
        </xdr:cNvPr>
        <xdr:cNvSpPr>
          <a:spLocks noChangeAspect="1" noChangeArrowheads="1"/>
        </xdr:cNvSpPr>
      </xdr:nvSpPr>
      <xdr:spPr bwMode="auto">
        <a:xfrm>
          <a:off x="46110525" y="26029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84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00F0000}"/>
            </a:ext>
          </a:extLst>
        </xdr:cNvPr>
        <xdr:cNvSpPr>
          <a:spLocks noChangeAspect="1" noChangeArrowheads="1"/>
        </xdr:cNvSpPr>
      </xdr:nvSpPr>
      <xdr:spPr bwMode="auto">
        <a:xfrm>
          <a:off x="46110525" y="2605944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84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10F0000}"/>
            </a:ext>
          </a:extLst>
        </xdr:cNvPr>
        <xdr:cNvSpPr>
          <a:spLocks noChangeAspect="1" noChangeArrowheads="1"/>
        </xdr:cNvSpPr>
      </xdr:nvSpPr>
      <xdr:spPr bwMode="auto">
        <a:xfrm>
          <a:off x="46110525" y="2605944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84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20F0000}"/>
            </a:ext>
          </a:extLst>
        </xdr:cNvPr>
        <xdr:cNvSpPr>
          <a:spLocks noChangeAspect="1" noChangeArrowheads="1"/>
        </xdr:cNvSpPr>
      </xdr:nvSpPr>
      <xdr:spPr bwMode="auto">
        <a:xfrm>
          <a:off x="46110525" y="260889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84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30F0000}"/>
            </a:ext>
          </a:extLst>
        </xdr:cNvPr>
        <xdr:cNvSpPr>
          <a:spLocks noChangeAspect="1" noChangeArrowheads="1"/>
        </xdr:cNvSpPr>
      </xdr:nvSpPr>
      <xdr:spPr bwMode="auto">
        <a:xfrm>
          <a:off x="46110525" y="260889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84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40F0000}"/>
            </a:ext>
          </a:extLst>
        </xdr:cNvPr>
        <xdr:cNvSpPr>
          <a:spLocks noChangeAspect="1" noChangeArrowheads="1"/>
        </xdr:cNvSpPr>
      </xdr:nvSpPr>
      <xdr:spPr bwMode="auto">
        <a:xfrm>
          <a:off x="46110525" y="261185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84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50F0000}"/>
            </a:ext>
          </a:extLst>
        </xdr:cNvPr>
        <xdr:cNvSpPr>
          <a:spLocks noChangeAspect="1" noChangeArrowheads="1"/>
        </xdr:cNvSpPr>
      </xdr:nvSpPr>
      <xdr:spPr bwMode="auto">
        <a:xfrm>
          <a:off x="46110525" y="261185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84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60F0000}"/>
            </a:ext>
          </a:extLst>
        </xdr:cNvPr>
        <xdr:cNvSpPr>
          <a:spLocks noChangeAspect="1" noChangeArrowheads="1"/>
        </xdr:cNvSpPr>
      </xdr:nvSpPr>
      <xdr:spPr bwMode="auto">
        <a:xfrm>
          <a:off x="46110525" y="261480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84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70F0000}"/>
            </a:ext>
          </a:extLst>
        </xdr:cNvPr>
        <xdr:cNvSpPr>
          <a:spLocks noChangeAspect="1" noChangeArrowheads="1"/>
        </xdr:cNvSpPr>
      </xdr:nvSpPr>
      <xdr:spPr bwMode="auto">
        <a:xfrm>
          <a:off x="46110525" y="261480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84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80F0000}"/>
            </a:ext>
          </a:extLst>
        </xdr:cNvPr>
        <xdr:cNvSpPr>
          <a:spLocks noChangeAspect="1" noChangeArrowheads="1"/>
        </xdr:cNvSpPr>
      </xdr:nvSpPr>
      <xdr:spPr bwMode="auto">
        <a:xfrm>
          <a:off x="46110525" y="261775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84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90F0000}"/>
            </a:ext>
          </a:extLst>
        </xdr:cNvPr>
        <xdr:cNvSpPr>
          <a:spLocks noChangeAspect="1" noChangeArrowheads="1"/>
        </xdr:cNvSpPr>
      </xdr:nvSpPr>
      <xdr:spPr bwMode="auto">
        <a:xfrm>
          <a:off x="46110525" y="261775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85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A0F0000}"/>
            </a:ext>
          </a:extLst>
        </xdr:cNvPr>
        <xdr:cNvSpPr>
          <a:spLocks noChangeAspect="1" noChangeArrowheads="1"/>
        </xdr:cNvSpPr>
      </xdr:nvSpPr>
      <xdr:spPr bwMode="auto">
        <a:xfrm>
          <a:off x="46110525" y="262070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85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B0F0000}"/>
            </a:ext>
          </a:extLst>
        </xdr:cNvPr>
        <xdr:cNvSpPr>
          <a:spLocks noChangeAspect="1" noChangeArrowheads="1"/>
        </xdr:cNvSpPr>
      </xdr:nvSpPr>
      <xdr:spPr bwMode="auto">
        <a:xfrm>
          <a:off x="46110525" y="262070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85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C0F0000}"/>
            </a:ext>
          </a:extLst>
        </xdr:cNvPr>
        <xdr:cNvSpPr>
          <a:spLocks noChangeAspect="1" noChangeArrowheads="1"/>
        </xdr:cNvSpPr>
      </xdr:nvSpPr>
      <xdr:spPr bwMode="auto">
        <a:xfrm>
          <a:off x="46110525" y="2623661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85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D0F0000}"/>
            </a:ext>
          </a:extLst>
        </xdr:cNvPr>
        <xdr:cNvSpPr>
          <a:spLocks noChangeAspect="1" noChangeArrowheads="1"/>
        </xdr:cNvSpPr>
      </xdr:nvSpPr>
      <xdr:spPr bwMode="auto">
        <a:xfrm>
          <a:off x="46110525" y="2623661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85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E0F0000}"/>
            </a:ext>
          </a:extLst>
        </xdr:cNvPr>
        <xdr:cNvSpPr>
          <a:spLocks noChangeAspect="1" noChangeArrowheads="1"/>
        </xdr:cNvSpPr>
      </xdr:nvSpPr>
      <xdr:spPr bwMode="auto">
        <a:xfrm>
          <a:off x="46110525" y="262661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85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F0F0000}"/>
            </a:ext>
          </a:extLst>
        </xdr:cNvPr>
        <xdr:cNvSpPr>
          <a:spLocks noChangeAspect="1" noChangeArrowheads="1"/>
        </xdr:cNvSpPr>
      </xdr:nvSpPr>
      <xdr:spPr bwMode="auto">
        <a:xfrm>
          <a:off x="46110525" y="262661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85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00F0000}"/>
            </a:ext>
          </a:extLst>
        </xdr:cNvPr>
        <xdr:cNvSpPr>
          <a:spLocks noChangeAspect="1" noChangeArrowheads="1"/>
        </xdr:cNvSpPr>
      </xdr:nvSpPr>
      <xdr:spPr bwMode="auto">
        <a:xfrm>
          <a:off x="46110525" y="2629566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85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10F0000}"/>
            </a:ext>
          </a:extLst>
        </xdr:cNvPr>
        <xdr:cNvSpPr>
          <a:spLocks noChangeAspect="1" noChangeArrowheads="1"/>
        </xdr:cNvSpPr>
      </xdr:nvSpPr>
      <xdr:spPr bwMode="auto">
        <a:xfrm>
          <a:off x="46110525" y="2629566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85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20F0000}"/>
            </a:ext>
          </a:extLst>
        </xdr:cNvPr>
        <xdr:cNvSpPr>
          <a:spLocks noChangeAspect="1" noChangeArrowheads="1"/>
        </xdr:cNvSpPr>
      </xdr:nvSpPr>
      <xdr:spPr bwMode="auto">
        <a:xfrm>
          <a:off x="46110525" y="263251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85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30F0000}"/>
            </a:ext>
          </a:extLst>
        </xdr:cNvPr>
        <xdr:cNvSpPr>
          <a:spLocks noChangeAspect="1" noChangeArrowheads="1"/>
        </xdr:cNvSpPr>
      </xdr:nvSpPr>
      <xdr:spPr bwMode="auto">
        <a:xfrm>
          <a:off x="46110525" y="263251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86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40F0000}"/>
            </a:ext>
          </a:extLst>
        </xdr:cNvPr>
        <xdr:cNvSpPr>
          <a:spLocks noChangeAspect="1" noChangeArrowheads="1"/>
        </xdr:cNvSpPr>
      </xdr:nvSpPr>
      <xdr:spPr bwMode="auto">
        <a:xfrm>
          <a:off x="46110525" y="263547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86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50F0000}"/>
            </a:ext>
          </a:extLst>
        </xdr:cNvPr>
        <xdr:cNvSpPr>
          <a:spLocks noChangeAspect="1" noChangeArrowheads="1"/>
        </xdr:cNvSpPr>
      </xdr:nvSpPr>
      <xdr:spPr bwMode="auto">
        <a:xfrm>
          <a:off x="46110525" y="263547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86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60F0000}"/>
            </a:ext>
          </a:extLst>
        </xdr:cNvPr>
        <xdr:cNvSpPr>
          <a:spLocks noChangeAspect="1" noChangeArrowheads="1"/>
        </xdr:cNvSpPr>
      </xdr:nvSpPr>
      <xdr:spPr bwMode="auto">
        <a:xfrm>
          <a:off x="46110525" y="26384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86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70F0000}"/>
            </a:ext>
          </a:extLst>
        </xdr:cNvPr>
        <xdr:cNvSpPr>
          <a:spLocks noChangeAspect="1" noChangeArrowheads="1"/>
        </xdr:cNvSpPr>
      </xdr:nvSpPr>
      <xdr:spPr bwMode="auto">
        <a:xfrm>
          <a:off x="46110525" y="26384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86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80F0000}"/>
            </a:ext>
          </a:extLst>
        </xdr:cNvPr>
        <xdr:cNvSpPr>
          <a:spLocks noChangeAspect="1" noChangeArrowheads="1"/>
        </xdr:cNvSpPr>
      </xdr:nvSpPr>
      <xdr:spPr bwMode="auto">
        <a:xfrm>
          <a:off x="46110525" y="2641377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86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90F0000}"/>
            </a:ext>
          </a:extLst>
        </xdr:cNvPr>
        <xdr:cNvSpPr>
          <a:spLocks noChangeAspect="1" noChangeArrowheads="1"/>
        </xdr:cNvSpPr>
      </xdr:nvSpPr>
      <xdr:spPr bwMode="auto">
        <a:xfrm>
          <a:off x="46110525" y="2641377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86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A0F0000}"/>
            </a:ext>
          </a:extLst>
        </xdr:cNvPr>
        <xdr:cNvSpPr>
          <a:spLocks noChangeAspect="1" noChangeArrowheads="1"/>
        </xdr:cNvSpPr>
      </xdr:nvSpPr>
      <xdr:spPr bwMode="auto">
        <a:xfrm>
          <a:off x="46110525" y="264433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86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B0F0000}"/>
            </a:ext>
          </a:extLst>
        </xdr:cNvPr>
        <xdr:cNvSpPr>
          <a:spLocks noChangeAspect="1" noChangeArrowheads="1"/>
        </xdr:cNvSpPr>
      </xdr:nvSpPr>
      <xdr:spPr bwMode="auto">
        <a:xfrm>
          <a:off x="46110525" y="264433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86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C0F0000}"/>
            </a:ext>
          </a:extLst>
        </xdr:cNvPr>
        <xdr:cNvSpPr>
          <a:spLocks noChangeAspect="1" noChangeArrowheads="1"/>
        </xdr:cNvSpPr>
      </xdr:nvSpPr>
      <xdr:spPr bwMode="auto">
        <a:xfrm>
          <a:off x="46110525" y="264728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86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D0F0000}"/>
            </a:ext>
          </a:extLst>
        </xdr:cNvPr>
        <xdr:cNvSpPr>
          <a:spLocks noChangeAspect="1" noChangeArrowheads="1"/>
        </xdr:cNvSpPr>
      </xdr:nvSpPr>
      <xdr:spPr bwMode="auto">
        <a:xfrm>
          <a:off x="46110525" y="264728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87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E0F0000}"/>
            </a:ext>
          </a:extLst>
        </xdr:cNvPr>
        <xdr:cNvSpPr>
          <a:spLocks noChangeAspect="1" noChangeArrowheads="1"/>
        </xdr:cNvSpPr>
      </xdr:nvSpPr>
      <xdr:spPr bwMode="auto">
        <a:xfrm>
          <a:off x="46110525" y="265023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87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F0F0000}"/>
            </a:ext>
          </a:extLst>
        </xdr:cNvPr>
        <xdr:cNvSpPr>
          <a:spLocks noChangeAspect="1" noChangeArrowheads="1"/>
        </xdr:cNvSpPr>
      </xdr:nvSpPr>
      <xdr:spPr bwMode="auto">
        <a:xfrm>
          <a:off x="46110525" y="265023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87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00F0000}"/>
            </a:ext>
          </a:extLst>
        </xdr:cNvPr>
        <xdr:cNvSpPr>
          <a:spLocks noChangeAspect="1" noChangeArrowheads="1"/>
        </xdr:cNvSpPr>
      </xdr:nvSpPr>
      <xdr:spPr bwMode="auto">
        <a:xfrm>
          <a:off x="46110525" y="265318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87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10F0000}"/>
            </a:ext>
          </a:extLst>
        </xdr:cNvPr>
        <xdr:cNvSpPr>
          <a:spLocks noChangeAspect="1" noChangeArrowheads="1"/>
        </xdr:cNvSpPr>
      </xdr:nvSpPr>
      <xdr:spPr bwMode="auto">
        <a:xfrm>
          <a:off x="46110525" y="265318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87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20F0000}"/>
            </a:ext>
          </a:extLst>
        </xdr:cNvPr>
        <xdr:cNvSpPr>
          <a:spLocks noChangeAspect="1" noChangeArrowheads="1"/>
        </xdr:cNvSpPr>
      </xdr:nvSpPr>
      <xdr:spPr bwMode="auto">
        <a:xfrm>
          <a:off x="46110525" y="265614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87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30F0000}"/>
            </a:ext>
          </a:extLst>
        </xdr:cNvPr>
        <xdr:cNvSpPr>
          <a:spLocks noChangeAspect="1" noChangeArrowheads="1"/>
        </xdr:cNvSpPr>
      </xdr:nvSpPr>
      <xdr:spPr bwMode="auto">
        <a:xfrm>
          <a:off x="46110525" y="265614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87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40F0000}"/>
            </a:ext>
          </a:extLst>
        </xdr:cNvPr>
        <xdr:cNvSpPr>
          <a:spLocks noChangeAspect="1" noChangeArrowheads="1"/>
        </xdr:cNvSpPr>
      </xdr:nvSpPr>
      <xdr:spPr bwMode="auto">
        <a:xfrm>
          <a:off x="46110525" y="2659094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87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50F0000}"/>
            </a:ext>
          </a:extLst>
        </xdr:cNvPr>
        <xdr:cNvSpPr>
          <a:spLocks noChangeAspect="1" noChangeArrowheads="1"/>
        </xdr:cNvSpPr>
      </xdr:nvSpPr>
      <xdr:spPr bwMode="auto">
        <a:xfrm>
          <a:off x="46110525" y="2659094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87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60F0000}"/>
            </a:ext>
          </a:extLst>
        </xdr:cNvPr>
        <xdr:cNvSpPr>
          <a:spLocks noChangeAspect="1" noChangeArrowheads="1"/>
        </xdr:cNvSpPr>
      </xdr:nvSpPr>
      <xdr:spPr bwMode="auto">
        <a:xfrm>
          <a:off x="46110525" y="266204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87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70F0000}"/>
            </a:ext>
          </a:extLst>
        </xdr:cNvPr>
        <xdr:cNvSpPr>
          <a:spLocks noChangeAspect="1" noChangeArrowheads="1"/>
        </xdr:cNvSpPr>
      </xdr:nvSpPr>
      <xdr:spPr bwMode="auto">
        <a:xfrm>
          <a:off x="46110525" y="266204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88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80F0000}"/>
            </a:ext>
          </a:extLst>
        </xdr:cNvPr>
        <xdr:cNvSpPr>
          <a:spLocks noChangeAspect="1" noChangeArrowheads="1"/>
        </xdr:cNvSpPr>
      </xdr:nvSpPr>
      <xdr:spPr bwMode="auto">
        <a:xfrm>
          <a:off x="46110525" y="2664999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88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90F0000}"/>
            </a:ext>
          </a:extLst>
        </xdr:cNvPr>
        <xdr:cNvSpPr>
          <a:spLocks noChangeAspect="1" noChangeArrowheads="1"/>
        </xdr:cNvSpPr>
      </xdr:nvSpPr>
      <xdr:spPr bwMode="auto">
        <a:xfrm>
          <a:off x="46110525" y="2664999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88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A0F0000}"/>
            </a:ext>
          </a:extLst>
        </xdr:cNvPr>
        <xdr:cNvSpPr>
          <a:spLocks noChangeAspect="1" noChangeArrowheads="1"/>
        </xdr:cNvSpPr>
      </xdr:nvSpPr>
      <xdr:spPr bwMode="auto">
        <a:xfrm>
          <a:off x="46110525" y="266795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88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B0F0000}"/>
            </a:ext>
          </a:extLst>
        </xdr:cNvPr>
        <xdr:cNvSpPr>
          <a:spLocks noChangeAspect="1" noChangeArrowheads="1"/>
        </xdr:cNvSpPr>
      </xdr:nvSpPr>
      <xdr:spPr bwMode="auto">
        <a:xfrm>
          <a:off x="46110525" y="266795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88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C0F0000}"/>
            </a:ext>
          </a:extLst>
        </xdr:cNvPr>
        <xdr:cNvSpPr>
          <a:spLocks noChangeAspect="1" noChangeArrowheads="1"/>
        </xdr:cNvSpPr>
      </xdr:nvSpPr>
      <xdr:spPr bwMode="auto">
        <a:xfrm>
          <a:off x="46110525" y="267090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88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D0F0000}"/>
            </a:ext>
          </a:extLst>
        </xdr:cNvPr>
        <xdr:cNvSpPr>
          <a:spLocks noChangeAspect="1" noChangeArrowheads="1"/>
        </xdr:cNvSpPr>
      </xdr:nvSpPr>
      <xdr:spPr bwMode="auto">
        <a:xfrm>
          <a:off x="46110525" y="267090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88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E0F0000}"/>
            </a:ext>
          </a:extLst>
        </xdr:cNvPr>
        <xdr:cNvSpPr>
          <a:spLocks noChangeAspect="1" noChangeArrowheads="1"/>
        </xdr:cNvSpPr>
      </xdr:nvSpPr>
      <xdr:spPr bwMode="auto">
        <a:xfrm>
          <a:off x="46110525" y="267385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88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F0F0000}"/>
            </a:ext>
          </a:extLst>
        </xdr:cNvPr>
        <xdr:cNvSpPr>
          <a:spLocks noChangeAspect="1" noChangeArrowheads="1"/>
        </xdr:cNvSpPr>
      </xdr:nvSpPr>
      <xdr:spPr bwMode="auto">
        <a:xfrm>
          <a:off x="46110525" y="267385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88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00F0000}"/>
            </a:ext>
          </a:extLst>
        </xdr:cNvPr>
        <xdr:cNvSpPr>
          <a:spLocks noChangeAspect="1" noChangeArrowheads="1"/>
        </xdr:cNvSpPr>
      </xdr:nvSpPr>
      <xdr:spPr bwMode="auto">
        <a:xfrm>
          <a:off x="46110525" y="267681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88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10F0000}"/>
            </a:ext>
          </a:extLst>
        </xdr:cNvPr>
        <xdr:cNvSpPr>
          <a:spLocks noChangeAspect="1" noChangeArrowheads="1"/>
        </xdr:cNvSpPr>
      </xdr:nvSpPr>
      <xdr:spPr bwMode="auto">
        <a:xfrm>
          <a:off x="46110525" y="267681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89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20F0000}"/>
            </a:ext>
          </a:extLst>
        </xdr:cNvPr>
        <xdr:cNvSpPr>
          <a:spLocks noChangeAspect="1" noChangeArrowheads="1"/>
        </xdr:cNvSpPr>
      </xdr:nvSpPr>
      <xdr:spPr bwMode="auto">
        <a:xfrm>
          <a:off x="46110525" y="267976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89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30F0000}"/>
            </a:ext>
          </a:extLst>
        </xdr:cNvPr>
        <xdr:cNvSpPr>
          <a:spLocks noChangeAspect="1" noChangeArrowheads="1"/>
        </xdr:cNvSpPr>
      </xdr:nvSpPr>
      <xdr:spPr bwMode="auto">
        <a:xfrm>
          <a:off x="46110525" y="267976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89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40F0000}"/>
            </a:ext>
          </a:extLst>
        </xdr:cNvPr>
        <xdr:cNvSpPr>
          <a:spLocks noChangeAspect="1" noChangeArrowheads="1"/>
        </xdr:cNvSpPr>
      </xdr:nvSpPr>
      <xdr:spPr bwMode="auto">
        <a:xfrm>
          <a:off x="46110525" y="268271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89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50F0000}"/>
            </a:ext>
          </a:extLst>
        </xdr:cNvPr>
        <xdr:cNvSpPr>
          <a:spLocks noChangeAspect="1" noChangeArrowheads="1"/>
        </xdr:cNvSpPr>
      </xdr:nvSpPr>
      <xdr:spPr bwMode="auto">
        <a:xfrm>
          <a:off x="46110525" y="268271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89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60F0000}"/>
            </a:ext>
          </a:extLst>
        </xdr:cNvPr>
        <xdr:cNvSpPr>
          <a:spLocks noChangeAspect="1" noChangeArrowheads="1"/>
        </xdr:cNvSpPr>
      </xdr:nvSpPr>
      <xdr:spPr bwMode="auto">
        <a:xfrm>
          <a:off x="46110525" y="268566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89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70F0000}"/>
            </a:ext>
          </a:extLst>
        </xdr:cNvPr>
        <xdr:cNvSpPr>
          <a:spLocks noChangeAspect="1" noChangeArrowheads="1"/>
        </xdr:cNvSpPr>
      </xdr:nvSpPr>
      <xdr:spPr bwMode="auto">
        <a:xfrm>
          <a:off x="46110525" y="268566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89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80F0000}"/>
            </a:ext>
          </a:extLst>
        </xdr:cNvPr>
        <xdr:cNvSpPr>
          <a:spLocks noChangeAspect="1" noChangeArrowheads="1"/>
        </xdr:cNvSpPr>
      </xdr:nvSpPr>
      <xdr:spPr bwMode="auto">
        <a:xfrm>
          <a:off x="46110525" y="2688621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89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90F0000}"/>
            </a:ext>
          </a:extLst>
        </xdr:cNvPr>
        <xdr:cNvSpPr>
          <a:spLocks noChangeAspect="1" noChangeArrowheads="1"/>
        </xdr:cNvSpPr>
      </xdr:nvSpPr>
      <xdr:spPr bwMode="auto">
        <a:xfrm>
          <a:off x="46110525" y="2688621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89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A0F0000}"/>
            </a:ext>
          </a:extLst>
        </xdr:cNvPr>
        <xdr:cNvSpPr>
          <a:spLocks noChangeAspect="1" noChangeArrowheads="1"/>
        </xdr:cNvSpPr>
      </xdr:nvSpPr>
      <xdr:spPr bwMode="auto">
        <a:xfrm>
          <a:off x="46110525" y="269157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89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B0F0000}"/>
            </a:ext>
          </a:extLst>
        </xdr:cNvPr>
        <xdr:cNvSpPr>
          <a:spLocks noChangeAspect="1" noChangeArrowheads="1"/>
        </xdr:cNvSpPr>
      </xdr:nvSpPr>
      <xdr:spPr bwMode="auto">
        <a:xfrm>
          <a:off x="46110525" y="269157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90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C0F0000}"/>
            </a:ext>
          </a:extLst>
        </xdr:cNvPr>
        <xdr:cNvSpPr>
          <a:spLocks noChangeAspect="1" noChangeArrowheads="1"/>
        </xdr:cNvSpPr>
      </xdr:nvSpPr>
      <xdr:spPr bwMode="auto">
        <a:xfrm>
          <a:off x="46110525" y="2694527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90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D0F0000}"/>
            </a:ext>
          </a:extLst>
        </xdr:cNvPr>
        <xdr:cNvSpPr>
          <a:spLocks noChangeAspect="1" noChangeArrowheads="1"/>
        </xdr:cNvSpPr>
      </xdr:nvSpPr>
      <xdr:spPr bwMode="auto">
        <a:xfrm>
          <a:off x="46110525" y="2694527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90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E0F0000}"/>
            </a:ext>
          </a:extLst>
        </xdr:cNvPr>
        <xdr:cNvSpPr>
          <a:spLocks noChangeAspect="1" noChangeArrowheads="1"/>
        </xdr:cNvSpPr>
      </xdr:nvSpPr>
      <xdr:spPr bwMode="auto">
        <a:xfrm>
          <a:off x="46110525" y="26974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90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F0F0000}"/>
            </a:ext>
          </a:extLst>
        </xdr:cNvPr>
        <xdr:cNvSpPr>
          <a:spLocks noChangeAspect="1" noChangeArrowheads="1"/>
        </xdr:cNvSpPr>
      </xdr:nvSpPr>
      <xdr:spPr bwMode="auto">
        <a:xfrm>
          <a:off x="46110525" y="26974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90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00F0000}"/>
            </a:ext>
          </a:extLst>
        </xdr:cNvPr>
        <xdr:cNvSpPr>
          <a:spLocks noChangeAspect="1" noChangeArrowheads="1"/>
        </xdr:cNvSpPr>
      </xdr:nvSpPr>
      <xdr:spPr bwMode="auto">
        <a:xfrm>
          <a:off x="46110525" y="2700432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90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10F0000}"/>
            </a:ext>
          </a:extLst>
        </xdr:cNvPr>
        <xdr:cNvSpPr>
          <a:spLocks noChangeAspect="1" noChangeArrowheads="1"/>
        </xdr:cNvSpPr>
      </xdr:nvSpPr>
      <xdr:spPr bwMode="auto">
        <a:xfrm>
          <a:off x="46110525" y="2700432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90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20F0000}"/>
            </a:ext>
          </a:extLst>
        </xdr:cNvPr>
        <xdr:cNvSpPr>
          <a:spLocks noChangeAspect="1" noChangeArrowheads="1"/>
        </xdr:cNvSpPr>
      </xdr:nvSpPr>
      <xdr:spPr bwMode="auto">
        <a:xfrm>
          <a:off x="46110525" y="270338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90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30F0000}"/>
            </a:ext>
          </a:extLst>
        </xdr:cNvPr>
        <xdr:cNvSpPr>
          <a:spLocks noChangeAspect="1" noChangeArrowheads="1"/>
        </xdr:cNvSpPr>
      </xdr:nvSpPr>
      <xdr:spPr bwMode="auto">
        <a:xfrm>
          <a:off x="46110525" y="270338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90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40F0000}"/>
            </a:ext>
          </a:extLst>
        </xdr:cNvPr>
        <xdr:cNvSpPr>
          <a:spLocks noChangeAspect="1" noChangeArrowheads="1"/>
        </xdr:cNvSpPr>
      </xdr:nvSpPr>
      <xdr:spPr bwMode="auto">
        <a:xfrm>
          <a:off x="46110525" y="270633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90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50F0000}"/>
            </a:ext>
          </a:extLst>
        </xdr:cNvPr>
        <xdr:cNvSpPr>
          <a:spLocks noChangeAspect="1" noChangeArrowheads="1"/>
        </xdr:cNvSpPr>
      </xdr:nvSpPr>
      <xdr:spPr bwMode="auto">
        <a:xfrm>
          <a:off x="46110525" y="270633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91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60F0000}"/>
            </a:ext>
          </a:extLst>
        </xdr:cNvPr>
        <xdr:cNvSpPr>
          <a:spLocks noChangeAspect="1" noChangeArrowheads="1"/>
        </xdr:cNvSpPr>
      </xdr:nvSpPr>
      <xdr:spPr bwMode="auto">
        <a:xfrm>
          <a:off x="46110525" y="270929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91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70F0000}"/>
            </a:ext>
          </a:extLst>
        </xdr:cNvPr>
        <xdr:cNvSpPr>
          <a:spLocks noChangeAspect="1" noChangeArrowheads="1"/>
        </xdr:cNvSpPr>
      </xdr:nvSpPr>
      <xdr:spPr bwMode="auto">
        <a:xfrm>
          <a:off x="46110525" y="270929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91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80F0000}"/>
            </a:ext>
          </a:extLst>
        </xdr:cNvPr>
        <xdr:cNvSpPr>
          <a:spLocks noChangeAspect="1" noChangeArrowheads="1"/>
        </xdr:cNvSpPr>
      </xdr:nvSpPr>
      <xdr:spPr bwMode="auto">
        <a:xfrm>
          <a:off x="46110525" y="271224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91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90F0000}"/>
            </a:ext>
          </a:extLst>
        </xdr:cNvPr>
        <xdr:cNvSpPr>
          <a:spLocks noChangeAspect="1" noChangeArrowheads="1"/>
        </xdr:cNvSpPr>
      </xdr:nvSpPr>
      <xdr:spPr bwMode="auto">
        <a:xfrm>
          <a:off x="46110525" y="271224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91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A0F0000}"/>
            </a:ext>
          </a:extLst>
        </xdr:cNvPr>
        <xdr:cNvSpPr>
          <a:spLocks noChangeAspect="1" noChangeArrowheads="1"/>
        </xdr:cNvSpPr>
      </xdr:nvSpPr>
      <xdr:spPr bwMode="auto">
        <a:xfrm>
          <a:off x="46110525" y="271519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91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B0F0000}"/>
            </a:ext>
          </a:extLst>
        </xdr:cNvPr>
        <xdr:cNvSpPr>
          <a:spLocks noChangeAspect="1" noChangeArrowheads="1"/>
        </xdr:cNvSpPr>
      </xdr:nvSpPr>
      <xdr:spPr bwMode="auto">
        <a:xfrm>
          <a:off x="46110525" y="271519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91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C0F0000}"/>
            </a:ext>
          </a:extLst>
        </xdr:cNvPr>
        <xdr:cNvSpPr>
          <a:spLocks noChangeAspect="1" noChangeArrowheads="1"/>
        </xdr:cNvSpPr>
      </xdr:nvSpPr>
      <xdr:spPr bwMode="auto">
        <a:xfrm>
          <a:off x="46110525" y="2718149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91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D0F0000}"/>
            </a:ext>
          </a:extLst>
        </xdr:cNvPr>
        <xdr:cNvSpPr>
          <a:spLocks noChangeAspect="1" noChangeArrowheads="1"/>
        </xdr:cNvSpPr>
      </xdr:nvSpPr>
      <xdr:spPr bwMode="auto">
        <a:xfrm>
          <a:off x="46110525" y="2718149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91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E0F0000}"/>
            </a:ext>
          </a:extLst>
        </xdr:cNvPr>
        <xdr:cNvSpPr>
          <a:spLocks noChangeAspect="1" noChangeArrowheads="1"/>
        </xdr:cNvSpPr>
      </xdr:nvSpPr>
      <xdr:spPr bwMode="auto">
        <a:xfrm>
          <a:off x="46110525" y="27211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91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F0F0000}"/>
            </a:ext>
          </a:extLst>
        </xdr:cNvPr>
        <xdr:cNvSpPr>
          <a:spLocks noChangeAspect="1" noChangeArrowheads="1"/>
        </xdr:cNvSpPr>
      </xdr:nvSpPr>
      <xdr:spPr bwMode="auto">
        <a:xfrm>
          <a:off x="46110525" y="27211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92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00F0000}"/>
            </a:ext>
          </a:extLst>
        </xdr:cNvPr>
        <xdr:cNvSpPr>
          <a:spLocks noChangeAspect="1" noChangeArrowheads="1"/>
        </xdr:cNvSpPr>
      </xdr:nvSpPr>
      <xdr:spPr bwMode="auto">
        <a:xfrm>
          <a:off x="46110525" y="2724054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92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10F0000}"/>
            </a:ext>
          </a:extLst>
        </xdr:cNvPr>
        <xdr:cNvSpPr>
          <a:spLocks noChangeAspect="1" noChangeArrowheads="1"/>
        </xdr:cNvSpPr>
      </xdr:nvSpPr>
      <xdr:spPr bwMode="auto">
        <a:xfrm>
          <a:off x="46110525" y="2724054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92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20F0000}"/>
            </a:ext>
          </a:extLst>
        </xdr:cNvPr>
        <xdr:cNvSpPr>
          <a:spLocks noChangeAspect="1" noChangeArrowheads="1"/>
        </xdr:cNvSpPr>
      </xdr:nvSpPr>
      <xdr:spPr bwMode="auto">
        <a:xfrm>
          <a:off x="46110525" y="272700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92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30F0000}"/>
            </a:ext>
          </a:extLst>
        </xdr:cNvPr>
        <xdr:cNvSpPr>
          <a:spLocks noChangeAspect="1" noChangeArrowheads="1"/>
        </xdr:cNvSpPr>
      </xdr:nvSpPr>
      <xdr:spPr bwMode="auto">
        <a:xfrm>
          <a:off x="46110525" y="272700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92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40F0000}"/>
            </a:ext>
          </a:extLst>
        </xdr:cNvPr>
        <xdr:cNvSpPr>
          <a:spLocks noChangeAspect="1" noChangeArrowheads="1"/>
        </xdr:cNvSpPr>
      </xdr:nvSpPr>
      <xdr:spPr bwMode="auto">
        <a:xfrm>
          <a:off x="46110525" y="272996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92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50F0000}"/>
            </a:ext>
          </a:extLst>
        </xdr:cNvPr>
        <xdr:cNvSpPr>
          <a:spLocks noChangeAspect="1" noChangeArrowheads="1"/>
        </xdr:cNvSpPr>
      </xdr:nvSpPr>
      <xdr:spPr bwMode="auto">
        <a:xfrm>
          <a:off x="46110525" y="272996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92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60F0000}"/>
            </a:ext>
          </a:extLst>
        </xdr:cNvPr>
        <xdr:cNvSpPr>
          <a:spLocks noChangeAspect="1" noChangeArrowheads="1"/>
        </xdr:cNvSpPr>
      </xdr:nvSpPr>
      <xdr:spPr bwMode="auto">
        <a:xfrm>
          <a:off x="46110525" y="273291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92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70F0000}"/>
            </a:ext>
          </a:extLst>
        </xdr:cNvPr>
        <xdr:cNvSpPr>
          <a:spLocks noChangeAspect="1" noChangeArrowheads="1"/>
        </xdr:cNvSpPr>
      </xdr:nvSpPr>
      <xdr:spPr bwMode="auto">
        <a:xfrm>
          <a:off x="46110525" y="273291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92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80F0000}"/>
            </a:ext>
          </a:extLst>
        </xdr:cNvPr>
        <xdr:cNvSpPr>
          <a:spLocks noChangeAspect="1" noChangeArrowheads="1"/>
        </xdr:cNvSpPr>
      </xdr:nvSpPr>
      <xdr:spPr bwMode="auto">
        <a:xfrm>
          <a:off x="46110525" y="273586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92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90F0000}"/>
            </a:ext>
          </a:extLst>
        </xdr:cNvPr>
        <xdr:cNvSpPr>
          <a:spLocks noChangeAspect="1" noChangeArrowheads="1"/>
        </xdr:cNvSpPr>
      </xdr:nvSpPr>
      <xdr:spPr bwMode="auto">
        <a:xfrm>
          <a:off x="46110525" y="273586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93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A0F0000}"/>
            </a:ext>
          </a:extLst>
        </xdr:cNvPr>
        <xdr:cNvSpPr>
          <a:spLocks noChangeAspect="1" noChangeArrowheads="1"/>
        </xdr:cNvSpPr>
      </xdr:nvSpPr>
      <xdr:spPr bwMode="auto">
        <a:xfrm>
          <a:off x="46110525" y="273881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93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B0F0000}"/>
            </a:ext>
          </a:extLst>
        </xdr:cNvPr>
        <xdr:cNvSpPr>
          <a:spLocks noChangeAspect="1" noChangeArrowheads="1"/>
        </xdr:cNvSpPr>
      </xdr:nvSpPr>
      <xdr:spPr bwMode="auto">
        <a:xfrm>
          <a:off x="46110525" y="273881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93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C0F0000}"/>
            </a:ext>
          </a:extLst>
        </xdr:cNvPr>
        <xdr:cNvSpPr>
          <a:spLocks noChangeAspect="1" noChangeArrowheads="1"/>
        </xdr:cNvSpPr>
      </xdr:nvSpPr>
      <xdr:spPr bwMode="auto">
        <a:xfrm>
          <a:off x="46110525" y="2741771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93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D0F0000}"/>
            </a:ext>
          </a:extLst>
        </xdr:cNvPr>
        <xdr:cNvSpPr>
          <a:spLocks noChangeAspect="1" noChangeArrowheads="1"/>
        </xdr:cNvSpPr>
      </xdr:nvSpPr>
      <xdr:spPr bwMode="auto">
        <a:xfrm>
          <a:off x="46110525" y="2741771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93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E0F0000}"/>
            </a:ext>
          </a:extLst>
        </xdr:cNvPr>
        <xdr:cNvSpPr>
          <a:spLocks noChangeAspect="1" noChangeArrowheads="1"/>
        </xdr:cNvSpPr>
      </xdr:nvSpPr>
      <xdr:spPr bwMode="auto">
        <a:xfrm>
          <a:off x="46110525" y="274472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93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F0F0000}"/>
            </a:ext>
          </a:extLst>
        </xdr:cNvPr>
        <xdr:cNvSpPr>
          <a:spLocks noChangeAspect="1" noChangeArrowheads="1"/>
        </xdr:cNvSpPr>
      </xdr:nvSpPr>
      <xdr:spPr bwMode="auto">
        <a:xfrm>
          <a:off x="46110525" y="274472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93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00F0000}"/>
            </a:ext>
          </a:extLst>
        </xdr:cNvPr>
        <xdr:cNvSpPr>
          <a:spLocks noChangeAspect="1" noChangeArrowheads="1"/>
        </xdr:cNvSpPr>
      </xdr:nvSpPr>
      <xdr:spPr bwMode="auto">
        <a:xfrm>
          <a:off x="46110525" y="2747676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93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10F0000}"/>
            </a:ext>
          </a:extLst>
        </xdr:cNvPr>
        <xdr:cNvSpPr>
          <a:spLocks noChangeAspect="1" noChangeArrowheads="1"/>
        </xdr:cNvSpPr>
      </xdr:nvSpPr>
      <xdr:spPr bwMode="auto">
        <a:xfrm>
          <a:off x="46110525" y="2747676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93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20F0000}"/>
            </a:ext>
          </a:extLst>
        </xdr:cNvPr>
        <xdr:cNvSpPr>
          <a:spLocks noChangeAspect="1" noChangeArrowheads="1"/>
        </xdr:cNvSpPr>
      </xdr:nvSpPr>
      <xdr:spPr bwMode="auto">
        <a:xfrm>
          <a:off x="46110525" y="275062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93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30F0000}"/>
            </a:ext>
          </a:extLst>
        </xdr:cNvPr>
        <xdr:cNvSpPr>
          <a:spLocks noChangeAspect="1" noChangeArrowheads="1"/>
        </xdr:cNvSpPr>
      </xdr:nvSpPr>
      <xdr:spPr bwMode="auto">
        <a:xfrm>
          <a:off x="46110525" y="275062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94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40F0000}"/>
            </a:ext>
          </a:extLst>
        </xdr:cNvPr>
        <xdr:cNvSpPr>
          <a:spLocks noChangeAspect="1" noChangeArrowheads="1"/>
        </xdr:cNvSpPr>
      </xdr:nvSpPr>
      <xdr:spPr bwMode="auto">
        <a:xfrm>
          <a:off x="46110525" y="275358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94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50F0000}"/>
            </a:ext>
          </a:extLst>
        </xdr:cNvPr>
        <xdr:cNvSpPr>
          <a:spLocks noChangeAspect="1" noChangeArrowheads="1"/>
        </xdr:cNvSpPr>
      </xdr:nvSpPr>
      <xdr:spPr bwMode="auto">
        <a:xfrm>
          <a:off x="46110525" y="275358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94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60F0000}"/>
            </a:ext>
          </a:extLst>
        </xdr:cNvPr>
        <xdr:cNvSpPr>
          <a:spLocks noChangeAspect="1" noChangeArrowheads="1"/>
        </xdr:cNvSpPr>
      </xdr:nvSpPr>
      <xdr:spPr bwMode="auto">
        <a:xfrm>
          <a:off x="46110525" y="27565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94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70F0000}"/>
            </a:ext>
          </a:extLst>
        </xdr:cNvPr>
        <xdr:cNvSpPr>
          <a:spLocks noChangeAspect="1" noChangeArrowheads="1"/>
        </xdr:cNvSpPr>
      </xdr:nvSpPr>
      <xdr:spPr bwMode="auto">
        <a:xfrm>
          <a:off x="46110525" y="27565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94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80F0000}"/>
            </a:ext>
          </a:extLst>
        </xdr:cNvPr>
        <xdr:cNvSpPr>
          <a:spLocks noChangeAspect="1" noChangeArrowheads="1"/>
        </xdr:cNvSpPr>
      </xdr:nvSpPr>
      <xdr:spPr bwMode="auto">
        <a:xfrm>
          <a:off x="46110525" y="2759487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94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90F0000}"/>
            </a:ext>
          </a:extLst>
        </xdr:cNvPr>
        <xdr:cNvSpPr>
          <a:spLocks noChangeAspect="1" noChangeArrowheads="1"/>
        </xdr:cNvSpPr>
      </xdr:nvSpPr>
      <xdr:spPr bwMode="auto">
        <a:xfrm>
          <a:off x="46110525" y="2759487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94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A0F0000}"/>
            </a:ext>
          </a:extLst>
        </xdr:cNvPr>
        <xdr:cNvSpPr>
          <a:spLocks noChangeAspect="1" noChangeArrowheads="1"/>
        </xdr:cNvSpPr>
      </xdr:nvSpPr>
      <xdr:spPr bwMode="auto">
        <a:xfrm>
          <a:off x="46110525" y="276244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94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B0F0000}"/>
            </a:ext>
          </a:extLst>
        </xdr:cNvPr>
        <xdr:cNvSpPr>
          <a:spLocks noChangeAspect="1" noChangeArrowheads="1"/>
        </xdr:cNvSpPr>
      </xdr:nvSpPr>
      <xdr:spPr bwMode="auto">
        <a:xfrm>
          <a:off x="46110525" y="276244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94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C0F0000}"/>
            </a:ext>
          </a:extLst>
        </xdr:cNvPr>
        <xdr:cNvSpPr>
          <a:spLocks noChangeAspect="1" noChangeArrowheads="1"/>
        </xdr:cNvSpPr>
      </xdr:nvSpPr>
      <xdr:spPr bwMode="auto">
        <a:xfrm>
          <a:off x="46110525" y="276539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94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D0F0000}"/>
            </a:ext>
          </a:extLst>
        </xdr:cNvPr>
        <xdr:cNvSpPr>
          <a:spLocks noChangeAspect="1" noChangeArrowheads="1"/>
        </xdr:cNvSpPr>
      </xdr:nvSpPr>
      <xdr:spPr bwMode="auto">
        <a:xfrm>
          <a:off x="46110525" y="276539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95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E0F0000}"/>
            </a:ext>
          </a:extLst>
        </xdr:cNvPr>
        <xdr:cNvSpPr>
          <a:spLocks noChangeAspect="1" noChangeArrowheads="1"/>
        </xdr:cNvSpPr>
      </xdr:nvSpPr>
      <xdr:spPr bwMode="auto">
        <a:xfrm>
          <a:off x="46110525" y="276834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95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F0F0000}"/>
            </a:ext>
          </a:extLst>
        </xdr:cNvPr>
        <xdr:cNvSpPr>
          <a:spLocks noChangeAspect="1" noChangeArrowheads="1"/>
        </xdr:cNvSpPr>
      </xdr:nvSpPr>
      <xdr:spPr bwMode="auto">
        <a:xfrm>
          <a:off x="46110525" y="276834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95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00F0000}"/>
            </a:ext>
          </a:extLst>
        </xdr:cNvPr>
        <xdr:cNvSpPr>
          <a:spLocks noChangeAspect="1" noChangeArrowheads="1"/>
        </xdr:cNvSpPr>
      </xdr:nvSpPr>
      <xdr:spPr bwMode="auto">
        <a:xfrm>
          <a:off x="46110525" y="277129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95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10F0000}"/>
            </a:ext>
          </a:extLst>
        </xdr:cNvPr>
        <xdr:cNvSpPr>
          <a:spLocks noChangeAspect="1" noChangeArrowheads="1"/>
        </xdr:cNvSpPr>
      </xdr:nvSpPr>
      <xdr:spPr bwMode="auto">
        <a:xfrm>
          <a:off x="46110525" y="277129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95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20F0000}"/>
            </a:ext>
          </a:extLst>
        </xdr:cNvPr>
        <xdr:cNvSpPr>
          <a:spLocks noChangeAspect="1" noChangeArrowheads="1"/>
        </xdr:cNvSpPr>
      </xdr:nvSpPr>
      <xdr:spPr bwMode="auto">
        <a:xfrm>
          <a:off x="46110525" y="277425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95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30F0000}"/>
            </a:ext>
          </a:extLst>
        </xdr:cNvPr>
        <xdr:cNvSpPr>
          <a:spLocks noChangeAspect="1" noChangeArrowheads="1"/>
        </xdr:cNvSpPr>
      </xdr:nvSpPr>
      <xdr:spPr bwMode="auto">
        <a:xfrm>
          <a:off x="46110525" y="277425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95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40F0000}"/>
            </a:ext>
          </a:extLst>
        </xdr:cNvPr>
        <xdr:cNvSpPr>
          <a:spLocks noChangeAspect="1" noChangeArrowheads="1"/>
        </xdr:cNvSpPr>
      </xdr:nvSpPr>
      <xdr:spPr bwMode="auto">
        <a:xfrm>
          <a:off x="46110525" y="2777204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95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50F0000}"/>
            </a:ext>
          </a:extLst>
        </xdr:cNvPr>
        <xdr:cNvSpPr>
          <a:spLocks noChangeAspect="1" noChangeArrowheads="1"/>
        </xdr:cNvSpPr>
      </xdr:nvSpPr>
      <xdr:spPr bwMode="auto">
        <a:xfrm>
          <a:off x="46110525" y="2777204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95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60F0000}"/>
            </a:ext>
          </a:extLst>
        </xdr:cNvPr>
        <xdr:cNvSpPr>
          <a:spLocks noChangeAspect="1" noChangeArrowheads="1"/>
        </xdr:cNvSpPr>
      </xdr:nvSpPr>
      <xdr:spPr bwMode="auto">
        <a:xfrm>
          <a:off x="46110525" y="278015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95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70F0000}"/>
            </a:ext>
          </a:extLst>
        </xdr:cNvPr>
        <xdr:cNvSpPr>
          <a:spLocks noChangeAspect="1" noChangeArrowheads="1"/>
        </xdr:cNvSpPr>
      </xdr:nvSpPr>
      <xdr:spPr bwMode="auto">
        <a:xfrm>
          <a:off x="46110525" y="278015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96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80F0000}"/>
            </a:ext>
          </a:extLst>
        </xdr:cNvPr>
        <xdr:cNvSpPr>
          <a:spLocks noChangeAspect="1" noChangeArrowheads="1"/>
        </xdr:cNvSpPr>
      </xdr:nvSpPr>
      <xdr:spPr bwMode="auto">
        <a:xfrm>
          <a:off x="46110525" y="2783109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96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90F0000}"/>
            </a:ext>
          </a:extLst>
        </xdr:cNvPr>
        <xdr:cNvSpPr>
          <a:spLocks noChangeAspect="1" noChangeArrowheads="1"/>
        </xdr:cNvSpPr>
      </xdr:nvSpPr>
      <xdr:spPr bwMode="auto">
        <a:xfrm>
          <a:off x="46110525" y="2783109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96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A0F0000}"/>
            </a:ext>
          </a:extLst>
        </xdr:cNvPr>
        <xdr:cNvSpPr>
          <a:spLocks noChangeAspect="1" noChangeArrowheads="1"/>
        </xdr:cNvSpPr>
      </xdr:nvSpPr>
      <xdr:spPr bwMode="auto">
        <a:xfrm>
          <a:off x="46110525" y="278606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96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B0F0000}"/>
            </a:ext>
          </a:extLst>
        </xdr:cNvPr>
        <xdr:cNvSpPr>
          <a:spLocks noChangeAspect="1" noChangeArrowheads="1"/>
        </xdr:cNvSpPr>
      </xdr:nvSpPr>
      <xdr:spPr bwMode="auto">
        <a:xfrm>
          <a:off x="46110525" y="278606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96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C0F0000}"/>
            </a:ext>
          </a:extLst>
        </xdr:cNvPr>
        <xdr:cNvSpPr>
          <a:spLocks noChangeAspect="1" noChangeArrowheads="1"/>
        </xdr:cNvSpPr>
      </xdr:nvSpPr>
      <xdr:spPr bwMode="auto">
        <a:xfrm>
          <a:off x="46110525" y="278901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96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D0F0000}"/>
            </a:ext>
          </a:extLst>
        </xdr:cNvPr>
        <xdr:cNvSpPr>
          <a:spLocks noChangeAspect="1" noChangeArrowheads="1"/>
        </xdr:cNvSpPr>
      </xdr:nvSpPr>
      <xdr:spPr bwMode="auto">
        <a:xfrm>
          <a:off x="46110525" y="278901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96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E0F0000}"/>
            </a:ext>
          </a:extLst>
        </xdr:cNvPr>
        <xdr:cNvSpPr>
          <a:spLocks noChangeAspect="1" noChangeArrowheads="1"/>
        </xdr:cNvSpPr>
      </xdr:nvSpPr>
      <xdr:spPr bwMode="auto">
        <a:xfrm>
          <a:off x="46110525" y="279196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96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F0F0000}"/>
            </a:ext>
          </a:extLst>
        </xdr:cNvPr>
        <xdr:cNvSpPr>
          <a:spLocks noChangeAspect="1" noChangeArrowheads="1"/>
        </xdr:cNvSpPr>
      </xdr:nvSpPr>
      <xdr:spPr bwMode="auto">
        <a:xfrm>
          <a:off x="46110525" y="279196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96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00F0000}"/>
            </a:ext>
          </a:extLst>
        </xdr:cNvPr>
        <xdr:cNvSpPr>
          <a:spLocks noChangeAspect="1" noChangeArrowheads="1"/>
        </xdr:cNvSpPr>
      </xdr:nvSpPr>
      <xdr:spPr bwMode="auto">
        <a:xfrm>
          <a:off x="46110525" y="279492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96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10F0000}"/>
            </a:ext>
          </a:extLst>
        </xdr:cNvPr>
        <xdr:cNvSpPr>
          <a:spLocks noChangeAspect="1" noChangeArrowheads="1"/>
        </xdr:cNvSpPr>
      </xdr:nvSpPr>
      <xdr:spPr bwMode="auto">
        <a:xfrm>
          <a:off x="46110525" y="279492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97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20F0000}"/>
            </a:ext>
          </a:extLst>
        </xdr:cNvPr>
        <xdr:cNvSpPr>
          <a:spLocks noChangeAspect="1" noChangeArrowheads="1"/>
        </xdr:cNvSpPr>
      </xdr:nvSpPr>
      <xdr:spPr bwMode="auto">
        <a:xfrm>
          <a:off x="46110525" y="279787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97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30F0000}"/>
            </a:ext>
          </a:extLst>
        </xdr:cNvPr>
        <xdr:cNvSpPr>
          <a:spLocks noChangeAspect="1" noChangeArrowheads="1"/>
        </xdr:cNvSpPr>
      </xdr:nvSpPr>
      <xdr:spPr bwMode="auto">
        <a:xfrm>
          <a:off x="46110525" y="279787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97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40F0000}"/>
            </a:ext>
          </a:extLst>
        </xdr:cNvPr>
        <xdr:cNvSpPr>
          <a:spLocks noChangeAspect="1" noChangeArrowheads="1"/>
        </xdr:cNvSpPr>
      </xdr:nvSpPr>
      <xdr:spPr bwMode="auto">
        <a:xfrm>
          <a:off x="46110525" y="280082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97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50F0000}"/>
            </a:ext>
          </a:extLst>
        </xdr:cNvPr>
        <xdr:cNvSpPr>
          <a:spLocks noChangeAspect="1" noChangeArrowheads="1"/>
        </xdr:cNvSpPr>
      </xdr:nvSpPr>
      <xdr:spPr bwMode="auto">
        <a:xfrm>
          <a:off x="46110525" y="280082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97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60F0000}"/>
            </a:ext>
          </a:extLst>
        </xdr:cNvPr>
        <xdr:cNvSpPr>
          <a:spLocks noChangeAspect="1" noChangeArrowheads="1"/>
        </xdr:cNvSpPr>
      </xdr:nvSpPr>
      <xdr:spPr bwMode="auto">
        <a:xfrm>
          <a:off x="46110525" y="280377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97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70F0000}"/>
            </a:ext>
          </a:extLst>
        </xdr:cNvPr>
        <xdr:cNvSpPr>
          <a:spLocks noChangeAspect="1" noChangeArrowheads="1"/>
        </xdr:cNvSpPr>
      </xdr:nvSpPr>
      <xdr:spPr bwMode="auto">
        <a:xfrm>
          <a:off x="46110525" y="280377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97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80F0000}"/>
            </a:ext>
          </a:extLst>
        </xdr:cNvPr>
        <xdr:cNvSpPr>
          <a:spLocks noChangeAspect="1" noChangeArrowheads="1"/>
        </xdr:cNvSpPr>
      </xdr:nvSpPr>
      <xdr:spPr bwMode="auto">
        <a:xfrm>
          <a:off x="46110525" y="2806731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97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90F0000}"/>
            </a:ext>
          </a:extLst>
        </xdr:cNvPr>
        <xdr:cNvSpPr>
          <a:spLocks noChangeAspect="1" noChangeArrowheads="1"/>
        </xdr:cNvSpPr>
      </xdr:nvSpPr>
      <xdr:spPr bwMode="auto">
        <a:xfrm>
          <a:off x="46110525" y="2806731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97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A0F0000}"/>
            </a:ext>
          </a:extLst>
        </xdr:cNvPr>
        <xdr:cNvSpPr>
          <a:spLocks noChangeAspect="1" noChangeArrowheads="1"/>
        </xdr:cNvSpPr>
      </xdr:nvSpPr>
      <xdr:spPr bwMode="auto">
        <a:xfrm>
          <a:off x="46110525" y="280968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97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B0F0000}"/>
            </a:ext>
          </a:extLst>
        </xdr:cNvPr>
        <xdr:cNvSpPr>
          <a:spLocks noChangeAspect="1" noChangeArrowheads="1"/>
        </xdr:cNvSpPr>
      </xdr:nvSpPr>
      <xdr:spPr bwMode="auto">
        <a:xfrm>
          <a:off x="46110525" y="280968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98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C0F0000}"/>
            </a:ext>
          </a:extLst>
        </xdr:cNvPr>
        <xdr:cNvSpPr>
          <a:spLocks noChangeAspect="1" noChangeArrowheads="1"/>
        </xdr:cNvSpPr>
      </xdr:nvSpPr>
      <xdr:spPr bwMode="auto">
        <a:xfrm>
          <a:off x="46110525" y="2812637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98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D0F0000}"/>
            </a:ext>
          </a:extLst>
        </xdr:cNvPr>
        <xdr:cNvSpPr>
          <a:spLocks noChangeAspect="1" noChangeArrowheads="1"/>
        </xdr:cNvSpPr>
      </xdr:nvSpPr>
      <xdr:spPr bwMode="auto">
        <a:xfrm>
          <a:off x="46110525" y="2812637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98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E0F0000}"/>
            </a:ext>
          </a:extLst>
        </xdr:cNvPr>
        <xdr:cNvSpPr>
          <a:spLocks noChangeAspect="1" noChangeArrowheads="1"/>
        </xdr:cNvSpPr>
      </xdr:nvSpPr>
      <xdr:spPr bwMode="auto">
        <a:xfrm>
          <a:off x="46110525" y="28155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98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F0F0000}"/>
            </a:ext>
          </a:extLst>
        </xdr:cNvPr>
        <xdr:cNvSpPr>
          <a:spLocks noChangeAspect="1" noChangeArrowheads="1"/>
        </xdr:cNvSpPr>
      </xdr:nvSpPr>
      <xdr:spPr bwMode="auto">
        <a:xfrm>
          <a:off x="46110525" y="28155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98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00F0000}"/>
            </a:ext>
          </a:extLst>
        </xdr:cNvPr>
        <xdr:cNvSpPr>
          <a:spLocks noChangeAspect="1" noChangeArrowheads="1"/>
        </xdr:cNvSpPr>
      </xdr:nvSpPr>
      <xdr:spPr bwMode="auto">
        <a:xfrm>
          <a:off x="46110525" y="2818542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98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10F0000}"/>
            </a:ext>
          </a:extLst>
        </xdr:cNvPr>
        <xdr:cNvSpPr>
          <a:spLocks noChangeAspect="1" noChangeArrowheads="1"/>
        </xdr:cNvSpPr>
      </xdr:nvSpPr>
      <xdr:spPr bwMode="auto">
        <a:xfrm>
          <a:off x="46110525" y="2818542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98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20F0000}"/>
            </a:ext>
          </a:extLst>
        </xdr:cNvPr>
        <xdr:cNvSpPr>
          <a:spLocks noChangeAspect="1" noChangeArrowheads="1"/>
        </xdr:cNvSpPr>
      </xdr:nvSpPr>
      <xdr:spPr bwMode="auto">
        <a:xfrm>
          <a:off x="46110525" y="282149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98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30F0000}"/>
            </a:ext>
          </a:extLst>
        </xdr:cNvPr>
        <xdr:cNvSpPr>
          <a:spLocks noChangeAspect="1" noChangeArrowheads="1"/>
        </xdr:cNvSpPr>
      </xdr:nvSpPr>
      <xdr:spPr bwMode="auto">
        <a:xfrm>
          <a:off x="46110525" y="282149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98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40F0000}"/>
            </a:ext>
          </a:extLst>
        </xdr:cNvPr>
        <xdr:cNvSpPr>
          <a:spLocks noChangeAspect="1" noChangeArrowheads="1"/>
        </xdr:cNvSpPr>
      </xdr:nvSpPr>
      <xdr:spPr bwMode="auto">
        <a:xfrm>
          <a:off x="46110525" y="282444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98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50F0000}"/>
            </a:ext>
          </a:extLst>
        </xdr:cNvPr>
        <xdr:cNvSpPr>
          <a:spLocks noChangeAspect="1" noChangeArrowheads="1"/>
        </xdr:cNvSpPr>
      </xdr:nvSpPr>
      <xdr:spPr bwMode="auto">
        <a:xfrm>
          <a:off x="46110525" y="282444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99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60F0000}"/>
            </a:ext>
          </a:extLst>
        </xdr:cNvPr>
        <xdr:cNvSpPr>
          <a:spLocks noChangeAspect="1" noChangeArrowheads="1"/>
        </xdr:cNvSpPr>
      </xdr:nvSpPr>
      <xdr:spPr bwMode="auto">
        <a:xfrm>
          <a:off x="46110525" y="282740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99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70F0000}"/>
            </a:ext>
          </a:extLst>
        </xdr:cNvPr>
        <xdr:cNvSpPr>
          <a:spLocks noChangeAspect="1" noChangeArrowheads="1"/>
        </xdr:cNvSpPr>
      </xdr:nvSpPr>
      <xdr:spPr bwMode="auto">
        <a:xfrm>
          <a:off x="46110525" y="282740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99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80F0000}"/>
            </a:ext>
          </a:extLst>
        </xdr:cNvPr>
        <xdr:cNvSpPr>
          <a:spLocks noChangeAspect="1" noChangeArrowheads="1"/>
        </xdr:cNvSpPr>
      </xdr:nvSpPr>
      <xdr:spPr bwMode="auto">
        <a:xfrm>
          <a:off x="46110525" y="283035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99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90F0000}"/>
            </a:ext>
          </a:extLst>
        </xdr:cNvPr>
        <xdr:cNvSpPr>
          <a:spLocks noChangeAspect="1" noChangeArrowheads="1"/>
        </xdr:cNvSpPr>
      </xdr:nvSpPr>
      <xdr:spPr bwMode="auto">
        <a:xfrm>
          <a:off x="46110525" y="283035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99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A0F0000}"/>
            </a:ext>
          </a:extLst>
        </xdr:cNvPr>
        <xdr:cNvSpPr>
          <a:spLocks noChangeAspect="1" noChangeArrowheads="1"/>
        </xdr:cNvSpPr>
      </xdr:nvSpPr>
      <xdr:spPr bwMode="auto">
        <a:xfrm>
          <a:off x="46110525" y="283330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99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B0F0000}"/>
            </a:ext>
          </a:extLst>
        </xdr:cNvPr>
        <xdr:cNvSpPr>
          <a:spLocks noChangeAspect="1" noChangeArrowheads="1"/>
        </xdr:cNvSpPr>
      </xdr:nvSpPr>
      <xdr:spPr bwMode="auto">
        <a:xfrm>
          <a:off x="46110525" y="283330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99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C0F0000}"/>
            </a:ext>
          </a:extLst>
        </xdr:cNvPr>
        <xdr:cNvSpPr>
          <a:spLocks noChangeAspect="1" noChangeArrowheads="1"/>
        </xdr:cNvSpPr>
      </xdr:nvSpPr>
      <xdr:spPr bwMode="auto">
        <a:xfrm>
          <a:off x="46110525" y="2836259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99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D0F0000}"/>
            </a:ext>
          </a:extLst>
        </xdr:cNvPr>
        <xdr:cNvSpPr>
          <a:spLocks noChangeAspect="1" noChangeArrowheads="1"/>
        </xdr:cNvSpPr>
      </xdr:nvSpPr>
      <xdr:spPr bwMode="auto">
        <a:xfrm>
          <a:off x="46110525" y="2836259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99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E0F0000}"/>
            </a:ext>
          </a:extLst>
        </xdr:cNvPr>
        <xdr:cNvSpPr>
          <a:spLocks noChangeAspect="1" noChangeArrowheads="1"/>
        </xdr:cNvSpPr>
      </xdr:nvSpPr>
      <xdr:spPr bwMode="auto">
        <a:xfrm>
          <a:off x="46110525" y="283921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399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F0F0000}"/>
            </a:ext>
          </a:extLst>
        </xdr:cNvPr>
        <xdr:cNvSpPr>
          <a:spLocks noChangeAspect="1" noChangeArrowheads="1"/>
        </xdr:cNvSpPr>
      </xdr:nvSpPr>
      <xdr:spPr bwMode="auto">
        <a:xfrm>
          <a:off x="46110525" y="283921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00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00F0000}"/>
            </a:ext>
          </a:extLst>
        </xdr:cNvPr>
        <xdr:cNvSpPr>
          <a:spLocks noChangeAspect="1" noChangeArrowheads="1"/>
        </xdr:cNvSpPr>
      </xdr:nvSpPr>
      <xdr:spPr bwMode="auto">
        <a:xfrm>
          <a:off x="46110525" y="2842164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00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10F0000}"/>
            </a:ext>
          </a:extLst>
        </xdr:cNvPr>
        <xdr:cNvSpPr>
          <a:spLocks noChangeAspect="1" noChangeArrowheads="1"/>
        </xdr:cNvSpPr>
      </xdr:nvSpPr>
      <xdr:spPr bwMode="auto">
        <a:xfrm>
          <a:off x="46110525" y="2842164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00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20F0000}"/>
            </a:ext>
          </a:extLst>
        </xdr:cNvPr>
        <xdr:cNvSpPr>
          <a:spLocks noChangeAspect="1" noChangeArrowheads="1"/>
        </xdr:cNvSpPr>
      </xdr:nvSpPr>
      <xdr:spPr bwMode="auto">
        <a:xfrm>
          <a:off x="46110525" y="284511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00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30F0000}"/>
            </a:ext>
          </a:extLst>
        </xdr:cNvPr>
        <xdr:cNvSpPr>
          <a:spLocks noChangeAspect="1" noChangeArrowheads="1"/>
        </xdr:cNvSpPr>
      </xdr:nvSpPr>
      <xdr:spPr bwMode="auto">
        <a:xfrm>
          <a:off x="46110525" y="284511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00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40F0000}"/>
            </a:ext>
          </a:extLst>
        </xdr:cNvPr>
        <xdr:cNvSpPr>
          <a:spLocks noChangeAspect="1" noChangeArrowheads="1"/>
        </xdr:cNvSpPr>
      </xdr:nvSpPr>
      <xdr:spPr bwMode="auto">
        <a:xfrm>
          <a:off x="46110525" y="284807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00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50F0000}"/>
            </a:ext>
          </a:extLst>
        </xdr:cNvPr>
        <xdr:cNvSpPr>
          <a:spLocks noChangeAspect="1" noChangeArrowheads="1"/>
        </xdr:cNvSpPr>
      </xdr:nvSpPr>
      <xdr:spPr bwMode="auto">
        <a:xfrm>
          <a:off x="46110525" y="284807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00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60F0000}"/>
            </a:ext>
          </a:extLst>
        </xdr:cNvPr>
        <xdr:cNvSpPr>
          <a:spLocks noChangeAspect="1" noChangeArrowheads="1"/>
        </xdr:cNvSpPr>
      </xdr:nvSpPr>
      <xdr:spPr bwMode="auto">
        <a:xfrm>
          <a:off x="46110525" y="285102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00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70F0000}"/>
            </a:ext>
          </a:extLst>
        </xdr:cNvPr>
        <xdr:cNvSpPr>
          <a:spLocks noChangeAspect="1" noChangeArrowheads="1"/>
        </xdr:cNvSpPr>
      </xdr:nvSpPr>
      <xdr:spPr bwMode="auto">
        <a:xfrm>
          <a:off x="46110525" y="285102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00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80F0000}"/>
            </a:ext>
          </a:extLst>
        </xdr:cNvPr>
        <xdr:cNvSpPr>
          <a:spLocks noChangeAspect="1" noChangeArrowheads="1"/>
        </xdr:cNvSpPr>
      </xdr:nvSpPr>
      <xdr:spPr bwMode="auto">
        <a:xfrm>
          <a:off x="46110525" y="285397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00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90F0000}"/>
            </a:ext>
          </a:extLst>
        </xdr:cNvPr>
        <xdr:cNvSpPr>
          <a:spLocks noChangeAspect="1" noChangeArrowheads="1"/>
        </xdr:cNvSpPr>
      </xdr:nvSpPr>
      <xdr:spPr bwMode="auto">
        <a:xfrm>
          <a:off x="46110525" y="285397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01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A0F0000}"/>
            </a:ext>
          </a:extLst>
        </xdr:cNvPr>
        <xdr:cNvSpPr>
          <a:spLocks noChangeAspect="1" noChangeArrowheads="1"/>
        </xdr:cNvSpPr>
      </xdr:nvSpPr>
      <xdr:spPr bwMode="auto">
        <a:xfrm>
          <a:off x="46110525" y="285692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01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B0F0000}"/>
            </a:ext>
          </a:extLst>
        </xdr:cNvPr>
        <xdr:cNvSpPr>
          <a:spLocks noChangeAspect="1" noChangeArrowheads="1"/>
        </xdr:cNvSpPr>
      </xdr:nvSpPr>
      <xdr:spPr bwMode="auto">
        <a:xfrm>
          <a:off x="46110525" y="285692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01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C0F0000}"/>
            </a:ext>
          </a:extLst>
        </xdr:cNvPr>
        <xdr:cNvSpPr>
          <a:spLocks noChangeAspect="1" noChangeArrowheads="1"/>
        </xdr:cNvSpPr>
      </xdr:nvSpPr>
      <xdr:spPr bwMode="auto">
        <a:xfrm>
          <a:off x="46110525" y="2859881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01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D0F0000}"/>
            </a:ext>
          </a:extLst>
        </xdr:cNvPr>
        <xdr:cNvSpPr>
          <a:spLocks noChangeAspect="1" noChangeArrowheads="1"/>
        </xdr:cNvSpPr>
      </xdr:nvSpPr>
      <xdr:spPr bwMode="auto">
        <a:xfrm>
          <a:off x="46110525" y="2859881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01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E0F0000}"/>
            </a:ext>
          </a:extLst>
        </xdr:cNvPr>
        <xdr:cNvSpPr>
          <a:spLocks noChangeAspect="1" noChangeArrowheads="1"/>
        </xdr:cNvSpPr>
      </xdr:nvSpPr>
      <xdr:spPr bwMode="auto">
        <a:xfrm>
          <a:off x="46110525" y="286283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01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F0F0000}"/>
            </a:ext>
          </a:extLst>
        </xdr:cNvPr>
        <xdr:cNvSpPr>
          <a:spLocks noChangeAspect="1" noChangeArrowheads="1"/>
        </xdr:cNvSpPr>
      </xdr:nvSpPr>
      <xdr:spPr bwMode="auto">
        <a:xfrm>
          <a:off x="46110525" y="286283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01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00F0000}"/>
            </a:ext>
          </a:extLst>
        </xdr:cNvPr>
        <xdr:cNvSpPr>
          <a:spLocks noChangeAspect="1" noChangeArrowheads="1"/>
        </xdr:cNvSpPr>
      </xdr:nvSpPr>
      <xdr:spPr bwMode="auto">
        <a:xfrm>
          <a:off x="46110525" y="2865786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01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10F0000}"/>
            </a:ext>
          </a:extLst>
        </xdr:cNvPr>
        <xdr:cNvSpPr>
          <a:spLocks noChangeAspect="1" noChangeArrowheads="1"/>
        </xdr:cNvSpPr>
      </xdr:nvSpPr>
      <xdr:spPr bwMode="auto">
        <a:xfrm>
          <a:off x="46110525" y="2865786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01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20F0000}"/>
            </a:ext>
          </a:extLst>
        </xdr:cNvPr>
        <xdr:cNvSpPr>
          <a:spLocks noChangeAspect="1" noChangeArrowheads="1"/>
        </xdr:cNvSpPr>
      </xdr:nvSpPr>
      <xdr:spPr bwMode="auto">
        <a:xfrm>
          <a:off x="46110525" y="286873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01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30F0000}"/>
            </a:ext>
          </a:extLst>
        </xdr:cNvPr>
        <xdr:cNvSpPr>
          <a:spLocks noChangeAspect="1" noChangeArrowheads="1"/>
        </xdr:cNvSpPr>
      </xdr:nvSpPr>
      <xdr:spPr bwMode="auto">
        <a:xfrm>
          <a:off x="46110525" y="286873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02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40F0000}"/>
            </a:ext>
          </a:extLst>
        </xdr:cNvPr>
        <xdr:cNvSpPr>
          <a:spLocks noChangeAspect="1" noChangeArrowheads="1"/>
        </xdr:cNvSpPr>
      </xdr:nvSpPr>
      <xdr:spPr bwMode="auto">
        <a:xfrm>
          <a:off x="46110525" y="287169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02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50F0000}"/>
            </a:ext>
          </a:extLst>
        </xdr:cNvPr>
        <xdr:cNvSpPr>
          <a:spLocks noChangeAspect="1" noChangeArrowheads="1"/>
        </xdr:cNvSpPr>
      </xdr:nvSpPr>
      <xdr:spPr bwMode="auto">
        <a:xfrm>
          <a:off x="46110525" y="287169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02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60F0000}"/>
            </a:ext>
          </a:extLst>
        </xdr:cNvPr>
        <xdr:cNvSpPr>
          <a:spLocks noChangeAspect="1" noChangeArrowheads="1"/>
        </xdr:cNvSpPr>
      </xdr:nvSpPr>
      <xdr:spPr bwMode="auto">
        <a:xfrm>
          <a:off x="46110525" y="287464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02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70F0000}"/>
            </a:ext>
          </a:extLst>
        </xdr:cNvPr>
        <xdr:cNvSpPr>
          <a:spLocks noChangeAspect="1" noChangeArrowheads="1"/>
        </xdr:cNvSpPr>
      </xdr:nvSpPr>
      <xdr:spPr bwMode="auto">
        <a:xfrm>
          <a:off x="46110525" y="287464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02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80F0000}"/>
            </a:ext>
          </a:extLst>
        </xdr:cNvPr>
        <xdr:cNvSpPr>
          <a:spLocks noChangeAspect="1" noChangeArrowheads="1"/>
        </xdr:cNvSpPr>
      </xdr:nvSpPr>
      <xdr:spPr bwMode="auto">
        <a:xfrm>
          <a:off x="46110525" y="2877597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02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90F0000}"/>
            </a:ext>
          </a:extLst>
        </xdr:cNvPr>
        <xdr:cNvSpPr>
          <a:spLocks noChangeAspect="1" noChangeArrowheads="1"/>
        </xdr:cNvSpPr>
      </xdr:nvSpPr>
      <xdr:spPr bwMode="auto">
        <a:xfrm>
          <a:off x="46110525" y="2877597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02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A0F0000}"/>
            </a:ext>
          </a:extLst>
        </xdr:cNvPr>
        <xdr:cNvSpPr>
          <a:spLocks noChangeAspect="1" noChangeArrowheads="1"/>
        </xdr:cNvSpPr>
      </xdr:nvSpPr>
      <xdr:spPr bwMode="auto">
        <a:xfrm>
          <a:off x="46110525" y="288055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02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B0F0000}"/>
            </a:ext>
          </a:extLst>
        </xdr:cNvPr>
        <xdr:cNvSpPr>
          <a:spLocks noChangeAspect="1" noChangeArrowheads="1"/>
        </xdr:cNvSpPr>
      </xdr:nvSpPr>
      <xdr:spPr bwMode="auto">
        <a:xfrm>
          <a:off x="46110525" y="288055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02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C0F0000}"/>
            </a:ext>
          </a:extLst>
        </xdr:cNvPr>
        <xdr:cNvSpPr>
          <a:spLocks noChangeAspect="1" noChangeArrowheads="1"/>
        </xdr:cNvSpPr>
      </xdr:nvSpPr>
      <xdr:spPr bwMode="auto">
        <a:xfrm>
          <a:off x="46110525" y="288350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02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D0F0000}"/>
            </a:ext>
          </a:extLst>
        </xdr:cNvPr>
        <xdr:cNvSpPr>
          <a:spLocks noChangeAspect="1" noChangeArrowheads="1"/>
        </xdr:cNvSpPr>
      </xdr:nvSpPr>
      <xdr:spPr bwMode="auto">
        <a:xfrm>
          <a:off x="46110525" y="288350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03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E0F0000}"/>
            </a:ext>
          </a:extLst>
        </xdr:cNvPr>
        <xdr:cNvSpPr>
          <a:spLocks noChangeAspect="1" noChangeArrowheads="1"/>
        </xdr:cNvSpPr>
      </xdr:nvSpPr>
      <xdr:spPr bwMode="auto">
        <a:xfrm>
          <a:off x="46110525" y="288645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03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F0F0000}"/>
            </a:ext>
          </a:extLst>
        </xdr:cNvPr>
        <xdr:cNvSpPr>
          <a:spLocks noChangeAspect="1" noChangeArrowheads="1"/>
        </xdr:cNvSpPr>
      </xdr:nvSpPr>
      <xdr:spPr bwMode="auto">
        <a:xfrm>
          <a:off x="46110525" y="288645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03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00F0000}"/>
            </a:ext>
          </a:extLst>
        </xdr:cNvPr>
        <xdr:cNvSpPr>
          <a:spLocks noChangeAspect="1" noChangeArrowheads="1"/>
        </xdr:cNvSpPr>
      </xdr:nvSpPr>
      <xdr:spPr bwMode="auto">
        <a:xfrm>
          <a:off x="46110525" y="288940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03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10F0000}"/>
            </a:ext>
          </a:extLst>
        </xdr:cNvPr>
        <xdr:cNvSpPr>
          <a:spLocks noChangeAspect="1" noChangeArrowheads="1"/>
        </xdr:cNvSpPr>
      </xdr:nvSpPr>
      <xdr:spPr bwMode="auto">
        <a:xfrm>
          <a:off x="46110525" y="288940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03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20F0000}"/>
            </a:ext>
          </a:extLst>
        </xdr:cNvPr>
        <xdr:cNvSpPr>
          <a:spLocks noChangeAspect="1" noChangeArrowheads="1"/>
        </xdr:cNvSpPr>
      </xdr:nvSpPr>
      <xdr:spPr bwMode="auto">
        <a:xfrm>
          <a:off x="46110525" y="289236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03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30F0000}"/>
            </a:ext>
          </a:extLst>
        </xdr:cNvPr>
        <xdr:cNvSpPr>
          <a:spLocks noChangeAspect="1" noChangeArrowheads="1"/>
        </xdr:cNvSpPr>
      </xdr:nvSpPr>
      <xdr:spPr bwMode="auto">
        <a:xfrm>
          <a:off x="46110525" y="289236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03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40F0000}"/>
            </a:ext>
          </a:extLst>
        </xdr:cNvPr>
        <xdr:cNvSpPr>
          <a:spLocks noChangeAspect="1" noChangeArrowheads="1"/>
        </xdr:cNvSpPr>
      </xdr:nvSpPr>
      <xdr:spPr bwMode="auto">
        <a:xfrm>
          <a:off x="46110525" y="2895314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03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50F0000}"/>
            </a:ext>
          </a:extLst>
        </xdr:cNvPr>
        <xdr:cNvSpPr>
          <a:spLocks noChangeAspect="1" noChangeArrowheads="1"/>
        </xdr:cNvSpPr>
      </xdr:nvSpPr>
      <xdr:spPr bwMode="auto">
        <a:xfrm>
          <a:off x="46110525" y="2895314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03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60F0000}"/>
            </a:ext>
          </a:extLst>
        </xdr:cNvPr>
        <xdr:cNvSpPr>
          <a:spLocks noChangeAspect="1" noChangeArrowheads="1"/>
        </xdr:cNvSpPr>
      </xdr:nvSpPr>
      <xdr:spPr bwMode="auto">
        <a:xfrm>
          <a:off x="46110525" y="289826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03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70F0000}"/>
            </a:ext>
          </a:extLst>
        </xdr:cNvPr>
        <xdr:cNvSpPr>
          <a:spLocks noChangeAspect="1" noChangeArrowheads="1"/>
        </xdr:cNvSpPr>
      </xdr:nvSpPr>
      <xdr:spPr bwMode="auto">
        <a:xfrm>
          <a:off x="46110525" y="289826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04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80F0000}"/>
            </a:ext>
          </a:extLst>
        </xdr:cNvPr>
        <xdr:cNvSpPr>
          <a:spLocks noChangeAspect="1" noChangeArrowheads="1"/>
        </xdr:cNvSpPr>
      </xdr:nvSpPr>
      <xdr:spPr bwMode="auto">
        <a:xfrm>
          <a:off x="46110525" y="2901219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04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90F0000}"/>
            </a:ext>
          </a:extLst>
        </xdr:cNvPr>
        <xdr:cNvSpPr>
          <a:spLocks noChangeAspect="1" noChangeArrowheads="1"/>
        </xdr:cNvSpPr>
      </xdr:nvSpPr>
      <xdr:spPr bwMode="auto">
        <a:xfrm>
          <a:off x="46110525" y="2901219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04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A0F0000}"/>
            </a:ext>
          </a:extLst>
        </xdr:cNvPr>
        <xdr:cNvSpPr>
          <a:spLocks noChangeAspect="1" noChangeArrowheads="1"/>
        </xdr:cNvSpPr>
      </xdr:nvSpPr>
      <xdr:spPr bwMode="auto">
        <a:xfrm>
          <a:off x="46110525" y="290417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04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B0F0000}"/>
            </a:ext>
          </a:extLst>
        </xdr:cNvPr>
        <xdr:cNvSpPr>
          <a:spLocks noChangeAspect="1" noChangeArrowheads="1"/>
        </xdr:cNvSpPr>
      </xdr:nvSpPr>
      <xdr:spPr bwMode="auto">
        <a:xfrm>
          <a:off x="46110525" y="290417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04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C0F0000}"/>
            </a:ext>
          </a:extLst>
        </xdr:cNvPr>
        <xdr:cNvSpPr>
          <a:spLocks noChangeAspect="1" noChangeArrowheads="1"/>
        </xdr:cNvSpPr>
      </xdr:nvSpPr>
      <xdr:spPr bwMode="auto">
        <a:xfrm>
          <a:off x="46110525" y="290712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04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D0F0000}"/>
            </a:ext>
          </a:extLst>
        </xdr:cNvPr>
        <xdr:cNvSpPr>
          <a:spLocks noChangeAspect="1" noChangeArrowheads="1"/>
        </xdr:cNvSpPr>
      </xdr:nvSpPr>
      <xdr:spPr bwMode="auto">
        <a:xfrm>
          <a:off x="46110525" y="290712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04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E0F0000}"/>
            </a:ext>
          </a:extLst>
        </xdr:cNvPr>
        <xdr:cNvSpPr>
          <a:spLocks noChangeAspect="1" noChangeArrowheads="1"/>
        </xdr:cNvSpPr>
      </xdr:nvSpPr>
      <xdr:spPr bwMode="auto">
        <a:xfrm>
          <a:off x="46110525" y="291007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04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F0F0000}"/>
            </a:ext>
          </a:extLst>
        </xdr:cNvPr>
        <xdr:cNvSpPr>
          <a:spLocks noChangeAspect="1" noChangeArrowheads="1"/>
        </xdr:cNvSpPr>
      </xdr:nvSpPr>
      <xdr:spPr bwMode="auto">
        <a:xfrm>
          <a:off x="46110525" y="291007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04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00F0000}"/>
            </a:ext>
          </a:extLst>
        </xdr:cNvPr>
        <xdr:cNvSpPr>
          <a:spLocks noChangeAspect="1" noChangeArrowheads="1"/>
        </xdr:cNvSpPr>
      </xdr:nvSpPr>
      <xdr:spPr bwMode="auto">
        <a:xfrm>
          <a:off x="46110525" y="291303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04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10F0000}"/>
            </a:ext>
          </a:extLst>
        </xdr:cNvPr>
        <xdr:cNvSpPr>
          <a:spLocks noChangeAspect="1" noChangeArrowheads="1"/>
        </xdr:cNvSpPr>
      </xdr:nvSpPr>
      <xdr:spPr bwMode="auto">
        <a:xfrm>
          <a:off x="46110525" y="291303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05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20F0000}"/>
            </a:ext>
          </a:extLst>
        </xdr:cNvPr>
        <xdr:cNvSpPr>
          <a:spLocks noChangeAspect="1" noChangeArrowheads="1"/>
        </xdr:cNvSpPr>
      </xdr:nvSpPr>
      <xdr:spPr bwMode="auto">
        <a:xfrm>
          <a:off x="46110525" y="291598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05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30F0000}"/>
            </a:ext>
          </a:extLst>
        </xdr:cNvPr>
        <xdr:cNvSpPr>
          <a:spLocks noChangeAspect="1" noChangeArrowheads="1"/>
        </xdr:cNvSpPr>
      </xdr:nvSpPr>
      <xdr:spPr bwMode="auto">
        <a:xfrm>
          <a:off x="46110525" y="291598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05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40F0000}"/>
            </a:ext>
          </a:extLst>
        </xdr:cNvPr>
        <xdr:cNvSpPr>
          <a:spLocks noChangeAspect="1" noChangeArrowheads="1"/>
        </xdr:cNvSpPr>
      </xdr:nvSpPr>
      <xdr:spPr bwMode="auto">
        <a:xfrm>
          <a:off x="46110525" y="291893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05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50F0000}"/>
            </a:ext>
          </a:extLst>
        </xdr:cNvPr>
        <xdr:cNvSpPr>
          <a:spLocks noChangeAspect="1" noChangeArrowheads="1"/>
        </xdr:cNvSpPr>
      </xdr:nvSpPr>
      <xdr:spPr bwMode="auto">
        <a:xfrm>
          <a:off x="46110525" y="291893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05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60F0000}"/>
            </a:ext>
          </a:extLst>
        </xdr:cNvPr>
        <xdr:cNvSpPr>
          <a:spLocks noChangeAspect="1" noChangeArrowheads="1"/>
        </xdr:cNvSpPr>
      </xdr:nvSpPr>
      <xdr:spPr bwMode="auto">
        <a:xfrm>
          <a:off x="46110525" y="292188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05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70F0000}"/>
            </a:ext>
          </a:extLst>
        </xdr:cNvPr>
        <xdr:cNvSpPr>
          <a:spLocks noChangeAspect="1" noChangeArrowheads="1"/>
        </xdr:cNvSpPr>
      </xdr:nvSpPr>
      <xdr:spPr bwMode="auto">
        <a:xfrm>
          <a:off x="46110525" y="292188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05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80F0000}"/>
            </a:ext>
          </a:extLst>
        </xdr:cNvPr>
        <xdr:cNvSpPr>
          <a:spLocks noChangeAspect="1" noChangeArrowheads="1"/>
        </xdr:cNvSpPr>
      </xdr:nvSpPr>
      <xdr:spPr bwMode="auto">
        <a:xfrm>
          <a:off x="46110525" y="2924841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05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90F0000}"/>
            </a:ext>
          </a:extLst>
        </xdr:cNvPr>
        <xdr:cNvSpPr>
          <a:spLocks noChangeAspect="1" noChangeArrowheads="1"/>
        </xdr:cNvSpPr>
      </xdr:nvSpPr>
      <xdr:spPr bwMode="auto">
        <a:xfrm>
          <a:off x="46110525" y="2924841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05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A0F0000}"/>
            </a:ext>
          </a:extLst>
        </xdr:cNvPr>
        <xdr:cNvSpPr>
          <a:spLocks noChangeAspect="1" noChangeArrowheads="1"/>
        </xdr:cNvSpPr>
      </xdr:nvSpPr>
      <xdr:spPr bwMode="auto">
        <a:xfrm>
          <a:off x="46110525" y="292779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05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B0F0000}"/>
            </a:ext>
          </a:extLst>
        </xdr:cNvPr>
        <xdr:cNvSpPr>
          <a:spLocks noChangeAspect="1" noChangeArrowheads="1"/>
        </xdr:cNvSpPr>
      </xdr:nvSpPr>
      <xdr:spPr bwMode="auto">
        <a:xfrm>
          <a:off x="46110525" y="292779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06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C0F0000}"/>
            </a:ext>
          </a:extLst>
        </xdr:cNvPr>
        <xdr:cNvSpPr>
          <a:spLocks noChangeAspect="1" noChangeArrowheads="1"/>
        </xdr:cNvSpPr>
      </xdr:nvSpPr>
      <xdr:spPr bwMode="auto">
        <a:xfrm>
          <a:off x="46110525" y="2930747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06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D0F0000}"/>
            </a:ext>
          </a:extLst>
        </xdr:cNvPr>
        <xdr:cNvSpPr>
          <a:spLocks noChangeAspect="1" noChangeArrowheads="1"/>
        </xdr:cNvSpPr>
      </xdr:nvSpPr>
      <xdr:spPr bwMode="auto">
        <a:xfrm>
          <a:off x="46110525" y="2930747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06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E0F0000}"/>
            </a:ext>
          </a:extLst>
        </xdr:cNvPr>
        <xdr:cNvSpPr>
          <a:spLocks noChangeAspect="1" noChangeArrowheads="1"/>
        </xdr:cNvSpPr>
      </xdr:nvSpPr>
      <xdr:spPr bwMode="auto">
        <a:xfrm>
          <a:off x="46110525" y="29337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06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F0F0000}"/>
            </a:ext>
          </a:extLst>
        </xdr:cNvPr>
        <xdr:cNvSpPr>
          <a:spLocks noChangeAspect="1" noChangeArrowheads="1"/>
        </xdr:cNvSpPr>
      </xdr:nvSpPr>
      <xdr:spPr bwMode="auto">
        <a:xfrm>
          <a:off x="46110525" y="29337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06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00F0000}"/>
            </a:ext>
          </a:extLst>
        </xdr:cNvPr>
        <xdr:cNvSpPr>
          <a:spLocks noChangeAspect="1" noChangeArrowheads="1"/>
        </xdr:cNvSpPr>
      </xdr:nvSpPr>
      <xdr:spPr bwMode="auto">
        <a:xfrm>
          <a:off x="46110525" y="2936652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06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10F0000}"/>
            </a:ext>
          </a:extLst>
        </xdr:cNvPr>
        <xdr:cNvSpPr>
          <a:spLocks noChangeAspect="1" noChangeArrowheads="1"/>
        </xdr:cNvSpPr>
      </xdr:nvSpPr>
      <xdr:spPr bwMode="auto">
        <a:xfrm>
          <a:off x="46110525" y="2936652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06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20F0000}"/>
            </a:ext>
          </a:extLst>
        </xdr:cNvPr>
        <xdr:cNvSpPr>
          <a:spLocks noChangeAspect="1" noChangeArrowheads="1"/>
        </xdr:cNvSpPr>
      </xdr:nvSpPr>
      <xdr:spPr bwMode="auto">
        <a:xfrm>
          <a:off x="46110525" y="293960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06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30F0000}"/>
            </a:ext>
          </a:extLst>
        </xdr:cNvPr>
        <xdr:cNvSpPr>
          <a:spLocks noChangeAspect="1" noChangeArrowheads="1"/>
        </xdr:cNvSpPr>
      </xdr:nvSpPr>
      <xdr:spPr bwMode="auto">
        <a:xfrm>
          <a:off x="46110525" y="293960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06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40F0000}"/>
            </a:ext>
          </a:extLst>
        </xdr:cNvPr>
        <xdr:cNvSpPr>
          <a:spLocks noChangeAspect="1" noChangeArrowheads="1"/>
        </xdr:cNvSpPr>
      </xdr:nvSpPr>
      <xdr:spPr bwMode="auto">
        <a:xfrm>
          <a:off x="46110525" y="294255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06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50F0000}"/>
            </a:ext>
          </a:extLst>
        </xdr:cNvPr>
        <xdr:cNvSpPr>
          <a:spLocks noChangeAspect="1" noChangeArrowheads="1"/>
        </xdr:cNvSpPr>
      </xdr:nvSpPr>
      <xdr:spPr bwMode="auto">
        <a:xfrm>
          <a:off x="46110525" y="294255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07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60F0000}"/>
            </a:ext>
          </a:extLst>
        </xdr:cNvPr>
        <xdr:cNvSpPr>
          <a:spLocks noChangeAspect="1" noChangeArrowheads="1"/>
        </xdr:cNvSpPr>
      </xdr:nvSpPr>
      <xdr:spPr bwMode="auto">
        <a:xfrm>
          <a:off x="46110525" y="294551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07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70F0000}"/>
            </a:ext>
          </a:extLst>
        </xdr:cNvPr>
        <xdr:cNvSpPr>
          <a:spLocks noChangeAspect="1" noChangeArrowheads="1"/>
        </xdr:cNvSpPr>
      </xdr:nvSpPr>
      <xdr:spPr bwMode="auto">
        <a:xfrm>
          <a:off x="46110525" y="294551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07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80F0000}"/>
            </a:ext>
          </a:extLst>
        </xdr:cNvPr>
        <xdr:cNvSpPr>
          <a:spLocks noChangeAspect="1" noChangeArrowheads="1"/>
        </xdr:cNvSpPr>
      </xdr:nvSpPr>
      <xdr:spPr bwMode="auto">
        <a:xfrm>
          <a:off x="46110525" y="294846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07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90F0000}"/>
            </a:ext>
          </a:extLst>
        </xdr:cNvPr>
        <xdr:cNvSpPr>
          <a:spLocks noChangeAspect="1" noChangeArrowheads="1"/>
        </xdr:cNvSpPr>
      </xdr:nvSpPr>
      <xdr:spPr bwMode="auto">
        <a:xfrm>
          <a:off x="46110525" y="294846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07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A0F0000}"/>
            </a:ext>
          </a:extLst>
        </xdr:cNvPr>
        <xdr:cNvSpPr>
          <a:spLocks noChangeAspect="1" noChangeArrowheads="1"/>
        </xdr:cNvSpPr>
      </xdr:nvSpPr>
      <xdr:spPr bwMode="auto">
        <a:xfrm>
          <a:off x="46110525" y="295141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07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B0F0000}"/>
            </a:ext>
          </a:extLst>
        </xdr:cNvPr>
        <xdr:cNvSpPr>
          <a:spLocks noChangeAspect="1" noChangeArrowheads="1"/>
        </xdr:cNvSpPr>
      </xdr:nvSpPr>
      <xdr:spPr bwMode="auto">
        <a:xfrm>
          <a:off x="46110525" y="295141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07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C0F0000}"/>
            </a:ext>
          </a:extLst>
        </xdr:cNvPr>
        <xdr:cNvSpPr>
          <a:spLocks noChangeAspect="1" noChangeArrowheads="1"/>
        </xdr:cNvSpPr>
      </xdr:nvSpPr>
      <xdr:spPr bwMode="auto">
        <a:xfrm>
          <a:off x="46110525" y="2954369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07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D0F0000}"/>
            </a:ext>
          </a:extLst>
        </xdr:cNvPr>
        <xdr:cNvSpPr>
          <a:spLocks noChangeAspect="1" noChangeArrowheads="1"/>
        </xdr:cNvSpPr>
      </xdr:nvSpPr>
      <xdr:spPr bwMode="auto">
        <a:xfrm>
          <a:off x="46110525" y="2954369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07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E0F0000}"/>
            </a:ext>
          </a:extLst>
        </xdr:cNvPr>
        <xdr:cNvSpPr>
          <a:spLocks noChangeAspect="1" noChangeArrowheads="1"/>
        </xdr:cNvSpPr>
      </xdr:nvSpPr>
      <xdr:spPr bwMode="auto">
        <a:xfrm>
          <a:off x="46110525" y="295732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07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F0F0000}"/>
            </a:ext>
          </a:extLst>
        </xdr:cNvPr>
        <xdr:cNvSpPr>
          <a:spLocks noChangeAspect="1" noChangeArrowheads="1"/>
        </xdr:cNvSpPr>
      </xdr:nvSpPr>
      <xdr:spPr bwMode="auto">
        <a:xfrm>
          <a:off x="46110525" y="295732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08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00F0000}"/>
            </a:ext>
          </a:extLst>
        </xdr:cNvPr>
        <xdr:cNvSpPr>
          <a:spLocks noChangeAspect="1" noChangeArrowheads="1"/>
        </xdr:cNvSpPr>
      </xdr:nvSpPr>
      <xdr:spPr bwMode="auto">
        <a:xfrm>
          <a:off x="46110525" y="2960274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08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10F0000}"/>
            </a:ext>
          </a:extLst>
        </xdr:cNvPr>
        <xdr:cNvSpPr>
          <a:spLocks noChangeAspect="1" noChangeArrowheads="1"/>
        </xdr:cNvSpPr>
      </xdr:nvSpPr>
      <xdr:spPr bwMode="auto">
        <a:xfrm>
          <a:off x="46110525" y="2960274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08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20F0000}"/>
            </a:ext>
          </a:extLst>
        </xdr:cNvPr>
        <xdr:cNvSpPr>
          <a:spLocks noChangeAspect="1" noChangeArrowheads="1"/>
        </xdr:cNvSpPr>
      </xdr:nvSpPr>
      <xdr:spPr bwMode="auto">
        <a:xfrm>
          <a:off x="46110525" y="296322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08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30F0000}"/>
            </a:ext>
          </a:extLst>
        </xdr:cNvPr>
        <xdr:cNvSpPr>
          <a:spLocks noChangeAspect="1" noChangeArrowheads="1"/>
        </xdr:cNvSpPr>
      </xdr:nvSpPr>
      <xdr:spPr bwMode="auto">
        <a:xfrm>
          <a:off x="46110525" y="296322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08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40F0000}"/>
            </a:ext>
          </a:extLst>
        </xdr:cNvPr>
        <xdr:cNvSpPr>
          <a:spLocks noChangeAspect="1" noChangeArrowheads="1"/>
        </xdr:cNvSpPr>
      </xdr:nvSpPr>
      <xdr:spPr bwMode="auto">
        <a:xfrm>
          <a:off x="46110525" y="296618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08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50F0000}"/>
            </a:ext>
          </a:extLst>
        </xdr:cNvPr>
        <xdr:cNvSpPr>
          <a:spLocks noChangeAspect="1" noChangeArrowheads="1"/>
        </xdr:cNvSpPr>
      </xdr:nvSpPr>
      <xdr:spPr bwMode="auto">
        <a:xfrm>
          <a:off x="46110525" y="296618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08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60F0000}"/>
            </a:ext>
          </a:extLst>
        </xdr:cNvPr>
        <xdr:cNvSpPr>
          <a:spLocks noChangeAspect="1" noChangeArrowheads="1"/>
        </xdr:cNvSpPr>
      </xdr:nvSpPr>
      <xdr:spPr bwMode="auto">
        <a:xfrm>
          <a:off x="46110525" y="296913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08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70F0000}"/>
            </a:ext>
          </a:extLst>
        </xdr:cNvPr>
        <xdr:cNvSpPr>
          <a:spLocks noChangeAspect="1" noChangeArrowheads="1"/>
        </xdr:cNvSpPr>
      </xdr:nvSpPr>
      <xdr:spPr bwMode="auto">
        <a:xfrm>
          <a:off x="46110525" y="296913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08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80F0000}"/>
            </a:ext>
          </a:extLst>
        </xdr:cNvPr>
        <xdr:cNvSpPr>
          <a:spLocks noChangeAspect="1" noChangeArrowheads="1"/>
        </xdr:cNvSpPr>
      </xdr:nvSpPr>
      <xdr:spPr bwMode="auto">
        <a:xfrm>
          <a:off x="46110525" y="297208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08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90F0000}"/>
            </a:ext>
          </a:extLst>
        </xdr:cNvPr>
        <xdr:cNvSpPr>
          <a:spLocks noChangeAspect="1" noChangeArrowheads="1"/>
        </xdr:cNvSpPr>
      </xdr:nvSpPr>
      <xdr:spPr bwMode="auto">
        <a:xfrm>
          <a:off x="46110525" y="297208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09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A0F0000}"/>
            </a:ext>
          </a:extLst>
        </xdr:cNvPr>
        <xdr:cNvSpPr>
          <a:spLocks noChangeAspect="1" noChangeArrowheads="1"/>
        </xdr:cNvSpPr>
      </xdr:nvSpPr>
      <xdr:spPr bwMode="auto">
        <a:xfrm>
          <a:off x="46110525" y="297503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09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B0F0000}"/>
            </a:ext>
          </a:extLst>
        </xdr:cNvPr>
        <xdr:cNvSpPr>
          <a:spLocks noChangeAspect="1" noChangeArrowheads="1"/>
        </xdr:cNvSpPr>
      </xdr:nvSpPr>
      <xdr:spPr bwMode="auto">
        <a:xfrm>
          <a:off x="46110525" y="297503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09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C0F0000}"/>
            </a:ext>
          </a:extLst>
        </xdr:cNvPr>
        <xdr:cNvSpPr>
          <a:spLocks noChangeAspect="1" noChangeArrowheads="1"/>
        </xdr:cNvSpPr>
      </xdr:nvSpPr>
      <xdr:spPr bwMode="auto">
        <a:xfrm>
          <a:off x="46110525" y="2977991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09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D0F0000}"/>
            </a:ext>
          </a:extLst>
        </xdr:cNvPr>
        <xdr:cNvSpPr>
          <a:spLocks noChangeAspect="1" noChangeArrowheads="1"/>
        </xdr:cNvSpPr>
      </xdr:nvSpPr>
      <xdr:spPr bwMode="auto">
        <a:xfrm>
          <a:off x="46110525" y="2977991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09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E0F0000}"/>
            </a:ext>
          </a:extLst>
        </xdr:cNvPr>
        <xdr:cNvSpPr>
          <a:spLocks noChangeAspect="1" noChangeArrowheads="1"/>
        </xdr:cNvSpPr>
      </xdr:nvSpPr>
      <xdr:spPr bwMode="auto">
        <a:xfrm>
          <a:off x="46110525" y="298094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09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F0F0000}"/>
            </a:ext>
          </a:extLst>
        </xdr:cNvPr>
        <xdr:cNvSpPr>
          <a:spLocks noChangeAspect="1" noChangeArrowheads="1"/>
        </xdr:cNvSpPr>
      </xdr:nvSpPr>
      <xdr:spPr bwMode="auto">
        <a:xfrm>
          <a:off x="46110525" y="298094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09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0100000}"/>
            </a:ext>
          </a:extLst>
        </xdr:cNvPr>
        <xdr:cNvSpPr>
          <a:spLocks noChangeAspect="1" noChangeArrowheads="1"/>
        </xdr:cNvSpPr>
      </xdr:nvSpPr>
      <xdr:spPr bwMode="auto">
        <a:xfrm>
          <a:off x="46110525" y="2983896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09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1100000}"/>
            </a:ext>
          </a:extLst>
        </xdr:cNvPr>
        <xdr:cNvSpPr>
          <a:spLocks noChangeAspect="1" noChangeArrowheads="1"/>
        </xdr:cNvSpPr>
      </xdr:nvSpPr>
      <xdr:spPr bwMode="auto">
        <a:xfrm>
          <a:off x="46110525" y="2983896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09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2100000}"/>
            </a:ext>
          </a:extLst>
        </xdr:cNvPr>
        <xdr:cNvSpPr>
          <a:spLocks noChangeAspect="1" noChangeArrowheads="1"/>
        </xdr:cNvSpPr>
      </xdr:nvSpPr>
      <xdr:spPr bwMode="auto">
        <a:xfrm>
          <a:off x="46110525" y="298684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09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3100000}"/>
            </a:ext>
          </a:extLst>
        </xdr:cNvPr>
        <xdr:cNvSpPr>
          <a:spLocks noChangeAspect="1" noChangeArrowheads="1"/>
        </xdr:cNvSpPr>
      </xdr:nvSpPr>
      <xdr:spPr bwMode="auto">
        <a:xfrm>
          <a:off x="46110525" y="298684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10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4100000}"/>
            </a:ext>
          </a:extLst>
        </xdr:cNvPr>
        <xdr:cNvSpPr>
          <a:spLocks noChangeAspect="1" noChangeArrowheads="1"/>
        </xdr:cNvSpPr>
      </xdr:nvSpPr>
      <xdr:spPr bwMode="auto">
        <a:xfrm>
          <a:off x="46110525" y="298980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10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5100000}"/>
            </a:ext>
          </a:extLst>
        </xdr:cNvPr>
        <xdr:cNvSpPr>
          <a:spLocks noChangeAspect="1" noChangeArrowheads="1"/>
        </xdr:cNvSpPr>
      </xdr:nvSpPr>
      <xdr:spPr bwMode="auto">
        <a:xfrm>
          <a:off x="46110525" y="298980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10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6100000}"/>
            </a:ext>
          </a:extLst>
        </xdr:cNvPr>
        <xdr:cNvSpPr>
          <a:spLocks noChangeAspect="1" noChangeArrowheads="1"/>
        </xdr:cNvSpPr>
      </xdr:nvSpPr>
      <xdr:spPr bwMode="auto">
        <a:xfrm>
          <a:off x="46110525" y="299275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10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7100000}"/>
            </a:ext>
          </a:extLst>
        </xdr:cNvPr>
        <xdr:cNvSpPr>
          <a:spLocks noChangeAspect="1" noChangeArrowheads="1"/>
        </xdr:cNvSpPr>
      </xdr:nvSpPr>
      <xdr:spPr bwMode="auto">
        <a:xfrm>
          <a:off x="46110525" y="299275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10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8100000}"/>
            </a:ext>
          </a:extLst>
        </xdr:cNvPr>
        <xdr:cNvSpPr>
          <a:spLocks noChangeAspect="1" noChangeArrowheads="1"/>
        </xdr:cNvSpPr>
      </xdr:nvSpPr>
      <xdr:spPr bwMode="auto">
        <a:xfrm>
          <a:off x="46110525" y="2995707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10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9100000}"/>
            </a:ext>
          </a:extLst>
        </xdr:cNvPr>
        <xdr:cNvSpPr>
          <a:spLocks noChangeAspect="1" noChangeArrowheads="1"/>
        </xdr:cNvSpPr>
      </xdr:nvSpPr>
      <xdr:spPr bwMode="auto">
        <a:xfrm>
          <a:off x="46110525" y="2995707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10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A100000}"/>
            </a:ext>
          </a:extLst>
        </xdr:cNvPr>
        <xdr:cNvSpPr>
          <a:spLocks noChangeAspect="1" noChangeArrowheads="1"/>
        </xdr:cNvSpPr>
      </xdr:nvSpPr>
      <xdr:spPr bwMode="auto">
        <a:xfrm>
          <a:off x="46110525" y="299866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10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B100000}"/>
            </a:ext>
          </a:extLst>
        </xdr:cNvPr>
        <xdr:cNvSpPr>
          <a:spLocks noChangeAspect="1" noChangeArrowheads="1"/>
        </xdr:cNvSpPr>
      </xdr:nvSpPr>
      <xdr:spPr bwMode="auto">
        <a:xfrm>
          <a:off x="46110525" y="299866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10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C100000}"/>
            </a:ext>
          </a:extLst>
        </xdr:cNvPr>
        <xdr:cNvSpPr>
          <a:spLocks noChangeAspect="1" noChangeArrowheads="1"/>
        </xdr:cNvSpPr>
      </xdr:nvSpPr>
      <xdr:spPr bwMode="auto">
        <a:xfrm>
          <a:off x="46110525" y="300161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10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D100000}"/>
            </a:ext>
          </a:extLst>
        </xdr:cNvPr>
        <xdr:cNvSpPr>
          <a:spLocks noChangeAspect="1" noChangeArrowheads="1"/>
        </xdr:cNvSpPr>
      </xdr:nvSpPr>
      <xdr:spPr bwMode="auto">
        <a:xfrm>
          <a:off x="46110525" y="300161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11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E100000}"/>
            </a:ext>
          </a:extLst>
        </xdr:cNvPr>
        <xdr:cNvSpPr>
          <a:spLocks noChangeAspect="1" noChangeArrowheads="1"/>
        </xdr:cNvSpPr>
      </xdr:nvSpPr>
      <xdr:spPr bwMode="auto">
        <a:xfrm>
          <a:off x="46110525" y="300456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11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F100000}"/>
            </a:ext>
          </a:extLst>
        </xdr:cNvPr>
        <xdr:cNvSpPr>
          <a:spLocks noChangeAspect="1" noChangeArrowheads="1"/>
        </xdr:cNvSpPr>
      </xdr:nvSpPr>
      <xdr:spPr bwMode="auto">
        <a:xfrm>
          <a:off x="46110525" y="300456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11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0100000}"/>
            </a:ext>
          </a:extLst>
        </xdr:cNvPr>
        <xdr:cNvSpPr>
          <a:spLocks noChangeAspect="1" noChangeArrowheads="1"/>
        </xdr:cNvSpPr>
      </xdr:nvSpPr>
      <xdr:spPr bwMode="auto">
        <a:xfrm>
          <a:off x="46110525" y="300751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11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1100000}"/>
            </a:ext>
          </a:extLst>
        </xdr:cNvPr>
        <xdr:cNvSpPr>
          <a:spLocks noChangeAspect="1" noChangeArrowheads="1"/>
        </xdr:cNvSpPr>
      </xdr:nvSpPr>
      <xdr:spPr bwMode="auto">
        <a:xfrm>
          <a:off x="46110525" y="300751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11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2100000}"/>
            </a:ext>
          </a:extLst>
        </xdr:cNvPr>
        <xdr:cNvSpPr>
          <a:spLocks noChangeAspect="1" noChangeArrowheads="1"/>
        </xdr:cNvSpPr>
      </xdr:nvSpPr>
      <xdr:spPr bwMode="auto">
        <a:xfrm>
          <a:off x="46110525" y="301047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11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3100000}"/>
            </a:ext>
          </a:extLst>
        </xdr:cNvPr>
        <xdr:cNvSpPr>
          <a:spLocks noChangeAspect="1" noChangeArrowheads="1"/>
        </xdr:cNvSpPr>
      </xdr:nvSpPr>
      <xdr:spPr bwMode="auto">
        <a:xfrm>
          <a:off x="46110525" y="301047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11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4100000}"/>
            </a:ext>
          </a:extLst>
        </xdr:cNvPr>
        <xdr:cNvSpPr>
          <a:spLocks noChangeAspect="1" noChangeArrowheads="1"/>
        </xdr:cNvSpPr>
      </xdr:nvSpPr>
      <xdr:spPr bwMode="auto">
        <a:xfrm>
          <a:off x="46110525" y="3013424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11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5100000}"/>
            </a:ext>
          </a:extLst>
        </xdr:cNvPr>
        <xdr:cNvSpPr>
          <a:spLocks noChangeAspect="1" noChangeArrowheads="1"/>
        </xdr:cNvSpPr>
      </xdr:nvSpPr>
      <xdr:spPr bwMode="auto">
        <a:xfrm>
          <a:off x="46110525" y="3013424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11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6100000}"/>
            </a:ext>
          </a:extLst>
        </xdr:cNvPr>
        <xdr:cNvSpPr>
          <a:spLocks noChangeAspect="1" noChangeArrowheads="1"/>
        </xdr:cNvSpPr>
      </xdr:nvSpPr>
      <xdr:spPr bwMode="auto">
        <a:xfrm>
          <a:off x="46110525" y="30163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11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7100000}"/>
            </a:ext>
          </a:extLst>
        </xdr:cNvPr>
        <xdr:cNvSpPr>
          <a:spLocks noChangeAspect="1" noChangeArrowheads="1"/>
        </xdr:cNvSpPr>
      </xdr:nvSpPr>
      <xdr:spPr bwMode="auto">
        <a:xfrm>
          <a:off x="46110525" y="30163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12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8100000}"/>
            </a:ext>
          </a:extLst>
        </xdr:cNvPr>
        <xdr:cNvSpPr>
          <a:spLocks noChangeAspect="1" noChangeArrowheads="1"/>
        </xdr:cNvSpPr>
      </xdr:nvSpPr>
      <xdr:spPr bwMode="auto">
        <a:xfrm>
          <a:off x="46110525" y="3019329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12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9100000}"/>
            </a:ext>
          </a:extLst>
        </xdr:cNvPr>
        <xdr:cNvSpPr>
          <a:spLocks noChangeAspect="1" noChangeArrowheads="1"/>
        </xdr:cNvSpPr>
      </xdr:nvSpPr>
      <xdr:spPr bwMode="auto">
        <a:xfrm>
          <a:off x="46110525" y="3019329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12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A100000}"/>
            </a:ext>
          </a:extLst>
        </xdr:cNvPr>
        <xdr:cNvSpPr>
          <a:spLocks noChangeAspect="1" noChangeArrowheads="1"/>
        </xdr:cNvSpPr>
      </xdr:nvSpPr>
      <xdr:spPr bwMode="auto">
        <a:xfrm>
          <a:off x="46110525" y="302228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12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B100000}"/>
            </a:ext>
          </a:extLst>
        </xdr:cNvPr>
        <xdr:cNvSpPr>
          <a:spLocks noChangeAspect="1" noChangeArrowheads="1"/>
        </xdr:cNvSpPr>
      </xdr:nvSpPr>
      <xdr:spPr bwMode="auto">
        <a:xfrm>
          <a:off x="46110525" y="302228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12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C100000}"/>
            </a:ext>
          </a:extLst>
        </xdr:cNvPr>
        <xdr:cNvSpPr>
          <a:spLocks noChangeAspect="1" noChangeArrowheads="1"/>
        </xdr:cNvSpPr>
      </xdr:nvSpPr>
      <xdr:spPr bwMode="auto">
        <a:xfrm>
          <a:off x="46110525" y="302523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12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D100000}"/>
            </a:ext>
          </a:extLst>
        </xdr:cNvPr>
        <xdr:cNvSpPr>
          <a:spLocks noChangeAspect="1" noChangeArrowheads="1"/>
        </xdr:cNvSpPr>
      </xdr:nvSpPr>
      <xdr:spPr bwMode="auto">
        <a:xfrm>
          <a:off x="46110525" y="302523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12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E100000}"/>
            </a:ext>
          </a:extLst>
        </xdr:cNvPr>
        <xdr:cNvSpPr>
          <a:spLocks noChangeAspect="1" noChangeArrowheads="1"/>
        </xdr:cNvSpPr>
      </xdr:nvSpPr>
      <xdr:spPr bwMode="auto">
        <a:xfrm>
          <a:off x="46110525" y="302818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12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F100000}"/>
            </a:ext>
          </a:extLst>
        </xdr:cNvPr>
        <xdr:cNvSpPr>
          <a:spLocks noChangeAspect="1" noChangeArrowheads="1"/>
        </xdr:cNvSpPr>
      </xdr:nvSpPr>
      <xdr:spPr bwMode="auto">
        <a:xfrm>
          <a:off x="46110525" y="302818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12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0100000}"/>
            </a:ext>
          </a:extLst>
        </xdr:cNvPr>
        <xdr:cNvSpPr>
          <a:spLocks noChangeAspect="1" noChangeArrowheads="1"/>
        </xdr:cNvSpPr>
      </xdr:nvSpPr>
      <xdr:spPr bwMode="auto">
        <a:xfrm>
          <a:off x="46110525" y="303114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12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1100000}"/>
            </a:ext>
          </a:extLst>
        </xdr:cNvPr>
        <xdr:cNvSpPr>
          <a:spLocks noChangeAspect="1" noChangeArrowheads="1"/>
        </xdr:cNvSpPr>
      </xdr:nvSpPr>
      <xdr:spPr bwMode="auto">
        <a:xfrm>
          <a:off x="46110525" y="303114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13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2100000}"/>
            </a:ext>
          </a:extLst>
        </xdr:cNvPr>
        <xdr:cNvSpPr>
          <a:spLocks noChangeAspect="1" noChangeArrowheads="1"/>
        </xdr:cNvSpPr>
      </xdr:nvSpPr>
      <xdr:spPr bwMode="auto">
        <a:xfrm>
          <a:off x="46110525" y="303409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13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3100000}"/>
            </a:ext>
          </a:extLst>
        </xdr:cNvPr>
        <xdr:cNvSpPr>
          <a:spLocks noChangeAspect="1" noChangeArrowheads="1"/>
        </xdr:cNvSpPr>
      </xdr:nvSpPr>
      <xdr:spPr bwMode="auto">
        <a:xfrm>
          <a:off x="46110525" y="303409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13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4100000}"/>
            </a:ext>
          </a:extLst>
        </xdr:cNvPr>
        <xdr:cNvSpPr>
          <a:spLocks noChangeAspect="1" noChangeArrowheads="1"/>
        </xdr:cNvSpPr>
      </xdr:nvSpPr>
      <xdr:spPr bwMode="auto">
        <a:xfrm>
          <a:off x="46110525" y="303704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13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5100000}"/>
            </a:ext>
          </a:extLst>
        </xdr:cNvPr>
        <xdr:cNvSpPr>
          <a:spLocks noChangeAspect="1" noChangeArrowheads="1"/>
        </xdr:cNvSpPr>
      </xdr:nvSpPr>
      <xdr:spPr bwMode="auto">
        <a:xfrm>
          <a:off x="46110525" y="303704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13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6100000}"/>
            </a:ext>
          </a:extLst>
        </xdr:cNvPr>
        <xdr:cNvSpPr>
          <a:spLocks noChangeAspect="1" noChangeArrowheads="1"/>
        </xdr:cNvSpPr>
      </xdr:nvSpPr>
      <xdr:spPr bwMode="auto">
        <a:xfrm>
          <a:off x="46110525" y="303999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13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7100000}"/>
            </a:ext>
          </a:extLst>
        </xdr:cNvPr>
        <xdr:cNvSpPr>
          <a:spLocks noChangeAspect="1" noChangeArrowheads="1"/>
        </xdr:cNvSpPr>
      </xdr:nvSpPr>
      <xdr:spPr bwMode="auto">
        <a:xfrm>
          <a:off x="46110525" y="303999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13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8100000}"/>
            </a:ext>
          </a:extLst>
        </xdr:cNvPr>
        <xdr:cNvSpPr>
          <a:spLocks noChangeAspect="1" noChangeArrowheads="1"/>
        </xdr:cNvSpPr>
      </xdr:nvSpPr>
      <xdr:spPr bwMode="auto">
        <a:xfrm>
          <a:off x="46110525" y="3042951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13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9100000}"/>
            </a:ext>
          </a:extLst>
        </xdr:cNvPr>
        <xdr:cNvSpPr>
          <a:spLocks noChangeAspect="1" noChangeArrowheads="1"/>
        </xdr:cNvSpPr>
      </xdr:nvSpPr>
      <xdr:spPr bwMode="auto">
        <a:xfrm>
          <a:off x="46110525" y="3042951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13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A100000}"/>
            </a:ext>
          </a:extLst>
        </xdr:cNvPr>
        <xdr:cNvSpPr>
          <a:spLocks noChangeAspect="1" noChangeArrowheads="1"/>
        </xdr:cNvSpPr>
      </xdr:nvSpPr>
      <xdr:spPr bwMode="auto">
        <a:xfrm>
          <a:off x="46110525" y="304590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13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B100000}"/>
            </a:ext>
          </a:extLst>
        </xdr:cNvPr>
        <xdr:cNvSpPr>
          <a:spLocks noChangeAspect="1" noChangeArrowheads="1"/>
        </xdr:cNvSpPr>
      </xdr:nvSpPr>
      <xdr:spPr bwMode="auto">
        <a:xfrm>
          <a:off x="46110525" y="304590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14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C100000}"/>
            </a:ext>
          </a:extLst>
        </xdr:cNvPr>
        <xdr:cNvSpPr>
          <a:spLocks noChangeAspect="1" noChangeArrowheads="1"/>
        </xdr:cNvSpPr>
      </xdr:nvSpPr>
      <xdr:spPr bwMode="auto">
        <a:xfrm>
          <a:off x="46110525" y="3048857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14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D100000}"/>
            </a:ext>
          </a:extLst>
        </xdr:cNvPr>
        <xdr:cNvSpPr>
          <a:spLocks noChangeAspect="1" noChangeArrowheads="1"/>
        </xdr:cNvSpPr>
      </xdr:nvSpPr>
      <xdr:spPr bwMode="auto">
        <a:xfrm>
          <a:off x="46110525" y="3048857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14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E100000}"/>
            </a:ext>
          </a:extLst>
        </xdr:cNvPr>
        <xdr:cNvSpPr>
          <a:spLocks noChangeAspect="1" noChangeArrowheads="1"/>
        </xdr:cNvSpPr>
      </xdr:nvSpPr>
      <xdr:spPr bwMode="auto">
        <a:xfrm>
          <a:off x="46110525" y="30518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14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F100000}"/>
            </a:ext>
          </a:extLst>
        </xdr:cNvPr>
        <xdr:cNvSpPr>
          <a:spLocks noChangeAspect="1" noChangeArrowheads="1"/>
        </xdr:cNvSpPr>
      </xdr:nvSpPr>
      <xdr:spPr bwMode="auto">
        <a:xfrm>
          <a:off x="46110525" y="30518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14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0100000}"/>
            </a:ext>
          </a:extLst>
        </xdr:cNvPr>
        <xdr:cNvSpPr>
          <a:spLocks noChangeAspect="1" noChangeArrowheads="1"/>
        </xdr:cNvSpPr>
      </xdr:nvSpPr>
      <xdr:spPr bwMode="auto">
        <a:xfrm>
          <a:off x="46110525" y="3054762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14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1100000}"/>
            </a:ext>
          </a:extLst>
        </xdr:cNvPr>
        <xdr:cNvSpPr>
          <a:spLocks noChangeAspect="1" noChangeArrowheads="1"/>
        </xdr:cNvSpPr>
      </xdr:nvSpPr>
      <xdr:spPr bwMode="auto">
        <a:xfrm>
          <a:off x="46110525" y="3054762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14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2100000}"/>
            </a:ext>
          </a:extLst>
        </xdr:cNvPr>
        <xdr:cNvSpPr>
          <a:spLocks noChangeAspect="1" noChangeArrowheads="1"/>
        </xdr:cNvSpPr>
      </xdr:nvSpPr>
      <xdr:spPr bwMode="auto">
        <a:xfrm>
          <a:off x="46110525" y="305771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14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3100000}"/>
            </a:ext>
          </a:extLst>
        </xdr:cNvPr>
        <xdr:cNvSpPr>
          <a:spLocks noChangeAspect="1" noChangeArrowheads="1"/>
        </xdr:cNvSpPr>
      </xdr:nvSpPr>
      <xdr:spPr bwMode="auto">
        <a:xfrm>
          <a:off x="46110525" y="305771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14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4100000}"/>
            </a:ext>
          </a:extLst>
        </xdr:cNvPr>
        <xdr:cNvSpPr>
          <a:spLocks noChangeAspect="1" noChangeArrowheads="1"/>
        </xdr:cNvSpPr>
      </xdr:nvSpPr>
      <xdr:spPr bwMode="auto">
        <a:xfrm>
          <a:off x="46110525" y="306066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14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5100000}"/>
            </a:ext>
          </a:extLst>
        </xdr:cNvPr>
        <xdr:cNvSpPr>
          <a:spLocks noChangeAspect="1" noChangeArrowheads="1"/>
        </xdr:cNvSpPr>
      </xdr:nvSpPr>
      <xdr:spPr bwMode="auto">
        <a:xfrm>
          <a:off x="46110525" y="306066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15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6100000}"/>
            </a:ext>
          </a:extLst>
        </xdr:cNvPr>
        <xdr:cNvSpPr>
          <a:spLocks noChangeAspect="1" noChangeArrowheads="1"/>
        </xdr:cNvSpPr>
      </xdr:nvSpPr>
      <xdr:spPr bwMode="auto">
        <a:xfrm>
          <a:off x="46110525" y="306362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15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7100000}"/>
            </a:ext>
          </a:extLst>
        </xdr:cNvPr>
        <xdr:cNvSpPr>
          <a:spLocks noChangeAspect="1" noChangeArrowheads="1"/>
        </xdr:cNvSpPr>
      </xdr:nvSpPr>
      <xdr:spPr bwMode="auto">
        <a:xfrm>
          <a:off x="46110525" y="306362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15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8100000}"/>
            </a:ext>
          </a:extLst>
        </xdr:cNvPr>
        <xdr:cNvSpPr>
          <a:spLocks noChangeAspect="1" noChangeArrowheads="1"/>
        </xdr:cNvSpPr>
      </xdr:nvSpPr>
      <xdr:spPr bwMode="auto">
        <a:xfrm>
          <a:off x="46110525" y="306657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15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9100000}"/>
            </a:ext>
          </a:extLst>
        </xdr:cNvPr>
        <xdr:cNvSpPr>
          <a:spLocks noChangeAspect="1" noChangeArrowheads="1"/>
        </xdr:cNvSpPr>
      </xdr:nvSpPr>
      <xdr:spPr bwMode="auto">
        <a:xfrm>
          <a:off x="46110525" y="306657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15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A100000}"/>
            </a:ext>
          </a:extLst>
        </xdr:cNvPr>
        <xdr:cNvSpPr>
          <a:spLocks noChangeAspect="1" noChangeArrowheads="1"/>
        </xdr:cNvSpPr>
      </xdr:nvSpPr>
      <xdr:spPr bwMode="auto">
        <a:xfrm>
          <a:off x="46110525" y="306952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15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B100000}"/>
            </a:ext>
          </a:extLst>
        </xdr:cNvPr>
        <xdr:cNvSpPr>
          <a:spLocks noChangeAspect="1" noChangeArrowheads="1"/>
        </xdr:cNvSpPr>
      </xdr:nvSpPr>
      <xdr:spPr bwMode="auto">
        <a:xfrm>
          <a:off x="46110525" y="306952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14</xdr:row>
      <xdr:rowOff>0</xdr:rowOff>
    </xdr:from>
    <xdr:ext cx="304800" cy="304800"/>
    <xdr:sp macro="" textlink="">
      <xdr:nvSpPr>
        <xdr:cNvPr id="415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C100000}"/>
            </a:ext>
          </a:extLst>
        </xdr:cNvPr>
        <xdr:cNvSpPr>
          <a:spLocks noChangeAspect="1" noChangeArrowheads="1"/>
        </xdr:cNvSpPr>
      </xdr:nvSpPr>
      <xdr:spPr bwMode="auto">
        <a:xfrm>
          <a:off x="39300150" y="42957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14</xdr:row>
      <xdr:rowOff>0</xdr:rowOff>
    </xdr:from>
    <xdr:ext cx="304800" cy="304800"/>
    <xdr:sp macro="" textlink="">
      <xdr:nvSpPr>
        <xdr:cNvPr id="415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D100000}"/>
            </a:ext>
          </a:extLst>
        </xdr:cNvPr>
        <xdr:cNvSpPr>
          <a:spLocks noChangeAspect="1" noChangeArrowheads="1"/>
        </xdr:cNvSpPr>
      </xdr:nvSpPr>
      <xdr:spPr bwMode="auto">
        <a:xfrm>
          <a:off x="39300150" y="42957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15</xdr:row>
      <xdr:rowOff>0</xdr:rowOff>
    </xdr:from>
    <xdr:ext cx="304800" cy="304800"/>
    <xdr:sp macro="" textlink="">
      <xdr:nvSpPr>
        <xdr:cNvPr id="415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E100000}"/>
            </a:ext>
          </a:extLst>
        </xdr:cNvPr>
        <xdr:cNvSpPr>
          <a:spLocks noChangeAspect="1" noChangeArrowheads="1"/>
        </xdr:cNvSpPr>
      </xdr:nvSpPr>
      <xdr:spPr bwMode="auto">
        <a:xfrm>
          <a:off x="39300150" y="4591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15</xdr:row>
      <xdr:rowOff>0</xdr:rowOff>
    </xdr:from>
    <xdr:ext cx="304800" cy="304800"/>
    <xdr:sp macro="" textlink="">
      <xdr:nvSpPr>
        <xdr:cNvPr id="415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F100000}"/>
            </a:ext>
          </a:extLst>
        </xdr:cNvPr>
        <xdr:cNvSpPr>
          <a:spLocks noChangeAspect="1" noChangeArrowheads="1"/>
        </xdr:cNvSpPr>
      </xdr:nvSpPr>
      <xdr:spPr bwMode="auto">
        <a:xfrm>
          <a:off x="39300150" y="4591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416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0100000}"/>
            </a:ext>
          </a:extLst>
        </xdr:cNvPr>
        <xdr:cNvSpPr>
          <a:spLocks noChangeAspect="1" noChangeArrowheads="1"/>
        </xdr:cNvSpPr>
      </xdr:nvSpPr>
      <xdr:spPr bwMode="auto">
        <a:xfrm>
          <a:off x="39300150" y="32937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416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1100000}"/>
            </a:ext>
          </a:extLst>
        </xdr:cNvPr>
        <xdr:cNvSpPr>
          <a:spLocks noChangeAspect="1" noChangeArrowheads="1"/>
        </xdr:cNvSpPr>
      </xdr:nvSpPr>
      <xdr:spPr bwMode="auto">
        <a:xfrm>
          <a:off x="39300150" y="32937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416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2100000}"/>
            </a:ext>
          </a:extLst>
        </xdr:cNvPr>
        <xdr:cNvSpPr>
          <a:spLocks noChangeAspect="1" noChangeArrowheads="1"/>
        </xdr:cNvSpPr>
      </xdr:nvSpPr>
      <xdr:spPr bwMode="auto">
        <a:xfrm>
          <a:off x="39300150" y="332327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416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3100000}"/>
            </a:ext>
          </a:extLst>
        </xdr:cNvPr>
        <xdr:cNvSpPr>
          <a:spLocks noChangeAspect="1" noChangeArrowheads="1"/>
        </xdr:cNvSpPr>
      </xdr:nvSpPr>
      <xdr:spPr bwMode="auto">
        <a:xfrm>
          <a:off x="39300150" y="332327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416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4100000}"/>
            </a:ext>
          </a:extLst>
        </xdr:cNvPr>
        <xdr:cNvSpPr>
          <a:spLocks noChangeAspect="1" noChangeArrowheads="1"/>
        </xdr:cNvSpPr>
      </xdr:nvSpPr>
      <xdr:spPr bwMode="auto">
        <a:xfrm>
          <a:off x="39300150" y="35004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416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5100000}"/>
            </a:ext>
          </a:extLst>
        </xdr:cNvPr>
        <xdr:cNvSpPr>
          <a:spLocks noChangeAspect="1" noChangeArrowheads="1"/>
        </xdr:cNvSpPr>
      </xdr:nvSpPr>
      <xdr:spPr bwMode="auto">
        <a:xfrm>
          <a:off x="39300150" y="35004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416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6100000}"/>
            </a:ext>
          </a:extLst>
        </xdr:cNvPr>
        <xdr:cNvSpPr>
          <a:spLocks noChangeAspect="1" noChangeArrowheads="1"/>
        </xdr:cNvSpPr>
      </xdr:nvSpPr>
      <xdr:spPr bwMode="auto">
        <a:xfrm>
          <a:off x="39300150" y="35299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416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7100000}"/>
            </a:ext>
          </a:extLst>
        </xdr:cNvPr>
        <xdr:cNvSpPr>
          <a:spLocks noChangeAspect="1" noChangeArrowheads="1"/>
        </xdr:cNvSpPr>
      </xdr:nvSpPr>
      <xdr:spPr bwMode="auto">
        <a:xfrm>
          <a:off x="39300150" y="35299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416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8100000}"/>
            </a:ext>
          </a:extLst>
        </xdr:cNvPr>
        <xdr:cNvSpPr>
          <a:spLocks noChangeAspect="1" noChangeArrowheads="1"/>
        </xdr:cNvSpPr>
      </xdr:nvSpPr>
      <xdr:spPr bwMode="auto">
        <a:xfrm>
          <a:off x="39300150" y="40614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416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9100000}"/>
            </a:ext>
          </a:extLst>
        </xdr:cNvPr>
        <xdr:cNvSpPr>
          <a:spLocks noChangeAspect="1" noChangeArrowheads="1"/>
        </xdr:cNvSpPr>
      </xdr:nvSpPr>
      <xdr:spPr bwMode="auto">
        <a:xfrm>
          <a:off x="39300150" y="40614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417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A100000}"/>
            </a:ext>
          </a:extLst>
        </xdr:cNvPr>
        <xdr:cNvSpPr>
          <a:spLocks noChangeAspect="1" noChangeArrowheads="1"/>
        </xdr:cNvSpPr>
      </xdr:nvSpPr>
      <xdr:spPr bwMode="auto">
        <a:xfrm>
          <a:off x="39300150" y="40909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417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B100000}"/>
            </a:ext>
          </a:extLst>
        </xdr:cNvPr>
        <xdr:cNvSpPr>
          <a:spLocks noChangeAspect="1" noChangeArrowheads="1"/>
        </xdr:cNvSpPr>
      </xdr:nvSpPr>
      <xdr:spPr bwMode="auto">
        <a:xfrm>
          <a:off x="39300150" y="40909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417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C100000}"/>
            </a:ext>
          </a:extLst>
        </xdr:cNvPr>
        <xdr:cNvSpPr>
          <a:spLocks noChangeAspect="1" noChangeArrowheads="1"/>
        </xdr:cNvSpPr>
      </xdr:nvSpPr>
      <xdr:spPr bwMode="auto">
        <a:xfrm>
          <a:off x="39300150" y="57740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417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D100000}"/>
            </a:ext>
          </a:extLst>
        </xdr:cNvPr>
        <xdr:cNvSpPr>
          <a:spLocks noChangeAspect="1" noChangeArrowheads="1"/>
        </xdr:cNvSpPr>
      </xdr:nvSpPr>
      <xdr:spPr bwMode="auto">
        <a:xfrm>
          <a:off x="39300150" y="57740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417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E100000}"/>
            </a:ext>
          </a:extLst>
        </xdr:cNvPr>
        <xdr:cNvSpPr>
          <a:spLocks noChangeAspect="1" noChangeArrowheads="1"/>
        </xdr:cNvSpPr>
      </xdr:nvSpPr>
      <xdr:spPr bwMode="auto">
        <a:xfrm>
          <a:off x="39300150" y="58035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417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F100000}"/>
            </a:ext>
          </a:extLst>
        </xdr:cNvPr>
        <xdr:cNvSpPr>
          <a:spLocks noChangeAspect="1" noChangeArrowheads="1"/>
        </xdr:cNvSpPr>
      </xdr:nvSpPr>
      <xdr:spPr bwMode="auto">
        <a:xfrm>
          <a:off x="39300150" y="58035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417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0100000}"/>
            </a:ext>
          </a:extLst>
        </xdr:cNvPr>
        <xdr:cNvSpPr>
          <a:spLocks noChangeAspect="1" noChangeArrowheads="1"/>
        </xdr:cNvSpPr>
      </xdr:nvSpPr>
      <xdr:spPr bwMode="auto">
        <a:xfrm>
          <a:off x="39300150" y="598074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417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1100000}"/>
            </a:ext>
          </a:extLst>
        </xdr:cNvPr>
        <xdr:cNvSpPr>
          <a:spLocks noChangeAspect="1" noChangeArrowheads="1"/>
        </xdr:cNvSpPr>
      </xdr:nvSpPr>
      <xdr:spPr bwMode="auto">
        <a:xfrm>
          <a:off x="39300150" y="598074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417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2100000}"/>
            </a:ext>
          </a:extLst>
        </xdr:cNvPr>
        <xdr:cNvSpPr>
          <a:spLocks noChangeAspect="1" noChangeArrowheads="1"/>
        </xdr:cNvSpPr>
      </xdr:nvSpPr>
      <xdr:spPr bwMode="auto">
        <a:xfrm>
          <a:off x="39300150" y="60102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417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3100000}"/>
            </a:ext>
          </a:extLst>
        </xdr:cNvPr>
        <xdr:cNvSpPr>
          <a:spLocks noChangeAspect="1" noChangeArrowheads="1"/>
        </xdr:cNvSpPr>
      </xdr:nvSpPr>
      <xdr:spPr bwMode="auto">
        <a:xfrm>
          <a:off x="39300150" y="60102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418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4100000}"/>
            </a:ext>
          </a:extLst>
        </xdr:cNvPr>
        <xdr:cNvSpPr>
          <a:spLocks noChangeAspect="1" noChangeArrowheads="1"/>
        </xdr:cNvSpPr>
      </xdr:nvSpPr>
      <xdr:spPr bwMode="auto">
        <a:xfrm>
          <a:off x="39300150" y="6541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418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5100000}"/>
            </a:ext>
          </a:extLst>
        </xdr:cNvPr>
        <xdr:cNvSpPr>
          <a:spLocks noChangeAspect="1" noChangeArrowheads="1"/>
        </xdr:cNvSpPr>
      </xdr:nvSpPr>
      <xdr:spPr bwMode="auto">
        <a:xfrm>
          <a:off x="39300150" y="6541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418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6100000}"/>
            </a:ext>
          </a:extLst>
        </xdr:cNvPr>
        <xdr:cNvSpPr>
          <a:spLocks noChangeAspect="1" noChangeArrowheads="1"/>
        </xdr:cNvSpPr>
      </xdr:nvSpPr>
      <xdr:spPr bwMode="auto">
        <a:xfrm>
          <a:off x="39300150" y="657129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418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7100000}"/>
            </a:ext>
          </a:extLst>
        </xdr:cNvPr>
        <xdr:cNvSpPr>
          <a:spLocks noChangeAspect="1" noChangeArrowheads="1"/>
        </xdr:cNvSpPr>
      </xdr:nvSpPr>
      <xdr:spPr bwMode="auto">
        <a:xfrm>
          <a:off x="39300150" y="87563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418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8100000}"/>
            </a:ext>
          </a:extLst>
        </xdr:cNvPr>
        <xdr:cNvSpPr>
          <a:spLocks noChangeAspect="1" noChangeArrowheads="1"/>
        </xdr:cNvSpPr>
      </xdr:nvSpPr>
      <xdr:spPr bwMode="auto">
        <a:xfrm>
          <a:off x="39300150" y="87563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418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9100000}"/>
            </a:ext>
          </a:extLst>
        </xdr:cNvPr>
        <xdr:cNvSpPr>
          <a:spLocks noChangeAspect="1" noChangeArrowheads="1"/>
        </xdr:cNvSpPr>
      </xdr:nvSpPr>
      <xdr:spPr bwMode="auto">
        <a:xfrm>
          <a:off x="39300150" y="87858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418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A100000}"/>
            </a:ext>
          </a:extLst>
        </xdr:cNvPr>
        <xdr:cNvSpPr>
          <a:spLocks noChangeAspect="1" noChangeArrowheads="1"/>
        </xdr:cNvSpPr>
      </xdr:nvSpPr>
      <xdr:spPr bwMode="auto">
        <a:xfrm>
          <a:off x="39300150" y="87858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418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B100000}"/>
            </a:ext>
          </a:extLst>
        </xdr:cNvPr>
        <xdr:cNvSpPr>
          <a:spLocks noChangeAspect="1" noChangeArrowheads="1"/>
        </xdr:cNvSpPr>
      </xdr:nvSpPr>
      <xdr:spPr bwMode="auto">
        <a:xfrm>
          <a:off x="39300150" y="946499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418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C100000}"/>
            </a:ext>
          </a:extLst>
        </xdr:cNvPr>
        <xdr:cNvSpPr>
          <a:spLocks noChangeAspect="1" noChangeArrowheads="1"/>
        </xdr:cNvSpPr>
      </xdr:nvSpPr>
      <xdr:spPr bwMode="auto">
        <a:xfrm>
          <a:off x="39300150" y="946499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418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D100000}"/>
            </a:ext>
          </a:extLst>
        </xdr:cNvPr>
        <xdr:cNvSpPr>
          <a:spLocks noChangeAspect="1" noChangeArrowheads="1"/>
        </xdr:cNvSpPr>
      </xdr:nvSpPr>
      <xdr:spPr bwMode="auto">
        <a:xfrm>
          <a:off x="39300150" y="94945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419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E100000}"/>
            </a:ext>
          </a:extLst>
        </xdr:cNvPr>
        <xdr:cNvSpPr>
          <a:spLocks noChangeAspect="1" noChangeArrowheads="1"/>
        </xdr:cNvSpPr>
      </xdr:nvSpPr>
      <xdr:spPr bwMode="auto">
        <a:xfrm>
          <a:off x="39300150" y="94945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419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F100000}"/>
            </a:ext>
          </a:extLst>
        </xdr:cNvPr>
        <xdr:cNvSpPr>
          <a:spLocks noChangeAspect="1" noChangeArrowheads="1"/>
        </xdr:cNvSpPr>
      </xdr:nvSpPr>
      <xdr:spPr bwMode="auto">
        <a:xfrm>
          <a:off x="39300150" y="96126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419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0100000}"/>
            </a:ext>
          </a:extLst>
        </xdr:cNvPr>
        <xdr:cNvSpPr>
          <a:spLocks noChangeAspect="1" noChangeArrowheads="1"/>
        </xdr:cNvSpPr>
      </xdr:nvSpPr>
      <xdr:spPr bwMode="auto">
        <a:xfrm>
          <a:off x="39300150" y="96126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419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1100000}"/>
            </a:ext>
          </a:extLst>
        </xdr:cNvPr>
        <xdr:cNvSpPr>
          <a:spLocks noChangeAspect="1" noChangeArrowheads="1"/>
        </xdr:cNvSpPr>
      </xdr:nvSpPr>
      <xdr:spPr bwMode="auto">
        <a:xfrm>
          <a:off x="39300150" y="96421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419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2100000}"/>
            </a:ext>
          </a:extLst>
        </xdr:cNvPr>
        <xdr:cNvSpPr>
          <a:spLocks noChangeAspect="1" noChangeArrowheads="1"/>
        </xdr:cNvSpPr>
      </xdr:nvSpPr>
      <xdr:spPr bwMode="auto">
        <a:xfrm>
          <a:off x="39300150" y="96421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419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3100000}"/>
            </a:ext>
          </a:extLst>
        </xdr:cNvPr>
        <xdr:cNvSpPr>
          <a:spLocks noChangeAspect="1" noChangeArrowheads="1"/>
        </xdr:cNvSpPr>
      </xdr:nvSpPr>
      <xdr:spPr bwMode="auto">
        <a:xfrm>
          <a:off x="39300150" y="110004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419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4100000}"/>
            </a:ext>
          </a:extLst>
        </xdr:cNvPr>
        <xdr:cNvSpPr>
          <a:spLocks noChangeAspect="1" noChangeArrowheads="1"/>
        </xdr:cNvSpPr>
      </xdr:nvSpPr>
      <xdr:spPr bwMode="auto">
        <a:xfrm>
          <a:off x="39300150" y="110004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419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5100000}"/>
            </a:ext>
          </a:extLst>
        </xdr:cNvPr>
        <xdr:cNvSpPr>
          <a:spLocks noChangeAspect="1" noChangeArrowheads="1"/>
        </xdr:cNvSpPr>
      </xdr:nvSpPr>
      <xdr:spPr bwMode="auto">
        <a:xfrm>
          <a:off x="39300150" y="11029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419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6100000}"/>
            </a:ext>
          </a:extLst>
        </xdr:cNvPr>
        <xdr:cNvSpPr>
          <a:spLocks noChangeAspect="1" noChangeArrowheads="1"/>
        </xdr:cNvSpPr>
      </xdr:nvSpPr>
      <xdr:spPr bwMode="auto">
        <a:xfrm>
          <a:off x="39300150" y="11029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419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7100000}"/>
            </a:ext>
          </a:extLst>
        </xdr:cNvPr>
        <xdr:cNvSpPr>
          <a:spLocks noChangeAspect="1" noChangeArrowheads="1"/>
        </xdr:cNvSpPr>
      </xdr:nvSpPr>
      <xdr:spPr bwMode="auto">
        <a:xfrm>
          <a:off x="39300150" y="120338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420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8100000}"/>
            </a:ext>
          </a:extLst>
        </xdr:cNvPr>
        <xdr:cNvSpPr>
          <a:spLocks noChangeAspect="1" noChangeArrowheads="1"/>
        </xdr:cNvSpPr>
      </xdr:nvSpPr>
      <xdr:spPr bwMode="auto">
        <a:xfrm>
          <a:off x="39300150" y="120338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420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9100000}"/>
            </a:ext>
          </a:extLst>
        </xdr:cNvPr>
        <xdr:cNvSpPr>
          <a:spLocks noChangeAspect="1" noChangeArrowheads="1"/>
        </xdr:cNvSpPr>
      </xdr:nvSpPr>
      <xdr:spPr bwMode="auto">
        <a:xfrm>
          <a:off x="39300150" y="1206341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420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A100000}"/>
            </a:ext>
          </a:extLst>
        </xdr:cNvPr>
        <xdr:cNvSpPr>
          <a:spLocks noChangeAspect="1" noChangeArrowheads="1"/>
        </xdr:cNvSpPr>
      </xdr:nvSpPr>
      <xdr:spPr bwMode="auto">
        <a:xfrm>
          <a:off x="39300150" y="1206341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420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B100000}"/>
            </a:ext>
          </a:extLst>
        </xdr:cNvPr>
        <xdr:cNvSpPr>
          <a:spLocks noChangeAspect="1" noChangeArrowheads="1"/>
        </xdr:cNvSpPr>
      </xdr:nvSpPr>
      <xdr:spPr bwMode="auto">
        <a:xfrm>
          <a:off x="39300150" y="107346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420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C100000}"/>
            </a:ext>
          </a:extLst>
        </xdr:cNvPr>
        <xdr:cNvSpPr>
          <a:spLocks noChangeAspect="1" noChangeArrowheads="1"/>
        </xdr:cNvSpPr>
      </xdr:nvSpPr>
      <xdr:spPr bwMode="auto">
        <a:xfrm>
          <a:off x="39300150" y="107346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420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D100000}"/>
            </a:ext>
          </a:extLst>
        </xdr:cNvPr>
        <xdr:cNvSpPr>
          <a:spLocks noChangeAspect="1" noChangeArrowheads="1"/>
        </xdr:cNvSpPr>
      </xdr:nvSpPr>
      <xdr:spPr bwMode="auto">
        <a:xfrm>
          <a:off x="39300150" y="107642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420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E100000}"/>
            </a:ext>
          </a:extLst>
        </xdr:cNvPr>
        <xdr:cNvSpPr>
          <a:spLocks noChangeAspect="1" noChangeArrowheads="1"/>
        </xdr:cNvSpPr>
      </xdr:nvSpPr>
      <xdr:spPr bwMode="auto">
        <a:xfrm>
          <a:off x="39300150" y="107642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420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F100000}"/>
            </a:ext>
          </a:extLst>
        </xdr:cNvPr>
        <xdr:cNvSpPr>
          <a:spLocks noChangeAspect="1" noChangeArrowheads="1"/>
        </xdr:cNvSpPr>
      </xdr:nvSpPr>
      <xdr:spPr bwMode="auto">
        <a:xfrm>
          <a:off x="39300150" y="1188624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420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0100000}"/>
            </a:ext>
          </a:extLst>
        </xdr:cNvPr>
        <xdr:cNvSpPr>
          <a:spLocks noChangeAspect="1" noChangeArrowheads="1"/>
        </xdr:cNvSpPr>
      </xdr:nvSpPr>
      <xdr:spPr bwMode="auto">
        <a:xfrm>
          <a:off x="39300150" y="1188624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420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1100000}"/>
            </a:ext>
          </a:extLst>
        </xdr:cNvPr>
        <xdr:cNvSpPr>
          <a:spLocks noChangeAspect="1" noChangeArrowheads="1"/>
        </xdr:cNvSpPr>
      </xdr:nvSpPr>
      <xdr:spPr bwMode="auto">
        <a:xfrm>
          <a:off x="39300150" y="119157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421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2100000}"/>
            </a:ext>
          </a:extLst>
        </xdr:cNvPr>
        <xdr:cNvSpPr>
          <a:spLocks noChangeAspect="1" noChangeArrowheads="1"/>
        </xdr:cNvSpPr>
      </xdr:nvSpPr>
      <xdr:spPr bwMode="auto">
        <a:xfrm>
          <a:off x="39300150" y="119157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421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3100000}"/>
            </a:ext>
          </a:extLst>
        </xdr:cNvPr>
        <xdr:cNvSpPr>
          <a:spLocks noChangeAspect="1" noChangeArrowheads="1"/>
        </xdr:cNvSpPr>
      </xdr:nvSpPr>
      <xdr:spPr bwMode="auto">
        <a:xfrm>
          <a:off x="39300150" y="125653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421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4100000}"/>
            </a:ext>
          </a:extLst>
        </xdr:cNvPr>
        <xdr:cNvSpPr>
          <a:spLocks noChangeAspect="1" noChangeArrowheads="1"/>
        </xdr:cNvSpPr>
      </xdr:nvSpPr>
      <xdr:spPr bwMode="auto">
        <a:xfrm>
          <a:off x="39300150" y="125653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421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5100000}"/>
            </a:ext>
          </a:extLst>
        </xdr:cNvPr>
        <xdr:cNvSpPr>
          <a:spLocks noChangeAspect="1" noChangeArrowheads="1"/>
        </xdr:cNvSpPr>
      </xdr:nvSpPr>
      <xdr:spPr bwMode="auto">
        <a:xfrm>
          <a:off x="39300150" y="125949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421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6100000}"/>
            </a:ext>
          </a:extLst>
        </xdr:cNvPr>
        <xdr:cNvSpPr>
          <a:spLocks noChangeAspect="1" noChangeArrowheads="1"/>
        </xdr:cNvSpPr>
      </xdr:nvSpPr>
      <xdr:spPr bwMode="auto">
        <a:xfrm>
          <a:off x="39300150" y="125949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421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7100000}"/>
            </a:ext>
          </a:extLst>
        </xdr:cNvPr>
        <xdr:cNvSpPr>
          <a:spLocks noChangeAspect="1" noChangeArrowheads="1"/>
        </xdr:cNvSpPr>
      </xdr:nvSpPr>
      <xdr:spPr bwMode="auto">
        <a:xfrm>
          <a:off x="39300150" y="126539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421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8100000}"/>
            </a:ext>
          </a:extLst>
        </xdr:cNvPr>
        <xdr:cNvSpPr>
          <a:spLocks noChangeAspect="1" noChangeArrowheads="1"/>
        </xdr:cNvSpPr>
      </xdr:nvSpPr>
      <xdr:spPr bwMode="auto">
        <a:xfrm>
          <a:off x="39300150" y="126539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421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9100000}"/>
            </a:ext>
          </a:extLst>
        </xdr:cNvPr>
        <xdr:cNvSpPr>
          <a:spLocks noChangeAspect="1" noChangeArrowheads="1"/>
        </xdr:cNvSpPr>
      </xdr:nvSpPr>
      <xdr:spPr bwMode="auto">
        <a:xfrm>
          <a:off x="39300150" y="126834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421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A100000}"/>
            </a:ext>
          </a:extLst>
        </xdr:cNvPr>
        <xdr:cNvSpPr>
          <a:spLocks noChangeAspect="1" noChangeArrowheads="1"/>
        </xdr:cNvSpPr>
      </xdr:nvSpPr>
      <xdr:spPr bwMode="auto">
        <a:xfrm>
          <a:off x="39300150" y="126834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421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B100000}"/>
            </a:ext>
          </a:extLst>
        </xdr:cNvPr>
        <xdr:cNvSpPr>
          <a:spLocks noChangeAspect="1" noChangeArrowheads="1"/>
        </xdr:cNvSpPr>
      </xdr:nvSpPr>
      <xdr:spPr bwMode="auto">
        <a:xfrm>
          <a:off x="39300150" y="168173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422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C100000}"/>
            </a:ext>
          </a:extLst>
        </xdr:cNvPr>
        <xdr:cNvSpPr>
          <a:spLocks noChangeAspect="1" noChangeArrowheads="1"/>
        </xdr:cNvSpPr>
      </xdr:nvSpPr>
      <xdr:spPr bwMode="auto">
        <a:xfrm>
          <a:off x="39300150" y="168173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422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D100000}"/>
            </a:ext>
          </a:extLst>
        </xdr:cNvPr>
        <xdr:cNvSpPr>
          <a:spLocks noChangeAspect="1" noChangeArrowheads="1"/>
        </xdr:cNvSpPr>
      </xdr:nvSpPr>
      <xdr:spPr bwMode="auto">
        <a:xfrm>
          <a:off x="39300150" y="1684686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422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E100000}"/>
            </a:ext>
          </a:extLst>
        </xdr:cNvPr>
        <xdr:cNvSpPr>
          <a:spLocks noChangeAspect="1" noChangeArrowheads="1"/>
        </xdr:cNvSpPr>
      </xdr:nvSpPr>
      <xdr:spPr bwMode="auto">
        <a:xfrm>
          <a:off x="39300150" y="1684686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422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F100000}"/>
            </a:ext>
          </a:extLst>
        </xdr:cNvPr>
        <xdr:cNvSpPr>
          <a:spLocks noChangeAspect="1" noChangeArrowheads="1"/>
        </xdr:cNvSpPr>
      </xdr:nvSpPr>
      <xdr:spPr bwMode="auto">
        <a:xfrm>
          <a:off x="39300150" y="169945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422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0100000}"/>
            </a:ext>
          </a:extLst>
        </xdr:cNvPr>
        <xdr:cNvSpPr>
          <a:spLocks noChangeAspect="1" noChangeArrowheads="1"/>
        </xdr:cNvSpPr>
      </xdr:nvSpPr>
      <xdr:spPr bwMode="auto">
        <a:xfrm>
          <a:off x="39300150" y="169945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422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1100000}"/>
            </a:ext>
          </a:extLst>
        </xdr:cNvPr>
        <xdr:cNvSpPr>
          <a:spLocks noChangeAspect="1" noChangeArrowheads="1"/>
        </xdr:cNvSpPr>
      </xdr:nvSpPr>
      <xdr:spPr bwMode="auto">
        <a:xfrm>
          <a:off x="39300150" y="170240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422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2100000}"/>
            </a:ext>
          </a:extLst>
        </xdr:cNvPr>
        <xdr:cNvSpPr>
          <a:spLocks noChangeAspect="1" noChangeArrowheads="1"/>
        </xdr:cNvSpPr>
      </xdr:nvSpPr>
      <xdr:spPr bwMode="auto">
        <a:xfrm>
          <a:off x="39300150" y="170240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422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3100000}"/>
            </a:ext>
          </a:extLst>
        </xdr:cNvPr>
        <xdr:cNvSpPr>
          <a:spLocks noChangeAspect="1" noChangeArrowheads="1"/>
        </xdr:cNvSpPr>
      </xdr:nvSpPr>
      <xdr:spPr bwMode="auto">
        <a:xfrm>
          <a:off x="39300150" y="174078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422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4100000}"/>
            </a:ext>
          </a:extLst>
        </xdr:cNvPr>
        <xdr:cNvSpPr>
          <a:spLocks noChangeAspect="1" noChangeArrowheads="1"/>
        </xdr:cNvSpPr>
      </xdr:nvSpPr>
      <xdr:spPr bwMode="auto">
        <a:xfrm>
          <a:off x="39300150" y="174078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422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5100000}"/>
            </a:ext>
          </a:extLst>
        </xdr:cNvPr>
        <xdr:cNvSpPr>
          <a:spLocks noChangeAspect="1" noChangeArrowheads="1"/>
        </xdr:cNvSpPr>
      </xdr:nvSpPr>
      <xdr:spPr bwMode="auto">
        <a:xfrm>
          <a:off x="39300150" y="1743741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423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6100000}"/>
            </a:ext>
          </a:extLst>
        </xdr:cNvPr>
        <xdr:cNvSpPr>
          <a:spLocks noChangeAspect="1" noChangeArrowheads="1"/>
        </xdr:cNvSpPr>
      </xdr:nvSpPr>
      <xdr:spPr bwMode="auto">
        <a:xfrm>
          <a:off x="39300150" y="1743741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423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7100000}"/>
            </a:ext>
          </a:extLst>
        </xdr:cNvPr>
        <xdr:cNvSpPr>
          <a:spLocks noChangeAspect="1" noChangeArrowheads="1"/>
        </xdr:cNvSpPr>
      </xdr:nvSpPr>
      <xdr:spPr bwMode="auto">
        <a:xfrm>
          <a:off x="39300150" y="17526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423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8100000}"/>
            </a:ext>
          </a:extLst>
        </xdr:cNvPr>
        <xdr:cNvSpPr>
          <a:spLocks noChangeAspect="1" noChangeArrowheads="1"/>
        </xdr:cNvSpPr>
      </xdr:nvSpPr>
      <xdr:spPr bwMode="auto">
        <a:xfrm>
          <a:off x="39300150" y="17526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423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9100000}"/>
            </a:ext>
          </a:extLst>
        </xdr:cNvPr>
        <xdr:cNvSpPr>
          <a:spLocks noChangeAspect="1" noChangeArrowheads="1"/>
        </xdr:cNvSpPr>
      </xdr:nvSpPr>
      <xdr:spPr bwMode="auto">
        <a:xfrm>
          <a:off x="39300150" y="1755552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423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A100000}"/>
            </a:ext>
          </a:extLst>
        </xdr:cNvPr>
        <xdr:cNvSpPr>
          <a:spLocks noChangeAspect="1" noChangeArrowheads="1"/>
        </xdr:cNvSpPr>
      </xdr:nvSpPr>
      <xdr:spPr bwMode="auto">
        <a:xfrm>
          <a:off x="39300150" y="1755552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423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B100000}"/>
            </a:ext>
          </a:extLst>
        </xdr:cNvPr>
        <xdr:cNvSpPr>
          <a:spLocks noChangeAspect="1" noChangeArrowheads="1"/>
        </xdr:cNvSpPr>
      </xdr:nvSpPr>
      <xdr:spPr bwMode="auto">
        <a:xfrm>
          <a:off x="39300150" y="195929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423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C100000}"/>
            </a:ext>
          </a:extLst>
        </xdr:cNvPr>
        <xdr:cNvSpPr>
          <a:spLocks noChangeAspect="1" noChangeArrowheads="1"/>
        </xdr:cNvSpPr>
      </xdr:nvSpPr>
      <xdr:spPr bwMode="auto">
        <a:xfrm>
          <a:off x="39300150" y="195929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423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D100000}"/>
            </a:ext>
          </a:extLst>
        </xdr:cNvPr>
        <xdr:cNvSpPr>
          <a:spLocks noChangeAspect="1" noChangeArrowheads="1"/>
        </xdr:cNvSpPr>
      </xdr:nvSpPr>
      <xdr:spPr bwMode="auto">
        <a:xfrm>
          <a:off x="39300150" y="196224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423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E100000}"/>
            </a:ext>
          </a:extLst>
        </xdr:cNvPr>
        <xdr:cNvSpPr>
          <a:spLocks noChangeAspect="1" noChangeArrowheads="1"/>
        </xdr:cNvSpPr>
      </xdr:nvSpPr>
      <xdr:spPr bwMode="auto">
        <a:xfrm>
          <a:off x="39300150" y="196224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423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F100000}"/>
            </a:ext>
          </a:extLst>
        </xdr:cNvPr>
        <xdr:cNvSpPr>
          <a:spLocks noChangeAspect="1" noChangeArrowheads="1"/>
        </xdr:cNvSpPr>
      </xdr:nvSpPr>
      <xdr:spPr bwMode="auto">
        <a:xfrm>
          <a:off x="39300150" y="217189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424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0100000}"/>
            </a:ext>
          </a:extLst>
        </xdr:cNvPr>
        <xdr:cNvSpPr>
          <a:spLocks noChangeAspect="1" noChangeArrowheads="1"/>
        </xdr:cNvSpPr>
      </xdr:nvSpPr>
      <xdr:spPr bwMode="auto">
        <a:xfrm>
          <a:off x="39300150" y="217189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424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1100000}"/>
            </a:ext>
          </a:extLst>
        </xdr:cNvPr>
        <xdr:cNvSpPr>
          <a:spLocks noChangeAspect="1" noChangeArrowheads="1"/>
        </xdr:cNvSpPr>
      </xdr:nvSpPr>
      <xdr:spPr bwMode="auto">
        <a:xfrm>
          <a:off x="39300150" y="217484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424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2100000}"/>
            </a:ext>
          </a:extLst>
        </xdr:cNvPr>
        <xdr:cNvSpPr>
          <a:spLocks noChangeAspect="1" noChangeArrowheads="1"/>
        </xdr:cNvSpPr>
      </xdr:nvSpPr>
      <xdr:spPr bwMode="auto">
        <a:xfrm>
          <a:off x="39300150" y="217484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6</xdr:row>
      <xdr:rowOff>0</xdr:rowOff>
    </xdr:from>
    <xdr:ext cx="304800" cy="304800"/>
    <xdr:sp macro="" textlink="">
      <xdr:nvSpPr>
        <xdr:cNvPr id="424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3100000}"/>
            </a:ext>
          </a:extLst>
        </xdr:cNvPr>
        <xdr:cNvSpPr>
          <a:spLocks noChangeAspect="1" noChangeArrowheads="1"/>
        </xdr:cNvSpPr>
      </xdr:nvSpPr>
      <xdr:spPr bwMode="auto">
        <a:xfrm>
          <a:off x="46110525" y="1933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xdr:row>
      <xdr:rowOff>0</xdr:rowOff>
    </xdr:from>
    <xdr:ext cx="304800" cy="304800"/>
    <xdr:sp macro="" textlink="">
      <xdr:nvSpPr>
        <xdr:cNvPr id="424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4100000}"/>
            </a:ext>
          </a:extLst>
        </xdr:cNvPr>
        <xdr:cNvSpPr>
          <a:spLocks noChangeAspect="1" noChangeArrowheads="1"/>
        </xdr:cNvSpPr>
      </xdr:nvSpPr>
      <xdr:spPr bwMode="auto">
        <a:xfrm>
          <a:off x="46110525" y="2228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xdr:row>
      <xdr:rowOff>0</xdr:rowOff>
    </xdr:from>
    <xdr:ext cx="304800" cy="304800"/>
    <xdr:sp macro="" textlink="">
      <xdr:nvSpPr>
        <xdr:cNvPr id="424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5100000}"/>
            </a:ext>
          </a:extLst>
        </xdr:cNvPr>
        <xdr:cNvSpPr>
          <a:spLocks noChangeAspect="1" noChangeArrowheads="1"/>
        </xdr:cNvSpPr>
      </xdr:nvSpPr>
      <xdr:spPr bwMode="auto">
        <a:xfrm>
          <a:off x="46110525" y="2228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8</xdr:row>
      <xdr:rowOff>0</xdr:rowOff>
    </xdr:from>
    <xdr:ext cx="304800" cy="304800"/>
    <xdr:sp macro="" textlink="">
      <xdr:nvSpPr>
        <xdr:cNvPr id="424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6100000}"/>
            </a:ext>
          </a:extLst>
        </xdr:cNvPr>
        <xdr:cNvSpPr>
          <a:spLocks noChangeAspect="1" noChangeArrowheads="1"/>
        </xdr:cNvSpPr>
      </xdr:nvSpPr>
      <xdr:spPr bwMode="auto">
        <a:xfrm>
          <a:off x="46110525" y="25241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8</xdr:row>
      <xdr:rowOff>0</xdr:rowOff>
    </xdr:from>
    <xdr:ext cx="304800" cy="304800"/>
    <xdr:sp macro="" textlink="">
      <xdr:nvSpPr>
        <xdr:cNvPr id="424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7100000}"/>
            </a:ext>
          </a:extLst>
        </xdr:cNvPr>
        <xdr:cNvSpPr>
          <a:spLocks noChangeAspect="1" noChangeArrowheads="1"/>
        </xdr:cNvSpPr>
      </xdr:nvSpPr>
      <xdr:spPr bwMode="auto">
        <a:xfrm>
          <a:off x="46110525" y="25241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9</xdr:row>
      <xdr:rowOff>0</xdr:rowOff>
    </xdr:from>
    <xdr:ext cx="304800" cy="304800"/>
    <xdr:sp macro="" textlink="">
      <xdr:nvSpPr>
        <xdr:cNvPr id="424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8100000}"/>
            </a:ext>
          </a:extLst>
        </xdr:cNvPr>
        <xdr:cNvSpPr>
          <a:spLocks noChangeAspect="1" noChangeArrowheads="1"/>
        </xdr:cNvSpPr>
      </xdr:nvSpPr>
      <xdr:spPr bwMode="auto">
        <a:xfrm>
          <a:off x="46110525" y="2819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9</xdr:row>
      <xdr:rowOff>0</xdr:rowOff>
    </xdr:from>
    <xdr:ext cx="304800" cy="304800"/>
    <xdr:sp macro="" textlink="">
      <xdr:nvSpPr>
        <xdr:cNvPr id="424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9100000}"/>
            </a:ext>
          </a:extLst>
        </xdr:cNvPr>
        <xdr:cNvSpPr>
          <a:spLocks noChangeAspect="1" noChangeArrowheads="1"/>
        </xdr:cNvSpPr>
      </xdr:nvSpPr>
      <xdr:spPr bwMode="auto">
        <a:xfrm>
          <a:off x="46110525" y="2819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10</xdr:row>
      <xdr:rowOff>0</xdr:rowOff>
    </xdr:from>
    <xdr:ext cx="304800" cy="304800"/>
    <xdr:sp macro="" textlink="">
      <xdr:nvSpPr>
        <xdr:cNvPr id="425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A100000}"/>
            </a:ext>
          </a:extLst>
        </xdr:cNvPr>
        <xdr:cNvSpPr>
          <a:spLocks noChangeAspect="1" noChangeArrowheads="1"/>
        </xdr:cNvSpPr>
      </xdr:nvSpPr>
      <xdr:spPr bwMode="auto">
        <a:xfrm>
          <a:off x="46110525" y="31146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10</xdr:row>
      <xdr:rowOff>0</xdr:rowOff>
    </xdr:from>
    <xdr:ext cx="304800" cy="304800"/>
    <xdr:sp macro="" textlink="">
      <xdr:nvSpPr>
        <xdr:cNvPr id="425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B100000}"/>
            </a:ext>
          </a:extLst>
        </xdr:cNvPr>
        <xdr:cNvSpPr>
          <a:spLocks noChangeAspect="1" noChangeArrowheads="1"/>
        </xdr:cNvSpPr>
      </xdr:nvSpPr>
      <xdr:spPr bwMode="auto">
        <a:xfrm>
          <a:off x="46110525" y="31146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11</xdr:row>
      <xdr:rowOff>0</xdr:rowOff>
    </xdr:from>
    <xdr:ext cx="304800" cy="304800"/>
    <xdr:sp macro="" textlink="">
      <xdr:nvSpPr>
        <xdr:cNvPr id="425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C100000}"/>
            </a:ext>
          </a:extLst>
        </xdr:cNvPr>
        <xdr:cNvSpPr>
          <a:spLocks noChangeAspect="1" noChangeArrowheads="1"/>
        </xdr:cNvSpPr>
      </xdr:nvSpPr>
      <xdr:spPr bwMode="auto">
        <a:xfrm>
          <a:off x="46110525" y="3409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11</xdr:row>
      <xdr:rowOff>0</xdr:rowOff>
    </xdr:from>
    <xdr:ext cx="304800" cy="304800"/>
    <xdr:sp macro="" textlink="">
      <xdr:nvSpPr>
        <xdr:cNvPr id="425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D100000}"/>
            </a:ext>
          </a:extLst>
        </xdr:cNvPr>
        <xdr:cNvSpPr>
          <a:spLocks noChangeAspect="1" noChangeArrowheads="1"/>
        </xdr:cNvSpPr>
      </xdr:nvSpPr>
      <xdr:spPr bwMode="auto">
        <a:xfrm>
          <a:off x="46110525" y="3409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12</xdr:row>
      <xdr:rowOff>0</xdr:rowOff>
    </xdr:from>
    <xdr:ext cx="304800" cy="304800"/>
    <xdr:sp macro="" textlink="">
      <xdr:nvSpPr>
        <xdr:cNvPr id="425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E100000}"/>
            </a:ext>
          </a:extLst>
        </xdr:cNvPr>
        <xdr:cNvSpPr>
          <a:spLocks noChangeAspect="1" noChangeArrowheads="1"/>
        </xdr:cNvSpPr>
      </xdr:nvSpPr>
      <xdr:spPr bwMode="auto">
        <a:xfrm>
          <a:off x="46110525" y="3705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12</xdr:row>
      <xdr:rowOff>0</xdr:rowOff>
    </xdr:from>
    <xdr:ext cx="304800" cy="304800"/>
    <xdr:sp macro="" textlink="">
      <xdr:nvSpPr>
        <xdr:cNvPr id="425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F100000}"/>
            </a:ext>
          </a:extLst>
        </xdr:cNvPr>
        <xdr:cNvSpPr>
          <a:spLocks noChangeAspect="1" noChangeArrowheads="1"/>
        </xdr:cNvSpPr>
      </xdr:nvSpPr>
      <xdr:spPr bwMode="auto">
        <a:xfrm>
          <a:off x="46110525" y="3705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13</xdr:row>
      <xdr:rowOff>0</xdr:rowOff>
    </xdr:from>
    <xdr:ext cx="304800" cy="304800"/>
    <xdr:sp macro="" textlink="">
      <xdr:nvSpPr>
        <xdr:cNvPr id="425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0100000}"/>
            </a:ext>
          </a:extLst>
        </xdr:cNvPr>
        <xdr:cNvSpPr>
          <a:spLocks noChangeAspect="1" noChangeArrowheads="1"/>
        </xdr:cNvSpPr>
      </xdr:nvSpPr>
      <xdr:spPr bwMode="auto">
        <a:xfrm>
          <a:off x="46110525" y="400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13</xdr:row>
      <xdr:rowOff>0</xdr:rowOff>
    </xdr:from>
    <xdr:ext cx="304800" cy="304800"/>
    <xdr:sp macro="" textlink="">
      <xdr:nvSpPr>
        <xdr:cNvPr id="425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1100000}"/>
            </a:ext>
          </a:extLst>
        </xdr:cNvPr>
        <xdr:cNvSpPr>
          <a:spLocks noChangeAspect="1" noChangeArrowheads="1"/>
        </xdr:cNvSpPr>
      </xdr:nvSpPr>
      <xdr:spPr bwMode="auto">
        <a:xfrm>
          <a:off x="46110525" y="400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14</xdr:row>
      <xdr:rowOff>0</xdr:rowOff>
    </xdr:from>
    <xdr:ext cx="304800" cy="304800"/>
    <xdr:sp macro="" textlink="">
      <xdr:nvSpPr>
        <xdr:cNvPr id="425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2100000}"/>
            </a:ext>
          </a:extLst>
        </xdr:cNvPr>
        <xdr:cNvSpPr>
          <a:spLocks noChangeAspect="1" noChangeArrowheads="1"/>
        </xdr:cNvSpPr>
      </xdr:nvSpPr>
      <xdr:spPr bwMode="auto">
        <a:xfrm>
          <a:off x="46110525" y="42957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14</xdr:row>
      <xdr:rowOff>0</xdr:rowOff>
    </xdr:from>
    <xdr:ext cx="304800" cy="304800"/>
    <xdr:sp macro="" textlink="">
      <xdr:nvSpPr>
        <xdr:cNvPr id="425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3100000}"/>
            </a:ext>
          </a:extLst>
        </xdr:cNvPr>
        <xdr:cNvSpPr>
          <a:spLocks noChangeAspect="1" noChangeArrowheads="1"/>
        </xdr:cNvSpPr>
      </xdr:nvSpPr>
      <xdr:spPr bwMode="auto">
        <a:xfrm>
          <a:off x="46110525" y="42957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15</xdr:row>
      <xdr:rowOff>0</xdr:rowOff>
    </xdr:from>
    <xdr:ext cx="304800" cy="304800"/>
    <xdr:sp macro="" textlink="">
      <xdr:nvSpPr>
        <xdr:cNvPr id="426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4100000}"/>
            </a:ext>
          </a:extLst>
        </xdr:cNvPr>
        <xdr:cNvSpPr>
          <a:spLocks noChangeAspect="1" noChangeArrowheads="1"/>
        </xdr:cNvSpPr>
      </xdr:nvSpPr>
      <xdr:spPr bwMode="auto">
        <a:xfrm>
          <a:off x="46110525" y="4591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15</xdr:row>
      <xdr:rowOff>0</xdr:rowOff>
    </xdr:from>
    <xdr:ext cx="304800" cy="304800"/>
    <xdr:sp macro="" textlink="">
      <xdr:nvSpPr>
        <xdr:cNvPr id="426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5100000}"/>
            </a:ext>
          </a:extLst>
        </xdr:cNvPr>
        <xdr:cNvSpPr>
          <a:spLocks noChangeAspect="1" noChangeArrowheads="1"/>
        </xdr:cNvSpPr>
      </xdr:nvSpPr>
      <xdr:spPr bwMode="auto">
        <a:xfrm>
          <a:off x="46110525" y="4591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16</xdr:row>
      <xdr:rowOff>0</xdr:rowOff>
    </xdr:from>
    <xdr:ext cx="304800" cy="304800"/>
    <xdr:sp macro="" textlink="">
      <xdr:nvSpPr>
        <xdr:cNvPr id="426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6100000}"/>
            </a:ext>
          </a:extLst>
        </xdr:cNvPr>
        <xdr:cNvSpPr>
          <a:spLocks noChangeAspect="1" noChangeArrowheads="1"/>
        </xdr:cNvSpPr>
      </xdr:nvSpPr>
      <xdr:spPr bwMode="auto">
        <a:xfrm>
          <a:off x="46110525" y="4886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16</xdr:row>
      <xdr:rowOff>0</xdr:rowOff>
    </xdr:from>
    <xdr:ext cx="304800" cy="304800"/>
    <xdr:sp macro="" textlink="">
      <xdr:nvSpPr>
        <xdr:cNvPr id="426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7100000}"/>
            </a:ext>
          </a:extLst>
        </xdr:cNvPr>
        <xdr:cNvSpPr>
          <a:spLocks noChangeAspect="1" noChangeArrowheads="1"/>
        </xdr:cNvSpPr>
      </xdr:nvSpPr>
      <xdr:spPr bwMode="auto">
        <a:xfrm>
          <a:off x="46110525" y="4886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17</xdr:row>
      <xdr:rowOff>0</xdr:rowOff>
    </xdr:from>
    <xdr:ext cx="304800" cy="304800"/>
    <xdr:sp macro="" textlink="">
      <xdr:nvSpPr>
        <xdr:cNvPr id="426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8100000}"/>
            </a:ext>
          </a:extLst>
        </xdr:cNvPr>
        <xdr:cNvSpPr>
          <a:spLocks noChangeAspect="1" noChangeArrowheads="1"/>
        </xdr:cNvSpPr>
      </xdr:nvSpPr>
      <xdr:spPr bwMode="auto">
        <a:xfrm>
          <a:off x="46110525" y="5181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17</xdr:row>
      <xdr:rowOff>0</xdr:rowOff>
    </xdr:from>
    <xdr:ext cx="304800" cy="304800"/>
    <xdr:sp macro="" textlink="">
      <xdr:nvSpPr>
        <xdr:cNvPr id="426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9100000}"/>
            </a:ext>
          </a:extLst>
        </xdr:cNvPr>
        <xdr:cNvSpPr>
          <a:spLocks noChangeAspect="1" noChangeArrowheads="1"/>
        </xdr:cNvSpPr>
      </xdr:nvSpPr>
      <xdr:spPr bwMode="auto">
        <a:xfrm>
          <a:off x="46110525" y="5181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18</xdr:row>
      <xdr:rowOff>0</xdr:rowOff>
    </xdr:from>
    <xdr:ext cx="304800" cy="304800"/>
    <xdr:sp macro="" textlink="">
      <xdr:nvSpPr>
        <xdr:cNvPr id="426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A100000}"/>
            </a:ext>
          </a:extLst>
        </xdr:cNvPr>
        <xdr:cNvSpPr>
          <a:spLocks noChangeAspect="1" noChangeArrowheads="1"/>
        </xdr:cNvSpPr>
      </xdr:nvSpPr>
      <xdr:spPr bwMode="auto">
        <a:xfrm>
          <a:off x="46110525" y="5476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18</xdr:row>
      <xdr:rowOff>0</xdr:rowOff>
    </xdr:from>
    <xdr:ext cx="304800" cy="304800"/>
    <xdr:sp macro="" textlink="">
      <xdr:nvSpPr>
        <xdr:cNvPr id="426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B100000}"/>
            </a:ext>
          </a:extLst>
        </xdr:cNvPr>
        <xdr:cNvSpPr>
          <a:spLocks noChangeAspect="1" noChangeArrowheads="1"/>
        </xdr:cNvSpPr>
      </xdr:nvSpPr>
      <xdr:spPr bwMode="auto">
        <a:xfrm>
          <a:off x="46110525" y="5476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18</xdr:row>
      <xdr:rowOff>0</xdr:rowOff>
    </xdr:from>
    <xdr:ext cx="304800" cy="304800"/>
    <xdr:sp macro="" textlink="">
      <xdr:nvSpPr>
        <xdr:cNvPr id="426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C100000}"/>
            </a:ext>
          </a:extLst>
        </xdr:cNvPr>
        <xdr:cNvSpPr>
          <a:spLocks noChangeAspect="1" noChangeArrowheads="1"/>
        </xdr:cNvSpPr>
      </xdr:nvSpPr>
      <xdr:spPr bwMode="auto">
        <a:xfrm>
          <a:off x="46110525" y="5772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18</xdr:row>
      <xdr:rowOff>0</xdr:rowOff>
    </xdr:from>
    <xdr:ext cx="304800" cy="304800"/>
    <xdr:sp macro="" textlink="">
      <xdr:nvSpPr>
        <xdr:cNvPr id="426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D100000}"/>
            </a:ext>
          </a:extLst>
        </xdr:cNvPr>
        <xdr:cNvSpPr>
          <a:spLocks noChangeAspect="1" noChangeArrowheads="1"/>
        </xdr:cNvSpPr>
      </xdr:nvSpPr>
      <xdr:spPr bwMode="auto">
        <a:xfrm>
          <a:off x="46110525" y="5772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18</xdr:row>
      <xdr:rowOff>0</xdr:rowOff>
    </xdr:from>
    <xdr:ext cx="304800" cy="304800"/>
    <xdr:sp macro="" textlink="">
      <xdr:nvSpPr>
        <xdr:cNvPr id="427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E100000}"/>
            </a:ext>
          </a:extLst>
        </xdr:cNvPr>
        <xdr:cNvSpPr>
          <a:spLocks noChangeAspect="1" noChangeArrowheads="1"/>
        </xdr:cNvSpPr>
      </xdr:nvSpPr>
      <xdr:spPr bwMode="auto">
        <a:xfrm>
          <a:off x="46110525" y="60674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18</xdr:row>
      <xdr:rowOff>0</xdr:rowOff>
    </xdr:from>
    <xdr:ext cx="304800" cy="304800"/>
    <xdr:sp macro="" textlink="">
      <xdr:nvSpPr>
        <xdr:cNvPr id="427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F100000}"/>
            </a:ext>
          </a:extLst>
        </xdr:cNvPr>
        <xdr:cNvSpPr>
          <a:spLocks noChangeAspect="1" noChangeArrowheads="1"/>
        </xdr:cNvSpPr>
      </xdr:nvSpPr>
      <xdr:spPr bwMode="auto">
        <a:xfrm>
          <a:off x="46110525" y="60674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18</xdr:row>
      <xdr:rowOff>0</xdr:rowOff>
    </xdr:from>
    <xdr:ext cx="304800" cy="304800"/>
    <xdr:sp macro="" textlink="">
      <xdr:nvSpPr>
        <xdr:cNvPr id="427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0100000}"/>
            </a:ext>
          </a:extLst>
        </xdr:cNvPr>
        <xdr:cNvSpPr>
          <a:spLocks noChangeAspect="1" noChangeArrowheads="1"/>
        </xdr:cNvSpPr>
      </xdr:nvSpPr>
      <xdr:spPr bwMode="auto">
        <a:xfrm>
          <a:off x="46110525" y="6362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18</xdr:row>
      <xdr:rowOff>0</xdr:rowOff>
    </xdr:from>
    <xdr:ext cx="304800" cy="304800"/>
    <xdr:sp macro="" textlink="">
      <xdr:nvSpPr>
        <xdr:cNvPr id="427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1100000}"/>
            </a:ext>
          </a:extLst>
        </xdr:cNvPr>
        <xdr:cNvSpPr>
          <a:spLocks noChangeAspect="1" noChangeArrowheads="1"/>
        </xdr:cNvSpPr>
      </xdr:nvSpPr>
      <xdr:spPr bwMode="auto">
        <a:xfrm>
          <a:off x="46110525" y="6362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18</xdr:row>
      <xdr:rowOff>0</xdr:rowOff>
    </xdr:from>
    <xdr:ext cx="304800" cy="304800"/>
    <xdr:sp macro="" textlink="">
      <xdr:nvSpPr>
        <xdr:cNvPr id="427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2100000}"/>
            </a:ext>
          </a:extLst>
        </xdr:cNvPr>
        <xdr:cNvSpPr>
          <a:spLocks noChangeAspect="1" noChangeArrowheads="1"/>
        </xdr:cNvSpPr>
      </xdr:nvSpPr>
      <xdr:spPr bwMode="auto">
        <a:xfrm>
          <a:off x="46110525" y="66579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18</xdr:row>
      <xdr:rowOff>0</xdr:rowOff>
    </xdr:from>
    <xdr:ext cx="304800" cy="304800"/>
    <xdr:sp macro="" textlink="">
      <xdr:nvSpPr>
        <xdr:cNvPr id="427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3100000}"/>
            </a:ext>
          </a:extLst>
        </xdr:cNvPr>
        <xdr:cNvSpPr>
          <a:spLocks noChangeAspect="1" noChangeArrowheads="1"/>
        </xdr:cNvSpPr>
      </xdr:nvSpPr>
      <xdr:spPr bwMode="auto">
        <a:xfrm>
          <a:off x="46110525" y="66579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18</xdr:row>
      <xdr:rowOff>0</xdr:rowOff>
    </xdr:from>
    <xdr:ext cx="304800" cy="304800"/>
    <xdr:sp macro="" textlink="">
      <xdr:nvSpPr>
        <xdr:cNvPr id="427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4100000}"/>
            </a:ext>
          </a:extLst>
        </xdr:cNvPr>
        <xdr:cNvSpPr>
          <a:spLocks noChangeAspect="1" noChangeArrowheads="1"/>
        </xdr:cNvSpPr>
      </xdr:nvSpPr>
      <xdr:spPr bwMode="auto">
        <a:xfrm>
          <a:off x="46110525" y="6953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18</xdr:row>
      <xdr:rowOff>0</xdr:rowOff>
    </xdr:from>
    <xdr:ext cx="304800" cy="304800"/>
    <xdr:sp macro="" textlink="">
      <xdr:nvSpPr>
        <xdr:cNvPr id="427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5100000}"/>
            </a:ext>
          </a:extLst>
        </xdr:cNvPr>
        <xdr:cNvSpPr>
          <a:spLocks noChangeAspect="1" noChangeArrowheads="1"/>
        </xdr:cNvSpPr>
      </xdr:nvSpPr>
      <xdr:spPr bwMode="auto">
        <a:xfrm>
          <a:off x="46110525" y="6953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18</xdr:row>
      <xdr:rowOff>0</xdr:rowOff>
    </xdr:from>
    <xdr:ext cx="304800" cy="304800"/>
    <xdr:sp macro="" textlink="">
      <xdr:nvSpPr>
        <xdr:cNvPr id="427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6100000}"/>
            </a:ext>
          </a:extLst>
        </xdr:cNvPr>
        <xdr:cNvSpPr>
          <a:spLocks noChangeAspect="1" noChangeArrowheads="1"/>
        </xdr:cNvSpPr>
      </xdr:nvSpPr>
      <xdr:spPr bwMode="auto">
        <a:xfrm>
          <a:off x="46110525" y="7248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18</xdr:row>
      <xdr:rowOff>0</xdr:rowOff>
    </xdr:from>
    <xdr:ext cx="304800" cy="304800"/>
    <xdr:sp macro="" textlink="">
      <xdr:nvSpPr>
        <xdr:cNvPr id="427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7100000}"/>
            </a:ext>
          </a:extLst>
        </xdr:cNvPr>
        <xdr:cNvSpPr>
          <a:spLocks noChangeAspect="1" noChangeArrowheads="1"/>
        </xdr:cNvSpPr>
      </xdr:nvSpPr>
      <xdr:spPr bwMode="auto">
        <a:xfrm>
          <a:off x="46110525" y="7248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18</xdr:row>
      <xdr:rowOff>0</xdr:rowOff>
    </xdr:from>
    <xdr:ext cx="304800" cy="304800"/>
    <xdr:sp macro="" textlink="">
      <xdr:nvSpPr>
        <xdr:cNvPr id="428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8100000}"/>
            </a:ext>
          </a:extLst>
        </xdr:cNvPr>
        <xdr:cNvSpPr>
          <a:spLocks noChangeAspect="1" noChangeArrowheads="1"/>
        </xdr:cNvSpPr>
      </xdr:nvSpPr>
      <xdr:spPr bwMode="auto">
        <a:xfrm>
          <a:off x="46110525" y="7543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18</xdr:row>
      <xdr:rowOff>0</xdr:rowOff>
    </xdr:from>
    <xdr:ext cx="304800" cy="304800"/>
    <xdr:sp macro="" textlink="">
      <xdr:nvSpPr>
        <xdr:cNvPr id="428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9100000}"/>
            </a:ext>
          </a:extLst>
        </xdr:cNvPr>
        <xdr:cNvSpPr>
          <a:spLocks noChangeAspect="1" noChangeArrowheads="1"/>
        </xdr:cNvSpPr>
      </xdr:nvSpPr>
      <xdr:spPr bwMode="auto">
        <a:xfrm>
          <a:off x="46110525" y="7543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19</xdr:row>
      <xdr:rowOff>0</xdr:rowOff>
    </xdr:from>
    <xdr:ext cx="304800" cy="304800"/>
    <xdr:sp macro="" textlink="">
      <xdr:nvSpPr>
        <xdr:cNvPr id="428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A100000}"/>
            </a:ext>
          </a:extLst>
        </xdr:cNvPr>
        <xdr:cNvSpPr>
          <a:spLocks noChangeAspect="1" noChangeArrowheads="1"/>
        </xdr:cNvSpPr>
      </xdr:nvSpPr>
      <xdr:spPr bwMode="auto">
        <a:xfrm>
          <a:off x="46110525" y="7839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19</xdr:row>
      <xdr:rowOff>0</xdr:rowOff>
    </xdr:from>
    <xdr:ext cx="304800" cy="304800"/>
    <xdr:sp macro="" textlink="">
      <xdr:nvSpPr>
        <xdr:cNvPr id="428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B100000}"/>
            </a:ext>
          </a:extLst>
        </xdr:cNvPr>
        <xdr:cNvSpPr>
          <a:spLocks noChangeAspect="1" noChangeArrowheads="1"/>
        </xdr:cNvSpPr>
      </xdr:nvSpPr>
      <xdr:spPr bwMode="auto">
        <a:xfrm>
          <a:off x="46110525" y="7839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20</xdr:row>
      <xdr:rowOff>0</xdr:rowOff>
    </xdr:from>
    <xdr:ext cx="304800" cy="304800"/>
    <xdr:sp macro="" textlink="">
      <xdr:nvSpPr>
        <xdr:cNvPr id="428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C100000}"/>
            </a:ext>
          </a:extLst>
        </xdr:cNvPr>
        <xdr:cNvSpPr>
          <a:spLocks noChangeAspect="1" noChangeArrowheads="1"/>
        </xdr:cNvSpPr>
      </xdr:nvSpPr>
      <xdr:spPr bwMode="auto">
        <a:xfrm>
          <a:off x="46110525" y="8134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20</xdr:row>
      <xdr:rowOff>0</xdr:rowOff>
    </xdr:from>
    <xdr:ext cx="304800" cy="304800"/>
    <xdr:sp macro="" textlink="">
      <xdr:nvSpPr>
        <xdr:cNvPr id="428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D100000}"/>
            </a:ext>
          </a:extLst>
        </xdr:cNvPr>
        <xdr:cNvSpPr>
          <a:spLocks noChangeAspect="1" noChangeArrowheads="1"/>
        </xdr:cNvSpPr>
      </xdr:nvSpPr>
      <xdr:spPr bwMode="auto">
        <a:xfrm>
          <a:off x="46110525" y="8134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21</xdr:row>
      <xdr:rowOff>0</xdr:rowOff>
    </xdr:from>
    <xdr:ext cx="304800" cy="304800"/>
    <xdr:sp macro="" textlink="">
      <xdr:nvSpPr>
        <xdr:cNvPr id="428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E100000}"/>
            </a:ext>
          </a:extLst>
        </xdr:cNvPr>
        <xdr:cNvSpPr>
          <a:spLocks noChangeAspect="1" noChangeArrowheads="1"/>
        </xdr:cNvSpPr>
      </xdr:nvSpPr>
      <xdr:spPr bwMode="auto">
        <a:xfrm>
          <a:off x="46110525" y="8429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21</xdr:row>
      <xdr:rowOff>0</xdr:rowOff>
    </xdr:from>
    <xdr:ext cx="304800" cy="304800"/>
    <xdr:sp macro="" textlink="">
      <xdr:nvSpPr>
        <xdr:cNvPr id="428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F100000}"/>
            </a:ext>
          </a:extLst>
        </xdr:cNvPr>
        <xdr:cNvSpPr>
          <a:spLocks noChangeAspect="1" noChangeArrowheads="1"/>
        </xdr:cNvSpPr>
      </xdr:nvSpPr>
      <xdr:spPr bwMode="auto">
        <a:xfrm>
          <a:off x="46110525" y="8429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22</xdr:row>
      <xdr:rowOff>0</xdr:rowOff>
    </xdr:from>
    <xdr:ext cx="304800" cy="304800"/>
    <xdr:sp macro="" textlink="">
      <xdr:nvSpPr>
        <xdr:cNvPr id="428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0100000}"/>
            </a:ext>
          </a:extLst>
        </xdr:cNvPr>
        <xdr:cNvSpPr>
          <a:spLocks noChangeAspect="1" noChangeArrowheads="1"/>
        </xdr:cNvSpPr>
      </xdr:nvSpPr>
      <xdr:spPr bwMode="auto">
        <a:xfrm>
          <a:off x="46110525" y="8724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22</xdr:row>
      <xdr:rowOff>0</xdr:rowOff>
    </xdr:from>
    <xdr:ext cx="304800" cy="304800"/>
    <xdr:sp macro="" textlink="">
      <xdr:nvSpPr>
        <xdr:cNvPr id="428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1100000}"/>
            </a:ext>
          </a:extLst>
        </xdr:cNvPr>
        <xdr:cNvSpPr>
          <a:spLocks noChangeAspect="1" noChangeArrowheads="1"/>
        </xdr:cNvSpPr>
      </xdr:nvSpPr>
      <xdr:spPr bwMode="auto">
        <a:xfrm>
          <a:off x="46110525" y="8724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23</xdr:row>
      <xdr:rowOff>0</xdr:rowOff>
    </xdr:from>
    <xdr:ext cx="304800" cy="304800"/>
    <xdr:sp macro="" textlink="">
      <xdr:nvSpPr>
        <xdr:cNvPr id="429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2100000}"/>
            </a:ext>
          </a:extLst>
        </xdr:cNvPr>
        <xdr:cNvSpPr>
          <a:spLocks noChangeAspect="1" noChangeArrowheads="1"/>
        </xdr:cNvSpPr>
      </xdr:nvSpPr>
      <xdr:spPr bwMode="auto">
        <a:xfrm>
          <a:off x="46110525" y="90201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23</xdr:row>
      <xdr:rowOff>0</xdr:rowOff>
    </xdr:from>
    <xdr:ext cx="304800" cy="304800"/>
    <xdr:sp macro="" textlink="">
      <xdr:nvSpPr>
        <xdr:cNvPr id="429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3100000}"/>
            </a:ext>
          </a:extLst>
        </xdr:cNvPr>
        <xdr:cNvSpPr>
          <a:spLocks noChangeAspect="1" noChangeArrowheads="1"/>
        </xdr:cNvSpPr>
      </xdr:nvSpPr>
      <xdr:spPr bwMode="auto">
        <a:xfrm>
          <a:off x="46110525" y="90201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24</xdr:row>
      <xdr:rowOff>0</xdr:rowOff>
    </xdr:from>
    <xdr:ext cx="304800" cy="304800"/>
    <xdr:sp macro="" textlink="">
      <xdr:nvSpPr>
        <xdr:cNvPr id="429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4100000}"/>
            </a:ext>
          </a:extLst>
        </xdr:cNvPr>
        <xdr:cNvSpPr>
          <a:spLocks noChangeAspect="1" noChangeArrowheads="1"/>
        </xdr:cNvSpPr>
      </xdr:nvSpPr>
      <xdr:spPr bwMode="auto">
        <a:xfrm>
          <a:off x="46110525" y="9315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24</xdr:row>
      <xdr:rowOff>0</xdr:rowOff>
    </xdr:from>
    <xdr:ext cx="304800" cy="304800"/>
    <xdr:sp macro="" textlink="">
      <xdr:nvSpPr>
        <xdr:cNvPr id="429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5100000}"/>
            </a:ext>
          </a:extLst>
        </xdr:cNvPr>
        <xdr:cNvSpPr>
          <a:spLocks noChangeAspect="1" noChangeArrowheads="1"/>
        </xdr:cNvSpPr>
      </xdr:nvSpPr>
      <xdr:spPr bwMode="auto">
        <a:xfrm>
          <a:off x="46110525" y="9315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25</xdr:row>
      <xdr:rowOff>0</xdr:rowOff>
    </xdr:from>
    <xdr:ext cx="304800" cy="304800"/>
    <xdr:sp macro="" textlink="">
      <xdr:nvSpPr>
        <xdr:cNvPr id="429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6100000}"/>
            </a:ext>
          </a:extLst>
        </xdr:cNvPr>
        <xdr:cNvSpPr>
          <a:spLocks noChangeAspect="1" noChangeArrowheads="1"/>
        </xdr:cNvSpPr>
      </xdr:nvSpPr>
      <xdr:spPr bwMode="auto">
        <a:xfrm>
          <a:off x="46110525" y="96107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25</xdr:row>
      <xdr:rowOff>0</xdr:rowOff>
    </xdr:from>
    <xdr:ext cx="304800" cy="304800"/>
    <xdr:sp macro="" textlink="">
      <xdr:nvSpPr>
        <xdr:cNvPr id="429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7100000}"/>
            </a:ext>
          </a:extLst>
        </xdr:cNvPr>
        <xdr:cNvSpPr>
          <a:spLocks noChangeAspect="1" noChangeArrowheads="1"/>
        </xdr:cNvSpPr>
      </xdr:nvSpPr>
      <xdr:spPr bwMode="auto">
        <a:xfrm>
          <a:off x="46110525" y="96107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26</xdr:row>
      <xdr:rowOff>0</xdr:rowOff>
    </xdr:from>
    <xdr:ext cx="304800" cy="304800"/>
    <xdr:sp macro="" textlink="">
      <xdr:nvSpPr>
        <xdr:cNvPr id="429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8100000}"/>
            </a:ext>
          </a:extLst>
        </xdr:cNvPr>
        <xdr:cNvSpPr>
          <a:spLocks noChangeAspect="1" noChangeArrowheads="1"/>
        </xdr:cNvSpPr>
      </xdr:nvSpPr>
      <xdr:spPr bwMode="auto">
        <a:xfrm>
          <a:off x="46110525" y="9906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26</xdr:row>
      <xdr:rowOff>0</xdr:rowOff>
    </xdr:from>
    <xdr:ext cx="304800" cy="304800"/>
    <xdr:sp macro="" textlink="">
      <xdr:nvSpPr>
        <xdr:cNvPr id="429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9100000}"/>
            </a:ext>
          </a:extLst>
        </xdr:cNvPr>
        <xdr:cNvSpPr>
          <a:spLocks noChangeAspect="1" noChangeArrowheads="1"/>
        </xdr:cNvSpPr>
      </xdr:nvSpPr>
      <xdr:spPr bwMode="auto">
        <a:xfrm>
          <a:off x="46110525" y="9906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27</xdr:row>
      <xdr:rowOff>0</xdr:rowOff>
    </xdr:from>
    <xdr:ext cx="304800" cy="304800"/>
    <xdr:sp macro="" textlink="">
      <xdr:nvSpPr>
        <xdr:cNvPr id="429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A100000}"/>
            </a:ext>
          </a:extLst>
        </xdr:cNvPr>
        <xdr:cNvSpPr>
          <a:spLocks noChangeAspect="1" noChangeArrowheads="1"/>
        </xdr:cNvSpPr>
      </xdr:nvSpPr>
      <xdr:spPr bwMode="auto">
        <a:xfrm>
          <a:off x="46110525" y="102012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27</xdr:row>
      <xdr:rowOff>0</xdr:rowOff>
    </xdr:from>
    <xdr:ext cx="304800" cy="304800"/>
    <xdr:sp macro="" textlink="">
      <xdr:nvSpPr>
        <xdr:cNvPr id="429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B100000}"/>
            </a:ext>
          </a:extLst>
        </xdr:cNvPr>
        <xdr:cNvSpPr>
          <a:spLocks noChangeAspect="1" noChangeArrowheads="1"/>
        </xdr:cNvSpPr>
      </xdr:nvSpPr>
      <xdr:spPr bwMode="auto">
        <a:xfrm>
          <a:off x="46110525" y="102012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28</xdr:row>
      <xdr:rowOff>0</xdr:rowOff>
    </xdr:from>
    <xdr:ext cx="304800" cy="304800"/>
    <xdr:sp macro="" textlink="">
      <xdr:nvSpPr>
        <xdr:cNvPr id="430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C100000}"/>
            </a:ext>
          </a:extLst>
        </xdr:cNvPr>
        <xdr:cNvSpPr>
          <a:spLocks noChangeAspect="1" noChangeArrowheads="1"/>
        </xdr:cNvSpPr>
      </xdr:nvSpPr>
      <xdr:spPr bwMode="auto">
        <a:xfrm>
          <a:off x="46110525" y="10496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28</xdr:row>
      <xdr:rowOff>0</xdr:rowOff>
    </xdr:from>
    <xdr:ext cx="304800" cy="304800"/>
    <xdr:sp macro="" textlink="">
      <xdr:nvSpPr>
        <xdr:cNvPr id="430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D100000}"/>
            </a:ext>
          </a:extLst>
        </xdr:cNvPr>
        <xdr:cNvSpPr>
          <a:spLocks noChangeAspect="1" noChangeArrowheads="1"/>
        </xdr:cNvSpPr>
      </xdr:nvSpPr>
      <xdr:spPr bwMode="auto">
        <a:xfrm>
          <a:off x="46110525" y="10496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29</xdr:row>
      <xdr:rowOff>0</xdr:rowOff>
    </xdr:from>
    <xdr:ext cx="304800" cy="304800"/>
    <xdr:sp macro="" textlink="">
      <xdr:nvSpPr>
        <xdr:cNvPr id="430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E100000}"/>
            </a:ext>
          </a:extLst>
        </xdr:cNvPr>
        <xdr:cNvSpPr>
          <a:spLocks noChangeAspect="1" noChangeArrowheads="1"/>
        </xdr:cNvSpPr>
      </xdr:nvSpPr>
      <xdr:spPr bwMode="auto">
        <a:xfrm>
          <a:off x="46110525" y="10791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29</xdr:row>
      <xdr:rowOff>0</xdr:rowOff>
    </xdr:from>
    <xdr:ext cx="304800" cy="304800"/>
    <xdr:sp macro="" textlink="">
      <xdr:nvSpPr>
        <xdr:cNvPr id="430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F100000}"/>
            </a:ext>
          </a:extLst>
        </xdr:cNvPr>
        <xdr:cNvSpPr>
          <a:spLocks noChangeAspect="1" noChangeArrowheads="1"/>
        </xdr:cNvSpPr>
      </xdr:nvSpPr>
      <xdr:spPr bwMode="auto">
        <a:xfrm>
          <a:off x="46110525" y="10791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30</xdr:row>
      <xdr:rowOff>0</xdr:rowOff>
    </xdr:from>
    <xdr:ext cx="304800" cy="304800"/>
    <xdr:sp macro="" textlink="">
      <xdr:nvSpPr>
        <xdr:cNvPr id="430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0100000}"/>
            </a:ext>
          </a:extLst>
        </xdr:cNvPr>
        <xdr:cNvSpPr>
          <a:spLocks noChangeAspect="1" noChangeArrowheads="1"/>
        </xdr:cNvSpPr>
      </xdr:nvSpPr>
      <xdr:spPr bwMode="auto">
        <a:xfrm>
          <a:off x="46110525" y="11087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30</xdr:row>
      <xdr:rowOff>0</xdr:rowOff>
    </xdr:from>
    <xdr:ext cx="304800" cy="304800"/>
    <xdr:sp macro="" textlink="">
      <xdr:nvSpPr>
        <xdr:cNvPr id="430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1100000}"/>
            </a:ext>
          </a:extLst>
        </xdr:cNvPr>
        <xdr:cNvSpPr>
          <a:spLocks noChangeAspect="1" noChangeArrowheads="1"/>
        </xdr:cNvSpPr>
      </xdr:nvSpPr>
      <xdr:spPr bwMode="auto">
        <a:xfrm>
          <a:off x="46110525" y="11087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31</xdr:row>
      <xdr:rowOff>0</xdr:rowOff>
    </xdr:from>
    <xdr:ext cx="304800" cy="304800"/>
    <xdr:sp macro="" textlink="">
      <xdr:nvSpPr>
        <xdr:cNvPr id="430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2100000}"/>
            </a:ext>
          </a:extLst>
        </xdr:cNvPr>
        <xdr:cNvSpPr>
          <a:spLocks noChangeAspect="1" noChangeArrowheads="1"/>
        </xdr:cNvSpPr>
      </xdr:nvSpPr>
      <xdr:spPr bwMode="auto">
        <a:xfrm>
          <a:off x="46110525" y="11382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31</xdr:row>
      <xdr:rowOff>0</xdr:rowOff>
    </xdr:from>
    <xdr:ext cx="304800" cy="304800"/>
    <xdr:sp macro="" textlink="">
      <xdr:nvSpPr>
        <xdr:cNvPr id="430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3100000}"/>
            </a:ext>
          </a:extLst>
        </xdr:cNvPr>
        <xdr:cNvSpPr>
          <a:spLocks noChangeAspect="1" noChangeArrowheads="1"/>
        </xdr:cNvSpPr>
      </xdr:nvSpPr>
      <xdr:spPr bwMode="auto">
        <a:xfrm>
          <a:off x="46110525" y="11382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32</xdr:row>
      <xdr:rowOff>0</xdr:rowOff>
    </xdr:from>
    <xdr:ext cx="304800" cy="304800"/>
    <xdr:sp macro="" textlink="">
      <xdr:nvSpPr>
        <xdr:cNvPr id="430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4100000}"/>
            </a:ext>
          </a:extLst>
        </xdr:cNvPr>
        <xdr:cNvSpPr>
          <a:spLocks noChangeAspect="1" noChangeArrowheads="1"/>
        </xdr:cNvSpPr>
      </xdr:nvSpPr>
      <xdr:spPr bwMode="auto">
        <a:xfrm>
          <a:off x="46110525" y="11677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32</xdr:row>
      <xdr:rowOff>0</xdr:rowOff>
    </xdr:from>
    <xdr:ext cx="304800" cy="304800"/>
    <xdr:sp macro="" textlink="">
      <xdr:nvSpPr>
        <xdr:cNvPr id="430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5100000}"/>
            </a:ext>
          </a:extLst>
        </xdr:cNvPr>
        <xdr:cNvSpPr>
          <a:spLocks noChangeAspect="1" noChangeArrowheads="1"/>
        </xdr:cNvSpPr>
      </xdr:nvSpPr>
      <xdr:spPr bwMode="auto">
        <a:xfrm>
          <a:off x="46110525" y="11677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33</xdr:row>
      <xdr:rowOff>0</xdr:rowOff>
    </xdr:from>
    <xdr:ext cx="304800" cy="304800"/>
    <xdr:sp macro="" textlink="">
      <xdr:nvSpPr>
        <xdr:cNvPr id="431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6100000}"/>
            </a:ext>
          </a:extLst>
        </xdr:cNvPr>
        <xdr:cNvSpPr>
          <a:spLocks noChangeAspect="1" noChangeArrowheads="1"/>
        </xdr:cNvSpPr>
      </xdr:nvSpPr>
      <xdr:spPr bwMode="auto">
        <a:xfrm>
          <a:off x="46110525" y="119729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33</xdr:row>
      <xdr:rowOff>0</xdr:rowOff>
    </xdr:from>
    <xdr:ext cx="304800" cy="304800"/>
    <xdr:sp macro="" textlink="">
      <xdr:nvSpPr>
        <xdr:cNvPr id="431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7100000}"/>
            </a:ext>
          </a:extLst>
        </xdr:cNvPr>
        <xdr:cNvSpPr>
          <a:spLocks noChangeAspect="1" noChangeArrowheads="1"/>
        </xdr:cNvSpPr>
      </xdr:nvSpPr>
      <xdr:spPr bwMode="auto">
        <a:xfrm>
          <a:off x="46110525" y="119729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34</xdr:row>
      <xdr:rowOff>0</xdr:rowOff>
    </xdr:from>
    <xdr:ext cx="304800" cy="304800"/>
    <xdr:sp macro="" textlink="">
      <xdr:nvSpPr>
        <xdr:cNvPr id="431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8100000}"/>
            </a:ext>
          </a:extLst>
        </xdr:cNvPr>
        <xdr:cNvSpPr>
          <a:spLocks noChangeAspect="1" noChangeArrowheads="1"/>
        </xdr:cNvSpPr>
      </xdr:nvSpPr>
      <xdr:spPr bwMode="auto">
        <a:xfrm>
          <a:off x="46110525" y="1226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34</xdr:row>
      <xdr:rowOff>0</xdr:rowOff>
    </xdr:from>
    <xdr:ext cx="304800" cy="304800"/>
    <xdr:sp macro="" textlink="">
      <xdr:nvSpPr>
        <xdr:cNvPr id="431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9100000}"/>
            </a:ext>
          </a:extLst>
        </xdr:cNvPr>
        <xdr:cNvSpPr>
          <a:spLocks noChangeAspect="1" noChangeArrowheads="1"/>
        </xdr:cNvSpPr>
      </xdr:nvSpPr>
      <xdr:spPr bwMode="auto">
        <a:xfrm>
          <a:off x="46110525" y="1226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35</xdr:row>
      <xdr:rowOff>0</xdr:rowOff>
    </xdr:from>
    <xdr:ext cx="304800" cy="304800"/>
    <xdr:sp macro="" textlink="">
      <xdr:nvSpPr>
        <xdr:cNvPr id="431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A100000}"/>
            </a:ext>
          </a:extLst>
        </xdr:cNvPr>
        <xdr:cNvSpPr>
          <a:spLocks noChangeAspect="1" noChangeArrowheads="1"/>
        </xdr:cNvSpPr>
      </xdr:nvSpPr>
      <xdr:spPr bwMode="auto">
        <a:xfrm>
          <a:off x="46110525" y="125634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35</xdr:row>
      <xdr:rowOff>0</xdr:rowOff>
    </xdr:from>
    <xdr:ext cx="304800" cy="304800"/>
    <xdr:sp macro="" textlink="">
      <xdr:nvSpPr>
        <xdr:cNvPr id="431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B100000}"/>
            </a:ext>
          </a:extLst>
        </xdr:cNvPr>
        <xdr:cNvSpPr>
          <a:spLocks noChangeAspect="1" noChangeArrowheads="1"/>
        </xdr:cNvSpPr>
      </xdr:nvSpPr>
      <xdr:spPr bwMode="auto">
        <a:xfrm>
          <a:off x="46110525" y="125634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36</xdr:row>
      <xdr:rowOff>0</xdr:rowOff>
    </xdr:from>
    <xdr:ext cx="304800" cy="304800"/>
    <xdr:sp macro="" textlink="">
      <xdr:nvSpPr>
        <xdr:cNvPr id="431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C100000}"/>
            </a:ext>
          </a:extLst>
        </xdr:cNvPr>
        <xdr:cNvSpPr>
          <a:spLocks noChangeAspect="1" noChangeArrowheads="1"/>
        </xdr:cNvSpPr>
      </xdr:nvSpPr>
      <xdr:spPr bwMode="auto">
        <a:xfrm>
          <a:off x="46110525" y="12858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36</xdr:row>
      <xdr:rowOff>0</xdr:rowOff>
    </xdr:from>
    <xdr:ext cx="304800" cy="304800"/>
    <xdr:sp macro="" textlink="">
      <xdr:nvSpPr>
        <xdr:cNvPr id="431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D100000}"/>
            </a:ext>
          </a:extLst>
        </xdr:cNvPr>
        <xdr:cNvSpPr>
          <a:spLocks noChangeAspect="1" noChangeArrowheads="1"/>
        </xdr:cNvSpPr>
      </xdr:nvSpPr>
      <xdr:spPr bwMode="auto">
        <a:xfrm>
          <a:off x="46110525" y="12858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37</xdr:row>
      <xdr:rowOff>0</xdr:rowOff>
    </xdr:from>
    <xdr:ext cx="304800" cy="304800"/>
    <xdr:sp macro="" textlink="">
      <xdr:nvSpPr>
        <xdr:cNvPr id="431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E100000}"/>
            </a:ext>
          </a:extLst>
        </xdr:cNvPr>
        <xdr:cNvSpPr>
          <a:spLocks noChangeAspect="1" noChangeArrowheads="1"/>
        </xdr:cNvSpPr>
      </xdr:nvSpPr>
      <xdr:spPr bwMode="auto">
        <a:xfrm>
          <a:off x="46110525" y="13154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37</xdr:row>
      <xdr:rowOff>0</xdr:rowOff>
    </xdr:from>
    <xdr:ext cx="304800" cy="304800"/>
    <xdr:sp macro="" textlink="">
      <xdr:nvSpPr>
        <xdr:cNvPr id="431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F100000}"/>
            </a:ext>
          </a:extLst>
        </xdr:cNvPr>
        <xdr:cNvSpPr>
          <a:spLocks noChangeAspect="1" noChangeArrowheads="1"/>
        </xdr:cNvSpPr>
      </xdr:nvSpPr>
      <xdr:spPr bwMode="auto">
        <a:xfrm>
          <a:off x="46110525" y="13154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38</xdr:row>
      <xdr:rowOff>0</xdr:rowOff>
    </xdr:from>
    <xdr:ext cx="304800" cy="304800"/>
    <xdr:sp macro="" textlink="">
      <xdr:nvSpPr>
        <xdr:cNvPr id="432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0100000}"/>
            </a:ext>
          </a:extLst>
        </xdr:cNvPr>
        <xdr:cNvSpPr>
          <a:spLocks noChangeAspect="1" noChangeArrowheads="1"/>
        </xdr:cNvSpPr>
      </xdr:nvSpPr>
      <xdr:spPr bwMode="auto">
        <a:xfrm>
          <a:off x="46110525" y="13449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38</xdr:row>
      <xdr:rowOff>0</xdr:rowOff>
    </xdr:from>
    <xdr:ext cx="304800" cy="304800"/>
    <xdr:sp macro="" textlink="">
      <xdr:nvSpPr>
        <xdr:cNvPr id="432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1100000}"/>
            </a:ext>
          </a:extLst>
        </xdr:cNvPr>
        <xdr:cNvSpPr>
          <a:spLocks noChangeAspect="1" noChangeArrowheads="1"/>
        </xdr:cNvSpPr>
      </xdr:nvSpPr>
      <xdr:spPr bwMode="auto">
        <a:xfrm>
          <a:off x="46110525" y="13449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39</xdr:row>
      <xdr:rowOff>0</xdr:rowOff>
    </xdr:from>
    <xdr:ext cx="304800" cy="304800"/>
    <xdr:sp macro="" textlink="">
      <xdr:nvSpPr>
        <xdr:cNvPr id="432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2100000}"/>
            </a:ext>
          </a:extLst>
        </xdr:cNvPr>
        <xdr:cNvSpPr>
          <a:spLocks noChangeAspect="1" noChangeArrowheads="1"/>
        </xdr:cNvSpPr>
      </xdr:nvSpPr>
      <xdr:spPr bwMode="auto">
        <a:xfrm>
          <a:off x="46110525" y="13744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39</xdr:row>
      <xdr:rowOff>0</xdr:rowOff>
    </xdr:from>
    <xdr:ext cx="304800" cy="304800"/>
    <xdr:sp macro="" textlink="">
      <xdr:nvSpPr>
        <xdr:cNvPr id="432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3100000}"/>
            </a:ext>
          </a:extLst>
        </xdr:cNvPr>
        <xdr:cNvSpPr>
          <a:spLocks noChangeAspect="1" noChangeArrowheads="1"/>
        </xdr:cNvSpPr>
      </xdr:nvSpPr>
      <xdr:spPr bwMode="auto">
        <a:xfrm>
          <a:off x="46110525" y="13744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40</xdr:row>
      <xdr:rowOff>0</xdr:rowOff>
    </xdr:from>
    <xdr:ext cx="304800" cy="304800"/>
    <xdr:sp macro="" textlink="">
      <xdr:nvSpPr>
        <xdr:cNvPr id="432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4100000}"/>
            </a:ext>
          </a:extLst>
        </xdr:cNvPr>
        <xdr:cNvSpPr>
          <a:spLocks noChangeAspect="1" noChangeArrowheads="1"/>
        </xdr:cNvSpPr>
      </xdr:nvSpPr>
      <xdr:spPr bwMode="auto">
        <a:xfrm>
          <a:off x="46110525" y="14039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40</xdr:row>
      <xdr:rowOff>0</xdr:rowOff>
    </xdr:from>
    <xdr:ext cx="304800" cy="304800"/>
    <xdr:sp macro="" textlink="">
      <xdr:nvSpPr>
        <xdr:cNvPr id="432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5100000}"/>
            </a:ext>
          </a:extLst>
        </xdr:cNvPr>
        <xdr:cNvSpPr>
          <a:spLocks noChangeAspect="1" noChangeArrowheads="1"/>
        </xdr:cNvSpPr>
      </xdr:nvSpPr>
      <xdr:spPr bwMode="auto">
        <a:xfrm>
          <a:off x="46110525" y="14039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41</xdr:row>
      <xdr:rowOff>0</xdr:rowOff>
    </xdr:from>
    <xdr:ext cx="304800" cy="304800"/>
    <xdr:sp macro="" textlink="">
      <xdr:nvSpPr>
        <xdr:cNvPr id="432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6100000}"/>
            </a:ext>
          </a:extLst>
        </xdr:cNvPr>
        <xdr:cNvSpPr>
          <a:spLocks noChangeAspect="1" noChangeArrowheads="1"/>
        </xdr:cNvSpPr>
      </xdr:nvSpPr>
      <xdr:spPr bwMode="auto">
        <a:xfrm>
          <a:off x="46110525" y="143351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41</xdr:row>
      <xdr:rowOff>0</xdr:rowOff>
    </xdr:from>
    <xdr:ext cx="304800" cy="304800"/>
    <xdr:sp macro="" textlink="">
      <xdr:nvSpPr>
        <xdr:cNvPr id="432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7100000}"/>
            </a:ext>
          </a:extLst>
        </xdr:cNvPr>
        <xdr:cNvSpPr>
          <a:spLocks noChangeAspect="1" noChangeArrowheads="1"/>
        </xdr:cNvSpPr>
      </xdr:nvSpPr>
      <xdr:spPr bwMode="auto">
        <a:xfrm>
          <a:off x="46110525" y="143351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42</xdr:row>
      <xdr:rowOff>0</xdr:rowOff>
    </xdr:from>
    <xdr:ext cx="304800" cy="304800"/>
    <xdr:sp macro="" textlink="">
      <xdr:nvSpPr>
        <xdr:cNvPr id="432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8100000}"/>
            </a:ext>
          </a:extLst>
        </xdr:cNvPr>
        <xdr:cNvSpPr>
          <a:spLocks noChangeAspect="1" noChangeArrowheads="1"/>
        </xdr:cNvSpPr>
      </xdr:nvSpPr>
      <xdr:spPr bwMode="auto">
        <a:xfrm>
          <a:off x="46110525" y="14630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42</xdr:row>
      <xdr:rowOff>0</xdr:rowOff>
    </xdr:from>
    <xdr:ext cx="304800" cy="304800"/>
    <xdr:sp macro="" textlink="">
      <xdr:nvSpPr>
        <xdr:cNvPr id="432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9100000}"/>
            </a:ext>
          </a:extLst>
        </xdr:cNvPr>
        <xdr:cNvSpPr>
          <a:spLocks noChangeAspect="1" noChangeArrowheads="1"/>
        </xdr:cNvSpPr>
      </xdr:nvSpPr>
      <xdr:spPr bwMode="auto">
        <a:xfrm>
          <a:off x="46110525" y="14630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43</xdr:row>
      <xdr:rowOff>0</xdr:rowOff>
    </xdr:from>
    <xdr:ext cx="304800" cy="304800"/>
    <xdr:sp macro="" textlink="">
      <xdr:nvSpPr>
        <xdr:cNvPr id="433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A100000}"/>
            </a:ext>
          </a:extLst>
        </xdr:cNvPr>
        <xdr:cNvSpPr>
          <a:spLocks noChangeAspect="1" noChangeArrowheads="1"/>
        </xdr:cNvSpPr>
      </xdr:nvSpPr>
      <xdr:spPr bwMode="auto">
        <a:xfrm>
          <a:off x="46110525" y="149256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43</xdr:row>
      <xdr:rowOff>0</xdr:rowOff>
    </xdr:from>
    <xdr:ext cx="304800" cy="304800"/>
    <xdr:sp macro="" textlink="">
      <xdr:nvSpPr>
        <xdr:cNvPr id="433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B100000}"/>
            </a:ext>
          </a:extLst>
        </xdr:cNvPr>
        <xdr:cNvSpPr>
          <a:spLocks noChangeAspect="1" noChangeArrowheads="1"/>
        </xdr:cNvSpPr>
      </xdr:nvSpPr>
      <xdr:spPr bwMode="auto">
        <a:xfrm>
          <a:off x="46110525" y="149256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44</xdr:row>
      <xdr:rowOff>0</xdr:rowOff>
    </xdr:from>
    <xdr:ext cx="304800" cy="304800"/>
    <xdr:sp macro="" textlink="">
      <xdr:nvSpPr>
        <xdr:cNvPr id="433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C100000}"/>
            </a:ext>
          </a:extLst>
        </xdr:cNvPr>
        <xdr:cNvSpPr>
          <a:spLocks noChangeAspect="1" noChangeArrowheads="1"/>
        </xdr:cNvSpPr>
      </xdr:nvSpPr>
      <xdr:spPr bwMode="auto">
        <a:xfrm>
          <a:off x="46110525" y="15220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44</xdr:row>
      <xdr:rowOff>0</xdr:rowOff>
    </xdr:from>
    <xdr:ext cx="304800" cy="304800"/>
    <xdr:sp macro="" textlink="">
      <xdr:nvSpPr>
        <xdr:cNvPr id="433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D100000}"/>
            </a:ext>
          </a:extLst>
        </xdr:cNvPr>
        <xdr:cNvSpPr>
          <a:spLocks noChangeAspect="1" noChangeArrowheads="1"/>
        </xdr:cNvSpPr>
      </xdr:nvSpPr>
      <xdr:spPr bwMode="auto">
        <a:xfrm>
          <a:off x="46110525" y="15220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45</xdr:row>
      <xdr:rowOff>0</xdr:rowOff>
    </xdr:from>
    <xdr:ext cx="304800" cy="304800"/>
    <xdr:sp macro="" textlink="">
      <xdr:nvSpPr>
        <xdr:cNvPr id="433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E100000}"/>
            </a:ext>
          </a:extLst>
        </xdr:cNvPr>
        <xdr:cNvSpPr>
          <a:spLocks noChangeAspect="1" noChangeArrowheads="1"/>
        </xdr:cNvSpPr>
      </xdr:nvSpPr>
      <xdr:spPr bwMode="auto">
        <a:xfrm>
          <a:off x="46110525" y="15516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45</xdr:row>
      <xdr:rowOff>0</xdr:rowOff>
    </xdr:from>
    <xdr:ext cx="304800" cy="304800"/>
    <xdr:sp macro="" textlink="">
      <xdr:nvSpPr>
        <xdr:cNvPr id="433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F100000}"/>
            </a:ext>
          </a:extLst>
        </xdr:cNvPr>
        <xdr:cNvSpPr>
          <a:spLocks noChangeAspect="1" noChangeArrowheads="1"/>
        </xdr:cNvSpPr>
      </xdr:nvSpPr>
      <xdr:spPr bwMode="auto">
        <a:xfrm>
          <a:off x="46110525" y="15516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46</xdr:row>
      <xdr:rowOff>0</xdr:rowOff>
    </xdr:from>
    <xdr:ext cx="304800" cy="304800"/>
    <xdr:sp macro="" textlink="">
      <xdr:nvSpPr>
        <xdr:cNvPr id="433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0100000}"/>
            </a:ext>
          </a:extLst>
        </xdr:cNvPr>
        <xdr:cNvSpPr>
          <a:spLocks noChangeAspect="1" noChangeArrowheads="1"/>
        </xdr:cNvSpPr>
      </xdr:nvSpPr>
      <xdr:spPr bwMode="auto">
        <a:xfrm>
          <a:off x="46110525" y="15811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46</xdr:row>
      <xdr:rowOff>0</xdr:rowOff>
    </xdr:from>
    <xdr:ext cx="304800" cy="304800"/>
    <xdr:sp macro="" textlink="">
      <xdr:nvSpPr>
        <xdr:cNvPr id="433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1100000}"/>
            </a:ext>
          </a:extLst>
        </xdr:cNvPr>
        <xdr:cNvSpPr>
          <a:spLocks noChangeAspect="1" noChangeArrowheads="1"/>
        </xdr:cNvSpPr>
      </xdr:nvSpPr>
      <xdr:spPr bwMode="auto">
        <a:xfrm>
          <a:off x="46110525" y="15811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47</xdr:row>
      <xdr:rowOff>0</xdr:rowOff>
    </xdr:from>
    <xdr:ext cx="304800" cy="304800"/>
    <xdr:sp macro="" textlink="">
      <xdr:nvSpPr>
        <xdr:cNvPr id="433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2100000}"/>
            </a:ext>
          </a:extLst>
        </xdr:cNvPr>
        <xdr:cNvSpPr>
          <a:spLocks noChangeAspect="1" noChangeArrowheads="1"/>
        </xdr:cNvSpPr>
      </xdr:nvSpPr>
      <xdr:spPr bwMode="auto">
        <a:xfrm>
          <a:off x="46110525" y="161067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47</xdr:row>
      <xdr:rowOff>0</xdr:rowOff>
    </xdr:from>
    <xdr:ext cx="304800" cy="304800"/>
    <xdr:sp macro="" textlink="">
      <xdr:nvSpPr>
        <xdr:cNvPr id="433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3100000}"/>
            </a:ext>
          </a:extLst>
        </xdr:cNvPr>
        <xdr:cNvSpPr>
          <a:spLocks noChangeAspect="1" noChangeArrowheads="1"/>
        </xdr:cNvSpPr>
      </xdr:nvSpPr>
      <xdr:spPr bwMode="auto">
        <a:xfrm>
          <a:off x="46110525" y="161067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48</xdr:row>
      <xdr:rowOff>0</xdr:rowOff>
    </xdr:from>
    <xdr:ext cx="304800" cy="304800"/>
    <xdr:sp macro="" textlink="">
      <xdr:nvSpPr>
        <xdr:cNvPr id="434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4100000}"/>
            </a:ext>
          </a:extLst>
        </xdr:cNvPr>
        <xdr:cNvSpPr>
          <a:spLocks noChangeAspect="1" noChangeArrowheads="1"/>
        </xdr:cNvSpPr>
      </xdr:nvSpPr>
      <xdr:spPr bwMode="auto">
        <a:xfrm>
          <a:off x="46110525" y="16402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48</xdr:row>
      <xdr:rowOff>0</xdr:rowOff>
    </xdr:from>
    <xdr:ext cx="304800" cy="304800"/>
    <xdr:sp macro="" textlink="">
      <xdr:nvSpPr>
        <xdr:cNvPr id="434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5100000}"/>
            </a:ext>
          </a:extLst>
        </xdr:cNvPr>
        <xdr:cNvSpPr>
          <a:spLocks noChangeAspect="1" noChangeArrowheads="1"/>
        </xdr:cNvSpPr>
      </xdr:nvSpPr>
      <xdr:spPr bwMode="auto">
        <a:xfrm>
          <a:off x="46110525" y="16402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49</xdr:row>
      <xdr:rowOff>0</xdr:rowOff>
    </xdr:from>
    <xdr:ext cx="304800" cy="304800"/>
    <xdr:sp macro="" textlink="">
      <xdr:nvSpPr>
        <xdr:cNvPr id="434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6100000}"/>
            </a:ext>
          </a:extLst>
        </xdr:cNvPr>
        <xdr:cNvSpPr>
          <a:spLocks noChangeAspect="1" noChangeArrowheads="1"/>
        </xdr:cNvSpPr>
      </xdr:nvSpPr>
      <xdr:spPr bwMode="auto">
        <a:xfrm>
          <a:off x="46110525" y="16697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49</xdr:row>
      <xdr:rowOff>0</xdr:rowOff>
    </xdr:from>
    <xdr:ext cx="304800" cy="304800"/>
    <xdr:sp macro="" textlink="">
      <xdr:nvSpPr>
        <xdr:cNvPr id="434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7100000}"/>
            </a:ext>
          </a:extLst>
        </xdr:cNvPr>
        <xdr:cNvSpPr>
          <a:spLocks noChangeAspect="1" noChangeArrowheads="1"/>
        </xdr:cNvSpPr>
      </xdr:nvSpPr>
      <xdr:spPr bwMode="auto">
        <a:xfrm>
          <a:off x="46110525" y="16697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50</xdr:row>
      <xdr:rowOff>0</xdr:rowOff>
    </xdr:from>
    <xdr:ext cx="304800" cy="304800"/>
    <xdr:sp macro="" textlink="">
      <xdr:nvSpPr>
        <xdr:cNvPr id="434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8100000}"/>
            </a:ext>
          </a:extLst>
        </xdr:cNvPr>
        <xdr:cNvSpPr>
          <a:spLocks noChangeAspect="1" noChangeArrowheads="1"/>
        </xdr:cNvSpPr>
      </xdr:nvSpPr>
      <xdr:spPr bwMode="auto">
        <a:xfrm>
          <a:off x="46110525" y="16992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50</xdr:row>
      <xdr:rowOff>0</xdr:rowOff>
    </xdr:from>
    <xdr:ext cx="304800" cy="304800"/>
    <xdr:sp macro="" textlink="">
      <xdr:nvSpPr>
        <xdr:cNvPr id="434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9100000}"/>
            </a:ext>
          </a:extLst>
        </xdr:cNvPr>
        <xdr:cNvSpPr>
          <a:spLocks noChangeAspect="1" noChangeArrowheads="1"/>
        </xdr:cNvSpPr>
      </xdr:nvSpPr>
      <xdr:spPr bwMode="auto">
        <a:xfrm>
          <a:off x="46110525" y="16992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51</xdr:row>
      <xdr:rowOff>0</xdr:rowOff>
    </xdr:from>
    <xdr:ext cx="304800" cy="304800"/>
    <xdr:sp macro="" textlink="">
      <xdr:nvSpPr>
        <xdr:cNvPr id="434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A100000}"/>
            </a:ext>
          </a:extLst>
        </xdr:cNvPr>
        <xdr:cNvSpPr>
          <a:spLocks noChangeAspect="1" noChangeArrowheads="1"/>
        </xdr:cNvSpPr>
      </xdr:nvSpPr>
      <xdr:spPr bwMode="auto">
        <a:xfrm>
          <a:off x="46110525" y="17287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51</xdr:row>
      <xdr:rowOff>0</xdr:rowOff>
    </xdr:from>
    <xdr:ext cx="304800" cy="304800"/>
    <xdr:sp macro="" textlink="">
      <xdr:nvSpPr>
        <xdr:cNvPr id="434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B100000}"/>
            </a:ext>
          </a:extLst>
        </xdr:cNvPr>
        <xdr:cNvSpPr>
          <a:spLocks noChangeAspect="1" noChangeArrowheads="1"/>
        </xdr:cNvSpPr>
      </xdr:nvSpPr>
      <xdr:spPr bwMode="auto">
        <a:xfrm>
          <a:off x="46110525" y="17287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52</xdr:row>
      <xdr:rowOff>0</xdr:rowOff>
    </xdr:from>
    <xdr:ext cx="304800" cy="304800"/>
    <xdr:sp macro="" textlink="">
      <xdr:nvSpPr>
        <xdr:cNvPr id="434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C100000}"/>
            </a:ext>
          </a:extLst>
        </xdr:cNvPr>
        <xdr:cNvSpPr>
          <a:spLocks noChangeAspect="1" noChangeArrowheads="1"/>
        </xdr:cNvSpPr>
      </xdr:nvSpPr>
      <xdr:spPr bwMode="auto">
        <a:xfrm>
          <a:off x="46110525" y="17583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52</xdr:row>
      <xdr:rowOff>0</xdr:rowOff>
    </xdr:from>
    <xdr:ext cx="304800" cy="304800"/>
    <xdr:sp macro="" textlink="">
      <xdr:nvSpPr>
        <xdr:cNvPr id="434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D100000}"/>
            </a:ext>
          </a:extLst>
        </xdr:cNvPr>
        <xdr:cNvSpPr>
          <a:spLocks noChangeAspect="1" noChangeArrowheads="1"/>
        </xdr:cNvSpPr>
      </xdr:nvSpPr>
      <xdr:spPr bwMode="auto">
        <a:xfrm>
          <a:off x="46110525" y="17583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53</xdr:row>
      <xdr:rowOff>0</xdr:rowOff>
    </xdr:from>
    <xdr:ext cx="304800" cy="304800"/>
    <xdr:sp macro="" textlink="">
      <xdr:nvSpPr>
        <xdr:cNvPr id="435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E100000}"/>
            </a:ext>
          </a:extLst>
        </xdr:cNvPr>
        <xdr:cNvSpPr>
          <a:spLocks noChangeAspect="1" noChangeArrowheads="1"/>
        </xdr:cNvSpPr>
      </xdr:nvSpPr>
      <xdr:spPr bwMode="auto">
        <a:xfrm>
          <a:off x="46110525" y="178784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53</xdr:row>
      <xdr:rowOff>0</xdr:rowOff>
    </xdr:from>
    <xdr:ext cx="304800" cy="304800"/>
    <xdr:sp macro="" textlink="">
      <xdr:nvSpPr>
        <xdr:cNvPr id="435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F100000}"/>
            </a:ext>
          </a:extLst>
        </xdr:cNvPr>
        <xdr:cNvSpPr>
          <a:spLocks noChangeAspect="1" noChangeArrowheads="1"/>
        </xdr:cNvSpPr>
      </xdr:nvSpPr>
      <xdr:spPr bwMode="auto">
        <a:xfrm>
          <a:off x="46110525" y="178784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54</xdr:row>
      <xdr:rowOff>0</xdr:rowOff>
    </xdr:from>
    <xdr:ext cx="304800" cy="304800"/>
    <xdr:sp macro="" textlink="">
      <xdr:nvSpPr>
        <xdr:cNvPr id="435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0110000}"/>
            </a:ext>
          </a:extLst>
        </xdr:cNvPr>
        <xdr:cNvSpPr>
          <a:spLocks noChangeAspect="1" noChangeArrowheads="1"/>
        </xdr:cNvSpPr>
      </xdr:nvSpPr>
      <xdr:spPr bwMode="auto">
        <a:xfrm>
          <a:off x="46110525" y="18173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54</xdr:row>
      <xdr:rowOff>0</xdr:rowOff>
    </xdr:from>
    <xdr:ext cx="304800" cy="304800"/>
    <xdr:sp macro="" textlink="">
      <xdr:nvSpPr>
        <xdr:cNvPr id="435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1110000}"/>
            </a:ext>
          </a:extLst>
        </xdr:cNvPr>
        <xdr:cNvSpPr>
          <a:spLocks noChangeAspect="1" noChangeArrowheads="1"/>
        </xdr:cNvSpPr>
      </xdr:nvSpPr>
      <xdr:spPr bwMode="auto">
        <a:xfrm>
          <a:off x="46110525" y="18173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55</xdr:row>
      <xdr:rowOff>0</xdr:rowOff>
    </xdr:from>
    <xdr:ext cx="304800" cy="304800"/>
    <xdr:sp macro="" textlink="">
      <xdr:nvSpPr>
        <xdr:cNvPr id="435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2110000}"/>
            </a:ext>
          </a:extLst>
        </xdr:cNvPr>
        <xdr:cNvSpPr>
          <a:spLocks noChangeAspect="1" noChangeArrowheads="1"/>
        </xdr:cNvSpPr>
      </xdr:nvSpPr>
      <xdr:spPr bwMode="auto">
        <a:xfrm>
          <a:off x="46110525" y="184689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55</xdr:row>
      <xdr:rowOff>0</xdr:rowOff>
    </xdr:from>
    <xdr:ext cx="304800" cy="304800"/>
    <xdr:sp macro="" textlink="">
      <xdr:nvSpPr>
        <xdr:cNvPr id="435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3110000}"/>
            </a:ext>
          </a:extLst>
        </xdr:cNvPr>
        <xdr:cNvSpPr>
          <a:spLocks noChangeAspect="1" noChangeArrowheads="1"/>
        </xdr:cNvSpPr>
      </xdr:nvSpPr>
      <xdr:spPr bwMode="auto">
        <a:xfrm>
          <a:off x="46110525" y="184689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56</xdr:row>
      <xdr:rowOff>0</xdr:rowOff>
    </xdr:from>
    <xdr:ext cx="304800" cy="304800"/>
    <xdr:sp macro="" textlink="">
      <xdr:nvSpPr>
        <xdr:cNvPr id="435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4110000}"/>
            </a:ext>
          </a:extLst>
        </xdr:cNvPr>
        <xdr:cNvSpPr>
          <a:spLocks noChangeAspect="1" noChangeArrowheads="1"/>
        </xdr:cNvSpPr>
      </xdr:nvSpPr>
      <xdr:spPr bwMode="auto">
        <a:xfrm>
          <a:off x="46110525" y="18764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56</xdr:row>
      <xdr:rowOff>0</xdr:rowOff>
    </xdr:from>
    <xdr:ext cx="304800" cy="304800"/>
    <xdr:sp macro="" textlink="">
      <xdr:nvSpPr>
        <xdr:cNvPr id="435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5110000}"/>
            </a:ext>
          </a:extLst>
        </xdr:cNvPr>
        <xdr:cNvSpPr>
          <a:spLocks noChangeAspect="1" noChangeArrowheads="1"/>
        </xdr:cNvSpPr>
      </xdr:nvSpPr>
      <xdr:spPr bwMode="auto">
        <a:xfrm>
          <a:off x="46110525" y="18764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57</xdr:row>
      <xdr:rowOff>0</xdr:rowOff>
    </xdr:from>
    <xdr:ext cx="304800" cy="304800"/>
    <xdr:sp macro="" textlink="">
      <xdr:nvSpPr>
        <xdr:cNvPr id="435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6110000}"/>
            </a:ext>
          </a:extLst>
        </xdr:cNvPr>
        <xdr:cNvSpPr>
          <a:spLocks noChangeAspect="1" noChangeArrowheads="1"/>
        </xdr:cNvSpPr>
      </xdr:nvSpPr>
      <xdr:spPr bwMode="auto">
        <a:xfrm>
          <a:off x="46110525" y="19059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57</xdr:row>
      <xdr:rowOff>0</xdr:rowOff>
    </xdr:from>
    <xdr:ext cx="304800" cy="304800"/>
    <xdr:sp macro="" textlink="">
      <xdr:nvSpPr>
        <xdr:cNvPr id="435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7110000}"/>
            </a:ext>
          </a:extLst>
        </xdr:cNvPr>
        <xdr:cNvSpPr>
          <a:spLocks noChangeAspect="1" noChangeArrowheads="1"/>
        </xdr:cNvSpPr>
      </xdr:nvSpPr>
      <xdr:spPr bwMode="auto">
        <a:xfrm>
          <a:off x="46110525" y="19059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58</xdr:row>
      <xdr:rowOff>0</xdr:rowOff>
    </xdr:from>
    <xdr:ext cx="304800" cy="304800"/>
    <xdr:sp macro="" textlink="">
      <xdr:nvSpPr>
        <xdr:cNvPr id="436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8110000}"/>
            </a:ext>
          </a:extLst>
        </xdr:cNvPr>
        <xdr:cNvSpPr>
          <a:spLocks noChangeAspect="1" noChangeArrowheads="1"/>
        </xdr:cNvSpPr>
      </xdr:nvSpPr>
      <xdr:spPr bwMode="auto">
        <a:xfrm>
          <a:off x="46110525" y="19354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58</xdr:row>
      <xdr:rowOff>0</xdr:rowOff>
    </xdr:from>
    <xdr:ext cx="304800" cy="304800"/>
    <xdr:sp macro="" textlink="">
      <xdr:nvSpPr>
        <xdr:cNvPr id="436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9110000}"/>
            </a:ext>
          </a:extLst>
        </xdr:cNvPr>
        <xdr:cNvSpPr>
          <a:spLocks noChangeAspect="1" noChangeArrowheads="1"/>
        </xdr:cNvSpPr>
      </xdr:nvSpPr>
      <xdr:spPr bwMode="auto">
        <a:xfrm>
          <a:off x="46110525" y="19354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59</xdr:row>
      <xdr:rowOff>0</xdr:rowOff>
    </xdr:from>
    <xdr:ext cx="304800" cy="304800"/>
    <xdr:sp macro="" textlink="">
      <xdr:nvSpPr>
        <xdr:cNvPr id="436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A110000}"/>
            </a:ext>
          </a:extLst>
        </xdr:cNvPr>
        <xdr:cNvSpPr>
          <a:spLocks noChangeAspect="1" noChangeArrowheads="1"/>
        </xdr:cNvSpPr>
      </xdr:nvSpPr>
      <xdr:spPr bwMode="auto">
        <a:xfrm>
          <a:off x="46110525" y="19650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59</xdr:row>
      <xdr:rowOff>0</xdr:rowOff>
    </xdr:from>
    <xdr:ext cx="304800" cy="304800"/>
    <xdr:sp macro="" textlink="">
      <xdr:nvSpPr>
        <xdr:cNvPr id="436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B110000}"/>
            </a:ext>
          </a:extLst>
        </xdr:cNvPr>
        <xdr:cNvSpPr>
          <a:spLocks noChangeAspect="1" noChangeArrowheads="1"/>
        </xdr:cNvSpPr>
      </xdr:nvSpPr>
      <xdr:spPr bwMode="auto">
        <a:xfrm>
          <a:off x="46110525" y="19650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60</xdr:row>
      <xdr:rowOff>0</xdr:rowOff>
    </xdr:from>
    <xdr:ext cx="304800" cy="304800"/>
    <xdr:sp macro="" textlink="">
      <xdr:nvSpPr>
        <xdr:cNvPr id="436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C110000}"/>
            </a:ext>
          </a:extLst>
        </xdr:cNvPr>
        <xdr:cNvSpPr>
          <a:spLocks noChangeAspect="1" noChangeArrowheads="1"/>
        </xdr:cNvSpPr>
      </xdr:nvSpPr>
      <xdr:spPr bwMode="auto">
        <a:xfrm>
          <a:off x="46110525" y="19945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60</xdr:row>
      <xdr:rowOff>0</xdr:rowOff>
    </xdr:from>
    <xdr:ext cx="304800" cy="304800"/>
    <xdr:sp macro="" textlink="">
      <xdr:nvSpPr>
        <xdr:cNvPr id="436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D110000}"/>
            </a:ext>
          </a:extLst>
        </xdr:cNvPr>
        <xdr:cNvSpPr>
          <a:spLocks noChangeAspect="1" noChangeArrowheads="1"/>
        </xdr:cNvSpPr>
      </xdr:nvSpPr>
      <xdr:spPr bwMode="auto">
        <a:xfrm>
          <a:off x="46110525" y="19945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61</xdr:row>
      <xdr:rowOff>0</xdr:rowOff>
    </xdr:from>
    <xdr:ext cx="304800" cy="304800"/>
    <xdr:sp macro="" textlink="">
      <xdr:nvSpPr>
        <xdr:cNvPr id="436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E110000}"/>
            </a:ext>
          </a:extLst>
        </xdr:cNvPr>
        <xdr:cNvSpPr>
          <a:spLocks noChangeAspect="1" noChangeArrowheads="1"/>
        </xdr:cNvSpPr>
      </xdr:nvSpPr>
      <xdr:spPr bwMode="auto">
        <a:xfrm>
          <a:off x="46110525" y="20240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61</xdr:row>
      <xdr:rowOff>0</xdr:rowOff>
    </xdr:from>
    <xdr:ext cx="304800" cy="304800"/>
    <xdr:sp macro="" textlink="">
      <xdr:nvSpPr>
        <xdr:cNvPr id="436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F110000}"/>
            </a:ext>
          </a:extLst>
        </xdr:cNvPr>
        <xdr:cNvSpPr>
          <a:spLocks noChangeAspect="1" noChangeArrowheads="1"/>
        </xdr:cNvSpPr>
      </xdr:nvSpPr>
      <xdr:spPr bwMode="auto">
        <a:xfrm>
          <a:off x="46110525" y="20240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62</xdr:row>
      <xdr:rowOff>0</xdr:rowOff>
    </xdr:from>
    <xdr:ext cx="304800" cy="304800"/>
    <xdr:sp macro="" textlink="">
      <xdr:nvSpPr>
        <xdr:cNvPr id="436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0110000}"/>
            </a:ext>
          </a:extLst>
        </xdr:cNvPr>
        <xdr:cNvSpPr>
          <a:spLocks noChangeAspect="1" noChangeArrowheads="1"/>
        </xdr:cNvSpPr>
      </xdr:nvSpPr>
      <xdr:spPr bwMode="auto">
        <a:xfrm>
          <a:off x="46110525" y="20535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62</xdr:row>
      <xdr:rowOff>0</xdr:rowOff>
    </xdr:from>
    <xdr:ext cx="304800" cy="304800"/>
    <xdr:sp macro="" textlink="">
      <xdr:nvSpPr>
        <xdr:cNvPr id="436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1110000}"/>
            </a:ext>
          </a:extLst>
        </xdr:cNvPr>
        <xdr:cNvSpPr>
          <a:spLocks noChangeAspect="1" noChangeArrowheads="1"/>
        </xdr:cNvSpPr>
      </xdr:nvSpPr>
      <xdr:spPr bwMode="auto">
        <a:xfrm>
          <a:off x="46110525" y="20535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63</xdr:row>
      <xdr:rowOff>0</xdr:rowOff>
    </xdr:from>
    <xdr:ext cx="304800" cy="304800"/>
    <xdr:sp macro="" textlink="">
      <xdr:nvSpPr>
        <xdr:cNvPr id="437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2110000}"/>
            </a:ext>
          </a:extLst>
        </xdr:cNvPr>
        <xdr:cNvSpPr>
          <a:spLocks noChangeAspect="1" noChangeArrowheads="1"/>
        </xdr:cNvSpPr>
      </xdr:nvSpPr>
      <xdr:spPr bwMode="auto">
        <a:xfrm>
          <a:off x="46110525" y="208311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63</xdr:row>
      <xdr:rowOff>0</xdr:rowOff>
    </xdr:from>
    <xdr:ext cx="304800" cy="304800"/>
    <xdr:sp macro="" textlink="">
      <xdr:nvSpPr>
        <xdr:cNvPr id="437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3110000}"/>
            </a:ext>
          </a:extLst>
        </xdr:cNvPr>
        <xdr:cNvSpPr>
          <a:spLocks noChangeAspect="1" noChangeArrowheads="1"/>
        </xdr:cNvSpPr>
      </xdr:nvSpPr>
      <xdr:spPr bwMode="auto">
        <a:xfrm>
          <a:off x="46110525" y="208311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64</xdr:row>
      <xdr:rowOff>0</xdr:rowOff>
    </xdr:from>
    <xdr:ext cx="304800" cy="304800"/>
    <xdr:sp macro="" textlink="">
      <xdr:nvSpPr>
        <xdr:cNvPr id="437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4110000}"/>
            </a:ext>
          </a:extLst>
        </xdr:cNvPr>
        <xdr:cNvSpPr>
          <a:spLocks noChangeAspect="1" noChangeArrowheads="1"/>
        </xdr:cNvSpPr>
      </xdr:nvSpPr>
      <xdr:spPr bwMode="auto">
        <a:xfrm>
          <a:off x="46110525" y="21126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64</xdr:row>
      <xdr:rowOff>0</xdr:rowOff>
    </xdr:from>
    <xdr:ext cx="304800" cy="304800"/>
    <xdr:sp macro="" textlink="">
      <xdr:nvSpPr>
        <xdr:cNvPr id="437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5110000}"/>
            </a:ext>
          </a:extLst>
        </xdr:cNvPr>
        <xdr:cNvSpPr>
          <a:spLocks noChangeAspect="1" noChangeArrowheads="1"/>
        </xdr:cNvSpPr>
      </xdr:nvSpPr>
      <xdr:spPr bwMode="auto">
        <a:xfrm>
          <a:off x="46110525" y="21126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65</xdr:row>
      <xdr:rowOff>0</xdr:rowOff>
    </xdr:from>
    <xdr:ext cx="304800" cy="304800"/>
    <xdr:sp macro="" textlink="">
      <xdr:nvSpPr>
        <xdr:cNvPr id="437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6110000}"/>
            </a:ext>
          </a:extLst>
        </xdr:cNvPr>
        <xdr:cNvSpPr>
          <a:spLocks noChangeAspect="1" noChangeArrowheads="1"/>
        </xdr:cNvSpPr>
      </xdr:nvSpPr>
      <xdr:spPr bwMode="auto">
        <a:xfrm>
          <a:off x="46110525" y="214217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65</xdr:row>
      <xdr:rowOff>0</xdr:rowOff>
    </xdr:from>
    <xdr:ext cx="304800" cy="304800"/>
    <xdr:sp macro="" textlink="">
      <xdr:nvSpPr>
        <xdr:cNvPr id="437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7110000}"/>
            </a:ext>
          </a:extLst>
        </xdr:cNvPr>
        <xdr:cNvSpPr>
          <a:spLocks noChangeAspect="1" noChangeArrowheads="1"/>
        </xdr:cNvSpPr>
      </xdr:nvSpPr>
      <xdr:spPr bwMode="auto">
        <a:xfrm>
          <a:off x="46110525" y="214217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66</xdr:row>
      <xdr:rowOff>0</xdr:rowOff>
    </xdr:from>
    <xdr:ext cx="304800" cy="304800"/>
    <xdr:sp macro="" textlink="">
      <xdr:nvSpPr>
        <xdr:cNvPr id="437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8110000}"/>
            </a:ext>
          </a:extLst>
        </xdr:cNvPr>
        <xdr:cNvSpPr>
          <a:spLocks noChangeAspect="1" noChangeArrowheads="1"/>
        </xdr:cNvSpPr>
      </xdr:nvSpPr>
      <xdr:spPr bwMode="auto">
        <a:xfrm>
          <a:off x="46110525" y="2171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66</xdr:row>
      <xdr:rowOff>0</xdr:rowOff>
    </xdr:from>
    <xdr:ext cx="304800" cy="304800"/>
    <xdr:sp macro="" textlink="">
      <xdr:nvSpPr>
        <xdr:cNvPr id="437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9110000}"/>
            </a:ext>
          </a:extLst>
        </xdr:cNvPr>
        <xdr:cNvSpPr>
          <a:spLocks noChangeAspect="1" noChangeArrowheads="1"/>
        </xdr:cNvSpPr>
      </xdr:nvSpPr>
      <xdr:spPr bwMode="auto">
        <a:xfrm>
          <a:off x="46110525" y="2171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67</xdr:row>
      <xdr:rowOff>0</xdr:rowOff>
    </xdr:from>
    <xdr:ext cx="304800" cy="304800"/>
    <xdr:sp macro="" textlink="">
      <xdr:nvSpPr>
        <xdr:cNvPr id="437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A110000}"/>
            </a:ext>
          </a:extLst>
        </xdr:cNvPr>
        <xdr:cNvSpPr>
          <a:spLocks noChangeAspect="1" noChangeArrowheads="1"/>
        </xdr:cNvSpPr>
      </xdr:nvSpPr>
      <xdr:spPr bwMode="auto">
        <a:xfrm>
          <a:off x="46110525" y="220122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67</xdr:row>
      <xdr:rowOff>0</xdr:rowOff>
    </xdr:from>
    <xdr:ext cx="304800" cy="304800"/>
    <xdr:sp macro="" textlink="">
      <xdr:nvSpPr>
        <xdr:cNvPr id="437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B110000}"/>
            </a:ext>
          </a:extLst>
        </xdr:cNvPr>
        <xdr:cNvSpPr>
          <a:spLocks noChangeAspect="1" noChangeArrowheads="1"/>
        </xdr:cNvSpPr>
      </xdr:nvSpPr>
      <xdr:spPr bwMode="auto">
        <a:xfrm>
          <a:off x="46110525" y="220122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68</xdr:row>
      <xdr:rowOff>0</xdr:rowOff>
    </xdr:from>
    <xdr:ext cx="304800" cy="304800"/>
    <xdr:sp macro="" textlink="">
      <xdr:nvSpPr>
        <xdr:cNvPr id="438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C110000}"/>
            </a:ext>
          </a:extLst>
        </xdr:cNvPr>
        <xdr:cNvSpPr>
          <a:spLocks noChangeAspect="1" noChangeArrowheads="1"/>
        </xdr:cNvSpPr>
      </xdr:nvSpPr>
      <xdr:spPr bwMode="auto">
        <a:xfrm>
          <a:off x="46110525" y="22307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68</xdr:row>
      <xdr:rowOff>0</xdr:rowOff>
    </xdr:from>
    <xdr:ext cx="304800" cy="304800"/>
    <xdr:sp macro="" textlink="">
      <xdr:nvSpPr>
        <xdr:cNvPr id="438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D110000}"/>
            </a:ext>
          </a:extLst>
        </xdr:cNvPr>
        <xdr:cNvSpPr>
          <a:spLocks noChangeAspect="1" noChangeArrowheads="1"/>
        </xdr:cNvSpPr>
      </xdr:nvSpPr>
      <xdr:spPr bwMode="auto">
        <a:xfrm>
          <a:off x="46110525" y="22307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69</xdr:row>
      <xdr:rowOff>0</xdr:rowOff>
    </xdr:from>
    <xdr:ext cx="304800" cy="304800"/>
    <xdr:sp macro="" textlink="">
      <xdr:nvSpPr>
        <xdr:cNvPr id="438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E110000}"/>
            </a:ext>
          </a:extLst>
        </xdr:cNvPr>
        <xdr:cNvSpPr>
          <a:spLocks noChangeAspect="1" noChangeArrowheads="1"/>
        </xdr:cNvSpPr>
      </xdr:nvSpPr>
      <xdr:spPr bwMode="auto">
        <a:xfrm>
          <a:off x="46110525" y="22602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69</xdr:row>
      <xdr:rowOff>0</xdr:rowOff>
    </xdr:from>
    <xdr:ext cx="304800" cy="304800"/>
    <xdr:sp macro="" textlink="">
      <xdr:nvSpPr>
        <xdr:cNvPr id="438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F110000}"/>
            </a:ext>
          </a:extLst>
        </xdr:cNvPr>
        <xdr:cNvSpPr>
          <a:spLocks noChangeAspect="1" noChangeArrowheads="1"/>
        </xdr:cNvSpPr>
      </xdr:nvSpPr>
      <xdr:spPr bwMode="auto">
        <a:xfrm>
          <a:off x="46110525" y="22602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70</xdr:row>
      <xdr:rowOff>0</xdr:rowOff>
    </xdr:from>
    <xdr:ext cx="304800" cy="304800"/>
    <xdr:sp macro="" textlink="">
      <xdr:nvSpPr>
        <xdr:cNvPr id="438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0110000}"/>
            </a:ext>
          </a:extLst>
        </xdr:cNvPr>
        <xdr:cNvSpPr>
          <a:spLocks noChangeAspect="1" noChangeArrowheads="1"/>
        </xdr:cNvSpPr>
      </xdr:nvSpPr>
      <xdr:spPr bwMode="auto">
        <a:xfrm>
          <a:off x="46110525" y="22898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70</xdr:row>
      <xdr:rowOff>0</xdr:rowOff>
    </xdr:from>
    <xdr:ext cx="304800" cy="304800"/>
    <xdr:sp macro="" textlink="">
      <xdr:nvSpPr>
        <xdr:cNvPr id="438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1110000}"/>
            </a:ext>
          </a:extLst>
        </xdr:cNvPr>
        <xdr:cNvSpPr>
          <a:spLocks noChangeAspect="1" noChangeArrowheads="1"/>
        </xdr:cNvSpPr>
      </xdr:nvSpPr>
      <xdr:spPr bwMode="auto">
        <a:xfrm>
          <a:off x="46110525" y="22898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71</xdr:row>
      <xdr:rowOff>0</xdr:rowOff>
    </xdr:from>
    <xdr:ext cx="304800" cy="304800"/>
    <xdr:sp macro="" textlink="">
      <xdr:nvSpPr>
        <xdr:cNvPr id="438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2110000}"/>
            </a:ext>
          </a:extLst>
        </xdr:cNvPr>
        <xdr:cNvSpPr>
          <a:spLocks noChangeAspect="1" noChangeArrowheads="1"/>
        </xdr:cNvSpPr>
      </xdr:nvSpPr>
      <xdr:spPr bwMode="auto">
        <a:xfrm>
          <a:off x="46110525" y="23193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71</xdr:row>
      <xdr:rowOff>0</xdr:rowOff>
    </xdr:from>
    <xdr:ext cx="304800" cy="304800"/>
    <xdr:sp macro="" textlink="">
      <xdr:nvSpPr>
        <xdr:cNvPr id="438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3110000}"/>
            </a:ext>
          </a:extLst>
        </xdr:cNvPr>
        <xdr:cNvSpPr>
          <a:spLocks noChangeAspect="1" noChangeArrowheads="1"/>
        </xdr:cNvSpPr>
      </xdr:nvSpPr>
      <xdr:spPr bwMode="auto">
        <a:xfrm>
          <a:off x="46110525" y="23193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38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4110000}"/>
            </a:ext>
          </a:extLst>
        </xdr:cNvPr>
        <xdr:cNvSpPr>
          <a:spLocks noChangeAspect="1" noChangeArrowheads="1"/>
        </xdr:cNvSpPr>
      </xdr:nvSpPr>
      <xdr:spPr bwMode="auto">
        <a:xfrm>
          <a:off x="46110525" y="23488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38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5110000}"/>
            </a:ext>
          </a:extLst>
        </xdr:cNvPr>
        <xdr:cNvSpPr>
          <a:spLocks noChangeAspect="1" noChangeArrowheads="1"/>
        </xdr:cNvSpPr>
      </xdr:nvSpPr>
      <xdr:spPr bwMode="auto">
        <a:xfrm>
          <a:off x="46110525" y="23488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39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6110000}"/>
            </a:ext>
          </a:extLst>
        </xdr:cNvPr>
        <xdr:cNvSpPr>
          <a:spLocks noChangeAspect="1" noChangeArrowheads="1"/>
        </xdr:cNvSpPr>
      </xdr:nvSpPr>
      <xdr:spPr bwMode="auto">
        <a:xfrm>
          <a:off x="46110525" y="237839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39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7110000}"/>
            </a:ext>
          </a:extLst>
        </xdr:cNvPr>
        <xdr:cNvSpPr>
          <a:spLocks noChangeAspect="1" noChangeArrowheads="1"/>
        </xdr:cNvSpPr>
      </xdr:nvSpPr>
      <xdr:spPr bwMode="auto">
        <a:xfrm>
          <a:off x="46110525" y="237839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39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8110000}"/>
            </a:ext>
          </a:extLst>
        </xdr:cNvPr>
        <xdr:cNvSpPr>
          <a:spLocks noChangeAspect="1" noChangeArrowheads="1"/>
        </xdr:cNvSpPr>
      </xdr:nvSpPr>
      <xdr:spPr bwMode="auto">
        <a:xfrm>
          <a:off x="46110525" y="2407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39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9110000}"/>
            </a:ext>
          </a:extLst>
        </xdr:cNvPr>
        <xdr:cNvSpPr>
          <a:spLocks noChangeAspect="1" noChangeArrowheads="1"/>
        </xdr:cNvSpPr>
      </xdr:nvSpPr>
      <xdr:spPr bwMode="auto">
        <a:xfrm>
          <a:off x="46110525" y="2407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39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A110000}"/>
            </a:ext>
          </a:extLst>
        </xdr:cNvPr>
        <xdr:cNvSpPr>
          <a:spLocks noChangeAspect="1" noChangeArrowheads="1"/>
        </xdr:cNvSpPr>
      </xdr:nvSpPr>
      <xdr:spPr bwMode="auto">
        <a:xfrm>
          <a:off x="46110525" y="243744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39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B110000}"/>
            </a:ext>
          </a:extLst>
        </xdr:cNvPr>
        <xdr:cNvSpPr>
          <a:spLocks noChangeAspect="1" noChangeArrowheads="1"/>
        </xdr:cNvSpPr>
      </xdr:nvSpPr>
      <xdr:spPr bwMode="auto">
        <a:xfrm>
          <a:off x="46110525" y="243744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39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C110000}"/>
            </a:ext>
          </a:extLst>
        </xdr:cNvPr>
        <xdr:cNvSpPr>
          <a:spLocks noChangeAspect="1" noChangeArrowheads="1"/>
        </xdr:cNvSpPr>
      </xdr:nvSpPr>
      <xdr:spPr bwMode="auto">
        <a:xfrm>
          <a:off x="46110525" y="24669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39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D110000}"/>
            </a:ext>
          </a:extLst>
        </xdr:cNvPr>
        <xdr:cNvSpPr>
          <a:spLocks noChangeAspect="1" noChangeArrowheads="1"/>
        </xdr:cNvSpPr>
      </xdr:nvSpPr>
      <xdr:spPr bwMode="auto">
        <a:xfrm>
          <a:off x="46110525" y="24669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39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E110000}"/>
            </a:ext>
          </a:extLst>
        </xdr:cNvPr>
        <xdr:cNvSpPr>
          <a:spLocks noChangeAspect="1" noChangeArrowheads="1"/>
        </xdr:cNvSpPr>
      </xdr:nvSpPr>
      <xdr:spPr bwMode="auto">
        <a:xfrm>
          <a:off x="46110525" y="24965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39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F110000}"/>
            </a:ext>
          </a:extLst>
        </xdr:cNvPr>
        <xdr:cNvSpPr>
          <a:spLocks noChangeAspect="1" noChangeArrowheads="1"/>
        </xdr:cNvSpPr>
      </xdr:nvSpPr>
      <xdr:spPr bwMode="auto">
        <a:xfrm>
          <a:off x="46110525" y="24965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40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0110000}"/>
            </a:ext>
          </a:extLst>
        </xdr:cNvPr>
        <xdr:cNvSpPr>
          <a:spLocks noChangeAspect="1" noChangeArrowheads="1"/>
        </xdr:cNvSpPr>
      </xdr:nvSpPr>
      <xdr:spPr bwMode="auto">
        <a:xfrm>
          <a:off x="46110525" y="25260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40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1110000}"/>
            </a:ext>
          </a:extLst>
        </xdr:cNvPr>
        <xdr:cNvSpPr>
          <a:spLocks noChangeAspect="1" noChangeArrowheads="1"/>
        </xdr:cNvSpPr>
      </xdr:nvSpPr>
      <xdr:spPr bwMode="auto">
        <a:xfrm>
          <a:off x="46110525" y="25260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40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2110000}"/>
            </a:ext>
          </a:extLst>
        </xdr:cNvPr>
        <xdr:cNvSpPr>
          <a:spLocks noChangeAspect="1" noChangeArrowheads="1"/>
        </xdr:cNvSpPr>
      </xdr:nvSpPr>
      <xdr:spPr bwMode="auto">
        <a:xfrm>
          <a:off x="46110525" y="25555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40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3110000}"/>
            </a:ext>
          </a:extLst>
        </xdr:cNvPr>
        <xdr:cNvSpPr>
          <a:spLocks noChangeAspect="1" noChangeArrowheads="1"/>
        </xdr:cNvSpPr>
      </xdr:nvSpPr>
      <xdr:spPr bwMode="auto">
        <a:xfrm>
          <a:off x="46110525" y="25555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40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4110000}"/>
            </a:ext>
          </a:extLst>
        </xdr:cNvPr>
        <xdr:cNvSpPr>
          <a:spLocks noChangeAspect="1" noChangeArrowheads="1"/>
        </xdr:cNvSpPr>
      </xdr:nvSpPr>
      <xdr:spPr bwMode="auto">
        <a:xfrm>
          <a:off x="46110525" y="25850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40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5110000}"/>
            </a:ext>
          </a:extLst>
        </xdr:cNvPr>
        <xdr:cNvSpPr>
          <a:spLocks noChangeAspect="1" noChangeArrowheads="1"/>
        </xdr:cNvSpPr>
      </xdr:nvSpPr>
      <xdr:spPr bwMode="auto">
        <a:xfrm>
          <a:off x="46110525" y="25850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40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6110000}"/>
            </a:ext>
          </a:extLst>
        </xdr:cNvPr>
        <xdr:cNvSpPr>
          <a:spLocks noChangeAspect="1" noChangeArrowheads="1"/>
        </xdr:cNvSpPr>
      </xdr:nvSpPr>
      <xdr:spPr bwMode="auto">
        <a:xfrm>
          <a:off x="46110525" y="261461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40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7110000}"/>
            </a:ext>
          </a:extLst>
        </xdr:cNvPr>
        <xdr:cNvSpPr>
          <a:spLocks noChangeAspect="1" noChangeArrowheads="1"/>
        </xdr:cNvSpPr>
      </xdr:nvSpPr>
      <xdr:spPr bwMode="auto">
        <a:xfrm>
          <a:off x="46110525" y="261461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40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8110000}"/>
            </a:ext>
          </a:extLst>
        </xdr:cNvPr>
        <xdr:cNvSpPr>
          <a:spLocks noChangeAspect="1" noChangeArrowheads="1"/>
        </xdr:cNvSpPr>
      </xdr:nvSpPr>
      <xdr:spPr bwMode="auto">
        <a:xfrm>
          <a:off x="46110525" y="26441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40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9110000}"/>
            </a:ext>
          </a:extLst>
        </xdr:cNvPr>
        <xdr:cNvSpPr>
          <a:spLocks noChangeAspect="1" noChangeArrowheads="1"/>
        </xdr:cNvSpPr>
      </xdr:nvSpPr>
      <xdr:spPr bwMode="auto">
        <a:xfrm>
          <a:off x="46110525" y="26441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41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A110000}"/>
            </a:ext>
          </a:extLst>
        </xdr:cNvPr>
        <xdr:cNvSpPr>
          <a:spLocks noChangeAspect="1" noChangeArrowheads="1"/>
        </xdr:cNvSpPr>
      </xdr:nvSpPr>
      <xdr:spPr bwMode="auto">
        <a:xfrm>
          <a:off x="46110525" y="267366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41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B110000}"/>
            </a:ext>
          </a:extLst>
        </xdr:cNvPr>
        <xdr:cNvSpPr>
          <a:spLocks noChangeAspect="1" noChangeArrowheads="1"/>
        </xdr:cNvSpPr>
      </xdr:nvSpPr>
      <xdr:spPr bwMode="auto">
        <a:xfrm>
          <a:off x="46110525" y="267366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41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C110000}"/>
            </a:ext>
          </a:extLst>
        </xdr:cNvPr>
        <xdr:cNvSpPr>
          <a:spLocks noChangeAspect="1" noChangeArrowheads="1"/>
        </xdr:cNvSpPr>
      </xdr:nvSpPr>
      <xdr:spPr bwMode="auto">
        <a:xfrm>
          <a:off x="46110525" y="27031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41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D110000}"/>
            </a:ext>
          </a:extLst>
        </xdr:cNvPr>
        <xdr:cNvSpPr>
          <a:spLocks noChangeAspect="1" noChangeArrowheads="1"/>
        </xdr:cNvSpPr>
      </xdr:nvSpPr>
      <xdr:spPr bwMode="auto">
        <a:xfrm>
          <a:off x="46110525" y="27031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41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E110000}"/>
            </a:ext>
          </a:extLst>
        </xdr:cNvPr>
        <xdr:cNvSpPr>
          <a:spLocks noChangeAspect="1" noChangeArrowheads="1"/>
        </xdr:cNvSpPr>
      </xdr:nvSpPr>
      <xdr:spPr bwMode="auto">
        <a:xfrm>
          <a:off x="46110525" y="27327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41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F110000}"/>
            </a:ext>
          </a:extLst>
        </xdr:cNvPr>
        <xdr:cNvSpPr>
          <a:spLocks noChangeAspect="1" noChangeArrowheads="1"/>
        </xdr:cNvSpPr>
      </xdr:nvSpPr>
      <xdr:spPr bwMode="auto">
        <a:xfrm>
          <a:off x="46110525" y="27327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41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0110000}"/>
            </a:ext>
          </a:extLst>
        </xdr:cNvPr>
        <xdr:cNvSpPr>
          <a:spLocks noChangeAspect="1" noChangeArrowheads="1"/>
        </xdr:cNvSpPr>
      </xdr:nvSpPr>
      <xdr:spPr bwMode="auto">
        <a:xfrm>
          <a:off x="46110525" y="2762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41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1110000}"/>
            </a:ext>
          </a:extLst>
        </xdr:cNvPr>
        <xdr:cNvSpPr>
          <a:spLocks noChangeAspect="1" noChangeArrowheads="1"/>
        </xdr:cNvSpPr>
      </xdr:nvSpPr>
      <xdr:spPr bwMode="auto">
        <a:xfrm>
          <a:off x="46110525" y="2762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41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2110000}"/>
            </a:ext>
          </a:extLst>
        </xdr:cNvPr>
        <xdr:cNvSpPr>
          <a:spLocks noChangeAspect="1" noChangeArrowheads="1"/>
        </xdr:cNvSpPr>
      </xdr:nvSpPr>
      <xdr:spPr bwMode="auto">
        <a:xfrm>
          <a:off x="46110525" y="279177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41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3110000}"/>
            </a:ext>
          </a:extLst>
        </xdr:cNvPr>
        <xdr:cNvSpPr>
          <a:spLocks noChangeAspect="1" noChangeArrowheads="1"/>
        </xdr:cNvSpPr>
      </xdr:nvSpPr>
      <xdr:spPr bwMode="auto">
        <a:xfrm>
          <a:off x="46110525" y="279177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42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4110000}"/>
            </a:ext>
          </a:extLst>
        </xdr:cNvPr>
        <xdr:cNvSpPr>
          <a:spLocks noChangeAspect="1" noChangeArrowheads="1"/>
        </xdr:cNvSpPr>
      </xdr:nvSpPr>
      <xdr:spPr bwMode="auto">
        <a:xfrm>
          <a:off x="46110525" y="28213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42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5110000}"/>
            </a:ext>
          </a:extLst>
        </xdr:cNvPr>
        <xdr:cNvSpPr>
          <a:spLocks noChangeAspect="1" noChangeArrowheads="1"/>
        </xdr:cNvSpPr>
      </xdr:nvSpPr>
      <xdr:spPr bwMode="auto">
        <a:xfrm>
          <a:off x="46110525" y="28213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42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6110000}"/>
            </a:ext>
          </a:extLst>
        </xdr:cNvPr>
        <xdr:cNvSpPr>
          <a:spLocks noChangeAspect="1" noChangeArrowheads="1"/>
        </xdr:cNvSpPr>
      </xdr:nvSpPr>
      <xdr:spPr bwMode="auto">
        <a:xfrm>
          <a:off x="46110525" y="28508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42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7110000}"/>
            </a:ext>
          </a:extLst>
        </xdr:cNvPr>
        <xdr:cNvSpPr>
          <a:spLocks noChangeAspect="1" noChangeArrowheads="1"/>
        </xdr:cNvSpPr>
      </xdr:nvSpPr>
      <xdr:spPr bwMode="auto">
        <a:xfrm>
          <a:off x="46110525" y="28508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42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8110000}"/>
            </a:ext>
          </a:extLst>
        </xdr:cNvPr>
        <xdr:cNvSpPr>
          <a:spLocks noChangeAspect="1" noChangeArrowheads="1"/>
        </xdr:cNvSpPr>
      </xdr:nvSpPr>
      <xdr:spPr bwMode="auto">
        <a:xfrm>
          <a:off x="46110525" y="28803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42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9110000}"/>
            </a:ext>
          </a:extLst>
        </xdr:cNvPr>
        <xdr:cNvSpPr>
          <a:spLocks noChangeAspect="1" noChangeArrowheads="1"/>
        </xdr:cNvSpPr>
      </xdr:nvSpPr>
      <xdr:spPr bwMode="auto">
        <a:xfrm>
          <a:off x="46110525" y="28803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42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A110000}"/>
            </a:ext>
          </a:extLst>
        </xdr:cNvPr>
        <xdr:cNvSpPr>
          <a:spLocks noChangeAspect="1" noChangeArrowheads="1"/>
        </xdr:cNvSpPr>
      </xdr:nvSpPr>
      <xdr:spPr bwMode="auto">
        <a:xfrm>
          <a:off x="46110525" y="29098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42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B110000}"/>
            </a:ext>
          </a:extLst>
        </xdr:cNvPr>
        <xdr:cNvSpPr>
          <a:spLocks noChangeAspect="1" noChangeArrowheads="1"/>
        </xdr:cNvSpPr>
      </xdr:nvSpPr>
      <xdr:spPr bwMode="auto">
        <a:xfrm>
          <a:off x="46110525" y="29098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42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C110000}"/>
            </a:ext>
          </a:extLst>
        </xdr:cNvPr>
        <xdr:cNvSpPr>
          <a:spLocks noChangeAspect="1" noChangeArrowheads="1"/>
        </xdr:cNvSpPr>
      </xdr:nvSpPr>
      <xdr:spPr bwMode="auto">
        <a:xfrm>
          <a:off x="46110525" y="29394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42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D110000}"/>
            </a:ext>
          </a:extLst>
        </xdr:cNvPr>
        <xdr:cNvSpPr>
          <a:spLocks noChangeAspect="1" noChangeArrowheads="1"/>
        </xdr:cNvSpPr>
      </xdr:nvSpPr>
      <xdr:spPr bwMode="auto">
        <a:xfrm>
          <a:off x="46110525" y="29394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43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E110000}"/>
            </a:ext>
          </a:extLst>
        </xdr:cNvPr>
        <xdr:cNvSpPr>
          <a:spLocks noChangeAspect="1" noChangeArrowheads="1"/>
        </xdr:cNvSpPr>
      </xdr:nvSpPr>
      <xdr:spPr bwMode="auto">
        <a:xfrm>
          <a:off x="46110525" y="296894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43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F110000}"/>
            </a:ext>
          </a:extLst>
        </xdr:cNvPr>
        <xdr:cNvSpPr>
          <a:spLocks noChangeAspect="1" noChangeArrowheads="1"/>
        </xdr:cNvSpPr>
      </xdr:nvSpPr>
      <xdr:spPr bwMode="auto">
        <a:xfrm>
          <a:off x="46110525" y="296894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43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0110000}"/>
            </a:ext>
          </a:extLst>
        </xdr:cNvPr>
        <xdr:cNvSpPr>
          <a:spLocks noChangeAspect="1" noChangeArrowheads="1"/>
        </xdr:cNvSpPr>
      </xdr:nvSpPr>
      <xdr:spPr bwMode="auto">
        <a:xfrm>
          <a:off x="46110525" y="29984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43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1110000}"/>
            </a:ext>
          </a:extLst>
        </xdr:cNvPr>
        <xdr:cNvSpPr>
          <a:spLocks noChangeAspect="1" noChangeArrowheads="1"/>
        </xdr:cNvSpPr>
      </xdr:nvSpPr>
      <xdr:spPr bwMode="auto">
        <a:xfrm>
          <a:off x="46110525" y="29984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43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2110000}"/>
            </a:ext>
          </a:extLst>
        </xdr:cNvPr>
        <xdr:cNvSpPr>
          <a:spLocks noChangeAspect="1" noChangeArrowheads="1"/>
        </xdr:cNvSpPr>
      </xdr:nvSpPr>
      <xdr:spPr bwMode="auto">
        <a:xfrm>
          <a:off x="46110525" y="302799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43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3110000}"/>
            </a:ext>
          </a:extLst>
        </xdr:cNvPr>
        <xdr:cNvSpPr>
          <a:spLocks noChangeAspect="1" noChangeArrowheads="1"/>
        </xdr:cNvSpPr>
      </xdr:nvSpPr>
      <xdr:spPr bwMode="auto">
        <a:xfrm>
          <a:off x="46110525" y="302799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43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4110000}"/>
            </a:ext>
          </a:extLst>
        </xdr:cNvPr>
        <xdr:cNvSpPr>
          <a:spLocks noChangeAspect="1" noChangeArrowheads="1"/>
        </xdr:cNvSpPr>
      </xdr:nvSpPr>
      <xdr:spPr bwMode="auto">
        <a:xfrm>
          <a:off x="46110525" y="30575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43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5110000}"/>
            </a:ext>
          </a:extLst>
        </xdr:cNvPr>
        <xdr:cNvSpPr>
          <a:spLocks noChangeAspect="1" noChangeArrowheads="1"/>
        </xdr:cNvSpPr>
      </xdr:nvSpPr>
      <xdr:spPr bwMode="auto">
        <a:xfrm>
          <a:off x="46110525" y="30575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43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6110000}"/>
            </a:ext>
          </a:extLst>
        </xdr:cNvPr>
        <xdr:cNvSpPr>
          <a:spLocks noChangeAspect="1" noChangeArrowheads="1"/>
        </xdr:cNvSpPr>
      </xdr:nvSpPr>
      <xdr:spPr bwMode="auto">
        <a:xfrm>
          <a:off x="46110525" y="30870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43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7110000}"/>
            </a:ext>
          </a:extLst>
        </xdr:cNvPr>
        <xdr:cNvSpPr>
          <a:spLocks noChangeAspect="1" noChangeArrowheads="1"/>
        </xdr:cNvSpPr>
      </xdr:nvSpPr>
      <xdr:spPr bwMode="auto">
        <a:xfrm>
          <a:off x="46110525" y="30870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44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8110000}"/>
            </a:ext>
          </a:extLst>
        </xdr:cNvPr>
        <xdr:cNvSpPr>
          <a:spLocks noChangeAspect="1" noChangeArrowheads="1"/>
        </xdr:cNvSpPr>
      </xdr:nvSpPr>
      <xdr:spPr bwMode="auto">
        <a:xfrm>
          <a:off x="46110525" y="31165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44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9110000}"/>
            </a:ext>
          </a:extLst>
        </xdr:cNvPr>
        <xdr:cNvSpPr>
          <a:spLocks noChangeAspect="1" noChangeArrowheads="1"/>
        </xdr:cNvSpPr>
      </xdr:nvSpPr>
      <xdr:spPr bwMode="auto">
        <a:xfrm>
          <a:off x="46110525" y="31165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44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A110000}"/>
            </a:ext>
          </a:extLst>
        </xdr:cNvPr>
        <xdr:cNvSpPr>
          <a:spLocks noChangeAspect="1" noChangeArrowheads="1"/>
        </xdr:cNvSpPr>
      </xdr:nvSpPr>
      <xdr:spPr bwMode="auto">
        <a:xfrm>
          <a:off x="46110525" y="31461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44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B110000}"/>
            </a:ext>
          </a:extLst>
        </xdr:cNvPr>
        <xdr:cNvSpPr>
          <a:spLocks noChangeAspect="1" noChangeArrowheads="1"/>
        </xdr:cNvSpPr>
      </xdr:nvSpPr>
      <xdr:spPr bwMode="auto">
        <a:xfrm>
          <a:off x="46110525" y="31461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44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C110000}"/>
            </a:ext>
          </a:extLst>
        </xdr:cNvPr>
        <xdr:cNvSpPr>
          <a:spLocks noChangeAspect="1" noChangeArrowheads="1"/>
        </xdr:cNvSpPr>
      </xdr:nvSpPr>
      <xdr:spPr bwMode="auto">
        <a:xfrm>
          <a:off x="46110525" y="31756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44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D110000}"/>
            </a:ext>
          </a:extLst>
        </xdr:cNvPr>
        <xdr:cNvSpPr>
          <a:spLocks noChangeAspect="1" noChangeArrowheads="1"/>
        </xdr:cNvSpPr>
      </xdr:nvSpPr>
      <xdr:spPr bwMode="auto">
        <a:xfrm>
          <a:off x="46110525" y="31756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44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E110000}"/>
            </a:ext>
          </a:extLst>
        </xdr:cNvPr>
        <xdr:cNvSpPr>
          <a:spLocks noChangeAspect="1" noChangeArrowheads="1"/>
        </xdr:cNvSpPr>
      </xdr:nvSpPr>
      <xdr:spPr bwMode="auto">
        <a:xfrm>
          <a:off x="46110525" y="32051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44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F110000}"/>
            </a:ext>
          </a:extLst>
        </xdr:cNvPr>
        <xdr:cNvSpPr>
          <a:spLocks noChangeAspect="1" noChangeArrowheads="1"/>
        </xdr:cNvSpPr>
      </xdr:nvSpPr>
      <xdr:spPr bwMode="auto">
        <a:xfrm>
          <a:off x="46110525" y="32051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44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0110000}"/>
            </a:ext>
          </a:extLst>
        </xdr:cNvPr>
        <xdr:cNvSpPr>
          <a:spLocks noChangeAspect="1" noChangeArrowheads="1"/>
        </xdr:cNvSpPr>
      </xdr:nvSpPr>
      <xdr:spPr bwMode="auto">
        <a:xfrm>
          <a:off x="46110525" y="32346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44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1110000}"/>
            </a:ext>
          </a:extLst>
        </xdr:cNvPr>
        <xdr:cNvSpPr>
          <a:spLocks noChangeAspect="1" noChangeArrowheads="1"/>
        </xdr:cNvSpPr>
      </xdr:nvSpPr>
      <xdr:spPr bwMode="auto">
        <a:xfrm>
          <a:off x="46110525" y="32346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45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2110000}"/>
            </a:ext>
          </a:extLst>
        </xdr:cNvPr>
        <xdr:cNvSpPr>
          <a:spLocks noChangeAspect="1" noChangeArrowheads="1"/>
        </xdr:cNvSpPr>
      </xdr:nvSpPr>
      <xdr:spPr bwMode="auto">
        <a:xfrm>
          <a:off x="46110525" y="326421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45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3110000}"/>
            </a:ext>
          </a:extLst>
        </xdr:cNvPr>
        <xdr:cNvSpPr>
          <a:spLocks noChangeAspect="1" noChangeArrowheads="1"/>
        </xdr:cNvSpPr>
      </xdr:nvSpPr>
      <xdr:spPr bwMode="auto">
        <a:xfrm>
          <a:off x="46110525" y="326421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45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4110000}"/>
            </a:ext>
          </a:extLst>
        </xdr:cNvPr>
        <xdr:cNvSpPr>
          <a:spLocks noChangeAspect="1" noChangeArrowheads="1"/>
        </xdr:cNvSpPr>
      </xdr:nvSpPr>
      <xdr:spPr bwMode="auto">
        <a:xfrm>
          <a:off x="46110525" y="32937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45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5110000}"/>
            </a:ext>
          </a:extLst>
        </xdr:cNvPr>
        <xdr:cNvSpPr>
          <a:spLocks noChangeAspect="1" noChangeArrowheads="1"/>
        </xdr:cNvSpPr>
      </xdr:nvSpPr>
      <xdr:spPr bwMode="auto">
        <a:xfrm>
          <a:off x="46110525" y="32937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45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6110000}"/>
            </a:ext>
          </a:extLst>
        </xdr:cNvPr>
        <xdr:cNvSpPr>
          <a:spLocks noChangeAspect="1" noChangeArrowheads="1"/>
        </xdr:cNvSpPr>
      </xdr:nvSpPr>
      <xdr:spPr bwMode="auto">
        <a:xfrm>
          <a:off x="46110525" y="332327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45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7110000}"/>
            </a:ext>
          </a:extLst>
        </xdr:cNvPr>
        <xdr:cNvSpPr>
          <a:spLocks noChangeAspect="1" noChangeArrowheads="1"/>
        </xdr:cNvSpPr>
      </xdr:nvSpPr>
      <xdr:spPr bwMode="auto">
        <a:xfrm>
          <a:off x="46110525" y="332327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45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8110000}"/>
            </a:ext>
          </a:extLst>
        </xdr:cNvPr>
        <xdr:cNvSpPr>
          <a:spLocks noChangeAspect="1" noChangeArrowheads="1"/>
        </xdr:cNvSpPr>
      </xdr:nvSpPr>
      <xdr:spPr bwMode="auto">
        <a:xfrm>
          <a:off x="46110525" y="3352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45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9110000}"/>
            </a:ext>
          </a:extLst>
        </xdr:cNvPr>
        <xdr:cNvSpPr>
          <a:spLocks noChangeAspect="1" noChangeArrowheads="1"/>
        </xdr:cNvSpPr>
      </xdr:nvSpPr>
      <xdr:spPr bwMode="auto">
        <a:xfrm>
          <a:off x="46110525" y="3352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45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A110000}"/>
            </a:ext>
          </a:extLst>
        </xdr:cNvPr>
        <xdr:cNvSpPr>
          <a:spLocks noChangeAspect="1" noChangeArrowheads="1"/>
        </xdr:cNvSpPr>
      </xdr:nvSpPr>
      <xdr:spPr bwMode="auto">
        <a:xfrm>
          <a:off x="46110525" y="338232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45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B110000}"/>
            </a:ext>
          </a:extLst>
        </xdr:cNvPr>
        <xdr:cNvSpPr>
          <a:spLocks noChangeAspect="1" noChangeArrowheads="1"/>
        </xdr:cNvSpPr>
      </xdr:nvSpPr>
      <xdr:spPr bwMode="auto">
        <a:xfrm>
          <a:off x="46110525" y="338232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46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C110000}"/>
            </a:ext>
          </a:extLst>
        </xdr:cNvPr>
        <xdr:cNvSpPr>
          <a:spLocks noChangeAspect="1" noChangeArrowheads="1"/>
        </xdr:cNvSpPr>
      </xdr:nvSpPr>
      <xdr:spPr bwMode="auto">
        <a:xfrm>
          <a:off x="46110525" y="34118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46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D110000}"/>
            </a:ext>
          </a:extLst>
        </xdr:cNvPr>
        <xdr:cNvSpPr>
          <a:spLocks noChangeAspect="1" noChangeArrowheads="1"/>
        </xdr:cNvSpPr>
      </xdr:nvSpPr>
      <xdr:spPr bwMode="auto">
        <a:xfrm>
          <a:off x="46110525" y="34118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46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E110000}"/>
            </a:ext>
          </a:extLst>
        </xdr:cNvPr>
        <xdr:cNvSpPr>
          <a:spLocks noChangeAspect="1" noChangeArrowheads="1"/>
        </xdr:cNvSpPr>
      </xdr:nvSpPr>
      <xdr:spPr bwMode="auto">
        <a:xfrm>
          <a:off x="46110525" y="34413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46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F110000}"/>
            </a:ext>
          </a:extLst>
        </xdr:cNvPr>
        <xdr:cNvSpPr>
          <a:spLocks noChangeAspect="1" noChangeArrowheads="1"/>
        </xdr:cNvSpPr>
      </xdr:nvSpPr>
      <xdr:spPr bwMode="auto">
        <a:xfrm>
          <a:off x="46110525" y="34413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46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0110000}"/>
            </a:ext>
          </a:extLst>
        </xdr:cNvPr>
        <xdr:cNvSpPr>
          <a:spLocks noChangeAspect="1" noChangeArrowheads="1"/>
        </xdr:cNvSpPr>
      </xdr:nvSpPr>
      <xdr:spPr bwMode="auto">
        <a:xfrm>
          <a:off x="46110525" y="34709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46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1110000}"/>
            </a:ext>
          </a:extLst>
        </xdr:cNvPr>
        <xdr:cNvSpPr>
          <a:spLocks noChangeAspect="1" noChangeArrowheads="1"/>
        </xdr:cNvSpPr>
      </xdr:nvSpPr>
      <xdr:spPr bwMode="auto">
        <a:xfrm>
          <a:off x="46110525" y="34709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46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2110000}"/>
            </a:ext>
          </a:extLst>
        </xdr:cNvPr>
        <xdr:cNvSpPr>
          <a:spLocks noChangeAspect="1" noChangeArrowheads="1"/>
        </xdr:cNvSpPr>
      </xdr:nvSpPr>
      <xdr:spPr bwMode="auto">
        <a:xfrm>
          <a:off x="46110525" y="35004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46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3110000}"/>
            </a:ext>
          </a:extLst>
        </xdr:cNvPr>
        <xdr:cNvSpPr>
          <a:spLocks noChangeAspect="1" noChangeArrowheads="1"/>
        </xdr:cNvSpPr>
      </xdr:nvSpPr>
      <xdr:spPr bwMode="auto">
        <a:xfrm>
          <a:off x="46110525" y="35004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46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4110000}"/>
            </a:ext>
          </a:extLst>
        </xdr:cNvPr>
        <xdr:cNvSpPr>
          <a:spLocks noChangeAspect="1" noChangeArrowheads="1"/>
        </xdr:cNvSpPr>
      </xdr:nvSpPr>
      <xdr:spPr bwMode="auto">
        <a:xfrm>
          <a:off x="46110525" y="35299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46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5110000}"/>
            </a:ext>
          </a:extLst>
        </xdr:cNvPr>
        <xdr:cNvSpPr>
          <a:spLocks noChangeAspect="1" noChangeArrowheads="1"/>
        </xdr:cNvSpPr>
      </xdr:nvSpPr>
      <xdr:spPr bwMode="auto">
        <a:xfrm>
          <a:off x="46110525" y="35299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47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6110000}"/>
            </a:ext>
          </a:extLst>
        </xdr:cNvPr>
        <xdr:cNvSpPr>
          <a:spLocks noChangeAspect="1" noChangeArrowheads="1"/>
        </xdr:cNvSpPr>
      </xdr:nvSpPr>
      <xdr:spPr bwMode="auto">
        <a:xfrm>
          <a:off x="46110525" y="355949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47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7110000}"/>
            </a:ext>
          </a:extLst>
        </xdr:cNvPr>
        <xdr:cNvSpPr>
          <a:spLocks noChangeAspect="1" noChangeArrowheads="1"/>
        </xdr:cNvSpPr>
      </xdr:nvSpPr>
      <xdr:spPr bwMode="auto">
        <a:xfrm>
          <a:off x="46110525" y="355949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47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8110000}"/>
            </a:ext>
          </a:extLst>
        </xdr:cNvPr>
        <xdr:cNvSpPr>
          <a:spLocks noChangeAspect="1" noChangeArrowheads="1"/>
        </xdr:cNvSpPr>
      </xdr:nvSpPr>
      <xdr:spPr bwMode="auto">
        <a:xfrm>
          <a:off x="46110525" y="3589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47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9110000}"/>
            </a:ext>
          </a:extLst>
        </xdr:cNvPr>
        <xdr:cNvSpPr>
          <a:spLocks noChangeAspect="1" noChangeArrowheads="1"/>
        </xdr:cNvSpPr>
      </xdr:nvSpPr>
      <xdr:spPr bwMode="auto">
        <a:xfrm>
          <a:off x="46110525" y="3589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47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A110000}"/>
            </a:ext>
          </a:extLst>
        </xdr:cNvPr>
        <xdr:cNvSpPr>
          <a:spLocks noChangeAspect="1" noChangeArrowheads="1"/>
        </xdr:cNvSpPr>
      </xdr:nvSpPr>
      <xdr:spPr bwMode="auto">
        <a:xfrm>
          <a:off x="46110525" y="361854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47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B110000}"/>
            </a:ext>
          </a:extLst>
        </xdr:cNvPr>
        <xdr:cNvSpPr>
          <a:spLocks noChangeAspect="1" noChangeArrowheads="1"/>
        </xdr:cNvSpPr>
      </xdr:nvSpPr>
      <xdr:spPr bwMode="auto">
        <a:xfrm>
          <a:off x="46110525" y="361854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47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C110000}"/>
            </a:ext>
          </a:extLst>
        </xdr:cNvPr>
        <xdr:cNvSpPr>
          <a:spLocks noChangeAspect="1" noChangeArrowheads="1"/>
        </xdr:cNvSpPr>
      </xdr:nvSpPr>
      <xdr:spPr bwMode="auto">
        <a:xfrm>
          <a:off x="46110525" y="36480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47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D110000}"/>
            </a:ext>
          </a:extLst>
        </xdr:cNvPr>
        <xdr:cNvSpPr>
          <a:spLocks noChangeAspect="1" noChangeArrowheads="1"/>
        </xdr:cNvSpPr>
      </xdr:nvSpPr>
      <xdr:spPr bwMode="auto">
        <a:xfrm>
          <a:off x="46110525" y="36480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47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E110000}"/>
            </a:ext>
          </a:extLst>
        </xdr:cNvPr>
        <xdr:cNvSpPr>
          <a:spLocks noChangeAspect="1" noChangeArrowheads="1"/>
        </xdr:cNvSpPr>
      </xdr:nvSpPr>
      <xdr:spPr bwMode="auto">
        <a:xfrm>
          <a:off x="46110525" y="36776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47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F110000}"/>
            </a:ext>
          </a:extLst>
        </xdr:cNvPr>
        <xdr:cNvSpPr>
          <a:spLocks noChangeAspect="1" noChangeArrowheads="1"/>
        </xdr:cNvSpPr>
      </xdr:nvSpPr>
      <xdr:spPr bwMode="auto">
        <a:xfrm>
          <a:off x="46110525" y="36776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48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0110000}"/>
            </a:ext>
          </a:extLst>
        </xdr:cNvPr>
        <xdr:cNvSpPr>
          <a:spLocks noChangeAspect="1" noChangeArrowheads="1"/>
        </xdr:cNvSpPr>
      </xdr:nvSpPr>
      <xdr:spPr bwMode="auto">
        <a:xfrm>
          <a:off x="46110525" y="37071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48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1110000}"/>
            </a:ext>
          </a:extLst>
        </xdr:cNvPr>
        <xdr:cNvSpPr>
          <a:spLocks noChangeAspect="1" noChangeArrowheads="1"/>
        </xdr:cNvSpPr>
      </xdr:nvSpPr>
      <xdr:spPr bwMode="auto">
        <a:xfrm>
          <a:off x="46110525" y="37071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48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2110000}"/>
            </a:ext>
          </a:extLst>
        </xdr:cNvPr>
        <xdr:cNvSpPr>
          <a:spLocks noChangeAspect="1" noChangeArrowheads="1"/>
        </xdr:cNvSpPr>
      </xdr:nvSpPr>
      <xdr:spPr bwMode="auto">
        <a:xfrm>
          <a:off x="46110525" y="37366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48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3110000}"/>
            </a:ext>
          </a:extLst>
        </xdr:cNvPr>
        <xdr:cNvSpPr>
          <a:spLocks noChangeAspect="1" noChangeArrowheads="1"/>
        </xdr:cNvSpPr>
      </xdr:nvSpPr>
      <xdr:spPr bwMode="auto">
        <a:xfrm>
          <a:off x="46110525" y="37366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48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4110000}"/>
            </a:ext>
          </a:extLst>
        </xdr:cNvPr>
        <xdr:cNvSpPr>
          <a:spLocks noChangeAspect="1" noChangeArrowheads="1"/>
        </xdr:cNvSpPr>
      </xdr:nvSpPr>
      <xdr:spPr bwMode="auto">
        <a:xfrm>
          <a:off x="46110525" y="37661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48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5110000}"/>
            </a:ext>
          </a:extLst>
        </xdr:cNvPr>
        <xdr:cNvSpPr>
          <a:spLocks noChangeAspect="1" noChangeArrowheads="1"/>
        </xdr:cNvSpPr>
      </xdr:nvSpPr>
      <xdr:spPr bwMode="auto">
        <a:xfrm>
          <a:off x="46110525" y="37661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48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6110000}"/>
            </a:ext>
          </a:extLst>
        </xdr:cNvPr>
        <xdr:cNvSpPr>
          <a:spLocks noChangeAspect="1" noChangeArrowheads="1"/>
        </xdr:cNvSpPr>
      </xdr:nvSpPr>
      <xdr:spPr bwMode="auto">
        <a:xfrm>
          <a:off x="46110525" y="379571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48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7110000}"/>
            </a:ext>
          </a:extLst>
        </xdr:cNvPr>
        <xdr:cNvSpPr>
          <a:spLocks noChangeAspect="1" noChangeArrowheads="1"/>
        </xdr:cNvSpPr>
      </xdr:nvSpPr>
      <xdr:spPr bwMode="auto">
        <a:xfrm>
          <a:off x="46110525" y="379571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48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8110000}"/>
            </a:ext>
          </a:extLst>
        </xdr:cNvPr>
        <xdr:cNvSpPr>
          <a:spLocks noChangeAspect="1" noChangeArrowheads="1"/>
        </xdr:cNvSpPr>
      </xdr:nvSpPr>
      <xdr:spPr bwMode="auto">
        <a:xfrm>
          <a:off x="46110525" y="38252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48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9110000}"/>
            </a:ext>
          </a:extLst>
        </xdr:cNvPr>
        <xdr:cNvSpPr>
          <a:spLocks noChangeAspect="1" noChangeArrowheads="1"/>
        </xdr:cNvSpPr>
      </xdr:nvSpPr>
      <xdr:spPr bwMode="auto">
        <a:xfrm>
          <a:off x="46110525" y="38252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49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A110000}"/>
            </a:ext>
          </a:extLst>
        </xdr:cNvPr>
        <xdr:cNvSpPr>
          <a:spLocks noChangeAspect="1" noChangeArrowheads="1"/>
        </xdr:cNvSpPr>
      </xdr:nvSpPr>
      <xdr:spPr bwMode="auto">
        <a:xfrm>
          <a:off x="46110525" y="385476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49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B110000}"/>
            </a:ext>
          </a:extLst>
        </xdr:cNvPr>
        <xdr:cNvSpPr>
          <a:spLocks noChangeAspect="1" noChangeArrowheads="1"/>
        </xdr:cNvSpPr>
      </xdr:nvSpPr>
      <xdr:spPr bwMode="auto">
        <a:xfrm>
          <a:off x="46110525" y="385476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49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C110000}"/>
            </a:ext>
          </a:extLst>
        </xdr:cNvPr>
        <xdr:cNvSpPr>
          <a:spLocks noChangeAspect="1" noChangeArrowheads="1"/>
        </xdr:cNvSpPr>
      </xdr:nvSpPr>
      <xdr:spPr bwMode="auto">
        <a:xfrm>
          <a:off x="46110525" y="38842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49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D110000}"/>
            </a:ext>
          </a:extLst>
        </xdr:cNvPr>
        <xdr:cNvSpPr>
          <a:spLocks noChangeAspect="1" noChangeArrowheads="1"/>
        </xdr:cNvSpPr>
      </xdr:nvSpPr>
      <xdr:spPr bwMode="auto">
        <a:xfrm>
          <a:off x="46110525" y="38842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49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E110000}"/>
            </a:ext>
          </a:extLst>
        </xdr:cNvPr>
        <xdr:cNvSpPr>
          <a:spLocks noChangeAspect="1" noChangeArrowheads="1"/>
        </xdr:cNvSpPr>
      </xdr:nvSpPr>
      <xdr:spPr bwMode="auto">
        <a:xfrm>
          <a:off x="46110525" y="39138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49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F110000}"/>
            </a:ext>
          </a:extLst>
        </xdr:cNvPr>
        <xdr:cNvSpPr>
          <a:spLocks noChangeAspect="1" noChangeArrowheads="1"/>
        </xdr:cNvSpPr>
      </xdr:nvSpPr>
      <xdr:spPr bwMode="auto">
        <a:xfrm>
          <a:off x="46110525" y="39138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49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0110000}"/>
            </a:ext>
          </a:extLst>
        </xdr:cNvPr>
        <xdr:cNvSpPr>
          <a:spLocks noChangeAspect="1" noChangeArrowheads="1"/>
        </xdr:cNvSpPr>
      </xdr:nvSpPr>
      <xdr:spPr bwMode="auto">
        <a:xfrm>
          <a:off x="46110525" y="3943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49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1110000}"/>
            </a:ext>
          </a:extLst>
        </xdr:cNvPr>
        <xdr:cNvSpPr>
          <a:spLocks noChangeAspect="1" noChangeArrowheads="1"/>
        </xdr:cNvSpPr>
      </xdr:nvSpPr>
      <xdr:spPr bwMode="auto">
        <a:xfrm>
          <a:off x="46110525" y="3943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49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2110000}"/>
            </a:ext>
          </a:extLst>
        </xdr:cNvPr>
        <xdr:cNvSpPr>
          <a:spLocks noChangeAspect="1" noChangeArrowheads="1"/>
        </xdr:cNvSpPr>
      </xdr:nvSpPr>
      <xdr:spPr bwMode="auto">
        <a:xfrm>
          <a:off x="46110525" y="397287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49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3110000}"/>
            </a:ext>
          </a:extLst>
        </xdr:cNvPr>
        <xdr:cNvSpPr>
          <a:spLocks noChangeAspect="1" noChangeArrowheads="1"/>
        </xdr:cNvSpPr>
      </xdr:nvSpPr>
      <xdr:spPr bwMode="auto">
        <a:xfrm>
          <a:off x="46110525" y="397287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50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4110000}"/>
            </a:ext>
          </a:extLst>
        </xdr:cNvPr>
        <xdr:cNvSpPr>
          <a:spLocks noChangeAspect="1" noChangeArrowheads="1"/>
        </xdr:cNvSpPr>
      </xdr:nvSpPr>
      <xdr:spPr bwMode="auto">
        <a:xfrm>
          <a:off x="46110525" y="40024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50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5110000}"/>
            </a:ext>
          </a:extLst>
        </xdr:cNvPr>
        <xdr:cNvSpPr>
          <a:spLocks noChangeAspect="1" noChangeArrowheads="1"/>
        </xdr:cNvSpPr>
      </xdr:nvSpPr>
      <xdr:spPr bwMode="auto">
        <a:xfrm>
          <a:off x="46110525" y="40024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50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6110000}"/>
            </a:ext>
          </a:extLst>
        </xdr:cNvPr>
        <xdr:cNvSpPr>
          <a:spLocks noChangeAspect="1" noChangeArrowheads="1"/>
        </xdr:cNvSpPr>
      </xdr:nvSpPr>
      <xdr:spPr bwMode="auto">
        <a:xfrm>
          <a:off x="46110525" y="40319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50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7110000}"/>
            </a:ext>
          </a:extLst>
        </xdr:cNvPr>
        <xdr:cNvSpPr>
          <a:spLocks noChangeAspect="1" noChangeArrowheads="1"/>
        </xdr:cNvSpPr>
      </xdr:nvSpPr>
      <xdr:spPr bwMode="auto">
        <a:xfrm>
          <a:off x="46110525" y="40319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50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8110000}"/>
            </a:ext>
          </a:extLst>
        </xdr:cNvPr>
        <xdr:cNvSpPr>
          <a:spLocks noChangeAspect="1" noChangeArrowheads="1"/>
        </xdr:cNvSpPr>
      </xdr:nvSpPr>
      <xdr:spPr bwMode="auto">
        <a:xfrm>
          <a:off x="46110525" y="40614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50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9110000}"/>
            </a:ext>
          </a:extLst>
        </xdr:cNvPr>
        <xdr:cNvSpPr>
          <a:spLocks noChangeAspect="1" noChangeArrowheads="1"/>
        </xdr:cNvSpPr>
      </xdr:nvSpPr>
      <xdr:spPr bwMode="auto">
        <a:xfrm>
          <a:off x="46110525" y="40614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50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A110000}"/>
            </a:ext>
          </a:extLst>
        </xdr:cNvPr>
        <xdr:cNvSpPr>
          <a:spLocks noChangeAspect="1" noChangeArrowheads="1"/>
        </xdr:cNvSpPr>
      </xdr:nvSpPr>
      <xdr:spPr bwMode="auto">
        <a:xfrm>
          <a:off x="46110525" y="40909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50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B110000}"/>
            </a:ext>
          </a:extLst>
        </xdr:cNvPr>
        <xdr:cNvSpPr>
          <a:spLocks noChangeAspect="1" noChangeArrowheads="1"/>
        </xdr:cNvSpPr>
      </xdr:nvSpPr>
      <xdr:spPr bwMode="auto">
        <a:xfrm>
          <a:off x="46110525" y="40909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50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C110000}"/>
            </a:ext>
          </a:extLst>
        </xdr:cNvPr>
        <xdr:cNvSpPr>
          <a:spLocks noChangeAspect="1" noChangeArrowheads="1"/>
        </xdr:cNvSpPr>
      </xdr:nvSpPr>
      <xdr:spPr bwMode="auto">
        <a:xfrm>
          <a:off x="46110525" y="41205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50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D110000}"/>
            </a:ext>
          </a:extLst>
        </xdr:cNvPr>
        <xdr:cNvSpPr>
          <a:spLocks noChangeAspect="1" noChangeArrowheads="1"/>
        </xdr:cNvSpPr>
      </xdr:nvSpPr>
      <xdr:spPr bwMode="auto">
        <a:xfrm>
          <a:off x="46110525" y="41205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51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E110000}"/>
            </a:ext>
          </a:extLst>
        </xdr:cNvPr>
        <xdr:cNvSpPr>
          <a:spLocks noChangeAspect="1" noChangeArrowheads="1"/>
        </xdr:cNvSpPr>
      </xdr:nvSpPr>
      <xdr:spPr bwMode="auto">
        <a:xfrm>
          <a:off x="46110525" y="415004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51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F110000}"/>
            </a:ext>
          </a:extLst>
        </xdr:cNvPr>
        <xdr:cNvSpPr>
          <a:spLocks noChangeAspect="1" noChangeArrowheads="1"/>
        </xdr:cNvSpPr>
      </xdr:nvSpPr>
      <xdr:spPr bwMode="auto">
        <a:xfrm>
          <a:off x="46110525" y="415004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51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0110000}"/>
            </a:ext>
          </a:extLst>
        </xdr:cNvPr>
        <xdr:cNvSpPr>
          <a:spLocks noChangeAspect="1" noChangeArrowheads="1"/>
        </xdr:cNvSpPr>
      </xdr:nvSpPr>
      <xdr:spPr bwMode="auto">
        <a:xfrm>
          <a:off x="46110525" y="41795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51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1110000}"/>
            </a:ext>
          </a:extLst>
        </xdr:cNvPr>
        <xdr:cNvSpPr>
          <a:spLocks noChangeAspect="1" noChangeArrowheads="1"/>
        </xdr:cNvSpPr>
      </xdr:nvSpPr>
      <xdr:spPr bwMode="auto">
        <a:xfrm>
          <a:off x="46110525" y="41795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51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2110000}"/>
            </a:ext>
          </a:extLst>
        </xdr:cNvPr>
        <xdr:cNvSpPr>
          <a:spLocks noChangeAspect="1" noChangeArrowheads="1"/>
        </xdr:cNvSpPr>
      </xdr:nvSpPr>
      <xdr:spPr bwMode="auto">
        <a:xfrm>
          <a:off x="46110525" y="420909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51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3110000}"/>
            </a:ext>
          </a:extLst>
        </xdr:cNvPr>
        <xdr:cNvSpPr>
          <a:spLocks noChangeAspect="1" noChangeArrowheads="1"/>
        </xdr:cNvSpPr>
      </xdr:nvSpPr>
      <xdr:spPr bwMode="auto">
        <a:xfrm>
          <a:off x="46110525" y="420909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51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4110000}"/>
            </a:ext>
          </a:extLst>
        </xdr:cNvPr>
        <xdr:cNvSpPr>
          <a:spLocks noChangeAspect="1" noChangeArrowheads="1"/>
        </xdr:cNvSpPr>
      </xdr:nvSpPr>
      <xdr:spPr bwMode="auto">
        <a:xfrm>
          <a:off x="46110525" y="42386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51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5110000}"/>
            </a:ext>
          </a:extLst>
        </xdr:cNvPr>
        <xdr:cNvSpPr>
          <a:spLocks noChangeAspect="1" noChangeArrowheads="1"/>
        </xdr:cNvSpPr>
      </xdr:nvSpPr>
      <xdr:spPr bwMode="auto">
        <a:xfrm>
          <a:off x="46110525" y="42386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51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6110000}"/>
            </a:ext>
          </a:extLst>
        </xdr:cNvPr>
        <xdr:cNvSpPr>
          <a:spLocks noChangeAspect="1" noChangeArrowheads="1"/>
        </xdr:cNvSpPr>
      </xdr:nvSpPr>
      <xdr:spPr bwMode="auto">
        <a:xfrm>
          <a:off x="46110525" y="42681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51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7110000}"/>
            </a:ext>
          </a:extLst>
        </xdr:cNvPr>
        <xdr:cNvSpPr>
          <a:spLocks noChangeAspect="1" noChangeArrowheads="1"/>
        </xdr:cNvSpPr>
      </xdr:nvSpPr>
      <xdr:spPr bwMode="auto">
        <a:xfrm>
          <a:off x="46110525" y="42681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52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8110000}"/>
            </a:ext>
          </a:extLst>
        </xdr:cNvPr>
        <xdr:cNvSpPr>
          <a:spLocks noChangeAspect="1" noChangeArrowheads="1"/>
        </xdr:cNvSpPr>
      </xdr:nvSpPr>
      <xdr:spPr bwMode="auto">
        <a:xfrm>
          <a:off x="46110525" y="42976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52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9110000}"/>
            </a:ext>
          </a:extLst>
        </xdr:cNvPr>
        <xdr:cNvSpPr>
          <a:spLocks noChangeAspect="1" noChangeArrowheads="1"/>
        </xdr:cNvSpPr>
      </xdr:nvSpPr>
      <xdr:spPr bwMode="auto">
        <a:xfrm>
          <a:off x="46110525" y="42976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52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A110000}"/>
            </a:ext>
          </a:extLst>
        </xdr:cNvPr>
        <xdr:cNvSpPr>
          <a:spLocks noChangeAspect="1" noChangeArrowheads="1"/>
        </xdr:cNvSpPr>
      </xdr:nvSpPr>
      <xdr:spPr bwMode="auto">
        <a:xfrm>
          <a:off x="46110525" y="43272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52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B110000}"/>
            </a:ext>
          </a:extLst>
        </xdr:cNvPr>
        <xdr:cNvSpPr>
          <a:spLocks noChangeAspect="1" noChangeArrowheads="1"/>
        </xdr:cNvSpPr>
      </xdr:nvSpPr>
      <xdr:spPr bwMode="auto">
        <a:xfrm>
          <a:off x="46110525" y="43272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52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C110000}"/>
            </a:ext>
          </a:extLst>
        </xdr:cNvPr>
        <xdr:cNvSpPr>
          <a:spLocks noChangeAspect="1" noChangeArrowheads="1"/>
        </xdr:cNvSpPr>
      </xdr:nvSpPr>
      <xdr:spPr bwMode="auto">
        <a:xfrm>
          <a:off x="46110525" y="43567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52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D110000}"/>
            </a:ext>
          </a:extLst>
        </xdr:cNvPr>
        <xdr:cNvSpPr>
          <a:spLocks noChangeAspect="1" noChangeArrowheads="1"/>
        </xdr:cNvSpPr>
      </xdr:nvSpPr>
      <xdr:spPr bwMode="auto">
        <a:xfrm>
          <a:off x="46110525" y="43567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52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E110000}"/>
            </a:ext>
          </a:extLst>
        </xdr:cNvPr>
        <xdr:cNvSpPr>
          <a:spLocks noChangeAspect="1" noChangeArrowheads="1"/>
        </xdr:cNvSpPr>
      </xdr:nvSpPr>
      <xdr:spPr bwMode="auto">
        <a:xfrm>
          <a:off x="46110525" y="43862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52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F110000}"/>
            </a:ext>
          </a:extLst>
        </xdr:cNvPr>
        <xdr:cNvSpPr>
          <a:spLocks noChangeAspect="1" noChangeArrowheads="1"/>
        </xdr:cNvSpPr>
      </xdr:nvSpPr>
      <xdr:spPr bwMode="auto">
        <a:xfrm>
          <a:off x="46110525" y="43862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52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0110000}"/>
            </a:ext>
          </a:extLst>
        </xdr:cNvPr>
        <xdr:cNvSpPr>
          <a:spLocks noChangeAspect="1" noChangeArrowheads="1"/>
        </xdr:cNvSpPr>
      </xdr:nvSpPr>
      <xdr:spPr bwMode="auto">
        <a:xfrm>
          <a:off x="46110525" y="44157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52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1110000}"/>
            </a:ext>
          </a:extLst>
        </xdr:cNvPr>
        <xdr:cNvSpPr>
          <a:spLocks noChangeAspect="1" noChangeArrowheads="1"/>
        </xdr:cNvSpPr>
      </xdr:nvSpPr>
      <xdr:spPr bwMode="auto">
        <a:xfrm>
          <a:off x="46110525" y="44157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53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2110000}"/>
            </a:ext>
          </a:extLst>
        </xdr:cNvPr>
        <xdr:cNvSpPr>
          <a:spLocks noChangeAspect="1" noChangeArrowheads="1"/>
        </xdr:cNvSpPr>
      </xdr:nvSpPr>
      <xdr:spPr bwMode="auto">
        <a:xfrm>
          <a:off x="46110525" y="444531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53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3110000}"/>
            </a:ext>
          </a:extLst>
        </xdr:cNvPr>
        <xdr:cNvSpPr>
          <a:spLocks noChangeAspect="1" noChangeArrowheads="1"/>
        </xdr:cNvSpPr>
      </xdr:nvSpPr>
      <xdr:spPr bwMode="auto">
        <a:xfrm>
          <a:off x="46110525" y="444531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53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4110000}"/>
            </a:ext>
          </a:extLst>
        </xdr:cNvPr>
        <xdr:cNvSpPr>
          <a:spLocks noChangeAspect="1" noChangeArrowheads="1"/>
        </xdr:cNvSpPr>
      </xdr:nvSpPr>
      <xdr:spPr bwMode="auto">
        <a:xfrm>
          <a:off x="46110525" y="44748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53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5110000}"/>
            </a:ext>
          </a:extLst>
        </xdr:cNvPr>
        <xdr:cNvSpPr>
          <a:spLocks noChangeAspect="1" noChangeArrowheads="1"/>
        </xdr:cNvSpPr>
      </xdr:nvSpPr>
      <xdr:spPr bwMode="auto">
        <a:xfrm>
          <a:off x="46110525" y="44748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53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6110000}"/>
            </a:ext>
          </a:extLst>
        </xdr:cNvPr>
        <xdr:cNvSpPr>
          <a:spLocks noChangeAspect="1" noChangeArrowheads="1"/>
        </xdr:cNvSpPr>
      </xdr:nvSpPr>
      <xdr:spPr bwMode="auto">
        <a:xfrm>
          <a:off x="46110525" y="450437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53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7110000}"/>
            </a:ext>
          </a:extLst>
        </xdr:cNvPr>
        <xdr:cNvSpPr>
          <a:spLocks noChangeAspect="1" noChangeArrowheads="1"/>
        </xdr:cNvSpPr>
      </xdr:nvSpPr>
      <xdr:spPr bwMode="auto">
        <a:xfrm>
          <a:off x="46110525" y="450437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53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8110000}"/>
            </a:ext>
          </a:extLst>
        </xdr:cNvPr>
        <xdr:cNvSpPr>
          <a:spLocks noChangeAspect="1" noChangeArrowheads="1"/>
        </xdr:cNvSpPr>
      </xdr:nvSpPr>
      <xdr:spPr bwMode="auto">
        <a:xfrm>
          <a:off x="46110525" y="453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53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9110000}"/>
            </a:ext>
          </a:extLst>
        </xdr:cNvPr>
        <xdr:cNvSpPr>
          <a:spLocks noChangeAspect="1" noChangeArrowheads="1"/>
        </xdr:cNvSpPr>
      </xdr:nvSpPr>
      <xdr:spPr bwMode="auto">
        <a:xfrm>
          <a:off x="46110525" y="4533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53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A110000}"/>
            </a:ext>
          </a:extLst>
        </xdr:cNvPr>
        <xdr:cNvSpPr>
          <a:spLocks noChangeAspect="1" noChangeArrowheads="1"/>
        </xdr:cNvSpPr>
      </xdr:nvSpPr>
      <xdr:spPr bwMode="auto">
        <a:xfrm>
          <a:off x="46110525" y="456342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53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B110000}"/>
            </a:ext>
          </a:extLst>
        </xdr:cNvPr>
        <xdr:cNvSpPr>
          <a:spLocks noChangeAspect="1" noChangeArrowheads="1"/>
        </xdr:cNvSpPr>
      </xdr:nvSpPr>
      <xdr:spPr bwMode="auto">
        <a:xfrm>
          <a:off x="46110525" y="456342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54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C110000}"/>
            </a:ext>
          </a:extLst>
        </xdr:cNvPr>
        <xdr:cNvSpPr>
          <a:spLocks noChangeAspect="1" noChangeArrowheads="1"/>
        </xdr:cNvSpPr>
      </xdr:nvSpPr>
      <xdr:spPr bwMode="auto">
        <a:xfrm>
          <a:off x="46110525" y="45929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54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D110000}"/>
            </a:ext>
          </a:extLst>
        </xdr:cNvPr>
        <xdr:cNvSpPr>
          <a:spLocks noChangeAspect="1" noChangeArrowheads="1"/>
        </xdr:cNvSpPr>
      </xdr:nvSpPr>
      <xdr:spPr bwMode="auto">
        <a:xfrm>
          <a:off x="46110525" y="45929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54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E110000}"/>
            </a:ext>
          </a:extLst>
        </xdr:cNvPr>
        <xdr:cNvSpPr>
          <a:spLocks noChangeAspect="1" noChangeArrowheads="1"/>
        </xdr:cNvSpPr>
      </xdr:nvSpPr>
      <xdr:spPr bwMode="auto">
        <a:xfrm>
          <a:off x="46110525" y="46224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54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F110000}"/>
            </a:ext>
          </a:extLst>
        </xdr:cNvPr>
        <xdr:cNvSpPr>
          <a:spLocks noChangeAspect="1" noChangeArrowheads="1"/>
        </xdr:cNvSpPr>
      </xdr:nvSpPr>
      <xdr:spPr bwMode="auto">
        <a:xfrm>
          <a:off x="46110525" y="46224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54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0110000}"/>
            </a:ext>
          </a:extLst>
        </xdr:cNvPr>
        <xdr:cNvSpPr>
          <a:spLocks noChangeAspect="1" noChangeArrowheads="1"/>
        </xdr:cNvSpPr>
      </xdr:nvSpPr>
      <xdr:spPr bwMode="auto">
        <a:xfrm>
          <a:off x="46110525" y="46520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54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1110000}"/>
            </a:ext>
          </a:extLst>
        </xdr:cNvPr>
        <xdr:cNvSpPr>
          <a:spLocks noChangeAspect="1" noChangeArrowheads="1"/>
        </xdr:cNvSpPr>
      </xdr:nvSpPr>
      <xdr:spPr bwMode="auto">
        <a:xfrm>
          <a:off x="46110525" y="46520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54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2110000}"/>
            </a:ext>
          </a:extLst>
        </xdr:cNvPr>
        <xdr:cNvSpPr>
          <a:spLocks noChangeAspect="1" noChangeArrowheads="1"/>
        </xdr:cNvSpPr>
      </xdr:nvSpPr>
      <xdr:spPr bwMode="auto">
        <a:xfrm>
          <a:off x="46110525" y="46815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54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3110000}"/>
            </a:ext>
          </a:extLst>
        </xdr:cNvPr>
        <xdr:cNvSpPr>
          <a:spLocks noChangeAspect="1" noChangeArrowheads="1"/>
        </xdr:cNvSpPr>
      </xdr:nvSpPr>
      <xdr:spPr bwMode="auto">
        <a:xfrm>
          <a:off x="46110525" y="46815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54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4110000}"/>
            </a:ext>
          </a:extLst>
        </xdr:cNvPr>
        <xdr:cNvSpPr>
          <a:spLocks noChangeAspect="1" noChangeArrowheads="1"/>
        </xdr:cNvSpPr>
      </xdr:nvSpPr>
      <xdr:spPr bwMode="auto">
        <a:xfrm>
          <a:off x="46110525" y="47110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54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5110000}"/>
            </a:ext>
          </a:extLst>
        </xdr:cNvPr>
        <xdr:cNvSpPr>
          <a:spLocks noChangeAspect="1" noChangeArrowheads="1"/>
        </xdr:cNvSpPr>
      </xdr:nvSpPr>
      <xdr:spPr bwMode="auto">
        <a:xfrm>
          <a:off x="46110525" y="47110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55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6110000}"/>
            </a:ext>
          </a:extLst>
        </xdr:cNvPr>
        <xdr:cNvSpPr>
          <a:spLocks noChangeAspect="1" noChangeArrowheads="1"/>
        </xdr:cNvSpPr>
      </xdr:nvSpPr>
      <xdr:spPr bwMode="auto">
        <a:xfrm>
          <a:off x="46110525" y="474059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55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7110000}"/>
            </a:ext>
          </a:extLst>
        </xdr:cNvPr>
        <xdr:cNvSpPr>
          <a:spLocks noChangeAspect="1" noChangeArrowheads="1"/>
        </xdr:cNvSpPr>
      </xdr:nvSpPr>
      <xdr:spPr bwMode="auto">
        <a:xfrm>
          <a:off x="46110525" y="474059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55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8110000}"/>
            </a:ext>
          </a:extLst>
        </xdr:cNvPr>
        <xdr:cNvSpPr>
          <a:spLocks noChangeAspect="1" noChangeArrowheads="1"/>
        </xdr:cNvSpPr>
      </xdr:nvSpPr>
      <xdr:spPr bwMode="auto">
        <a:xfrm>
          <a:off x="46110525" y="47701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55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9110000}"/>
            </a:ext>
          </a:extLst>
        </xdr:cNvPr>
        <xdr:cNvSpPr>
          <a:spLocks noChangeAspect="1" noChangeArrowheads="1"/>
        </xdr:cNvSpPr>
      </xdr:nvSpPr>
      <xdr:spPr bwMode="auto">
        <a:xfrm>
          <a:off x="46110525" y="47701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55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A110000}"/>
            </a:ext>
          </a:extLst>
        </xdr:cNvPr>
        <xdr:cNvSpPr>
          <a:spLocks noChangeAspect="1" noChangeArrowheads="1"/>
        </xdr:cNvSpPr>
      </xdr:nvSpPr>
      <xdr:spPr bwMode="auto">
        <a:xfrm>
          <a:off x="46110525" y="479964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55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B110000}"/>
            </a:ext>
          </a:extLst>
        </xdr:cNvPr>
        <xdr:cNvSpPr>
          <a:spLocks noChangeAspect="1" noChangeArrowheads="1"/>
        </xdr:cNvSpPr>
      </xdr:nvSpPr>
      <xdr:spPr bwMode="auto">
        <a:xfrm>
          <a:off x="46110525" y="479964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55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C110000}"/>
            </a:ext>
          </a:extLst>
        </xdr:cNvPr>
        <xdr:cNvSpPr>
          <a:spLocks noChangeAspect="1" noChangeArrowheads="1"/>
        </xdr:cNvSpPr>
      </xdr:nvSpPr>
      <xdr:spPr bwMode="auto">
        <a:xfrm>
          <a:off x="46110525" y="48291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55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D110000}"/>
            </a:ext>
          </a:extLst>
        </xdr:cNvPr>
        <xdr:cNvSpPr>
          <a:spLocks noChangeAspect="1" noChangeArrowheads="1"/>
        </xdr:cNvSpPr>
      </xdr:nvSpPr>
      <xdr:spPr bwMode="auto">
        <a:xfrm>
          <a:off x="46110525" y="48291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55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E110000}"/>
            </a:ext>
          </a:extLst>
        </xdr:cNvPr>
        <xdr:cNvSpPr>
          <a:spLocks noChangeAspect="1" noChangeArrowheads="1"/>
        </xdr:cNvSpPr>
      </xdr:nvSpPr>
      <xdr:spPr bwMode="auto">
        <a:xfrm>
          <a:off x="46110525" y="48587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55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F110000}"/>
            </a:ext>
          </a:extLst>
        </xdr:cNvPr>
        <xdr:cNvSpPr>
          <a:spLocks noChangeAspect="1" noChangeArrowheads="1"/>
        </xdr:cNvSpPr>
      </xdr:nvSpPr>
      <xdr:spPr bwMode="auto">
        <a:xfrm>
          <a:off x="46110525" y="48587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56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0110000}"/>
            </a:ext>
          </a:extLst>
        </xdr:cNvPr>
        <xdr:cNvSpPr>
          <a:spLocks noChangeAspect="1" noChangeArrowheads="1"/>
        </xdr:cNvSpPr>
      </xdr:nvSpPr>
      <xdr:spPr bwMode="auto">
        <a:xfrm>
          <a:off x="46110525" y="48882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56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1110000}"/>
            </a:ext>
          </a:extLst>
        </xdr:cNvPr>
        <xdr:cNvSpPr>
          <a:spLocks noChangeAspect="1" noChangeArrowheads="1"/>
        </xdr:cNvSpPr>
      </xdr:nvSpPr>
      <xdr:spPr bwMode="auto">
        <a:xfrm>
          <a:off x="46110525" y="48882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56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2110000}"/>
            </a:ext>
          </a:extLst>
        </xdr:cNvPr>
        <xdr:cNvSpPr>
          <a:spLocks noChangeAspect="1" noChangeArrowheads="1"/>
        </xdr:cNvSpPr>
      </xdr:nvSpPr>
      <xdr:spPr bwMode="auto">
        <a:xfrm>
          <a:off x="46110525" y="49177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56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3110000}"/>
            </a:ext>
          </a:extLst>
        </xdr:cNvPr>
        <xdr:cNvSpPr>
          <a:spLocks noChangeAspect="1" noChangeArrowheads="1"/>
        </xdr:cNvSpPr>
      </xdr:nvSpPr>
      <xdr:spPr bwMode="auto">
        <a:xfrm>
          <a:off x="46110525" y="49177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56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4110000}"/>
            </a:ext>
          </a:extLst>
        </xdr:cNvPr>
        <xdr:cNvSpPr>
          <a:spLocks noChangeAspect="1" noChangeArrowheads="1"/>
        </xdr:cNvSpPr>
      </xdr:nvSpPr>
      <xdr:spPr bwMode="auto">
        <a:xfrm>
          <a:off x="46110525" y="49472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56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5110000}"/>
            </a:ext>
          </a:extLst>
        </xdr:cNvPr>
        <xdr:cNvSpPr>
          <a:spLocks noChangeAspect="1" noChangeArrowheads="1"/>
        </xdr:cNvSpPr>
      </xdr:nvSpPr>
      <xdr:spPr bwMode="auto">
        <a:xfrm>
          <a:off x="46110525" y="49472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56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6110000}"/>
            </a:ext>
          </a:extLst>
        </xdr:cNvPr>
        <xdr:cNvSpPr>
          <a:spLocks noChangeAspect="1" noChangeArrowheads="1"/>
        </xdr:cNvSpPr>
      </xdr:nvSpPr>
      <xdr:spPr bwMode="auto">
        <a:xfrm>
          <a:off x="46110525" y="497681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56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7110000}"/>
            </a:ext>
          </a:extLst>
        </xdr:cNvPr>
        <xdr:cNvSpPr>
          <a:spLocks noChangeAspect="1" noChangeArrowheads="1"/>
        </xdr:cNvSpPr>
      </xdr:nvSpPr>
      <xdr:spPr bwMode="auto">
        <a:xfrm>
          <a:off x="46110525" y="497681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56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8110000}"/>
            </a:ext>
          </a:extLst>
        </xdr:cNvPr>
        <xdr:cNvSpPr>
          <a:spLocks noChangeAspect="1" noChangeArrowheads="1"/>
        </xdr:cNvSpPr>
      </xdr:nvSpPr>
      <xdr:spPr bwMode="auto">
        <a:xfrm>
          <a:off x="46110525" y="50063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56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9110000}"/>
            </a:ext>
          </a:extLst>
        </xdr:cNvPr>
        <xdr:cNvSpPr>
          <a:spLocks noChangeAspect="1" noChangeArrowheads="1"/>
        </xdr:cNvSpPr>
      </xdr:nvSpPr>
      <xdr:spPr bwMode="auto">
        <a:xfrm>
          <a:off x="46110525" y="50063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57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A110000}"/>
            </a:ext>
          </a:extLst>
        </xdr:cNvPr>
        <xdr:cNvSpPr>
          <a:spLocks noChangeAspect="1" noChangeArrowheads="1"/>
        </xdr:cNvSpPr>
      </xdr:nvSpPr>
      <xdr:spPr bwMode="auto">
        <a:xfrm>
          <a:off x="46110525" y="503586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57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B110000}"/>
            </a:ext>
          </a:extLst>
        </xdr:cNvPr>
        <xdr:cNvSpPr>
          <a:spLocks noChangeAspect="1" noChangeArrowheads="1"/>
        </xdr:cNvSpPr>
      </xdr:nvSpPr>
      <xdr:spPr bwMode="auto">
        <a:xfrm>
          <a:off x="46110525" y="503586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57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C110000}"/>
            </a:ext>
          </a:extLst>
        </xdr:cNvPr>
        <xdr:cNvSpPr>
          <a:spLocks noChangeAspect="1" noChangeArrowheads="1"/>
        </xdr:cNvSpPr>
      </xdr:nvSpPr>
      <xdr:spPr bwMode="auto">
        <a:xfrm>
          <a:off x="46110525" y="50653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57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D110000}"/>
            </a:ext>
          </a:extLst>
        </xdr:cNvPr>
        <xdr:cNvSpPr>
          <a:spLocks noChangeAspect="1" noChangeArrowheads="1"/>
        </xdr:cNvSpPr>
      </xdr:nvSpPr>
      <xdr:spPr bwMode="auto">
        <a:xfrm>
          <a:off x="46110525" y="50653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57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E110000}"/>
            </a:ext>
          </a:extLst>
        </xdr:cNvPr>
        <xdr:cNvSpPr>
          <a:spLocks noChangeAspect="1" noChangeArrowheads="1"/>
        </xdr:cNvSpPr>
      </xdr:nvSpPr>
      <xdr:spPr bwMode="auto">
        <a:xfrm>
          <a:off x="46110525" y="50949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57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F110000}"/>
            </a:ext>
          </a:extLst>
        </xdr:cNvPr>
        <xdr:cNvSpPr>
          <a:spLocks noChangeAspect="1" noChangeArrowheads="1"/>
        </xdr:cNvSpPr>
      </xdr:nvSpPr>
      <xdr:spPr bwMode="auto">
        <a:xfrm>
          <a:off x="46110525" y="50949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57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0110000}"/>
            </a:ext>
          </a:extLst>
        </xdr:cNvPr>
        <xdr:cNvSpPr>
          <a:spLocks noChangeAspect="1" noChangeArrowheads="1"/>
        </xdr:cNvSpPr>
      </xdr:nvSpPr>
      <xdr:spPr bwMode="auto">
        <a:xfrm>
          <a:off x="46110525" y="51244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57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1110000}"/>
            </a:ext>
          </a:extLst>
        </xdr:cNvPr>
        <xdr:cNvSpPr>
          <a:spLocks noChangeAspect="1" noChangeArrowheads="1"/>
        </xdr:cNvSpPr>
      </xdr:nvSpPr>
      <xdr:spPr bwMode="auto">
        <a:xfrm>
          <a:off x="46110525" y="51244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57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2110000}"/>
            </a:ext>
          </a:extLst>
        </xdr:cNvPr>
        <xdr:cNvSpPr>
          <a:spLocks noChangeAspect="1" noChangeArrowheads="1"/>
        </xdr:cNvSpPr>
      </xdr:nvSpPr>
      <xdr:spPr bwMode="auto">
        <a:xfrm>
          <a:off x="46110525" y="515397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57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3110000}"/>
            </a:ext>
          </a:extLst>
        </xdr:cNvPr>
        <xdr:cNvSpPr>
          <a:spLocks noChangeAspect="1" noChangeArrowheads="1"/>
        </xdr:cNvSpPr>
      </xdr:nvSpPr>
      <xdr:spPr bwMode="auto">
        <a:xfrm>
          <a:off x="46110525" y="515397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58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4110000}"/>
            </a:ext>
          </a:extLst>
        </xdr:cNvPr>
        <xdr:cNvSpPr>
          <a:spLocks noChangeAspect="1" noChangeArrowheads="1"/>
        </xdr:cNvSpPr>
      </xdr:nvSpPr>
      <xdr:spPr bwMode="auto">
        <a:xfrm>
          <a:off x="46110525" y="51835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58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5110000}"/>
            </a:ext>
          </a:extLst>
        </xdr:cNvPr>
        <xdr:cNvSpPr>
          <a:spLocks noChangeAspect="1" noChangeArrowheads="1"/>
        </xdr:cNvSpPr>
      </xdr:nvSpPr>
      <xdr:spPr bwMode="auto">
        <a:xfrm>
          <a:off x="46110525" y="51835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58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6110000}"/>
            </a:ext>
          </a:extLst>
        </xdr:cNvPr>
        <xdr:cNvSpPr>
          <a:spLocks noChangeAspect="1" noChangeArrowheads="1"/>
        </xdr:cNvSpPr>
      </xdr:nvSpPr>
      <xdr:spPr bwMode="auto">
        <a:xfrm>
          <a:off x="46110525" y="52130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58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7110000}"/>
            </a:ext>
          </a:extLst>
        </xdr:cNvPr>
        <xdr:cNvSpPr>
          <a:spLocks noChangeAspect="1" noChangeArrowheads="1"/>
        </xdr:cNvSpPr>
      </xdr:nvSpPr>
      <xdr:spPr bwMode="auto">
        <a:xfrm>
          <a:off x="46110525" y="52130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58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8110000}"/>
            </a:ext>
          </a:extLst>
        </xdr:cNvPr>
        <xdr:cNvSpPr>
          <a:spLocks noChangeAspect="1" noChangeArrowheads="1"/>
        </xdr:cNvSpPr>
      </xdr:nvSpPr>
      <xdr:spPr bwMode="auto">
        <a:xfrm>
          <a:off x="46110525" y="52425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58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9110000}"/>
            </a:ext>
          </a:extLst>
        </xdr:cNvPr>
        <xdr:cNvSpPr>
          <a:spLocks noChangeAspect="1" noChangeArrowheads="1"/>
        </xdr:cNvSpPr>
      </xdr:nvSpPr>
      <xdr:spPr bwMode="auto">
        <a:xfrm>
          <a:off x="46110525" y="52425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58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A110000}"/>
            </a:ext>
          </a:extLst>
        </xdr:cNvPr>
        <xdr:cNvSpPr>
          <a:spLocks noChangeAspect="1" noChangeArrowheads="1"/>
        </xdr:cNvSpPr>
      </xdr:nvSpPr>
      <xdr:spPr bwMode="auto">
        <a:xfrm>
          <a:off x="46110525" y="52720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58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B110000}"/>
            </a:ext>
          </a:extLst>
        </xdr:cNvPr>
        <xdr:cNvSpPr>
          <a:spLocks noChangeAspect="1" noChangeArrowheads="1"/>
        </xdr:cNvSpPr>
      </xdr:nvSpPr>
      <xdr:spPr bwMode="auto">
        <a:xfrm>
          <a:off x="46110525" y="52720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58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C110000}"/>
            </a:ext>
          </a:extLst>
        </xdr:cNvPr>
        <xdr:cNvSpPr>
          <a:spLocks noChangeAspect="1" noChangeArrowheads="1"/>
        </xdr:cNvSpPr>
      </xdr:nvSpPr>
      <xdr:spPr bwMode="auto">
        <a:xfrm>
          <a:off x="46110525" y="53016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58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D110000}"/>
            </a:ext>
          </a:extLst>
        </xdr:cNvPr>
        <xdr:cNvSpPr>
          <a:spLocks noChangeAspect="1" noChangeArrowheads="1"/>
        </xdr:cNvSpPr>
      </xdr:nvSpPr>
      <xdr:spPr bwMode="auto">
        <a:xfrm>
          <a:off x="46110525" y="53016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59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E110000}"/>
            </a:ext>
          </a:extLst>
        </xdr:cNvPr>
        <xdr:cNvSpPr>
          <a:spLocks noChangeAspect="1" noChangeArrowheads="1"/>
        </xdr:cNvSpPr>
      </xdr:nvSpPr>
      <xdr:spPr bwMode="auto">
        <a:xfrm>
          <a:off x="46110525" y="533114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59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F110000}"/>
            </a:ext>
          </a:extLst>
        </xdr:cNvPr>
        <xdr:cNvSpPr>
          <a:spLocks noChangeAspect="1" noChangeArrowheads="1"/>
        </xdr:cNvSpPr>
      </xdr:nvSpPr>
      <xdr:spPr bwMode="auto">
        <a:xfrm>
          <a:off x="46110525" y="533114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59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0110000}"/>
            </a:ext>
          </a:extLst>
        </xdr:cNvPr>
        <xdr:cNvSpPr>
          <a:spLocks noChangeAspect="1" noChangeArrowheads="1"/>
        </xdr:cNvSpPr>
      </xdr:nvSpPr>
      <xdr:spPr bwMode="auto">
        <a:xfrm>
          <a:off x="46110525" y="53606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59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1110000}"/>
            </a:ext>
          </a:extLst>
        </xdr:cNvPr>
        <xdr:cNvSpPr>
          <a:spLocks noChangeAspect="1" noChangeArrowheads="1"/>
        </xdr:cNvSpPr>
      </xdr:nvSpPr>
      <xdr:spPr bwMode="auto">
        <a:xfrm>
          <a:off x="46110525" y="53606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59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2110000}"/>
            </a:ext>
          </a:extLst>
        </xdr:cNvPr>
        <xdr:cNvSpPr>
          <a:spLocks noChangeAspect="1" noChangeArrowheads="1"/>
        </xdr:cNvSpPr>
      </xdr:nvSpPr>
      <xdr:spPr bwMode="auto">
        <a:xfrm>
          <a:off x="46110525" y="539019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59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3110000}"/>
            </a:ext>
          </a:extLst>
        </xdr:cNvPr>
        <xdr:cNvSpPr>
          <a:spLocks noChangeAspect="1" noChangeArrowheads="1"/>
        </xdr:cNvSpPr>
      </xdr:nvSpPr>
      <xdr:spPr bwMode="auto">
        <a:xfrm>
          <a:off x="46110525" y="539019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59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4110000}"/>
            </a:ext>
          </a:extLst>
        </xdr:cNvPr>
        <xdr:cNvSpPr>
          <a:spLocks noChangeAspect="1" noChangeArrowheads="1"/>
        </xdr:cNvSpPr>
      </xdr:nvSpPr>
      <xdr:spPr bwMode="auto">
        <a:xfrm>
          <a:off x="46110525" y="54197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59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5110000}"/>
            </a:ext>
          </a:extLst>
        </xdr:cNvPr>
        <xdr:cNvSpPr>
          <a:spLocks noChangeAspect="1" noChangeArrowheads="1"/>
        </xdr:cNvSpPr>
      </xdr:nvSpPr>
      <xdr:spPr bwMode="auto">
        <a:xfrm>
          <a:off x="46110525" y="54197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59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6110000}"/>
            </a:ext>
          </a:extLst>
        </xdr:cNvPr>
        <xdr:cNvSpPr>
          <a:spLocks noChangeAspect="1" noChangeArrowheads="1"/>
        </xdr:cNvSpPr>
      </xdr:nvSpPr>
      <xdr:spPr bwMode="auto">
        <a:xfrm>
          <a:off x="46110525" y="54492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59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7110000}"/>
            </a:ext>
          </a:extLst>
        </xdr:cNvPr>
        <xdr:cNvSpPr>
          <a:spLocks noChangeAspect="1" noChangeArrowheads="1"/>
        </xdr:cNvSpPr>
      </xdr:nvSpPr>
      <xdr:spPr bwMode="auto">
        <a:xfrm>
          <a:off x="46110525" y="54492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60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8110000}"/>
            </a:ext>
          </a:extLst>
        </xdr:cNvPr>
        <xdr:cNvSpPr>
          <a:spLocks noChangeAspect="1" noChangeArrowheads="1"/>
        </xdr:cNvSpPr>
      </xdr:nvSpPr>
      <xdr:spPr bwMode="auto">
        <a:xfrm>
          <a:off x="46110525" y="54787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60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9110000}"/>
            </a:ext>
          </a:extLst>
        </xdr:cNvPr>
        <xdr:cNvSpPr>
          <a:spLocks noChangeAspect="1" noChangeArrowheads="1"/>
        </xdr:cNvSpPr>
      </xdr:nvSpPr>
      <xdr:spPr bwMode="auto">
        <a:xfrm>
          <a:off x="46110525" y="54787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60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A110000}"/>
            </a:ext>
          </a:extLst>
        </xdr:cNvPr>
        <xdr:cNvSpPr>
          <a:spLocks noChangeAspect="1" noChangeArrowheads="1"/>
        </xdr:cNvSpPr>
      </xdr:nvSpPr>
      <xdr:spPr bwMode="auto">
        <a:xfrm>
          <a:off x="46110525" y="55083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60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B110000}"/>
            </a:ext>
          </a:extLst>
        </xdr:cNvPr>
        <xdr:cNvSpPr>
          <a:spLocks noChangeAspect="1" noChangeArrowheads="1"/>
        </xdr:cNvSpPr>
      </xdr:nvSpPr>
      <xdr:spPr bwMode="auto">
        <a:xfrm>
          <a:off x="46110525" y="55083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60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C110000}"/>
            </a:ext>
          </a:extLst>
        </xdr:cNvPr>
        <xdr:cNvSpPr>
          <a:spLocks noChangeAspect="1" noChangeArrowheads="1"/>
        </xdr:cNvSpPr>
      </xdr:nvSpPr>
      <xdr:spPr bwMode="auto">
        <a:xfrm>
          <a:off x="46110525" y="55378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60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D110000}"/>
            </a:ext>
          </a:extLst>
        </xdr:cNvPr>
        <xdr:cNvSpPr>
          <a:spLocks noChangeAspect="1" noChangeArrowheads="1"/>
        </xdr:cNvSpPr>
      </xdr:nvSpPr>
      <xdr:spPr bwMode="auto">
        <a:xfrm>
          <a:off x="46110525" y="55378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60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E110000}"/>
            </a:ext>
          </a:extLst>
        </xdr:cNvPr>
        <xdr:cNvSpPr>
          <a:spLocks noChangeAspect="1" noChangeArrowheads="1"/>
        </xdr:cNvSpPr>
      </xdr:nvSpPr>
      <xdr:spPr bwMode="auto">
        <a:xfrm>
          <a:off x="46110525" y="55673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60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F110000}"/>
            </a:ext>
          </a:extLst>
        </xdr:cNvPr>
        <xdr:cNvSpPr>
          <a:spLocks noChangeAspect="1" noChangeArrowheads="1"/>
        </xdr:cNvSpPr>
      </xdr:nvSpPr>
      <xdr:spPr bwMode="auto">
        <a:xfrm>
          <a:off x="46110525" y="55673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60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0120000}"/>
            </a:ext>
          </a:extLst>
        </xdr:cNvPr>
        <xdr:cNvSpPr>
          <a:spLocks noChangeAspect="1" noChangeArrowheads="1"/>
        </xdr:cNvSpPr>
      </xdr:nvSpPr>
      <xdr:spPr bwMode="auto">
        <a:xfrm>
          <a:off x="46110525" y="55968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60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1120000}"/>
            </a:ext>
          </a:extLst>
        </xdr:cNvPr>
        <xdr:cNvSpPr>
          <a:spLocks noChangeAspect="1" noChangeArrowheads="1"/>
        </xdr:cNvSpPr>
      </xdr:nvSpPr>
      <xdr:spPr bwMode="auto">
        <a:xfrm>
          <a:off x="46110525" y="55968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61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2120000}"/>
            </a:ext>
          </a:extLst>
        </xdr:cNvPr>
        <xdr:cNvSpPr>
          <a:spLocks noChangeAspect="1" noChangeArrowheads="1"/>
        </xdr:cNvSpPr>
      </xdr:nvSpPr>
      <xdr:spPr bwMode="auto">
        <a:xfrm>
          <a:off x="46110525" y="562641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61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3120000}"/>
            </a:ext>
          </a:extLst>
        </xdr:cNvPr>
        <xdr:cNvSpPr>
          <a:spLocks noChangeAspect="1" noChangeArrowheads="1"/>
        </xdr:cNvSpPr>
      </xdr:nvSpPr>
      <xdr:spPr bwMode="auto">
        <a:xfrm>
          <a:off x="46110525" y="562641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61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4120000}"/>
            </a:ext>
          </a:extLst>
        </xdr:cNvPr>
        <xdr:cNvSpPr>
          <a:spLocks noChangeAspect="1" noChangeArrowheads="1"/>
        </xdr:cNvSpPr>
      </xdr:nvSpPr>
      <xdr:spPr bwMode="auto">
        <a:xfrm>
          <a:off x="46110525" y="56559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61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5120000}"/>
            </a:ext>
          </a:extLst>
        </xdr:cNvPr>
        <xdr:cNvSpPr>
          <a:spLocks noChangeAspect="1" noChangeArrowheads="1"/>
        </xdr:cNvSpPr>
      </xdr:nvSpPr>
      <xdr:spPr bwMode="auto">
        <a:xfrm>
          <a:off x="46110525" y="56559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61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6120000}"/>
            </a:ext>
          </a:extLst>
        </xdr:cNvPr>
        <xdr:cNvSpPr>
          <a:spLocks noChangeAspect="1" noChangeArrowheads="1"/>
        </xdr:cNvSpPr>
      </xdr:nvSpPr>
      <xdr:spPr bwMode="auto">
        <a:xfrm>
          <a:off x="46110525" y="568547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61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7120000}"/>
            </a:ext>
          </a:extLst>
        </xdr:cNvPr>
        <xdr:cNvSpPr>
          <a:spLocks noChangeAspect="1" noChangeArrowheads="1"/>
        </xdr:cNvSpPr>
      </xdr:nvSpPr>
      <xdr:spPr bwMode="auto">
        <a:xfrm>
          <a:off x="46110525" y="568547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61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8120000}"/>
            </a:ext>
          </a:extLst>
        </xdr:cNvPr>
        <xdr:cNvSpPr>
          <a:spLocks noChangeAspect="1" noChangeArrowheads="1"/>
        </xdr:cNvSpPr>
      </xdr:nvSpPr>
      <xdr:spPr bwMode="auto">
        <a:xfrm>
          <a:off x="46110525" y="5715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61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9120000}"/>
            </a:ext>
          </a:extLst>
        </xdr:cNvPr>
        <xdr:cNvSpPr>
          <a:spLocks noChangeAspect="1" noChangeArrowheads="1"/>
        </xdr:cNvSpPr>
      </xdr:nvSpPr>
      <xdr:spPr bwMode="auto">
        <a:xfrm>
          <a:off x="46110525" y="5715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61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A120000}"/>
            </a:ext>
          </a:extLst>
        </xdr:cNvPr>
        <xdr:cNvSpPr>
          <a:spLocks noChangeAspect="1" noChangeArrowheads="1"/>
        </xdr:cNvSpPr>
      </xdr:nvSpPr>
      <xdr:spPr bwMode="auto">
        <a:xfrm>
          <a:off x="46110525" y="574452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61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B120000}"/>
            </a:ext>
          </a:extLst>
        </xdr:cNvPr>
        <xdr:cNvSpPr>
          <a:spLocks noChangeAspect="1" noChangeArrowheads="1"/>
        </xdr:cNvSpPr>
      </xdr:nvSpPr>
      <xdr:spPr bwMode="auto">
        <a:xfrm>
          <a:off x="46110525" y="574452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62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C120000}"/>
            </a:ext>
          </a:extLst>
        </xdr:cNvPr>
        <xdr:cNvSpPr>
          <a:spLocks noChangeAspect="1" noChangeArrowheads="1"/>
        </xdr:cNvSpPr>
      </xdr:nvSpPr>
      <xdr:spPr bwMode="auto">
        <a:xfrm>
          <a:off x="46110525" y="57740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62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D120000}"/>
            </a:ext>
          </a:extLst>
        </xdr:cNvPr>
        <xdr:cNvSpPr>
          <a:spLocks noChangeAspect="1" noChangeArrowheads="1"/>
        </xdr:cNvSpPr>
      </xdr:nvSpPr>
      <xdr:spPr bwMode="auto">
        <a:xfrm>
          <a:off x="46110525" y="57740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62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E120000}"/>
            </a:ext>
          </a:extLst>
        </xdr:cNvPr>
        <xdr:cNvSpPr>
          <a:spLocks noChangeAspect="1" noChangeArrowheads="1"/>
        </xdr:cNvSpPr>
      </xdr:nvSpPr>
      <xdr:spPr bwMode="auto">
        <a:xfrm>
          <a:off x="46110525" y="58035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62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F120000}"/>
            </a:ext>
          </a:extLst>
        </xdr:cNvPr>
        <xdr:cNvSpPr>
          <a:spLocks noChangeAspect="1" noChangeArrowheads="1"/>
        </xdr:cNvSpPr>
      </xdr:nvSpPr>
      <xdr:spPr bwMode="auto">
        <a:xfrm>
          <a:off x="46110525" y="58035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62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0120000}"/>
            </a:ext>
          </a:extLst>
        </xdr:cNvPr>
        <xdr:cNvSpPr>
          <a:spLocks noChangeAspect="1" noChangeArrowheads="1"/>
        </xdr:cNvSpPr>
      </xdr:nvSpPr>
      <xdr:spPr bwMode="auto">
        <a:xfrm>
          <a:off x="46110525" y="58331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62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1120000}"/>
            </a:ext>
          </a:extLst>
        </xdr:cNvPr>
        <xdr:cNvSpPr>
          <a:spLocks noChangeAspect="1" noChangeArrowheads="1"/>
        </xdr:cNvSpPr>
      </xdr:nvSpPr>
      <xdr:spPr bwMode="auto">
        <a:xfrm>
          <a:off x="46110525" y="58331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62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2120000}"/>
            </a:ext>
          </a:extLst>
        </xdr:cNvPr>
        <xdr:cNvSpPr>
          <a:spLocks noChangeAspect="1" noChangeArrowheads="1"/>
        </xdr:cNvSpPr>
      </xdr:nvSpPr>
      <xdr:spPr bwMode="auto">
        <a:xfrm>
          <a:off x="46110525" y="58626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62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3120000}"/>
            </a:ext>
          </a:extLst>
        </xdr:cNvPr>
        <xdr:cNvSpPr>
          <a:spLocks noChangeAspect="1" noChangeArrowheads="1"/>
        </xdr:cNvSpPr>
      </xdr:nvSpPr>
      <xdr:spPr bwMode="auto">
        <a:xfrm>
          <a:off x="46110525" y="58626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62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4120000}"/>
            </a:ext>
          </a:extLst>
        </xdr:cNvPr>
        <xdr:cNvSpPr>
          <a:spLocks noChangeAspect="1" noChangeArrowheads="1"/>
        </xdr:cNvSpPr>
      </xdr:nvSpPr>
      <xdr:spPr bwMode="auto">
        <a:xfrm>
          <a:off x="46110525" y="58921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62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5120000}"/>
            </a:ext>
          </a:extLst>
        </xdr:cNvPr>
        <xdr:cNvSpPr>
          <a:spLocks noChangeAspect="1" noChangeArrowheads="1"/>
        </xdr:cNvSpPr>
      </xdr:nvSpPr>
      <xdr:spPr bwMode="auto">
        <a:xfrm>
          <a:off x="46110525" y="58921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63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6120000}"/>
            </a:ext>
          </a:extLst>
        </xdr:cNvPr>
        <xdr:cNvSpPr>
          <a:spLocks noChangeAspect="1" noChangeArrowheads="1"/>
        </xdr:cNvSpPr>
      </xdr:nvSpPr>
      <xdr:spPr bwMode="auto">
        <a:xfrm>
          <a:off x="46110525" y="592169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63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7120000}"/>
            </a:ext>
          </a:extLst>
        </xdr:cNvPr>
        <xdr:cNvSpPr>
          <a:spLocks noChangeAspect="1" noChangeArrowheads="1"/>
        </xdr:cNvSpPr>
      </xdr:nvSpPr>
      <xdr:spPr bwMode="auto">
        <a:xfrm>
          <a:off x="46110525" y="592169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63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8120000}"/>
            </a:ext>
          </a:extLst>
        </xdr:cNvPr>
        <xdr:cNvSpPr>
          <a:spLocks noChangeAspect="1" noChangeArrowheads="1"/>
        </xdr:cNvSpPr>
      </xdr:nvSpPr>
      <xdr:spPr bwMode="auto">
        <a:xfrm>
          <a:off x="46110525" y="59512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63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9120000}"/>
            </a:ext>
          </a:extLst>
        </xdr:cNvPr>
        <xdr:cNvSpPr>
          <a:spLocks noChangeAspect="1" noChangeArrowheads="1"/>
        </xdr:cNvSpPr>
      </xdr:nvSpPr>
      <xdr:spPr bwMode="auto">
        <a:xfrm>
          <a:off x="46110525" y="59512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63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A120000}"/>
            </a:ext>
          </a:extLst>
        </xdr:cNvPr>
        <xdr:cNvSpPr>
          <a:spLocks noChangeAspect="1" noChangeArrowheads="1"/>
        </xdr:cNvSpPr>
      </xdr:nvSpPr>
      <xdr:spPr bwMode="auto">
        <a:xfrm>
          <a:off x="46110525" y="598074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63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B120000}"/>
            </a:ext>
          </a:extLst>
        </xdr:cNvPr>
        <xdr:cNvSpPr>
          <a:spLocks noChangeAspect="1" noChangeArrowheads="1"/>
        </xdr:cNvSpPr>
      </xdr:nvSpPr>
      <xdr:spPr bwMode="auto">
        <a:xfrm>
          <a:off x="46110525" y="598074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63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C120000}"/>
            </a:ext>
          </a:extLst>
        </xdr:cNvPr>
        <xdr:cNvSpPr>
          <a:spLocks noChangeAspect="1" noChangeArrowheads="1"/>
        </xdr:cNvSpPr>
      </xdr:nvSpPr>
      <xdr:spPr bwMode="auto">
        <a:xfrm>
          <a:off x="46110525" y="60102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63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D120000}"/>
            </a:ext>
          </a:extLst>
        </xdr:cNvPr>
        <xdr:cNvSpPr>
          <a:spLocks noChangeAspect="1" noChangeArrowheads="1"/>
        </xdr:cNvSpPr>
      </xdr:nvSpPr>
      <xdr:spPr bwMode="auto">
        <a:xfrm>
          <a:off x="46110525" y="60102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63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E120000}"/>
            </a:ext>
          </a:extLst>
        </xdr:cNvPr>
        <xdr:cNvSpPr>
          <a:spLocks noChangeAspect="1" noChangeArrowheads="1"/>
        </xdr:cNvSpPr>
      </xdr:nvSpPr>
      <xdr:spPr bwMode="auto">
        <a:xfrm>
          <a:off x="46110525" y="60398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63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F120000}"/>
            </a:ext>
          </a:extLst>
        </xdr:cNvPr>
        <xdr:cNvSpPr>
          <a:spLocks noChangeAspect="1" noChangeArrowheads="1"/>
        </xdr:cNvSpPr>
      </xdr:nvSpPr>
      <xdr:spPr bwMode="auto">
        <a:xfrm>
          <a:off x="46110525" y="60398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64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0120000}"/>
            </a:ext>
          </a:extLst>
        </xdr:cNvPr>
        <xdr:cNvSpPr>
          <a:spLocks noChangeAspect="1" noChangeArrowheads="1"/>
        </xdr:cNvSpPr>
      </xdr:nvSpPr>
      <xdr:spPr bwMode="auto">
        <a:xfrm>
          <a:off x="46110525" y="60693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64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1120000}"/>
            </a:ext>
          </a:extLst>
        </xdr:cNvPr>
        <xdr:cNvSpPr>
          <a:spLocks noChangeAspect="1" noChangeArrowheads="1"/>
        </xdr:cNvSpPr>
      </xdr:nvSpPr>
      <xdr:spPr bwMode="auto">
        <a:xfrm>
          <a:off x="46110525" y="60693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64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2120000}"/>
            </a:ext>
          </a:extLst>
        </xdr:cNvPr>
        <xdr:cNvSpPr>
          <a:spLocks noChangeAspect="1" noChangeArrowheads="1"/>
        </xdr:cNvSpPr>
      </xdr:nvSpPr>
      <xdr:spPr bwMode="auto">
        <a:xfrm>
          <a:off x="46110525" y="60988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64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3120000}"/>
            </a:ext>
          </a:extLst>
        </xdr:cNvPr>
        <xdr:cNvSpPr>
          <a:spLocks noChangeAspect="1" noChangeArrowheads="1"/>
        </xdr:cNvSpPr>
      </xdr:nvSpPr>
      <xdr:spPr bwMode="auto">
        <a:xfrm>
          <a:off x="46110525" y="60988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64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4120000}"/>
            </a:ext>
          </a:extLst>
        </xdr:cNvPr>
        <xdr:cNvSpPr>
          <a:spLocks noChangeAspect="1" noChangeArrowheads="1"/>
        </xdr:cNvSpPr>
      </xdr:nvSpPr>
      <xdr:spPr bwMode="auto">
        <a:xfrm>
          <a:off x="46110525" y="61283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64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5120000}"/>
            </a:ext>
          </a:extLst>
        </xdr:cNvPr>
        <xdr:cNvSpPr>
          <a:spLocks noChangeAspect="1" noChangeArrowheads="1"/>
        </xdr:cNvSpPr>
      </xdr:nvSpPr>
      <xdr:spPr bwMode="auto">
        <a:xfrm>
          <a:off x="46110525" y="61283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64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6120000}"/>
            </a:ext>
          </a:extLst>
        </xdr:cNvPr>
        <xdr:cNvSpPr>
          <a:spLocks noChangeAspect="1" noChangeArrowheads="1"/>
        </xdr:cNvSpPr>
      </xdr:nvSpPr>
      <xdr:spPr bwMode="auto">
        <a:xfrm>
          <a:off x="46110525" y="615791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64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7120000}"/>
            </a:ext>
          </a:extLst>
        </xdr:cNvPr>
        <xdr:cNvSpPr>
          <a:spLocks noChangeAspect="1" noChangeArrowheads="1"/>
        </xdr:cNvSpPr>
      </xdr:nvSpPr>
      <xdr:spPr bwMode="auto">
        <a:xfrm>
          <a:off x="46110525" y="615791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64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8120000}"/>
            </a:ext>
          </a:extLst>
        </xdr:cNvPr>
        <xdr:cNvSpPr>
          <a:spLocks noChangeAspect="1" noChangeArrowheads="1"/>
        </xdr:cNvSpPr>
      </xdr:nvSpPr>
      <xdr:spPr bwMode="auto">
        <a:xfrm>
          <a:off x="46110525" y="61874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64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9120000}"/>
            </a:ext>
          </a:extLst>
        </xdr:cNvPr>
        <xdr:cNvSpPr>
          <a:spLocks noChangeAspect="1" noChangeArrowheads="1"/>
        </xdr:cNvSpPr>
      </xdr:nvSpPr>
      <xdr:spPr bwMode="auto">
        <a:xfrm>
          <a:off x="46110525" y="61874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65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A120000}"/>
            </a:ext>
          </a:extLst>
        </xdr:cNvPr>
        <xdr:cNvSpPr>
          <a:spLocks noChangeAspect="1" noChangeArrowheads="1"/>
        </xdr:cNvSpPr>
      </xdr:nvSpPr>
      <xdr:spPr bwMode="auto">
        <a:xfrm>
          <a:off x="46110525" y="621696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65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B120000}"/>
            </a:ext>
          </a:extLst>
        </xdr:cNvPr>
        <xdr:cNvSpPr>
          <a:spLocks noChangeAspect="1" noChangeArrowheads="1"/>
        </xdr:cNvSpPr>
      </xdr:nvSpPr>
      <xdr:spPr bwMode="auto">
        <a:xfrm>
          <a:off x="46110525" y="621696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65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C120000}"/>
            </a:ext>
          </a:extLst>
        </xdr:cNvPr>
        <xdr:cNvSpPr>
          <a:spLocks noChangeAspect="1" noChangeArrowheads="1"/>
        </xdr:cNvSpPr>
      </xdr:nvSpPr>
      <xdr:spPr bwMode="auto">
        <a:xfrm>
          <a:off x="46110525" y="62464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65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D120000}"/>
            </a:ext>
          </a:extLst>
        </xdr:cNvPr>
        <xdr:cNvSpPr>
          <a:spLocks noChangeAspect="1" noChangeArrowheads="1"/>
        </xdr:cNvSpPr>
      </xdr:nvSpPr>
      <xdr:spPr bwMode="auto">
        <a:xfrm>
          <a:off x="46110525" y="62464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65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E120000}"/>
            </a:ext>
          </a:extLst>
        </xdr:cNvPr>
        <xdr:cNvSpPr>
          <a:spLocks noChangeAspect="1" noChangeArrowheads="1"/>
        </xdr:cNvSpPr>
      </xdr:nvSpPr>
      <xdr:spPr bwMode="auto">
        <a:xfrm>
          <a:off x="46110525" y="62760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65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F120000}"/>
            </a:ext>
          </a:extLst>
        </xdr:cNvPr>
        <xdr:cNvSpPr>
          <a:spLocks noChangeAspect="1" noChangeArrowheads="1"/>
        </xdr:cNvSpPr>
      </xdr:nvSpPr>
      <xdr:spPr bwMode="auto">
        <a:xfrm>
          <a:off x="46110525" y="62760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65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0120000}"/>
            </a:ext>
          </a:extLst>
        </xdr:cNvPr>
        <xdr:cNvSpPr>
          <a:spLocks noChangeAspect="1" noChangeArrowheads="1"/>
        </xdr:cNvSpPr>
      </xdr:nvSpPr>
      <xdr:spPr bwMode="auto">
        <a:xfrm>
          <a:off x="46110525" y="63055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65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1120000}"/>
            </a:ext>
          </a:extLst>
        </xdr:cNvPr>
        <xdr:cNvSpPr>
          <a:spLocks noChangeAspect="1" noChangeArrowheads="1"/>
        </xdr:cNvSpPr>
      </xdr:nvSpPr>
      <xdr:spPr bwMode="auto">
        <a:xfrm>
          <a:off x="46110525" y="63055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65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2120000}"/>
            </a:ext>
          </a:extLst>
        </xdr:cNvPr>
        <xdr:cNvSpPr>
          <a:spLocks noChangeAspect="1" noChangeArrowheads="1"/>
        </xdr:cNvSpPr>
      </xdr:nvSpPr>
      <xdr:spPr bwMode="auto">
        <a:xfrm>
          <a:off x="46110525" y="633507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65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3120000}"/>
            </a:ext>
          </a:extLst>
        </xdr:cNvPr>
        <xdr:cNvSpPr>
          <a:spLocks noChangeAspect="1" noChangeArrowheads="1"/>
        </xdr:cNvSpPr>
      </xdr:nvSpPr>
      <xdr:spPr bwMode="auto">
        <a:xfrm>
          <a:off x="46110525" y="633507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66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4120000}"/>
            </a:ext>
          </a:extLst>
        </xdr:cNvPr>
        <xdr:cNvSpPr>
          <a:spLocks noChangeAspect="1" noChangeArrowheads="1"/>
        </xdr:cNvSpPr>
      </xdr:nvSpPr>
      <xdr:spPr bwMode="auto">
        <a:xfrm>
          <a:off x="46110525" y="63646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66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5120000}"/>
            </a:ext>
          </a:extLst>
        </xdr:cNvPr>
        <xdr:cNvSpPr>
          <a:spLocks noChangeAspect="1" noChangeArrowheads="1"/>
        </xdr:cNvSpPr>
      </xdr:nvSpPr>
      <xdr:spPr bwMode="auto">
        <a:xfrm>
          <a:off x="46110525" y="63646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66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6120000}"/>
            </a:ext>
          </a:extLst>
        </xdr:cNvPr>
        <xdr:cNvSpPr>
          <a:spLocks noChangeAspect="1" noChangeArrowheads="1"/>
        </xdr:cNvSpPr>
      </xdr:nvSpPr>
      <xdr:spPr bwMode="auto">
        <a:xfrm>
          <a:off x="46110525" y="63941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66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7120000}"/>
            </a:ext>
          </a:extLst>
        </xdr:cNvPr>
        <xdr:cNvSpPr>
          <a:spLocks noChangeAspect="1" noChangeArrowheads="1"/>
        </xdr:cNvSpPr>
      </xdr:nvSpPr>
      <xdr:spPr bwMode="auto">
        <a:xfrm>
          <a:off x="46110525" y="63941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66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8120000}"/>
            </a:ext>
          </a:extLst>
        </xdr:cNvPr>
        <xdr:cNvSpPr>
          <a:spLocks noChangeAspect="1" noChangeArrowheads="1"/>
        </xdr:cNvSpPr>
      </xdr:nvSpPr>
      <xdr:spPr bwMode="auto">
        <a:xfrm>
          <a:off x="46110525" y="64236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66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9120000}"/>
            </a:ext>
          </a:extLst>
        </xdr:cNvPr>
        <xdr:cNvSpPr>
          <a:spLocks noChangeAspect="1" noChangeArrowheads="1"/>
        </xdr:cNvSpPr>
      </xdr:nvSpPr>
      <xdr:spPr bwMode="auto">
        <a:xfrm>
          <a:off x="46110525" y="64236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66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A120000}"/>
            </a:ext>
          </a:extLst>
        </xdr:cNvPr>
        <xdr:cNvSpPr>
          <a:spLocks noChangeAspect="1" noChangeArrowheads="1"/>
        </xdr:cNvSpPr>
      </xdr:nvSpPr>
      <xdr:spPr bwMode="auto">
        <a:xfrm>
          <a:off x="46110525" y="64531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66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B120000}"/>
            </a:ext>
          </a:extLst>
        </xdr:cNvPr>
        <xdr:cNvSpPr>
          <a:spLocks noChangeAspect="1" noChangeArrowheads="1"/>
        </xdr:cNvSpPr>
      </xdr:nvSpPr>
      <xdr:spPr bwMode="auto">
        <a:xfrm>
          <a:off x="46110525" y="64531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66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C120000}"/>
            </a:ext>
          </a:extLst>
        </xdr:cNvPr>
        <xdr:cNvSpPr>
          <a:spLocks noChangeAspect="1" noChangeArrowheads="1"/>
        </xdr:cNvSpPr>
      </xdr:nvSpPr>
      <xdr:spPr bwMode="auto">
        <a:xfrm>
          <a:off x="46110525" y="64827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66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D120000}"/>
            </a:ext>
          </a:extLst>
        </xdr:cNvPr>
        <xdr:cNvSpPr>
          <a:spLocks noChangeAspect="1" noChangeArrowheads="1"/>
        </xdr:cNvSpPr>
      </xdr:nvSpPr>
      <xdr:spPr bwMode="auto">
        <a:xfrm>
          <a:off x="46110525" y="64827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67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E120000}"/>
            </a:ext>
          </a:extLst>
        </xdr:cNvPr>
        <xdr:cNvSpPr>
          <a:spLocks noChangeAspect="1" noChangeArrowheads="1"/>
        </xdr:cNvSpPr>
      </xdr:nvSpPr>
      <xdr:spPr bwMode="auto">
        <a:xfrm>
          <a:off x="46110525" y="651224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67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F120000}"/>
            </a:ext>
          </a:extLst>
        </xdr:cNvPr>
        <xdr:cNvSpPr>
          <a:spLocks noChangeAspect="1" noChangeArrowheads="1"/>
        </xdr:cNvSpPr>
      </xdr:nvSpPr>
      <xdr:spPr bwMode="auto">
        <a:xfrm>
          <a:off x="46110525" y="651224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67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0120000}"/>
            </a:ext>
          </a:extLst>
        </xdr:cNvPr>
        <xdr:cNvSpPr>
          <a:spLocks noChangeAspect="1" noChangeArrowheads="1"/>
        </xdr:cNvSpPr>
      </xdr:nvSpPr>
      <xdr:spPr bwMode="auto">
        <a:xfrm>
          <a:off x="46110525" y="6541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67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1120000}"/>
            </a:ext>
          </a:extLst>
        </xdr:cNvPr>
        <xdr:cNvSpPr>
          <a:spLocks noChangeAspect="1" noChangeArrowheads="1"/>
        </xdr:cNvSpPr>
      </xdr:nvSpPr>
      <xdr:spPr bwMode="auto">
        <a:xfrm>
          <a:off x="46110525" y="6541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67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2120000}"/>
            </a:ext>
          </a:extLst>
        </xdr:cNvPr>
        <xdr:cNvSpPr>
          <a:spLocks noChangeAspect="1" noChangeArrowheads="1"/>
        </xdr:cNvSpPr>
      </xdr:nvSpPr>
      <xdr:spPr bwMode="auto">
        <a:xfrm>
          <a:off x="46110525" y="66008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67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3120000}"/>
            </a:ext>
          </a:extLst>
        </xdr:cNvPr>
        <xdr:cNvSpPr>
          <a:spLocks noChangeAspect="1" noChangeArrowheads="1"/>
        </xdr:cNvSpPr>
      </xdr:nvSpPr>
      <xdr:spPr bwMode="auto">
        <a:xfrm>
          <a:off x="46110525" y="66303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67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4120000}"/>
            </a:ext>
          </a:extLst>
        </xdr:cNvPr>
        <xdr:cNvSpPr>
          <a:spLocks noChangeAspect="1" noChangeArrowheads="1"/>
        </xdr:cNvSpPr>
      </xdr:nvSpPr>
      <xdr:spPr bwMode="auto">
        <a:xfrm>
          <a:off x="46110525" y="66303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67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5120000}"/>
            </a:ext>
          </a:extLst>
        </xdr:cNvPr>
        <xdr:cNvSpPr>
          <a:spLocks noChangeAspect="1" noChangeArrowheads="1"/>
        </xdr:cNvSpPr>
      </xdr:nvSpPr>
      <xdr:spPr bwMode="auto">
        <a:xfrm>
          <a:off x="46110525" y="66598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67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6120000}"/>
            </a:ext>
          </a:extLst>
        </xdr:cNvPr>
        <xdr:cNvSpPr>
          <a:spLocks noChangeAspect="1" noChangeArrowheads="1"/>
        </xdr:cNvSpPr>
      </xdr:nvSpPr>
      <xdr:spPr bwMode="auto">
        <a:xfrm>
          <a:off x="46110525" y="66598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67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7120000}"/>
            </a:ext>
          </a:extLst>
        </xdr:cNvPr>
        <xdr:cNvSpPr>
          <a:spLocks noChangeAspect="1" noChangeArrowheads="1"/>
        </xdr:cNvSpPr>
      </xdr:nvSpPr>
      <xdr:spPr bwMode="auto">
        <a:xfrm>
          <a:off x="46110525" y="66894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68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8120000}"/>
            </a:ext>
          </a:extLst>
        </xdr:cNvPr>
        <xdr:cNvSpPr>
          <a:spLocks noChangeAspect="1" noChangeArrowheads="1"/>
        </xdr:cNvSpPr>
      </xdr:nvSpPr>
      <xdr:spPr bwMode="auto">
        <a:xfrm>
          <a:off x="46110525" y="66894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68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9120000}"/>
            </a:ext>
          </a:extLst>
        </xdr:cNvPr>
        <xdr:cNvSpPr>
          <a:spLocks noChangeAspect="1" noChangeArrowheads="1"/>
        </xdr:cNvSpPr>
      </xdr:nvSpPr>
      <xdr:spPr bwMode="auto">
        <a:xfrm>
          <a:off x="46110525" y="67189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68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A120000}"/>
            </a:ext>
          </a:extLst>
        </xdr:cNvPr>
        <xdr:cNvSpPr>
          <a:spLocks noChangeAspect="1" noChangeArrowheads="1"/>
        </xdr:cNvSpPr>
      </xdr:nvSpPr>
      <xdr:spPr bwMode="auto">
        <a:xfrm>
          <a:off x="46110525" y="67189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68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B120000}"/>
            </a:ext>
          </a:extLst>
        </xdr:cNvPr>
        <xdr:cNvSpPr>
          <a:spLocks noChangeAspect="1" noChangeArrowheads="1"/>
        </xdr:cNvSpPr>
      </xdr:nvSpPr>
      <xdr:spPr bwMode="auto">
        <a:xfrm>
          <a:off x="46110525" y="67484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68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C120000}"/>
            </a:ext>
          </a:extLst>
        </xdr:cNvPr>
        <xdr:cNvSpPr>
          <a:spLocks noChangeAspect="1" noChangeArrowheads="1"/>
        </xdr:cNvSpPr>
      </xdr:nvSpPr>
      <xdr:spPr bwMode="auto">
        <a:xfrm>
          <a:off x="46110525" y="67484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68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D120000}"/>
            </a:ext>
          </a:extLst>
        </xdr:cNvPr>
        <xdr:cNvSpPr>
          <a:spLocks noChangeAspect="1" noChangeArrowheads="1"/>
        </xdr:cNvSpPr>
      </xdr:nvSpPr>
      <xdr:spPr bwMode="auto">
        <a:xfrm>
          <a:off x="46110525" y="67779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68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E120000}"/>
            </a:ext>
          </a:extLst>
        </xdr:cNvPr>
        <xdr:cNvSpPr>
          <a:spLocks noChangeAspect="1" noChangeArrowheads="1"/>
        </xdr:cNvSpPr>
      </xdr:nvSpPr>
      <xdr:spPr bwMode="auto">
        <a:xfrm>
          <a:off x="46110525" y="67779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68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F120000}"/>
            </a:ext>
          </a:extLst>
        </xdr:cNvPr>
        <xdr:cNvSpPr>
          <a:spLocks noChangeAspect="1" noChangeArrowheads="1"/>
        </xdr:cNvSpPr>
      </xdr:nvSpPr>
      <xdr:spPr bwMode="auto">
        <a:xfrm>
          <a:off x="46110525" y="680751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68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0120000}"/>
            </a:ext>
          </a:extLst>
        </xdr:cNvPr>
        <xdr:cNvSpPr>
          <a:spLocks noChangeAspect="1" noChangeArrowheads="1"/>
        </xdr:cNvSpPr>
      </xdr:nvSpPr>
      <xdr:spPr bwMode="auto">
        <a:xfrm>
          <a:off x="46110525" y="680751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68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1120000}"/>
            </a:ext>
          </a:extLst>
        </xdr:cNvPr>
        <xdr:cNvSpPr>
          <a:spLocks noChangeAspect="1" noChangeArrowheads="1"/>
        </xdr:cNvSpPr>
      </xdr:nvSpPr>
      <xdr:spPr bwMode="auto">
        <a:xfrm>
          <a:off x="46110525" y="68370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69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2120000}"/>
            </a:ext>
          </a:extLst>
        </xdr:cNvPr>
        <xdr:cNvSpPr>
          <a:spLocks noChangeAspect="1" noChangeArrowheads="1"/>
        </xdr:cNvSpPr>
      </xdr:nvSpPr>
      <xdr:spPr bwMode="auto">
        <a:xfrm>
          <a:off x="46110525" y="68370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69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3120000}"/>
            </a:ext>
          </a:extLst>
        </xdr:cNvPr>
        <xdr:cNvSpPr>
          <a:spLocks noChangeAspect="1" noChangeArrowheads="1"/>
        </xdr:cNvSpPr>
      </xdr:nvSpPr>
      <xdr:spPr bwMode="auto">
        <a:xfrm>
          <a:off x="46110525" y="686657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69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4120000}"/>
            </a:ext>
          </a:extLst>
        </xdr:cNvPr>
        <xdr:cNvSpPr>
          <a:spLocks noChangeAspect="1" noChangeArrowheads="1"/>
        </xdr:cNvSpPr>
      </xdr:nvSpPr>
      <xdr:spPr bwMode="auto">
        <a:xfrm>
          <a:off x="46110525" y="686657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69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5120000}"/>
            </a:ext>
          </a:extLst>
        </xdr:cNvPr>
        <xdr:cNvSpPr>
          <a:spLocks noChangeAspect="1" noChangeArrowheads="1"/>
        </xdr:cNvSpPr>
      </xdr:nvSpPr>
      <xdr:spPr bwMode="auto">
        <a:xfrm>
          <a:off x="46110525" y="6896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69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6120000}"/>
            </a:ext>
          </a:extLst>
        </xdr:cNvPr>
        <xdr:cNvSpPr>
          <a:spLocks noChangeAspect="1" noChangeArrowheads="1"/>
        </xdr:cNvSpPr>
      </xdr:nvSpPr>
      <xdr:spPr bwMode="auto">
        <a:xfrm>
          <a:off x="46110525" y="6896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69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7120000}"/>
            </a:ext>
          </a:extLst>
        </xdr:cNvPr>
        <xdr:cNvSpPr>
          <a:spLocks noChangeAspect="1" noChangeArrowheads="1"/>
        </xdr:cNvSpPr>
      </xdr:nvSpPr>
      <xdr:spPr bwMode="auto">
        <a:xfrm>
          <a:off x="46110525" y="692562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69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8120000}"/>
            </a:ext>
          </a:extLst>
        </xdr:cNvPr>
        <xdr:cNvSpPr>
          <a:spLocks noChangeAspect="1" noChangeArrowheads="1"/>
        </xdr:cNvSpPr>
      </xdr:nvSpPr>
      <xdr:spPr bwMode="auto">
        <a:xfrm>
          <a:off x="46110525" y="692562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69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9120000}"/>
            </a:ext>
          </a:extLst>
        </xdr:cNvPr>
        <xdr:cNvSpPr>
          <a:spLocks noChangeAspect="1" noChangeArrowheads="1"/>
        </xdr:cNvSpPr>
      </xdr:nvSpPr>
      <xdr:spPr bwMode="auto">
        <a:xfrm>
          <a:off x="46110525" y="69551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69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A120000}"/>
            </a:ext>
          </a:extLst>
        </xdr:cNvPr>
        <xdr:cNvSpPr>
          <a:spLocks noChangeAspect="1" noChangeArrowheads="1"/>
        </xdr:cNvSpPr>
      </xdr:nvSpPr>
      <xdr:spPr bwMode="auto">
        <a:xfrm>
          <a:off x="46110525" y="69551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69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B120000}"/>
            </a:ext>
          </a:extLst>
        </xdr:cNvPr>
        <xdr:cNvSpPr>
          <a:spLocks noChangeAspect="1" noChangeArrowheads="1"/>
        </xdr:cNvSpPr>
      </xdr:nvSpPr>
      <xdr:spPr bwMode="auto">
        <a:xfrm>
          <a:off x="46110525" y="69846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70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C120000}"/>
            </a:ext>
          </a:extLst>
        </xdr:cNvPr>
        <xdr:cNvSpPr>
          <a:spLocks noChangeAspect="1" noChangeArrowheads="1"/>
        </xdr:cNvSpPr>
      </xdr:nvSpPr>
      <xdr:spPr bwMode="auto">
        <a:xfrm>
          <a:off x="46110525" y="69846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70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D120000}"/>
            </a:ext>
          </a:extLst>
        </xdr:cNvPr>
        <xdr:cNvSpPr>
          <a:spLocks noChangeAspect="1" noChangeArrowheads="1"/>
        </xdr:cNvSpPr>
      </xdr:nvSpPr>
      <xdr:spPr bwMode="auto">
        <a:xfrm>
          <a:off x="46110525" y="70142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70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E120000}"/>
            </a:ext>
          </a:extLst>
        </xdr:cNvPr>
        <xdr:cNvSpPr>
          <a:spLocks noChangeAspect="1" noChangeArrowheads="1"/>
        </xdr:cNvSpPr>
      </xdr:nvSpPr>
      <xdr:spPr bwMode="auto">
        <a:xfrm>
          <a:off x="46110525" y="70142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70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F120000}"/>
            </a:ext>
          </a:extLst>
        </xdr:cNvPr>
        <xdr:cNvSpPr>
          <a:spLocks noChangeAspect="1" noChangeArrowheads="1"/>
        </xdr:cNvSpPr>
      </xdr:nvSpPr>
      <xdr:spPr bwMode="auto">
        <a:xfrm>
          <a:off x="46110525" y="70437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70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0120000}"/>
            </a:ext>
          </a:extLst>
        </xdr:cNvPr>
        <xdr:cNvSpPr>
          <a:spLocks noChangeAspect="1" noChangeArrowheads="1"/>
        </xdr:cNvSpPr>
      </xdr:nvSpPr>
      <xdr:spPr bwMode="auto">
        <a:xfrm>
          <a:off x="46110525" y="70437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70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1120000}"/>
            </a:ext>
          </a:extLst>
        </xdr:cNvPr>
        <xdr:cNvSpPr>
          <a:spLocks noChangeAspect="1" noChangeArrowheads="1"/>
        </xdr:cNvSpPr>
      </xdr:nvSpPr>
      <xdr:spPr bwMode="auto">
        <a:xfrm>
          <a:off x="46110525" y="70732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70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2120000}"/>
            </a:ext>
          </a:extLst>
        </xdr:cNvPr>
        <xdr:cNvSpPr>
          <a:spLocks noChangeAspect="1" noChangeArrowheads="1"/>
        </xdr:cNvSpPr>
      </xdr:nvSpPr>
      <xdr:spPr bwMode="auto">
        <a:xfrm>
          <a:off x="46110525" y="70732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70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3120000}"/>
            </a:ext>
          </a:extLst>
        </xdr:cNvPr>
        <xdr:cNvSpPr>
          <a:spLocks noChangeAspect="1" noChangeArrowheads="1"/>
        </xdr:cNvSpPr>
      </xdr:nvSpPr>
      <xdr:spPr bwMode="auto">
        <a:xfrm>
          <a:off x="46110525" y="710279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70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4120000}"/>
            </a:ext>
          </a:extLst>
        </xdr:cNvPr>
        <xdr:cNvSpPr>
          <a:spLocks noChangeAspect="1" noChangeArrowheads="1"/>
        </xdr:cNvSpPr>
      </xdr:nvSpPr>
      <xdr:spPr bwMode="auto">
        <a:xfrm>
          <a:off x="46110525" y="710279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70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5120000}"/>
            </a:ext>
          </a:extLst>
        </xdr:cNvPr>
        <xdr:cNvSpPr>
          <a:spLocks noChangeAspect="1" noChangeArrowheads="1"/>
        </xdr:cNvSpPr>
      </xdr:nvSpPr>
      <xdr:spPr bwMode="auto">
        <a:xfrm>
          <a:off x="46110525" y="71323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71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6120000}"/>
            </a:ext>
          </a:extLst>
        </xdr:cNvPr>
        <xdr:cNvSpPr>
          <a:spLocks noChangeAspect="1" noChangeArrowheads="1"/>
        </xdr:cNvSpPr>
      </xdr:nvSpPr>
      <xdr:spPr bwMode="auto">
        <a:xfrm>
          <a:off x="46110525" y="71323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71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7120000}"/>
            </a:ext>
          </a:extLst>
        </xdr:cNvPr>
        <xdr:cNvSpPr>
          <a:spLocks noChangeAspect="1" noChangeArrowheads="1"/>
        </xdr:cNvSpPr>
      </xdr:nvSpPr>
      <xdr:spPr bwMode="auto">
        <a:xfrm>
          <a:off x="46110525" y="716184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71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8120000}"/>
            </a:ext>
          </a:extLst>
        </xdr:cNvPr>
        <xdr:cNvSpPr>
          <a:spLocks noChangeAspect="1" noChangeArrowheads="1"/>
        </xdr:cNvSpPr>
      </xdr:nvSpPr>
      <xdr:spPr bwMode="auto">
        <a:xfrm>
          <a:off x="46110525" y="716184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71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9120000}"/>
            </a:ext>
          </a:extLst>
        </xdr:cNvPr>
        <xdr:cNvSpPr>
          <a:spLocks noChangeAspect="1" noChangeArrowheads="1"/>
        </xdr:cNvSpPr>
      </xdr:nvSpPr>
      <xdr:spPr bwMode="auto">
        <a:xfrm>
          <a:off x="46110525" y="71913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71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A120000}"/>
            </a:ext>
          </a:extLst>
        </xdr:cNvPr>
        <xdr:cNvSpPr>
          <a:spLocks noChangeAspect="1" noChangeArrowheads="1"/>
        </xdr:cNvSpPr>
      </xdr:nvSpPr>
      <xdr:spPr bwMode="auto">
        <a:xfrm>
          <a:off x="46110525" y="71913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71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B120000}"/>
            </a:ext>
          </a:extLst>
        </xdr:cNvPr>
        <xdr:cNvSpPr>
          <a:spLocks noChangeAspect="1" noChangeArrowheads="1"/>
        </xdr:cNvSpPr>
      </xdr:nvSpPr>
      <xdr:spPr bwMode="auto">
        <a:xfrm>
          <a:off x="46110525" y="72209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71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C120000}"/>
            </a:ext>
          </a:extLst>
        </xdr:cNvPr>
        <xdr:cNvSpPr>
          <a:spLocks noChangeAspect="1" noChangeArrowheads="1"/>
        </xdr:cNvSpPr>
      </xdr:nvSpPr>
      <xdr:spPr bwMode="auto">
        <a:xfrm>
          <a:off x="46110525" y="72209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71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D120000}"/>
            </a:ext>
          </a:extLst>
        </xdr:cNvPr>
        <xdr:cNvSpPr>
          <a:spLocks noChangeAspect="1" noChangeArrowheads="1"/>
        </xdr:cNvSpPr>
      </xdr:nvSpPr>
      <xdr:spPr bwMode="auto">
        <a:xfrm>
          <a:off x="46110525" y="72504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71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E120000}"/>
            </a:ext>
          </a:extLst>
        </xdr:cNvPr>
        <xdr:cNvSpPr>
          <a:spLocks noChangeAspect="1" noChangeArrowheads="1"/>
        </xdr:cNvSpPr>
      </xdr:nvSpPr>
      <xdr:spPr bwMode="auto">
        <a:xfrm>
          <a:off x="46110525" y="72504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71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F120000}"/>
            </a:ext>
          </a:extLst>
        </xdr:cNvPr>
        <xdr:cNvSpPr>
          <a:spLocks noChangeAspect="1" noChangeArrowheads="1"/>
        </xdr:cNvSpPr>
      </xdr:nvSpPr>
      <xdr:spPr bwMode="auto">
        <a:xfrm>
          <a:off x="46110525" y="72799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72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0120000}"/>
            </a:ext>
          </a:extLst>
        </xdr:cNvPr>
        <xdr:cNvSpPr>
          <a:spLocks noChangeAspect="1" noChangeArrowheads="1"/>
        </xdr:cNvSpPr>
      </xdr:nvSpPr>
      <xdr:spPr bwMode="auto">
        <a:xfrm>
          <a:off x="46110525" y="72799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72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1120000}"/>
            </a:ext>
          </a:extLst>
        </xdr:cNvPr>
        <xdr:cNvSpPr>
          <a:spLocks noChangeAspect="1" noChangeArrowheads="1"/>
        </xdr:cNvSpPr>
      </xdr:nvSpPr>
      <xdr:spPr bwMode="auto">
        <a:xfrm>
          <a:off x="46110525" y="73094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72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2120000}"/>
            </a:ext>
          </a:extLst>
        </xdr:cNvPr>
        <xdr:cNvSpPr>
          <a:spLocks noChangeAspect="1" noChangeArrowheads="1"/>
        </xdr:cNvSpPr>
      </xdr:nvSpPr>
      <xdr:spPr bwMode="auto">
        <a:xfrm>
          <a:off x="46110525" y="73094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72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3120000}"/>
            </a:ext>
          </a:extLst>
        </xdr:cNvPr>
        <xdr:cNvSpPr>
          <a:spLocks noChangeAspect="1" noChangeArrowheads="1"/>
        </xdr:cNvSpPr>
      </xdr:nvSpPr>
      <xdr:spPr bwMode="auto">
        <a:xfrm>
          <a:off x="46110525" y="733901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72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4120000}"/>
            </a:ext>
          </a:extLst>
        </xdr:cNvPr>
        <xdr:cNvSpPr>
          <a:spLocks noChangeAspect="1" noChangeArrowheads="1"/>
        </xdr:cNvSpPr>
      </xdr:nvSpPr>
      <xdr:spPr bwMode="auto">
        <a:xfrm>
          <a:off x="46110525" y="733901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72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5120000}"/>
            </a:ext>
          </a:extLst>
        </xdr:cNvPr>
        <xdr:cNvSpPr>
          <a:spLocks noChangeAspect="1" noChangeArrowheads="1"/>
        </xdr:cNvSpPr>
      </xdr:nvSpPr>
      <xdr:spPr bwMode="auto">
        <a:xfrm>
          <a:off x="46110525" y="73685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72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6120000}"/>
            </a:ext>
          </a:extLst>
        </xdr:cNvPr>
        <xdr:cNvSpPr>
          <a:spLocks noChangeAspect="1" noChangeArrowheads="1"/>
        </xdr:cNvSpPr>
      </xdr:nvSpPr>
      <xdr:spPr bwMode="auto">
        <a:xfrm>
          <a:off x="46110525" y="73685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72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7120000}"/>
            </a:ext>
          </a:extLst>
        </xdr:cNvPr>
        <xdr:cNvSpPr>
          <a:spLocks noChangeAspect="1" noChangeArrowheads="1"/>
        </xdr:cNvSpPr>
      </xdr:nvSpPr>
      <xdr:spPr bwMode="auto">
        <a:xfrm>
          <a:off x="46110525" y="739806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72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8120000}"/>
            </a:ext>
          </a:extLst>
        </xdr:cNvPr>
        <xdr:cNvSpPr>
          <a:spLocks noChangeAspect="1" noChangeArrowheads="1"/>
        </xdr:cNvSpPr>
      </xdr:nvSpPr>
      <xdr:spPr bwMode="auto">
        <a:xfrm>
          <a:off x="46110525" y="739806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72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9120000}"/>
            </a:ext>
          </a:extLst>
        </xdr:cNvPr>
        <xdr:cNvSpPr>
          <a:spLocks noChangeAspect="1" noChangeArrowheads="1"/>
        </xdr:cNvSpPr>
      </xdr:nvSpPr>
      <xdr:spPr bwMode="auto">
        <a:xfrm>
          <a:off x="46110525" y="74275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73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A120000}"/>
            </a:ext>
          </a:extLst>
        </xdr:cNvPr>
        <xdr:cNvSpPr>
          <a:spLocks noChangeAspect="1" noChangeArrowheads="1"/>
        </xdr:cNvSpPr>
      </xdr:nvSpPr>
      <xdr:spPr bwMode="auto">
        <a:xfrm>
          <a:off x="46110525" y="74275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73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B120000}"/>
            </a:ext>
          </a:extLst>
        </xdr:cNvPr>
        <xdr:cNvSpPr>
          <a:spLocks noChangeAspect="1" noChangeArrowheads="1"/>
        </xdr:cNvSpPr>
      </xdr:nvSpPr>
      <xdr:spPr bwMode="auto">
        <a:xfrm>
          <a:off x="46110525" y="74571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73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C120000}"/>
            </a:ext>
          </a:extLst>
        </xdr:cNvPr>
        <xdr:cNvSpPr>
          <a:spLocks noChangeAspect="1" noChangeArrowheads="1"/>
        </xdr:cNvSpPr>
      </xdr:nvSpPr>
      <xdr:spPr bwMode="auto">
        <a:xfrm>
          <a:off x="46110525" y="74571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73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D120000}"/>
            </a:ext>
          </a:extLst>
        </xdr:cNvPr>
        <xdr:cNvSpPr>
          <a:spLocks noChangeAspect="1" noChangeArrowheads="1"/>
        </xdr:cNvSpPr>
      </xdr:nvSpPr>
      <xdr:spPr bwMode="auto">
        <a:xfrm>
          <a:off x="46110525" y="7486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73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E120000}"/>
            </a:ext>
          </a:extLst>
        </xdr:cNvPr>
        <xdr:cNvSpPr>
          <a:spLocks noChangeAspect="1" noChangeArrowheads="1"/>
        </xdr:cNvSpPr>
      </xdr:nvSpPr>
      <xdr:spPr bwMode="auto">
        <a:xfrm>
          <a:off x="46110525" y="7486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73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F120000}"/>
            </a:ext>
          </a:extLst>
        </xdr:cNvPr>
        <xdr:cNvSpPr>
          <a:spLocks noChangeAspect="1" noChangeArrowheads="1"/>
        </xdr:cNvSpPr>
      </xdr:nvSpPr>
      <xdr:spPr bwMode="auto">
        <a:xfrm>
          <a:off x="46110525" y="751617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73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0120000}"/>
            </a:ext>
          </a:extLst>
        </xdr:cNvPr>
        <xdr:cNvSpPr>
          <a:spLocks noChangeAspect="1" noChangeArrowheads="1"/>
        </xdr:cNvSpPr>
      </xdr:nvSpPr>
      <xdr:spPr bwMode="auto">
        <a:xfrm>
          <a:off x="46110525" y="751617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73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1120000}"/>
            </a:ext>
          </a:extLst>
        </xdr:cNvPr>
        <xdr:cNvSpPr>
          <a:spLocks noChangeAspect="1" noChangeArrowheads="1"/>
        </xdr:cNvSpPr>
      </xdr:nvSpPr>
      <xdr:spPr bwMode="auto">
        <a:xfrm>
          <a:off x="46110525" y="75457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73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2120000}"/>
            </a:ext>
          </a:extLst>
        </xdr:cNvPr>
        <xdr:cNvSpPr>
          <a:spLocks noChangeAspect="1" noChangeArrowheads="1"/>
        </xdr:cNvSpPr>
      </xdr:nvSpPr>
      <xdr:spPr bwMode="auto">
        <a:xfrm>
          <a:off x="46110525" y="75457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73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3120000}"/>
            </a:ext>
          </a:extLst>
        </xdr:cNvPr>
        <xdr:cNvSpPr>
          <a:spLocks noChangeAspect="1" noChangeArrowheads="1"/>
        </xdr:cNvSpPr>
      </xdr:nvSpPr>
      <xdr:spPr bwMode="auto">
        <a:xfrm>
          <a:off x="46110525" y="75752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74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4120000}"/>
            </a:ext>
          </a:extLst>
        </xdr:cNvPr>
        <xdr:cNvSpPr>
          <a:spLocks noChangeAspect="1" noChangeArrowheads="1"/>
        </xdr:cNvSpPr>
      </xdr:nvSpPr>
      <xdr:spPr bwMode="auto">
        <a:xfrm>
          <a:off x="46110525" y="75752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74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5120000}"/>
            </a:ext>
          </a:extLst>
        </xdr:cNvPr>
        <xdr:cNvSpPr>
          <a:spLocks noChangeAspect="1" noChangeArrowheads="1"/>
        </xdr:cNvSpPr>
      </xdr:nvSpPr>
      <xdr:spPr bwMode="auto">
        <a:xfrm>
          <a:off x="46110525" y="76047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74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6120000}"/>
            </a:ext>
          </a:extLst>
        </xdr:cNvPr>
        <xdr:cNvSpPr>
          <a:spLocks noChangeAspect="1" noChangeArrowheads="1"/>
        </xdr:cNvSpPr>
      </xdr:nvSpPr>
      <xdr:spPr bwMode="auto">
        <a:xfrm>
          <a:off x="46110525" y="76047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74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7120000}"/>
            </a:ext>
          </a:extLst>
        </xdr:cNvPr>
        <xdr:cNvSpPr>
          <a:spLocks noChangeAspect="1" noChangeArrowheads="1"/>
        </xdr:cNvSpPr>
      </xdr:nvSpPr>
      <xdr:spPr bwMode="auto">
        <a:xfrm>
          <a:off x="46110525" y="76342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74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8120000}"/>
            </a:ext>
          </a:extLst>
        </xdr:cNvPr>
        <xdr:cNvSpPr>
          <a:spLocks noChangeAspect="1" noChangeArrowheads="1"/>
        </xdr:cNvSpPr>
      </xdr:nvSpPr>
      <xdr:spPr bwMode="auto">
        <a:xfrm>
          <a:off x="46110525" y="76342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74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9120000}"/>
            </a:ext>
          </a:extLst>
        </xdr:cNvPr>
        <xdr:cNvSpPr>
          <a:spLocks noChangeAspect="1" noChangeArrowheads="1"/>
        </xdr:cNvSpPr>
      </xdr:nvSpPr>
      <xdr:spPr bwMode="auto">
        <a:xfrm>
          <a:off x="46110525" y="76638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74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A120000}"/>
            </a:ext>
          </a:extLst>
        </xdr:cNvPr>
        <xdr:cNvSpPr>
          <a:spLocks noChangeAspect="1" noChangeArrowheads="1"/>
        </xdr:cNvSpPr>
      </xdr:nvSpPr>
      <xdr:spPr bwMode="auto">
        <a:xfrm>
          <a:off x="46110525" y="76638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74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B120000}"/>
            </a:ext>
          </a:extLst>
        </xdr:cNvPr>
        <xdr:cNvSpPr>
          <a:spLocks noChangeAspect="1" noChangeArrowheads="1"/>
        </xdr:cNvSpPr>
      </xdr:nvSpPr>
      <xdr:spPr bwMode="auto">
        <a:xfrm>
          <a:off x="46110525" y="769334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74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C120000}"/>
            </a:ext>
          </a:extLst>
        </xdr:cNvPr>
        <xdr:cNvSpPr>
          <a:spLocks noChangeAspect="1" noChangeArrowheads="1"/>
        </xdr:cNvSpPr>
      </xdr:nvSpPr>
      <xdr:spPr bwMode="auto">
        <a:xfrm>
          <a:off x="46110525" y="769334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74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D120000}"/>
            </a:ext>
          </a:extLst>
        </xdr:cNvPr>
        <xdr:cNvSpPr>
          <a:spLocks noChangeAspect="1" noChangeArrowheads="1"/>
        </xdr:cNvSpPr>
      </xdr:nvSpPr>
      <xdr:spPr bwMode="auto">
        <a:xfrm>
          <a:off x="46110525" y="7722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75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E120000}"/>
            </a:ext>
          </a:extLst>
        </xdr:cNvPr>
        <xdr:cNvSpPr>
          <a:spLocks noChangeAspect="1" noChangeArrowheads="1"/>
        </xdr:cNvSpPr>
      </xdr:nvSpPr>
      <xdr:spPr bwMode="auto">
        <a:xfrm>
          <a:off x="46110525" y="7722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75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F120000}"/>
            </a:ext>
          </a:extLst>
        </xdr:cNvPr>
        <xdr:cNvSpPr>
          <a:spLocks noChangeAspect="1" noChangeArrowheads="1"/>
        </xdr:cNvSpPr>
      </xdr:nvSpPr>
      <xdr:spPr bwMode="auto">
        <a:xfrm>
          <a:off x="46110525" y="775239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75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0120000}"/>
            </a:ext>
          </a:extLst>
        </xdr:cNvPr>
        <xdr:cNvSpPr>
          <a:spLocks noChangeAspect="1" noChangeArrowheads="1"/>
        </xdr:cNvSpPr>
      </xdr:nvSpPr>
      <xdr:spPr bwMode="auto">
        <a:xfrm>
          <a:off x="46110525" y="775239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75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1120000}"/>
            </a:ext>
          </a:extLst>
        </xdr:cNvPr>
        <xdr:cNvSpPr>
          <a:spLocks noChangeAspect="1" noChangeArrowheads="1"/>
        </xdr:cNvSpPr>
      </xdr:nvSpPr>
      <xdr:spPr bwMode="auto">
        <a:xfrm>
          <a:off x="46110525" y="77819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75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2120000}"/>
            </a:ext>
          </a:extLst>
        </xdr:cNvPr>
        <xdr:cNvSpPr>
          <a:spLocks noChangeAspect="1" noChangeArrowheads="1"/>
        </xdr:cNvSpPr>
      </xdr:nvSpPr>
      <xdr:spPr bwMode="auto">
        <a:xfrm>
          <a:off x="46110525" y="77819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75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3120000}"/>
            </a:ext>
          </a:extLst>
        </xdr:cNvPr>
        <xdr:cNvSpPr>
          <a:spLocks noChangeAspect="1" noChangeArrowheads="1"/>
        </xdr:cNvSpPr>
      </xdr:nvSpPr>
      <xdr:spPr bwMode="auto">
        <a:xfrm>
          <a:off x="46110525" y="78114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75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4120000}"/>
            </a:ext>
          </a:extLst>
        </xdr:cNvPr>
        <xdr:cNvSpPr>
          <a:spLocks noChangeAspect="1" noChangeArrowheads="1"/>
        </xdr:cNvSpPr>
      </xdr:nvSpPr>
      <xdr:spPr bwMode="auto">
        <a:xfrm>
          <a:off x="46110525" y="78114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75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5120000}"/>
            </a:ext>
          </a:extLst>
        </xdr:cNvPr>
        <xdr:cNvSpPr>
          <a:spLocks noChangeAspect="1" noChangeArrowheads="1"/>
        </xdr:cNvSpPr>
      </xdr:nvSpPr>
      <xdr:spPr bwMode="auto">
        <a:xfrm>
          <a:off x="46110525" y="78409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75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6120000}"/>
            </a:ext>
          </a:extLst>
        </xdr:cNvPr>
        <xdr:cNvSpPr>
          <a:spLocks noChangeAspect="1" noChangeArrowheads="1"/>
        </xdr:cNvSpPr>
      </xdr:nvSpPr>
      <xdr:spPr bwMode="auto">
        <a:xfrm>
          <a:off x="46110525" y="78409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75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7120000}"/>
            </a:ext>
          </a:extLst>
        </xdr:cNvPr>
        <xdr:cNvSpPr>
          <a:spLocks noChangeAspect="1" noChangeArrowheads="1"/>
        </xdr:cNvSpPr>
      </xdr:nvSpPr>
      <xdr:spPr bwMode="auto">
        <a:xfrm>
          <a:off x="46110525" y="78705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76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8120000}"/>
            </a:ext>
          </a:extLst>
        </xdr:cNvPr>
        <xdr:cNvSpPr>
          <a:spLocks noChangeAspect="1" noChangeArrowheads="1"/>
        </xdr:cNvSpPr>
      </xdr:nvSpPr>
      <xdr:spPr bwMode="auto">
        <a:xfrm>
          <a:off x="46110525" y="78705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76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9120000}"/>
            </a:ext>
          </a:extLst>
        </xdr:cNvPr>
        <xdr:cNvSpPr>
          <a:spLocks noChangeAspect="1" noChangeArrowheads="1"/>
        </xdr:cNvSpPr>
      </xdr:nvSpPr>
      <xdr:spPr bwMode="auto">
        <a:xfrm>
          <a:off x="46110525" y="79000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76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A120000}"/>
            </a:ext>
          </a:extLst>
        </xdr:cNvPr>
        <xdr:cNvSpPr>
          <a:spLocks noChangeAspect="1" noChangeArrowheads="1"/>
        </xdr:cNvSpPr>
      </xdr:nvSpPr>
      <xdr:spPr bwMode="auto">
        <a:xfrm>
          <a:off x="46110525" y="79000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76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B120000}"/>
            </a:ext>
          </a:extLst>
        </xdr:cNvPr>
        <xdr:cNvSpPr>
          <a:spLocks noChangeAspect="1" noChangeArrowheads="1"/>
        </xdr:cNvSpPr>
      </xdr:nvSpPr>
      <xdr:spPr bwMode="auto">
        <a:xfrm>
          <a:off x="46110525" y="79295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76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C120000}"/>
            </a:ext>
          </a:extLst>
        </xdr:cNvPr>
        <xdr:cNvSpPr>
          <a:spLocks noChangeAspect="1" noChangeArrowheads="1"/>
        </xdr:cNvSpPr>
      </xdr:nvSpPr>
      <xdr:spPr bwMode="auto">
        <a:xfrm>
          <a:off x="46110525" y="79295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76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D120000}"/>
            </a:ext>
          </a:extLst>
        </xdr:cNvPr>
        <xdr:cNvSpPr>
          <a:spLocks noChangeAspect="1" noChangeArrowheads="1"/>
        </xdr:cNvSpPr>
      </xdr:nvSpPr>
      <xdr:spPr bwMode="auto">
        <a:xfrm>
          <a:off x="46110525" y="79590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76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E120000}"/>
            </a:ext>
          </a:extLst>
        </xdr:cNvPr>
        <xdr:cNvSpPr>
          <a:spLocks noChangeAspect="1" noChangeArrowheads="1"/>
        </xdr:cNvSpPr>
      </xdr:nvSpPr>
      <xdr:spPr bwMode="auto">
        <a:xfrm>
          <a:off x="46110525" y="79590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76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F120000}"/>
            </a:ext>
          </a:extLst>
        </xdr:cNvPr>
        <xdr:cNvSpPr>
          <a:spLocks noChangeAspect="1" noChangeArrowheads="1"/>
        </xdr:cNvSpPr>
      </xdr:nvSpPr>
      <xdr:spPr bwMode="auto">
        <a:xfrm>
          <a:off x="46110525" y="798861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76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0120000}"/>
            </a:ext>
          </a:extLst>
        </xdr:cNvPr>
        <xdr:cNvSpPr>
          <a:spLocks noChangeAspect="1" noChangeArrowheads="1"/>
        </xdr:cNvSpPr>
      </xdr:nvSpPr>
      <xdr:spPr bwMode="auto">
        <a:xfrm>
          <a:off x="46110525" y="798861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76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1120000}"/>
            </a:ext>
          </a:extLst>
        </xdr:cNvPr>
        <xdr:cNvSpPr>
          <a:spLocks noChangeAspect="1" noChangeArrowheads="1"/>
        </xdr:cNvSpPr>
      </xdr:nvSpPr>
      <xdr:spPr bwMode="auto">
        <a:xfrm>
          <a:off x="46110525" y="80181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77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2120000}"/>
            </a:ext>
          </a:extLst>
        </xdr:cNvPr>
        <xdr:cNvSpPr>
          <a:spLocks noChangeAspect="1" noChangeArrowheads="1"/>
        </xdr:cNvSpPr>
      </xdr:nvSpPr>
      <xdr:spPr bwMode="auto">
        <a:xfrm>
          <a:off x="46110525" y="80181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77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3120000}"/>
            </a:ext>
          </a:extLst>
        </xdr:cNvPr>
        <xdr:cNvSpPr>
          <a:spLocks noChangeAspect="1" noChangeArrowheads="1"/>
        </xdr:cNvSpPr>
      </xdr:nvSpPr>
      <xdr:spPr bwMode="auto">
        <a:xfrm>
          <a:off x="46110525" y="804767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77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4120000}"/>
            </a:ext>
          </a:extLst>
        </xdr:cNvPr>
        <xdr:cNvSpPr>
          <a:spLocks noChangeAspect="1" noChangeArrowheads="1"/>
        </xdr:cNvSpPr>
      </xdr:nvSpPr>
      <xdr:spPr bwMode="auto">
        <a:xfrm>
          <a:off x="46110525" y="804767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77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5120000}"/>
            </a:ext>
          </a:extLst>
        </xdr:cNvPr>
        <xdr:cNvSpPr>
          <a:spLocks noChangeAspect="1" noChangeArrowheads="1"/>
        </xdr:cNvSpPr>
      </xdr:nvSpPr>
      <xdr:spPr bwMode="auto">
        <a:xfrm>
          <a:off x="46110525" y="80772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77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6120000}"/>
            </a:ext>
          </a:extLst>
        </xdr:cNvPr>
        <xdr:cNvSpPr>
          <a:spLocks noChangeAspect="1" noChangeArrowheads="1"/>
        </xdr:cNvSpPr>
      </xdr:nvSpPr>
      <xdr:spPr bwMode="auto">
        <a:xfrm>
          <a:off x="46110525" y="80772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77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7120000}"/>
            </a:ext>
          </a:extLst>
        </xdr:cNvPr>
        <xdr:cNvSpPr>
          <a:spLocks noChangeAspect="1" noChangeArrowheads="1"/>
        </xdr:cNvSpPr>
      </xdr:nvSpPr>
      <xdr:spPr bwMode="auto">
        <a:xfrm>
          <a:off x="46110525" y="810672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77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8120000}"/>
            </a:ext>
          </a:extLst>
        </xdr:cNvPr>
        <xdr:cNvSpPr>
          <a:spLocks noChangeAspect="1" noChangeArrowheads="1"/>
        </xdr:cNvSpPr>
      </xdr:nvSpPr>
      <xdr:spPr bwMode="auto">
        <a:xfrm>
          <a:off x="46110525" y="810672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77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9120000}"/>
            </a:ext>
          </a:extLst>
        </xdr:cNvPr>
        <xdr:cNvSpPr>
          <a:spLocks noChangeAspect="1" noChangeArrowheads="1"/>
        </xdr:cNvSpPr>
      </xdr:nvSpPr>
      <xdr:spPr bwMode="auto">
        <a:xfrm>
          <a:off x="46110525" y="81362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77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A120000}"/>
            </a:ext>
          </a:extLst>
        </xdr:cNvPr>
        <xdr:cNvSpPr>
          <a:spLocks noChangeAspect="1" noChangeArrowheads="1"/>
        </xdr:cNvSpPr>
      </xdr:nvSpPr>
      <xdr:spPr bwMode="auto">
        <a:xfrm>
          <a:off x="46110525" y="81362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77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B120000}"/>
            </a:ext>
          </a:extLst>
        </xdr:cNvPr>
        <xdr:cNvSpPr>
          <a:spLocks noChangeAspect="1" noChangeArrowheads="1"/>
        </xdr:cNvSpPr>
      </xdr:nvSpPr>
      <xdr:spPr bwMode="auto">
        <a:xfrm>
          <a:off x="46110525" y="81657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78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C120000}"/>
            </a:ext>
          </a:extLst>
        </xdr:cNvPr>
        <xdr:cNvSpPr>
          <a:spLocks noChangeAspect="1" noChangeArrowheads="1"/>
        </xdr:cNvSpPr>
      </xdr:nvSpPr>
      <xdr:spPr bwMode="auto">
        <a:xfrm>
          <a:off x="46110525" y="81657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78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D120000}"/>
            </a:ext>
          </a:extLst>
        </xdr:cNvPr>
        <xdr:cNvSpPr>
          <a:spLocks noChangeAspect="1" noChangeArrowheads="1"/>
        </xdr:cNvSpPr>
      </xdr:nvSpPr>
      <xdr:spPr bwMode="auto">
        <a:xfrm>
          <a:off x="46110525" y="81953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78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E120000}"/>
            </a:ext>
          </a:extLst>
        </xdr:cNvPr>
        <xdr:cNvSpPr>
          <a:spLocks noChangeAspect="1" noChangeArrowheads="1"/>
        </xdr:cNvSpPr>
      </xdr:nvSpPr>
      <xdr:spPr bwMode="auto">
        <a:xfrm>
          <a:off x="46110525" y="81953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78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F120000}"/>
            </a:ext>
          </a:extLst>
        </xdr:cNvPr>
        <xdr:cNvSpPr>
          <a:spLocks noChangeAspect="1" noChangeArrowheads="1"/>
        </xdr:cNvSpPr>
      </xdr:nvSpPr>
      <xdr:spPr bwMode="auto">
        <a:xfrm>
          <a:off x="46110525" y="82248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78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0120000}"/>
            </a:ext>
          </a:extLst>
        </xdr:cNvPr>
        <xdr:cNvSpPr>
          <a:spLocks noChangeAspect="1" noChangeArrowheads="1"/>
        </xdr:cNvSpPr>
      </xdr:nvSpPr>
      <xdr:spPr bwMode="auto">
        <a:xfrm>
          <a:off x="46110525" y="82248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78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1120000}"/>
            </a:ext>
          </a:extLst>
        </xdr:cNvPr>
        <xdr:cNvSpPr>
          <a:spLocks noChangeAspect="1" noChangeArrowheads="1"/>
        </xdr:cNvSpPr>
      </xdr:nvSpPr>
      <xdr:spPr bwMode="auto">
        <a:xfrm>
          <a:off x="46110525" y="82543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78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2120000}"/>
            </a:ext>
          </a:extLst>
        </xdr:cNvPr>
        <xdr:cNvSpPr>
          <a:spLocks noChangeAspect="1" noChangeArrowheads="1"/>
        </xdr:cNvSpPr>
      </xdr:nvSpPr>
      <xdr:spPr bwMode="auto">
        <a:xfrm>
          <a:off x="46110525" y="82543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78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3120000}"/>
            </a:ext>
          </a:extLst>
        </xdr:cNvPr>
        <xdr:cNvSpPr>
          <a:spLocks noChangeAspect="1" noChangeArrowheads="1"/>
        </xdr:cNvSpPr>
      </xdr:nvSpPr>
      <xdr:spPr bwMode="auto">
        <a:xfrm>
          <a:off x="46110525" y="828389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78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4120000}"/>
            </a:ext>
          </a:extLst>
        </xdr:cNvPr>
        <xdr:cNvSpPr>
          <a:spLocks noChangeAspect="1" noChangeArrowheads="1"/>
        </xdr:cNvSpPr>
      </xdr:nvSpPr>
      <xdr:spPr bwMode="auto">
        <a:xfrm>
          <a:off x="46110525" y="828389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78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5120000}"/>
            </a:ext>
          </a:extLst>
        </xdr:cNvPr>
        <xdr:cNvSpPr>
          <a:spLocks noChangeAspect="1" noChangeArrowheads="1"/>
        </xdr:cNvSpPr>
      </xdr:nvSpPr>
      <xdr:spPr bwMode="auto">
        <a:xfrm>
          <a:off x="46110525" y="83134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79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6120000}"/>
            </a:ext>
          </a:extLst>
        </xdr:cNvPr>
        <xdr:cNvSpPr>
          <a:spLocks noChangeAspect="1" noChangeArrowheads="1"/>
        </xdr:cNvSpPr>
      </xdr:nvSpPr>
      <xdr:spPr bwMode="auto">
        <a:xfrm>
          <a:off x="46110525" y="83134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79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7120000}"/>
            </a:ext>
          </a:extLst>
        </xdr:cNvPr>
        <xdr:cNvSpPr>
          <a:spLocks noChangeAspect="1" noChangeArrowheads="1"/>
        </xdr:cNvSpPr>
      </xdr:nvSpPr>
      <xdr:spPr bwMode="auto">
        <a:xfrm>
          <a:off x="46110525" y="834294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79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8120000}"/>
            </a:ext>
          </a:extLst>
        </xdr:cNvPr>
        <xdr:cNvSpPr>
          <a:spLocks noChangeAspect="1" noChangeArrowheads="1"/>
        </xdr:cNvSpPr>
      </xdr:nvSpPr>
      <xdr:spPr bwMode="auto">
        <a:xfrm>
          <a:off x="46110525" y="834294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79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9120000}"/>
            </a:ext>
          </a:extLst>
        </xdr:cNvPr>
        <xdr:cNvSpPr>
          <a:spLocks noChangeAspect="1" noChangeArrowheads="1"/>
        </xdr:cNvSpPr>
      </xdr:nvSpPr>
      <xdr:spPr bwMode="auto">
        <a:xfrm>
          <a:off x="46110525" y="83724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79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A120000}"/>
            </a:ext>
          </a:extLst>
        </xdr:cNvPr>
        <xdr:cNvSpPr>
          <a:spLocks noChangeAspect="1" noChangeArrowheads="1"/>
        </xdr:cNvSpPr>
      </xdr:nvSpPr>
      <xdr:spPr bwMode="auto">
        <a:xfrm>
          <a:off x="46110525" y="83724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79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B120000}"/>
            </a:ext>
          </a:extLst>
        </xdr:cNvPr>
        <xdr:cNvSpPr>
          <a:spLocks noChangeAspect="1" noChangeArrowheads="1"/>
        </xdr:cNvSpPr>
      </xdr:nvSpPr>
      <xdr:spPr bwMode="auto">
        <a:xfrm>
          <a:off x="46110525" y="84020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79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C120000}"/>
            </a:ext>
          </a:extLst>
        </xdr:cNvPr>
        <xdr:cNvSpPr>
          <a:spLocks noChangeAspect="1" noChangeArrowheads="1"/>
        </xdr:cNvSpPr>
      </xdr:nvSpPr>
      <xdr:spPr bwMode="auto">
        <a:xfrm>
          <a:off x="46110525" y="84020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79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D120000}"/>
            </a:ext>
          </a:extLst>
        </xdr:cNvPr>
        <xdr:cNvSpPr>
          <a:spLocks noChangeAspect="1" noChangeArrowheads="1"/>
        </xdr:cNvSpPr>
      </xdr:nvSpPr>
      <xdr:spPr bwMode="auto">
        <a:xfrm>
          <a:off x="46110525" y="84315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79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E120000}"/>
            </a:ext>
          </a:extLst>
        </xdr:cNvPr>
        <xdr:cNvSpPr>
          <a:spLocks noChangeAspect="1" noChangeArrowheads="1"/>
        </xdr:cNvSpPr>
      </xdr:nvSpPr>
      <xdr:spPr bwMode="auto">
        <a:xfrm>
          <a:off x="46110525" y="84315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79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F120000}"/>
            </a:ext>
          </a:extLst>
        </xdr:cNvPr>
        <xdr:cNvSpPr>
          <a:spLocks noChangeAspect="1" noChangeArrowheads="1"/>
        </xdr:cNvSpPr>
      </xdr:nvSpPr>
      <xdr:spPr bwMode="auto">
        <a:xfrm>
          <a:off x="46110525" y="84610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80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0120000}"/>
            </a:ext>
          </a:extLst>
        </xdr:cNvPr>
        <xdr:cNvSpPr>
          <a:spLocks noChangeAspect="1" noChangeArrowheads="1"/>
        </xdr:cNvSpPr>
      </xdr:nvSpPr>
      <xdr:spPr bwMode="auto">
        <a:xfrm>
          <a:off x="46110525" y="84610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80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1120000}"/>
            </a:ext>
          </a:extLst>
        </xdr:cNvPr>
        <xdr:cNvSpPr>
          <a:spLocks noChangeAspect="1" noChangeArrowheads="1"/>
        </xdr:cNvSpPr>
      </xdr:nvSpPr>
      <xdr:spPr bwMode="auto">
        <a:xfrm>
          <a:off x="46110525" y="84905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80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2120000}"/>
            </a:ext>
          </a:extLst>
        </xdr:cNvPr>
        <xdr:cNvSpPr>
          <a:spLocks noChangeAspect="1" noChangeArrowheads="1"/>
        </xdr:cNvSpPr>
      </xdr:nvSpPr>
      <xdr:spPr bwMode="auto">
        <a:xfrm>
          <a:off x="46110525" y="84905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80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3120000}"/>
            </a:ext>
          </a:extLst>
        </xdr:cNvPr>
        <xdr:cNvSpPr>
          <a:spLocks noChangeAspect="1" noChangeArrowheads="1"/>
        </xdr:cNvSpPr>
      </xdr:nvSpPr>
      <xdr:spPr bwMode="auto">
        <a:xfrm>
          <a:off x="46110525" y="852011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80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4120000}"/>
            </a:ext>
          </a:extLst>
        </xdr:cNvPr>
        <xdr:cNvSpPr>
          <a:spLocks noChangeAspect="1" noChangeArrowheads="1"/>
        </xdr:cNvSpPr>
      </xdr:nvSpPr>
      <xdr:spPr bwMode="auto">
        <a:xfrm>
          <a:off x="46110525" y="852011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80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5120000}"/>
            </a:ext>
          </a:extLst>
        </xdr:cNvPr>
        <xdr:cNvSpPr>
          <a:spLocks noChangeAspect="1" noChangeArrowheads="1"/>
        </xdr:cNvSpPr>
      </xdr:nvSpPr>
      <xdr:spPr bwMode="auto">
        <a:xfrm>
          <a:off x="46110525" y="85496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80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6120000}"/>
            </a:ext>
          </a:extLst>
        </xdr:cNvPr>
        <xdr:cNvSpPr>
          <a:spLocks noChangeAspect="1" noChangeArrowheads="1"/>
        </xdr:cNvSpPr>
      </xdr:nvSpPr>
      <xdr:spPr bwMode="auto">
        <a:xfrm>
          <a:off x="46110525" y="85496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80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7120000}"/>
            </a:ext>
          </a:extLst>
        </xdr:cNvPr>
        <xdr:cNvSpPr>
          <a:spLocks noChangeAspect="1" noChangeArrowheads="1"/>
        </xdr:cNvSpPr>
      </xdr:nvSpPr>
      <xdr:spPr bwMode="auto">
        <a:xfrm>
          <a:off x="46110525" y="857916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80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8120000}"/>
            </a:ext>
          </a:extLst>
        </xdr:cNvPr>
        <xdr:cNvSpPr>
          <a:spLocks noChangeAspect="1" noChangeArrowheads="1"/>
        </xdr:cNvSpPr>
      </xdr:nvSpPr>
      <xdr:spPr bwMode="auto">
        <a:xfrm>
          <a:off x="46110525" y="857916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80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9120000}"/>
            </a:ext>
          </a:extLst>
        </xdr:cNvPr>
        <xdr:cNvSpPr>
          <a:spLocks noChangeAspect="1" noChangeArrowheads="1"/>
        </xdr:cNvSpPr>
      </xdr:nvSpPr>
      <xdr:spPr bwMode="auto">
        <a:xfrm>
          <a:off x="46110525" y="86086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81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A120000}"/>
            </a:ext>
          </a:extLst>
        </xdr:cNvPr>
        <xdr:cNvSpPr>
          <a:spLocks noChangeAspect="1" noChangeArrowheads="1"/>
        </xdr:cNvSpPr>
      </xdr:nvSpPr>
      <xdr:spPr bwMode="auto">
        <a:xfrm>
          <a:off x="46110525" y="86086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81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B120000}"/>
            </a:ext>
          </a:extLst>
        </xdr:cNvPr>
        <xdr:cNvSpPr>
          <a:spLocks noChangeAspect="1" noChangeArrowheads="1"/>
        </xdr:cNvSpPr>
      </xdr:nvSpPr>
      <xdr:spPr bwMode="auto">
        <a:xfrm>
          <a:off x="46110525" y="86382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81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C120000}"/>
            </a:ext>
          </a:extLst>
        </xdr:cNvPr>
        <xdr:cNvSpPr>
          <a:spLocks noChangeAspect="1" noChangeArrowheads="1"/>
        </xdr:cNvSpPr>
      </xdr:nvSpPr>
      <xdr:spPr bwMode="auto">
        <a:xfrm>
          <a:off x="46110525" y="86382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81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D120000}"/>
            </a:ext>
          </a:extLst>
        </xdr:cNvPr>
        <xdr:cNvSpPr>
          <a:spLocks noChangeAspect="1" noChangeArrowheads="1"/>
        </xdr:cNvSpPr>
      </xdr:nvSpPr>
      <xdr:spPr bwMode="auto">
        <a:xfrm>
          <a:off x="46110525" y="8667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81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E120000}"/>
            </a:ext>
          </a:extLst>
        </xdr:cNvPr>
        <xdr:cNvSpPr>
          <a:spLocks noChangeAspect="1" noChangeArrowheads="1"/>
        </xdr:cNvSpPr>
      </xdr:nvSpPr>
      <xdr:spPr bwMode="auto">
        <a:xfrm>
          <a:off x="46110525" y="8667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81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F120000}"/>
            </a:ext>
          </a:extLst>
        </xdr:cNvPr>
        <xdr:cNvSpPr>
          <a:spLocks noChangeAspect="1" noChangeArrowheads="1"/>
        </xdr:cNvSpPr>
      </xdr:nvSpPr>
      <xdr:spPr bwMode="auto">
        <a:xfrm>
          <a:off x="46110525" y="869727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81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0120000}"/>
            </a:ext>
          </a:extLst>
        </xdr:cNvPr>
        <xdr:cNvSpPr>
          <a:spLocks noChangeAspect="1" noChangeArrowheads="1"/>
        </xdr:cNvSpPr>
      </xdr:nvSpPr>
      <xdr:spPr bwMode="auto">
        <a:xfrm>
          <a:off x="46110525" y="869727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81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1120000}"/>
            </a:ext>
          </a:extLst>
        </xdr:cNvPr>
        <xdr:cNvSpPr>
          <a:spLocks noChangeAspect="1" noChangeArrowheads="1"/>
        </xdr:cNvSpPr>
      </xdr:nvSpPr>
      <xdr:spPr bwMode="auto">
        <a:xfrm>
          <a:off x="46110525" y="87268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81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2120000}"/>
            </a:ext>
          </a:extLst>
        </xdr:cNvPr>
        <xdr:cNvSpPr>
          <a:spLocks noChangeAspect="1" noChangeArrowheads="1"/>
        </xdr:cNvSpPr>
      </xdr:nvSpPr>
      <xdr:spPr bwMode="auto">
        <a:xfrm>
          <a:off x="46110525" y="87268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81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3120000}"/>
            </a:ext>
          </a:extLst>
        </xdr:cNvPr>
        <xdr:cNvSpPr>
          <a:spLocks noChangeAspect="1" noChangeArrowheads="1"/>
        </xdr:cNvSpPr>
      </xdr:nvSpPr>
      <xdr:spPr bwMode="auto">
        <a:xfrm>
          <a:off x="46110525" y="87563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82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4120000}"/>
            </a:ext>
          </a:extLst>
        </xdr:cNvPr>
        <xdr:cNvSpPr>
          <a:spLocks noChangeAspect="1" noChangeArrowheads="1"/>
        </xdr:cNvSpPr>
      </xdr:nvSpPr>
      <xdr:spPr bwMode="auto">
        <a:xfrm>
          <a:off x="46110525" y="87563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82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5120000}"/>
            </a:ext>
          </a:extLst>
        </xdr:cNvPr>
        <xdr:cNvSpPr>
          <a:spLocks noChangeAspect="1" noChangeArrowheads="1"/>
        </xdr:cNvSpPr>
      </xdr:nvSpPr>
      <xdr:spPr bwMode="auto">
        <a:xfrm>
          <a:off x="46110525" y="87858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82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6120000}"/>
            </a:ext>
          </a:extLst>
        </xdr:cNvPr>
        <xdr:cNvSpPr>
          <a:spLocks noChangeAspect="1" noChangeArrowheads="1"/>
        </xdr:cNvSpPr>
      </xdr:nvSpPr>
      <xdr:spPr bwMode="auto">
        <a:xfrm>
          <a:off x="46110525" y="87858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82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7120000}"/>
            </a:ext>
          </a:extLst>
        </xdr:cNvPr>
        <xdr:cNvSpPr>
          <a:spLocks noChangeAspect="1" noChangeArrowheads="1"/>
        </xdr:cNvSpPr>
      </xdr:nvSpPr>
      <xdr:spPr bwMode="auto">
        <a:xfrm>
          <a:off x="46110525" y="88153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82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8120000}"/>
            </a:ext>
          </a:extLst>
        </xdr:cNvPr>
        <xdr:cNvSpPr>
          <a:spLocks noChangeAspect="1" noChangeArrowheads="1"/>
        </xdr:cNvSpPr>
      </xdr:nvSpPr>
      <xdr:spPr bwMode="auto">
        <a:xfrm>
          <a:off x="46110525" y="88153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82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9120000}"/>
            </a:ext>
          </a:extLst>
        </xdr:cNvPr>
        <xdr:cNvSpPr>
          <a:spLocks noChangeAspect="1" noChangeArrowheads="1"/>
        </xdr:cNvSpPr>
      </xdr:nvSpPr>
      <xdr:spPr bwMode="auto">
        <a:xfrm>
          <a:off x="46110525" y="88449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82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A120000}"/>
            </a:ext>
          </a:extLst>
        </xdr:cNvPr>
        <xdr:cNvSpPr>
          <a:spLocks noChangeAspect="1" noChangeArrowheads="1"/>
        </xdr:cNvSpPr>
      </xdr:nvSpPr>
      <xdr:spPr bwMode="auto">
        <a:xfrm>
          <a:off x="46110525" y="88449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82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B120000}"/>
            </a:ext>
          </a:extLst>
        </xdr:cNvPr>
        <xdr:cNvSpPr>
          <a:spLocks noChangeAspect="1" noChangeArrowheads="1"/>
        </xdr:cNvSpPr>
      </xdr:nvSpPr>
      <xdr:spPr bwMode="auto">
        <a:xfrm>
          <a:off x="46110525" y="887444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82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C120000}"/>
            </a:ext>
          </a:extLst>
        </xdr:cNvPr>
        <xdr:cNvSpPr>
          <a:spLocks noChangeAspect="1" noChangeArrowheads="1"/>
        </xdr:cNvSpPr>
      </xdr:nvSpPr>
      <xdr:spPr bwMode="auto">
        <a:xfrm>
          <a:off x="46110525" y="887444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82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D120000}"/>
            </a:ext>
          </a:extLst>
        </xdr:cNvPr>
        <xdr:cNvSpPr>
          <a:spLocks noChangeAspect="1" noChangeArrowheads="1"/>
        </xdr:cNvSpPr>
      </xdr:nvSpPr>
      <xdr:spPr bwMode="auto">
        <a:xfrm>
          <a:off x="46110525" y="8903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83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E120000}"/>
            </a:ext>
          </a:extLst>
        </xdr:cNvPr>
        <xdr:cNvSpPr>
          <a:spLocks noChangeAspect="1" noChangeArrowheads="1"/>
        </xdr:cNvSpPr>
      </xdr:nvSpPr>
      <xdr:spPr bwMode="auto">
        <a:xfrm>
          <a:off x="46110525" y="8903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83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F120000}"/>
            </a:ext>
          </a:extLst>
        </xdr:cNvPr>
        <xdr:cNvSpPr>
          <a:spLocks noChangeAspect="1" noChangeArrowheads="1"/>
        </xdr:cNvSpPr>
      </xdr:nvSpPr>
      <xdr:spPr bwMode="auto">
        <a:xfrm>
          <a:off x="46110525" y="893349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83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0120000}"/>
            </a:ext>
          </a:extLst>
        </xdr:cNvPr>
        <xdr:cNvSpPr>
          <a:spLocks noChangeAspect="1" noChangeArrowheads="1"/>
        </xdr:cNvSpPr>
      </xdr:nvSpPr>
      <xdr:spPr bwMode="auto">
        <a:xfrm>
          <a:off x="46110525" y="893349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83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1120000}"/>
            </a:ext>
          </a:extLst>
        </xdr:cNvPr>
        <xdr:cNvSpPr>
          <a:spLocks noChangeAspect="1" noChangeArrowheads="1"/>
        </xdr:cNvSpPr>
      </xdr:nvSpPr>
      <xdr:spPr bwMode="auto">
        <a:xfrm>
          <a:off x="46110525" y="89630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83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2120000}"/>
            </a:ext>
          </a:extLst>
        </xdr:cNvPr>
        <xdr:cNvSpPr>
          <a:spLocks noChangeAspect="1" noChangeArrowheads="1"/>
        </xdr:cNvSpPr>
      </xdr:nvSpPr>
      <xdr:spPr bwMode="auto">
        <a:xfrm>
          <a:off x="46110525" y="89630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83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3120000}"/>
            </a:ext>
          </a:extLst>
        </xdr:cNvPr>
        <xdr:cNvSpPr>
          <a:spLocks noChangeAspect="1" noChangeArrowheads="1"/>
        </xdr:cNvSpPr>
      </xdr:nvSpPr>
      <xdr:spPr bwMode="auto">
        <a:xfrm>
          <a:off x="46110525" y="89925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83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4120000}"/>
            </a:ext>
          </a:extLst>
        </xdr:cNvPr>
        <xdr:cNvSpPr>
          <a:spLocks noChangeAspect="1" noChangeArrowheads="1"/>
        </xdr:cNvSpPr>
      </xdr:nvSpPr>
      <xdr:spPr bwMode="auto">
        <a:xfrm>
          <a:off x="46110525" y="89925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83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5120000}"/>
            </a:ext>
          </a:extLst>
        </xdr:cNvPr>
        <xdr:cNvSpPr>
          <a:spLocks noChangeAspect="1" noChangeArrowheads="1"/>
        </xdr:cNvSpPr>
      </xdr:nvSpPr>
      <xdr:spPr bwMode="auto">
        <a:xfrm>
          <a:off x="46110525" y="90220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83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6120000}"/>
            </a:ext>
          </a:extLst>
        </xdr:cNvPr>
        <xdr:cNvSpPr>
          <a:spLocks noChangeAspect="1" noChangeArrowheads="1"/>
        </xdr:cNvSpPr>
      </xdr:nvSpPr>
      <xdr:spPr bwMode="auto">
        <a:xfrm>
          <a:off x="46110525" y="90220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83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7120000}"/>
            </a:ext>
          </a:extLst>
        </xdr:cNvPr>
        <xdr:cNvSpPr>
          <a:spLocks noChangeAspect="1" noChangeArrowheads="1"/>
        </xdr:cNvSpPr>
      </xdr:nvSpPr>
      <xdr:spPr bwMode="auto">
        <a:xfrm>
          <a:off x="46110525" y="90516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84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8120000}"/>
            </a:ext>
          </a:extLst>
        </xdr:cNvPr>
        <xdr:cNvSpPr>
          <a:spLocks noChangeAspect="1" noChangeArrowheads="1"/>
        </xdr:cNvSpPr>
      </xdr:nvSpPr>
      <xdr:spPr bwMode="auto">
        <a:xfrm>
          <a:off x="46110525" y="90516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84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9120000}"/>
            </a:ext>
          </a:extLst>
        </xdr:cNvPr>
        <xdr:cNvSpPr>
          <a:spLocks noChangeAspect="1" noChangeArrowheads="1"/>
        </xdr:cNvSpPr>
      </xdr:nvSpPr>
      <xdr:spPr bwMode="auto">
        <a:xfrm>
          <a:off x="46110525" y="90811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84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A120000}"/>
            </a:ext>
          </a:extLst>
        </xdr:cNvPr>
        <xdr:cNvSpPr>
          <a:spLocks noChangeAspect="1" noChangeArrowheads="1"/>
        </xdr:cNvSpPr>
      </xdr:nvSpPr>
      <xdr:spPr bwMode="auto">
        <a:xfrm>
          <a:off x="46110525" y="90811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84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B120000}"/>
            </a:ext>
          </a:extLst>
        </xdr:cNvPr>
        <xdr:cNvSpPr>
          <a:spLocks noChangeAspect="1" noChangeArrowheads="1"/>
        </xdr:cNvSpPr>
      </xdr:nvSpPr>
      <xdr:spPr bwMode="auto">
        <a:xfrm>
          <a:off x="46110525" y="91106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84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C120000}"/>
            </a:ext>
          </a:extLst>
        </xdr:cNvPr>
        <xdr:cNvSpPr>
          <a:spLocks noChangeAspect="1" noChangeArrowheads="1"/>
        </xdr:cNvSpPr>
      </xdr:nvSpPr>
      <xdr:spPr bwMode="auto">
        <a:xfrm>
          <a:off x="46110525" y="91106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84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D120000}"/>
            </a:ext>
          </a:extLst>
        </xdr:cNvPr>
        <xdr:cNvSpPr>
          <a:spLocks noChangeAspect="1" noChangeArrowheads="1"/>
        </xdr:cNvSpPr>
      </xdr:nvSpPr>
      <xdr:spPr bwMode="auto">
        <a:xfrm>
          <a:off x="46110525" y="91401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84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E120000}"/>
            </a:ext>
          </a:extLst>
        </xdr:cNvPr>
        <xdr:cNvSpPr>
          <a:spLocks noChangeAspect="1" noChangeArrowheads="1"/>
        </xdr:cNvSpPr>
      </xdr:nvSpPr>
      <xdr:spPr bwMode="auto">
        <a:xfrm>
          <a:off x="46110525" y="91401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84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F120000}"/>
            </a:ext>
          </a:extLst>
        </xdr:cNvPr>
        <xdr:cNvSpPr>
          <a:spLocks noChangeAspect="1" noChangeArrowheads="1"/>
        </xdr:cNvSpPr>
      </xdr:nvSpPr>
      <xdr:spPr bwMode="auto">
        <a:xfrm>
          <a:off x="46110525" y="916971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84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0120000}"/>
            </a:ext>
          </a:extLst>
        </xdr:cNvPr>
        <xdr:cNvSpPr>
          <a:spLocks noChangeAspect="1" noChangeArrowheads="1"/>
        </xdr:cNvSpPr>
      </xdr:nvSpPr>
      <xdr:spPr bwMode="auto">
        <a:xfrm>
          <a:off x="46110525" y="916971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84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1120000}"/>
            </a:ext>
          </a:extLst>
        </xdr:cNvPr>
        <xdr:cNvSpPr>
          <a:spLocks noChangeAspect="1" noChangeArrowheads="1"/>
        </xdr:cNvSpPr>
      </xdr:nvSpPr>
      <xdr:spPr bwMode="auto">
        <a:xfrm>
          <a:off x="46110525" y="91992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85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2120000}"/>
            </a:ext>
          </a:extLst>
        </xdr:cNvPr>
        <xdr:cNvSpPr>
          <a:spLocks noChangeAspect="1" noChangeArrowheads="1"/>
        </xdr:cNvSpPr>
      </xdr:nvSpPr>
      <xdr:spPr bwMode="auto">
        <a:xfrm>
          <a:off x="46110525" y="91992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85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3120000}"/>
            </a:ext>
          </a:extLst>
        </xdr:cNvPr>
        <xdr:cNvSpPr>
          <a:spLocks noChangeAspect="1" noChangeArrowheads="1"/>
        </xdr:cNvSpPr>
      </xdr:nvSpPr>
      <xdr:spPr bwMode="auto">
        <a:xfrm>
          <a:off x="46110525" y="922877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85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4120000}"/>
            </a:ext>
          </a:extLst>
        </xdr:cNvPr>
        <xdr:cNvSpPr>
          <a:spLocks noChangeAspect="1" noChangeArrowheads="1"/>
        </xdr:cNvSpPr>
      </xdr:nvSpPr>
      <xdr:spPr bwMode="auto">
        <a:xfrm>
          <a:off x="46110525" y="922877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85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5120000}"/>
            </a:ext>
          </a:extLst>
        </xdr:cNvPr>
        <xdr:cNvSpPr>
          <a:spLocks noChangeAspect="1" noChangeArrowheads="1"/>
        </xdr:cNvSpPr>
      </xdr:nvSpPr>
      <xdr:spPr bwMode="auto">
        <a:xfrm>
          <a:off x="46110525" y="92583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85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6120000}"/>
            </a:ext>
          </a:extLst>
        </xdr:cNvPr>
        <xdr:cNvSpPr>
          <a:spLocks noChangeAspect="1" noChangeArrowheads="1"/>
        </xdr:cNvSpPr>
      </xdr:nvSpPr>
      <xdr:spPr bwMode="auto">
        <a:xfrm>
          <a:off x="46110525" y="92583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85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7120000}"/>
            </a:ext>
          </a:extLst>
        </xdr:cNvPr>
        <xdr:cNvSpPr>
          <a:spLocks noChangeAspect="1" noChangeArrowheads="1"/>
        </xdr:cNvSpPr>
      </xdr:nvSpPr>
      <xdr:spPr bwMode="auto">
        <a:xfrm>
          <a:off x="46110525" y="928782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85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8120000}"/>
            </a:ext>
          </a:extLst>
        </xdr:cNvPr>
        <xdr:cNvSpPr>
          <a:spLocks noChangeAspect="1" noChangeArrowheads="1"/>
        </xdr:cNvSpPr>
      </xdr:nvSpPr>
      <xdr:spPr bwMode="auto">
        <a:xfrm>
          <a:off x="46110525" y="928782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85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9120000}"/>
            </a:ext>
          </a:extLst>
        </xdr:cNvPr>
        <xdr:cNvSpPr>
          <a:spLocks noChangeAspect="1" noChangeArrowheads="1"/>
        </xdr:cNvSpPr>
      </xdr:nvSpPr>
      <xdr:spPr bwMode="auto">
        <a:xfrm>
          <a:off x="46110525" y="93173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85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A120000}"/>
            </a:ext>
          </a:extLst>
        </xdr:cNvPr>
        <xdr:cNvSpPr>
          <a:spLocks noChangeAspect="1" noChangeArrowheads="1"/>
        </xdr:cNvSpPr>
      </xdr:nvSpPr>
      <xdr:spPr bwMode="auto">
        <a:xfrm>
          <a:off x="46110525" y="93173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85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B120000}"/>
            </a:ext>
          </a:extLst>
        </xdr:cNvPr>
        <xdr:cNvSpPr>
          <a:spLocks noChangeAspect="1" noChangeArrowheads="1"/>
        </xdr:cNvSpPr>
      </xdr:nvSpPr>
      <xdr:spPr bwMode="auto">
        <a:xfrm>
          <a:off x="46110525" y="93468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86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C120000}"/>
            </a:ext>
          </a:extLst>
        </xdr:cNvPr>
        <xdr:cNvSpPr>
          <a:spLocks noChangeAspect="1" noChangeArrowheads="1"/>
        </xdr:cNvSpPr>
      </xdr:nvSpPr>
      <xdr:spPr bwMode="auto">
        <a:xfrm>
          <a:off x="46110525" y="93468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86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D120000}"/>
            </a:ext>
          </a:extLst>
        </xdr:cNvPr>
        <xdr:cNvSpPr>
          <a:spLocks noChangeAspect="1" noChangeArrowheads="1"/>
        </xdr:cNvSpPr>
      </xdr:nvSpPr>
      <xdr:spPr bwMode="auto">
        <a:xfrm>
          <a:off x="46110525" y="93764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86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E120000}"/>
            </a:ext>
          </a:extLst>
        </xdr:cNvPr>
        <xdr:cNvSpPr>
          <a:spLocks noChangeAspect="1" noChangeArrowheads="1"/>
        </xdr:cNvSpPr>
      </xdr:nvSpPr>
      <xdr:spPr bwMode="auto">
        <a:xfrm>
          <a:off x="46110525" y="93764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86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F120000}"/>
            </a:ext>
          </a:extLst>
        </xdr:cNvPr>
        <xdr:cNvSpPr>
          <a:spLocks noChangeAspect="1" noChangeArrowheads="1"/>
        </xdr:cNvSpPr>
      </xdr:nvSpPr>
      <xdr:spPr bwMode="auto">
        <a:xfrm>
          <a:off x="46110525" y="94059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86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0130000}"/>
            </a:ext>
          </a:extLst>
        </xdr:cNvPr>
        <xdr:cNvSpPr>
          <a:spLocks noChangeAspect="1" noChangeArrowheads="1"/>
        </xdr:cNvSpPr>
      </xdr:nvSpPr>
      <xdr:spPr bwMode="auto">
        <a:xfrm>
          <a:off x="46110525" y="94059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86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1130000}"/>
            </a:ext>
          </a:extLst>
        </xdr:cNvPr>
        <xdr:cNvSpPr>
          <a:spLocks noChangeAspect="1" noChangeArrowheads="1"/>
        </xdr:cNvSpPr>
      </xdr:nvSpPr>
      <xdr:spPr bwMode="auto">
        <a:xfrm>
          <a:off x="46110525" y="94059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86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2130000}"/>
            </a:ext>
          </a:extLst>
        </xdr:cNvPr>
        <xdr:cNvSpPr>
          <a:spLocks noChangeAspect="1" noChangeArrowheads="1"/>
        </xdr:cNvSpPr>
      </xdr:nvSpPr>
      <xdr:spPr bwMode="auto">
        <a:xfrm>
          <a:off x="46110525" y="94059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86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3130000}"/>
            </a:ext>
          </a:extLst>
        </xdr:cNvPr>
        <xdr:cNvSpPr>
          <a:spLocks noChangeAspect="1" noChangeArrowheads="1"/>
        </xdr:cNvSpPr>
      </xdr:nvSpPr>
      <xdr:spPr bwMode="auto">
        <a:xfrm>
          <a:off x="46110525" y="94059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86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4130000}"/>
            </a:ext>
          </a:extLst>
        </xdr:cNvPr>
        <xdr:cNvSpPr>
          <a:spLocks noChangeAspect="1" noChangeArrowheads="1"/>
        </xdr:cNvSpPr>
      </xdr:nvSpPr>
      <xdr:spPr bwMode="auto">
        <a:xfrm>
          <a:off x="46110525" y="94059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86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5130000}"/>
            </a:ext>
          </a:extLst>
        </xdr:cNvPr>
        <xdr:cNvSpPr>
          <a:spLocks noChangeAspect="1" noChangeArrowheads="1"/>
        </xdr:cNvSpPr>
      </xdr:nvSpPr>
      <xdr:spPr bwMode="auto">
        <a:xfrm>
          <a:off x="46110525" y="94059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87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6130000}"/>
            </a:ext>
          </a:extLst>
        </xdr:cNvPr>
        <xdr:cNvSpPr>
          <a:spLocks noChangeAspect="1" noChangeArrowheads="1"/>
        </xdr:cNvSpPr>
      </xdr:nvSpPr>
      <xdr:spPr bwMode="auto">
        <a:xfrm>
          <a:off x="46110525" y="94059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87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7130000}"/>
            </a:ext>
          </a:extLst>
        </xdr:cNvPr>
        <xdr:cNvSpPr>
          <a:spLocks noChangeAspect="1" noChangeArrowheads="1"/>
        </xdr:cNvSpPr>
      </xdr:nvSpPr>
      <xdr:spPr bwMode="auto">
        <a:xfrm>
          <a:off x="46110525" y="94059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87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8130000}"/>
            </a:ext>
          </a:extLst>
        </xdr:cNvPr>
        <xdr:cNvSpPr>
          <a:spLocks noChangeAspect="1" noChangeArrowheads="1"/>
        </xdr:cNvSpPr>
      </xdr:nvSpPr>
      <xdr:spPr bwMode="auto">
        <a:xfrm>
          <a:off x="46110525" y="94059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87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9130000}"/>
            </a:ext>
          </a:extLst>
        </xdr:cNvPr>
        <xdr:cNvSpPr>
          <a:spLocks noChangeAspect="1" noChangeArrowheads="1"/>
        </xdr:cNvSpPr>
      </xdr:nvSpPr>
      <xdr:spPr bwMode="auto">
        <a:xfrm>
          <a:off x="46110525" y="94059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87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A130000}"/>
            </a:ext>
          </a:extLst>
        </xdr:cNvPr>
        <xdr:cNvSpPr>
          <a:spLocks noChangeAspect="1" noChangeArrowheads="1"/>
        </xdr:cNvSpPr>
      </xdr:nvSpPr>
      <xdr:spPr bwMode="auto">
        <a:xfrm>
          <a:off x="46110525" y="94059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87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B130000}"/>
            </a:ext>
          </a:extLst>
        </xdr:cNvPr>
        <xdr:cNvSpPr>
          <a:spLocks noChangeAspect="1" noChangeArrowheads="1"/>
        </xdr:cNvSpPr>
      </xdr:nvSpPr>
      <xdr:spPr bwMode="auto">
        <a:xfrm>
          <a:off x="46110525" y="94059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87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C130000}"/>
            </a:ext>
          </a:extLst>
        </xdr:cNvPr>
        <xdr:cNvSpPr>
          <a:spLocks noChangeAspect="1" noChangeArrowheads="1"/>
        </xdr:cNvSpPr>
      </xdr:nvSpPr>
      <xdr:spPr bwMode="auto">
        <a:xfrm>
          <a:off x="46110525" y="94059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87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D130000}"/>
            </a:ext>
          </a:extLst>
        </xdr:cNvPr>
        <xdr:cNvSpPr>
          <a:spLocks noChangeAspect="1" noChangeArrowheads="1"/>
        </xdr:cNvSpPr>
      </xdr:nvSpPr>
      <xdr:spPr bwMode="auto">
        <a:xfrm>
          <a:off x="46110525" y="94354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87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E130000}"/>
            </a:ext>
          </a:extLst>
        </xdr:cNvPr>
        <xdr:cNvSpPr>
          <a:spLocks noChangeAspect="1" noChangeArrowheads="1"/>
        </xdr:cNvSpPr>
      </xdr:nvSpPr>
      <xdr:spPr bwMode="auto">
        <a:xfrm>
          <a:off x="46110525" y="94354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87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F130000}"/>
            </a:ext>
          </a:extLst>
        </xdr:cNvPr>
        <xdr:cNvSpPr>
          <a:spLocks noChangeAspect="1" noChangeArrowheads="1"/>
        </xdr:cNvSpPr>
      </xdr:nvSpPr>
      <xdr:spPr bwMode="auto">
        <a:xfrm>
          <a:off x="46110525" y="946499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88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0130000}"/>
            </a:ext>
          </a:extLst>
        </xdr:cNvPr>
        <xdr:cNvSpPr>
          <a:spLocks noChangeAspect="1" noChangeArrowheads="1"/>
        </xdr:cNvSpPr>
      </xdr:nvSpPr>
      <xdr:spPr bwMode="auto">
        <a:xfrm>
          <a:off x="46110525" y="946499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88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1130000}"/>
            </a:ext>
          </a:extLst>
        </xdr:cNvPr>
        <xdr:cNvSpPr>
          <a:spLocks noChangeAspect="1" noChangeArrowheads="1"/>
        </xdr:cNvSpPr>
      </xdr:nvSpPr>
      <xdr:spPr bwMode="auto">
        <a:xfrm>
          <a:off x="46110525" y="94945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88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2130000}"/>
            </a:ext>
          </a:extLst>
        </xdr:cNvPr>
        <xdr:cNvSpPr>
          <a:spLocks noChangeAspect="1" noChangeArrowheads="1"/>
        </xdr:cNvSpPr>
      </xdr:nvSpPr>
      <xdr:spPr bwMode="auto">
        <a:xfrm>
          <a:off x="46110525" y="94945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88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3130000}"/>
            </a:ext>
          </a:extLst>
        </xdr:cNvPr>
        <xdr:cNvSpPr>
          <a:spLocks noChangeAspect="1" noChangeArrowheads="1"/>
        </xdr:cNvSpPr>
      </xdr:nvSpPr>
      <xdr:spPr bwMode="auto">
        <a:xfrm>
          <a:off x="46110525" y="952404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88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4130000}"/>
            </a:ext>
          </a:extLst>
        </xdr:cNvPr>
        <xdr:cNvSpPr>
          <a:spLocks noChangeAspect="1" noChangeArrowheads="1"/>
        </xdr:cNvSpPr>
      </xdr:nvSpPr>
      <xdr:spPr bwMode="auto">
        <a:xfrm>
          <a:off x="46110525" y="952404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88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5130000}"/>
            </a:ext>
          </a:extLst>
        </xdr:cNvPr>
        <xdr:cNvSpPr>
          <a:spLocks noChangeAspect="1" noChangeArrowheads="1"/>
        </xdr:cNvSpPr>
      </xdr:nvSpPr>
      <xdr:spPr bwMode="auto">
        <a:xfrm>
          <a:off x="46110525" y="95535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88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6130000}"/>
            </a:ext>
          </a:extLst>
        </xdr:cNvPr>
        <xdr:cNvSpPr>
          <a:spLocks noChangeAspect="1" noChangeArrowheads="1"/>
        </xdr:cNvSpPr>
      </xdr:nvSpPr>
      <xdr:spPr bwMode="auto">
        <a:xfrm>
          <a:off x="46110525" y="95535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88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7130000}"/>
            </a:ext>
          </a:extLst>
        </xdr:cNvPr>
        <xdr:cNvSpPr>
          <a:spLocks noChangeAspect="1" noChangeArrowheads="1"/>
        </xdr:cNvSpPr>
      </xdr:nvSpPr>
      <xdr:spPr bwMode="auto">
        <a:xfrm>
          <a:off x="46110525" y="95831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88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8130000}"/>
            </a:ext>
          </a:extLst>
        </xdr:cNvPr>
        <xdr:cNvSpPr>
          <a:spLocks noChangeAspect="1" noChangeArrowheads="1"/>
        </xdr:cNvSpPr>
      </xdr:nvSpPr>
      <xdr:spPr bwMode="auto">
        <a:xfrm>
          <a:off x="46110525" y="95831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88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9130000}"/>
            </a:ext>
          </a:extLst>
        </xdr:cNvPr>
        <xdr:cNvSpPr>
          <a:spLocks noChangeAspect="1" noChangeArrowheads="1"/>
        </xdr:cNvSpPr>
      </xdr:nvSpPr>
      <xdr:spPr bwMode="auto">
        <a:xfrm>
          <a:off x="46110525" y="96126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89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A130000}"/>
            </a:ext>
          </a:extLst>
        </xdr:cNvPr>
        <xdr:cNvSpPr>
          <a:spLocks noChangeAspect="1" noChangeArrowheads="1"/>
        </xdr:cNvSpPr>
      </xdr:nvSpPr>
      <xdr:spPr bwMode="auto">
        <a:xfrm>
          <a:off x="46110525" y="96126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89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B130000}"/>
            </a:ext>
          </a:extLst>
        </xdr:cNvPr>
        <xdr:cNvSpPr>
          <a:spLocks noChangeAspect="1" noChangeArrowheads="1"/>
        </xdr:cNvSpPr>
      </xdr:nvSpPr>
      <xdr:spPr bwMode="auto">
        <a:xfrm>
          <a:off x="46110525" y="96421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89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C130000}"/>
            </a:ext>
          </a:extLst>
        </xdr:cNvPr>
        <xdr:cNvSpPr>
          <a:spLocks noChangeAspect="1" noChangeArrowheads="1"/>
        </xdr:cNvSpPr>
      </xdr:nvSpPr>
      <xdr:spPr bwMode="auto">
        <a:xfrm>
          <a:off x="46110525" y="96421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89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D130000}"/>
            </a:ext>
          </a:extLst>
        </xdr:cNvPr>
        <xdr:cNvSpPr>
          <a:spLocks noChangeAspect="1" noChangeArrowheads="1"/>
        </xdr:cNvSpPr>
      </xdr:nvSpPr>
      <xdr:spPr bwMode="auto">
        <a:xfrm>
          <a:off x="46110525" y="96716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89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E130000}"/>
            </a:ext>
          </a:extLst>
        </xdr:cNvPr>
        <xdr:cNvSpPr>
          <a:spLocks noChangeAspect="1" noChangeArrowheads="1"/>
        </xdr:cNvSpPr>
      </xdr:nvSpPr>
      <xdr:spPr bwMode="auto">
        <a:xfrm>
          <a:off x="46110525" y="96716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89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F130000}"/>
            </a:ext>
          </a:extLst>
        </xdr:cNvPr>
        <xdr:cNvSpPr>
          <a:spLocks noChangeAspect="1" noChangeArrowheads="1"/>
        </xdr:cNvSpPr>
      </xdr:nvSpPr>
      <xdr:spPr bwMode="auto">
        <a:xfrm>
          <a:off x="46110525" y="970121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89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0130000}"/>
            </a:ext>
          </a:extLst>
        </xdr:cNvPr>
        <xdr:cNvSpPr>
          <a:spLocks noChangeAspect="1" noChangeArrowheads="1"/>
        </xdr:cNvSpPr>
      </xdr:nvSpPr>
      <xdr:spPr bwMode="auto">
        <a:xfrm>
          <a:off x="46110525" y="970121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89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1130000}"/>
            </a:ext>
          </a:extLst>
        </xdr:cNvPr>
        <xdr:cNvSpPr>
          <a:spLocks noChangeAspect="1" noChangeArrowheads="1"/>
        </xdr:cNvSpPr>
      </xdr:nvSpPr>
      <xdr:spPr bwMode="auto">
        <a:xfrm>
          <a:off x="46110525" y="97307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89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2130000}"/>
            </a:ext>
          </a:extLst>
        </xdr:cNvPr>
        <xdr:cNvSpPr>
          <a:spLocks noChangeAspect="1" noChangeArrowheads="1"/>
        </xdr:cNvSpPr>
      </xdr:nvSpPr>
      <xdr:spPr bwMode="auto">
        <a:xfrm>
          <a:off x="46110525" y="97307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89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3130000}"/>
            </a:ext>
          </a:extLst>
        </xdr:cNvPr>
        <xdr:cNvSpPr>
          <a:spLocks noChangeAspect="1" noChangeArrowheads="1"/>
        </xdr:cNvSpPr>
      </xdr:nvSpPr>
      <xdr:spPr bwMode="auto">
        <a:xfrm>
          <a:off x="46110525" y="976026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90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4130000}"/>
            </a:ext>
          </a:extLst>
        </xdr:cNvPr>
        <xdr:cNvSpPr>
          <a:spLocks noChangeAspect="1" noChangeArrowheads="1"/>
        </xdr:cNvSpPr>
      </xdr:nvSpPr>
      <xdr:spPr bwMode="auto">
        <a:xfrm>
          <a:off x="46110525" y="976026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90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5130000}"/>
            </a:ext>
          </a:extLst>
        </xdr:cNvPr>
        <xdr:cNvSpPr>
          <a:spLocks noChangeAspect="1" noChangeArrowheads="1"/>
        </xdr:cNvSpPr>
      </xdr:nvSpPr>
      <xdr:spPr bwMode="auto">
        <a:xfrm>
          <a:off x="46110525" y="97897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90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6130000}"/>
            </a:ext>
          </a:extLst>
        </xdr:cNvPr>
        <xdr:cNvSpPr>
          <a:spLocks noChangeAspect="1" noChangeArrowheads="1"/>
        </xdr:cNvSpPr>
      </xdr:nvSpPr>
      <xdr:spPr bwMode="auto">
        <a:xfrm>
          <a:off x="46110525" y="97897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90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7130000}"/>
            </a:ext>
          </a:extLst>
        </xdr:cNvPr>
        <xdr:cNvSpPr>
          <a:spLocks noChangeAspect="1" noChangeArrowheads="1"/>
        </xdr:cNvSpPr>
      </xdr:nvSpPr>
      <xdr:spPr bwMode="auto">
        <a:xfrm>
          <a:off x="46110525" y="98193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90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8130000}"/>
            </a:ext>
          </a:extLst>
        </xdr:cNvPr>
        <xdr:cNvSpPr>
          <a:spLocks noChangeAspect="1" noChangeArrowheads="1"/>
        </xdr:cNvSpPr>
      </xdr:nvSpPr>
      <xdr:spPr bwMode="auto">
        <a:xfrm>
          <a:off x="46110525" y="98193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90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9130000}"/>
            </a:ext>
          </a:extLst>
        </xdr:cNvPr>
        <xdr:cNvSpPr>
          <a:spLocks noChangeAspect="1" noChangeArrowheads="1"/>
        </xdr:cNvSpPr>
      </xdr:nvSpPr>
      <xdr:spPr bwMode="auto">
        <a:xfrm>
          <a:off x="46110525" y="9848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90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A130000}"/>
            </a:ext>
          </a:extLst>
        </xdr:cNvPr>
        <xdr:cNvSpPr>
          <a:spLocks noChangeAspect="1" noChangeArrowheads="1"/>
        </xdr:cNvSpPr>
      </xdr:nvSpPr>
      <xdr:spPr bwMode="auto">
        <a:xfrm>
          <a:off x="46110525" y="9848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90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B130000}"/>
            </a:ext>
          </a:extLst>
        </xdr:cNvPr>
        <xdr:cNvSpPr>
          <a:spLocks noChangeAspect="1" noChangeArrowheads="1"/>
        </xdr:cNvSpPr>
      </xdr:nvSpPr>
      <xdr:spPr bwMode="auto">
        <a:xfrm>
          <a:off x="46110525" y="987837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90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C130000}"/>
            </a:ext>
          </a:extLst>
        </xdr:cNvPr>
        <xdr:cNvSpPr>
          <a:spLocks noChangeAspect="1" noChangeArrowheads="1"/>
        </xdr:cNvSpPr>
      </xdr:nvSpPr>
      <xdr:spPr bwMode="auto">
        <a:xfrm>
          <a:off x="46110525" y="987837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90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D130000}"/>
            </a:ext>
          </a:extLst>
        </xdr:cNvPr>
        <xdr:cNvSpPr>
          <a:spLocks noChangeAspect="1" noChangeArrowheads="1"/>
        </xdr:cNvSpPr>
      </xdr:nvSpPr>
      <xdr:spPr bwMode="auto">
        <a:xfrm>
          <a:off x="46110525" y="99079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91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E130000}"/>
            </a:ext>
          </a:extLst>
        </xdr:cNvPr>
        <xdr:cNvSpPr>
          <a:spLocks noChangeAspect="1" noChangeArrowheads="1"/>
        </xdr:cNvSpPr>
      </xdr:nvSpPr>
      <xdr:spPr bwMode="auto">
        <a:xfrm>
          <a:off x="46110525" y="99079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91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F130000}"/>
            </a:ext>
          </a:extLst>
        </xdr:cNvPr>
        <xdr:cNvSpPr>
          <a:spLocks noChangeAspect="1" noChangeArrowheads="1"/>
        </xdr:cNvSpPr>
      </xdr:nvSpPr>
      <xdr:spPr bwMode="auto">
        <a:xfrm>
          <a:off x="46110525" y="99374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91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0130000}"/>
            </a:ext>
          </a:extLst>
        </xdr:cNvPr>
        <xdr:cNvSpPr>
          <a:spLocks noChangeAspect="1" noChangeArrowheads="1"/>
        </xdr:cNvSpPr>
      </xdr:nvSpPr>
      <xdr:spPr bwMode="auto">
        <a:xfrm>
          <a:off x="46110525" y="99374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91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1130000}"/>
            </a:ext>
          </a:extLst>
        </xdr:cNvPr>
        <xdr:cNvSpPr>
          <a:spLocks noChangeAspect="1" noChangeArrowheads="1"/>
        </xdr:cNvSpPr>
      </xdr:nvSpPr>
      <xdr:spPr bwMode="auto">
        <a:xfrm>
          <a:off x="46110525" y="99669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91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2130000}"/>
            </a:ext>
          </a:extLst>
        </xdr:cNvPr>
        <xdr:cNvSpPr>
          <a:spLocks noChangeAspect="1" noChangeArrowheads="1"/>
        </xdr:cNvSpPr>
      </xdr:nvSpPr>
      <xdr:spPr bwMode="auto">
        <a:xfrm>
          <a:off x="46110525" y="99669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91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3130000}"/>
            </a:ext>
          </a:extLst>
        </xdr:cNvPr>
        <xdr:cNvSpPr>
          <a:spLocks noChangeAspect="1" noChangeArrowheads="1"/>
        </xdr:cNvSpPr>
      </xdr:nvSpPr>
      <xdr:spPr bwMode="auto">
        <a:xfrm>
          <a:off x="46110525" y="99964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91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4130000}"/>
            </a:ext>
          </a:extLst>
        </xdr:cNvPr>
        <xdr:cNvSpPr>
          <a:spLocks noChangeAspect="1" noChangeArrowheads="1"/>
        </xdr:cNvSpPr>
      </xdr:nvSpPr>
      <xdr:spPr bwMode="auto">
        <a:xfrm>
          <a:off x="46110525" y="99964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91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5130000}"/>
            </a:ext>
          </a:extLst>
        </xdr:cNvPr>
        <xdr:cNvSpPr>
          <a:spLocks noChangeAspect="1" noChangeArrowheads="1"/>
        </xdr:cNvSpPr>
      </xdr:nvSpPr>
      <xdr:spPr bwMode="auto">
        <a:xfrm>
          <a:off x="46110525" y="100260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91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6130000}"/>
            </a:ext>
          </a:extLst>
        </xdr:cNvPr>
        <xdr:cNvSpPr>
          <a:spLocks noChangeAspect="1" noChangeArrowheads="1"/>
        </xdr:cNvSpPr>
      </xdr:nvSpPr>
      <xdr:spPr bwMode="auto">
        <a:xfrm>
          <a:off x="46110525" y="100260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91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7130000}"/>
            </a:ext>
          </a:extLst>
        </xdr:cNvPr>
        <xdr:cNvSpPr>
          <a:spLocks noChangeAspect="1" noChangeArrowheads="1"/>
        </xdr:cNvSpPr>
      </xdr:nvSpPr>
      <xdr:spPr bwMode="auto">
        <a:xfrm>
          <a:off x="46110525" y="1005554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92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8130000}"/>
            </a:ext>
          </a:extLst>
        </xdr:cNvPr>
        <xdr:cNvSpPr>
          <a:spLocks noChangeAspect="1" noChangeArrowheads="1"/>
        </xdr:cNvSpPr>
      </xdr:nvSpPr>
      <xdr:spPr bwMode="auto">
        <a:xfrm>
          <a:off x="46110525" y="1005554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92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9130000}"/>
            </a:ext>
          </a:extLst>
        </xdr:cNvPr>
        <xdr:cNvSpPr>
          <a:spLocks noChangeAspect="1" noChangeArrowheads="1"/>
        </xdr:cNvSpPr>
      </xdr:nvSpPr>
      <xdr:spPr bwMode="auto">
        <a:xfrm>
          <a:off x="46110525" y="100850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92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A130000}"/>
            </a:ext>
          </a:extLst>
        </xdr:cNvPr>
        <xdr:cNvSpPr>
          <a:spLocks noChangeAspect="1" noChangeArrowheads="1"/>
        </xdr:cNvSpPr>
      </xdr:nvSpPr>
      <xdr:spPr bwMode="auto">
        <a:xfrm>
          <a:off x="46110525" y="100850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92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B130000}"/>
            </a:ext>
          </a:extLst>
        </xdr:cNvPr>
        <xdr:cNvSpPr>
          <a:spLocks noChangeAspect="1" noChangeArrowheads="1"/>
        </xdr:cNvSpPr>
      </xdr:nvSpPr>
      <xdr:spPr bwMode="auto">
        <a:xfrm>
          <a:off x="46110525" y="1011459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92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C130000}"/>
            </a:ext>
          </a:extLst>
        </xdr:cNvPr>
        <xdr:cNvSpPr>
          <a:spLocks noChangeAspect="1" noChangeArrowheads="1"/>
        </xdr:cNvSpPr>
      </xdr:nvSpPr>
      <xdr:spPr bwMode="auto">
        <a:xfrm>
          <a:off x="46110525" y="1011459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92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D130000}"/>
            </a:ext>
          </a:extLst>
        </xdr:cNvPr>
        <xdr:cNvSpPr>
          <a:spLocks noChangeAspect="1" noChangeArrowheads="1"/>
        </xdr:cNvSpPr>
      </xdr:nvSpPr>
      <xdr:spPr bwMode="auto">
        <a:xfrm>
          <a:off x="46110525" y="101441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92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E130000}"/>
            </a:ext>
          </a:extLst>
        </xdr:cNvPr>
        <xdr:cNvSpPr>
          <a:spLocks noChangeAspect="1" noChangeArrowheads="1"/>
        </xdr:cNvSpPr>
      </xdr:nvSpPr>
      <xdr:spPr bwMode="auto">
        <a:xfrm>
          <a:off x="46110525" y="101441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92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F130000}"/>
            </a:ext>
          </a:extLst>
        </xdr:cNvPr>
        <xdr:cNvSpPr>
          <a:spLocks noChangeAspect="1" noChangeArrowheads="1"/>
        </xdr:cNvSpPr>
      </xdr:nvSpPr>
      <xdr:spPr bwMode="auto">
        <a:xfrm>
          <a:off x="46110525" y="101736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92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0130000}"/>
            </a:ext>
          </a:extLst>
        </xdr:cNvPr>
        <xdr:cNvSpPr>
          <a:spLocks noChangeAspect="1" noChangeArrowheads="1"/>
        </xdr:cNvSpPr>
      </xdr:nvSpPr>
      <xdr:spPr bwMode="auto">
        <a:xfrm>
          <a:off x="46110525" y="101736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92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1130000}"/>
            </a:ext>
          </a:extLst>
        </xdr:cNvPr>
        <xdr:cNvSpPr>
          <a:spLocks noChangeAspect="1" noChangeArrowheads="1"/>
        </xdr:cNvSpPr>
      </xdr:nvSpPr>
      <xdr:spPr bwMode="auto">
        <a:xfrm>
          <a:off x="46110525" y="102031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93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2130000}"/>
            </a:ext>
          </a:extLst>
        </xdr:cNvPr>
        <xdr:cNvSpPr>
          <a:spLocks noChangeAspect="1" noChangeArrowheads="1"/>
        </xdr:cNvSpPr>
      </xdr:nvSpPr>
      <xdr:spPr bwMode="auto">
        <a:xfrm>
          <a:off x="46110525" y="102031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93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3130000}"/>
            </a:ext>
          </a:extLst>
        </xdr:cNvPr>
        <xdr:cNvSpPr>
          <a:spLocks noChangeAspect="1" noChangeArrowheads="1"/>
        </xdr:cNvSpPr>
      </xdr:nvSpPr>
      <xdr:spPr bwMode="auto">
        <a:xfrm>
          <a:off x="46110525" y="102327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93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4130000}"/>
            </a:ext>
          </a:extLst>
        </xdr:cNvPr>
        <xdr:cNvSpPr>
          <a:spLocks noChangeAspect="1" noChangeArrowheads="1"/>
        </xdr:cNvSpPr>
      </xdr:nvSpPr>
      <xdr:spPr bwMode="auto">
        <a:xfrm>
          <a:off x="46110525" y="102327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93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5130000}"/>
            </a:ext>
          </a:extLst>
        </xdr:cNvPr>
        <xdr:cNvSpPr>
          <a:spLocks noChangeAspect="1" noChangeArrowheads="1"/>
        </xdr:cNvSpPr>
      </xdr:nvSpPr>
      <xdr:spPr bwMode="auto">
        <a:xfrm>
          <a:off x="46110525" y="102622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93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6130000}"/>
            </a:ext>
          </a:extLst>
        </xdr:cNvPr>
        <xdr:cNvSpPr>
          <a:spLocks noChangeAspect="1" noChangeArrowheads="1"/>
        </xdr:cNvSpPr>
      </xdr:nvSpPr>
      <xdr:spPr bwMode="auto">
        <a:xfrm>
          <a:off x="46110525" y="102622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93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7130000}"/>
            </a:ext>
          </a:extLst>
        </xdr:cNvPr>
        <xdr:cNvSpPr>
          <a:spLocks noChangeAspect="1" noChangeArrowheads="1"/>
        </xdr:cNvSpPr>
      </xdr:nvSpPr>
      <xdr:spPr bwMode="auto">
        <a:xfrm>
          <a:off x="46110525" y="102917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93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8130000}"/>
            </a:ext>
          </a:extLst>
        </xdr:cNvPr>
        <xdr:cNvSpPr>
          <a:spLocks noChangeAspect="1" noChangeArrowheads="1"/>
        </xdr:cNvSpPr>
      </xdr:nvSpPr>
      <xdr:spPr bwMode="auto">
        <a:xfrm>
          <a:off x="46110525" y="102917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93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9130000}"/>
            </a:ext>
          </a:extLst>
        </xdr:cNvPr>
        <xdr:cNvSpPr>
          <a:spLocks noChangeAspect="1" noChangeArrowheads="1"/>
        </xdr:cNvSpPr>
      </xdr:nvSpPr>
      <xdr:spPr bwMode="auto">
        <a:xfrm>
          <a:off x="46110525" y="103212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93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A130000}"/>
            </a:ext>
          </a:extLst>
        </xdr:cNvPr>
        <xdr:cNvSpPr>
          <a:spLocks noChangeAspect="1" noChangeArrowheads="1"/>
        </xdr:cNvSpPr>
      </xdr:nvSpPr>
      <xdr:spPr bwMode="auto">
        <a:xfrm>
          <a:off x="46110525" y="103212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93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B130000}"/>
            </a:ext>
          </a:extLst>
        </xdr:cNvPr>
        <xdr:cNvSpPr>
          <a:spLocks noChangeAspect="1" noChangeArrowheads="1"/>
        </xdr:cNvSpPr>
      </xdr:nvSpPr>
      <xdr:spPr bwMode="auto">
        <a:xfrm>
          <a:off x="46110525" y="1035081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94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C130000}"/>
            </a:ext>
          </a:extLst>
        </xdr:cNvPr>
        <xdr:cNvSpPr>
          <a:spLocks noChangeAspect="1" noChangeArrowheads="1"/>
        </xdr:cNvSpPr>
      </xdr:nvSpPr>
      <xdr:spPr bwMode="auto">
        <a:xfrm>
          <a:off x="46110525" y="1035081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94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D130000}"/>
            </a:ext>
          </a:extLst>
        </xdr:cNvPr>
        <xdr:cNvSpPr>
          <a:spLocks noChangeAspect="1" noChangeArrowheads="1"/>
        </xdr:cNvSpPr>
      </xdr:nvSpPr>
      <xdr:spPr bwMode="auto">
        <a:xfrm>
          <a:off x="46110525" y="103803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94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E130000}"/>
            </a:ext>
          </a:extLst>
        </xdr:cNvPr>
        <xdr:cNvSpPr>
          <a:spLocks noChangeAspect="1" noChangeArrowheads="1"/>
        </xdr:cNvSpPr>
      </xdr:nvSpPr>
      <xdr:spPr bwMode="auto">
        <a:xfrm>
          <a:off x="46110525" y="103803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94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F130000}"/>
            </a:ext>
          </a:extLst>
        </xdr:cNvPr>
        <xdr:cNvSpPr>
          <a:spLocks noChangeAspect="1" noChangeArrowheads="1"/>
        </xdr:cNvSpPr>
      </xdr:nvSpPr>
      <xdr:spPr bwMode="auto">
        <a:xfrm>
          <a:off x="46110525" y="1040987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94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0130000}"/>
            </a:ext>
          </a:extLst>
        </xdr:cNvPr>
        <xdr:cNvSpPr>
          <a:spLocks noChangeAspect="1" noChangeArrowheads="1"/>
        </xdr:cNvSpPr>
      </xdr:nvSpPr>
      <xdr:spPr bwMode="auto">
        <a:xfrm>
          <a:off x="46110525" y="1040987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94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1130000}"/>
            </a:ext>
          </a:extLst>
        </xdr:cNvPr>
        <xdr:cNvSpPr>
          <a:spLocks noChangeAspect="1" noChangeArrowheads="1"/>
        </xdr:cNvSpPr>
      </xdr:nvSpPr>
      <xdr:spPr bwMode="auto">
        <a:xfrm>
          <a:off x="46110525" y="104394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94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2130000}"/>
            </a:ext>
          </a:extLst>
        </xdr:cNvPr>
        <xdr:cNvSpPr>
          <a:spLocks noChangeAspect="1" noChangeArrowheads="1"/>
        </xdr:cNvSpPr>
      </xdr:nvSpPr>
      <xdr:spPr bwMode="auto">
        <a:xfrm>
          <a:off x="46110525" y="104394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94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3130000}"/>
            </a:ext>
          </a:extLst>
        </xdr:cNvPr>
        <xdr:cNvSpPr>
          <a:spLocks noChangeAspect="1" noChangeArrowheads="1"/>
        </xdr:cNvSpPr>
      </xdr:nvSpPr>
      <xdr:spPr bwMode="auto">
        <a:xfrm>
          <a:off x="46110525" y="1046892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94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4130000}"/>
            </a:ext>
          </a:extLst>
        </xdr:cNvPr>
        <xdr:cNvSpPr>
          <a:spLocks noChangeAspect="1" noChangeArrowheads="1"/>
        </xdr:cNvSpPr>
      </xdr:nvSpPr>
      <xdr:spPr bwMode="auto">
        <a:xfrm>
          <a:off x="46110525" y="1046892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94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5130000}"/>
            </a:ext>
          </a:extLst>
        </xdr:cNvPr>
        <xdr:cNvSpPr>
          <a:spLocks noChangeAspect="1" noChangeArrowheads="1"/>
        </xdr:cNvSpPr>
      </xdr:nvSpPr>
      <xdr:spPr bwMode="auto">
        <a:xfrm>
          <a:off x="46110525" y="104984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95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6130000}"/>
            </a:ext>
          </a:extLst>
        </xdr:cNvPr>
        <xdr:cNvSpPr>
          <a:spLocks noChangeAspect="1" noChangeArrowheads="1"/>
        </xdr:cNvSpPr>
      </xdr:nvSpPr>
      <xdr:spPr bwMode="auto">
        <a:xfrm>
          <a:off x="46110525" y="104984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95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7130000}"/>
            </a:ext>
          </a:extLst>
        </xdr:cNvPr>
        <xdr:cNvSpPr>
          <a:spLocks noChangeAspect="1" noChangeArrowheads="1"/>
        </xdr:cNvSpPr>
      </xdr:nvSpPr>
      <xdr:spPr bwMode="auto">
        <a:xfrm>
          <a:off x="46110525" y="105279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95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8130000}"/>
            </a:ext>
          </a:extLst>
        </xdr:cNvPr>
        <xdr:cNvSpPr>
          <a:spLocks noChangeAspect="1" noChangeArrowheads="1"/>
        </xdr:cNvSpPr>
      </xdr:nvSpPr>
      <xdr:spPr bwMode="auto">
        <a:xfrm>
          <a:off x="46110525" y="105279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95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9130000}"/>
            </a:ext>
          </a:extLst>
        </xdr:cNvPr>
        <xdr:cNvSpPr>
          <a:spLocks noChangeAspect="1" noChangeArrowheads="1"/>
        </xdr:cNvSpPr>
      </xdr:nvSpPr>
      <xdr:spPr bwMode="auto">
        <a:xfrm>
          <a:off x="46110525" y="105575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95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A130000}"/>
            </a:ext>
          </a:extLst>
        </xdr:cNvPr>
        <xdr:cNvSpPr>
          <a:spLocks noChangeAspect="1" noChangeArrowheads="1"/>
        </xdr:cNvSpPr>
      </xdr:nvSpPr>
      <xdr:spPr bwMode="auto">
        <a:xfrm>
          <a:off x="46110525" y="105575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95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B130000}"/>
            </a:ext>
          </a:extLst>
        </xdr:cNvPr>
        <xdr:cNvSpPr>
          <a:spLocks noChangeAspect="1" noChangeArrowheads="1"/>
        </xdr:cNvSpPr>
      </xdr:nvSpPr>
      <xdr:spPr bwMode="auto">
        <a:xfrm>
          <a:off x="46110525" y="105870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95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C130000}"/>
            </a:ext>
          </a:extLst>
        </xdr:cNvPr>
        <xdr:cNvSpPr>
          <a:spLocks noChangeAspect="1" noChangeArrowheads="1"/>
        </xdr:cNvSpPr>
      </xdr:nvSpPr>
      <xdr:spPr bwMode="auto">
        <a:xfrm>
          <a:off x="46110525" y="105870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95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D130000}"/>
            </a:ext>
          </a:extLst>
        </xdr:cNvPr>
        <xdr:cNvSpPr>
          <a:spLocks noChangeAspect="1" noChangeArrowheads="1"/>
        </xdr:cNvSpPr>
      </xdr:nvSpPr>
      <xdr:spPr bwMode="auto">
        <a:xfrm>
          <a:off x="46110525" y="106165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95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E130000}"/>
            </a:ext>
          </a:extLst>
        </xdr:cNvPr>
        <xdr:cNvSpPr>
          <a:spLocks noChangeAspect="1" noChangeArrowheads="1"/>
        </xdr:cNvSpPr>
      </xdr:nvSpPr>
      <xdr:spPr bwMode="auto">
        <a:xfrm>
          <a:off x="46110525" y="106165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95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F130000}"/>
            </a:ext>
          </a:extLst>
        </xdr:cNvPr>
        <xdr:cNvSpPr>
          <a:spLocks noChangeAspect="1" noChangeArrowheads="1"/>
        </xdr:cNvSpPr>
      </xdr:nvSpPr>
      <xdr:spPr bwMode="auto">
        <a:xfrm>
          <a:off x="46110525" y="1064609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96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0130000}"/>
            </a:ext>
          </a:extLst>
        </xdr:cNvPr>
        <xdr:cNvSpPr>
          <a:spLocks noChangeAspect="1" noChangeArrowheads="1"/>
        </xdr:cNvSpPr>
      </xdr:nvSpPr>
      <xdr:spPr bwMode="auto">
        <a:xfrm>
          <a:off x="46110525" y="1064609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96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1130000}"/>
            </a:ext>
          </a:extLst>
        </xdr:cNvPr>
        <xdr:cNvSpPr>
          <a:spLocks noChangeAspect="1" noChangeArrowheads="1"/>
        </xdr:cNvSpPr>
      </xdr:nvSpPr>
      <xdr:spPr bwMode="auto">
        <a:xfrm>
          <a:off x="46110525" y="106756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96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2130000}"/>
            </a:ext>
          </a:extLst>
        </xdr:cNvPr>
        <xdr:cNvSpPr>
          <a:spLocks noChangeAspect="1" noChangeArrowheads="1"/>
        </xdr:cNvSpPr>
      </xdr:nvSpPr>
      <xdr:spPr bwMode="auto">
        <a:xfrm>
          <a:off x="46110525" y="106756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96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3130000}"/>
            </a:ext>
          </a:extLst>
        </xdr:cNvPr>
        <xdr:cNvSpPr>
          <a:spLocks noChangeAspect="1" noChangeArrowheads="1"/>
        </xdr:cNvSpPr>
      </xdr:nvSpPr>
      <xdr:spPr bwMode="auto">
        <a:xfrm>
          <a:off x="46110525" y="1070514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96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4130000}"/>
            </a:ext>
          </a:extLst>
        </xdr:cNvPr>
        <xdr:cNvSpPr>
          <a:spLocks noChangeAspect="1" noChangeArrowheads="1"/>
        </xdr:cNvSpPr>
      </xdr:nvSpPr>
      <xdr:spPr bwMode="auto">
        <a:xfrm>
          <a:off x="46110525" y="1070514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96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5130000}"/>
            </a:ext>
          </a:extLst>
        </xdr:cNvPr>
        <xdr:cNvSpPr>
          <a:spLocks noChangeAspect="1" noChangeArrowheads="1"/>
        </xdr:cNvSpPr>
      </xdr:nvSpPr>
      <xdr:spPr bwMode="auto">
        <a:xfrm>
          <a:off x="46110525" y="107346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96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6130000}"/>
            </a:ext>
          </a:extLst>
        </xdr:cNvPr>
        <xdr:cNvSpPr>
          <a:spLocks noChangeAspect="1" noChangeArrowheads="1"/>
        </xdr:cNvSpPr>
      </xdr:nvSpPr>
      <xdr:spPr bwMode="auto">
        <a:xfrm>
          <a:off x="46110525" y="107346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96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7130000}"/>
            </a:ext>
          </a:extLst>
        </xdr:cNvPr>
        <xdr:cNvSpPr>
          <a:spLocks noChangeAspect="1" noChangeArrowheads="1"/>
        </xdr:cNvSpPr>
      </xdr:nvSpPr>
      <xdr:spPr bwMode="auto">
        <a:xfrm>
          <a:off x="46110525" y="107642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96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8130000}"/>
            </a:ext>
          </a:extLst>
        </xdr:cNvPr>
        <xdr:cNvSpPr>
          <a:spLocks noChangeAspect="1" noChangeArrowheads="1"/>
        </xdr:cNvSpPr>
      </xdr:nvSpPr>
      <xdr:spPr bwMode="auto">
        <a:xfrm>
          <a:off x="46110525" y="107642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96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9130000}"/>
            </a:ext>
          </a:extLst>
        </xdr:cNvPr>
        <xdr:cNvSpPr>
          <a:spLocks noChangeAspect="1" noChangeArrowheads="1"/>
        </xdr:cNvSpPr>
      </xdr:nvSpPr>
      <xdr:spPr bwMode="auto">
        <a:xfrm>
          <a:off x="46110525" y="107937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97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A130000}"/>
            </a:ext>
          </a:extLst>
        </xdr:cNvPr>
        <xdr:cNvSpPr>
          <a:spLocks noChangeAspect="1" noChangeArrowheads="1"/>
        </xdr:cNvSpPr>
      </xdr:nvSpPr>
      <xdr:spPr bwMode="auto">
        <a:xfrm>
          <a:off x="46110525" y="107937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97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B130000}"/>
            </a:ext>
          </a:extLst>
        </xdr:cNvPr>
        <xdr:cNvSpPr>
          <a:spLocks noChangeAspect="1" noChangeArrowheads="1"/>
        </xdr:cNvSpPr>
      </xdr:nvSpPr>
      <xdr:spPr bwMode="auto">
        <a:xfrm>
          <a:off x="46110525" y="108232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97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C130000}"/>
            </a:ext>
          </a:extLst>
        </xdr:cNvPr>
        <xdr:cNvSpPr>
          <a:spLocks noChangeAspect="1" noChangeArrowheads="1"/>
        </xdr:cNvSpPr>
      </xdr:nvSpPr>
      <xdr:spPr bwMode="auto">
        <a:xfrm>
          <a:off x="46110525" y="108232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97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D130000}"/>
            </a:ext>
          </a:extLst>
        </xdr:cNvPr>
        <xdr:cNvSpPr>
          <a:spLocks noChangeAspect="1" noChangeArrowheads="1"/>
        </xdr:cNvSpPr>
      </xdr:nvSpPr>
      <xdr:spPr bwMode="auto">
        <a:xfrm>
          <a:off x="46110525" y="108527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97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E130000}"/>
            </a:ext>
          </a:extLst>
        </xdr:cNvPr>
        <xdr:cNvSpPr>
          <a:spLocks noChangeAspect="1" noChangeArrowheads="1"/>
        </xdr:cNvSpPr>
      </xdr:nvSpPr>
      <xdr:spPr bwMode="auto">
        <a:xfrm>
          <a:off x="46110525" y="108527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97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F130000}"/>
            </a:ext>
          </a:extLst>
        </xdr:cNvPr>
        <xdr:cNvSpPr>
          <a:spLocks noChangeAspect="1" noChangeArrowheads="1"/>
        </xdr:cNvSpPr>
      </xdr:nvSpPr>
      <xdr:spPr bwMode="auto">
        <a:xfrm>
          <a:off x="46110525" y="1088231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97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0130000}"/>
            </a:ext>
          </a:extLst>
        </xdr:cNvPr>
        <xdr:cNvSpPr>
          <a:spLocks noChangeAspect="1" noChangeArrowheads="1"/>
        </xdr:cNvSpPr>
      </xdr:nvSpPr>
      <xdr:spPr bwMode="auto">
        <a:xfrm>
          <a:off x="46110525" y="1088231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97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1130000}"/>
            </a:ext>
          </a:extLst>
        </xdr:cNvPr>
        <xdr:cNvSpPr>
          <a:spLocks noChangeAspect="1" noChangeArrowheads="1"/>
        </xdr:cNvSpPr>
      </xdr:nvSpPr>
      <xdr:spPr bwMode="auto">
        <a:xfrm>
          <a:off x="46110525" y="109118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97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2130000}"/>
            </a:ext>
          </a:extLst>
        </xdr:cNvPr>
        <xdr:cNvSpPr>
          <a:spLocks noChangeAspect="1" noChangeArrowheads="1"/>
        </xdr:cNvSpPr>
      </xdr:nvSpPr>
      <xdr:spPr bwMode="auto">
        <a:xfrm>
          <a:off x="46110525" y="109118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97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3130000}"/>
            </a:ext>
          </a:extLst>
        </xdr:cNvPr>
        <xdr:cNvSpPr>
          <a:spLocks noChangeAspect="1" noChangeArrowheads="1"/>
        </xdr:cNvSpPr>
      </xdr:nvSpPr>
      <xdr:spPr bwMode="auto">
        <a:xfrm>
          <a:off x="46110525" y="1094136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98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4130000}"/>
            </a:ext>
          </a:extLst>
        </xdr:cNvPr>
        <xdr:cNvSpPr>
          <a:spLocks noChangeAspect="1" noChangeArrowheads="1"/>
        </xdr:cNvSpPr>
      </xdr:nvSpPr>
      <xdr:spPr bwMode="auto">
        <a:xfrm>
          <a:off x="46110525" y="1094136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98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5130000}"/>
            </a:ext>
          </a:extLst>
        </xdr:cNvPr>
        <xdr:cNvSpPr>
          <a:spLocks noChangeAspect="1" noChangeArrowheads="1"/>
        </xdr:cNvSpPr>
      </xdr:nvSpPr>
      <xdr:spPr bwMode="auto">
        <a:xfrm>
          <a:off x="46110525" y="109708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98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6130000}"/>
            </a:ext>
          </a:extLst>
        </xdr:cNvPr>
        <xdr:cNvSpPr>
          <a:spLocks noChangeAspect="1" noChangeArrowheads="1"/>
        </xdr:cNvSpPr>
      </xdr:nvSpPr>
      <xdr:spPr bwMode="auto">
        <a:xfrm>
          <a:off x="46110525" y="109708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98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7130000}"/>
            </a:ext>
          </a:extLst>
        </xdr:cNvPr>
        <xdr:cNvSpPr>
          <a:spLocks noChangeAspect="1" noChangeArrowheads="1"/>
        </xdr:cNvSpPr>
      </xdr:nvSpPr>
      <xdr:spPr bwMode="auto">
        <a:xfrm>
          <a:off x="46110525" y="110004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98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8130000}"/>
            </a:ext>
          </a:extLst>
        </xdr:cNvPr>
        <xdr:cNvSpPr>
          <a:spLocks noChangeAspect="1" noChangeArrowheads="1"/>
        </xdr:cNvSpPr>
      </xdr:nvSpPr>
      <xdr:spPr bwMode="auto">
        <a:xfrm>
          <a:off x="46110525" y="110004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98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9130000}"/>
            </a:ext>
          </a:extLst>
        </xdr:cNvPr>
        <xdr:cNvSpPr>
          <a:spLocks noChangeAspect="1" noChangeArrowheads="1"/>
        </xdr:cNvSpPr>
      </xdr:nvSpPr>
      <xdr:spPr bwMode="auto">
        <a:xfrm>
          <a:off x="46110525" y="11029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98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A130000}"/>
            </a:ext>
          </a:extLst>
        </xdr:cNvPr>
        <xdr:cNvSpPr>
          <a:spLocks noChangeAspect="1" noChangeArrowheads="1"/>
        </xdr:cNvSpPr>
      </xdr:nvSpPr>
      <xdr:spPr bwMode="auto">
        <a:xfrm>
          <a:off x="46110525" y="11029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98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B130000}"/>
            </a:ext>
          </a:extLst>
        </xdr:cNvPr>
        <xdr:cNvSpPr>
          <a:spLocks noChangeAspect="1" noChangeArrowheads="1"/>
        </xdr:cNvSpPr>
      </xdr:nvSpPr>
      <xdr:spPr bwMode="auto">
        <a:xfrm>
          <a:off x="46110525" y="1105947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98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C130000}"/>
            </a:ext>
          </a:extLst>
        </xdr:cNvPr>
        <xdr:cNvSpPr>
          <a:spLocks noChangeAspect="1" noChangeArrowheads="1"/>
        </xdr:cNvSpPr>
      </xdr:nvSpPr>
      <xdr:spPr bwMode="auto">
        <a:xfrm>
          <a:off x="46110525" y="1105947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98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D130000}"/>
            </a:ext>
          </a:extLst>
        </xdr:cNvPr>
        <xdr:cNvSpPr>
          <a:spLocks noChangeAspect="1" noChangeArrowheads="1"/>
        </xdr:cNvSpPr>
      </xdr:nvSpPr>
      <xdr:spPr bwMode="auto">
        <a:xfrm>
          <a:off x="46110525" y="110890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99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E130000}"/>
            </a:ext>
          </a:extLst>
        </xdr:cNvPr>
        <xdr:cNvSpPr>
          <a:spLocks noChangeAspect="1" noChangeArrowheads="1"/>
        </xdr:cNvSpPr>
      </xdr:nvSpPr>
      <xdr:spPr bwMode="auto">
        <a:xfrm>
          <a:off x="46110525" y="110890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99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F130000}"/>
            </a:ext>
          </a:extLst>
        </xdr:cNvPr>
        <xdr:cNvSpPr>
          <a:spLocks noChangeAspect="1" noChangeArrowheads="1"/>
        </xdr:cNvSpPr>
      </xdr:nvSpPr>
      <xdr:spPr bwMode="auto">
        <a:xfrm>
          <a:off x="46110525" y="111185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99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0130000}"/>
            </a:ext>
          </a:extLst>
        </xdr:cNvPr>
        <xdr:cNvSpPr>
          <a:spLocks noChangeAspect="1" noChangeArrowheads="1"/>
        </xdr:cNvSpPr>
      </xdr:nvSpPr>
      <xdr:spPr bwMode="auto">
        <a:xfrm>
          <a:off x="46110525" y="111185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99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1130000}"/>
            </a:ext>
          </a:extLst>
        </xdr:cNvPr>
        <xdr:cNvSpPr>
          <a:spLocks noChangeAspect="1" noChangeArrowheads="1"/>
        </xdr:cNvSpPr>
      </xdr:nvSpPr>
      <xdr:spPr bwMode="auto">
        <a:xfrm>
          <a:off x="46110525" y="111480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99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2130000}"/>
            </a:ext>
          </a:extLst>
        </xdr:cNvPr>
        <xdr:cNvSpPr>
          <a:spLocks noChangeAspect="1" noChangeArrowheads="1"/>
        </xdr:cNvSpPr>
      </xdr:nvSpPr>
      <xdr:spPr bwMode="auto">
        <a:xfrm>
          <a:off x="46110525" y="111480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99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3130000}"/>
            </a:ext>
          </a:extLst>
        </xdr:cNvPr>
        <xdr:cNvSpPr>
          <a:spLocks noChangeAspect="1" noChangeArrowheads="1"/>
        </xdr:cNvSpPr>
      </xdr:nvSpPr>
      <xdr:spPr bwMode="auto">
        <a:xfrm>
          <a:off x="46110525" y="111775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99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4130000}"/>
            </a:ext>
          </a:extLst>
        </xdr:cNvPr>
        <xdr:cNvSpPr>
          <a:spLocks noChangeAspect="1" noChangeArrowheads="1"/>
        </xdr:cNvSpPr>
      </xdr:nvSpPr>
      <xdr:spPr bwMode="auto">
        <a:xfrm>
          <a:off x="46110525" y="111775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99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5130000}"/>
            </a:ext>
          </a:extLst>
        </xdr:cNvPr>
        <xdr:cNvSpPr>
          <a:spLocks noChangeAspect="1" noChangeArrowheads="1"/>
        </xdr:cNvSpPr>
      </xdr:nvSpPr>
      <xdr:spPr bwMode="auto">
        <a:xfrm>
          <a:off x="46110525" y="112071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99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6130000}"/>
            </a:ext>
          </a:extLst>
        </xdr:cNvPr>
        <xdr:cNvSpPr>
          <a:spLocks noChangeAspect="1" noChangeArrowheads="1"/>
        </xdr:cNvSpPr>
      </xdr:nvSpPr>
      <xdr:spPr bwMode="auto">
        <a:xfrm>
          <a:off x="46110525" y="112071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499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7130000}"/>
            </a:ext>
          </a:extLst>
        </xdr:cNvPr>
        <xdr:cNvSpPr>
          <a:spLocks noChangeAspect="1" noChangeArrowheads="1"/>
        </xdr:cNvSpPr>
      </xdr:nvSpPr>
      <xdr:spPr bwMode="auto">
        <a:xfrm>
          <a:off x="46110525" y="1123664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00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8130000}"/>
            </a:ext>
          </a:extLst>
        </xdr:cNvPr>
        <xdr:cNvSpPr>
          <a:spLocks noChangeAspect="1" noChangeArrowheads="1"/>
        </xdr:cNvSpPr>
      </xdr:nvSpPr>
      <xdr:spPr bwMode="auto">
        <a:xfrm>
          <a:off x="46110525" y="1123664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00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9130000}"/>
            </a:ext>
          </a:extLst>
        </xdr:cNvPr>
        <xdr:cNvSpPr>
          <a:spLocks noChangeAspect="1" noChangeArrowheads="1"/>
        </xdr:cNvSpPr>
      </xdr:nvSpPr>
      <xdr:spPr bwMode="auto">
        <a:xfrm>
          <a:off x="46110525" y="112661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00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A130000}"/>
            </a:ext>
          </a:extLst>
        </xdr:cNvPr>
        <xdr:cNvSpPr>
          <a:spLocks noChangeAspect="1" noChangeArrowheads="1"/>
        </xdr:cNvSpPr>
      </xdr:nvSpPr>
      <xdr:spPr bwMode="auto">
        <a:xfrm>
          <a:off x="46110525" y="112661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00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B130000}"/>
            </a:ext>
          </a:extLst>
        </xdr:cNvPr>
        <xdr:cNvSpPr>
          <a:spLocks noChangeAspect="1" noChangeArrowheads="1"/>
        </xdr:cNvSpPr>
      </xdr:nvSpPr>
      <xdr:spPr bwMode="auto">
        <a:xfrm>
          <a:off x="46110525" y="1129569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00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C130000}"/>
            </a:ext>
          </a:extLst>
        </xdr:cNvPr>
        <xdr:cNvSpPr>
          <a:spLocks noChangeAspect="1" noChangeArrowheads="1"/>
        </xdr:cNvSpPr>
      </xdr:nvSpPr>
      <xdr:spPr bwMode="auto">
        <a:xfrm>
          <a:off x="46110525" y="1129569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00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D130000}"/>
            </a:ext>
          </a:extLst>
        </xdr:cNvPr>
        <xdr:cNvSpPr>
          <a:spLocks noChangeAspect="1" noChangeArrowheads="1"/>
        </xdr:cNvSpPr>
      </xdr:nvSpPr>
      <xdr:spPr bwMode="auto">
        <a:xfrm>
          <a:off x="46110525" y="113252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00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E130000}"/>
            </a:ext>
          </a:extLst>
        </xdr:cNvPr>
        <xdr:cNvSpPr>
          <a:spLocks noChangeAspect="1" noChangeArrowheads="1"/>
        </xdr:cNvSpPr>
      </xdr:nvSpPr>
      <xdr:spPr bwMode="auto">
        <a:xfrm>
          <a:off x="46110525" y="113252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00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F130000}"/>
            </a:ext>
          </a:extLst>
        </xdr:cNvPr>
        <xdr:cNvSpPr>
          <a:spLocks noChangeAspect="1" noChangeArrowheads="1"/>
        </xdr:cNvSpPr>
      </xdr:nvSpPr>
      <xdr:spPr bwMode="auto">
        <a:xfrm>
          <a:off x="46110525" y="113547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00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0130000}"/>
            </a:ext>
          </a:extLst>
        </xdr:cNvPr>
        <xdr:cNvSpPr>
          <a:spLocks noChangeAspect="1" noChangeArrowheads="1"/>
        </xdr:cNvSpPr>
      </xdr:nvSpPr>
      <xdr:spPr bwMode="auto">
        <a:xfrm>
          <a:off x="46110525" y="113547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00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1130000}"/>
            </a:ext>
          </a:extLst>
        </xdr:cNvPr>
        <xdr:cNvSpPr>
          <a:spLocks noChangeAspect="1" noChangeArrowheads="1"/>
        </xdr:cNvSpPr>
      </xdr:nvSpPr>
      <xdr:spPr bwMode="auto">
        <a:xfrm>
          <a:off x="46110525" y="113842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01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2130000}"/>
            </a:ext>
          </a:extLst>
        </xdr:cNvPr>
        <xdr:cNvSpPr>
          <a:spLocks noChangeAspect="1" noChangeArrowheads="1"/>
        </xdr:cNvSpPr>
      </xdr:nvSpPr>
      <xdr:spPr bwMode="auto">
        <a:xfrm>
          <a:off x="46110525" y="113842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01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3130000}"/>
            </a:ext>
          </a:extLst>
        </xdr:cNvPr>
        <xdr:cNvSpPr>
          <a:spLocks noChangeAspect="1" noChangeArrowheads="1"/>
        </xdr:cNvSpPr>
      </xdr:nvSpPr>
      <xdr:spPr bwMode="auto">
        <a:xfrm>
          <a:off x="46110525" y="114138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01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4130000}"/>
            </a:ext>
          </a:extLst>
        </xdr:cNvPr>
        <xdr:cNvSpPr>
          <a:spLocks noChangeAspect="1" noChangeArrowheads="1"/>
        </xdr:cNvSpPr>
      </xdr:nvSpPr>
      <xdr:spPr bwMode="auto">
        <a:xfrm>
          <a:off x="46110525" y="114138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01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5130000}"/>
            </a:ext>
          </a:extLst>
        </xdr:cNvPr>
        <xdr:cNvSpPr>
          <a:spLocks noChangeAspect="1" noChangeArrowheads="1"/>
        </xdr:cNvSpPr>
      </xdr:nvSpPr>
      <xdr:spPr bwMode="auto">
        <a:xfrm>
          <a:off x="46110525" y="114433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01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6130000}"/>
            </a:ext>
          </a:extLst>
        </xdr:cNvPr>
        <xdr:cNvSpPr>
          <a:spLocks noChangeAspect="1" noChangeArrowheads="1"/>
        </xdr:cNvSpPr>
      </xdr:nvSpPr>
      <xdr:spPr bwMode="auto">
        <a:xfrm>
          <a:off x="46110525" y="114433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01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7130000}"/>
            </a:ext>
          </a:extLst>
        </xdr:cNvPr>
        <xdr:cNvSpPr>
          <a:spLocks noChangeAspect="1" noChangeArrowheads="1"/>
        </xdr:cNvSpPr>
      </xdr:nvSpPr>
      <xdr:spPr bwMode="auto">
        <a:xfrm>
          <a:off x="46110525" y="114728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01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8130000}"/>
            </a:ext>
          </a:extLst>
        </xdr:cNvPr>
        <xdr:cNvSpPr>
          <a:spLocks noChangeAspect="1" noChangeArrowheads="1"/>
        </xdr:cNvSpPr>
      </xdr:nvSpPr>
      <xdr:spPr bwMode="auto">
        <a:xfrm>
          <a:off x="46110525" y="114728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01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9130000}"/>
            </a:ext>
          </a:extLst>
        </xdr:cNvPr>
        <xdr:cNvSpPr>
          <a:spLocks noChangeAspect="1" noChangeArrowheads="1"/>
        </xdr:cNvSpPr>
      </xdr:nvSpPr>
      <xdr:spPr bwMode="auto">
        <a:xfrm>
          <a:off x="46110525" y="115023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01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A130000}"/>
            </a:ext>
          </a:extLst>
        </xdr:cNvPr>
        <xdr:cNvSpPr>
          <a:spLocks noChangeAspect="1" noChangeArrowheads="1"/>
        </xdr:cNvSpPr>
      </xdr:nvSpPr>
      <xdr:spPr bwMode="auto">
        <a:xfrm>
          <a:off x="46110525" y="115023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01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B130000}"/>
            </a:ext>
          </a:extLst>
        </xdr:cNvPr>
        <xdr:cNvSpPr>
          <a:spLocks noChangeAspect="1" noChangeArrowheads="1"/>
        </xdr:cNvSpPr>
      </xdr:nvSpPr>
      <xdr:spPr bwMode="auto">
        <a:xfrm>
          <a:off x="46110525" y="1153191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02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C130000}"/>
            </a:ext>
          </a:extLst>
        </xdr:cNvPr>
        <xdr:cNvSpPr>
          <a:spLocks noChangeAspect="1" noChangeArrowheads="1"/>
        </xdr:cNvSpPr>
      </xdr:nvSpPr>
      <xdr:spPr bwMode="auto">
        <a:xfrm>
          <a:off x="46110525" y="1153191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02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D130000}"/>
            </a:ext>
          </a:extLst>
        </xdr:cNvPr>
        <xdr:cNvSpPr>
          <a:spLocks noChangeAspect="1" noChangeArrowheads="1"/>
        </xdr:cNvSpPr>
      </xdr:nvSpPr>
      <xdr:spPr bwMode="auto">
        <a:xfrm>
          <a:off x="46110525" y="115614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02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E130000}"/>
            </a:ext>
          </a:extLst>
        </xdr:cNvPr>
        <xdr:cNvSpPr>
          <a:spLocks noChangeAspect="1" noChangeArrowheads="1"/>
        </xdr:cNvSpPr>
      </xdr:nvSpPr>
      <xdr:spPr bwMode="auto">
        <a:xfrm>
          <a:off x="46110525" y="115614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02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F130000}"/>
            </a:ext>
          </a:extLst>
        </xdr:cNvPr>
        <xdr:cNvSpPr>
          <a:spLocks noChangeAspect="1" noChangeArrowheads="1"/>
        </xdr:cNvSpPr>
      </xdr:nvSpPr>
      <xdr:spPr bwMode="auto">
        <a:xfrm>
          <a:off x="46110525" y="1159097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02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0130000}"/>
            </a:ext>
          </a:extLst>
        </xdr:cNvPr>
        <xdr:cNvSpPr>
          <a:spLocks noChangeAspect="1" noChangeArrowheads="1"/>
        </xdr:cNvSpPr>
      </xdr:nvSpPr>
      <xdr:spPr bwMode="auto">
        <a:xfrm>
          <a:off x="46110525" y="1159097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02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1130000}"/>
            </a:ext>
          </a:extLst>
        </xdr:cNvPr>
        <xdr:cNvSpPr>
          <a:spLocks noChangeAspect="1" noChangeArrowheads="1"/>
        </xdr:cNvSpPr>
      </xdr:nvSpPr>
      <xdr:spPr bwMode="auto">
        <a:xfrm>
          <a:off x="46110525" y="116205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02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2130000}"/>
            </a:ext>
          </a:extLst>
        </xdr:cNvPr>
        <xdr:cNvSpPr>
          <a:spLocks noChangeAspect="1" noChangeArrowheads="1"/>
        </xdr:cNvSpPr>
      </xdr:nvSpPr>
      <xdr:spPr bwMode="auto">
        <a:xfrm>
          <a:off x="46110525" y="116205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02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3130000}"/>
            </a:ext>
          </a:extLst>
        </xdr:cNvPr>
        <xdr:cNvSpPr>
          <a:spLocks noChangeAspect="1" noChangeArrowheads="1"/>
        </xdr:cNvSpPr>
      </xdr:nvSpPr>
      <xdr:spPr bwMode="auto">
        <a:xfrm>
          <a:off x="46110525" y="1165002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02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4130000}"/>
            </a:ext>
          </a:extLst>
        </xdr:cNvPr>
        <xdr:cNvSpPr>
          <a:spLocks noChangeAspect="1" noChangeArrowheads="1"/>
        </xdr:cNvSpPr>
      </xdr:nvSpPr>
      <xdr:spPr bwMode="auto">
        <a:xfrm>
          <a:off x="46110525" y="1165002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02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5130000}"/>
            </a:ext>
          </a:extLst>
        </xdr:cNvPr>
        <xdr:cNvSpPr>
          <a:spLocks noChangeAspect="1" noChangeArrowheads="1"/>
        </xdr:cNvSpPr>
      </xdr:nvSpPr>
      <xdr:spPr bwMode="auto">
        <a:xfrm>
          <a:off x="46110525" y="116795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03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6130000}"/>
            </a:ext>
          </a:extLst>
        </xdr:cNvPr>
        <xdr:cNvSpPr>
          <a:spLocks noChangeAspect="1" noChangeArrowheads="1"/>
        </xdr:cNvSpPr>
      </xdr:nvSpPr>
      <xdr:spPr bwMode="auto">
        <a:xfrm>
          <a:off x="46110525" y="116795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03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7130000}"/>
            </a:ext>
          </a:extLst>
        </xdr:cNvPr>
        <xdr:cNvSpPr>
          <a:spLocks noChangeAspect="1" noChangeArrowheads="1"/>
        </xdr:cNvSpPr>
      </xdr:nvSpPr>
      <xdr:spPr bwMode="auto">
        <a:xfrm>
          <a:off x="46110525" y="117090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03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8130000}"/>
            </a:ext>
          </a:extLst>
        </xdr:cNvPr>
        <xdr:cNvSpPr>
          <a:spLocks noChangeAspect="1" noChangeArrowheads="1"/>
        </xdr:cNvSpPr>
      </xdr:nvSpPr>
      <xdr:spPr bwMode="auto">
        <a:xfrm>
          <a:off x="46110525" y="117090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03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9130000}"/>
            </a:ext>
          </a:extLst>
        </xdr:cNvPr>
        <xdr:cNvSpPr>
          <a:spLocks noChangeAspect="1" noChangeArrowheads="1"/>
        </xdr:cNvSpPr>
      </xdr:nvSpPr>
      <xdr:spPr bwMode="auto">
        <a:xfrm>
          <a:off x="46110525" y="117386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03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A130000}"/>
            </a:ext>
          </a:extLst>
        </xdr:cNvPr>
        <xdr:cNvSpPr>
          <a:spLocks noChangeAspect="1" noChangeArrowheads="1"/>
        </xdr:cNvSpPr>
      </xdr:nvSpPr>
      <xdr:spPr bwMode="auto">
        <a:xfrm>
          <a:off x="46110525" y="117386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03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B130000}"/>
            </a:ext>
          </a:extLst>
        </xdr:cNvPr>
        <xdr:cNvSpPr>
          <a:spLocks noChangeAspect="1" noChangeArrowheads="1"/>
        </xdr:cNvSpPr>
      </xdr:nvSpPr>
      <xdr:spPr bwMode="auto">
        <a:xfrm>
          <a:off x="46110525" y="117681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03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C130000}"/>
            </a:ext>
          </a:extLst>
        </xdr:cNvPr>
        <xdr:cNvSpPr>
          <a:spLocks noChangeAspect="1" noChangeArrowheads="1"/>
        </xdr:cNvSpPr>
      </xdr:nvSpPr>
      <xdr:spPr bwMode="auto">
        <a:xfrm>
          <a:off x="46110525" y="117681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03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D130000}"/>
            </a:ext>
          </a:extLst>
        </xdr:cNvPr>
        <xdr:cNvSpPr>
          <a:spLocks noChangeAspect="1" noChangeArrowheads="1"/>
        </xdr:cNvSpPr>
      </xdr:nvSpPr>
      <xdr:spPr bwMode="auto">
        <a:xfrm>
          <a:off x="46110525" y="117976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03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E130000}"/>
            </a:ext>
          </a:extLst>
        </xdr:cNvPr>
        <xdr:cNvSpPr>
          <a:spLocks noChangeAspect="1" noChangeArrowheads="1"/>
        </xdr:cNvSpPr>
      </xdr:nvSpPr>
      <xdr:spPr bwMode="auto">
        <a:xfrm>
          <a:off x="46110525" y="117976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03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F130000}"/>
            </a:ext>
          </a:extLst>
        </xdr:cNvPr>
        <xdr:cNvSpPr>
          <a:spLocks noChangeAspect="1" noChangeArrowheads="1"/>
        </xdr:cNvSpPr>
      </xdr:nvSpPr>
      <xdr:spPr bwMode="auto">
        <a:xfrm>
          <a:off x="46110525" y="1182719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04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0130000}"/>
            </a:ext>
          </a:extLst>
        </xdr:cNvPr>
        <xdr:cNvSpPr>
          <a:spLocks noChangeAspect="1" noChangeArrowheads="1"/>
        </xdr:cNvSpPr>
      </xdr:nvSpPr>
      <xdr:spPr bwMode="auto">
        <a:xfrm>
          <a:off x="46110525" y="1182719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04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1130000}"/>
            </a:ext>
          </a:extLst>
        </xdr:cNvPr>
        <xdr:cNvSpPr>
          <a:spLocks noChangeAspect="1" noChangeArrowheads="1"/>
        </xdr:cNvSpPr>
      </xdr:nvSpPr>
      <xdr:spPr bwMode="auto">
        <a:xfrm>
          <a:off x="46110525" y="118567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04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2130000}"/>
            </a:ext>
          </a:extLst>
        </xdr:cNvPr>
        <xdr:cNvSpPr>
          <a:spLocks noChangeAspect="1" noChangeArrowheads="1"/>
        </xdr:cNvSpPr>
      </xdr:nvSpPr>
      <xdr:spPr bwMode="auto">
        <a:xfrm>
          <a:off x="46110525" y="118567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04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3130000}"/>
            </a:ext>
          </a:extLst>
        </xdr:cNvPr>
        <xdr:cNvSpPr>
          <a:spLocks noChangeAspect="1" noChangeArrowheads="1"/>
        </xdr:cNvSpPr>
      </xdr:nvSpPr>
      <xdr:spPr bwMode="auto">
        <a:xfrm>
          <a:off x="46110525" y="1188624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04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4130000}"/>
            </a:ext>
          </a:extLst>
        </xdr:cNvPr>
        <xdr:cNvSpPr>
          <a:spLocks noChangeAspect="1" noChangeArrowheads="1"/>
        </xdr:cNvSpPr>
      </xdr:nvSpPr>
      <xdr:spPr bwMode="auto">
        <a:xfrm>
          <a:off x="46110525" y="1188624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04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5130000}"/>
            </a:ext>
          </a:extLst>
        </xdr:cNvPr>
        <xdr:cNvSpPr>
          <a:spLocks noChangeAspect="1" noChangeArrowheads="1"/>
        </xdr:cNvSpPr>
      </xdr:nvSpPr>
      <xdr:spPr bwMode="auto">
        <a:xfrm>
          <a:off x="46110525" y="119157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04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6130000}"/>
            </a:ext>
          </a:extLst>
        </xdr:cNvPr>
        <xdr:cNvSpPr>
          <a:spLocks noChangeAspect="1" noChangeArrowheads="1"/>
        </xdr:cNvSpPr>
      </xdr:nvSpPr>
      <xdr:spPr bwMode="auto">
        <a:xfrm>
          <a:off x="46110525" y="119157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04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7130000}"/>
            </a:ext>
          </a:extLst>
        </xdr:cNvPr>
        <xdr:cNvSpPr>
          <a:spLocks noChangeAspect="1" noChangeArrowheads="1"/>
        </xdr:cNvSpPr>
      </xdr:nvSpPr>
      <xdr:spPr bwMode="auto">
        <a:xfrm>
          <a:off x="46110525" y="119453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04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8130000}"/>
            </a:ext>
          </a:extLst>
        </xdr:cNvPr>
        <xdr:cNvSpPr>
          <a:spLocks noChangeAspect="1" noChangeArrowheads="1"/>
        </xdr:cNvSpPr>
      </xdr:nvSpPr>
      <xdr:spPr bwMode="auto">
        <a:xfrm>
          <a:off x="46110525" y="119453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04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9130000}"/>
            </a:ext>
          </a:extLst>
        </xdr:cNvPr>
        <xdr:cNvSpPr>
          <a:spLocks noChangeAspect="1" noChangeArrowheads="1"/>
        </xdr:cNvSpPr>
      </xdr:nvSpPr>
      <xdr:spPr bwMode="auto">
        <a:xfrm>
          <a:off x="46110525" y="119748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05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A130000}"/>
            </a:ext>
          </a:extLst>
        </xdr:cNvPr>
        <xdr:cNvSpPr>
          <a:spLocks noChangeAspect="1" noChangeArrowheads="1"/>
        </xdr:cNvSpPr>
      </xdr:nvSpPr>
      <xdr:spPr bwMode="auto">
        <a:xfrm>
          <a:off x="46110525" y="119748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05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B130000}"/>
            </a:ext>
          </a:extLst>
        </xdr:cNvPr>
        <xdr:cNvSpPr>
          <a:spLocks noChangeAspect="1" noChangeArrowheads="1"/>
        </xdr:cNvSpPr>
      </xdr:nvSpPr>
      <xdr:spPr bwMode="auto">
        <a:xfrm>
          <a:off x="46110525" y="120043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05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C130000}"/>
            </a:ext>
          </a:extLst>
        </xdr:cNvPr>
        <xdr:cNvSpPr>
          <a:spLocks noChangeAspect="1" noChangeArrowheads="1"/>
        </xdr:cNvSpPr>
      </xdr:nvSpPr>
      <xdr:spPr bwMode="auto">
        <a:xfrm>
          <a:off x="46110525" y="120043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05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D130000}"/>
            </a:ext>
          </a:extLst>
        </xdr:cNvPr>
        <xdr:cNvSpPr>
          <a:spLocks noChangeAspect="1" noChangeArrowheads="1"/>
        </xdr:cNvSpPr>
      </xdr:nvSpPr>
      <xdr:spPr bwMode="auto">
        <a:xfrm>
          <a:off x="46110525" y="120338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05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E130000}"/>
            </a:ext>
          </a:extLst>
        </xdr:cNvPr>
        <xdr:cNvSpPr>
          <a:spLocks noChangeAspect="1" noChangeArrowheads="1"/>
        </xdr:cNvSpPr>
      </xdr:nvSpPr>
      <xdr:spPr bwMode="auto">
        <a:xfrm>
          <a:off x="46110525" y="120338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05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F130000}"/>
            </a:ext>
          </a:extLst>
        </xdr:cNvPr>
        <xdr:cNvSpPr>
          <a:spLocks noChangeAspect="1" noChangeArrowheads="1"/>
        </xdr:cNvSpPr>
      </xdr:nvSpPr>
      <xdr:spPr bwMode="auto">
        <a:xfrm>
          <a:off x="46110525" y="1206341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05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0130000}"/>
            </a:ext>
          </a:extLst>
        </xdr:cNvPr>
        <xdr:cNvSpPr>
          <a:spLocks noChangeAspect="1" noChangeArrowheads="1"/>
        </xdr:cNvSpPr>
      </xdr:nvSpPr>
      <xdr:spPr bwMode="auto">
        <a:xfrm>
          <a:off x="46110525" y="1206341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05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1130000}"/>
            </a:ext>
          </a:extLst>
        </xdr:cNvPr>
        <xdr:cNvSpPr>
          <a:spLocks noChangeAspect="1" noChangeArrowheads="1"/>
        </xdr:cNvSpPr>
      </xdr:nvSpPr>
      <xdr:spPr bwMode="auto">
        <a:xfrm>
          <a:off x="46110525" y="120929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05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2130000}"/>
            </a:ext>
          </a:extLst>
        </xdr:cNvPr>
        <xdr:cNvSpPr>
          <a:spLocks noChangeAspect="1" noChangeArrowheads="1"/>
        </xdr:cNvSpPr>
      </xdr:nvSpPr>
      <xdr:spPr bwMode="auto">
        <a:xfrm>
          <a:off x="46110525" y="120929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05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3130000}"/>
            </a:ext>
          </a:extLst>
        </xdr:cNvPr>
        <xdr:cNvSpPr>
          <a:spLocks noChangeAspect="1" noChangeArrowheads="1"/>
        </xdr:cNvSpPr>
      </xdr:nvSpPr>
      <xdr:spPr bwMode="auto">
        <a:xfrm>
          <a:off x="46110525" y="1212246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06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4130000}"/>
            </a:ext>
          </a:extLst>
        </xdr:cNvPr>
        <xdr:cNvSpPr>
          <a:spLocks noChangeAspect="1" noChangeArrowheads="1"/>
        </xdr:cNvSpPr>
      </xdr:nvSpPr>
      <xdr:spPr bwMode="auto">
        <a:xfrm>
          <a:off x="46110525" y="1212246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06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5130000}"/>
            </a:ext>
          </a:extLst>
        </xdr:cNvPr>
        <xdr:cNvSpPr>
          <a:spLocks noChangeAspect="1" noChangeArrowheads="1"/>
        </xdr:cNvSpPr>
      </xdr:nvSpPr>
      <xdr:spPr bwMode="auto">
        <a:xfrm>
          <a:off x="46110525" y="121519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06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6130000}"/>
            </a:ext>
          </a:extLst>
        </xdr:cNvPr>
        <xdr:cNvSpPr>
          <a:spLocks noChangeAspect="1" noChangeArrowheads="1"/>
        </xdr:cNvSpPr>
      </xdr:nvSpPr>
      <xdr:spPr bwMode="auto">
        <a:xfrm>
          <a:off x="46110525" y="121519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06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7130000}"/>
            </a:ext>
          </a:extLst>
        </xdr:cNvPr>
        <xdr:cNvSpPr>
          <a:spLocks noChangeAspect="1" noChangeArrowheads="1"/>
        </xdr:cNvSpPr>
      </xdr:nvSpPr>
      <xdr:spPr bwMode="auto">
        <a:xfrm>
          <a:off x="46110525" y="121815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06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8130000}"/>
            </a:ext>
          </a:extLst>
        </xdr:cNvPr>
        <xdr:cNvSpPr>
          <a:spLocks noChangeAspect="1" noChangeArrowheads="1"/>
        </xdr:cNvSpPr>
      </xdr:nvSpPr>
      <xdr:spPr bwMode="auto">
        <a:xfrm>
          <a:off x="46110525" y="121815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06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9130000}"/>
            </a:ext>
          </a:extLst>
        </xdr:cNvPr>
        <xdr:cNvSpPr>
          <a:spLocks noChangeAspect="1" noChangeArrowheads="1"/>
        </xdr:cNvSpPr>
      </xdr:nvSpPr>
      <xdr:spPr bwMode="auto">
        <a:xfrm>
          <a:off x="46110525" y="1221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06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A130000}"/>
            </a:ext>
          </a:extLst>
        </xdr:cNvPr>
        <xdr:cNvSpPr>
          <a:spLocks noChangeAspect="1" noChangeArrowheads="1"/>
        </xdr:cNvSpPr>
      </xdr:nvSpPr>
      <xdr:spPr bwMode="auto">
        <a:xfrm>
          <a:off x="46110525" y="12211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06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B130000}"/>
            </a:ext>
          </a:extLst>
        </xdr:cNvPr>
        <xdr:cNvSpPr>
          <a:spLocks noChangeAspect="1" noChangeArrowheads="1"/>
        </xdr:cNvSpPr>
      </xdr:nvSpPr>
      <xdr:spPr bwMode="auto">
        <a:xfrm>
          <a:off x="46110525" y="1224057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06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C130000}"/>
            </a:ext>
          </a:extLst>
        </xdr:cNvPr>
        <xdr:cNvSpPr>
          <a:spLocks noChangeAspect="1" noChangeArrowheads="1"/>
        </xdr:cNvSpPr>
      </xdr:nvSpPr>
      <xdr:spPr bwMode="auto">
        <a:xfrm>
          <a:off x="46110525" y="1224057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06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D130000}"/>
            </a:ext>
          </a:extLst>
        </xdr:cNvPr>
        <xdr:cNvSpPr>
          <a:spLocks noChangeAspect="1" noChangeArrowheads="1"/>
        </xdr:cNvSpPr>
      </xdr:nvSpPr>
      <xdr:spPr bwMode="auto">
        <a:xfrm>
          <a:off x="46110525" y="122701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07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E130000}"/>
            </a:ext>
          </a:extLst>
        </xdr:cNvPr>
        <xdr:cNvSpPr>
          <a:spLocks noChangeAspect="1" noChangeArrowheads="1"/>
        </xdr:cNvSpPr>
      </xdr:nvSpPr>
      <xdr:spPr bwMode="auto">
        <a:xfrm>
          <a:off x="46110525" y="122701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07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F130000}"/>
            </a:ext>
          </a:extLst>
        </xdr:cNvPr>
        <xdr:cNvSpPr>
          <a:spLocks noChangeAspect="1" noChangeArrowheads="1"/>
        </xdr:cNvSpPr>
      </xdr:nvSpPr>
      <xdr:spPr bwMode="auto">
        <a:xfrm>
          <a:off x="46110525" y="122996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07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0130000}"/>
            </a:ext>
          </a:extLst>
        </xdr:cNvPr>
        <xdr:cNvSpPr>
          <a:spLocks noChangeAspect="1" noChangeArrowheads="1"/>
        </xdr:cNvSpPr>
      </xdr:nvSpPr>
      <xdr:spPr bwMode="auto">
        <a:xfrm>
          <a:off x="46110525" y="122996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07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1130000}"/>
            </a:ext>
          </a:extLst>
        </xdr:cNvPr>
        <xdr:cNvSpPr>
          <a:spLocks noChangeAspect="1" noChangeArrowheads="1"/>
        </xdr:cNvSpPr>
      </xdr:nvSpPr>
      <xdr:spPr bwMode="auto">
        <a:xfrm>
          <a:off x="46110525" y="123291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07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2130000}"/>
            </a:ext>
          </a:extLst>
        </xdr:cNvPr>
        <xdr:cNvSpPr>
          <a:spLocks noChangeAspect="1" noChangeArrowheads="1"/>
        </xdr:cNvSpPr>
      </xdr:nvSpPr>
      <xdr:spPr bwMode="auto">
        <a:xfrm>
          <a:off x="46110525" y="123291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07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3130000}"/>
            </a:ext>
          </a:extLst>
        </xdr:cNvPr>
        <xdr:cNvSpPr>
          <a:spLocks noChangeAspect="1" noChangeArrowheads="1"/>
        </xdr:cNvSpPr>
      </xdr:nvSpPr>
      <xdr:spPr bwMode="auto">
        <a:xfrm>
          <a:off x="46110525" y="123586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07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4130000}"/>
            </a:ext>
          </a:extLst>
        </xdr:cNvPr>
        <xdr:cNvSpPr>
          <a:spLocks noChangeAspect="1" noChangeArrowheads="1"/>
        </xdr:cNvSpPr>
      </xdr:nvSpPr>
      <xdr:spPr bwMode="auto">
        <a:xfrm>
          <a:off x="46110525" y="123586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07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5130000}"/>
            </a:ext>
          </a:extLst>
        </xdr:cNvPr>
        <xdr:cNvSpPr>
          <a:spLocks noChangeAspect="1" noChangeArrowheads="1"/>
        </xdr:cNvSpPr>
      </xdr:nvSpPr>
      <xdr:spPr bwMode="auto">
        <a:xfrm>
          <a:off x="46110525" y="123882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07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6130000}"/>
            </a:ext>
          </a:extLst>
        </xdr:cNvPr>
        <xdr:cNvSpPr>
          <a:spLocks noChangeAspect="1" noChangeArrowheads="1"/>
        </xdr:cNvSpPr>
      </xdr:nvSpPr>
      <xdr:spPr bwMode="auto">
        <a:xfrm>
          <a:off x="46110525" y="123882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07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7130000}"/>
            </a:ext>
          </a:extLst>
        </xdr:cNvPr>
        <xdr:cNvSpPr>
          <a:spLocks noChangeAspect="1" noChangeArrowheads="1"/>
        </xdr:cNvSpPr>
      </xdr:nvSpPr>
      <xdr:spPr bwMode="auto">
        <a:xfrm>
          <a:off x="46110525" y="1241774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08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8130000}"/>
            </a:ext>
          </a:extLst>
        </xdr:cNvPr>
        <xdr:cNvSpPr>
          <a:spLocks noChangeAspect="1" noChangeArrowheads="1"/>
        </xdr:cNvSpPr>
      </xdr:nvSpPr>
      <xdr:spPr bwMode="auto">
        <a:xfrm>
          <a:off x="46110525" y="1241774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08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9130000}"/>
            </a:ext>
          </a:extLst>
        </xdr:cNvPr>
        <xdr:cNvSpPr>
          <a:spLocks noChangeAspect="1" noChangeArrowheads="1"/>
        </xdr:cNvSpPr>
      </xdr:nvSpPr>
      <xdr:spPr bwMode="auto">
        <a:xfrm>
          <a:off x="46110525" y="124472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08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A130000}"/>
            </a:ext>
          </a:extLst>
        </xdr:cNvPr>
        <xdr:cNvSpPr>
          <a:spLocks noChangeAspect="1" noChangeArrowheads="1"/>
        </xdr:cNvSpPr>
      </xdr:nvSpPr>
      <xdr:spPr bwMode="auto">
        <a:xfrm>
          <a:off x="46110525" y="124472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08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B130000}"/>
            </a:ext>
          </a:extLst>
        </xdr:cNvPr>
        <xdr:cNvSpPr>
          <a:spLocks noChangeAspect="1" noChangeArrowheads="1"/>
        </xdr:cNvSpPr>
      </xdr:nvSpPr>
      <xdr:spPr bwMode="auto">
        <a:xfrm>
          <a:off x="46110525" y="1247679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08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C130000}"/>
            </a:ext>
          </a:extLst>
        </xdr:cNvPr>
        <xdr:cNvSpPr>
          <a:spLocks noChangeAspect="1" noChangeArrowheads="1"/>
        </xdr:cNvSpPr>
      </xdr:nvSpPr>
      <xdr:spPr bwMode="auto">
        <a:xfrm>
          <a:off x="46110525" y="1247679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08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D130000}"/>
            </a:ext>
          </a:extLst>
        </xdr:cNvPr>
        <xdr:cNvSpPr>
          <a:spLocks noChangeAspect="1" noChangeArrowheads="1"/>
        </xdr:cNvSpPr>
      </xdr:nvSpPr>
      <xdr:spPr bwMode="auto">
        <a:xfrm>
          <a:off x="46110525" y="125063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08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E130000}"/>
            </a:ext>
          </a:extLst>
        </xdr:cNvPr>
        <xdr:cNvSpPr>
          <a:spLocks noChangeAspect="1" noChangeArrowheads="1"/>
        </xdr:cNvSpPr>
      </xdr:nvSpPr>
      <xdr:spPr bwMode="auto">
        <a:xfrm>
          <a:off x="46110525" y="125063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08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F130000}"/>
            </a:ext>
          </a:extLst>
        </xdr:cNvPr>
        <xdr:cNvSpPr>
          <a:spLocks noChangeAspect="1" noChangeArrowheads="1"/>
        </xdr:cNvSpPr>
      </xdr:nvSpPr>
      <xdr:spPr bwMode="auto">
        <a:xfrm>
          <a:off x="46110525" y="125358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08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0130000}"/>
            </a:ext>
          </a:extLst>
        </xdr:cNvPr>
        <xdr:cNvSpPr>
          <a:spLocks noChangeAspect="1" noChangeArrowheads="1"/>
        </xdr:cNvSpPr>
      </xdr:nvSpPr>
      <xdr:spPr bwMode="auto">
        <a:xfrm>
          <a:off x="46110525" y="125358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08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1130000}"/>
            </a:ext>
          </a:extLst>
        </xdr:cNvPr>
        <xdr:cNvSpPr>
          <a:spLocks noChangeAspect="1" noChangeArrowheads="1"/>
        </xdr:cNvSpPr>
      </xdr:nvSpPr>
      <xdr:spPr bwMode="auto">
        <a:xfrm>
          <a:off x="46110525" y="125653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09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2130000}"/>
            </a:ext>
          </a:extLst>
        </xdr:cNvPr>
        <xdr:cNvSpPr>
          <a:spLocks noChangeAspect="1" noChangeArrowheads="1"/>
        </xdr:cNvSpPr>
      </xdr:nvSpPr>
      <xdr:spPr bwMode="auto">
        <a:xfrm>
          <a:off x="46110525" y="125653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09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3130000}"/>
            </a:ext>
          </a:extLst>
        </xdr:cNvPr>
        <xdr:cNvSpPr>
          <a:spLocks noChangeAspect="1" noChangeArrowheads="1"/>
        </xdr:cNvSpPr>
      </xdr:nvSpPr>
      <xdr:spPr bwMode="auto">
        <a:xfrm>
          <a:off x="46110525" y="125949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09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4130000}"/>
            </a:ext>
          </a:extLst>
        </xdr:cNvPr>
        <xdr:cNvSpPr>
          <a:spLocks noChangeAspect="1" noChangeArrowheads="1"/>
        </xdr:cNvSpPr>
      </xdr:nvSpPr>
      <xdr:spPr bwMode="auto">
        <a:xfrm>
          <a:off x="46110525" y="125949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09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5130000}"/>
            </a:ext>
          </a:extLst>
        </xdr:cNvPr>
        <xdr:cNvSpPr>
          <a:spLocks noChangeAspect="1" noChangeArrowheads="1"/>
        </xdr:cNvSpPr>
      </xdr:nvSpPr>
      <xdr:spPr bwMode="auto">
        <a:xfrm>
          <a:off x="46110525" y="126244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09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6130000}"/>
            </a:ext>
          </a:extLst>
        </xdr:cNvPr>
        <xdr:cNvSpPr>
          <a:spLocks noChangeAspect="1" noChangeArrowheads="1"/>
        </xdr:cNvSpPr>
      </xdr:nvSpPr>
      <xdr:spPr bwMode="auto">
        <a:xfrm>
          <a:off x="46110525" y="126244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09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7130000}"/>
            </a:ext>
          </a:extLst>
        </xdr:cNvPr>
        <xdr:cNvSpPr>
          <a:spLocks noChangeAspect="1" noChangeArrowheads="1"/>
        </xdr:cNvSpPr>
      </xdr:nvSpPr>
      <xdr:spPr bwMode="auto">
        <a:xfrm>
          <a:off x="46110525" y="126539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09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8130000}"/>
            </a:ext>
          </a:extLst>
        </xdr:cNvPr>
        <xdr:cNvSpPr>
          <a:spLocks noChangeAspect="1" noChangeArrowheads="1"/>
        </xdr:cNvSpPr>
      </xdr:nvSpPr>
      <xdr:spPr bwMode="auto">
        <a:xfrm>
          <a:off x="46110525" y="126539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09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9130000}"/>
            </a:ext>
          </a:extLst>
        </xdr:cNvPr>
        <xdr:cNvSpPr>
          <a:spLocks noChangeAspect="1" noChangeArrowheads="1"/>
        </xdr:cNvSpPr>
      </xdr:nvSpPr>
      <xdr:spPr bwMode="auto">
        <a:xfrm>
          <a:off x="46110525" y="126834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09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A130000}"/>
            </a:ext>
          </a:extLst>
        </xdr:cNvPr>
        <xdr:cNvSpPr>
          <a:spLocks noChangeAspect="1" noChangeArrowheads="1"/>
        </xdr:cNvSpPr>
      </xdr:nvSpPr>
      <xdr:spPr bwMode="auto">
        <a:xfrm>
          <a:off x="46110525" y="126834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09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B130000}"/>
            </a:ext>
          </a:extLst>
        </xdr:cNvPr>
        <xdr:cNvSpPr>
          <a:spLocks noChangeAspect="1" noChangeArrowheads="1"/>
        </xdr:cNvSpPr>
      </xdr:nvSpPr>
      <xdr:spPr bwMode="auto">
        <a:xfrm>
          <a:off x="46110525" y="1271301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10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C130000}"/>
            </a:ext>
          </a:extLst>
        </xdr:cNvPr>
        <xdr:cNvSpPr>
          <a:spLocks noChangeAspect="1" noChangeArrowheads="1"/>
        </xdr:cNvSpPr>
      </xdr:nvSpPr>
      <xdr:spPr bwMode="auto">
        <a:xfrm>
          <a:off x="46110525" y="1271301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10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D130000}"/>
            </a:ext>
          </a:extLst>
        </xdr:cNvPr>
        <xdr:cNvSpPr>
          <a:spLocks noChangeAspect="1" noChangeArrowheads="1"/>
        </xdr:cNvSpPr>
      </xdr:nvSpPr>
      <xdr:spPr bwMode="auto">
        <a:xfrm>
          <a:off x="46110525" y="127425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10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E130000}"/>
            </a:ext>
          </a:extLst>
        </xdr:cNvPr>
        <xdr:cNvSpPr>
          <a:spLocks noChangeAspect="1" noChangeArrowheads="1"/>
        </xdr:cNvSpPr>
      </xdr:nvSpPr>
      <xdr:spPr bwMode="auto">
        <a:xfrm>
          <a:off x="46110525" y="127425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10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F130000}"/>
            </a:ext>
          </a:extLst>
        </xdr:cNvPr>
        <xdr:cNvSpPr>
          <a:spLocks noChangeAspect="1" noChangeArrowheads="1"/>
        </xdr:cNvSpPr>
      </xdr:nvSpPr>
      <xdr:spPr bwMode="auto">
        <a:xfrm>
          <a:off x="46110525" y="1277207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10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0130000}"/>
            </a:ext>
          </a:extLst>
        </xdr:cNvPr>
        <xdr:cNvSpPr>
          <a:spLocks noChangeAspect="1" noChangeArrowheads="1"/>
        </xdr:cNvSpPr>
      </xdr:nvSpPr>
      <xdr:spPr bwMode="auto">
        <a:xfrm>
          <a:off x="46110525" y="1277207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10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1130000}"/>
            </a:ext>
          </a:extLst>
        </xdr:cNvPr>
        <xdr:cNvSpPr>
          <a:spLocks noChangeAspect="1" noChangeArrowheads="1"/>
        </xdr:cNvSpPr>
      </xdr:nvSpPr>
      <xdr:spPr bwMode="auto">
        <a:xfrm>
          <a:off x="46110525" y="128016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10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2130000}"/>
            </a:ext>
          </a:extLst>
        </xdr:cNvPr>
        <xdr:cNvSpPr>
          <a:spLocks noChangeAspect="1" noChangeArrowheads="1"/>
        </xdr:cNvSpPr>
      </xdr:nvSpPr>
      <xdr:spPr bwMode="auto">
        <a:xfrm>
          <a:off x="46110525" y="128016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10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3130000}"/>
            </a:ext>
          </a:extLst>
        </xdr:cNvPr>
        <xdr:cNvSpPr>
          <a:spLocks noChangeAspect="1" noChangeArrowheads="1"/>
        </xdr:cNvSpPr>
      </xdr:nvSpPr>
      <xdr:spPr bwMode="auto">
        <a:xfrm>
          <a:off x="46110525" y="1283112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10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4130000}"/>
            </a:ext>
          </a:extLst>
        </xdr:cNvPr>
        <xdr:cNvSpPr>
          <a:spLocks noChangeAspect="1" noChangeArrowheads="1"/>
        </xdr:cNvSpPr>
      </xdr:nvSpPr>
      <xdr:spPr bwMode="auto">
        <a:xfrm>
          <a:off x="46110525" y="1283112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10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5130000}"/>
            </a:ext>
          </a:extLst>
        </xdr:cNvPr>
        <xdr:cNvSpPr>
          <a:spLocks noChangeAspect="1" noChangeArrowheads="1"/>
        </xdr:cNvSpPr>
      </xdr:nvSpPr>
      <xdr:spPr bwMode="auto">
        <a:xfrm>
          <a:off x="46110525" y="128606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11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6130000}"/>
            </a:ext>
          </a:extLst>
        </xdr:cNvPr>
        <xdr:cNvSpPr>
          <a:spLocks noChangeAspect="1" noChangeArrowheads="1"/>
        </xdr:cNvSpPr>
      </xdr:nvSpPr>
      <xdr:spPr bwMode="auto">
        <a:xfrm>
          <a:off x="46110525" y="128606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11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7130000}"/>
            </a:ext>
          </a:extLst>
        </xdr:cNvPr>
        <xdr:cNvSpPr>
          <a:spLocks noChangeAspect="1" noChangeArrowheads="1"/>
        </xdr:cNvSpPr>
      </xdr:nvSpPr>
      <xdr:spPr bwMode="auto">
        <a:xfrm>
          <a:off x="46110525" y="128901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11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8130000}"/>
            </a:ext>
          </a:extLst>
        </xdr:cNvPr>
        <xdr:cNvSpPr>
          <a:spLocks noChangeAspect="1" noChangeArrowheads="1"/>
        </xdr:cNvSpPr>
      </xdr:nvSpPr>
      <xdr:spPr bwMode="auto">
        <a:xfrm>
          <a:off x="46110525" y="128901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11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9130000}"/>
            </a:ext>
          </a:extLst>
        </xdr:cNvPr>
        <xdr:cNvSpPr>
          <a:spLocks noChangeAspect="1" noChangeArrowheads="1"/>
        </xdr:cNvSpPr>
      </xdr:nvSpPr>
      <xdr:spPr bwMode="auto">
        <a:xfrm>
          <a:off x="46110525" y="129197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11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A130000}"/>
            </a:ext>
          </a:extLst>
        </xdr:cNvPr>
        <xdr:cNvSpPr>
          <a:spLocks noChangeAspect="1" noChangeArrowheads="1"/>
        </xdr:cNvSpPr>
      </xdr:nvSpPr>
      <xdr:spPr bwMode="auto">
        <a:xfrm>
          <a:off x="46110525" y="129197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11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B130000}"/>
            </a:ext>
          </a:extLst>
        </xdr:cNvPr>
        <xdr:cNvSpPr>
          <a:spLocks noChangeAspect="1" noChangeArrowheads="1"/>
        </xdr:cNvSpPr>
      </xdr:nvSpPr>
      <xdr:spPr bwMode="auto">
        <a:xfrm>
          <a:off x="46110525" y="129492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11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C130000}"/>
            </a:ext>
          </a:extLst>
        </xdr:cNvPr>
        <xdr:cNvSpPr>
          <a:spLocks noChangeAspect="1" noChangeArrowheads="1"/>
        </xdr:cNvSpPr>
      </xdr:nvSpPr>
      <xdr:spPr bwMode="auto">
        <a:xfrm>
          <a:off x="46110525" y="129492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11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D130000}"/>
            </a:ext>
          </a:extLst>
        </xdr:cNvPr>
        <xdr:cNvSpPr>
          <a:spLocks noChangeAspect="1" noChangeArrowheads="1"/>
        </xdr:cNvSpPr>
      </xdr:nvSpPr>
      <xdr:spPr bwMode="auto">
        <a:xfrm>
          <a:off x="46110525" y="129787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11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E130000}"/>
            </a:ext>
          </a:extLst>
        </xdr:cNvPr>
        <xdr:cNvSpPr>
          <a:spLocks noChangeAspect="1" noChangeArrowheads="1"/>
        </xdr:cNvSpPr>
      </xdr:nvSpPr>
      <xdr:spPr bwMode="auto">
        <a:xfrm>
          <a:off x="46110525" y="129787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11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F130000}"/>
            </a:ext>
          </a:extLst>
        </xdr:cNvPr>
        <xdr:cNvSpPr>
          <a:spLocks noChangeAspect="1" noChangeArrowheads="1"/>
        </xdr:cNvSpPr>
      </xdr:nvSpPr>
      <xdr:spPr bwMode="auto">
        <a:xfrm>
          <a:off x="46110525" y="1300829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12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0140000}"/>
            </a:ext>
          </a:extLst>
        </xdr:cNvPr>
        <xdr:cNvSpPr>
          <a:spLocks noChangeAspect="1" noChangeArrowheads="1"/>
        </xdr:cNvSpPr>
      </xdr:nvSpPr>
      <xdr:spPr bwMode="auto">
        <a:xfrm>
          <a:off x="46110525" y="1300829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12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1140000}"/>
            </a:ext>
          </a:extLst>
        </xdr:cNvPr>
        <xdr:cNvSpPr>
          <a:spLocks noChangeAspect="1" noChangeArrowheads="1"/>
        </xdr:cNvSpPr>
      </xdr:nvSpPr>
      <xdr:spPr bwMode="auto">
        <a:xfrm>
          <a:off x="46110525" y="13037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12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2140000}"/>
            </a:ext>
          </a:extLst>
        </xdr:cNvPr>
        <xdr:cNvSpPr>
          <a:spLocks noChangeAspect="1" noChangeArrowheads="1"/>
        </xdr:cNvSpPr>
      </xdr:nvSpPr>
      <xdr:spPr bwMode="auto">
        <a:xfrm>
          <a:off x="46110525" y="13037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12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3140000}"/>
            </a:ext>
          </a:extLst>
        </xdr:cNvPr>
        <xdr:cNvSpPr>
          <a:spLocks noChangeAspect="1" noChangeArrowheads="1"/>
        </xdr:cNvSpPr>
      </xdr:nvSpPr>
      <xdr:spPr bwMode="auto">
        <a:xfrm>
          <a:off x="46110525" y="1306734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12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4140000}"/>
            </a:ext>
          </a:extLst>
        </xdr:cNvPr>
        <xdr:cNvSpPr>
          <a:spLocks noChangeAspect="1" noChangeArrowheads="1"/>
        </xdr:cNvSpPr>
      </xdr:nvSpPr>
      <xdr:spPr bwMode="auto">
        <a:xfrm>
          <a:off x="46110525" y="1306734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12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5140000}"/>
            </a:ext>
          </a:extLst>
        </xdr:cNvPr>
        <xdr:cNvSpPr>
          <a:spLocks noChangeAspect="1" noChangeArrowheads="1"/>
        </xdr:cNvSpPr>
      </xdr:nvSpPr>
      <xdr:spPr bwMode="auto">
        <a:xfrm>
          <a:off x="46110525" y="130968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12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6140000}"/>
            </a:ext>
          </a:extLst>
        </xdr:cNvPr>
        <xdr:cNvSpPr>
          <a:spLocks noChangeAspect="1" noChangeArrowheads="1"/>
        </xdr:cNvSpPr>
      </xdr:nvSpPr>
      <xdr:spPr bwMode="auto">
        <a:xfrm>
          <a:off x="46110525" y="130968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12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7140000}"/>
            </a:ext>
          </a:extLst>
        </xdr:cNvPr>
        <xdr:cNvSpPr>
          <a:spLocks noChangeAspect="1" noChangeArrowheads="1"/>
        </xdr:cNvSpPr>
      </xdr:nvSpPr>
      <xdr:spPr bwMode="auto">
        <a:xfrm>
          <a:off x="46110525" y="131264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12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8140000}"/>
            </a:ext>
          </a:extLst>
        </xdr:cNvPr>
        <xdr:cNvSpPr>
          <a:spLocks noChangeAspect="1" noChangeArrowheads="1"/>
        </xdr:cNvSpPr>
      </xdr:nvSpPr>
      <xdr:spPr bwMode="auto">
        <a:xfrm>
          <a:off x="46110525" y="131264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12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9140000}"/>
            </a:ext>
          </a:extLst>
        </xdr:cNvPr>
        <xdr:cNvSpPr>
          <a:spLocks noChangeAspect="1" noChangeArrowheads="1"/>
        </xdr:cNvSpPr>
      </xdr:nvSpPr>
      <xdr:spPr bwMode="auto">
        <a:xfrm>
          <a:off x="46110525" y="131559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13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A140000}"/>
            </a:ext>
          </a:extLst>
        </xdr:cNvPr>
        <xdr:cNvSpPr>
          <a:spLocks noChangeAspect="1" noChangeArrowheads="1"/>
        </xdr:cNvSpPr>
      </xdr:nvSpPr>
      <xdr:spPr bwMode="auto">
        <a:xfrm>
          <a:off x="46110525" y="131559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13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B140000}"/>
            </a:ext>
          </a:extLst>
        </xdr:cNvPr>
        <xdr:cNvSpPr>
          <a:spLocks noChangeAspect="1" noChangeArrowheads="1"/>
        </xdr:cNvSpPr>
      </xdr:nvSpPr>
      <xdr:spPr bwMode="auto">
        <a:xfrm>
          <a:off x="46110525" y="131854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13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C140000}"/>
            </a:ext>
          </a:extLst>
        </xdr:cNvPr>
        <xdr:cNvSpPr>
          <a:spLocks noChangeAspect="1" noChangeArrowheads="1"/>
        </xdr:cNvSpPr>
      </xdr:nvSpPr>
      <xdr:spPr bwMode="auto">
        <a:xfrm>
          <a:off x="46110525" y="131854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13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D140000}"/>
            </a:ext>
          </a:extLst>
        </xdr:cNvPr>
        <xdr:cNvSpPr>
          <a:spLocks noChangeAspect="1" noChangeArrowheads="1"/>
        </xdr:cNvSpPr>
      </xdr:nvSpPr>
      <xdr:spPr bwMode="auto">
        <a:xfrm>
          <a:off x="46110525" y="132149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13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E140000}"/>
            </a:ext>
          </a:extLst>
        </xdr:cNvPr>
        <xdr:cNvSpPr>
          <a:spLocks noChangeAspect="1" noChangeArrowheads="1"/>
        </xdr:cNvSpPr>
      </xdr:nvSpPr>
      <xdr:spPr bwMode="auto">
        <a:xfrm>
          <a:off x="46110525" y="132149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13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F140000}"/>
            </a:ext>
          </a:extLst>
        </xdr:cNvPr>
        <xdr:cNvSpPr>
          <a:spLocks noChangeAspect="1" noChangeArrowheads="1"/>
        </xdr:cNvSpPr>
      </xdr:nvSpPr>
      <xdr:spPr bwMode="auto">
        <a:xfrm>
          <a:off x="46110525" y="1324451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13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0140000}"/>
            </a:ext>
          </a:extLst>
        </xdr:cNvPr>
        <xdr:cNvSpPr>
          <a:spLocks noChangeAspect="1" noChangeArrowheads="1"/>
        </xdr:cNvSpPr>
      </xdr:nvSpPr>
      <xdr:spPr bwMode="auto">
        <a:xfrm>
          <a:off x="46110525" y="1324451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13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1140000}"/>
            </a:ext>
          </a:extLst>
        </xdr:cNvPr>
        <xdr:cNvSpPr>
          <a:spLocks noChangeAspect="1" noChangeArrowheads="1"/>
        </xdr:cNvSpPr>
      </xdr:nvSpPr>
      <xdr:spPr bwMode="auto">
        <a:xfrm>
          <a:off x="46110525" y="132740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13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2140000}"/>
            </a:ext>
          </a:extLst>
        </xdr:cNvPr>
        <xdr:cNvSpPr>
          <a:spLocks noChangeAspect="1" noChangeArrowheads="1"/>
        </xdr:cNvSpPr>
      </xdr:nvSpPr>
      <xdr:spPr bwMode="auto">
        <a:xfrm>
          <a:off x="46110525" y="132740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13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3140000}"/>
            </a:ext>
          </a:extLst>
        </xdr:cNvPr>
        <xdr:cNvSpPr>
          <a:spLocks noChangeAspect="1" noChangeArrowheads="1"/>
        </xdr:cNvSpPr>
      </xdr:nvSpPr>
      <xdr:spPr bwMode="auto">
        <a:xfrm>
          <a:off x="46110525" y="1330356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14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4140000}"/>
            </a:ext>
          </a:extLst>
        </xdr:cNvPr>
        <xdr:cNvSpPr>
          <a:spLocks noChangeAspect="1" noChangeArrowheads="1"/>
        </xdr:cNvSpPr>
      </xdr:nvSpPr>
      <xdr:spPr bwMode="auto">
        <a:xfrm>
          <a:off x="46110525" y="1330356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14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5140000}"/>
            </a:ext>
          </a:extLst>
        </xdr:cNvPr>
        <xdr:cNvSpPr>
          <a:spLocks noChangeAspect="1" noChangeArrowheads="1"/>
        </xdr:cNvSpPr>
      </xdr:nvSpPr>
      <xdr:spPr bwMode="auto">
        <a:xfrm>
          <a:off x="46110525" y="133330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14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6140000}"/>
            </a:ext>
          </a:extLst>
        </xdr:cNvPr>
        <xdr:cNvSpPr>
          <a:spLocks noChangeAspect="1" noChangeArrowheads="1"/>
        </xdr:cNvSpPr>
      </xdr:nvSpPr>
      <xdr:spPr bwMode="auto">
        <a:xfrm>
          <a:off x="46110525" y="133330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14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7140000}"/>
            </a:ext>
          </a:extLst>
        </xdr:cNvPr>
        <xdr:cNvSpPr>
          <a:spLocks noChangeAspect="1" noChangeArrowheads="1"/>
        </xdr:cNvSpPr>
      </xdr:nvSpPr>
      <xdr:spPr bwMode="auto">
        <a:xfrm>
          <a:off x="46110525" y="133626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14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8140000}"/>
            </a:ext>
          </a:extLst>
        </xdr:cNvPr>
        <xdr:cNvSpPr>
          <a:spLocks noChangeAspect="1" noChangeArrowheads="1"/>
        </xdr:cNvSpPr>
      </xdr:nvSpPr>
      <xdr:spPr bwMode="auto">
        <a:xfrm>
          <a:off x="46110525" y="133626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14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9140000}"/>
            </a:ext>
          </a:extLst>
        </xdr:cNvPr>
        <xdr:cNvSpPr>
          <a:spLocks noChangeAspect="1" noChangeArrowheads="1"/>
        </xdr:cNvSpPr>
      </xdr:nvSpPr>
      <xdr:spPr bwMode="auto">
        <a:xfrm>
          <a:off x="46110525" y="133921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14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A140000}"/>
            </a:ext>
          </a:extLst>
        </xdr:cNvPr>
        <xdr:cNvSpPr>
          <a:spLocks noChangeAspect="1" noChangeArrowheads="1"/>
        </xdr:cNvSpPr>
      </xdr:nvSpPr>
      <xdr:spPr bwMode="auto">
        <a:xfrm>
          <a:off x="46110525" y="133921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14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B140000}"/>
            </a:ext>
          </a:extLst>
        </xdr:cNvPr>
        <xdr:cNvSpPr>
          <a:spLocks noChangeAspect="1" noChangeArrowheads="1"/>
        </xdr:cNvSpPr>
      </xdr:nvSpPr>
      <xdr:spPr bwMode="auto">
        <a:xfrm>
          <a:off x="46110525" y="1342167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14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C140000}"/>
            </a:ext>
          </a:extLst>
        </xdr:cNvPr>
        <xdr:cNvSpPr>
          <a:spLocks noChangeAspect="1" noChangeArrowheads="1"/>
        </xdr:cNvSpPr>
      </xdr:nvSpPr>
      <xdr:spPr bwMode="auto">
        <a:xfrm>
          <a:off x="46110525" y="1342167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14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D140000}"/>
            </a:ext>
          </a:extLst>
        </xdr:cNvPr>
        <xdr:cNvSpPr>
          <a:spLocks noChangeAspect="1" noChangeArrowheads="1"/>
        </xdr:cNvSpPr>
      </xdr:nvSpPr>
      <xdr:spPr bwMode="auto">
        <a:xfrm>
          <a:off x="46110525" y="134512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15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E140000}"/>
            </a:ext>
          </a:extLst>
        </xdr:cNvPr>
        <xdr:cNvSpPr>
          <a:spLocks noChangeAspect="1" noChangeArrowheads="1"/>
        </xdr:cNvSpPr>
      </xdr:nvSpPr>
      <xdr:spPr bwMode="auto">
        <a:xfrm>
          <a:off x="46110525" y="134512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15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F140000}"/>
            </a:ext>
          </a:extLst>
        </xdr:cNvPr>
        <xdr:cNvSpPr>
          <a:spLocks noChangeAspect="1" noChangeArrowheads="1"/>
        </xdr:cNvSpPr>
      </xdr:nvSpPr>
      <xdr:spPr bwMode="auto">
        <a:xfrm>
          <a:off x="46110525" y="134807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15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0140000}"/>
            </a:ext>
          </a:extLst>
        </xdr:cNvPr>
        <xdr:cNvSpPr>
          <a:spLocks noChangeAspect="1" noChangeArrowheads="1"/>
        </xdr:cNvSpPr>
      </xdr:nvSpPr>
      <xdr:spPr bwMode="auto">
        <a:xfrm>
          <a:off x="46110525" y="134807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15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1140000}"/>
            </a:ext>
          </a:extLst>
        </xdr:cNvPr>
        <xdr:cNvSpPr>
          <a:spLocks noChangeAspect="1" noChangeArrowheads="1"/>
        </xdr:cNvSpPr>
      </xdr:nvSpPr>
      <xdr:spPr bwMode="auto">
        <a:xfrm>
          <a:off x="46110525" y="135102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15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2140000}"/>
            </a:ext>
          </a:extLst>
        </xdr:cNvPr>
        <xdr:cNvSpPr>
          <a:spLocks noChangeAspect="1" noChangeArrowheads="1"/>
        </xdr:cNvSpPr>
      </xdr:nvSpPr>
      <xdr:spPr bwMode="auto">
        <a:xfrm>
          <a:off x="46110525" y="135102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15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3140000}"/>
            </a:ext>
          </a:extLst>
        </xdr:cNvPr>
        <xdr:cNvSpPr>
          <a:spLocks noChangeAspect="1" noChangeArrowheads="1"/>
        </xdr:cNvSpPr>
      </xdr:nvSpPr>
      <xdr:spPr bwMode="auto">
        <a:xfrm>
          <a:off x="46110525" y="135397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15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4140000}"/>
            </a:ext>
          </a:extLst>
        </xdr:cNvPr>
        <xdr:cNvSpPr>
          <a:spLocks noChangeAspect="1" noChangeArrowheads="1"/>
        </xdr:cNvSpPr>
      </xdr:nvSpPr>
      <xdr:spPr bwMode="auto">
        <a:xfrm>
          <a:off x="46110525" y="135397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15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5140000}"/>
            </a:ext>
          </a:extLst>
        </xdr:cNvPr>
        <xdr:cNvSpPr>
          <a:spLocks noChangeAspect="1" noChangeArrowheads="1"/>
        </xdr:cNvSpPr>
      </xdr:nvSpPr>
      <xdr:spPr bwMode="auto">
        <a:xfrm>
          <a:off x="46110525" y="135693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15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6140000}"/>
            </a:ext>
          </a:extLst>
        </xdr:cNvPr>
        <xdr:cNvSpPr>
          <a:spLocks noChangeAspect="1" noChangeArrowheads="1"/>
        </xdr:cNvSpPr>
      </xdr:nvSpPr>
      <xdr:spPr bwMode="auto">
        <a:xfrm>
          <a:off x="46110525" y="135693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15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7140000}"/>
            </a:ext>
          </a:extLst>
        </xdr:cNvPr>
        <xdr:cNvSpPr>
          <a:spLocks noChangeAspect="1" noChangeArrowheads="1"/>
        </xdr:cNvSpPr>
      </xdr:nvSpPr>
      <xdr:spPr bwMode="auto">
        <a:xfrm>
          <a:off x="46110525" y="1359884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16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8140000}"/>
            </a:ext>
          </a:extLst>
        </xdr:cNvPr>
        <xdr:cNvSpPr>
          <a:spLocks noChangeAspect="1" noChangeArrowheads="1"/>
        </xdr:cNvSpPr>
      </xdr:nvSpPr>
      <xdr:spPr bwMode="auto">
        <a:xfrm>
          <a:off x="46110525" y="1359884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16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9140000}"/>
            </a:ext>
          </a:extLst>
        </xdr:cNvPr>
        <xdr:cNvSpPr>
          <a:spLocks noChangeAspect="1" noChangeArrowheads="1"/>
        </xdr:cNvSpPr>
      </xdr:nvSpPr>
      <xdr:spPr bwMode="auto">
        <a:xfrm>
          <a:off x="46110525" y="136283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16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A140000}"/>
            </a:ext>
          </a:extLst>
        </xdr:cNvPr>
        <xdr:cNvSpPr>
          <a:spLocks noChangeAspect="1" noChangeArrowheads="1"/>
        </xdr:cNvSpPr>
      </xdr:nvSpPr>
      <xdr:spPr bwMode="auto">
        <a:xfrm>
          <a:off x="46110525" y="136283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16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B140000}"/>
            </a:ext>
          </a:extLst>
        </xdr:cNvPr>
        <xdr:cNvSpPr>
          <a:spLocks noChangeAspect="1" noChangeArrowheads="1"/>
        </xdr:cNvSpPr>
      </xdr:nvSpPr>
      <xdr:spPr bwMode="auto">
        <a:xfrm>
          <a:off x="46110525" y="1365789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16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C140000}"/>
            </a:ext>
          </a:extLst>
        </xdr:cNvPr>
        <xdr:cNvSpPr>
          <a:spLocks noChangeAspect="1" noChangeArrowheads="1"/>
        </xdr:cNvSpPr>
      </xdr:nvSpPr>
      <xdr:spPr bwMode="auto">
        <a:xfrm>
          <a:off x="46110525" y="1365789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16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D140000}"/>
            </a:ext>
          </a:extLst>
        </xdr:cNvPr>
        <xdr:cNvSpPr>
          <a:spLocks noChangeAspect="1" noChangeArrowheads="1"/>
        </xdr:cNvSpPr>
      </xdr:nvSpPr>
      <xdr:spPr bwMode="auto">
        <a:xfrm>
          <a:off x="46110525" y="136874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16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E140000}"/>
            </a:ext>
          </a:extLst>
        </xdr:cNvPr>
        <xdr:cNvSpPr>
          <a:spLocks noChangeAspect="1" noChangeArrowheads="1"/>
        </xdr:cNvSpPr>
      </xdr:nvSpPr>
      <xdr:spPr bwMode="auto">
        <a:xfrm>
          <a:off x="46110525" y="136874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16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F140000}"/>
            </a:ext>
          </a:extLst>
        </xdr:cNvPr>
        <xdr:cNvSpPr>
          <a:spLocks noChangeAspect="1" noChangeArrowheads="1"/>
        </xdr:cNvSpPr>
      </xdr:nvSpPr>
      <xdr:spPr bwMode="auto">
        <a:xfrm>
          <a:off x="46110525" y="137169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16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0140000}"/>
            </a:ext>
          </a:extLst>
        </xdr:cNvPr>
        <xdr:cNvSpPr>
          <a:spLocks noChangeAspect="1" noChangeArrowheads="1"/>
        </xdr:cNvSpPr>
      </xdr:nvSpPr>
      <xdr:spPr bwMode="auto">
        <a:xfrm>
          <a:off x="46110525" y="137169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16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1140000}"/>
            </a:ext>
          </a:extLst>
        </xdr:cNvPr>
        <xdr:cNvSpPr>
          <a:spLocks noChangeAspect="1" noChangeArrowheads="1"/>
        </xdr:cNvSpPr>
      </xdr:nvSpPr>
      <xdr:spPr bwMode="auto">
        <a:xfrm>
          <a:off x="46110525" y="137464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17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2140000}"/>
            </a:ext>
          </a:extLst>
        </xdr:cNvPr>
        <xdr:cNvSpPr>
          <a:spLocks noChangeAspect="1" noChangeArrowheads="1"/>
        </xdr:cNvSpPr>
      </xdr:nvSpPr>
      <xdr:spPr bwMode="auto">
        <a:xfrm>
          <a:off x="46110525" y="137464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17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3140000}"/>
            </a:ext>
          </a:extLst>
        </xdr:cNvPr>
        <xdr:cNvSpPr>
          <a:spLocks noChangeAspect="1" noChangeArrowheads="1"/>
        </xdr:cNvSpPr>
      </xdr:nvSpPr>
      <xdr:spPr bwMode="auto">
        <a:xfrm>
          <a:off x="46110525" y="137760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17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4140000}"/>
            </a:ext>
          </a:extLst>
        </xdr:cNvPr>
        <xdr:cNvSpPr>
          <a:spLocks noChangeAspect="1" noChangeArrowheads="1"/>
        </xdr:cNvSpPr>
      </xdr:nvSpPr>
      <xdr:spPr bwMode="auto">
        <a:xfrm>
          <a:off x="46110525" y="137760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17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5140000}"/>
            </a:ext>
          </a:extLst>
        </xdr:cNvPr>
        <xdr:cNvSpPr>
          <a:spLocks noChangeAspect="1" noChangeArrowheads="1"/>
        </xdr:cNvSpPr>
      </xdr:nvSpPr>
      <xdr:spPr bwMode="auto">
        <a:xfrm>
          <a:off x="46110525" y="138055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17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6140000}"/>
            </a:ext>
          </a:extLst>
        </xdr:cNvPr>
        <xdr:cNvSpPr>
          <a:spLocks noChangeAspect="1" noChangeArrowheads="1"/>
        </xdr:cNvSpPr>
      </xdr:nvSpPr>
      <xdr:spPr bwMode="auto">
        <a:xfrm>
          <a:off x="46110525" y="138055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17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7140000}"/>
            </a:ext>
          </a:extLst>
        </xdr:cNvPr>
        <xdr:cNvSpPr>
          <a:spLocks noChangeAspect="1" noChangeArrowheads="1"/>
        </xdr:cNvSpPr>
      </xdr:nvSpPr>
      <xdr:spPr bwMode="auto">
        <a:xfrm>
          <a:off x="46110525" y="138350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17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8140000}"/>
            </a:ext>
          </a:extLst>
        </xdr:cNvPr>
        <xdr:cNvSpPr>
          <a:spLocks noChangeAspect="1" noChangeArrowheads="1"/>
        </xdr:cNvSpPr>
      </xdr:nvSpPr>
      <xdr:spPr bwMode="auto">
        <a:xfrm>
          <a:off x="46110525" y="138350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17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9140000}"/>
            </a:ext>
          </a:extLst>
        </xdr:cNvPr>
        <xdr:cNvSpPr>
          <a:spLocks noChangeAspect="1" noChangeArrowheads="1"/>
        </xdr:cNvSpPr>
      </xdr:nvSpPr>
      <xdr:spPr bwMode="auto">
        <a:xfrm>
          <a:off x="46110525" y="138645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17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A140000}"/>
            </a:ext>
          </a:extLst>
        </xdr:cNvPr>
        <xdr:cNvSpPr>
          <a:spLocks noChangeAspect="1" noChangeArrowheads="1"/>
        </xdr:cNvSpPr>
      </xdr:nvSpPr>
      <xdr:spPr bwMode="auto">
        <a:xfrm>
          <a:off x="46110525" y="138645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17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B140000}"/>
            </a:ext>
          </a:extLst>
        </xdr:cNvPr>
        <xdr:cNvSpPr>
          <a:spLocks noChangeAspect="1" noChangeArrowheads="1"/>
        </xdr:cNvSpPr>
      </xdr:nvSpPr>
      <xdr:spPr bwMode="auto">
        <a:xfrm>
          <a:off x="46110525" y="1389411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18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C140000}"/>
            </a:ext>
          </a:extLst>
        </xdr:cNvPr>
        <xdr:cNvSpPr>
          <a:spLocks noChangeAspect="1" noChangeArrowheads="1"/>
        </xdr:cNvSpPr>
      </xdr:nvSpPr>
      <xdr:spPr bwMode="auto">
        <a:xfrm>
          <a:off x="46110525" y="1389411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18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D140000}"/>
            </a:ext>
          </a:extLst>
        </xdr:cNvPr>
        <xdr:cNvSpPr>
          <a:spLocks noChangeAspect="1" noChangeArrowheads="1"/>
        </xdr:cNvSpPr>
      </xdr:nvSpPr>
      <xdr:spPr bwMode="auto">
        <a:xfrm>
          <a:off x="46110525" y="139236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18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E140000}"/>
            </a:ext>
          </a:extLst>
        </xdr:cNvPr>
        <xdr:cNvSpPr>
          <a:spLocks noChangeAspect="1" noChangeArrowheads="1"/>
        </xdr:cNvSpPr>
      </xdr:nvSpPr>
      <xdr:spPr bwMode="auto">
        <a:xfrm>
          <a:off x="46110525" y="139236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18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F140000}"/>
            </a:ext>
          </a:extLst>
        </xdr:cNvPr>
        <xdr:cNvSpPr>
          <a:spLocks noChangeAspect="1" noChangeArrowheads="1"/>
        </xdr:cNvSpPr>
      </xdr:nvSpPr>
      <xdr:spPr bwMode="auto">
        <a:xfrm>
          <a:off x="46110525" y="1395317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18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0140000}"/>
            </a:ext>
          </a:extLst>
        </xdr:cNvPr>
        <xdr:cNvSpPr>
          <a:spLocks noChangeAspect="1" noChangeArrowheads="1"/>
        </xdr:cNvSpPr>
      </xdr:nvSpPr>
      <xdr:spPr bwMode="auto">
        <a:xfrm>
          <a:off x="46110525" y="1395317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18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1140000}"/>
            </a:ext>
          </a:extLst>
        </xdr:cNvPr>
        <xdr:cNvSpPr>
          <a:spLocks noChangeAspect="1" noChangeArrowheads="1"/>
        </xdr:cNvSpPr>
      </xdr:nvSpPr>
      <xdr:spPr bwMode="auto">
        <a:xfrm>
          <a:off x="46110525" y="13982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18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2140000}"/>
            </a:ext>
          </a:extLst>
        </xdr:cNvPr>
        <xdr:cNvSpPr>
          <a:spLocks noChangeAspect="1" noChangeArrowheads="1"/>
        </xdr:cNvSpPr>
      </xdr:nvSpPr>
      <xdr:spPr bwMode="auto">
        <a:xfrm>
          <a:off x="46110525" y="13982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18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3140000}"/>
            </a:ext>
          </a:extLst>
        </xdr:cNvPr>
        <xdr:cNvSpPr>
          <a:spLocks noChangeAspect="1" noChangeArrowheads="1"/>
        </xdr:cNvSpPr>
      </xdr:nvSpPr>
      <xdr:spPr bwMode="auto">
        <a:xfrm>
          <a:off x="46110525" y="1401222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18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4140000}"/>
            </a:ext>
          </a:extLst>
        </xdr:cNvPr>
        <xdr:cNvSpPr>
          <a:spLocks noChangeAspect="1" noChangeArrowheads="1"/>
        </xdr:cNvSpPr>
      </xdr:nvSpPr>
      <xdr:spPr bwMode="auto">
        <a:xfrm>
          <a:off x="46110525" y="1401222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18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5140000}"/>
            </a:ext>
          </a:extLst>
        </xdr:cNvPr>
        <xdr:cNvSpPr>
          <a:spLocks noChangeAspect="1" noChangeArrowheads="1"/>
        </xdr:cNvSpPr>
      </xdr:nvSpPr>
      <xdr:spPr bwMode="auto">
        <a:xfrm>
          <a:off x="46110525" y="140417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19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6140000}"/>
            </a:ext>
          </a:extLst>
        </xdr:cNvPr>
        <xdr:cNvSpPr>
          <a:spLocks noChangeAspect="1" noChangeArrowheads="1"/>
        </xdr:cNvSpPr>
      </xdr:nvSpPr>
      <xdr:spPr bwMode="auto">
        <a:xfrm>
          <a:off x="46110525" y="140417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19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7140000}"/>
            </a:ext>
          </a:extLst>
        </xdr:cNvPr>
        <xdr:cNvSpPr>
          <a:spLocks noChangeAspect="1" noChangeArrowheads="1"/>
        </xdr:cNvSpPr>
      </xdr:nvSpPr>
      <xdr:spPr bwMode="auto">
        <a:xfrm>
          <a:off x="46110525" y="140712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19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8140000}"/>
            </a:ext>
          </a:extLst>
        </xdr:cNvPr>
        <xdr:cNvSpPr>
          <a:spLocks noChangeAspect="1" noChangeArrowheads="1"/>
        </xdr:cNvSpPr>
      </xdr:nvSpPr>
      <xdr:spPr bwMode="auto">
        <a:xfrm>
          <a:off x="46110525" y="140712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19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9140000}"/>
            </a:ext>
          </a:extLst>
        </xdr:cNvPr>
        <xdr:cNvSpPr>
          <a:spLocks noChangeAspect="1" noChangeArrowheads="1"/>
        </xdr:cNvSpPr>
      </xdr:nvSpPr>
      <xdr:spPr bwMode="auto">
        <a:xfrm>
          <a:off x="46110525" y="141008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19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A140000}"/>
            </a:ext>
          </a:extLst>
        </xdr:cNvPr>
        <xdr:cNvSpPr>
          <a:spLocks noChangeAspect="1" noChangeArrowheads="1"/>
        </xdr:cNvSpPr>
      </xdr:nvSpPr>
      <xdr:spPr bwMode="auto">
        <a:xfrm>
          <a:off x="46110525" y="141008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19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B140000}"/>
            </a:ext>
          </a:extLst>
        </xdr:cNvPr>
        <xdr:cNvSpPr>
          <a:spLocks noChangeAspect="1" noChangeArrowheads="1"/>
        </xdr:cNvSpPr>
      </xdr:nvSpPr>
      <xdr:spPr bwMode="auto">
        <a:xfrm>
          <a:off x="46110525" y="141303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19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C140000}"/>
            </a:ext>
          </a:extLst>
        </xdr:cNvPr>
        <xdr:cNvSpPr>
          <a:spLocks noChangeAspect="1" noChangeArrowheads="1"/>
        </xdr:cNvSpPr>
      </xdr:nvSpPr>
      <xdr:spPr bwMode="auto">
        <a:xfrm>
          <a:off x="46110525" y="141303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19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D140000}"/>
            </a:ext>
          </a:extLst>
        </xdr:cNvPr>
        <xdr:cNvSpPr>
          <a:spLocks noChangeAspect="1" noChangeArrowheads="1"/>
        </xdr:cNvSpPr>
      </xdr:nvSpPr>
      <xdr:spPr bwMode="auto">
        <a:xfrm>
          <a:off x="46110525" y="141598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19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E140000}"/>
            </a:ext>
          </a:extLst>
        </xdr:cNvPr>
        <xdr:cNvSpPr>
          <a:spLocks noChangeAspect="1" noChangeArrowheads="1"/>
        </xdr:cNvSpPr>
      </xdr:nvSpPr>
      <xdr:spPr bwMode="auto">
        <a:xfrm>
          <a:off x="46110525" y="141598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19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F140000}"/>
            </a:ext>
          </a:extLst>
        </xdr:cNvPr>
        <xdr:cNvSpPr>
          <a:spLocks noChangeAspect="1" noChangeArrowheads="1"/>
        </xdr:cNvSpPr>
      </xdr:nvSpPr>
      <xdr:spPr bwMode="auto">
        <a:xfrm>
          <a:off x="46110525" y="1418939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20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0140000}"/>
            </a:ext>
          </a:extLst>
        </xdr:cNvPr>
        <xdr:cNvSpPr>
          <a:spLocks noChangeAspect="1" noChangeArrowheads="1"/>
        </xdr:cNvSpPr>
      </xdr:nvSpPr>
      <xdr:spPr bwMode="auto">
        <a:xfrm>
          <a:off x="46110525" y="1418939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20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1140000}"/>
            </a:ext>
          </a:extLst>
        </xdr:cNvPr>
        <xdr:cNvSpPr>
          <a:spLocks noChangeAspect="1" noChangeArrowheads="1"/>
        </xdr:cNvSpPr>
      </xdr:nvSpPr>
      <xdr:spPr bwMode="auto">
        <a:xfrm>
          <a:off x="46110525" y="14218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20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2140000}"/>
            </a:ext>
          </a:extLst>
        </xdr:cNvPr>
        <xdr:cNvSpPr>
          <a:spLocks noChangeAspect="1" noChangeArrowheads="1"/>
        </xdr:cNvSpPr>
      </xdr:nvSpPr>
      <xdr:spPr bwMode="auto">
        <a:xfrm>
          <a:off x="46110525" y="14218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20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3140000}"/>
            </a:ext>
          </a:extLst>
        </xdr:cNvPr>
        <xdr:cNvSpPr>
          <a:spLocks noChangeAspect="1" noChangeArrowheads="1"/>
        </xdr:cNvSpPr>
      </xdr:nvSpPr>
      <xdr:spPr bwMode="auto">
        <a:xfrm>
          <a:off x="46110525" y="1424844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20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4140000}"/>
            </a:ext>
          </a:extLst>
        </xdr:cNvPr>
        <xdr:cNvSpPr>
          <a:spLocks noChangeAspect="1" noChangeArrowheads="1"/>
        </xdr:cNvSpPr>
      </xdr:nvSpPr>
      <xdr:spPr bwMode="auto">
        <a:xfrm>
          <a:off x="46110525" y="1424844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20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5140000}"/>
            </a:ext>
          </a:extLst>
        </xdr:cNvPr>
        <xdr:cNvSpPr>
          <a:spLocks noChangeAspect="1" noChangeArrowheads="1"/>
        </xdr:cNvSpPr>
      </xdr:nvSpPr>
      <xdr:spPr bwMode="auto">
        <a:xfrm>
          <a:off x="46110525" y="142779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20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6140000}"/>
            </a:ext>
          </a:extLst>
        </xdr:cNvPr>
        <xdr:cNvSpPr>
          <a:spLocks noChangeAspect="1" noChangeArrowheads="1"/>
        </xdr:cNvSpPr>
      </xdr:nvSpPr>
      <xdr:spPr bwMode="auto">
        <a:xfrm>
          <a:off x="46110525" y="142779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20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7140000}"/>
            </a:ext>
          </a:extLst>
        </xdr:cNvPr>
        <xdr:cNvSpPr>
          <a:spLocks noChangeAspect="1" noChangeArrowheads="1"/>
        </xdr:cNvSpPr>
      </xdr:nvSpPr>
      <xdr:spPr bwMode="auto">
        <a:xfrm>
          <a:off x="46110525" y="143075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20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8140000}"/>
            </a:ext>
          </a:extLst>
        </xdr:cNvPr>
        <xdr:cNvSpPr>
          <a:spLocks noChangeAspect="1" noChangeArrowheads="1"/>
        </xdr:cNvSpPr>
      </xdr:nvSpPr>
      <xdr:spPr bwMode="auto">
        <a:xfrm>
          <a:off x="46110525" y="143075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20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9140000}"/>
            </a:ext>
          </a:extLst>
        </xdr:cNvPr>
        <xdr:cNvSpPr>
          <a:spLocks noChangeAspect="1" noChangeArrowheads="1"/>
        </xdr:cNvSpPr>
      </xdr:nvSpPr>
      <xdr:spPr bwMode="auto">
        <a:xfrm>
          <a:off x="46110525" y="143370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21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A140000}"/>
            </a:ext>
          </a:extLst>
        </xdr:cNvPr>
        <xdr:cNvSpPr>
          <a:spLocks noChangeAspect="1" noChangeArrowheads="1"/>
        </xdr:cNvSpPr>
      </xdr:nvSpPr>
      <xdr:spPr bwMode="auto">
        <a:xfrm>
          <a:off x="46110525" y="143370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21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B140000}"/>
            </a:ext>
          </a:extLst>
        </xdr:cNvPr>
        <xdr:cNvSpPr>
          <a:spLocks noChangeAspect="1" noChangeArrowheads="1"/>
        </xdr:cNvSpPr>
      </xdr:nvSpPr>
      <xdr:spPr bwMode="auto">
        <a:xfrm>
          <a:off x="46110525" y="143665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21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C140000}"/>
            </a:ext>
          </a:extLst>
        </xdr:cNvPr>
        <xdr:cNvSpPr>
          <a:spLocks noChangeAspect="1" noChangeArrowheads="1"/>
        </xdr:cNvSpPr>
      </xdr:nvSpPr>
      <xdr:spPr bwMode="auto">
        <a:xfrm>
          <a:off x="46110525" y="143665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21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D140000}"/>
            </a:ext>
          </a:extLst>
        </xdr:cNvPr>
        <xdr:cNvSpPr>
          <a:spLocks noChangeAspect="1" noChangeArrowheads="1"/>
        </xdr:cNvSpPr>
      </xdr:nvSpPr>
      <xdr:spPr bwMode="auto">
        <a:xfrm>
          <a:off x="46110525" y="143960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21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E140000}"/>
            </a:ext>
          </a:extLst>
        </xdr:cNvPr>
        <xdr:cNvSpPr>
          <a:spLocks noChangeAspect="1" noChangeArrowheads="1"/>
        </xdr:cNvSpPr>
      </xdr:nvSpPr>
      <xdr:spPr bwMode="auto">
        <a:xfrm>
          <a:off x="46110525" y="143960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21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F140000}"/>
            </a:ext>
          </a:extLst>
        </xdr:cNvPr>
        <xdr:cNvSpPr>
          <a:spLocks noChangeAspect="1" noChangeArrowheads="1"/>
        </xdr:cNvSpPr>
      </xdr:nvSpPr>
      <xdr:spPr bwMode="auto">
        <a:xfrm>
          <a:off x="46110525" y="1442561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21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0140000}"/>
            </a:ext>
          </a:extLst>
        </xdr:cNvPr>
        <xdr:cNvSpPr>
          <a:spLocks noChangeAspect="1" noChangeArrowheads="1"/>
        </xdr:cNvSpPr>
      </xdr:nvSpPr>
      <xdr:spPr bwMode="auto">
        <a:xfrm>
          <a:off x="46110525" y="1442561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21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1140000}"/>
            </a:ext>
          </a:extLst>
        </xdr:cNvPr>
        <xdr:cNvSpPr>
          <a:spLocks noChangeAspect="1" noChangeArrowheads="1"/>
        </xdr:cNvSpPr>
      </xdr:nvSpPr>
      <xdr:spPr bwMode="auto">
        <a:xfrm>
          <a:off x="46110525" y="144551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21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2140000}"/>
            </a:ext>
          </a:extLst>
        </xdr:cNvPr>
        <xdr:cNvSpPr>
          <a:spLocks noChangeAspect="1" noChangeArrowheads="1"/>
        </xdr:cNvSpPr>
      </xdr:nvSpPr>
      <xdr:spPr bwMode="auto">
        <a:xfrm>
          <a:off x="46110525" y="144551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21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3140000}"/>
            </a:ext>
          </a:extLst>
        </xdr:cNvPr>
        <xdr:cNvSpPr>
          <a:spLocks noChangeAspect="1" noChangeArrowheads="1"/>
        </xdr:cNvSpPr>
      </xdr:nvSpPr>
      <xdr:spPr bwMode="auto">
        <a:xfrm>
          <a:off x="46110525" y="1448466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22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4140000}"/>
            </a:ext>
          </a:extLst>
        </xdr:cNvPr>
        <xdr:cNvSpPr>
          <a:spLocks noChangeAspect="1" noChangeArrowheads="1"/>
        </xdr:cNvSpPr>
      </xdr:nvSpPr>
      <xdr:spPr bwMode="auto">
        <a:xfrm>
          <a:off x="46110525" y="1448466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22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5140000}"/>
            </a:ext>
          </a:extLst>
        </xdr:cNvPr>
        <xdr:cNvSpPr>
          <a:spLocks noChangeAspect="1" noChangeArrowheads="1"/>
        </xdr:cNvSpPr>
      </xdr:nvSpPr>
      <xdr:spPr bwMode="auto">
        <a:xfrm>
          <a:off x="46110525" y="145141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22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6140000}"/>
            </a:ext>
          </a:extLst>
        </xdr:cNvPr>
        <xdr:cNvSpPr>
          <a:spLocks noChangeAspect="1" noChangeArrowheads="1"/>
        </xdr:cNvSpPr>
      </xdr:nvSpPr>
      <xdr:spPr bwMode="auto">
        <a:xfrm>
          <a:off x="46110525" y="145141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22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7140000}"/>
            </a:ext>
          </a:extLst>
        </xdr:cNvPr>
        <xdr:cNvSpPr>
          <a:spLocks noChangeAspect="1" noChangeArrowheads="1"/>
        </xdr:cNvSpPr>
      </xdr:nvSpPr>
      <xdr:spPr bwMode="auto">
        <a:xfrm>
          <a:off x="46110525" y="145437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22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8140000}"/>
            </a:ext>
          </a:extLst>
        </xdr:cNvPr>
        <xdr:cNvSpPr>
          <a:spLocks noChangeAspect="1" noChangeArrowheads="1"/>
        </xdr:cNvSpPr>
      </xdr:nvSpPr>
      <xdr:spPr bwMode="auto">
        <a:xfrm>
          <a:off x="46110525" y="145437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22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9140000}"/>
            </a:ext>
          </a:extLst>
        </xdr:cNvPr>
        <xdr:cNvSpPr>
          <a:spLocks noChangeAspect="1" noChangeArrowheads="1"/>
        </xdr:cNvSpPr>
      </xdr:nvSpPr>
      <xdr:spPr bwMode="auto">
        <a:xfrm>
          <a:off x="46110525" y="14573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22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A140000}"/>
            </a:ext>
          </a:extLst>
        </xdr:cNvPr>
        <xdr:cNvSpPr>
          <a:spLocks noChangeAspect="1" noChangeArrowheads="1"/>
        </xdr:cNvSpPr>
      </xdr:nvSpPr>
      <xdr:spPr bwMode="auto">
        <a:xfrm>
          <a:off x="46110525" y="14573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22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B140000}"/>
            </a:ext>
          </a:extLst>
        </xdr:cNvPr>
        <xdr:cNvSpPr>
          <a:spLocks noChangeAspect="1" noChangeArrowheads="1"/>
        </xdr:cNvSpPr>
      </xdr:nvSpPr>
      <xdr:spPr bwMode="auto">
        <a:xfrm>
          <a:off x="46110525" y="1460277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22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C140000}"/>
            </a:ext>
          </a:extLst>
        </xdr:cNvPr>
        <xdr:cNvSpPr>
          <a:spLocks noChangeAspect="1" noChangeArrowheads="1"/>
        </xdr:cNvSpPr>
      </xdr:nvSpPr>
      <xdr:spPr bwMode="auto">
        <a:xfrm>
          <a:off x="46110525" y="1460277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22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D140000}"/>
            </a:ext>
          </a:extLst>
        </xdr:cNvPr>
        <xdr:cNvSpPr>
          <a:spLocks noChangeAspect="1" noChangeArrowheads="1"/>
        </xdr:cNvSpPr>
      </xdr:nvSpPr>
      <xdr:spPr bwMode="auto">
        <a:xfrm>
          <a:off x="46110525" y="146323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23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E140000}"/>
            </a:ext>
          </a:extLst>
        </xdr:cNvPr>
        <xdr:cNvSpPr>
          <a:spLocks noChangeAspect="1" noChangeArrowheads="1"/>
        </xdr:cNvSpPr>
      </xdr:nvSpPr>
      <xdr:spPr bwMode="auto">
        <a:xfrm>
          <a:off x="46110525" y="146323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23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F140000}"/>
            </a:ext>
          </a:extLst>
        </xdr:cNvPr>
        <xdr:cNvSpPr>
          <a:spLocks noChangeAspect="1" noChangeArrowheads="1"/>
        </xdr:cNvSpPr>
      </xdr:nvSpPr>
      <xdr:spPr bwMode="auto">
        <a:xfrm>
          <a:off x="46110525" y="146618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23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0140000}"/>
            </a:ext>
          </a:extLst>
        </xdr:cNvPr>
        <xdr:cNvSpPr>
          <a:spLocks noChangeAspect="1" noChangeArrowheads="1"/>
        </xdr:cNvSpPr>
      </xdr:nvSpPr>
      <xdr:spPr bwMode="auto">
        <a:xfrm>
          <a:off x="46110525" y="146618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23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1140000}"/>
            </a:ext>
          </a:extLst>
        </xdr:cNvPr>
        <xdr:cNvSpPr>
          <a:spLocks noChangeAspect="1" noChangeArrowheads="1"/>
        </xdr:cNvSpPr>
      </xdr:nvSpPr>
      <xdr:spPr bwMode="auto">
        <a:xfrm>
          <a:off x="46110525" y="146913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23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2140000}"/>
            </a:ext>
          </a:extLst>
        </xdr:cNvPr>
        <xdr:cNvSpPr>
          <a:spLocks noChangeAspect="1" noChangeArrowheads="1"/>
        </xdr:cNvSpPr>
      </xdr:nvSpPr>
      <xdr:spPr bwMode="auto">
        <a:xfrm>
          <a:off x="46110525" y="146913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23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3140000}"/>
            </a:ext>
          </a:extLst>
        </xdr:cNvPr>
        <xdr:cNvSpPr>
          <a:spLocks noChangeAspect="1" noChangeArrowheads="1"/>
        </xdr:cNvSpPr>
      </xdr:nvSpPr>
      <xdr:spPr bwMode="auto">
        <a:xfrm>
          <a:off x="46110525" y="147208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23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4140000}"/>
            </a:ext>
          </a:extLst>
        </xdr:cNvPr>
        <xdr:cNvSpPr>
          <a:spLocks noChangeAspect="1" noChangeArrowheads="1"/>
        </xdr:cNvSpPr>
      </xdr:nvSpPr>
      <xdr:spPr bwMode="auto">
        <a:xfrm>
          <a:off x="46110525" y="147208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23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5140000}"/>
            </a:ext>
          </a:extLst>
        </xdr:cNvPr>
        <xdr:cNvSpPr>
          <a:spLocks noChangeAspect="1" noChangeArrowheads="1"/>
        </xdr:cNvSpPr>
      </xdr:nvSpPr>
      <xdr:spPr bwMode="auto">
        <a:xfrm>
          <a:off x="46110525" y="147504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23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6140000}"/>
            </a:ext>
          </a:extLst>
        </xdr:cNvPr>
        <xdr:cNvSpPr>
          <a:spLocks noChangeAspect="1" noChangeArrowheads="1"/>
        </xdr:cNvSpPr>
      </xdr:nvSpPr>
      <xdr:spPr bwMode="auto">
        <a:xfrm>
          <a:off x="46110525" y="147504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23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7140000}"/>
            </a:ext>
          </a:extLst>
        </xdr:cNvPr>
        <xdr:cNvSpPr>
          <a:spLocks noChangeAspect="1" noChangeArrowheads="1"/>
        </xdr:cNvSpPr>
      </xdr:nvSpPr>
      <xdr:spPr bwMode="auto">
        <a:xfrm>
          <a:off x="46110525" y="1477994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24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8140000}"/>
            </a:ext>
          </a:extLst>
        </xdr:cNvPr>
        <xdr:cNvSpPr>
          <a:spLocks noChangeAspect="1" noChangeArrowheads="1"/>
        </xdr:cNvSpPr>
      </xdr:nvSpPr>
      <xdr:spPr bwMode="auto">
        <a:xfrm>
          <a:off x="46110525" y="1477994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24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9140000}"/>
            </a:ext>
          </a:extLst>
        </xdr:cNvPr>
        <xdr:cNvSpPr>
          <a:spLocks noChangeAspect="1" noChangeArrowheads="1"/>
        </xdr:cNvSpPr>
      </xdr:nvSpPr>
      <xdr:spPr bwMode="auto">
        <a:xfrm>
          <a:off x="46110525" y="148094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24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A140000}"/>
            </a:ext>
          </a:extLst>
        </xdr:cNvPr>
        <xdr:cNvSpPr>
          <a:spLocks noChangeAspect="1" noChangeArrowheads="1"/>
        </xdr:cNvSpPr>
      </xdr:nvSpPr>
      <xdr:spPr bwMode="auto">
        <a:xfrm>
          <a:off x="46110525" y="148094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24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B140000}"/>
            </a:ext>
          </a:extLst>
        </xdr:cNvPr>
        <xdr:cNvSpPr>
          <a:spLocks noChangeAspect="1" noChangeArrowheads="1"/>
        </xdr:cNvSpPr>
      </xdr:nvSpPr>
      <xdr:spPr bwMode="auto">
        <a:xfrm>
          <a:off x="46110525" y="1483899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24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C140000}"/>
            </a:ext>
          </a:extLst>
        </xdr:cNvPr>
        <xdr:cNvSpPr>
          <a:spLocks noChangeAspect="1" noChangeArrowheads="1"/>
        </xdr:cNvSpPr>
      </xdr:nvSpPr>
      <xdr:spPr bwMode="auto">
        <a:xfrm>
          <a:off x="46110525" y="1483899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24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D140000}"/>
            </a:ext>
          </a:extLst>
        </xdr:cNvPr>
        <xdr:cNvSpPr>
          <a:spLocks noChangeAspect="1" noChangeArrowheads="1"/>
        </xdr:cNvSpPr>
      </xdr:nvSpPr>
      <xdr:spPr bwMode="auto">
        <a:xfrm>
          <a:off x="46110525" y="148685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24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E140000}"/>
            </a:ext>
          </a:extLst>
        </xdr:cNvPr>
        <xdr:cNvSpPr>
          <a:spLocks noChangeAspect="1" noChangeArrowheads="1"/>
        </xdr:cNvSpPr>
      </xdr:nvSpPr>
      <xdr:spPr bwMode="auto">
        <a:xfrm>
          <a:off x="46110525" y="148685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24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F140000}"/>
            </a:ext>
          </a:extLst>
        </xdr:cNvPr>
        <xdr:cNvSpPr>
          <a:spLocks noChangeAspect="1" noChangeArrowheads="1"/>
        </xdr:cNvSpPr>
      </xdr:nvSpPr>
      <xdr:spPr bwMode="auto">
        <a:xfrm>
          <a:off x="46110525" y="148980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24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0140000}"/>
            </a:ext>
          </a:extLst>
        </xdr:cNvPr>
        <xdr:cNvSpPr>
          <a:spLocks noChangeAspect="1" noChangeArrowheads="1"/>
        </xdr:cNvSpPr>
      </xdr:nvSpPr>
      <xdr:spPr bwMode="auto">
        <a:xfrm>
          <a:off x="46110525" y="148980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24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1140000}"/>
            </a:ext>
          </a:extLst>
        </xdr:cNvPr>
        <xdr:cNvSpPr>
          <a:spLocks noChangeAspect="1" noChangeArrowheads="1"/>
        </xdr:cNvSpPr>
      </xdr:nvSpPr>
      <xdr:spPr bwMode="auto">
        <a:xfrm>
          <a:off x="46110525" y="149275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25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2140000}"/>
            </a:ext>
          </a:extLst>
        </xdr:cNvPr>
        <xdr:cNvSpPr>
          <a:spLocks noChangeAspect="1" noChangeArrowheads="1"/>
        </xdr:cNvSpPr>
      </xdr:nvSpPr>
      <xdr:spPr bwMode="auto">
        <a:xfrm>
          <a:off x="46110525" y="149275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25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3140000}"/>
            </a:ext>
          </a:extLst>
        </xdr:cNvPr>
        <xdr:cNvSpPr>
          <a:spLocks noChangeAspect="1" noChangeArrowheads="1"/>
        </xdr:cNvSpPr>
      </xdr:nvSpPr>
      <xdr:spPr bwMode="auto">
        <a:xfrm>
          <a:off x="46110525" y="149571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25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4140000}"/>
            </a:ext>
          </a:extLst>
        </xdr:cNvPr>
        <xdr:cNvSpPr>
          <a:spLocks noChangeAspect="1" noChangeArrowheads="1"/>
        </xdr:cNvSpPr>
      </xdr:nvSpPr>
      <xdr:spPr bwMode="auto">
        <a:xfrm>
          <a:off x="46110525" y="149571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25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5140000}"/>
            </a:ext>
          </a:extLst>
        </xdr:cNvPr>
        <xdr:cNvSpPr>
          <a:spLocks noChangeAspect="1" noChangeArrowheads="1"/>
        </xdr:cNvSpPr>
      </xdr:nvSpPr>
      <xdr:spPr bwMode="auto">
        <a:xfrm>
          <a:off x="46110525" y="149866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25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6140000}"/>
            </a:ext>
          </a:extLst>
        </xdr:cNvPr>
        <xdr:cNvSpPr>
          <a:spLocks noChangeAspect="1" noChangeArrowheads="1"/>
        </xdr:cNvSpPr>
      </xdr:nvSpPr>
      <xdr:spPr bwMode="auto">
        <a:xfrm>
          <a:off x="46110525" y="149866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25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7140000}"/>
            </a:ext>
          </a:extLst>
        </xdr:cNvPr>
        <xdr:cNvSpPr>
          <a:spLocks noChangeAspect="1" noChangeArrowheads="1"/>
        </xdr:cNvSpPr>
      </xdr:nvSpPr>
      <xdr:spPr bwMode="auto">
        <a:xfrm>
          <a:off x="46110525" y="150161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25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8140000}"/>
            </a:ext>
          </a:extLst>
        </xdr:cNvPr>
        <xdr:cNvSpPr>
          <a:spLocks noChangeAspect="1" noChangeArrowheads="1"/>
        </xdr:cNvSpPr>
      </xdr:nvSpPr>
      <xdr:spPr bwMode="auto">
        <a:xfrm>
          <a:off x="46110525" y="150161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25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9140000}"/>
            </a:ext>
          </a:extLst>
        </xdr:cNvPr>
        <xdr:cNvSpPr>
          <a:spLocks noChangeAspect="1" noChangeArrowheads="1"/>
        </xdr:cNvSpPr>
      </xdr:nvSpPr>
      <xdr:spPr bwMode="auto">
        <a:xfrm>
          <a:off x="46110525" y="150456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25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A140000}"/>
            </a:ext>
          </a:extLst>
        </xdr:cNvPr>
        <xdr:cNvSpPr>
          <a:spLocks noChangeAspect="1" noChangeArrowheads="1"/>
        </xdr:cNvSpPr>
      </xdr:nvSpPr>
      <xdr:spPr bwMode="auto">
        <a:xfrm>
          <a:off x="46110525" y="150456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25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B140000}"/>
            </a:ext>
          </a:extLst>
        </xdr:cNvPr>
        <xdr:cNvSpPr>
          <a:spLocks noChangeAspect="1" noChangeArrowheads="1"/>
        </xdr:cNvSpPr>
      </xdr:nvSpPr>
      <xdr:spPr bwMode="auto">
        <a:xfrm>
          <a:off x="46110525" y="1507521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26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C140000}"/>
            </a:ext>
          </a:extLst>
        </xdr:cNvPr>
        <xdr:cNvSpPr>
          <a:spLocks noChangeAspect="1" noChangeArrowheads="1"/>
        </xdr:cNvSpPr>
      </xdr:nvSpPr>
      <xdr:spPr bwMode="auto">
        <a:xfrm>
          <a:off x="46110525" y="1507521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26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D140000}"/>
            </a:ext>
          </a:extLst>
        </xdr:cNvPr>
        <xdr:cNvSpPr>
          <a:spLocks noChangeAspect="1" noChangeArrowheads="1"/>
        </xdr:cNvSpPr>
      </xdr:nvSpPr>
      <xdr:spPr bwMode="auto">
        <a:xfrm>
          <a:off x="46110525" y="151047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26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E140000}"/>
            </a:ext>
          </a:extLst>
        </xdr:cNvPr>
        <xdr:cNvSpPr>
          <a:spLocks noChangeAspect="1" noChangeArrowheads="1"/>
        </xdr:cNvSpPr>
      </xdr:nvSpPr>
      <xdr:spPr bwMode="auto">
        <a:xfrm>
          <a:off x="46110525" y="151047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26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F140000}"/>
            </a:ext>
          </a:extLst>
        </xdr:cNvPr>
        <xdr:cNvSpPr>
          <a:spLocks noChangeAspect="1" noChangeArrowheads="1"/>
        </xdr:cNvSpPr>
      </xdr:nvSpPr>
      <xdr:spPr bwMode="auto">
        <a:xfrm>
          <a:off x="46110525" y="1513427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26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0140000}"/>
            </a:ext>
          </a:extLst>
        </xdr:cNvPr>
        <xdr:cNvSpPr>
          <a:spLocks noChangeAspect="1" noChangeArrowheads="1"/>
        </xdr:cNvSpPr>
      </xdr:nvSpPr>
      <xdr:spPr bwMode="auto">
        <a:xfrm>
          <a:off x="46110525" y="1513427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26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1140000}"/>
            </a:ext>
          </a:extLst>
        </xdr:cNvPr>
        <xdr:cNvSpPr>
          <a:spLocks noChangeAspect="1" noChangeArrowheads="1"/>
        </xdr:cNvSpPr>
      </xdr:nvSpPr>
      <xdr:spPr bwMode="auto">
        <a:xfrm>
          <a:off x="46110525" y="15163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26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2140000}"/>
            </a:ext>
          </a:extLst>
        </xdr:cNvPr>
        <xdr:cNvSpPr>
          <a:spLocks noChangeAspect="1" noChangeArrowheads="1"/>
        </xdr:cNvSpPr>
      </xdr:nvSpPr>
      <xdr:spPr bwMode="auto">
        <a:xfrm>
          <a:off x="46110525" y="15163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26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3140000}"/>
            </a:ext>
          </a:extLst>
        </xdr:cNvPr>
        <xdr:cNvSpPr>
          <a:spLocks noChangeAspect="1" noChangeArrowheads="1"/>
        </xdr:cNvSpPr>
      </xdr:nvSpPr>
      <xdr:spPr bwMode="auto">
        <a:xfrm>
          <a:off x="46110525" y="1519332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26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4140000}"/>
            </a:ext>
          </a:extLst>
        </xdr:cNvPr>
        <xdr:cNvSpPr>
          <a:spLocks noChangeAspect="1" noChangeArrowheads="1"/>
        </xdr:cNvSpPr>
      </xdr:nvSpPr>
      <xdr:spPr bwMode="auto">
        <a:xfrm>
          <a:off x="46110525" y="1519332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26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5140000}"/>
            </a:ext>
          </a:extLst>
        </xdr:cNvPr>
        <xdr:cNvSpPr>
          <a:spLocks noChangeAspect="1" noChangeArrowheads="1"/>
        </xdr:cNvSpPr>
      </xdr:nvSpPr>
      <xdr:spPr bwMode="auto">
        <a:xfrm>
          <a:off x="46110525" y="152228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27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6140000}"/>
            </a:ext>
          </a:extLst>
        </xdr:cNvPr>
        <xdr:cNvSpPr>
          <a:spLocks noChangeAspect="1" noChangeArrowheads="1"/>
        </xdr:cNvSpPr>
      </xdr:nvSpPr>
      <xdr:spPr bwMode="auto">
        <a:xfrm>
          <a:off x="46110525" y="152228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27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7140000}"/>
            </a:ext>
          </a:extLst>
        </xdr:cNvPr>
        <xdr:cNvSpPr>
          <a:spLocks noChangeAspect="1" noChangeArrowheads="1"/>
        </xdr:cNvSpPr>
      </xdr:nvSpPr>
      <xdr:spPr bwMode="auto">
        <a:xfrm>
          <a:off x="46110525" y="152523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27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8140000}"/>
            </a:ext>
          </a:extLst>
        </xdr:cNvPr>
        <xdr:cNvSpPr>
          <a:spLocks noChangeAspect="1" noChangeArrowheads="1"/>
        </xdr:cNvSpPr>
      </xdr:nvSpPr>
      <xdr:spPr bwMode="auto">
        <a:xfrm>
          <a:off x="46110525" y="152523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27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9140000}"/>
            </a:ext>
          </a:extLst>
        </xdr:cNvPr>
        <xdr:cNvSpPr>
          <a:spLocks noChangeAspect="1" noChangeArrowheads="1"/>
        </xdr:cNvSpPr>
      </xdr:nvSpPr>
      <xdr:spPr bwMode="auto">
        <a:xfrm>
          <a:off x="46110525" y="152819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27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A140000}"/>
            </a:ext>
          </a:extLst>
        </xdr:cNvPr>
        <xdr:cNvSpPr>
          <a:spLocks noChangeAspect="1" noChangeArrowheads="1"/>
        </xdr:cNvSpPr>
      </xdr:nvSpPr>
      <xdr:spPr bwMode="auto">
        <a:xfrm>
          <a:off x="46110525" y="152819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27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B140000}"/>
            </a:ext>
          </a:extLst>
        </xdr:cNvPr>
        <xdr:cNvSpPr>
          <a:spLocks noChangeAspect="1" noChangeArrowheads="1"/>
        </xdr:cNvSpPr>
      </xdr:nvSpPr>
      <xdr:spPr bwMode="auto">
        <a:xfrm>
          <a:off x="46110525" y="153114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27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C140000}"/>
            </a:ext>
          </a:extLst>
        </xdr:cNvPr>
        <xdr:cNvSpPr>
          <a:spLocks noChangeAspect="1" noChangeArrowheads="1"/>
        </xdr:cNvSpPr>
      </xdr:nvSpPr>
      <xdr:spPr bwMode="auto">
        <a:xfrm>
          <a:off x="46110525" y="153114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27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D140000}"/>
            </a:ext>
          </a:extLst>
        </xdr:cNvPr>
        <xdr:cNvSpPr>
          <a:spLocks noChangeAspect="1" noChangeArrowheads="1"/>
        </xdr:cNvSpPr>
      </xdr:nvSpPr>
      <xdr:spPr bwMode="auto">
        <a:xfrm>
          <a:off x="46110525" y="153409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27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E140000}"/>
            </a:ext>
          </a:extLst>
        </xdr:cNvPr>
        <xdr:cNvSpPr>
          <a:spLocks noChangeAspect="1" noChangeArrowheads="1"/>
        </xdr:cNvSpPr>
      </xdr:nvSpPr>
      <xdr:spPr bwMode="auto">
        <a:xfrm>
          <a:off x="46110525" y="153409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27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F140000}"/>
            </a:ext>
          </a:extLst>
        </xdr:cNvPr>
        <xdr:cNvSpPr>
          <a:spLocks noChangeAspect="1" noChangeArrowheads="1"/>
        </xdr:cNvSpPr>
      </xdr:nvSpPr>
      <xdr:spPr bwMode="auto">
        <a:xfrm>
          <a:off x="46110525" y="1537049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28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0140000}"/>
            </a:ext>
          </a:extLst>
        </xdr:cNvPr>
        <xdr:cNvSpPr>
          <a:spLocks noChangeAspect="1" noChangeArrowheads="1"/>
        </xdr:cNvSpPr>
      </xdr:nvSpPr>
      <xdr:spPr bwMode="auto">
        <a:xfrm>
          <a:off x="46110525" y="1537049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28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1140000}"/>
            </a:ext>
          </a:extLst>
        </xdr:cNvPr>
        <xdr:cNvSpPr>
          <a:spLocks noChangeAspect="1" noChangeArrowheads="1"/>
        </xdr:cNvSpPr>
      </xdr:nvSpPr>
      <xdr:spPr bwMode="auto">
        <a:xfrm>
          <a:off x="46110525" y="15400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28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2140000}"/>
            </a:ext>
          </a:extLst>
        </xdr:cNvPr>
        <xdr:cNvSpPr>
          <a:spLocks noChangeAspect="1" noChangeArrowheads="1"/>
        </xdr:cNvSpPr>
      </xdr:nvSpPr>
      <xdr:spPr bwMode="auto">
        <a:xfrm>
          <a:off x="46110525" y="15400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28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3140000}"/>
            </a:ext>
          </a:extLst>
        </xdr:cNvPr>
        <xdr:cNvSpPr>
          <a:spLocks noChangeAspect="1" noChangeArrowheads="1"/>
        </xdr:cNvSpPr>
      </xdr:nvSpPr>
      <xdr:spPr bwMode="auto">
        <a:xfrm>
          <a:off x="46110525" y="1542954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28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4140000}"/>
            </a:ext>
          </a:extLst>
        </xdr:cNvPr>
        <xdr:cNvSpPr>
          <a:spLocks noChangeAspect="1" noChangeArrowheads="1"/>
        </xdr:cNvSpPr>
      </xdr:nvSpPr>
      <xdr:spPr bwMode="auto">
        <a:xfrm>
          <a:off x="46110525" y="1542954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28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5140000}"/>
            </a:ext>
          </a:extLst>
        </xdr:cNvPr>
        <xdr:cNvSpPr>
          <a:spLocks noChangeAspect="1" noChangeArrowheads="1"/>
        </xdr:cNvSpPr>
      </xdr:nvSpPr>
      <xdr:spPr bwMode="auto">
        <a:xfrm>
          <a:off x="46110525" y="154590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28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6140000}"/>
            </a:ext>
          </a:extLst>
        </xdr:cNvPr>
        <xdr:cNvSpPr>
          <a:spLocks noChangeAspect="1" noChangeArrowheads="1"/>
        </xdr:cNvSpPr>
      </xdr:nvSpPr>
      <xdr:spPr bwMode="auto">
        <a:xfrm>
          <a:off x="46110525" y="154590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28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7140000}"/>
            </a:ext>
          </a:extLst>
        </xdr:cNvPr>
        <xdr:cNvSpPr>
          <a:spLocks noChangeAspect="1" noChangeArrowheads="1"/>
        </xdr:cNvSpPr>
      </xdr:nvSpPr>
      <xdr:spPr bwMode="auto">
        <a:xfrm>
          <a:off x="46110525" y="154886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28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8140000}"/>
            </a:ext>
          </a:extLst>
        </xdr:cNvPr>
        <xdr:cNvSpPr>
          <a:spLocks noChangeAspect="1" noChangeArrowheads="1"/>
        </xdr:cNvSpPr>
      </xdr:nvSpPr>
      <xdr:spPr bwMode="auto">
        <a:xfrm>
          <a:off x="46110525" y="154886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28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9140000}"/>
            </a:ext>
          </a:extLst>
        </xdr:cNvPr>
        <xdr:cNvSpPr>
          <a:spLocks noChangeAspect="1" noChangeArrowheads="1"/>
        </xdr:cNvSpPr>
      </xdr:nvSpPr>
      <xdr:spPr bwMode="auto">
        <a:xfrm>
          <a:off x="46110525" y="155181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29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A140000}"/>
            </a:ext>
          </a:extLst>
        </xdr:cNvPr>
        <xdr:cNvSpPr>
          <a:spLocks noChangeAspect="1" noChangeArrowheads="1"/>
        </xdr:cNvSpPr>
      </xdr:nvSpPr>
      <xdr:spPr bwMode="auto">
        <a:xfrm>
          <a:off x="46110525" y="155181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29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B140000}"/>
            </a:ext>
          </a:extLst>
        </xdr:cNvPr>
        <xdr:cNvSpPr>
          <a:spLocks noChangeAspect="1" noChangeArrowheads="1"/>
        </xdr:cNvSpPr>
      </xdr:nvSpPr>
      <xdr:spPr bwMode="auto">
        <a:xfrm>
          <a:off x="46110525" y="155476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29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C140000}"/>
            </a:ext>
          </a:extLst>
        </xdr:cNvPr>
        <xdr:cNvSpPr>
          <a:spLocks noChangeAspect="1" noChangeArrowheads="1"/>
        </xdr:cNvSpPr>
      </xdr:nvSpPr>
      <xdr:spPr bwMode="auto">
        <a:xfrm>
          <a:off x="46110525" y="155476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29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D140000}"/>
            </a:ext>
          </a:extLst>
        </xdr:cNvPr>
        <xdr:cNvSpPr>
          <a:spLocks noChangeAspect="1" noChangeArrowheads="1"/>
        </xdr:cNvSpPr>
      </xdr:nvSpPr>
      <xdr:spPr bwMode="auto">
        <a:xfrm>
          <a:off x="46110525" y="155771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29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E140000}"/>
            </a:ext>
          </a:extLst>
        </xdr:cNvPr>
        <xdr:cNvSpPr>
          <a:spLocks noChangeAspect="1" noChangeArrowheads="1"/>
        </xdr:cNvSpPr>
      </xdr:nvSpPr>
      <xdr:spPr bwMode="auto">
        <a:xfrm>
          <a:off x="46110525" y="155771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29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F140000}"/>
            </a:ext>
          </a:extLst>
        </xdr:cNvPr>
        <xdr:cNvSpPr>
          <a:spLocks noChangeAspect="1" noChangeArrowheads="1"/>
        </xdr:cNvSpPr>
      </xdr:nvSpPr>
      <xdr:spPr bwMode="auto">
        <a:xfrm>
          <a:off x="46110525" y="1560671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29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0140000}"/>
            </a:ext>
          </a:extLst>
        </xdr:cNvPr>
        <xdr:cNvSpPr>
          <a:spLocks noChangeAspect="1" noChangeArrowheads="1"/>
        </xdr:cNvSpPr>
      </xdr:nvSpPr>
      <xdr:spPr bwMode="auto">
        <a:xfrm>
          <a:off x="46110525" y="1560671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29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1140000}"/>
            </a:ext>
          </a:extLst>
        </xdr:cNvPr>
        <xdr:cNvSpPr>
          <a:spLocks noChangeAspect="1" noChangeArrowheads="1"/>
        </xdr:cNvSpPr>
      </xdr:nvSpPr>
      <xdr:spPr bwMode="auto">
        <a:xfrm>
          <a:off x="46110525" y="156362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29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2140000}"/>
            </a:ext>
          </a:extLst>
        </xdr:cNvPr>
        <xdr:cNvSpPr>
          <a:spLocks noChangeAspect="1" noChangeArrowheads="1"/>
        </xdr:cNvSpPr>
      </xdr:nvSpPr>
      <xdr:spPr bwMode="auto">
        <a:xfrm>
          <a:off x="46110525" y="156362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29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3140000}"/>
            </a:ext>
          </a:extLst>
        </xdr:cNvPr>
        <xdr:cNvSpPr>
          <a:spLocks noChangeAspect="1" noChangeArrowheads="1"/>
        </xdr:cNvSpPr>
      </xdr:nvSpPr>
      <xdr:spPr bwMode="auto">
        <a:xfrm>
          <a:off x="46110525" y="1566576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30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4140000}"/>
            </a:ext>
          </a:extLst>
        </xdr:cNvPr>
        <xdr:cNvSpPr>
          <a:spLocks noChangeAspect="1" noChangeArrowheads="1"/>
        </xdr:cNvSpPr>
      </xdr:nvSpPr>
      <xdr:spPr bwMode="auto">
        <a:xfrm>
          <a:off x="46110525" y="1566576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30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5140000}"/>
            </a:ext>
          </a:extLst>
        </xdr:cNvPr>
        <xdr:cNvSpPr>
          <a:spLocks noChangeAspect="1" noChangeArrowheads="1"/>
        </xdr:cNvSpPr>
      </xdr:nvSpPr>
      <xdr:spPr bwMode="auto">
        <a:xfrm>
          <a:off x="46110525" y="156952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30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6140000}"/>
            </a:ext>
          </a:extLst>
        </xdr:cNvPr>
        <xdr:cNvSpPr>
          <a:spLocks noChangeAspect="1" noChangeArrowheads="1"/>
        </xdr:cNvSpPr>
      </xdr:nvSpPr>
      <xdr:spPr bwMode="auto">
        <a:xfrm>
          <a:off x="46110525" y="156952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30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7140000}"/>
            </a:ext>
          </a:extLst>
        </xdr:cNvPr>
        <xdr:cNvSpPr>
          <a:spLocks noChangeAspect="1" noChangeArrowheads="1"/>
        </xdr:cNvSpPr>
      </xdr:nvSpPr>
      <xdr:spPr bwMode="auto">
        <a:xfrm>
          <a:off x="46110525" y="157248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30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8140000}"/>
            </a:ext>
          </a:extLst>
        </xdr:cNvPr>
        <xdr:cNvSpPr>
          <a:spLocks noChangeAspect="1" noChangeArrowheads="1"/>
        </xdr:cNvSpPr>
      </xdr:nvSpPr>
      <xdr:spPr bwMode="auto">
        <a:xfrm>
          <a:off x="46110525" y="157248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30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9140000}"/>
            </a:ext>
          </a:extLst>
        </xdr:cNvPr>
        <xdr:cNvSpPr>
          <a:spLocks noChangeAspect="1" noChangeArrowheads="1"/>
        </xdr:cNvSpPr>
      </xdr:nvSpPr>
      <xdr:spPr bwMode="auto">
        <a:xfrm>
          <a:off x="46110525" y="15754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30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A140000}"/>
            </a:ext>
          </a:extLst>
        </xdr:cNvPr>
        <xdr:cNvSpPr>
          <a:spLocks noChangeAspect="1" noChangeArrowheads="1"/>
        </xdr:cNvSpPr>
      </xdr:nvSpPr>
      <xdr:spPr bwMode="auto">
        <a:xfrm>
          <a:off x="46110525" y="15754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30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B140000}"/>
            </a:ext>
          </a:extLst>
        </xdr:cNvPr>
        <xdr:cNvSpPr>
          <a:spLocks noChangeAspect="1" noChangeArrowheads="1"/>
        </xdr:cNvSpPr>
      </xdr:nvSpPr>
      <xdr:spPr bwMode="auto">
        <a:xfrm>
          <a:off x="46110525" y="1578387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30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C140000}"/>
            </a:ext>
          </a:extLst>
        </xdr:cNvPr>
        <xdr:cNvSpPr>
          <a:spLocks noChangeAspect="1" noChangeArrowheads="1"/>
        </xdr:cNvSpPr>
      </xdr:nvSpPr>
      <xdr:spPr bwMode="auto">
        <a:xfrm>
          <a:off x="46110525" y="1578387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30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D140000}"/>
            </a:ext>
          </a:extLst>
        </xdr:cNvPr>
        <xdr:cNvSpPr>
          <a:spLocks noChangeAspect="1" noChangeArrowheads="1"/>
        </xdr:cNvSpPr>
      </xdr:nvSpPr>
      <xdr:spPr bwMode="auto">
        <a:xfrm>
          <a:off x="46110525" y="158134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31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E140000}"/>
            </a:ext>
          </a:extLst>
        </xdr:cNvPr>
        <xdr:cNvSpPr>
          <a:spLocks noChangeAspect="1" noChangeArrowheads="1"/>
        </xdr:cNvSpPr>
      </xdr:nvSpPr>
      <xdr:spPr bwMode="auto">
        <a:xfrm>
          <a:off x="46110525" y="158134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31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F140000}"/>
            </a:ext>
          </a:extLst>
        </xdr:cNvPr>
        <xdr:cNvSpPr>
          <a:spLocks noChangeAspect="1" noChangeArrowheads="1"/>
        </xdr:cNvSpPr>
      </xdr:nvSpPr>
      <xdr:spPr bwMode="auto">
        <a:xfrm>
          <a:off x="46110525" y="158429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31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0140000}"/>
            </a:ext>
          </a:extLst>
        </xdr:cNvPr>
        <xdr:cNvSpPr>
          <a:spLocks noChangeAspect="1" noChangeArrowheads="1"/>
        </xdr:cNvSpPr>
      </xdr:nvSpPr>
      <xdr:spPr bwMode="auto">
        <a:xfrm>
          <a:off x="46110525" y="158429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31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1140000}"/>
            </a:ext>
          </a:extLst>
        </xdr:cNvPr>
        <xdr:cNvSpPr>
          <a:spLocks noChangeAspect="1" noChangeArrowheads="1"/>
        </xdr:cNvSpPr>
      </xdr:nvSpPr>
      <xdr:spPr bwMode="auto">
        <a:xfrm>
          <a:off x="46110525" y="158724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31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2140000}"/>
            </a:ext>
          </a:extLst>
        </xdr:cNvPr>
        <xdr:cNvSpPr>
          <a:spLocks noChangeAspect="1" noChangeArrowheads="1"/>
        </xdr:cNvSpPr>
      </xdr:nvSpPr>
      <xdr:spPr bwMode="auto">
        <a:xfrm>
          <a:off x="46110525" y="158724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31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3140000}"/>
            </a:ext>
          </a:extLst>
        </xdr:cNvPr>
        <xdr:cNvSpPr>
          <a:spLocks noChangeAspect="1" noChangeArrowheads="1"/>
        </xdr:cNvSpPr>
      </xdr:nvSpPr>
      <xdr:spPr bwMode="auto">
        <a:xfrm>
          <a:off x="46110525" y="159019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31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4140000}"/>
            </a:ext>
          </a:extLst>
        </xdr:cNvPr>
        <xdr:cNvSpPr>
          <a:spLocks noChangeAspect="1" noChangeArrowheads="1"/>
        </xdr:cNvSpPr>
      </xdr:nvSpPr>
      <xdr:spPr bwMode="auto">
        <a:xfrm>
          <a:off x="46110525" y="159019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31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5140000}"/>
            </a:ext>
          </a:extLst>
        </xdr:cNvPr>
        <xdr:cNvSpPr>
          <a:spLocks noChangeAspect="1" noChangeArrowheads="1"/>
        </xdr:cNvSpPr>
      </xdr:nvSpPr>
      <xdr:spPr bwMode="auto">
        <a:xfrm>
          <a:off x="46110525" y="159315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31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6140000}"/>
            </a:ext>
          </a:extLst>
        </xdr:cNvPr>
        <xdr:cNvSpPr>
          <a:spLocks noChangeAspect="1" noChangeArrowheads="1"/>
        </xdr:cNvSpPr>
      </xdr:nvSpPr>
      <xdr:spPr bwMode="auto">
        <a:xfrm>
          <a:off x="46110525" y="159315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31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7140000}"/>
            </a:ext>
          </a:extLst>
        </xdr:cNvPr>
        <xdr:cNvSpPr>
          <a:spLocks noChangeAspect="1" noChangeArrowheads="1"/>
        </xdr:cNvSpPr>
      </xdr:nvSpPr>
      <xdr:spPr bwMode="auto">
        <a:xfrm>
          <a:off x="46110525" y="1596104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32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8140000}"/>
            </a:ext>
          </a:extLst>
        </xdr:cNvPr>
        <xdr:cNvSpPr>
          <a:spLocks noChangeAspect="1" noChangeArrowheads="1"/>
        </xdr:cNvSpPr>
      </xdr:nvSpPr>
      <xdr:spPr bwMode="auto">
        <a:xfrm>
          <a:off x="46110525" y="1596104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32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9140000}"/>
            </a:ext>
          </a:extLst>
        </xdr:cNvPr>
        <xdr:cNvSpPr>
          <a:spLocks noChangeAspect="1" noChangeArrowheads="1"/>
        </xdr:cNvSpPr>
      </xdr:nvSpPr>
      <xdr:spPr bwMode="auto">
        <a:xfrm>
          <a:off x="46110525" y="159905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32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A140000}"/>
            </a:ext>
          </a:extLst>
        </xdr:cNvPr>
        <xdr:cNvSpPr>
          <a:spLocks noChangeAspect="1" noChangeArrowheads="1"/>
        </xdr:cNvSpPr>
      </xdr:nvSpPr>
      <xdr:spPr bwMode="auto">
        <a:xfrm>
          <a:off x="46110525" y="159905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32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B140000}"/>
            </a:ext>
          </a:extLst>
        </xdr:cNvPr>
        <xdr:cNvSpPr>
          <a:spLocks noChangeAspect="1" noChangeArrowheads="1"/>
        </xdr:cNvSpPr>
      </xdr:nvSpPr>
      <xdr:spPr bwMode="auto">
        <a:xfrm>
          <a:off x="46110525" y="1602009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32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C140000}"/>
            </a:ext>
          </a:extLst>
        </xdr:cNvPr>
        <xdr:cNvSpPr>
          <a:spLocks noChangeAspect="1" noChangeArrowheads="1"/>
        </xdr:cNvSpPr>
      </xdr:nvSpPr>
      <xdr:spPr bwMode="auto">
        <a:xfrm>
          <a:off x="46110525" y="1602009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32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D140000}"/>
            </a:ext>
          </a:extLst>
        </xdr:cNvPr>
        <xdr:cNvSpPr>
          <a:spLocks noChangeAspect="1" noChangeArrowheads="1"/>
        </xdr:cNvSpPr>
      </xdr:nvSpPr>
      <xdr:spPr bwMode="auto">
        <a:xfrm>
          <a:off x="46110525" y="160496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32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E140000}"/>
            </a:ext>
          </a:extLst>
        </xdr:cNvPr>
        <xdr:cNvSpPr>
          <a:spLocks noChangeAspect="1" noChangeArrowheads="1"/>
        </xdr:cNvSpPr>
      </xdr:nvSpPr>
      <xdr:spPr bwMode="auto">
        <a:xfrm>
          <a:off x="46110525" y="160496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32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F140000}"/>
            </a:ext>
          </a:extLst>
        </xdr:cNvPr>
        <xdr:cNvSpPr>
          <a:spLocks noChangeAspect="1" noChangeArrowheads="1"/>
        </xdr:cNvSpPr>
      </xdr:nvSpPr>
      <xdr:spPr bwMode="auto">
        <a:xfrm>
          <a:off x="46110525" y="160791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32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0140000}"/>
            </a:ext>
          </a:extLst>
        </xdr:cNvPr>
        <xdr:cNvSpPr>
          <a:spLocks noChangeAspect="1" noChangeArrowheads="1"/>
        </xdr:cNvSpPr>
      </xdr:nvSpPr>
      <xdr:spPr bwMode="auto">
        <a:xfrm>
          <a:off x="46110525" y="160791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32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1140000}"/>
            </a:ext>
          </a:extLst>
        </xdr:cNvPr>
        <xdr:cNvSpPr>
          <a:spLocks noChangeAspect="1" noChangeArrowheads="1"/>
        </xdr:cNvSpPr>
      </xdr:nvSpPr>
      <xdr:spPr bwMode="auto">
        <a:xfrm>
          <a:off x="46110525" y="161086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33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2140000}"/>
            </a:ext>
          </a:extLst>
        </xdr:cNvPr>
        <xdr:cNvSpPr>
          <a:spLocks noChangeAspect="1" noChangeArrowheads="1"/>
        </xdr:cNvSpPr>
      </xdr:nvSpPr>
      <xdr:spPr bwMode="auto">
        <a:xfrm>
          <a:off x="46110525" y="161086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33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3140000}"/>
            </a:ext>
          </a:extLst>
        </xdr:cNvPr>
        <xdr:cNvSpPr>
          <a:spLocks noChangeAspect="1" noChangeArrowheads="1"/>
        </xdr:cNvSpPr>
      </xdr:nvSpPr>
      <xdr:spPr bwMode="auto">
        <a:xfrm>
          <a:off x="46110525" y="161382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33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4140000}"/>
            </a:ext>
          </a:extLst>
        </xdr:cNvPr>
        <xdr:cNvSpPr>
          <a:spLocks noChangeAspect="1" noChangeArrowheads="1"/>
        </xdr:cNvSpPr>
      </xdr:nvSpPr>
      <xdr:spPr bwMode="auto">
        <a:xfrm>
          <a:off x="46110525" y="161382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33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5140000}"/>
            </a:ext>
          </a:extLst>
        </xdr:cNvPr>
        <xdr:cNvSpPr>
          <a:spLocks noChangeAspect="1" noChangeArrowheads="1"/>
        </xdr:cNvSpPr>
      </xdr:nvSpPr>
      <xdr:spPr bwMode="auto">
        <a:xfrm>
          <a:off x="46110525" y="161677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33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6140000}"/>
            </a:ext>
          </a:extLst>
        </xdr:cNvPr>
        <xdr:cNvSpPr>
          <a:spLocks noChangeAspect="1" noChangeArrowheads="1"/>
        </xdr:cNvSpPr>
      </xdr:nvSpPr>
      <xdr:spPr bwMode="auto">
        <a:xfrm>
          <a:off x="46110525" y="161677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33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7140000}"/>
            </a:ext>
          </a:extLst>
        </xdr:cNvPr>
        <xdr:cNvSpPr>
          <a:spLocks noChangeAspect="1" noChangeArrowheads="1"/>
        </xdr:cNvSpPr>
      </xdr:nvSpPr>
      <xdr:spPr bwMode="auto">
        <a:xfrm>
          <a:off x="46110525" y="161972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33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8140000}"/>
            </a:ext>
          </a:extLst>
        </xdr:cNvPr>
        <xdr:cNvSpPr>
          <a:spLocks noChangeAspect="1" noChangeArrowheads="1"/>
        </xdr:cNvSpPr>
      </xdr:nvSpPr>
      <xdr:spPr bwMode="auto">
        <a:xfrm>
          <a:off x="46110525" y="161972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33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9140000}"/>
            </a:ext>
          </a:extLst>
        </xdr:cNvPr>
        <xdr:cNvSpPr>
          <a:spLocks noChangeAspect="1" noChangeArrowheads="1"/>
        </xdr:cNvSpPr>
      </xdr:nvSpPr>
      <xdr:spPr bwMode="auto">
        <a:xfrm>
          <a:off x="46110525" y="162267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33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A140000}"/>
            </a:ext>
          </a:extLst>
        </xdr:cNvPr>
        <xdr:cNvSpPr>
          <a:spLocks noChangeAspect="1" noChangeArrowheads="1"/>
        </xdr:cNvSpPr>
      </xdr:nvSpPr>
      <xdr:spPr bwMode="auto">
        <a:xfrm>
          <a:off x="46110525" y="162267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33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B140000}"/>
            </a:ext>
          </a:extLst>
        </xdr:cNvPr>
        <xdr:cNvSpPr>
          <a:spLocks noChangeAspect="1" noChangeArrowheads="1"/>
        </xdr:cNvSpPr>
      </xdr:nvSpPr>
      <xdr:spPr bwMode="auto">
        <a:xfrm>
          <a:off x="46110525" y="1625631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34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C140000}"/>
            </a:ext>
          </a:extLst>
        </xdr:cNvPr>
        <xdr:cNvSpPr>
          <a:spLocks noChangeAspect="1" noChangeArrowheads="1"/>
        </xdr:cNvSpPr>
      </xdr:nvSpPr>
      <xdr:spPr bwMode="auto">
        <a:xfrm>
          <a:off x="46110525" y="1625631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34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D140000}"/>
            </a:ext>
          </a:extLst>
        </xdr:cNvPr>
        <xdr:cNvSpPr>
          <a:spLocks noChangeAspect="1" noChangeArrowheads="1"/>
        </xdr:cNvSpPr>
      </xdr:nvSpPr>
      <xdr:spPr bwMode="auto">
        <a:xfrm>
          <a:off x="46110525" y="162858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34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E140000}"/>
            </a:ext>
          </a:extLst>
        </xdr:cNvPr>
        <xdr:cNvSpPr>
          <a:spLocks noChangeAspect="1" noChangeArrowheads="1"/>
        </xdr:cNvSpPr>
      </xdr:nvSpPr>
      <xdr:spPr bwMode="auto">
        <a:xfrm>
          <a:off x="46110525" y="162858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34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F140000}"/>
            </a:ext>
          </a:extLst>
        </xdr:cNvPr>
        <xdr:cNvSpPr>
          <a:spLocks noChangeAspect="1" noChangeArrowheads="1"/>
        </xdr:cNvSpPr>
      </xdr:nvSpPr>
      <xdr:spPr bwMode="auto">
        <a:xfrm>
          <a:off x="46110525" y="1631537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34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0140000}"/>
            </a:ext>
          </a:extLst>
        </xdr:cNvPr>
        <xdr:cNvSpPr>
          <a:spLocks noChangeAspect="1" noChangeArrowheads="1"/>
        </xdr:cNvSpPr>
      </xdr:nvSpPr>
      <xdr:spPr bwMode="auto">
        <a:xfrm>
          <a:off x="46110525" y="1631537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34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1140000}"/>
            </a:ext>
          </a:extLst>
        </xdr:cNvPr>
        <xdr:cNvSpPr>
          <a:spLocks noChangeAspect="1" noChangeArrowheads="1"/>
        </xdr:cNvSpPr>
      </xdr:nvSpPr>
      <xdr:spPr bwMode="auto">
        <a:xfrm>
          <a:off x="46110525" y="16344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34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2140000}"/>
            </a:ext>
          </a:extLst>
        </xdr:cNvPr>
        <xdr:cNvSpPr>
          <a:spLocks noChangeAspect="1" noChangeArrowheads="1"/>
        </xdr:cNvSpPr>
      </xdr:nvSpPr>
      <xdr:spPr bwMode="auto">
        <a:xfrm>
          <a:off x="46110525" y="16344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34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3140000}"/>
            </a:ext>
          </a:extLst>
        </xdr:cNvPr>
        <xdr:cNvSpPr>
          <a:spLocks noChangeAspect="1" noChangeArrowheads="1"/>
        </xdr:cNvSpPr>
      </xdr:nvSpPr>
      <xdr:spPr bwMode="auto">
        <a:xfrm>
          <a:off x="46110525" y="1637442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34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4140000}"/>
            </a:ext>
          </a:extLst>
        </xdr:cNvPr>
        <xdr:cNvSpPr>
          <a:spLocks noChangeAspect="1" noChangeArrowheads="1"/>
        </xdr:cNvSpPr>
      </xdr:nvSpPr>
      <xdr:spPr bwMode="auto">
        <a:xfrm>
          <a:off x="46110525" y="1637442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34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5140000}"/>
            </a:ext>
          </a:extLst>
        </xdr:cNvPr>
        <xdr:cNvSpPr>
          <a:spLocks noChangeAspect="1" noChangeArrowheads="1"/>
        </xdr:cNvSpPr>
      </xdr:nvSpPr>
      <xdr:spPr bwMode="auto">
        <a:xfrm>
          <a:off x="46110525" y="164039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35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6140000}"/>
            </a:ext>
          </a:extLst>
        </xdr:cNvPr>
        <xdr:cNvSpPr>
          <a:spLocks noChangeAspect="1" noChangeArrowheads="1"/>
        </xdr:cNvSpPr>
      </xdr:nvSpPr>
      <xdr:spPr bwMode="auto">
        <a:xfrm>
          <a:off x="46110525" y="164039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35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7140000}"/>
            </a:ext>
          </a:extLst>
        </xdr:cNvPr>
        <xdr:cNvSpPr>
          <a:spLocks noChangeAspect="1" noChangeArrowheads="1"/>
        </xdr:cNvSpPr>
      </xdr:nvSpPr>
      <xdr:spPr bwMode="auto">
        <a:xfrm>
          <a:off x="46110525" y="164334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35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8140000}"/>
            </a:ext>
          </a:extLst>
        </xdr:cNvPr>
        <xdr:cNvSpPr>
          <a:spLocks noChangeAspect="1" noChangeArrowheads="1"/>
        </xdr:cNvSpPr>
      </xdr:nvSpPr>
      <xdr:spPr bwMode="auto">
        <a:xfrm>
          <a:off x="46110525" y="164334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35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9140000}"/>
            </a:ext>
          </a:extLst>
        </xdr:cNvPr>
        <xdr:cNvSpPr>
          <a:spLocks noChangeAspect="1" noChangeArrowheads="1"/>
        </xdr:cNvSpPr>
      </xdr:nvSpPr>
      <xdr:spPr bwMode="auto">
        <a:xfrm>
          <a:off x="46110525" y="164630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35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A140000}"/>
            </a:ext>
          </a:extLst>
        </xdr:cNvPr>
        <xdr:cNvSpPr>
          <a:spLocks noChangeAspect="1" noChangeArrowheads="1"/>
        </xdr:cNvSpPr>
      </xdr:nvSpPr>
      <xdr:spPr bwMode="auto">
        <a:xfrm>
          <a:off x="46110525" y="164630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35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B140000}"/>
            </a:ext>
          </a:extLst>
        </xdr:cNvPr>
        <xdr:cNvSpPr>
          <a:spLocks noChangeAspect="1" noChangeArrowheads="1"/>
        </xdr:cNvSpPr>
      </xdr:nvSpPr>
      <xdr:spPr bwMode="auto">
        <a:xfrm>
          <a:off x="46110525" y="164925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35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C140000}"/>
            </a:ext>
          </a:extLst>
        </xdr:cNvPr>
        <xdr:cNvSpPr>
          <a:spLocks noChangeAspect="1" noChangeArrowheads="1"/>
        </xdr:cNvSpPr>
      </xdr:nvSpPr>
      <xdr:spPr bwMode="auto">
        <a:xfrm>
          <a:off x="46110525" y="164925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35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D140000}"/>
            </a:ext>
          </a:extLst>
        </xdr:cNvPr>
        <xdr:cNvSpPr>
          <a:spLocks noChangeAspect="1" noChangeArrowheads="1"/>
        </xdr:cNvSpPr>
      </xdr:nvSpPr>
      <xdr:spPr bwMode="auto">
        <a:xfrm>
          <a:off x="46110525" y="165220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35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E140000}"/>
            </a:ext>
          </a:extLst>
        </xdr:cNvPr>
        <xdr:cNvSpPr>
          <a:spLocks noChangeAspect="1" noChangeArrowheads="1"/>
        </xdr:cNvSpPr>
      </xdr:nvSpPr>
      <xdr:spPr bwMode="auto">
        <a:xfrm>
          <a:off x="46110525" y="165220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35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F140000}"/>
            </a:ext>
          </a:extLst>
        </xdr:cNvPr>
        <xdr:cNvSpPr>
          <a:spLocks noChangeAspect="1" noChangeArrowheads="1"/>
        </xdr:cNvSpPr>
      </xdr:nvSpPr>
      <xdr:spPr bwMode="auto">
        <a:xfrm>
          <a:off x="46110525" y="1655159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36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0140000}"/>
            </a:ext>
          </a:extLst>
        </xdr:cNvPr>
        <xdr:cNvSpPr>
          <a:spLocks noChangeAspect="1" noChangeArrowheads="1"/>
        </xdr:cNvSpPr>
      </xdr:nvSpPr>
      <xdr:spPr bwMode="auto">
        <a:xfrm>
          <a:off x="46110525" y="1655159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36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1140000}"/>
            </a:ext>
          </a:extLst>
        </xdr:cNvPr>
        <xdr:cNvSpPr>
          <a:spLocks noChangeAspect="1" noChangeArrowheads="1"/>
        </xdr:cNvSpPr>
      </xdr:nvSpPr>
      <xdr:spPr bwMode="auto">
        <a:xfrm>
          <a:off x="46110525" y="165811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36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2140000}"/>
            </a:ext>
          </a:extLst>
        </xdr:cNvPr>
        <xdr:cNvSpPr>
          <a:spLocks noChangeAspect="1" noChangeArrowheads="1"/>
        </xdr:cNvSpPr>
      </xdr:nvSpPr>
      <xdr:spPr bwMode="auto">
        <a:xfrm>
          <a:off x="46110525" y="165811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36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3140000}"/>
            </a:ext>
          </a:extLst>
        </xdr:cNvPr>
        <xdr:cNvSpPr>
          <a:spLocks noChangeAspect="1" noChangeArrowheads="1"/>
        </xdr:cNvSpPr>
      </xdr:nvSpPr>
      <xdr:spPr bwMode="auto">
        <a:xfrm>
          <a:off x="46110525" y="1661064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36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4140000}"/>
            </a:ext>
          </a:extLst>
        </xdr:cNvPr>
        <xdr:cNvSpPr>
          <a:spLocks noChangeAspect="1" noChangeArrowheads="1"/>
        </xdr:cNvSpPr>
      </xdr:nvSpPr>
      <xdr:spPr bwMode="auto">
        <a:xfrm>
          <a:off x="46110525" y="1661064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36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5140000}"/>
            </a:ext>
          </a:extLst>
        </xdr:cNvPr>
        <xdr:cNvSpPr>
          <a:spLocks noChangeAspect="1" noChangeArrowheads="1"/>
        </xdr:cNvSpPr>
      </xdr:nvSpPr>
      <xdr:spPr bwMode="auto">
        <a:xfrm>
          <a:off x="46110525" y="166401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36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6140000}"/>
            </a:ext>
          </a:extLst>
        </xdr:cNvPr>
        <xdr:cNvSpPr>
          <a:spLocks noChangeAspect="1" noChangeArrowheads="1"/>
        </xdr:cNvSpPr>
      </xdr:nvSpPr>
      <xdr:spPr bwMode="auto">
        <a:xfrm>
          <a:off x="46110525" y="166401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36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7140000}"/>
            </a:ext>
          </a:extLst>
        </xdr:cNvPr>
        <xdr:cNvSpPr>
          <a:spLocks noChangeAspect="1" noChangeArrowheads="1"/>
        </xdr:cNvSpPr>
      </xdr:nvSpPr>
      <xdr:spPr bwMode="auto">
        <a:xfrm>
          <a:off x="46110525" y="166697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36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8140000}"/>
            </a:ext>
          </a:extLst>
        </xdr:cNvPr>
        <xdr:cNvSpPr>
          <a:spLocks noChangeAspect="1" noChangeArrowheads="1"/>
        </xdr:cNvSpPr>
      </xdr:nvSpPr>
      <xdr:spPr bwMode="auto">
        <a:xfrm>
          <a:off x="46110525" y="166697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36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9140000}"/>
            </a:ext>
          </a:extLst>
        </xdr:cNvPr>
        <xdr:cNvSpPr>
          <a:spLocks noChangeAspect="1" noChangeArrowheads="1"/>
        </xdr:cNvSpPr>
      </xdr:nvSpPr>
      <xdr:spPr bwMode="auto">
        <a:xfrm>
          <a:off x="46110525" y="166992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37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A140000}"/>
            </a:ext>
          </a:extLst>
        </xdr:cNvPr>
        <xdr:cNvSpPr>
          <a:spLocks noChangeAspect="1" noChangeArrowheads="1"/>
        </xdr:cNvSpPr>
      </xdr:nvSpPr>
      <xdr:spPr bwMode="auto">
        <a:xfrm>
          <a:off x="46110525" y="166992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37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B140000}"/>
            </a:ext>
          </a:extLst>
        </xdr:cNvPr>
        <xdr:cNvSpPr>
          <a:spLocks noChangeAspect="1" noChangeArrowheads="1"/>
        </xdr:cNvSpPr>
      </xdr:nvSpPr>
      <xdr:spPr bwMode="auto">
        <a:xfrm>
          <a:off x="46110525" y="167287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37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C140000}"/>
            </a:ext>
          </a:extLst>
        </xdr:cNvPr>
        <xdr:cNvSpPr>
          <a:spLocks noChangeAspect="1" noChangeArrowheads="1"/>
        </xdr:cNvSpPr>
      </xdr:nvSpPr>
      <xdr:spPr bwMode="auto">
        <a:xfrm>
          <a:off x="46110525" y="167287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37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D140000}"/>
            </a:ext>
          </a:extLst>
        </xdr:cNvPr>
        <xdr:cNvSpPr>
          <a:spLocks noChangeAspect="1" noChangeArrowheads="1"/>
        </xdr:cNvSpPr>
      </xdr:nvSpPr>
      <xdr:spPr bwMode="auto">
        <a:xfrm>
          <a:off x="46110525" y="167582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37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E140000}"/>
            </a:ext>
          </a:extLst>
        </xdr:cNvPr>
        <xdr:cNvSpPr>
          <a:spLocks noChangeAspect="1" noChangeArrowheads="1"/>
        </xdr:cNvSpPr>
      </xdr:nvSpPr>
      <xdr:spPr bwMode="auto">
        <a:xfrm>
          <a:off x="46110525" y="167582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37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F140000}"/>
            </a:ext>
          </a:extLst>
        </xdr:cNvPr>
        <xdr:cNvSpPr>
          <a:spLocks noChangeAspect="1" noChangeArrowheads="1"/>
        </xdr:cNvSpPr>
      </xdr:nvSpPr>
      <xdr:spPr bwMode="auto">
        <a:xfrm>
          <a:off x="46110525" y="1678781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37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0150000}"/>
            </a:ext>
          </a:extLst>
        </xdr:cNvPr>
        <xdr:cNvSpPr>
          <a:spLocks noChangeAspect="1" noChangeArrowheads="1"/>
        </xdr:cNvSpPr>
      </xdr:nvSpPr>
      <xdr:spPr bwMode="auto">
        <a:xfrm>
          <a:off x="46110525" y="1678781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37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1150000}"/>
            </a:ext>
          </a:extLst>
        </xdr:cNvPr>
        <xdr:cNvSpPr>
          <a:spLocks noChangeAspect="1" noChangeArrowheads="1"/>
        </xdr:cNvSpPr>
      </xdr:nvSpPr>
      <xdr:spPr bwMode="auto">
        <a:xfrm>
          <a:off x="46110525" y="168173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37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2150000}"/>
            </a:ext>
          </a:extLst>
        </xdr:cNvPr>
        <xdr:cNvSpPr>
          <a:spLocks noChangeAspect="1" noChangeArrowheads="1"/>
        </xdr:cNvSpPr>
      </xdr:nvSpPr>
      <xdr:spPr bwMode="auto">
        <a:xfrm>
          <a:off x="46110525" y="168173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37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3150000}"/>
            </a:ext>
          </a:extLst>
        </xdr:cNvPr>
        <xdr:cNvSpPr>
          <a:spLocks noChangeAspect="1" noChangeArrowheads="1"/>
        </xdr:cNvSpPr>
      </xdr:nvSpPr>
      <xdr:spPr bwMode="auto">
        <a:xfrm>
          <a:off x="46110525" y="1684686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38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4150000}"/>
            </a:ext>
          </a:extLst>
        </xdr:cNvPr>
        <xdr:cNvSpPr>
          <a:spLocks noChangeAspect="1" noChangeArrowheads="1"/>
        </xdr:cNvSpPr>
      </xdr:nvSpPr>
      <xdr:spPr bwMode="auto">
        <a:xfrm>
          <a:off x="46110525" y="1684686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38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5150000}"/>
            </a:ext>
          </a:extLst>
        </xdr:cNvPr>
        <xdr:cNvSpPr>
          <a:spLocks noChangeAspect="1" noChangeArrowheads="1"/>
        </xdr:cNvSpPr>
      </xdr:nvSpPr>
      <xdr:spPr bwMode="auto">
        <a:xfrm>
          <a:off x="46110525" y="168763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38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6150000}"/>
            </a:ext>
          </a:extLst>
        </xdr:cNvPr>
        <xdr:cNvSpPr>
          <a:spLocks noChangeAspect="1" noChangeArrowheads="1"/>
        </xdr:cNvSpPr>
      </xdr:nvSpPr>
      <xdr:spPr bwMode="auto">
        <a:xfrm>
          <a:off x="46110525" y="168763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38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7150000}"/>
            </a:ext>
          </a:extLst>
        </xdr:cNvPr>
        <xdr:cNvSpPr>
          <a:spLocks noChangeAspect="1" noChangeArrowheads="1"/>
        </xdr:cNvSpPr>
      </xdr:nvSpPr>
      <xdr:spPr bwMode="auto">
        <a:xfrm>
          <a:off x="46110525" y="169059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38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8150000}"/>
            </a:ext>
          </a:extLst>
        </xdr:cNvPr>
        <xdr:cNvSpPr>
          <a:spLocks noChangeAspect="1" noChangeArrowheads="1"/>
        </xdr:cNvSpPr>
      </xdr:nvSpPr>
      <xdr:spPr bwMode="auto">
        <a:xfrm>
          <a:off x="46110525" y="169059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38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9150000}"/>
            </a:ext>
          </a:extLst>
        </xdr:cNvPr>
        <xdr:cNvSpPr>
          <a:spLocks noChangeAspect="1" noChangeArrowheads="1"/>
        </xdr:cNvSpPr>
      </xdr:nvSpPr>
      <xdr:spPr bwMode="auto">
        <a:xfrm>
          <a:off x="46110525" y="169354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38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A150000}"/>
            </a:ext>
          </a:extLst>
        </xdr:cNvPr>
        <xdr:cNvSpPr>
          <a:spLocks noChangeAspect="1" noChangeArrowheads="1"/>
        </xdr:cNvSpPr>
      </xdr:nvSpPr>
      <xdr:spPr bwMode="auto">
        <a:xfrm>
          <a:off x="46110525" y="169354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38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B150000}"/>
            </a:ext>
          </a:extLst>
        </xdr:cNvPr>
        <xdr:cNvSpPr>
          <a:spLocks noChangeAspect="1" noChangeArrowheads="1"/>
        </xdr:cNvSpPr>
      </xdr:nvSpPr>
      <xdr:spPr bwMode="auto">
        <a:xfrm>
          <a:off x="46110525" y="1696497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38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C150000}"/>
            </a:ext>
          </a:extLst>
        </xdr:cNvPr>
        <xdr:cNvSpPr>
          <a:spLocks noChangeAspect="1" noChangeArrowheads="1"/>
        </xdr:cNvSpPr>
      </xdr:nvSpPr>
      <xdr:spPr bwMode="auto">
        <a:xfrm>
          <a:off x="46110525" y="1696497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38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D150000}"/>
            </a:ext>
          </a:extLst>
        </xdr:cNvPr>
        <xdr:cNvSpPr>
          <a:spLocks noChangeAspect="1" noChangeArrowheads="1"/>
        </xdr:cNvSpPr>
      </xdr:nvSpPr>
      <xdr:spPr bwMode="auto">
        <a:xfrm>
          <a:off x="46110525" y="169945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39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E150000}"/>
            </a:ext>
          </a:extLst>
        </xdr:cNvPr>
        <xdr:cNvSpPr>
          <a:spLocks noChangeAspect="1" noChangeArrowheads="1"/>
        </xdr:cNvSpPr>
      </xdr:nvSpPr>
      <xdr:spPr bwMode="auto">
        <a:xfrm>
          <a:off x="46110525" y="169945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39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F150000}"/>
            </a:ext>
          </a:extLst>
        </xdr:cNvPr>
        <xdr:cNvSpPr>
          <a:spLocks noChangeAspect="1" noChangeArrowheads="1"/>
        </xdr:cNvSpPr>
      </xdr:nvSpPr>
      <xdr:spPr bwMode="auto">
        <a:xfrm>
          <a:off x="46110525" y="170240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39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0150000}"/>
            </a:ext>
          </a:extLst>
        </xdr:cNvPr>
        <xdr:cNvSpPr>
          <a:spLocks noChangeAspect="1" noChangeArrowheads="1"/>
        </xdr:cNvSpPr>
      </xdr:nvSpPr>
      <xdr:spPr bwMode="auto">
        <a:xfrm>
          <a:off x="46110525" y="170240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39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1150000}"/>
            </a:ext>
          </a:extLst>
        </xdr:cNvPr>
        <xdr:cNvSpPr>
          <a:spLocks noChangeAspect="1" noChangeArrowheads="1"/>
        </xdr:cNvSpPr>
      </xdr:nvSpPr>
      <xdr:spPr bwMode="auto">
        <a:xfrm>
          <a:off x="46110525" y="170535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39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2150000}"/>
            </a:ext>
          </a:extLst>
        </xdr:cNvPr>
        <xdr:cNvSpPr>
          <a:spLocks noChangeAspect="1" noChangeArrowheads="1"/>
        </xdr:cNvSpPr>
      </xdr:nvSpPr>
      <xdr:spPr bwMode="auto">
        <a:xfrm>
          <a:off x="46110525" y="170535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39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3150000}"/>
            </a:ext>
          </a:extLst>
        </xdr:cNvPr>
        <xdr:cNvSpPr>
          <a:spLocks noChangeAspect="1" noChangeArrowheads="1"/>
        </xdr:cNvSpPr>
      </xdr:nvSpPr>
      <xdr:spPr bwMode="auto">
        <a:xfrm>
          <a:off x="46110525" y="170830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39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4150000}"/>
            </a:ext>
          </a:extLst>
        </xdr:cNvPr>
        <xdr:cNvSpPr>
          <a:spLocks noChangeAspect="1" noChangeArrowheads="1"/>
        </xdr:cNvSpPr>
      </xdr:nvSpPr>
      <xdr:spPr bwMode="auto">
        <a:xfrm>
          <a:off x="46110525" y="170830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39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5150000}"/>
            </a:ext>
          </a:extLst>
        </xdr:cNvPr>
        <xdr:cNvSpPr>
          <a:spLocks noChangeAspect="1" noChangeArrowheads="1"/>
        </xdr:cNvSpPr>
      </xdr:nvSpPr>
      <xdr:spPr bwMode="auto">
        <a:xfrm>
          <a:off x="46110525" y="171126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39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6150000}"/>
            </a:ext>
          </a:extLst>
        </xdr:cNvPr>
        <xdr:cNvSpPr>
          <a:spLocks noChangeAspect="1" noChangeArrowheads="1"/>
        </xdr:cNvSpPr>
      </xdr:nvSpPr>
      <xdr:spPr bwMode="auto">
        <a:xfrm>
          <a:off x="46110525" y="171126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39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7150000}"/>
            </a:ext>
          </a:extLst>
        </xdr:cNvPr>
        <xdr:cNvSpPr>
          <a:spLocks noChangeAspect="1" noChangeArrowheads="1"/>
        </xdr:cNvSpPr>
      </xdr:nvSpPr>
      <xdr:spPr bwMode="auto">
        <a:xfrm>
          <a:off x="46110525" y="1714214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40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8150000}"/>
            </a:ext>
          </a:extLst>
        </xdr:cNvPr>
        <xdr:cNvSpPr>
          <a:spLocks noChangeAspect="1" noChangeArrowheads="1"/>
        </xdr:cNvSpPr>
      </xdr:nvSpPr>
      <xdr:spPr bwMode="auto">
        <a:xfrm>
          <a:off x="46110525" y="1714214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40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9150000}"/>
            </a:ext>
          </a:extLst>
        </xdr:cNvPr>
        <xdr:cNvSpPr>
          <a:spLocks noChangeAspect="1" noChangeArrowheads="1"/>
        </xdr:cNvSpPr>
      </xdr:nvSpPr>
      <xdr:spPr bwMode="auto">
        <a:xfrm>
          <a:off x="46110525" y="171716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40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A150000}"/>
            </a:ext>
          </a:extLst>
        </xdr:cNvPr>
        <xdr:cNvSpPr>
          <a:spLocks noChangeAspect="1" noChangeArrowheads="1"/>
        </xdr:cNvSpPr>
      </xdr:nvSpPr>
      <xdr:spPr bwMode="auto">
        <a:xfrm>
          <a:off x="46110525" y="171716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40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B150000}"/>
            </a:ext>
          </a:extLst>
        </xdr:cNvPr>
        <xdr:cNvSpPr>
          <a:spLocks noChangeAspect="1" noChangeArrowheads="1"/>
        </xdr:cNvSpPr>
      </xdr:nvSpPr>
      <xdr:spPr bwMode="auto">
        <a:xfrm>
          <a:off x="46110525" y="1720119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40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C150000}"/>
            </a:ext>
          </a:extLst>
        </xdr:cNvPr>
        <xdr:cNvSpPr>
          <a:spLocks noChangeAspect="1" noChangeArrowheads="1"/>
        </xdr:cNvSpPr>
      </xdr:nvSpPr>
      <xdr:spPr bwMode="auto">
        <a:xfrm>
          <a:off x="46110525" y="1720119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40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D150000}"/>
            </a:ext>
          </a:extLst>
        </xdr:cNvPr>
        <xdr:cNvSpPr>
          <a:spLocks noChangeAspect="1" noChangeArrowheads="1"/>
        </xdr:cNvSpPr>
      </xdr:nvSpPr>
      <xdr:spPr bwMode="auto">
        <a:xfrm>
          <a:off x="46110525" y="172307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40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E150000}"/>
            </a:ext>
          </a:extLst>
        </xdr:cNvPr>
        <xdr:cNvSpPr>
          <a:spLocks noChangeAspect="1" noChangeArrowheads="1"/>
        </xdr:cNvSpPr>
      </xdr:nvSpPr>
      <xdr:spPr bwMode="auto">
        <a:xfrm>
          <a:off x="46110525" y="172307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40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F150000}"/>
            </a:ext>
          </a:extLst>
        </xdr:cNvPr>
        <xdr:cNvSpPr>
          <a:spLocks noChangeAspect="1" noChangeArrowheads="1"/>
        </xdr:cNvSpPr>
      </xdr:nvSpPr>
      <xdr:spPr bwMode="auto">
        <a:xfrm>
          <a:off x="46110525" y="172602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40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0150000}"/>
            </a:ext>
          </a:extLst>
        </xdr:cNvPr>
        <xdr:cNvSpPr>
          <a:spLocks noChangeAspect="1" noChangeArrowheads="1"/>
        </xdr:cNvSpPr>
      </xdr:nvSpPr>
      <xdr:spPr bwMode="auto">
        <a:xfrm>
          <a:off x="46110525" y="172602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40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1150000}"/>
            </a:ext>
          </a:extLst>
        </xdr:cNvPr>
        <xdr:cNvSpPr>
          <a:spLocks noChangeAspect="1" noChangeArrowheads="1"/>
        </xdr:cNvSpPr>
      </xdr:nvSpPr>
      <xdr:spPr bwMode="auto">
        <a:xfrm>
          <a:off x="46110525" y="172897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41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2150000}"/>
            </a:ext>
          </a:extLst>
        </xdr:cNvPr>
        <xdr:cNvSpPr>
          <a:spLocks noChangeAspect="1" noChangeArrowheads="1"/>
        </xdr:cNvSpPr>
      </xdr:nvSpPr>
      <xdr:spPr bwMode="auto">
        <a:xfrm>
          <a:off x="46110525" y="172897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41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3150000}"/>
            </a:ext>
          </a:extLst>
        </xdr:cNvPr>
        <xdr:cNvSpPr>
          <a:spLocks noChangeAspect="1" noChangeArrowheads="1"/>
        </xdr:cNvSpPr>
      </xdr:nvSpPr>
      <xdr:spPr bwMode="auto">
        <a:xfrm>
          <a:off x="46110525" y="173193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41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4150000}"/>
            </a:ext>
          </a:extLst>
        </xdr:cNvPr>
        <xdr:cNvSpPr>
          <a:spLocks noChangeAspect="1" noChangeArrowheads="1"/>
        </xdr:cNvSpPr>
      </xdr:nvSpPr>
      <xdr:spPr bwMode="auto">
        <a:xfrm>
          <a:off x="46110525" y="173193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41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5150000}"/>
            </a:ext>
          </a:extLst>
        </xdr:cNvPr>
        <xdr:cNvSpPr>
          <a:spLocks noChangeAspect="1" noChangeArrowheads="1"/>
        </xdr:cNvSpPr>
      </xdr:nvSpPr>
      <xdr:spPr bwMode="auto">
        <a:xfrm>
          <a:off x="46110525" y="173488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41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6150000}"/>
            </a:ext>
          </a:extLst>
        </xdr:cNvPr>
        <xdr:cNvSpPr>
          <a:spLocks noChangeAspect="1" noChangeArrowheads="1"/>
        </xdr:cNvSpPr>
      </xdr:nvSpPr>
      <xdr:spPr bwMode="auto">
        <a:xfrm>
          <a:off x="46110525" y="173488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41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7150000}"/>
            </a:ext>
          </a:extLst>
        </xdr:cNvPr>
        <xdr:cNvSpPr>
          <a:spLocks noChangeAspect="1" noChangeArrowheads="1"/>
        </xdr:cNvSpPr>
      </xdr:nvSpPr>
      <xdr:spPr bwMode="auto">
        <a:xfrm>
          <a:off x="46110525" y="173783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41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8150000}"/>
            </a:ext>
          </a:extLst>
        </xdr:cNvPr>
        <xdr:cNvSpPr>
          <a:spLocks noChangeAspect="1" noChangeArrowheads="1"/>
        </xdr:cNvSpPr>
      </xdr:nvSpPr>
      <xdr:spPr bwMode="auto">
        <a:xfrm>
          <a:off x="46110525" y="173783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41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9150000}"/>
            </a:ext>
          </a:extLst>
        </xdr:cNvPr>
        <xdr:cNvSpPr>
          <a:spLocks noChangeAspect="1" noChangeArrowheads="1"/>
        </xdr:cNvSpPr>
      </xdr:nvSpPr>
      <xdr:spPr bwMode="auto">
        <a:xfrm>
          <a:off x="46110525" y="174078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41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A150000}"/>
            </a:ext>
          </a:extLst>
        </xdr:cNvPr>
        <xdr:cNvSpPr>
          <a:spLocks noChangeAspect="1" noChangeArrowheads="1"/>
        </xdr:cNvSpPr>
      </xdr:nvSpPr>
      <xdr:spPr bwMode="auto">
        <a:xfrm>
          <a:off x="46110525" y="174078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41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B150000}"/>
            </a:ext>
          </a:extLst>
        </xdr:cNvPr>
        <xdr:cNvSpPr>
          <a:spLocks noChangeAspect="1" noChangeArrowheads="1"/>
        </xdr:cNvSpPr>
      </xdr:nvSpPr>
      <xdr:spPr bwMode="auto">
        <a:xfrm>
          <a:off x="46110525" y="1743741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42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C150000}"/>
            </a:ext>
          </a:extLst>
        </xdr:cNvPr>
        <xdr:cNvSpPr>
          <a:spLocks noChangeAspect="1" noChangeArrowheads="1"/>
        </xdr:cNvSpPr>
      </xdr:nvSpPr>
      <xdr:spPr bwMode="auto">
        <a:xfrm>
          <a:off x="46110525" y="1743741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42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D150000}"/>
            </a:ext>
          </a:extLst>
        </xdr:cNvPr>
        <xdr:cNvSpPr>
          <a:spLocks noChangeAspect="1" noChangeArrowheads="1"/>
        </xdr:cNvSpPr>
      </xdr:nvSpPr>
      <xdr:spPr bwMode="auto">
        <a:xfrm>
          <a:off x="46110525" y="174669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42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E150000}"/>
            </a:ext>
          </a:extLst>
        </xdr:cNvPr>
        <xdr:cNvSpPr>
          <a:spLocks noChangeAspect="1" noChangeArrowheads="1"/>
        </xdr:cNvSpPr>
      </xdr:nvSpPr>
      <xdr:spPr bwMode="auto">
        <a:xfrm>
          <a:off x="46110525" y="174669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42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F150000}"/>
            </a:ext>
          </a:extLst>
        </xdr:cNvPr>
        <xdr:cNvSpPr>
          <a:spLocks noChangeAspect="1" noChangeArrowheads="1"/>
        </xdr:cNvSpPr>
      </xdr:nvSpPr>
      <xdr:spPr bwMode="auto">
        <a:xfrm>
          <a:off x="46110525" y="1749647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42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0150000}"/>
            </a:ext>
          </a:extLst>
        </xdr:cNvPr>
        <xdr:cNvSpPr>
          <a:spLocks noChangeAspect="1" noChangeArrowheads="1"/>
        </xdr:cNvSpPr>
      </xdr:nvSpPr>
      <xdr:spPr bwMode="auto">
        <a:xfrm>
          <a:off x="46110525" y="1749647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42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1150000}"/>
            </a:ext>
          </a:extLst>
        </xdr:cNvPr>
        <xdr:cNvSpPr>
          <a:spLocks noChangeAspect="1" noChangeArrowheads="1"/>
        </xdr:cNvSpPr>
      </xdr:nvSpPr>
      <xdr:spPr bwMode="auto">
        <a:xfrm>
          <a:off x="46110525" y="17526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42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2150000}"/>
            </a:ext>
          </a:extLst>
        </xdr:cNvPr>
        <xdr:cNvSpPr>
          <a:spLocks noChangeAspect="1" noChangeArrowheads="1"/>
        </xdr:cNvSpPr>
      </xdr:nvSpPr>
      <xdr:spPr bwMode="auto">
        <a:xfrm>
          <a:off x="46110525" y="17526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42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3150000}"/>
            </a:ext>
          </a:extLst>
        </xdr:cNvPr>
        <xdr:cNvSpPr>
          <a:spLocks noChangeAspect="1" noChangeArrowheads="1"/>
        </xdr:cNvSpPr>
      </xdr:nvSpPr>
      <xdr:spPr bwMode="auto">
        <a:xfrm>
          <a:off x="46110525" y="1755552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42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4150000}"/>
            </a:ext>
          </a:extLst>
        </xdr:cNvPr>
        <xdr:cNvSpPr>
          <a:spLocks noChangeAspect="1" noChangeArrowheads="1"/>
        </xdr:cNvSpPr>
      </xdr:nvSpPr>
      <xdr:spPr bwMode="auto">
        <a:xfrm>
          <a:off x="46110525" y="1755552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42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5150000}"/>
            </a:ext>
          </a:extLst>
        </xdr:cNvPr>
        <xdr:cNvSpPr>
          <a:spLocks noChangeAspect="1" noChangeArrowheads="1"/>
        </xdr:cNvSpPr>
      </xdr:nvSpPr>
      <xdr:spPr bwMode="auto">
        <a:xfrm>
          <a:off x="46110525" y="175850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43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6150000}"/>
            </a:ext>
          </a:extLst>
        </xdr:cNvPr>
        <xdr:cNvSpPr>
          <a:spLocks noChangeAspect="1" noChangeArrowheads="1"/>
        </xdr:cNvSpPr>
      </xdr:nvSpPr>
      <xdr:spPr bwMode="auto">
        <a:xfrm>
          <a:off x="46110525" y="175850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43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7150000}"/>
            </a:ext>
          </a:extLst>
        </xdr:cNvPr>
        <xdr:cNvSpPr>
          <a:spLocks noChangeAspect="1" noChangeArrowheads="1"/>
        </xdr:cNvSpPr>
      </xdr:nvSpPr>
      <xdr:spPr bwMode="auto">
        <a:xfrm>
          <a:off x="46110525" y="176145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43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8150000}"/>
            </a:ext>
          </a:extLst>
        </xdr:cNvPr>
        <xdr:cNvSpPr>
          <a:spLocks noChangeAspect="1" noChangeArrowheads="1"/>
        </xdr:cNvSpPr>
      </xdr:nvSpPr>
      <xdr:spPr bwMode="auto">
        <a:xfrm>
          <a:off x="46110525" y="176145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43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9150000}"/>
            </a:ext>
          </a:extLst>
        </xdr:cNvPr>
        <xdr:cNvSpPr>
          <a:spLocks noChangeAspect="1" noChangeArrowheads="1"/>
        </xdr:cNvSpPr>
      </xdr:nvSpPr>
      <xdr:spPr bwMode="auto">
        <a:xfrm>
          <a:off x="46110525" y="176441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43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A150000}"/>
            </a:ext>
          </a:extLst>
        </xdr:cNvPr>
        <xdr:cNvSpPr>
          <a:spLocks noChangeAspect="1" noChangeArrowheads="1"/>
        </xdr:cNvSpPr>
      </xdr:nvSpPr>
      <xdr:spPr bwMode="auto">
        <a:xfrm>
          <a:off x="46110525" y="176441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43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B150000}"/>
            </a:ext>
          </a:extLst>
        </xdr:cNvPr>
        <xdr:cNvSpPr>
          <a:spLocks noChangeAspect="1" noChangeArrowheads="1"/>
        </xdr:cNvSpPr>
      </xdr:nvSpPr>
      <xdr:spPr bwMode="auto">
        <a:xfrm>
          <a:off x="46110525" y="176736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43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C150000}"/>
            </a:ext>
          </a:extLst>
        </xdr:cNvPr>
        <xdr:cNvSpPr>
          <a:spLocks noChangeAspect="1" noChangeArrowheads="1"/>
        </xdr:cNvSpPr>
      </xdr:nvSpPr>
      <xdr:spPr bwMode="auto">
        <a:xfrm>
          <a:off x="46110525" y="176736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43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D150000}"/>
            </a:ext>
          </a:extLst>
        </xdr:cNvPr>
        <xdr:cNvSpPr>
          <a:spLocks noChangeAspect="1" noChangeArrowheads="1"/>
        </xdr:cNvSpPr>
      </xdr:nvSpPr>
      <xdr:spPr bwMode="auto">
        <a:xfrm>
          <a:off x="46110525" y="177031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43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E150000}"/>
            </a:ext>
          </a:extLst>
        </xdr:cNvPr>
        <xdr:cNvSpPr>
          <a:spLocks noChangeAspect="1" noChangeArrowheads="1"/>
        </xdr:cNvSpPr>
      </xdr:nvSpPr>
      <xdr:spPr bwMode="auto">
        <a:xfrm>
          <a:off x="46110525" y="177031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43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F150000}"/>
            </a:ext>
          </a:extLst>
        </xdr:cNvPr>
        <xdr:cNvSpPr>
          <a:spLocks noChangeAspect="1" noChangeArrowheads="1"/>
        </xdr:cNvSpPr>
      </xdr:nvSpPr>
      <xdr:spPr bwMode="auto">
        <a:xfrm>
          <a:off x="46110525" y="1773269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44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0150000}"/>
            </a:ext>
          </a:extLst>
        </xdr:cNvPr>
        <xdr:cNvSpPr>
          <a:spLocks noChangeAspect="1" noChangeArrowheads="1"/>
        </xdr:cNvSpPr>
      </xdr:nvSpPr>
      <xdr:spPr bwMode="auto">
        <a:xfrm>
          <a:off x="46110525" y="1773269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44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1150000}"/>
            </a:ext>
          </a:extLst>
        </xdr:cNvPr>
        <xdr:cNvSpPr>
          <a:spLocks noChangeAspect="1" noChangeArrowheads="1"/>
        </xdr:cNvSpPr>
      </xdr:nvSpPr>
      <xdr:spPr bwMode="auto">
        <a:xfrm>
          <a:off x="46110525" y="177622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44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2150000}"/>
            </a:ext>
          </a:extLst>
        </xdr:cNvPr>
        <xdr:cNvSpPr>
          <a:spLocks noChangeAspect="1" noChangeArrowheads="1"/>
        </xdr:cNvSpPr>
      </xdr:nvSpPr>
      <xdr:spPr bwMode="auto">
        <a:xfrm>
          <a:off x="46110525" y="177622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44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3150000}"/>
            </a:ext>
          </a:extLst>
        </xdr:cNvPr>
        <xdr:cNvSpPr>
          <a:spLocks noChangeAspect="1" noChangeArrowheads="1"/>
        </xdr:cNvSpPr>
      </xdr:nvSpPr>
      <xdr:spPr bwMode="auto">
        <a:xfrm>
          <a:off x="46110525" y="1779174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44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4150000}"/>
            </a:ext>
          </a:extLst>
        </xdr:cNvPr>
        <xdr:cNvSpPr>
          <a:spLocks noChangeAspect="1" noChangeArrowheads="1"/>
        </xdr:cNvSpPr>
      </xdr:nvSpPr>
      <xdr:spPr bwMode="auto">
        <a:xfrm>
          <a:off x="46110525" y="1779174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44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5150000}"/>
            </a:ext>
          </a:extLst>
        </xdr:cNvPr>
        <xdr:cNvSpPr>
          <a:spLocks noChangeAspect="1" noChangeArrowheads="1"/>
        </xdr:cNvSpPr>
      </xdr:nvSpPr>
      <xdr:spPr bwMode="auto">
        <a:xfrm>
          <a:off x="46110525" y="178212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44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6150000}"/>
            </a:ext>
          </a:extLst>
        </xdr:cNvPr>
        <xdr:cNvSpPr>
          <a:spLocks noChangeAspect="1" noChangeArrowheads="1"/>
        </xdr:cNvSpPr>
      </xdr:nvSpPr>
      <xdr:spPr bwMode="auto">
        <a:xfrm>
          <a:off x="46110525" y="178212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44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7150000}"/>
            </a:ext>
          </a:extLst>
        </xdr:cNvPr>
        <xdr:cNvSpPr>
          <a:spLocks noChangeAspect="1" noChangeArrowheads="1"/>
        </xdr:cNvSpPr>
      </xdr:nvSpPr>
      <xdr:spPr bwMode="auto">
        <a:xfrm>
          <a:off x="46110525" y="178508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44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8150000}"/>
            </a:ext>
          </a:extLst>
        </xdr:cNvPr>
        <xdr:cNvSpPr>
          <a:spLocks noChangeAspect="1" noChangeArrowheads="1"/>
        </xdr:cNvSpPr>
      </xdr:nvSpPr>
      <xdr:spPr bwMode="auto">
        <a:xfrm>
          <a:off x="46110525" y="178508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44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9150000}"/>
            </a:ext>
          </a:extLst>
        </xdr:cNvPr>
        <xdr:cNvSpPr>
          <a:spLocks noChangeAspect="1" noChangeArrowheads="1"/>
        </xdr:cNvSpPr>
      </xdr:nvSpPr>
      <xdr:spPr bwMode="auto">
        <a:xfrm>
          <a:off x="46110525" y="178803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45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A150000}"/>
            </a:ext>
          </a:extLst>
        </xdr:cNvPr>
        <xdr:cNvSpPr>
          <a:spLocks noChangeAspect="1" noChangeArrowheads="1"/>
        </xdr:cNvSpPr>
      </xdr:nvSpPr>
      <xdr:spPr bwMode="auto">
        <a:xfrm>
          <a:off x="46110525" y="178803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45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B150000}"/>
            </a:ext>
          </a:extLst>
        </xdr:cNvPr>
        <xdr:cNvSpPr>
          <a:spLocks noChangeAspect="1" noChangeArrowheads="1"/>
        </xdr:cNvSpPr>
      </xdr:nvSpPr>
      <xdr:spPr bwMode="auto">
        <a:xfrm>
          <a:off x="46110525" y="179098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45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C150000}"/>
            </a:ext>
          </a:extLst>
        </xdr:cNvPr>
        <xdr:cNvSpPr>
          <a:spLocks noChangeAspect="1" noChangeArrowheads="1"/>
        </xdr:cNvSpPr>
      </xdr:nvSpPr>
      <xdr:spPr bwMode="auto">
        <a:xfrm>
          <a:off x="46110525" y="179098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45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D150000}"/>
            </a:ext>
          </a:extLst>
        </xdr:cNvPr>
        <xdr:cNvSpPr>
          <a:spLocks noChangeAspect="1" noChangeArrowheads="1"/>
        </xdr:cNvSpPr>
      </xdr:nvSpPr>
      <xdr:spPr bwMode="auto">
        <a:xfrm>
          <a:off x="46110525" y="179393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45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E150000}"/>
            </a:ext>
          </a:extLst>
        </xdr:cNvPr>
        <xdr:cNvSpPr>
          <a:spLocks noChangeAspect="1" noChangeArrowheads="1"/>
        </xdr:cNvSpPr>
      </xdr:nvSpPr>
      <xdr:spPr bwMode="auto">
        <a:xfrm>
          <a:off x="46110525" y="179393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45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F150000}"/>
            </a:ext>
          </a:extLst>
        </xdr:cNvPr>
        <xdr:cNvSpPr>
          <a:spLocks noChangeAspect="1" noChangeArrowheads="1"/>
        </xdr:cNvSpPr>
      </xdr:nvSpPr>
      <xdr:spPr bwMode="auto">
        <a:xfrm>
          <a:off x="46110525" y="1796891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45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0150000}"/>
            </a:ext>
          </a:extLst>
        </xdr:cNvPr>
        <xdr:cNvSpPr>
          <a:spLocks noChangeAspect="1" noChangeArrowheads="1"/>
        </xdr:cNvSpPr>
      </xdr:nvSpPr>
      <xdr:spPr bwMode="auto">
        <a:xfrm>
          <a:off x="46110525" y="1796891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45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1150000}"/>
            </a:ext>
          </a:extLst>
        </xdr:cNvPr>
        <xdr:cNvSpPr>
          <a:spLocks noChangeAspect="1" noChangeArrowheads="1"/>
        </xdr:cNvSpPr>
      </xdr:nvSpPr>
      <xdr:spPr bwMode="auto">
        <a:xfrm>
          <a:off x="46110525" y="179984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45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2150000}"/>
            </a:ext>
          </a:extLst>
        </xdr:cNvPr>
        <xdr:cNvSpPr>
          <a:spLocks noChangeAspect="1" noChangeArrowheads="1"/>
        </xdr:cNvSpPr>
      </xdr:nvSpPr>
      <xdr:spPr bwMode="auto">
        <a:xfrm>
          <a:off x="46110525" y="179984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45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3150000}"/>
            </a:ext>
          </a:extLst>
        </xdr:cNvPr>
        <xdr:cNvSpPr>
          <a:spLocks noChangeAspect="1" noChangeArrowheads="1"/>
        </xdr:cNvSpPr>
      </xdr:nvSpPr>
      <xdr:spPr bwMode="auto">
        <a:xfrm>
          <a:off x="46110525" y="1802796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46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4150000}"/>
            </a:ext>
          </a:extLst>
        </xdr:cNvPr>
        <xdr:cNvSpPr>
          <a:spLocks noChangeAspect="1" noChangeArrowheads="1"/>
        </xdr:cNvSpPr>
      </xdr:nvSpPr>
      <xdr:spPr bwMode="auto">
        <a:xfrm>
          <a:off x="46110525" y="1802796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46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5150000}"/>
            </a:ext>
          </a:extLst>
        </xdr:cNvPr>
        <xdr:cNvSpPr>
          <a:spLocks noChangeAspect="1" noChangeArrowheads="1"/>
        </xdr:cNvSpPr>
      </xdr:nvSpPr>
      <xdr:spPr bwMode="auto">
        <a:xfrm>
          <a:off x="46110525" y="180574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46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6150000}"/>
            </a:ext>
          </a:extLst>
        </xdr:cNvPr>
        <xdr:cNvSpPr>
          <a:spLocks noChangeAspect="1" noChangeArrowheads="1"/>
        </xdr:cNvSpPr>
      </xdr:nvSpPr>
      <xdr:spPr bwMode="auto">
        <a:xfrm>
          <a:off x="46110525" y="180574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46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7150000}"/>
            </a:ext>
          </a:extLst>
        </xdr:cNvPr>
        <xdr:cNvSpPr>
          <a:spLocks noChangeAspect="1" noChangeArrowheads="1"/>
        </xdr:cNvSpPr>
      </xdr:nvSpPr>
      <xdr:spPr bwMode="auto">
        <a:xfrm>
          <a:off x="46110525" y="180870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46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8150000}"/>
            </a:ext>
          </a:extLst>
        </xdr:cNvPr>
        <xdr:cNvSpPr>
          <a:spLocks noChangeAspect="1" noChangeArrowheads="1"/>
        </xdr:cNvSpPr>
      </xdr:nvSpPr>
      <xdr:spPr bwMode="auto">
        <a:xfrm>
          <a:off x="46110525" y="180870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46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9150000}"/>
            </a:ext>
          </a:extLst>
        </xdr:cNvPr>
        <xdr:cNvSpPr>
          <a:spLocks noChangeAspect="1" noChangeArrowheads="1"/>
        </xdr:cNvSpPr>
      </xdr:nvSpPr>
      <xdr:spPr bwMode="auto">
        <a:xfrm>
          <a:off x="46110525" y="180870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46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A150000}"/>
            </a:ext>
          </a:extLst>
        </xdr:cNvPr>
        <xdr:cNvSpPr>
          <a:spLocks noChangeAspect="1" noChangeArrowheads="1"/>
        </xdr:cNvSpPr>
      </xdr:nvSpPr>
      <xdr:spPr bwMode="auto">
        <a:xfrm>
          <a:off x="46110525" y="180870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46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B150000}"/>
            </a:ext>
          </a:extLst>
        </xdr:cNvPr>
        <xdr:cNvSpPr>
          <a:spLocks noChangeAspect="1" noChangeArrowheads="1"/>
        </xdr:cNvSpPr>
      </xdr:nvSpPr>
      <xdr:spPr bwMode="auto">
        <a:xfrm>
          <a:off x="46110525" y="181165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46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C150000}"/>
            </a:ext>
          </a:extLst>
        </xdr:cNvPr>
        <xdr:cNvSpPr>
          <a:spLocks noChangeAspect="1" noChangeArrowheads="1"/>
        </xdr:cNvSpPr>
      </xdr:nvSpPr>
      <xdr:spPr bwMode="auto">
        <a:xfrm>
          <a:off x="46110525" y="181165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46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D150000}"/>
            </a:ext>
          </a:extLst>
        </xdr:cNvPr>
        <xdr:cNvSpPr>
          <a:spLocks noChangeAspect="1" noChangeArrowheads="1"/>
        </xdr:cNvSpPr>
      </xdr:nvSpPr>
      <xdr:spPr bwMode="auto">
        <a:xfrm>
          <a:off x="46110525" y="1814607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47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E150000}"/>
            </a:ext>
          </a:extLst>
        </xdr:cNvPr>
        <xdr:cNvSpPr>
          <a:spLocks noChangeAspect="1" noChangeArrowheads="1"/>
        </xdr:cNvSpPr>
      </xdr:nvSpPr>
      <xdr:spPr bwMode="auto">
        <a:xfrm>
          <a:off x="46110525" y="1814607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47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F150000}"/>
            </a:ext>
          </a:extLst>
        </xdr:cNvPr>
        <xdr:cNvSpPr>
          <a:spLocks noChangeAspect="1" noChangeArrowheads="1"/>
        </xdr:cNvSpPr>
      </xdr:nvSpPr>
      <xdr:spPr bwMode="auto">
        <a:xfrm>
          <a:off x="46110525" y="181756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47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0150000}"/>
            </a:ext>
          </a:extLst>
        </xdr:cNvPr>
        <xdr:cNvSpPr>
          <a:spLocks noChangeAspect="1" noChangeArrowheads="1"/>
        </xdr:cNvSpPr>
      </xdr:nvSpPr>
      <xdr:spPr bwMode="auto">
        <a:xfrm>
          <a:off x="46110525" y="181756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47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1150000}"/>
            </a:ext>
          </a:extLst>
        </xdr:cNvPr>
        <xdr:cNvSpPr>
          <a:spLocks noChangeAspect="1" noChangeArrowheads="1"/>
        </xdr:cNvSpPr>
      </xdr:nvSpPr>
      <xdr:spPr bwMode="auto">
        <a:xfrm>
          <a:off x="46110525" y="182051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47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2150000}"/>
            </a:ext>
          </a:extLst>
        </xdr:cNvPr>
        <xdr:cNvSpPr>
          <a:spLocks noChangeAspect="1" noChangeArrowheads="1"/>
        </xdr:cNvSpPr>
      </xdr:nvSpPr>
      <xdr:spPr bwMode="auto">
        <a:xfrm>
          <a:off x="46110525" y="182051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47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3150000}"/>
            </a:ext>
          </a:extLst>
        </xdr:cNvPr>
        <xdr:cNvSpPr>
          <a:spLocks noChangeAspect="1" noChangeArrowheads="1"/>
        </xdr:cNvSpPr>
      </xdr:nvSpPr>
      <xdr:spPr bwMode="auto">
        <a:xfrm>
          <a:off x="46110525" y="182346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47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4150000}"/>
            </a:ext>
          </a:extLst>
        </xdr:cNvPr>
        <xdr:cNvSpPr>
          <a:spLocks noChangeAspect="1" noChangeArrowheads="1"/>
        </xdr:cNvSpPr>
      </xdr:nvSpPr>
      <xdr:spPr bwMode="auto">
        <a:xfrm>
          <a:off x="46110525" y="182346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47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5150000}"/>
            </a:ext>
          </a:extLst>
        </xdr:cNvPr>
        <xdr:cNvSpPr>
          <a:spLocks noChangeAspect="1" noChangeArrowheads="1"/>
        </xdr:cNvSpPr>
      </xdr:nvSpPr>
      <xdr:spPr bwMode="auto">
        <a:xfrm>
          <a:off x="46110525" y="182641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47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6150000}"/>
            </a:ext>
          </a:extLst>
        </xdr:cNvPr>
        <xdr:cNvSpPr>
          <a:spLocks noChangeAspect="1" noChangeArrowheads="1"/>
        </xdr:cNvSpPr>
      </xdr:nvSpPr>
      <xdr:spPr bwMode="auto">
        <a:xfrm>
          <a:off x="46110525" y="182641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47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7150000}"/>
            </a:ext>
          </a:extLst>
        </xdr:cNvPr>
        <xdr:cNvSpPr>
          <a:spLocks noChangeAspect="1" noChangeArrowheads="1"/>
        </xdr:cNvSpPr>
      </xdr:nvSpPr>
      <xdr:spPr bwMode="auto">
        <a:xfrm>
          <a:off x="46110525" y="182937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48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8150000}"/>
            </a:ext>
          </a:extLst>
        </xdr:cNvPr>
        <xdr:cNvSpPr>
          <a:spLocks noChangeAspect="1" noChangeArrowheads="1"/>
        </xdr:cNvSpPr>
      </xdr:nvSpPr>
      <xdr:spPr bwMode="auto">
        <a:xfrm>
          <a:off x="46110525" y="182937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48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9150000}"/>
            </a:ext>
          </a:extLst>
        </xdr:cNvPr>
        <xdr:cNvSpPr>
          <a:spLocks noChangeAspect="1" noChangeArrowheads="1"/>
        </xdr:cNvSpPr>
      </xdr:nvSpPr>
      <xdr:spPr bwMode="auto">
        <a:xfrm>
          <a:off x="46110525" y="1832324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48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A150000}"/>
            </a:ext>
          </a:extLst>
        </xdr:cNvPr>
        <xdr:cNvSpPr>
          <a:spLocks noChangeAspect="1" noChangeArrowheads="1"/>
        </xdr:cNvSpPr>
      </xdr:nvSpPr>
      <xdr:spPr bwMode="auto">
        <a:xfrm>
          <a:off x="46110525" y="1832324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48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B150000}"/>
            </a:ext>
          </a:extLst>
        </xdr:cNvPr>
        <xdr:cNvSpPr>
          <a:spLocks noChangeAspect="1" noChangeArrowheads="1"/>
        </xdr:cNvSpPr>
      </xdr:nvSpPr>
      <xdr:spPr bwMode="auto">
        <a:xfrm>
          <a:off x="46110525" y="1835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48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C150000}"/>
            </a:ext>
          </a:extLst>
        </xdr:cNvPr>
        <xdr:cNvSpPr>
          <a:spLocks noChangeAspect="1" noChangeArrowheads="1"/>
        </xdr:cNvSpPr>
      </xdr:nvSpPr>
      <xdr:spPr bwMode="auto">
        <a:xfrm>
          <a:off x="46110525" y="18352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48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D150000}"/>
            </a:ext>
          </a:extLst>
        </xdr:cNvPr>
        <xdr:cNvSpPr>
          <a:spLocks noChangeAspect="1" noChangeArrowheads="1"/>
        </xdr:cNvSpPr>
      </xdr:nvSpPr>
      <xdr:spPr bwMode="auto">
        <a:xfrm>
          <a:off x="46110525" y="1838229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48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E150000}"/>
            </a:ext>
          </a:extLst>
        </xdr:cNvPr>
        <xdr:cNvSpPr>
          <a:spLocks noChangeAspect="1" noChangeArrowheads="1"/>
        </xdr:cNvSpPr>
      </xdr:nvSpPr>
      <xdr:spPr bwMode="auto">
        <a:xfrm>
          <a:off x="46110525" y="1838229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48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F150000}"/>
            </a:ext>
          </a:extLst>
        </xdr:cNvPr>
        <xdr:cNvSpPr>
          <a:spLocks noChangeAspect="1" noChangeArrowheads="1"/>
        </xdr:cNvSpPr>
      </xdr:nvSpPr>
      <xdr:spPr bwMode="auto">
        <a:xfrm>
          <a:off x="46110525" y="184118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48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0150000}"/>
            </a:ext>
          </a:extLst>
        </xdr:cNvPr>
        <xdr:cNvSpPr>
          <a:spLocks noChangeAspect="1" noChangeArrowheads="1"/>
        </xdr:cNvSpPr>
      </xdr:nvSpPr>
      <xdr:spPr bwMode="auto">
        <a:xfrm>
          <a:off x="46110525" y="184118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48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1150000}"/>
            </a:ext>
          </a:extLst>
        </xdr:cNvPr>
        <xdr:cNvSpPr>
          <a:spLocks noChangeAspect="1" noChangeArrowheads="1"/>
        </xdr:cNvSpPr>
      </xdr:nvSpPr>
      <xdr:spPr bwMode="auto">
        <a:xfrm>
          <a:off x="46110525" y="184413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49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2150000}"/>
            </a:ext>
          </a:extLst>
        </xdr:cNvPr>
        <xdr:cNvSpPr>
          <a:spLocks noChangeAspect="1" noChangeArrowheads="1"/>
        </xdr:cNvSpPr>
      </xdr:nvSpPr>
      <xdr:spPr bwMode="auto">
        <a:xfrm>
          <a:off x="46110525" y="184413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49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3150000}"/>
            </a:ext>
          </a:extLst>
        </xdr:cNvPr>
        <xdr:cNvSpPr>
          <a:spLocks noChangeAspect="1" noChangeArrowheads="1"/>
        </xdr:cNvSpPr>
      </xdr:nvSpPr>
      <xdr:spPr bwMode="auto">
        <a:xfrm>
          <a:off x="46110525" y="184708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49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4150000}"/>
            </a:ext>
          </a:extLst>
        </xdr:cNvPr>
        <xdr:cNvSpPr>
          <a:spLocks noChangeAspect="1" noChangeArrowheads="1"/>
        </xdr:cNvSpPr>
      </xdr:nvSpPr>
      <xdr:spPr bwMode="auto">
        <a:xfrm>
          <a:off x="46110525" y="184708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49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5150000}"/>
            </a:ext>
          </a:extLst>
        </xdr:cNvPr>
        <xdr:cNvSpPr>
          <a:spLocks noChangeAspect="1" noChangeArrowheads="1"/>
        </xdr:cNvSpPr>
      </xdr:nvSpPr>
      <xdr:spPr bwMode="auto">
        <a:xfrm>
          <a:off x="46110525" y="185004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49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6150000}"/>
            </a:ext>
          </a:extLst>
        </xdr:cNvPr>
        <xdr:cNvSpPr>
          <a:spLocks noChangeAspect="1" noChangeArrowheads="1"/>
        </xdr:cNvSpPr>
      </xdr:nvSpPr>
      <xdr:spPr bwMode="auto">
        <a:xfrm>
          <a:off x="46110525" y="185004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49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7150000}"/>
            </a:ext>
          </a:extLst>
        </xdr:cNvPr>
        <xdr:cNvSpPr>
          <a:spLocks noChangeAspect="1" noChangeArrowheads="1"/>
        </xdr:cNvSpPr>
      </xdr:nvSpPr>
      <xdr:spPr bwMode="auto">
        <a:xfrm>
          <a:off x="46110525" y="185299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49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8150000}"/>
            </a:ext>
          </a:extLst>
        </xdr:cNvPr>
        <xdr:cNvSpPr>
          <a:spLocks noChangeAspect="1" noChangeArrowheads="1"/>
        </xdr:cNvSpPr>
      </xdr:nvSpPr>
      <xdr:spPr bwMode="auto">
        <a:xfrm>
          <a:off x="46110525" y="185299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49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9150000}"/>
            </a:ext>
          </a:extLst>
        </xdr:cNvPr>
        <xdr:cNvSpPr>
          <a:spLocks noChangeAspect="1" noChangeArrowheads="1"/>
        </xdr:cNvSpPr>
      </xdr:nvSpPr>
      <xdr:spPr bwMode="auto">
        <a:xfrm>
          <a:off x="46110525" y="185594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49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A150000}"/>
            </a:ext>
          </a:extLst>
        </xdr:cNvPr>
        <xdr:cNvSpPr>
          <a:spLocks noChangeAspect="1" noChangeArrowheads="1"/>
        </xdr:cNvSpPr>
      </xdr:nvSpPr>
      <xdr:spPr bwMode="auto">
        <a:xfrm>
          <a:off x="46110525" y="185594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49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B150000}"/>
            </a:ext>
          </a:extLst>
        </xdr:cNvPr>
        <xdr:cNvSpPr>
          <a:spLocks noChangeAspect="1" noChangeArrowheads="1"/>
        </xdr:cNvSpPr>
      </xdr:nvSpPr>
      <xdr:spPr bwMode="auto">
        <a:xfrm>
          <a:off x="46110525" y="185889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50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C150000}"/>
            </a:ext>
          </a:extLst>
        </xdr:cNvPr>
        <xdr:cNvSpPr>
          <a:spLocks noChangeAspect="1" noChangeArrowheads="1"/>
        </xdr:cNvSpPr>
      </xdr:nvSpPr>
      <xdr:spPr bwMode="auto">
        <a:xfrm>
          <a:off x="46110525" y="185889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50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D150000}"/>
            </a:ext>
          </a:extLst>
        </xdr:cNvPr>
        <xdr:cNvSpPr>
          <a:spLocks noChangeAspect="1" noChangeArrowheads="1"/>
        </xdr:cNvSpPr>
      </xdr:nvSpPr>
      <xdr:spPr bwMode="auto">
        <a:xfrm>
          <a:off x="46110525" y="1861851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50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E150000}"/>
            </a:ext>
          </a:extLst>
        </xdr:cNvPr>
        <xdr:cNvSpPr>
          <a:spLocks noChangeAspect="1" noChangeArrowheads="1"/>
        </xdr:cNvSpPr>
      </xdr:nvSpPr>
      <xdr:spPr bwMode="auto">
        <a:xfrm>
          <a:off x="46110525" y="1861851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50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F150000}"/>
            </a:ext>
          </a:extLst>
        </xdr:cNvPr>
        <xdr:cNvSpPr>
          <a:spLocks noChangeAspect="1" noChangeArrowheads="1"/>
        </xdr:cNvSpPr>
      </xdr:nvSpPr>
      <xdr:spPr bwMode="auto">
        <a:xfrm>
          <a:off x="46110525" y="186480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50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0150000}"/>
            </a:ext>
          </a:extLst>
        </xdr:cNvPr>
        <xdr:cNvSpPr>
          <a:spLocks noChangeAspect="1" noChangeArrowheads="1"/>
        </xdr:cNvSpPr>
      </xdr:nvSpPr>
      <xdr:spPr bwMode="auto">
        <a:xfrm>
          <a:off x="46110525" y="186480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50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1150000}"/>
            </a:ext>
          </a:extLst>
        </xdr:cNvPr>
        <xdr:cNvSpPr>
          <a:spLocks noChangeAspect="1" noChangeArrowheads="1"/>
        </xdr:cNvSpPr>
      </xdr:nvSpPr>
      <xdr:spPr bwMode="auto">
        <a:xfrm>
          <a:off x="46110525" y="1867757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50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2150000}"/>
            </a:ext>
          </a:extLst>
        </xdr:cNvPr>
        <xdr:cNvSpPr>
          <a:spLocks noChangeAspect="1" noChangeArrowheads="1"/>
        </xdr:cNvSpPr>
      </xdr:nvSpPr>
      <xdr:spPr bwMode="auto">
        <a:xfrm>
          <a:off x="46110525" y="1867757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50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3150000}"/>
            </a:ext>
          </a:extLst>
        </xdr:cNvPr>
        <xdr:cNvSpPr>
          <a:spLocks noChangeAspect="1" noChangeArrowheads="1"/>
        </xdr:cNvSpPr>
      </xdr:nvSpPr>
      <xdr:spPr bwMode="auto">
        <a:xfrm>
          <a:off x="46110525" y="18707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50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4150000}"/>
            </a:ext>
          </a:extLst>
        </xdr:cNvPr>
        <xdr:cNvSpPr>
          <a:spLocks noChangeAspect="1" noChangeArrowheads="1"/>
        </xdr:cNvSpPr>
      </xdr:nvSpPr>
      <xdr:spPr bwMode="auto">
        <a:xfrm>
          <a:off x="46110525" y="18707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50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5150000}"/>
            </a:ext>
          </a:extLst>
        </xdr:cNvPr>
        <xdr:cNvSpPr>
          <a:spLocks noChangeAspect="1" noChangeArrowheads="1"/>
        </xdr:cNvSpPr>
      </xdr:nvSpPr>
      <xdr:spPr bwMode="auto">
        <a:xfrm>
          <a:off x="46110525" y="1873662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51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6150000}"/>
            </a:ext>
          </a:extLst>
        </xdr:cNvPr>
        <xdr:cNvSpPr>
          <a:spLocks noChangeAspect="1" noChangeArrowheads="1"/>
        </xdr:cNvSpPr>
      </xdr:nvSpPr>
      <xdr:spPr bwMode="auto">
        <a:xfrm>
          <a:off x="46110525" y="1873662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51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7150000}"/>
            </a:ext>
          </a:extLst>
        </xdr:cNvPr>
        <xdr:cNvSpPr>
          <a:spLocks noChangeAspect="1" noChangeArrowheads="1"/>
        </xdr:cNvSpPr>
      </xdr:nvSpPr>
      <xdr:spPr bwMode="auto">
        <a:xfrm>
          <a:off x="46110525" y="187661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51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8150000}"/>
            </a:ext>
          </a:extLst>
        </xdr:cNvPr>
        <xdr:cNvSpPr>
          <a:spLocks noChangeAspect="1" noChangeArrowheads="1"/>
        </xdr:cNvSpPr>
      </xdr:nvSpPr>
      <xdr:spPr bwMode="auto">
        <a:xfrm>
          <a:off x="46110525" y="187661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51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9150000}"/>
            </a:ext>
          </a:extLst>
        </xdr:cNvPr>
        <xdr:cNvSpPr>
          <a:spLocks noChangeAspect="1" noChangeArrowheads="1"/>
        </xdr:cNvSpPr>
      </xdr:nvSpPr>
      <xdr:spPr bwMode="auto">
        <a:xfrm>
          <a:off x="46110525" y="187956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51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A150000}"/>
            </a:ext>
          </a:extLst>
        </xdr:cNvPr>
        <xdr:cNvSpPr>
          <a:spLocks noChangeAspect="1" noChangeArrowheads="1"/>
        </xdr:cNvSpPr>
      </xdr:nvSpPr>
      <xdr:spPr bwMode="auto">
        <a:xfrm>
          <a:off x="46110525" y="187956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51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B150000}"/>
            </a:ext>
          </a:extLst>
        </xdr:cNvPr>
        <xdr:cNvSpPr>
          <a:spLocks noChangeAspect="1" noChangeArrowheads="1"/>
        </xdr:cNvSpPr>
      </xdr:nvSpPr>
      <xdr:spPr bwMode="auto">
        <a:xfrm>
          <a:off x="46110525" y="188252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51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C150000}"/>
            </a:ext>
          </a:extLst>
        </xdr:cNvPr>
        <xdr:cNvSpPr>
          <a:spLocks noChangeAspect="1" noChangeArrowheads="1"/>
        </xdr:cNvSpPr>
      </xdr:nvSpPr>
      <xdr:spPr bwMode="auto">
        <a:xfrm>
          <a:off x="46110525" y="188252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51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D150000}"/>
            </a:ext>
          </a:extLst>
        </xdr:cNvPr>
        <xdr:cNvSpPr>
          <a:spLocks noChangeAspect="1" noChangeArrowheads="1"/>
        </xdr:cNvSpPr>
      </xdr:nvSpPr>
      <xdr:spPr bwMode="auto">
        <a:xfrm>
          <a:off x="46110525" y="188547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51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E150000}"/>
            </a:ext>
          </a:extLst>
        </xdr:cNvPr>
        <xdr:cNvSpPr>
          <a:spLocks noChangeAspect="1" noChangeArrowheads="1"/>
        </xdr:cNvSpPr>
      </xdr:nvSpPr>
      <xdr:spPr bwMode="auto">
        <a:xfrm>
          <a:off x="46110525" y="188547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51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F150000}"/>
            </a:ext>
          </a:extLst>
        </xdr:cNvPr>
        <xdr:cNvSpPr>
          <a:spLocks noChangeAspect="1" noChangeArrowheads="1"/>
        </xdr:cNvSpPr>
      </xdr:nvSpPr>
      <xdr:spPr bwMode="auto">
        <a:xfrm>
          <a:off x="46110525" y="188842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52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0150000}"/>
            </a:ext>
          </a:extLst>
        </xdr:cNvPr>
        <xdr:cNvSpPr>
          <a:spLocks noChangeAspect="1" noChangeArrowheads="1"/>
        </xdr:cNvSpPr>
      </xdr:nvSpPr>
      <xdr:spPr bwMode="auto">
        <a:xfrm>
          <a:off x="46110525" y="188842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52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1150000}"/>
            </a:ext>
          </a:extLst>
        </xdr:cNvPr>
        <xdr:cNvSpPr>
          <a:spLocks noChangeAspect="1" noChangeArrowheads="1"/>
        </xdr:cNvSpPr>
      </xdr:nvSpPr>
      <xdr:spPr bwMode="auto">
        <a:xfrm>
          <a:off x="46110525" y="1891379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52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2150000}"/>
            </a:ext>
          </a:extLst>
        </xdr:cNvPr>
        <xdr:cNvSpPr>
          <a:spLocks noChangeAspect="1" noChangeArrowheads="1"/>
        </xdr:cNvSpPr>
      </xdr:nvSpPr>
      <xdr:spPr bwMode="auto">
        <a:xfrm>
          <a:off x="46110525" y="1891379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52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3150000}"/>
            </a:ext>
          </a:extLst>
        </xdr:cNvPr>
        <xdr:cNvSpPr>
          <a:spLocks noChangeAspect="1" noChangeArrowheads="1"/>
        </xdr:cNvSpPr>
      </xdr:nvSpPr>
      <xdr:spPr bwMode="auto">
        <a:xfrm>
          <a:off x="46110525" y="189433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52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4150000}"/>
            </a:ext>
          </a:extLst>
        </xdr:cNvPr>
        <xdr:cNvSpPr>
          <a:spLocks noChangeAspect="1" noChangeArrowheads="1"/>
        </xdr:cNvSpPr>
      </xdr:nvSpPr>
      <xdr:spPr bwMode="auto">
        <a:xfrm>
          <a:off x="46110525" y="189433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52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5150000}"/>
            </a:ext>
          </a:extLst>
        </xdr:cNvPr>
        <xdr:cNvSpPr>
          <a:spLocks noChangeAspect="1" noChangeArrowheads="1"/>
        </xdr:cNvSpPr>
      </xdr:nvSpPr>
      <xdr:spPr bwMode="auto">
        <a:xfrm>
          <a:off x="46110525" y="1897284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52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6150000}"/>
            </a:ext>
          </a:extLst>
        </xdr:cNvPr>
        <xdr:cNvSpPr>
          <a:spLocks noChangeAspect="1" noChangeArrowheads="1"/>
        </xdr:cNvSpPr>
      </xdr:nvSpPr>
      <xdr:spPr bwMode="auto">
        <a:xfrm>
          <a:off x="46110525" y="1897284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52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7150000}"/>
            </a:ext>
          </a:extLst>
        </xdr:cNvPr>
        <xdr:cNvSpPr>
          <a:spLocks noChangeAspect="1" noChangeArrowheads="1"/>
        </xdr:cNvSpPr>
      </xdr:nvSpPr>
      <xdr:spPr bwMode="auto">
        <a:xfrm>
          <a:off x="46110525" y="190023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52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8150000}"/>
            </a:ext>
          </a:extLst>
        </xdr:cNvPr>
        <xdr:cNvSpPr>
          <a:spLocks noChangeAspect="1" noChangeArrowheads="1"/>
        </xdr:cNvSpPr>
      </xdr:nvSpPr>
      <xdr:spPr bwMode="auto">
        <a:xfrm>
          <a:off x="46110525" y="190023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52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9150000}"/>
            </a:ext>
          </a:extLst>
        </xdr:cNvPr>
        <xdr:cNvSpPr>
          <a:spLocks noChangeAspect="1" noChangeArrowheads="1"/>
        </xdr:cNvSpPr>
      </xdr:nvSpPr>
      <xdr:spPr bwMode="auto">
        <a:xfrm>
          <a:off x="46110525" y="190319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53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A150000}"/>
            </a:ext>
          </a:extLst>
        </xdr:cNvPr>
        <xdr:cNvSpPr>
          <a:spLocks noChangeAspect="1" noChangeArrowheads="1"/>
        </xdr:cNvSpPr>
      </xdr:nvSpPr>
      <xdr:spPr bwMode="auto">
        <a:xfrm>
          <a:off x="46110525" y="190319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53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B150000}"/>
            </a:ext>
          </a:extLst>
        </xdr:cNvPr>
        <xdr:cNvSpPr>
          <a:spLocks noChangeAspect="1" noChangeArrowheads="1"/>
        </xdr:cNvSpPr>
      </xdr:nvSpPr>
      <xdr:spPr bwMode="auto">
        <a:xfrm>
          <a:off x="46110525" y="190614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53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C150000}"/>
            </a:ext>
          </a:extLst>
        </xdr:cNvPr>
        <xdr:cNvSpPr>
          <a:spLocks noChangeAspect="1" noChangeArrowheads="1"/>
        </xdr:cNvSpPr>
      </xdr:nvSpPr>
      <xdr:spPr bwMode="auto">
        <a:xfrm>
          <a:off x="46110525" y="190614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53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D150000}"/>
            </a:ext>
          </a:extLst>
        </xdr:cNvPr>
        <xdr:cNvSpPr>
          <a:spLocks noChangeAspect="1" noChangeArrowheads="1"/>
        </xdr:cNvSpPr>
      </xdr:nvSpPr>
      <xdr:spPr bwMode="auto">
        <a:xfrm>
          <a:off x="46110525" y="190909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53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E150000}"/>
            </a:ext>
          </a:extLst>
        </xdr:cNvPr>
        <xdr:cNvSpPr>
          <a:spLocks noChangeAspect="1" noChangeArrowheads="1"/>
        </xdr:cNvSpPr>
      </xdr:nvSpPr>
      <xdr:spPr bwMode="auto">
        <a:xfrm>
          <a:off x="46110525" y="190909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53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F150000}"/>
            </a:ext>
          </a:extLst>
        </xdr:cNvPr>
        <xdr:cNvSpPr>
          <a:spLocks noChangeAspect="1" noChangeArrowheads="1"/>
        </xdr:cNvSpPr>
      </xdr:nvSpPr>
      <xdr:spPr bwMode="auto">
        <a:xfrm>
          <a:off x="46110525" y="191204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53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0150000}"/>
            </a:ext>
          </a:extLst>
        </xdr:cNvPr>
        <xdr:cNvSpPr>
          <a:spLocks noChangeAspect="1" noChangeArrowheads="1"/>
        </xdr:cNvSpPr>
      </xdr:nvSpPr>
      <xdr:spPr bwMode="auto">
        <a:xfrm>
          <a:off x="46110525" y="191204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53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1150000}"/>
            </a:ext>
          </a:extLst>
        </xdr:cNvPr>
        <xdr:cNvSpPr>
          <a:spLocks noChangeAspect="1" noChangeArrowheads="1"/>
        </xdr:cNvSpPr>
      </xdr:nvSpPr>
      <xdr:spPr bwMode="auto">
        <a:xfrm>
          <a:off x="46110525" y="1915001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53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2150000}"/>
            </a:ext>
          </a:extLst>
        </xdr:cNvPr>
        <xdr:cNvSpPr>
          <a:spLocks noChangeAspect="1" noChangeArrowheads="1"/>
        </xdr:cNvSpPr>
      </xdr:nvSpPr>
      <xdr:spPr bwMode="auto">
        <a:xfrm>
          <a:off x="46110525" y="1915001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53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3150000}"/>
            </a:ext>
          </a:extLst>
        </xdr:cNvPr>
        <xdr:cNvSpPr>
          <a:spLocks noChangeAspect="1" noChangeArrowheads="1"/>
        </xdr:cNvSpPr>
      </xdr:nvSpPr>
      <xdr:spPr bwMode="auto">
        <a:xfrm>
          <a:off x="46110525" y="191795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54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4150000}"/>
            </a:ext>
          </a:extLst>
        </xdr:cNvPr>
        <xdr:cNvSpPr>
          <a:spLocks noChangeAspect="1" noChangeArrowheads="1"/>
        </xdr:cNvSpPr>
      </xdr:nvSpPr>
      <xdr:spPr bwMode="auto">
        <a:xfrm>
          <a:off x="46110525" y="191795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54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5150000}"/>
            </a:ext>
          </a:extLst>
        </xdr:cNvPr>
        <xdr:cNvSpPr>
          <a:spLocks noChangeAspect="1" noChangeArrowheads="1"/>
        </xdr:cNvSpPr>
      </xdr:nvSpPr>
      <xdr:spPr bwMode="auto">
        <a:xfrm>
          <a:off x="46110525" y="1920906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54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6150000}"/>
            </a:ext>
          </a:extLst>
        </xdr:cNvPr>
        <xdr:cNvSpPr>
          <a:spLocks noChangeAspect="1" noChangeArrowheads="1"/>
        </xdr:cNvSpPr>
      </xdr:nvSpPr>
      <xdr:spPr bwMode="auto">
        <a:xfrm>
          <a:off x="46110525" y="1920906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54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7150000}"/>
            </a:ext>
          </a:extLst>
        </xdr:cNvPr>
        <xdr:cNvSpPr>
          <a:spLocks noChangeAspect="1" noChangeArrowheads="1"/>
        </xdr:cNvSpPr>
      </xdr:nvSpPr>
      <xdr:spPr bwMode="auto">
        <a:xfrm>
          <a:off x="46110525" y="192385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54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8150000}"/>
            </a:ext>
          </a:extLst>
        </xdr:cNvPr>
        <xdr:cNvSpPr>
          <a:spLocks noChangeAspect="1" noChangeArrowheads="1"/>
        </xdr:cNvSpPr>
      </xdr:nvSpPr>
      <xdr:spPr bwMode="auto">
        <a:xfrm>
          <a:off x="46110525" y="192385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54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9150000}"/>
            </a:ext>
          </a:extLst>
        </xdr:cNvPr>
        <xdr:cNvSpPr>
          <a:spLocks noChangeAspect="1" noChangeArrowheads="1"/>
        </xdr:cNvSpPr>
      </xdr:nvSpPr>
      <xdr:spPr bwMode="auto">
        <a:xfrm>
          <a:off x="46110525" y="192681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54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A150000}"/>
            </a:ext>
          </a:extLst>
        </xdr:cNvPr>
        <xdr:cNvSpPr>
          <a:spLocks noChangeAspect="1" noChangeArrowheads="1"/>
        </xdr:cNvSpPr>
      </xdr:nvSpPr>
      <xdr:spPr bwMode="auto">
        <a:xfrm>
          <a:off x="46110525" y="192681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54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B150000}"/>
            </a:ext>
          </a:extLst>
        </xdr:cNvPr>
        <xdr:cNvSpPr>
          <a:spLocks noChangeAspect="1" noChangeArrowheads="1"/>
        </xdr:cNvSpPr>
      </xdr:nvSpPr>
      <xdr:spPr bwMode="auto">
        <a:xfrm>
          <a:off x="46110525" y="19297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54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C150000}"/>
            </a:ext>
          </a:extLst>
        </xdr:cNvPr>
        <xdr:cNvSpPr>
          <a:spLocks noChangeAspect="1" noChangeArrowheads="1"/>
        </xdr:cNvSpPr>
      </xdr:nvSpPr>
      <xdr:spPr bwMode="auto">
        <a:xfrm>
          <a:off x="46110525" y="192976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54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D150000}"/>
            </a:ext>
          </a:extLst>
        </xdr:cNvPr>
        <xdr:cNvSpPr>
          <a:spLocks noChangeAspect="1" noChangeArrowheads="1"/>
        </xdr:cNvSpPr>
      </xdr:nvSpPr>
      <xdr:spPr bwMode="auto">
        <a:xfrm>
          <a:off x="46110525" y="1932717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55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E150000}"/>
            </a:ext>
          </a:extLst>
        </xdr:cNvPr>
        <xdr:cNvSpPr>
          <a:spLocks noChangeAspect="1" noChangeArrowheads="1"/>
        </xdr:cNvSpPr>
      </xdr:nvSpPr>
      <xdr:spPr bwMode="auto">
        <a:xfrm>
          <a:off x="46110525" y="1932717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55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F150000}"/>
            </a:ext>
          </a:extLst>
        </xdr:cNvPr>
        <xdr:cNvSpPr>
          <a:spLocks noChangeAspect="1" noChangeArrowheads="1"/>
        </xdr:cNvSpPr>
      </xdr:nvSpPr>
      <xdr:spPr bwMode="auto">
        <a:xfrm>
          <a:off x="46110525" y="193567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55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0150000}"/>
            </a:ext>
          </a:extLst>
        </xdr:cNvPr>
        <xdr:cNvSpPr>
          <a:spLocks noChangeAspect="1" noChangeArrowheads="1"/>
        </xdr:cNvSpPr>
      </xdr:nvSpPr>
      <xdr:spPr bwMode="auto">
        <a:xfrm>
          <a:off x="46110525" y="193567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55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1150000}"/>
            </a:ext>
          </a:extLst>
        </xdr:cNvPr>
        <xdr:cNvSpPr>
          <a:spLocks noChangeAspect="1" noChangeArrowheads="1"/>
        </xdr:cNvSpPr>
      </xdr:nvSpPr>
      <xdr:spPr bwMode="auto">
        <a:xfrm>
          <a:off x="46110525" y="193862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55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2150000}"/>
            </a:ext>
          </a:extLst>
        </xdr:cNvPr>
        <xdr:cNvSpPr>
          <a:spLocks noChangeAspect="1" noChangeArrowheads="1"/>
        </xdr:cNvSpPr>
      </xdr:nvSpPr>
      <xdr:spPr bwMode="auto">
        <a:xfrm>
          <a:off x="46110525" y="193862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55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3150000}"/>
            </a:ext>
          </a:extLst>
        </xdr:cNvPr>
        <xdr:cNvSpPr>
          <a:spLocks noChangeAspect="1" noChangeArrowheads="1"/>
        </xdr:cNvSpPr>
      </xdr:nvSpPr>
      <xdr:spPr bwMode="auto">
        <a:xfrm>
          <a:off x="46110525" y="194157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55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4150000}"/>
            </a:ext>
          </a:extLst>
        </xdr:cNvPr>
        <xdr:cNvSpPr>
          <a:spLocks noChangeAspect="1" noChangeArrowheads="1"/>
        </xdr:cNvSpPr>
      </xdr:nvSpPr>
      <xdr:spPr bwMode="auto">
        <a:xfrm>
          <a:off x="46110525" y="194157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55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5150000}"/>
            </a:ext>
          </a:extLst>
        </xdr:cNvPr>
        <xdr:cNvSpPr>
          <a:spLocks noChangeAspect="1" noChangeArrowheads="1"/>
        </xdr:cNvSpPr>
      </xdr:nvSpPr>
      <xdr:spPr bwMode="auto">
        <a:xfrm>
          <a:off x="46110525" y="194452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55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6150000}"/>
            </a:ext>
          </a:extLst>
        </xdr:cNvPr>
        <xdr:cNvSpPr>
          <a:spLocks noChangeAspect="1" noChangeArrowheads="1"/>
        </xdr:cNvSpPr>
      </xdr:nvSpPr>
      <xdr:spPr bwMode="auto">
        <a:xfrm>
          <a:off x="46110525" y="194452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55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7150000}"/>
            </a:ext>
          </a:extLst>
        </xdr:cNvPr>
        <xdr:cNvSpPr>
          <a:spLocks noChangeAspect="1" noChangeArrowheads="1"/>
        </xdr:cNvSpPr>
      </xdr:nvSpPr>
      <xdr:spPr bwMode="auto">
        <a:xfrm>
          <a:off x="46110525" y="194748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56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8150000}"/>
            </a:ext>
          </a:extLst>
        </xdr:cNvPr>
        <xdr:cNvSpPr>
          <a:spLocks noChangeAspect="1" noChangeArrowheads="1"/>
        </xdr:cNvSpPr>
      </xdr:nvSpPr>
      <xdr:spPr bwMode="auto">
        <a:xfrm>
          <a:off x="46110525" y="194748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56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9150000}"/>
            </a:ext>
          </a:extLst>
        </xdr:cNvPr>
        <xdr:cNvSpPr>
          <a:spLocks noChangeAspect="1" noChangeArrowheads="1"/>
        </xdr:cNvSpPr>
      </xdr:nvSpPr>
      <xdr:spPr bwMode="auto">
        <a:xfrm>
          <a:off x="46110525" y="1950434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56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A150000}"/>
            </a:ext>
          </a:extLst>
        </xdr:cNvPr>
        <xdr:cNvSpPr>
          <a:spLocks noChangeAspect="1" noChangeArrowheads="1"/>
        </xdr:cNvSpPr>
      </xdr:nvSpPr>
      <xdr:spPr bwMode="auto">
        <a:xfrm>
          <a:off x="46110525" y="1950434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56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B150000}"/>
            </a:ext>
          </a:extLst>
        </xdr:cNvPr>
        <xdr:cNvSpPr>
          <a:spLocks noChangeAspect="1" noChangeArrowheads="1"/>
        </xdr:cNvSpPr>
      </xdr:nvSpPr>
      <xdr:spPr bwMode="auto">
        <a:xfrm>
          <a:off x="46110525" y="19533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56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C150000}"/>
            </a:ext>
          </a:extLst>
        </xdr:cNvPr>
        <xdr:cNvSpPr>
          <a:spLocks noChangeAspect="1" noChangeArrowheads="1"/>
        </xdr:cNvSpPr>
      </xdr:nvSpPr>
      <xdr:spPr bwMode="auto">
        <a:xfrm>
          <a:off x="46110525" y="195338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56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D150000}"/>
            </a:ext>
          </a:extLst>
        </xdr:cNvPr>
        <xdr:cNvSpPr>
          <a:spLocks noChangeAspect="1" noChangeArrowheads="1"/>
        </xdr:cNvSpPr>
      </xdr:nvSpPr>
      <xdr:spPr bwMode="auto">
        <a:xfrm>
          <a:off x="46110525" y="1956339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56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E150000}"/>
            </a:ext>
          </a:extLst>
        </xdr:cNvPr>
        <xdr:cNvSpPr>
          <a:spLocks noChangeAspect="1" noChangeArrowheads="1"/>
        </xdr:cNvSpPr>
      </xdr:nvSpPr>
      <xdr:spPr bwMode="auto">
        <a:xfrm>
          <a:off x="46110525" y="1956339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56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F150000}"/>
            </a:ext>
          </a:extLst>
        </xdr:cNvPr>
        <xdr:cNvSpPr>
          <a:spLocks noChangeAspect="1" noChangeArrowheads="1"/>
        </xdr:cNvSpPr>
      </xdr:nvSpPr>
      <xdr:spPr bwMode="auto">
        <a:xfrm>
          <a:off x="46110525" y="195929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56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0150000}"/>
            </a:ext>
          </a:extLst>
        </xdr:cNvPr>
        <xdr:cNvSpPr>
          <a:spLocks noChangeAspect="1" noChangeArrowheads="1"/>
        </xdr:cNvSpPr>
      </xdr:nvSpPr>
      <xdr:spPr bwMode="auto">
        <a:xfrm>
          <a:off x="46110525" y="195929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56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1150000}"/>
            </a:ext>
          </a:extLst>
        </xdr:cNvPr>
        <xdr:cNvSpPr>
          <a:spLocks noChangeAspect="1" noChangeArrowheads="1"/>
        </xdr:cNvSpPr>
      </xdr:nvSpPr>
      <xdr:spPr bwMode="auto">
        <a:xfrm>
          <a:off x="46110525" y="196224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57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2150000}"/>
            </a:ext>
          </a:extLst>
        </xdr:cNvPr>
        <xdr:cNvSpPr>
          <a:spLocks noChangeAspect="1" noChangeArrowheads="1"/>
        </xdr:cNvSpPr>
      </xdr:nvSpPr>
      <xdr:spPr bwMode="auto">
        <a:xfrm>
          <a:off x="46110525" y="196224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57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3150000}"/>
            </a:ext>
          </a:extLst>
        </xdr:cNvPr>
        <xdr:cNvSpPr>
          <a:spLocks noChangeAspect="1" noChangeArrowheads="1"/>
        </xdr:cNvSpPr>
      </xdr:nvSpPr>
      <xdr:spPr bwMode="auto">
        <a:xfrm>
          <a:off x="46110525" y="196519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57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4150000}"/>
            </a:ext>
          </a:extLst>
        </xdr:cNvPr>
        <xdr:cNvSpPr>
          <a:spLocks noChangeAspect="1" noChangeArrowheads="1"/>
        </xdr:cNvSpPr>
      </xdr:nvSpPr>
      <xdr:spPr bwMode="auto">
        <a:xfrm>
          <a:off x="46110525" y="196519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57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5150000}"/>
            </a:ext>
          </a:extLst>
        </xdr:cNvPr>
        <xdr:cNvSpPr>
          <a:spLocks noChangeAspect="1" noChangeArrowheads="1"/>
        </xdr:cNvSpPr>
      </xdr:nvSpPr>
      <xdr:spPr bwMode="auto">
        <a:xfrm>
          <a:off x="46110525" y="196815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57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6150000}"/>
            </a:ext>
          </a:extLst>
        </xdr:cNvPr>
        <xdr:cNvSpPr>
          <a:spLocks noChangeAspect="1" noChangeArrowheads="1"/>
        </xdr:cNvSpPr>
      </xdr:nvSpPr>
      <xdr:spPr bwMode="auto">
        <a:xfrm>
          <a:off x="46110525" y="196815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57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7150000}"/>
            </a:ext>
          </a:extLst>
        </xdr:cNvPr>
        <xdr:cNvSpPr>
          <a:spLocks noChangeAspect="1" noChangeArrowheads="1"/>
        </xdr:cNvSpPr>
      </xdr:nvSpPr>
      <xdr:spPr bwMode="auto">
        <a:xfrm>
          <a:off x="46110525" y="197110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57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8150000}"/>
            </a:ext>
          </a:extLst>
        </xdr:cNvPr>
        <xdr:cNvSpPr>
          <a:spLocks noChangeAspect="1" noChangeArrowheads="1"/>
        </xdr:cNvSpPr>
      </xdr:nvSpPr>
      <xdr:spPr bwMode="auto">
        <a:xfrm>
          <a:off x="46110525" y="197110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57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9150000}"/>
            </a:ext>
          </a:extLst>
        </xdr:cNvPr>
        <xdr:cNvSpPr>
          <a:spLocks noChangeAspect="1" noChangeArrowheads="1"/>
        </xdr:cNvSpPr>
      </xdr:nvSpPr>
      <xdr:spPr bwMode="auto">
        <a:xfrm>
          <a:off x="46110525" y="197405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57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A150000}"/>
            </a:ext>
          </a:extLst>
        </xdr:cNvPr>
        <xdr:cNvSpPr>
          <a:spLocks noChangeAspect="1" noChangeArrowheads="1"/>
        </xdr:cNvSpPr>
      </xdr:nvSpPr>
      <xdr:spPr bwMode="auto">
        <a:xfrm>
          <a:off x="46110525" y="197405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57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B150000}"/>
            </a:ext>
          </a:extLst>
        </xdr:cNvPr>
        <xdr:cNvSpPr>
          <a:spLocks noChangeAspect="1" noChangeArrowheads="1"/>
        </xdr:cNvSpPr>
      </xdr:nvSpPr>
      <xdr:spPr bwMode="auto">
        <a:xfrm>
          <a:off x="46110525" y="197700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58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C150000}"/>
            </a:ext>
          </a:extLst>
        </xdr:cNvPr>
        <xdr:cNvSpPr>
          <a:spLocks noChangeAspect="1" noChangeArrowheads="1"/>
        </xdr:cNvSpPr>
      </xdr:nvSpPr>
      <xdr:spPr bwMode="auto">
        <a:xfrm>
          <a:off x="46110525" y="197700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58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D150000}"/>
            </a:ext>
          </a:extLst>
        </xdr:cNvPr>
        <xdr:cNvSpPr>
          <a:spLocks noChangeAspect="1" noChangeArrowheads="1"/>
        </xdr:cNvSpPr>
      </xdr:nvSpPr>
      <xdr:spPr bwMode="auto">
        <a:xfrm>
          <a:off x="46110525" y="1979961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58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E150000}"/>
            </a:ext>
          </a:extLst>
        </xdr:cNvPr>
        <xdr:cNvSpPr>
          <a:spLocks noChangeAspect="1" noChangeArrowheads="1"/>
        </xdr:cNvSpPr>
      </xdr:nvSpPr>
      <xdr:spPr bwMode="auto">
        <a:xfrm>
          <a:off x="46110525" y="1979961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58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F150000}"/>
            </a:ext>
          </a:extLst>
        </xdr:cNvPr>
        <xdr:cNvSpPr>
          <a:spLocks noChangeAspect="1" noChangeArrowheads="1"/>
        </xdr:cNvSpPr>
      </xdr:nvSpPr>
      <xdr:spPr bwMode="auto">
        <a:xfrm>
          <a:off x="46110525" y="198291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58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0150000}"/>
            </a:ext>
          </a:extLst>
        </xdr:cNvPr>
        <xdr:cNvSpPr>
          <a:spLocks noChangeAspect="1" noChangeArrowheads="1"/>
        </xdr:cNvSpPr>
      </xdr:nvSpPr>
      <xdr:spPr bwMode="auto">
        <a:xfrm>
          <a:off x="46110525" y="198291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58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1150000}"/>
            </a:ext>
          </a:extLst>
        </xdr:cNvPr>
        <xdr:cNvSpPr>
          <a:spLocks noChangeAspect="1" noChangeArrowheads="1"/>
        </xdr:cNvSpPr>
      </xdr:nvSpPr>
      <xdr:spPr bwMode="auto">
        <a:xfrm>
          <a:off x="46110525" y="1985867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58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2150000}"/>
            </a:ext>
          </a:extLst>
        </xdr:cNvPr>
        <xdr:cNvSpPr>
          <a:spLocks noChangeAspect="1" noChangeArrowheads="1"/>
        </xdr:cNvSpPr>
      </xdr:nvSpPr>
      <xdr:spPr bwMode="auto">
        <a:xfrm>
          <a:off x="46110525" y="1985867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58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3150000}"/>
            </a:ext>
          </a:extLst>
        </xdr:cNvPr>
        <xdr:cNvSpPr>
          <a:spLocks noChangeAspect="1" noChangeArrowheads="1"/>
        </xdr:cNvSpPr>
      </xdr:nvSpPr>
      <xdr:spPr bwMode="auto">
        <a:xfrm>
          <a:off x="46110525" y="198882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58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4150000}"/>
            </a:ext>
          </a:extLst>
        </xdr:cNvPr>
        <xdr:cNvSpPr>
          <a:spLocks noChangeAspect="1" noChangeArrowheads="1"/>
        </xdr:cNvSpPr>
      </xdr:nvSpPr>
      <xdr:spPr bwMode="auto">
        <a:xfrm>
          <a:off x="46110525" y="198882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58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5150000}"/>
            </a:ext>
          </a:extLst>
        </xdr:cNvPr>
        <xdr:cNvSpPr>
          <a:spLocks noChangeAspect="1" noChangeArrowheads="1"/>
        </xdr:cNvSpPr>
      </xdr:nvSpPr>
      <xdr:spPr bwMode="auto">
        <a:xfrm>
          <a:off x="46110525" y="1991772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59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6150000}"/>
            </a:ext>
          </a:extLst>
        </xdr:cNvPr>
        <xdr:cNvSpPr>
          <a:spLocks noChangeAspect="1" noChangeArrowheads="1"/>
        </xdr:cNvSpPr>
      </xdr:nvSpPr>
      <xdr:spPr bwMode="auto">
        <a:xfrm>
          <a:off x="46110525" y="1991772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59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7150000}"/>
            </a:ext>
          </a:extLst>
        </xdr:cNvPr>
        <xdr:cNvSpPr>
          <a:spLocks noChangeAspect="1" noChangeArrowheads="1"/>
        </xdr:cNvSpPr>
      </xdr:nvSpPr>
      <xdr:spPr bwMode="auto">
        <a:xfrm>
          <a:off x="46110525" y="199472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59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8150000}"/>
            </a:ext>
          </a:extLst>
        </xdr:cNvPr>
        <xdr:cNvSpPr>
          <a:spLocks noChangeAspect="1" noChangeArrowheads="1"/>
        </xdr:cNvSpPr>
      </xdr:nvSpPr>
      <xdr:spPr bwMode="auto">
        <a:xfrm>
          <a:off x="46110525" y="199472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59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9150000}"/>
            </a:ext>
          </a:extLst>
        </xdr:cNvPr>
        <xdr:cNvSpPr>
          <a:spLocks noChangeAspect="1" noChangeArrowheads="1"/>
        </xdr:cNvSpPr>
      </xdr:nvSpPr>
      <xdr:spPr bwMode="auto">
        <a:xfrm>
          <a:off x="46110525" y="199767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59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A150000}"/>
            </a:ext>
          </a:extLst>
        </xdr:cNvPr>
        <xdr:cNvSpPr>
          <a:spLocks noChangeAspect="1" noChangeArrowheads="1"/>
        </xdr:cNvSpPr>
      </xdr:nvSpPr>
      <xdr:spPr bwMode="auto">
        <a:xfrm>
          <a:off x="46110525" y="199767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59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B150000}"/>
            </a:ext>
          </a:extLst>
        </xdr:cNvPr>
        <xdr:cNvSpPr>
          <a:spLocks noChangeAspect="1" noChangeArrowheads="1"/>
        </xdr:cNvSpPr>
      </xdr:nvSpPr>
      <xdr:spPr bwMode="auto">
        <a:xfrm>
          <a:off x="46110525" y="200063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59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C150000}"/>
            </a:ext>
          </a:extLst>
        </xdr:cNvPr>
        <xdr:cNvSpPr>
          <a:spLocks noChangeAspect="1" noChangeArrowheads="1"/>
        </xdr:cNvSpPr>
      </xdr:nvSpPr>
      <xdr:spPr bwMode="auto">
        <a:xfrm>
          <a:off x="46110525" y="200063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59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D150000}"/>
            </a:ext>
          </a:extLst>
        </xdr:cNvPr>
        <xdr:cNvSpPr>
          <a:spLocks noChangeAspect="1" noChangeArrowheads="1"/>
        </xdr:cNvSpPr>
      </xdr:nvSpPr>
      <xdr:spPr bwMode="auto">
        <a:xfrm>
          <a:off x="46110525" y="200358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59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E150000}"/>
            </a:ext>
          </a:extLst>
        </xdr:cNvPr>
        <xdr:cNvSpPr>
          <a:spLocks noChangeAspect="1" noChangeArrowheads="1"/>
        </xdr:cNvSpPr>
      </xdr:nvSpPr>
      <xdr:spPr bwMode="auto">
        <a:xfrm>
          <a:off x="46110525" y="200358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59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F150000}"/>
            </a:ext>
          </a:extLst>
        </xdr:cNvPr>
        <xdr:cNvSpPr>
          <a:spLocks noChangeAspect="1" noChangeArrowheads="1"/>
        </xdr:cNvSpPr>
      </xdr:nvSpPr>
      <xdr:spPr bwMode="auto">
        <a:xfrm>
          <a:off x="46110525" y="200653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60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0150000}"/>
            </a:ext>
          </a:extLst>
        </xdr:cNvPr>
        <xdr:cNvSpPr>
          <a:spLocks noChangeAspect="1" noChangeArrowheads="1"/>
        </xdr:cNvSpPr>
      </xdr:nvSpPr>
      <xdr:spPr bwMode="auto">
        <a:xfrm>
          <a:off x="46110525" y="200653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60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1150000}"/>
            </a:ext>
          </a:extLst>
        </xdr:cNvPr>
        <xdr:cNvSpPr>
          <a:spLocks noChangeAspect="1" noChangeArrowheads="1"/>
        </xdr:cNvSpPr>
      </xdr:nvSpPr>
      <xdr:spPr bwMode="auto">
        <a:xfrm>
          <a:off x="46110525" y="2009489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60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2150000}"/>
            </a:ext>
          </a:extLst>
        </xdr:cNvPr>
        <xdr:cNvSpPr>
          <a:spLocks noChangeAspect="1" noChangeArrowheads="1"/>
        </xdr:cNvSpPr>
      </xdr:nvSpPr>
      <xdr:spPr bwMode="auto">
        <a:xfrm>
          <a:off x="46110525" y="2009489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60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3150000}"/>
            </a:ext>
          </a:extLst>
        </xdr:cNvPr>
        <xdr:cNvSpPr>
          <a:spLocks noChangeAspect="1" noChangeArrowheads="1"/>
        </xdr:cNvSpPr>
      </xdr:nvSpPr>
      <xdr:spPr bwMode="auto">
        <a:xfrm>
          <a:off x="46110525" y="201244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60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4150000}"/>
            </a:ext>
          </a:extLst>
        </xdr:cNvPr>
        <xdr:cNvSpPr>
          <a:spLocks noChangeAspect="1" noChangeArrowheads="1"/>
        </xdr:cNvSpPr>
      </xdr:nvSpPr>
      <xdr:spPr bwMode="auto">
        <a:xfrm>
          <a:off x="46110525" y="201244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60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5150000}"/>
            </a:ext>
          </a:extLst>
        </xdr:cNvPr>
        <xdr:cNvSpPr>
          <a:spLocks noChangeAspect="1" noChangeArrowheads="1"/>
        </xdr:cNvSpPr>
      </xdr:nvSpPr>
      <xdr:spPr bwMode="auto">
        <a:xfrm>
          <a:off x="46110525" y="2015394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60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6150000}"/>
            </a:ext>
          </a:extLst>
        </xdr:cNvPr>
        <xdr:cNvSpPr>
          <a:spLocks noChangeAspect="1" noChangeArrowheads="1"/>
        </xdr:cNvSpPr>
      </xdr:nvSpPr>
      <xdr:spPr bwMode="auto">
        <a:xfrm>
          <a:off x="46110525" y="2015394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60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7150000}"/>
            </a:ext>
          </a:extLst>
        </xdr:cNvPr>
        <xdr:cNvSpPr>
          <a:spLocks noChangeAspect="1" noChangeArrowheads="1"/>
        </xdr:cNvSpPr>
      </xdr:nvSpPr>
      <xdr:spPr bwMode="auto">
        <a:xfrm>
          <a:off x="46110525" y="201834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60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8150000}"/>
            </a:ext>
          </a:extLst>
        </xdr:cNvPr>
        <xdr:cNvSpPr>
          <a:spLocks noChangeAspect="1" noChangeArrowheads="1"/>
        </xdr:cNvSpPr>
      </xdr:nvSpPr>
      <xdr:spPr bwMode="auto">
        <a:xfrm>
          <a:off x="46110525" y="201834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60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9150000}"/>
            </a:ext>
          </a:extLst>
        </xdr:cNvPr>
        <xdr:cNvSpPr>
          <a:spLocks noChangeAspect="1" noChangeArrowheads="1"/>
        </xdr:cNvSpPr>
      </xdr:nvSpPr>
      <xdr:spPr bwMode="auto">
        <a:xfrm>
          <a:off x="46110525" y="202130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61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A150000}"/>
            </a:ext>
          </a:extLst>
        </xdr:cNvPr>
        <xdr:cNvSpPr>
          <a:spLocks noChangeAspect="1" noChangeArrowheads="1"/>
        </xdr:cNvSpPr>
      </xdr:nvSpPr>
      <xdr:spPr bwMode="auto">
        <a:xfrm>
          <a:off x="46110525" y="202130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61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B150000}"/>
            </a:ext>
          </a:extLst>
        </xdr:cNvPr>
        <xdr:cNvSpPr>
          <a:spLocks noChangeAspect="1" noChangeArrowheads="1"/>
        </xdr:cNvSpPr>
      </xdr:nvSpPr>
      <xdr:spPr bwMode="auto">
        <a:xfrm>
          <a:off x="46110525" y="202425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61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C150000}"/>
            </a:ext>
          </a:extLst>
        </xdr:cNvPr>
        <xdr:cNvSpPr>
          <a:spLocks noChangeAspect="1" noChangeArrowheads="1"/>
        </xdr:cNvSpPr>
      </xdr:nvSpPr>
      <xdr:spPr bwMode="auto">
        <a:xfrm>
          <a:off x="46110525" y="202425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61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D150000}"/>
            </a:ext>
          </a:extLst>
        </xdr:cNvPr>
        <xdr:cNvSpPr>
          <a:spLocks noChangeAspect="1" noChangeArrowheads="1"/>
        </xdr:cNvSpPr>
      </xdr:nvSpPr>
      <xdr:spPr bwMode="auto">
        <a:xfrm>
          <a:off x="46110525" y="202720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61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E150000}"/>
            </a:ext>
          </a:extLst>
        </xdr:cNvPr>
        <xdr:cNvSpPr>
          <a:spLocks noChangeAspect="1" noChangeArrowheads="1"/>
        </xdr:cNvSpPr>
      </xdr:nvSpPr>
      <xdr:spPr bwMode="auto">
        <a:xfrm>
          <a:off x="46110525" y="202720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61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F150000}"/>
            </a:ext>
          </a:extLst>
        </xdr:cNvPr>
        <xdr:cNvSpPr>
          <a:spLocks noChangeAspect="1" noChangeArrowheads="1"/>
        </xdr:cNvSpPr>
      </xdr:nvSpPr>
      <xdr:spPr bwMode="auto">
        <a:xfrm>
          <a:off x="46110525" y="203015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61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0150000}"/>
            </a:ext>
          </a:extLst>
        </xdr:cNvPr>
        <xdr:cNvSpPr>
          <a:spLocks noChangeAspect="1" noChangeArrowheads="1"/>
        </xdr:cNvSpPr>
      </xdr:nvSpPr>
      <xdr:spPr bwMode="auto">
        <a:xfrm>
          <a:off x="46110525" y="203015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61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1150000}"/>
            </a:ext>
          </a:extLst>
        </xdr:cNvPr>
        <xdr:cNvSpPr>
          <a:spLocks noChangeAspect="1" noChangeArrowheads="1"/>
        </xdr:cNvSpPr>
      </xdr:nvSpPr>
      <xdr:spPr bwMode="auto">
        <a:xfrm>
          <a:off x="46110525" y="2033111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61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2150000}"/>
            </a:ext>
          </a:extLst>
        </xdr:cNvPr>
        <xdr:cNvSpPr>
          <a:spLocks noChangeAspect="1" noChangeArrowheads="1"/>
        </xdr:cNvSpPr>
      </xdr:nvSpPr>
      <xdr:spPr bwMode="auto">
        <a:xfrm>
          <a:off x="46110525" y="2033111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61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3150000}"/>
            </a:ext>
          </a:extLst>
        </xdr:cNvPr>
        <xdr:cNvSpPr>
          <a:spLocks noChangeAspect="1" noChangeArrowheads="1"/>
        </xdr:cNvSpPr>
      </xdr:nvSpPr>
      <xdr:spPr bwMode="auto">
        <a:xfrm>
          <a:off x="46110525" y="203606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62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4150000}"/>
            </a:ext>
          </a:extLst>
        </xdr:cNvPr>
        <xdr:cNvSpPr>
          <a:spLocks noChangeAspect="1" noChangeArrowheads="1"/>
        </xdr:cNvSpPr>
      </xdr:nvSpPr>
      <xdr:spPr bwMode="auto">
        <a:xfrm>
          <a:off x="46110525" y="203606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62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5150000}"/>
            </a:ext>
          </a:extLst>
        </xdr:cNvPr>
        <xdr:cNvSpPr>
          <a:spLocks noChangeAspect="1" noChangeArrowheads="1"/>
        </xdr:cNvSpPr>
      </xdr:nvSpPr>
      <xdr:spPr bwMode="auto">
        <a:xfrm>
          <a:off x="46110525" y="2039016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62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6150000}"/>
            </a:ext>
          </a:extLst>
        </xdr:cNvPr>
        <xdr:cNvSpPr>
          <a:spLocks noChangeAspect="1" noChangeArrowheads="1"/>
        </xdr:cNvSpPr>
      </xdr:nvSpPr>
      <xdr:spPr bwMode="auto">
        <a:xfrm>
          <a:off x="46110525" y="2039016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62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7150000}"/>
            </a:ext>
          </a:extLst>
        </xdr:cNvPr>
        <xdr:cNvSpPr>
          <a:spLocks noChangeAspect="1" noChangeArrowheads="1"/>
        </xdr:cNvSpPr>
      </xdr:nvSpPr>
      <xdr:spPr bwMode="auto">
        <a:xfrm>
          <a:off x="46110525" y="204196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62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8150000}"/>
            </a:ext>
          </a:extLst>
        </xdr:cNvPr>
        <xdr:cNvSpPr>
          <a:spLocks noChangeAspect="1" noChangeArrowheads="1"/>
        </xdr:cNvSpPr>
      </xdr:nvSpPr>
      <xdr:spPr bwMode="auto">
        <a:xfrm>
          <a:off x="46110525" y="204196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62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9150000}"/>
            </a:ext>
          </a:extLst>
        </xdr:cNvPr>
        <xdr:cNvSpPr>
          <a:spLocks noChangeAspect="1" noChangeArrowheads="1"/>
        </xdr:cNvSpPr>
      </xdr:nvSpPr>
      <xdr:spPr bwMode="auto">
        <a:xfrm>
          <a:off x="46110525" y="204492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62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A150000}"/>
            </a:ext>
          </a:extLst>
        </xdr:cNvPr>
        <xdr:cNvSpPr>
          <a:spLocks noChangeAspect="1" noChangeArrowheads="1"/>
        </xdr:cNvSpPr>
      </xdr:nvSpPr>
      <xdr:spPr bwMode="auto">
        <a:xfrm>
          <a:off x="46110525" y="204492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62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B150000}"/>
            </a:ext>
          </a:extLst>
        </xdr:cNvPr>
        <xdr:cNvSpPr>
          <a:spLocks noChangeAspect="1" noChangeArrowheads="1"/>
        </xdr:cNvSpPr>
      </xdr:nvSpPr>
      <xdr:spPr bwMode="auto">
        <a:xfrm>
          <a:off x="46110525" y="20478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62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C150000}"/>
            </a:ext>
          </a:extLst>
        </xdr:cNvPr>
        <xdr:cNvSpPr>
          <a:spLocks noChangeAspect="1" noChangeArrowheads="1"/>
        </xdr:cNvSpPr>
      </xdr:nvSpPr>
      <xdr:spPr bwMode="auto">
        <a:xfrm>
          <a:off x="46110525" y="204787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62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D150000}"/>
            </a:ext>
          </a:extLst>
        </xdr:cNvPr>
        <xdr:cNvSpPr>
          <a:spLocks noChangeAspect="1" noChangeArrowheads="1"/>
        </xdr:cNvSpPr>
      </xdr:nvSpPr>
      <xdr:spPr bwMode="auto">
        <a:xfrm>
          <a:off x="46110525" y="2050827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63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E150000}"/>
            </a:ext>
          </a:extLst>
        </xdr:cNvPr>
        <xdr:cNvSpPr>
          <a:spLocks noChangeAspect="1" noChangeArrowheads="1"/>
        </xdr:cNvSpPr>
      </xdr:nvSpPr>
      <xdr:spPr bwMode="auto">
        <a:xfrm>
          <a:off x="46110525" y="2050827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63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F150000}"/>
            </a:ext>
          </a:extLst>
        </xdr:cNvPr>
        <xdr:cNvSpPr>
          <a:spLocks noChangeAspect="1" noChangeArrowheads="1"/>
        </xdr:cNvSpPr>
      </xdr:nvSpPr>
      <xdr:spPr bwMode="auto">
        <a:xfrm>
          <a:off x="46110525" y="205378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63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0160000}"/>
            </a:ext>
          </a:extLst>
        </xdr:cNvPr>
        <xdr:cNvSpPr>
          <a:spLocks noChangeAspect="1" noChangeArrowheads="1"/>
        </xdr:cNvSpPr>
      </xdr:nvSpPr>
      <xdr:spPr bwMode="auto">
        <a:xfrm>
          <a:off x="46110525" y="205378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63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1160000}"/>
            </a:ext>
          </a:extLst>
        </xdr:cNvPr>
        <xdr:cNvSpPr>
          <a:spLocks noChangeAspect="1" noChangeArrowheads="1"/>
        </xdr:cNvSpPr>
      </xdr:nvSpPr>
      <xdr:spPr bwMode="auto">
        <a:xfrm>
          <a:off x="46110525" y="205673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63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2160000}"/>
            </a:ext>
          </a:extLst>
        </xdr:cNvPr>
        <xdr:cNvSpPr>
          <a:spLocks noChangeAspect="1" noChangeArrowheads="1"/>
        </xdr:cNvSpPr>
      </xdr:nvSpPr>
      <xdr:spPr bwMode="auto">
        <a:xfrm>
          <a:off x="46110525" y="205673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63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3160000}"/>
            </a:ext>
          </a:extLst>
        </xdr:cNvPr>
        <xdr:cNvSpPr>
          <a:spLocks noChangeAspect="1" noChangeArrowheads="1"/>
        </xdr:cNvSpPr>
      </xdr:nvSpPr>
      <xdr:spPr bwMode="auto">
        <a:xfrm>
          <a:off x="46110525" y="205968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63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4160000}"/>
            </a:ext>
          </a:extLst>
        </xdr:cNvPr>
        <xdr:cNvSpPr>
          <a:spLocks noChangeAspect="1" noChangeArrowheads="1"/>
        </xdr:cNvSpPr>
      </xdr:nvSpPr>
      <xdr:spPr bwMode="auto">
        <a:xfrm>
          <a:off x="46110525" y="205968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63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5160000}"/>
            </a:ext>
          </a:extLst>
        </xdr:cNvPr>
        <xdr:cNvSpPr>
          <a:spLocks noChangeAspect="1" noChangeArrowheads="1"/>
        </xdr:cNvSpPr>
      </xdr:nvSpPr>
      <xdr:spPr bwMode="auto">
        <a:xfrm>
          <a:off x="46110525" y="206263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63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6160000}"/>
            </a:ext>
          </a:extLst>
        </xdr:cNvPr>
        <xdr:cNvSpPr>
          <a:spLocks noChangeAspect="1" noChangeArrowheads="1"/>
        </xdr:cNvSpPr>
      </xdr:nvSpPr>
      <xdr:spPr bwMode="auto">
        <a:xfrm>
          <a:off x="46110525" y="206263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63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7160000}"/>
            </a:ext>
          </a:extLst>
        </xdr:cNvPr>
        <xdr:cNvSpPr>
          <a:spLocks noChangeAspect="1" noChangeArrowheads="1"/>
        </xdr:cNvSpPr>
      </xdr:nvSpPr>
      <xdr:spPr bwMode="auto">
        <a:xfrm>
          <a:off x="46110525" y="206559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64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8160000}"/>
            </a:ext>
          </a:extLst>
        </xdr:cNvPr>
        <xdr:cNvSpPr>
          <a:spLocks noChangeAspect="1" noChangeArrowheads="1"/>
        </xdr:cNvSpPr>
      </xdr:nvSpPr>
      <xdr:spPr bwMode="auto">
        <a:xfrm>
          <a:off x="46110525" y="206559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64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9160000}"/>
            </a:ext>
          </a:extLst>
        </xdr:cNvPr>
        <xdr:cNvSpPr>
          <a:spLocks noChangeAspect="1" noChangeArrowheads="1"/>
        </xdr:cNvSpPr>
      </xdr:nvSpPr>
      <xdr:spPr bwMode="auto">
        <a:xfrm>
          <a:off x="46110525" y="2068544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64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A160000}"/>
            </a:ext>
          </a:extLst>
        </xdr:cNvPr>
        <xdr:cNvSpPr>
          <a:spLocks noChangeAspect="1" noChangeArrowheads="1"/>
        </xdr:cNvSpPr>
      </xdr:nvSpPr>
      <xdr:spPr bwMode="auto">
        <a:xfrm>
          <a:off x="46110525" y="2068544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64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B160000}"/>
            </a:ext>
          </a:extLst>
        </xdr:cNvPr>
        <xdr:cNvSpPr>
          <a:spLocks noChangeAspect="1" noChangeArrowheads="1"/>
        </xdr:cNvSpPr>
      </xdr:nvSpPr>
      <xdr:spPr bwMode="auto">
        <a:xfrm>
          <a:off x="46110525" y="20714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64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C160000}"/>
            </a:ext>
          </a:extLst>
        </xdr:cNvPr>
        <xdr:cNvSpPr>
          <a:spLocks noChangeAspect="1" noChangeArrowheads="1"/>
        </xdr:cNvSpPr>
      </xdr:nvSpPr>
      <xdr:spPr bwMode="auto">
        <a:xfrm>
          <a:off x="46110525" y="207149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64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D160000}"/>
            </a:ext>
          </a:extLst>
        </xdr:cNvPr>
        <xdr:cNvSpPr>
          <a:spLocks noChangeAspect="1" noChangeArrowheads="1"/>
        </xdr:cNvSpPr>
      </xdr:nvSpPr>
      <xdr:spPr bwMode="auto">
        <a:xfrm>
          <a:off x="46110525" y="2074449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64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E160000}"/>
            </a:ext>
          </a:extLst>
        </xdr:cNvPr>
        <xdr:cNvSpPr>
          <a:spLocks noChangeAspect="1" noChangeArrowheads="1"/>
        </xdr:cNvSpPr>
      </xdr:nvSpPr>
      <xdr:spPr bwMode="auto">
        <a:xfrm>
          <a:off x="46110525" y="2074449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64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F160000}"/>
            </a:ext>
          </a:extLst>
        </xdr:cNvPr>
        <xdr:cNvSpPr>
          <a:spLocks noChangeAspect="1" noChangeArrowheads="1"/>
        </xdr:cNvSpPr>
      </xdr:nvSpPr>
      <xdr:spPr bwMode="auto">
        <a:xfrm>
          <a:off x="46110525" y="207740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64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0160000}"/>
            </a:ext>
          </a:extLst>
        </xdr:cNvPr>
        <xdr:cNvSpPr>
          <a:spLocks noChangeAspect="1" noChangeArrowheads="1"/>
        </xdr:cNvSpPr>
      </xdr:nvSpPr>
      <xdr:spPr bwMode="auto">
        <a:xfrm>
          <a:off x="46110525" y="207740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64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1160000}"/>
            </a:ext>
          </a:extLst>
        </xdr:cNvPr>
        <xdr:cNvSpPr>
          <a:spLocks noChangeAspect="1" noChangeArrowheads="1"/>
        </xdr:cNvSpPr>
      </xdr:nvSpPr>
      <xdr:spPr bwMode="auto">
        <a:xfrm>
          <a:off x="46110525" y="208035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65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2160000}"/>
            </a:ext>
          </a:extLst>
        </xdr:cNvPr>
        <xdr:cNvSpPr>
          <a:spLocks noChangeAspect="1" noChangeArrowheads="1"/>
        </xdr:cNvSpPr>
      </xdr:nvSpPr>
      <xdr:spPr bwMode="auto">
        <a:xfrm>
          <a:off x="46110525" y="208035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65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3160000}"/>
            </a:ext>
          </a:extLst>
        </xdr:cNvPr>
        <xdr:cNvSpPr>
          <a:spLocks noChangeAspect="1" noChangeArrowheads="1"/>
        </xdr:cNvSpPr>
      </xdr:nvSpPr>
      <xdr:spPr bwMode="auto">
        <a:xfrm>
          <a:off x="46110525" y="208330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65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4160000}"/>
            </a:ext>
          </a:extLst>
        </xdr:cNvPr>
        <xdr:cNvSpPr>
          <a:spLocks noChangeAspect="1" noChangeArrowheads="1"/>
        </xdr:cNvSpPr>
      </xdr:nvSpPr>
      <xdr:spPr bwMode="auto">
        <a:xfrm>
          <a:off x="46110525" y="208330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65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5160000}"/>
            </a:ext>
          </a:extLst>
        </xdr:cNvPr>
        <xdr:cNvSpPr>
          <a:spLocks noChangeAspect="1" noChangeArrowheads="1"/>
        </xdr:cNvSpPr>
      </xdr:nvSpPr>
      <xdr:spPr bwMode="auto">
        <a:xfrm>
          <a:off x="46110525" y="208626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65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6160000}"/>
            </a:ext>
          </a:extLst>
        </xdr:cNvPr>
        <xdr:cNvSpPr>
          <a:spLocks noChangeAspect="1" noChangeArrowheads="1"/>
        </xdr:cNvSpPr>
      </xdr:nvSpPr>
      <xdr:spPr bwMode="auto">
        <a:xfrm>
          <a:off x="46110525" y="208626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65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7160000}"/>
            </a:ext>
          </a:extLst>
        </xdr:cNvPr>
        <xdr:cNvSpPr>
          <a:spLocks noChangeAspect="1" noChangeArrowheads="1"/>
        </xdr:cNvSpPr>
      </xdr:nvSpPr>
      <xdr:spPr bwMode="auto">
        <a:xfrm>
          <a:off x="46110525" y="208921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65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8160000}"/>
            </a:ext>
          </a:extLst>
        </xdr:cNvPr>
        <xdr:cNvSpPr>
          <a:spLocks noChangeAspect="1" noChangeArrowheads="1"/>
        </xdr:cNvSpPr>
      </xdr:nvSpPr>
      <xdr:spPr bwMode="auto">
        <a:xfrm>
          <a:off x="46110525" y="208921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65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9160000}"/>
            </a:ext>
          </a:extLst>
        </xdr:cNvPr>
        <xdr:cNvSpPr>
          <a:spLocks noChangeAspect="1" noChangeArrowheads="1"/>
        </xdr:cNvSpPr>
      </xdr:nvSpPr>
      <xdr:spPr bwMode="auto">
        <a:xfrm>
          <a:off x="46110525" y="209216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65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A160000}"/>
            </a:ext>
          </a:extLst>
        </xdr:cNvPr>
        <xdr:cNvSpPr>
          <a:spLocks noChangeAspect="1" noChangeArrowheads="1"/>
        </xdr:cNvSpPr>
      </xdr:nvSpPr>
      <xdr:spPr bwMode="auto">
        <a:xfrm>
          <a:off x="46110525" y="209216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65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B160000}"/>
            </a:ext>
          </a:extLst>
        </xdr:cNvPr>
        <xdr:cNvSpPr>
          <a:spLocks noChangeAspect="1" noChangeArrowheads="1"/>
        </xdr:cNvSpPr>
      </xdr:nvSpPr>
      <xdr:spPr bwMode="auto">
        <a:xfrm>
          <a:off x="46110525" y="209511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66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C160000}"/>
            </a:ext>
          </a:extLst>
        </xdr:cNvPr>
        <xdr:cNvSpPr>
          <a:spLocks noChangeAspect="1" noChangeArrowheads="1"/>
        </xdr:cNvSpPr>
      </xdr:nvSpPr>
      <xdr:spPr bwMode="auto">
        <a:xfrm>
          <a:off x="46110525" y="209511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66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D160000}"/>
            </a:ext>
          </a:extLst>
        </xdr:cNvPr>
        <xdr:cNvSpPr>
          <a:spLocks noChangeAspect="1" noChangeArrowheads="1"/>
        </xdr:cNvSpPr>
      </xdr:nvSpPr>
      <xdr:spPr bwMode="auto">
        <a:xfrm>
          <a:off x="46110525" y="2098071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66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E160000}"/>
            </a:ext>
          </a:extLst>
        </xdr:cNvPr>
        <xdr:cNvSpPr>
          <a:spLocks noChangeAspect="1" noChangeArrowheads="1"/>
        </xdr:cNvSpPr>
      </xdr:nvSpPr>
      <xdr:spPr bwMode="auto">
        <a:xfrm>
          <a:off x="46110525" y="2098071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66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F160000}"/>
            </a:ext>
          </a:extLst>
        </xdr:cNvPr>
        <xdr:cNvSpPr>
          <a:spLocks noChangeAspect="1" noChangeArrowheads="1"/>
        </xdr:cNvSpPr>
      </xdr:nvSpPr>
      <xdr:spPr bwMode="auto">
        <a:xfrm>
          <a:off x="46110525" y="210102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66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0160000}"/>
            </a:ext>
          </a:extLst>
        </xdr:cNvPr>
        <xdr:cNvSpPr>
          <a:spLocks noChangeAspect="1" noChangeArrowheads="1"/>
        </xdr:cNvSpPr>
      </xdr:nvSpPr>
      <xdr:spPr bwMode="auto">
        <a:xfrm>
          <a:off x="46110525" y="210102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66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1160000}"/>
            </a:ext>
          </a:extLst>
        </xdr:cNvPr>
        <xdr:cNvSpPr>
          <a:spLocks noChangeAspect="1" noChangeArrowheads="1"/>
        </xdr:cNvSpPr>
      </xdr:nvSpPr>
      <xdr:spPr bwMode="auto">
        <a:xfrm>
          <a:off x="46110525" y="2103977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66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2160000}"/>
            </a:ext>
          </a:extLst>
        </xdr:cNvPr>
        <xdr:cNvSpPr>
          <a:spLocks noChangeAspect="1" noChangeArrowheads="1"/>
        </xdr:cNvSpPr>
      </xdr:nvSpPr>
      <xdr:spPr bwMode="auto">
        <a:xfrm>
          <a:off x="46110525" y="2103977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66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3160000}"/>
            </a:ext>
          </a:extLst>
        </xdr:cNvPr>
        <xdr:cNvSpPr>
          <a:spLocks noChangeAspect="1" noChangeArrowheads="1"/>
        </xdr:cNvSpPr>
      </xdr:nvSpPr>
      <xdr:spPr bwMode="auto">
        <a:xfrm>
          <a:off x="46110525" y="210693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66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4160000}"/>
            </a:ext>
          </a:extLst>
        </xdr:cNvPr>
        <xdr:cNvSpPr>
          <a:spLocks noChangeAspect="1" noChangeArrowheads="1"/>
        </xdr:cNvSpPr>
      </xdr:nvSpPr>
      <xdr:spPr bwMode="auto">
        <a:xfrm>
          <a:off x="46110525" y="210693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66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5160000}"/>
            </a:ext>
          </a:extLst>
        </xdr:cNvPr>
        <xdr:cNvSpPr>
          <a:spLocks noChangeAspect="1" noChangeArrowheads="1"/>
        </xdr:cNvSpPr>
      </xdr:nvSpPr>
      <xdr:spPr bwMode="auto">
        <a:xfrm>
          <a:off x="46110525" y="2109882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67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6160000}"/>
            </a:ext>
          </a:extLst>
        </xdr:cNvPr>
        <xdr:cNvSpPr>
          <a:spLocks noChangeAspect="1" noChangeArrowheads="1"/>
        </xdr:cNvSpPr>
      </xdr:nvSpPr>
      <xdr:spPr bwMode="auto">
        <a:xfrm>
          <a:off x="46110525" y="2109882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67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7160000}"/>
            </a:ext>
          </a:extLst>
        </xdr:cNvPr>
        <xdr:cNvSpPr>
          <a:spLocks noChangeAspect="1" noChangeArrowheads="1"/>
        </xdr:cNvSpPr>
      </xdr:nvSpPr>
      <xdr:spPr bwMode="auto">
        <a:xfrm>
          <a:off x="46110525" y="211283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67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8160000}"/>
            </a:ext>
          </a:extLst>
        </xdr:cNvPr>
        <xdr:cNvSpPr>
          <a:spLocks noChangeAspect="1" noChangeArrowheads="1"/>
        </xdr:cNvSpPr>
      </xdr:nvSpPr>
      <xdr:spPr bwMode="auto">
        <a:xfrm>
          <a:off x="46110525" y="211283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67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9160000}"/>
            </a:ext>
          </a:extLst>
        </xdr:cNvPr>
        <xdr:cNvSpPr>
          <a:spLocks noChangeAspect="1" noChangeArrowheads="1"/>
        </xdr:cNvSpPr>
      </xdr:nvSpPr>
      <xdr:spPr bwMode="auto">
        <a:xfrm>
          <a:off x="46110525" y="211578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67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A160000}"/>
            </a:ext>
          </a:extLst>
        </xdr:cNvPr>
        <xdr:cNvSpPr>
          <a:spLocks noChangeAspect="1" noChangeArrowheads="1"/>
        </xdr:cNvSpPr>
      </xdr:nvSpPr>
      <xdr:spPr bwMode="auto">
        <a:xfrm>
          <a:off x="46110525" y="211578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67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B160000}"/>
            </a:ext>
          </a:extLst>
        </xdr:cNvPr>
        <xdr:cNvSpPr>
          <a:spLocks noChangeAspect="1" noChangeArrowheads="1"/>
        </xdr:cNvSpPr>
      </xdr:nvSpPr>
      <xdr:spPr bwMode="auto">
        <a:xfrm>
          <a:off x="46110525" y="211874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67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C160000}"/>
            </a:ext>
          </a:extLst>
        </xdr:cNvPr>
        <xdr:cNvSpPr>
          <a:spLocks noChangeAspect="1" noChangeArrowheads="1"/>
        </xdr:cNvSpPr>
      </xdr:nvSpPr>
      <xdr:spPr bwMode="auto">
        <a:xfrm>
          <a:off x="46110525" y="211874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67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D160000}"/>
            </a:ext>
          </a:extLst>
        </xdr:cNvPr>
        <xdr:cNvSpPr>
          <a:spLocks noChangeAspect="1" noChangeArrowheads="1"/>
        </xdr:cNvSpPr>
      </xdr:nvSpPr>
      <xdr:spPr bwMode="auto">
        <a:xfrm>
          <a:off x="46110525" y="212169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67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E160000}"/>
            </a:ext>
          </a:extLst>
        </xdr:cNvPr>
        <xdr:cNvSpPr>
          <a:spLocks noChangeAspect="1" noChangeArrowheads="1"/>
        </xdr:cNvSpPr>
      </xdr:nvSpPr>
      <xdr:spPr bwMode="auto">
        <a:xfrm>
          <a:off x="46110525" y="212169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67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F160000}"/>
            </a:ext>
          </a:extLst>
        </xdr:cNvPr>
        <xdr:cNvSpPr>
          <a:spLocks noChangeAspect="1" noChangeArrowheads="1"/>
        </xdr:cNvSpPr>
      </xdr:nvSpPr>
      <xdr:spPr bwMode="auto">
        <a:xfrm>
          <a:off x="46110525" y="212464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68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0160000}"/>
            </a:ext>
          </a:extLst>
        </xdr:cNvPr>
        <xdr:cNvSpPr>
          <a:spLocks noChangeAspect="1" noChangeArrowheads="1"/>
        </xdr:cNvSpPr>
      </xdr:nvSpPr>
      <xdr:spPr bwMode="auto">
        <a:xfrm>
          <a:off x="46110525" y="212464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68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1160000}"/>
            </a:ext>
          </a:extLst>
        </xdr:cNvPr>
        <xdr:cNvSpPr>
          <a:spLocks noChangeAspect="1" noChangeArrowheads="1"/>
        </xdr:cNvSpPr>
      </xdr:nvSpPr>
      <xdr:spPr bwMode="auto">
        <a:xfrm>
          <a:off x="46110525" y="2127599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68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2160000}"/>
            </a:ext>
          </a:extLst>
        </xdr:cNvPr>
        <xdr:cNvSpPr>
          <a:spLocks noChangeAspect="1" noChangeArrowheads="1"/>
        </xdr:cNvSpPr>
      </xdr:nvSpPr>
      <xdr:spPr bwMode="auto">
        <a:xfrm>
          <a:off x="46110525" y="2127599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68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3160000}"/>
            </a:ext>
          </a:extLst>
        </xdr:cNvPr>
        <xdr:cNvSpPr>
          <a:spLocks noChangeAspect="1" noChangeArrowheads="1"/>
        </xdr:cNvSpPr>
      </xdr:nvSpPr>
      <xdr:spPr bwMode="auto">
        <a:xfrm>
          <a:off x="46110525" y="213055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68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4160000}"/>
            </a:ext>
          </a:extLst>
        </xdr:cNvPr>
        <xdr:cNvSpPr>
          <a:spLocks noChangeAspect="1" noChangeArrowheads="1"/>
        </xdr:cNvSpPr>
      </xdr:nvSpPr>
      <xdr:spPr bwMode="auto">
        <a:xfrm>
          <a:off x="46110525" y="213055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68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5160000}"/>
            </a:ext>
          </a:extLst>
        </xdr:cNvPr>
        <xdr:cNvSpPr>
          <a:spLocks noChangeAspect="1" noChangeArrowheads="1"/>
        </xdr:cNvSpPr>
      </xdr:nvSpPr>
      <xdr:spPr bwMode="auto">
        <a:xfrm>
          <a:off x="46110525" y="2133504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68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6160000}"/>
            </a:ext>
          </a:extLst>
        </xdr:cNvPr>
        <xdr:cNvSpPr>
          <a:spLocks noChangeAspect="1" noChangeArrowheads="1"/>
        </xdr:cNvSpPr>
      </xdr:nvSpPr>
      <xdr:spPr bwMode="auto">
        <a:xfrm>
          <a:off x="46110525" y="2133504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68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7160000}"/>
            </a:ext>
          </a:extLst>
        </xdr:cNvPr>
        <xdr:cNvSpPr>
          <a:spLocks noChangeAspect="1" noChangeArrowheads="1"/>
        </xdr:cNvSpPr>
      </xdr:nvSpPr>
      <xdr:spPr bwMode="auto">
        <a:xfrm>
          <a:off x="46110525" y="213645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68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8160000}"/>
            </a:ext>
          </a:extLst>
        </xdr:cNvPr>
        <xdr:cNvSpPr>
          <a:spLocks noChangeAspect="1" noChangeArrowheads="1"/>
        </xdr:cNvSpPr>
      </xdr:nvSpPr>
      <xdr:spPr bwMode="auto">
        <a:xfrm>
          <a:off x="46110525" y="213645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68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9160000}"/>
            </a:ext>
          </a:extLst>
        </xdr:cNvPr>
        <xdr:cNvSpPr>
          <a:spLocks noChangeAspect="1" noChangeArrowheads="1"/>
        </xdr:cNvSpPr>
      </xdr:nvSpPr>
      <xdr:spPr bwMode="auto">
        <a:xfrm>
          <a:off x="46110525" y="213941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69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A160000}"/>
            </a:ext>
          </a:extLst>
        </xdr:cNvPr>
        <xdr:cNvSpPr>
          <a:spLocks noChangeAspect="1" noChangeArrowheads="1"/>
        </xdr:cNvSpPr>
      </xdr:nvSpPr>
      <xdr:spPr bwMode="auto">
        <a:xfrm>
          <a:off x="46110525" y="213941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69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B160000}"/>
            </a:ext>
          </a:extLst>
        </xdr:cNvPr>
        <xdr:cNvSpPr>
          <a:spLocks noChangeAspect="1" noChangeArrowheads="1"/>
        </xdr:cNvSpPr>
      </xdr:nvSpPr>
      <xdr:spPr bwMode="auto">
        <a:xfrm>
          <a:off x="46110525" y="214236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69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C160000}"/>
            </a:ext>
          </a:extLst>
        </xdr:cNvPr>
        <xdr:cNvSpPr>
          <a:spLocks noChangeAspect="1" noChangeArrowheads="1"/>
        </xdr:cNvSpPr>
      </xdr:nvSpPr>
      <xdr:spPr bwMode="auto">
        <a:xfrm>
          <a:off x="46110525" y="214236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69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D160000}"/>
            </a:ext>
          </a:extLst>
        </xdr:cNvPr>
        <xdr:cNvSpPr>
          <a:spLocks noChangeAspect="1" noChangeArrowheads="1"/>
        </xdr:cNvSpPr>
      </xdr:nvSpPr>
      <xdr:spPr bwMode="auto">
        <a:xfrm>
          <a:off x="46110525" y="214531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69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E160000}"/>
            </a:ext>
          </a:extLst>
        </xdr:cNvPr>
        <xdr:cNvSpPr>
          <a:spLocks noChangeAspect="1" noChangeArrowheads="1"/>
        </xdr:cNvSpPr>
      </xdr:nvSpPr>
      <xdr:spPr bwMode="auto">
        <a:xfrm>
          <a:off x="46110525" y="214531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69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F160000}"/>
            </a:ext>
          </a:extLst>
        </xdr:cNvPr>
        <xdr:cNvSpPr>
          <a:spLocks noChangeAspect="1" noChangeArrowheads="1"/>
        </xdr:cNvSpPr>
      </xdr:nvSpPr>
      <xdr:spPr bwMode="auto">
        <a:xfrm>
          <a:off x="46110525" y="214826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69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0160000}"/>
            </a:ext>
          </a:extLst>
        </xdr:cNvPr>
        <xdr:cNvSpPr>
          <a:spLocks noChangeAspect="1" noChangeArrowheads="1"/>
        </xdr:cNvSpPr>
      </xdr:nvSpPr>
      <xdr:spPr bwMode="auto">
        <a:xfrm>
          <a:off x="46110525" y="214826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69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1160000}"/>
            </a:ext>
          </a:extLst>
        </xdr:cNvPr>
        <xdr:cNvSpPr>
          <a:spLocks noChangeAspect="1" noChangeArrowheads="1"/>
        </xdr:cNvSpPr>
      </xdr:nvSpPr>
      <xdr:spPr bwMode="auto">
        <a:xfrm>
          <a:off x="46110525" y="2151221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69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2160000}"/>
            </a:ext>
          </a:extLst>
        </xdr:cNvPr>
        <xdr:cNvSpPr>
          <a:spLocks noChangeAspect="1" noChangeArrowheads="1"/>
        </xdr:cNvSpPr>
      </xdr:nvSpPr>
      <xdr:spPr bwMode="auto">
        <a:xfrm>
          <a:off x="46110525" y="2151221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69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3160000}"/>
            </a:ext>
          </a:extLst>
        </xdr:cNvPr>
        <xdr:cNvSpPr>
          <a:spLocks noChangeAspect="1" noChangeArrowheads="1"/>
        </xdr:cNvSpPr>
      </xdr:nvSpPr>
      <xdr:spPr bwMode="auto">
        <a:xfrm>
          <a:off x="46110525" y="215417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70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4160000}"/>
            </a:ext>
          </a:extLst>
        </xdr:cNvPr>
        <xdr:cNvSpPr>
          <a:spLocks noChangeAspect="1" noChangeArrowheads="1"/>
        </xdr:cNvSpPr>
      </xdr:nvSpPr>
      <xdr:spPr bwMode="auto">
        <a:xfrm>
          <a:off x="46110525" y="215417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70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5160000}"/>
            </a:ext>
          </a:extLst>
        </xdr:cNvPr>
        <xdr:cNvSpPr>
          <a:spLocks noChangeAspect="1" noChangeArrowheads="1"/>
        </xdr:cNvSpPr>
      </xdr:nvSpPr>
      <xdr:spPr bwMode="auto">
        <a:xfrm>
          <a:off x="46110525" y="2157126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70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6160000}"/>
            </a:ext>
          </a:extLst>
        </xdr:cNvPr>
        <xdr:cNvSpPr>
          <a:spLocks noChangeAspect="1" noChangeArrowheads="1"/>
        </xdr:cNvSpPr>
      </xdr:nvSpPr>
      <xdr:spPr bwMode="auto">
        <a:xfrm>
          <a:off x="46110525" y="2157126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70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7160000}"/>
            </a:ext>
          </a:extLst>
        </xdr:cNvPr>
        <xdr:cNvSpPr>
          <a:spLocks noChangeAspect="1" noChangeArrowheads="1"/>
        </xdr:cNvSpPr>
      </xdr:nvSpPr>
      <xdr:spPr bwMode="auto">
        <a:xfrm>
          <a:off x="46110525" y="216007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70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8160000}"/>
            </a:ext>
          </a:extLst>
        </xdr:cNvPr>
        <xdr:cNvSpPr>
          <a:spLocks noChangeAspect="1" noChangeArrowheads="1"/>
        </xdr:cNvSpPr>
      </xdr:nvSpPr>
      <xdr:spPr bwMode="auto">
        <a:xfrm>
          <a:off x="46110525" y="216007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70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9160000}"/>
            </a:ext>
          </a:extLst>
        </xdr:cNvPr>
        <xdr:cNvSpPr>
          <a:spLocks noChangeAspect="1" noChangeArrowheads="1"/>
        </xdr:cNvSpPr>
      </xdr:nvSpPr>
      <xdr:spPr bwMode="auto">
        <a:xfrm>
          <a:off x="46110525" y="216303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70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A160000}"/>
            </a:ext>
          </a:extLst>
        </xdr:cNvPr>
        <xdr:cNvSpPr>
          <a:spLocks noChangeAspect="1" noChangeArrowheads="1"/>
        </xdr:cNvSpPr>
      </xdr:nvSpPr>
      <xdr:spPr bwMode="auto">
        <a:xfrm>
          <a:off x="46110525" y="216303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70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B160000}"/>
            </a:ext>
          </a:extLst>
        </xdr:cNvPr>
        <xdr:cNvSpPr>
          <a:spLocks noChangeAspect="1" noChangeArrowheads="1"/>
        </xdr:cNvSpPr>
      </xdr:nvSpPr>
      <xdr:spPr bwMode="auto">
        <a:xfrm>
          <a:off x="46110525" y="21659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70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C160000}"/>
            </a:ext>
          </a:extLst>
        </xdr:cNvPr>
        <xdr:cNvSpPr>
          <a:spLocks noChangeAspect="1" noChangeArrowheads="1"/>
        </xdr:cNvSpPr>
      </xdr:nvSpPr>
      <xdr:spPr bwMode="auto">
        <a:xfrm>
          <a:off x="46110525" y="216598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70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D160000}"/>
            </a:ext>
          </a:extLst>
        </xdr:cNvPr>
        <xdr:cNvSpPr>
          <a:spLocks noChangeAspect="1" noChangeArrowheads="1"/>
        </xdr:cNvSpPr>
      </xdr:nvSpPr>
      <xdr:spPr bwMode="auto">
        <a:xfrm>
          <a:off x="46110525" y="2168937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71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E160000}"/>
            </a:ext>
          </a:extLst>
        </xdr:cNvPr>
        <xdr:cNvSpPr>
          <a:spLocks noChangeAspect="1" noChangeArrowheads="1"/>
        </xdr:cNvSpPr>
      </xdr:nvSpPr>
      <xdr:spPr bwMode="auto">
        <a:xfrm>
          <a:off x="46110525" y="2168937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71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F160000}"/>
            </a:ext>
          </a:extLst>
        </xdr:cNvPr>
        <xdr:cNvSpPr>
          <a:spLocks noChangeAspect="1" noChangeArrowheads="1"/>
        </xdr:cNvSpPr>
      </xdr:nvSpPr>
      <xdr:spPr bwMode="auto">
        <a:xfrm>
          <a:off x="46110525" y="217189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71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0160000}"/>
            </a:ext>
          </a:extLst>
        </xdr:cNvPr>
        <xdr:cNvSpPr>
          <a:spLocks noChangeAspect="1" noChangeArrowheads="1"/>
        </xdr:cNvSpPr>
      </xdr:nvSpPr>
      <xdr:spPr bwMode="auto">
        <a:xfrm>
          <a:off x="46110525" y="217189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71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1160000}"/>
            </a:ext>
          </a:extLst>
        </xdr:cNvPr>
        <xdr:cNvSpPr>
          <a:spLocks noChangeAspect="1" noChangeArrowheads="1"/>
        </xdr:cNvSpPr>
      </xdr:nvSpPr>
      <xdr:spPr bwMode="auto">
        <a:xfrm>
          <a:off x="46110525" y="217484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71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2160000}"/>
            </a:ext>
          </a:extLst>
        </xdr:cNvPr>
        <xdr:cNvSpPr>
          <a:spLocks noChangeAspect="1" noChangeArrowheads="1"/>
        </xdr:cNvSpPr>
      </xdr:nvSpPr>
      <xdr:spPr bwMode="auto">
        <a:xfrm>
          <a:off x="46110525" y="217484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71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3160000}"/>
            </a:ext>
          </a:extLst>
        </xdr:cNvPr>
        <xdr:cNvSpPr>
          <a:spLocks noChangeAspect="1" noChangeArrowheads="1"/>
        </xdr:cNvSpPr>
      </xdr:nvSpPr>
      <xdr:spPr bwMode="auto">
        <a:xfrm>
          <a:off x="46110525" y="217779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71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4160000}"/>
            </a:ext>
          </a:extLst>
        </xdr:cNvPr>
        <xdr:cNvSpPr>
          <a:spLocks noChangeAspect="1" noChangeArrowheads="1"/>
        </xdr:cNvSpPr>
      </xdr:nvSpPr>
      <xdr:spPr bwMode="auto">
        <a:xfrm>
          <a:off x="46110525" y="217779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71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5160000}"/>
            </a:ext>
          </a:extLst>
        </xdr:cNvPr>
        <xdr:cNvSpPr>
          <a:spLocks noChangeAspect="1" noChangeArrowheads="1"/>
        </xdr:cNvSpPr>
      </xdr:nvSpPr>
      <xdr:spPr bwMode="auto">
        <a:xfrm>
          <a:off x="46110525" y="218074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71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6160000}"/>
            </a:ext>
          </a:extLst>
        </xdr:cNvPr>
        <xdr:cNvSpPr>
          <a:spLocks noChangeAspect="1" noChangeArrowheads="1"/>
        </xdr:cNvSpPr>
      </xdr:nvSpPr>
      <xdr:spPr bwMode="auto">
        <a:xfrm>
          <a:off x="46110525" y="218074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71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7160000}"/>
            </a:ext>
          </a:extLst>
        </xdr:cNvPr>
        <xdr:cNvSpPr>
          <a:spLocks noChangeAspect="1" noChangeArrowheads="1"/>
        </xdr:cNvSpPr>
      </xdr:nvSpPr>
      <xdr:spPr bwMode="auto">
        <a:xfrm>
          <a:off x="46110525" y="218370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72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8160000}"/>
            </a:ext>
          </a:extLst>
        </xdr:cNvPr>
        <xdr:cNvSpPr>
          <a:spLocks noChangeAspect="1" noChangeArrowheads="1"/>
        </xdr:cNvSpPr>
      </xdr:nvSpPr>
      <xdr:spPr bwMode="auto">
        <a:xfrm>
          <a:off x="46110525" y="218370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72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9160000}"/>
            </a:ext>
          </a:extLst>
        </xdr:cNvPr>
        <xdr:cNvSpPr>
          <a:spLocks noChangeAspect="1" noChangeArrowheads="1"/>
        </xdr:cNvSpPr>
      </xdr:nvSpPr>
      <xdr:spPr bwMode="auto">
        <a:xfrm>
          <a:off x="46110525" y="2186654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72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A160000}"/>
            </a:ext>
          </a:extLst>
        </xdr:cNvPr>
        <xdr:cNvSpPr>
          <a:spLocks noChangeAspect="1" noChangeArrowheads="1"/>
        </xdr:cNvSpPr>
      </xdr:nvSpPr>
      <xdr:spPr bwMode="auto">
        <a:xfrm>
          <a:off x="46110525" y="2186654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72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B160000}"/>
            </a:ext>
          </a:extLst>
        </xdr:cNvPr>
        <xdr:cNvSpPr>
          <a:spLocks noChangeAspect="1" noChangeArrowheads="1"/>
        </xdr:cNvSpPr>
      </xdr:nvSpPr>
      <xdr:spPr bwMode="auto">
        <a:xfrm>
          <a:off x="46110525" y="218960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72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C160000}"/>
            </a:ext>
          </a:extLst>
        </xdr:cNvPr>
        <xdr:cNvSpPr>
          <a:spLocks noChangeAspect="1" noChangeArrowheads="1"/>
        </xdr:cNvSpPr>
      </xdr:nvSpPr>
      <xdr:spPr bwMode="auto">
        <a:xfrm>
          <a:off x="46110525" y="218960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72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D160000}"/>
            </a:ext>
          </a:extLst>
        </xdr:cNvPr>
        <xdr:cNvSpPr>
          <a:spLocks noChangeAspect="1" noChangeArrowheads="1"/>
        </xdr:cNvSpPr>
      </xdr:nvSpPr>
      <xdr:spPr bwMode="auto">
        <a:xfrm>
          <a:off x="46110525" y="2192559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72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E160000}"/>
            </a:ext>
          </a:extLst>
        </xdr:cNvPr>
        <xdr:cNvSpPr>
          <a:spLocks noChangeAspect="1" noChangeArrowheads="1"/>
        </xdr:cNvSpPr>
      </xdr:nvSpPr>
      <xdr:spPr bwMode="auto">
        <a:xfrm>
          <a:off x="46110525" y="2192559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72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F160000}"/>
            </a:ext>
          </a:extLst>
        </xdr:cNvPr>
        <xdr:cNvSpPr>
          <a:spLocks noChangeAspect="1" noChangeArrowheads="1"/>
        </xdr:cNvSpPr>
      </xdr:nvSpPr>
      <xdr:spPr bwMode="auto">
        <a:xfrm>
          <a:off x="46110525" y="219551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72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0160000}"/>
            </a:ext>
          </a:extLst>
        </xdr:cNvPr>
        <xdr:cNvSpPr>
          <a:spLocks noChangeAspect="1" noChangeArrowheads="1"/>
        </xdr:cNvSpPr>
      </xdr:nvSpPr>
      <xdr:spPr bwMode="auto">
        <a:xfrm>
          <a:off x="46110525" y="219551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72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1160000}"/>
            </a:ext>
          </a:extLst>
        </xdr:cNvPr>
        <xdr:cNvSpPr>
          <a:spLocks noChangeAspect="1" noChangeArrowheads="1"/>
        </xdr:cNvSpPr>
      </xdr:nvSpPr>
      <xdr:spPr bwMode="auto">
        <a:xfrm>
          <a:off x="46110525" y="219846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73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2160000}"/>
            </a:ext>
          </a:extLst>
        </xdr:cNvPr>
        <xdr:cNvSpPr>
          <a:spLocks noChangeAspect="1" noChangeArrowheads="1"/>
        </xdr:cNvSpPr>
      </xdr:nvSpPr>
      <xdr:spPr bwMode="auto">
        <a:xfrm>
          <a:off x="46110525" y="219846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73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3160000}"/>
            </a:ext>
          </a:extLst>
        </xdr:cNvPr>
        <xdr:cNvSpPr>
          <a:spLocks noChangeAspect="1" noChangeArrowheads="1"/>
        </xdr:cNvSpPr>
      </xdr:nvSpPr>
      <xdr:spPr bwMode="auto">
        <a:xfrm>
          <a:off x="46110525" y="220141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73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4160000}"/>
            </a:ext>
          </a:extLst>
        </xdr:cNvPr>
        <xdr:cNvSpPr>
          <a:spLocks noChangeAspect="1" noChangeArrowheads="1"/>
        </xdr:cNvSpPr>
      </xdr:nvSpPr>
      <xdr:spPr bwMode="auto">
        <a:xfrm>
          <a:off x="46110525" y="220141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73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5160000}"/>
            </a:ext>
          </a:extLst>
        </xdr:cNvPr>
        <xdr:cNvSpPr>
          <a:spLocks noChangeAspect="1" noChangeArrowheads="1"/>
        </xdr:cNvSpPr>
      </xdr:nvSpPr>
      <xdr:spPr bwMode="auto">
        <a:xfrm>
          <a:off x="46110525" y="220437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73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6160000}"/>
            </a:ext>
          </a:extLst>
        </xdr:cNvPr>
        <xdr:cNvSpPr>
          <a:spLocks noChangeAspect="1" noChangeArrowheads="1"/>
        </xdr:cNvSpPr>
      </xdr:nvSpPr>
      <xdr:spPr bwMode="auto">
        <a:xfrm>
          <a:off x="46110525" y="220437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73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7160000}"/>
            </a:ext>
          </a:extLst>
        </xdr:cNvPr>
        <xdr:cNvSpPr>
          <a:spLocks noChangeAspect="1" noChangeArrowheads="1"/>
        </xdr:cNvSpPr>
      </xdr:nvSpPr>
      <xdr:spPr bwMode="auto">
        <a:xfrm>
          <a:off x="46110525" y="220732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73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8160000}"/>
            </a:ext>
          </a:extLst>
        </xdr:cNvPr>
        <xdr:cNvSpPr>
          <a:spLocks noChangeAspect="1" noChangeArrowheads="1"/>
        </xdr:cNvSpPr>
      </xdr:nvSpPr>
      <xdr:spPr bwMode="auto">
        <a:xfrm>
          <a:off x="46110525" y="220732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73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9160000}"/>
            </a:ext>
          </a:extLst>
        </xdr:cNvPr>
        <xdr:cNvSpPr>
          <a:spLocks noChangeAspect="1" noChangeArrowheads="1"/>
        </xdr:cNvSpPr>
      </xdr:nvSpPr>
      <xdr:spPr bwMode="auto">
        <a:xfrm>
          <a:off x="46110525" y="221027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73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A160000}"/>
            </a:ext>
          </a:extLst>
        </xdr:cNvPr>
        <xdr:cNvSpPr>
          <a:spLocks noChangeAspect="1" noChangeArrowheads="1"/>
        </xdr:cNvSpPr>
      </xdr:nvSpPr>
      <xdr:spPr bwMode="auto">
        <a:xfrm>
          <a:off x="46110525" y="221027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73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B160000}"/>
            </a:ext>
          </a:extLst>
        </xdr:cNvPr>
        <xdr:cNvSpPr>
          <a:spLocks noChangeAspect="1" noChangeArrowheads="1"/>
        </xdr:cNvSpPr>
      </xdr:nvSpPr>
      <xdr:spPr bwMode="auto">
        <a:xfrm>
          <a:off x="46110525" y="221322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74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C160000}"/>
            </a:ext>
          </a:extLst>
        </xdr:cNvPr>
        <xdr:cNvSpPr>
          <a:spLocks noChangeAspect="1" noChangeArrowheads="1"/>
        </xdr:cNvSpPr>
      </xdr:nvSpPr>
      <xdr:spPr bwMode="auto">
        <a:xfrm>
          <a:off x="46110525" y="221322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74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D160000}"/>
            </a:ext>
          </a:extLst>
        </xdr:cNvPr>
        <xdr:cNvSpPr>
          <a:spLocks noChangeAspect="1" noChangeArrowheads="1"/>
        </xdr:cNvSpPr>
      </xdr:nvSpPr>
      <xdr:spPr bwMode="auto">
        <a:xfrm>
          <a:off x="46110525" y="2216181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74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E160000}"/>
            </a:ext>
          </a:extLst>
        </xdr:cNvPr>
        <xdr:cNvSpPr>
          <a:spLocks noChangeAspect="1" noChangeArrowheads="1"/>
        </xdr:cNvSpPr>
      </xdr:nvSpPr>
      <xdr:spPr bwMode="auto">
        <a:xfrm>
          <a:off x="46110525" y="2216181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74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F160000}"/>
            </a:ext>
          </a:extLst>
        </xdr:cNvPr>
        <xdr:cNvSpPr>
          <a:spLocks noChangeAspect="1" noChangeArrowheads="1"/>
        </xdr:cNvSpPr>
      </xdr:nvSpPr>
      <xdr:spPr bwMode="auto">
        <a:xfrm>
          <a:off x="46110525" y="221913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74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0160000}"/>
            </a:ext>
          </a:extLst>
        </xdr:cNvPr>
        <xdr:cNvSpPr>
          <a:spLocks noChangeAspect="1" noChangeArrowheads="1"/>
        </xdr:cNvSpPr>
      </xdr:nvSpPr>
      <xdr:spPr bwMode="auto">
        <a:xfrm>
          <a:off x="46110525" y="221913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74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1160000}"/>
            </a:ext>
          </a:extLst>
        </xdr:cNvPr>
        <xdr:cNvSpPr>
          <a:spLocks noChangeAspect="1" noChangeArrowheads="1"/>
        </xdr:cNvSpPr>
      </xdr:nvSpPr>
      <xdr:spPr bwMode="auto">
        <a:xfrm>
          <a:off x="46110525" y="2222087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74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2160000}"/>
            </a:ext>
          </a:extLst>
        </xdr:cNvPr>
        <xdr:cNvSpPr>
          <a:spLocks noChangeAspect="1" noChangeArrowheads="1"/>
        </xdr:cNvSpPr>
      </xdr:nvSpPr>
      <xdr:spPr bwMode="auto">
        <a:xfrm>
          <a:off x="46110525" y="2222087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74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3160000}"/>
            </a:ext>
          </a:extLst>
        </xdr:cNvPr>
        <xdr:cNvSpPr>
          <a:spLocks noChangeAspect="1" noChangeArrowheads="1"/>
        </xdr:cNvSpPr>
      </xdr:nvSpPr>
      <xdr:spPr bwMode="auto">
        <a:xfrm>
          <a:off x="46110525" y="222504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74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4160000}"/>
            </a:ext>
          </a:extLst>
        </xdr:cNvPr>
        <xdr:cNvSpPr>
          <a:spLocks noChangeAspect="1" noChangeArrowheads="1"/>
        </xdr:cNvSpPr>
      </xdr:nvSpPr>
      <xdr:spPr bwMode="auto">
        <a:xfrm>
          <a:off x="46110525" y="222504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74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5160000}"/>
            </a:ext>
          </a:extLst>
        </xdr:cNvPr>
        <xdr:cNvSpPr>
          <a:spLocks noChangeAspect="1" noChangeArrowheads="1"/>
        </xdr:cNvSpPr>
      </xdr:nvSpPr>
      <xdr:spPr bwMode="auto">
        <a:xfrm>
          <a:off x="46110525" y="2227992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75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6160000}"/>
            </a:ext>
          </a:extLst>
        </xdr:cNvPr>
        <xdr:cNvSpPr>
          <a:spLocks noChangeAspect="1" noChangeArrowheads="1"/>
        </xdr:cNvSpPr>
      </xdr:nvSpPr>
      <xdr:spPr bwMode="auto">
        <a:xfrm>
          <a:off x="46110525" y="2227992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75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7160000}"/>
            </a:ext>
          </a:extLst>
        </xdr:cNvPr>
        <xdr:cNvSpPr>
          <a:spLocks noChangeAspect="1" noChangeArrowheads="1"/>
        </xdr:cNvSpPr>
      </xdr:nvSpPr>
      <xdr:spPr bwMode="auto">
        <a:xfrm>
          <a:off x="46110525" y="223094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75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8160000}"/>
            </a:ext>
          </a:extLst>
        </xdr:cNvPr>
        <xdr:cNvSpPr>
          <a:spLocks noChangeAspect="1" noChangeArrowheads="1"/>
        </xdr:cNvSpPr>
      </xdr:nvSpPr>
      <xdr:spPr bwMode="auto">
        <a:xfrm>
          <a:off x="46110525" y="223094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75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9160000}"/>
            </a:ext>
          </a:extLst>
        </xdr:cNvPr>
        <xdr:cNvSpPr>
          <a:spLocks noChangeAspect="1" noChangeArrowheads="1"/>
        </xdr:cNvSpPr>
      </xdr:nvSpPr>
      <xdr:spPr bwMode="auto">
        <a:xfrm>
          <a:off x="46110525" y="223389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75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A160000}"/>
            </a:ext>
          </a:extLst>
        </xdr:cNvPr>
        <xdr:cNvSpPr>
          <a:spLocks noChangeAspect="1" noChangeArrowheads="1"/>
        </xdr:cNvSpPr>
      </xdr:nvSpPr>
      <xdr:spPr bwMode="auto">
        <a:xfrm>
          <a:off x="46110525" y="223389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75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B160000}"/>
            </a:ext>
          </a:extLst>
        </xdr:cNvPr>
        <xdr:cNvSpPr>
          <a:spLocks noChangeAspect="1" noChangeArrowheads="1"/>
        </xdr:cNvSpPr>
      </xdr:nvSpPr>
      <xdr:spPr bwMode="auto">
        <a:xfrm>
          <a:off x="46110525" y="223685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75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C160000}"/>
            </a:ext>
          </a:extLst>
        </xdr:cNvPr>
        <xdr:cNvSpPr>
          <a:spLocks noChangeAspect="1" noChangeArrowheads="1"/>
        </xdr:cNvSpPr>
      </xdr:nvSpPr>
      <xdr:spPr bwMode="auto">
        <a:xfrm>
          <a:off x="46110525" y="223685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75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D160000}"/>
            </a:ext>
          </a:extLst>
        </xdr:cNvPr>
        <xdr:cNvSpPr>
          <a:spLocks noChangeAspect="1" noChangeArrowheads="1"/>
        </xdr:cNvSpPr>
      </xdr:nvSpPr>
      <xdr:spPr bwMode="auto">
        <a:xfrm>
          <a:off x="46110525" y="223980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75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E160000}"/>
            </a:ext>
          </a:extLst>
        </xdr:cNvPr>
        <xdr:cNvSpPr>
          <a:spLocks noChangeAspect="1" noChangeArrowheads="1"/>
        </xdr:cNvSpPr>
      </xdr:nvSpPr>
      <xdr:spPr bwMode="auto">
        <a:xfrm>
          <a:off x="46110525" y="223980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75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F160000}"/>
            </a:ext>
          </a:extLst>
        </xdr:cNvPr>
        <xdr:cNvSpPr>
          <a:spLocks noChangeAspect="1" noChangeArrowheads="1"/>
        </xdr:cNvSpPr>
      </xdr:nvSpPr>
      <xdr:spPr bwMode="auto">
        <a:xfrm>
          <a:off x="46110525" y="224275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76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0160000}"/>
            </a:ext>
          </a:extLst>
        </xdr:cNvPr>
        <xdr:cNvSpPr>
          <a:spLocks noChangeAspect="1" noChangeArrowheads="1"/>
        </xdr:cNvSpPr>
      </xdr:nvSpPr>
      <xdr:spPr bwMode="auto">
        <a:xfrm>
          <a:off x="46110525" y="224275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76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1160000}"/>
            </a:ext>
          </a:extLst>
        </xdr:cNvPr>
        <xdr:cNvSpPr>
          <a:spLocks noChangeAspect="1" noChangeArrowheads="1"/>
        </xdr:cNvSpPr>
      </xdr:nvSpPr>
      <xdr:spPr bwMode="auto">
        <a:xfrm>
          <a:off x="46110525" y="2245709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76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2160000}"/>
            </a:ext>
          </a:extLst>
        </xdr:cNvPr>
        <xdr:cNvSpPr>
          <a:spLocks noChangeAspect="1" noChangeArrowheads="1"/>
        </xdr:cNvSpPr>
      </xdr:nvSpPr>
      <xdr:spPr bwMode="auto">
        <a:xfrm>
          <a:off x="46110525" y="2245709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76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3160000}"/>
            </a:ext>
          </a:extLst>
        </xdr:cNvPr>
        <xdr:cNvSpPr>
          <a:spLocks noChangeAspect="1" noChangeArrowheads="1"/>
        </xdr:cNvSpPr>
      </xdr:nvSpPr>
      <xdr:spPr bwMode="auto">
        <a:xfrm>
          <a:off x="46110525" y="224866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76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4160000}"/>
            </a:ext>
          </a:extLst>
        </xdr:cNvPr>
        <xdr:cNvSpPr>
          <a:spLocks noChangeAspect="1" noChangeArrowheads="1"/>
        </xdr:cNvSpPr>
      </xdr:nvSpPr>
      <xdr:spPr bwMode="auto">
        <a:xfrm>
          <a:off x="46110525" y="224866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76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5160000}"/>
            </a:ext>
          </a:extLst>
        </xdr:cNvPr>
        <xdr:cNvSpPr>
          <a:spLocks noChangeAspect="1" noChangeArrowheads="1"/>
        </xdr:cNvSpPr>
      </xdr:nvSpPr>
      <xdr:spPr bwMode="auto">
        <a:xfrm>
          <a:off x="46110525" y="2251614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76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6160000}"/>
            </a:ext>
          </a:extLst>
        </xdr:cNvPr>
        <xdr:cNvSpPr>
          <a:spLocks noChangeAspect="1" noChangeArrowheads="1"/>
        </xdr:cNvSpPr>
      </xdr:nvSpPr>
      <xdr:spPr bwMode="auto">
        <a:xfrm>
          <a:off x="46110525" y="2251614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76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7160000}"/>
            </a:ext>
          </a:extLst>
        </xdr:cNvPr>
        <xdr:cNvSpPr>
          <a:spLocks noChangeAspect="1" noChangeArrowheads="1"/>
        </xdr:cNvSpPr>
      </xdr:nvSpPr>
      <xdr:spPr bwMode="auto">
        <a:xfrm>
          <a:off x="46110525" y="225456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76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8160000}"/>
            </a:ext>
          </a:extLst>
        </xdr:cNvPr>
        <xdr:cNvSpPr>
          <a:spLocks noChangeAspect="1" noChangeArrowheads="1"/>
        </xdr:cNvSpPr>
      </xdr:nvSpPr>
      <xdr:spPr bwMode="auto">
        <a:xfrm>
          <a:off x="46110525" y="225456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76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9160000}"/>
            </a:ext>
          </a:extLst>
        </xdr:cNvPr>
        <xdr:cNvSpPr>
          <a:spLocks noChangeAspect="1" noChangeArrowheads="1"/>
        </xdr:cNvSpPr>
      </xdr:nvSpPr>
      <xdr:spPr bwMode="auto">
        <a:xfrm>
          <a:off x="46110525" y="225752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77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A160000}"/>
            </a:ext>
          </a:extLst>
        </xdr:cNvPr>
        <xdr:cNvSpPr>
          <a:spLocks noChangeAspect="1" noChangeArrowheads="1"/>
        </xdr:cNvSpPr>
      </xdr:nvSpPr>
      <xdr:spPr bwMode="auto">
        <a:xfrm>
          <a:off x="46110525" y="225752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77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B160000}"/>
            </a:ext>
          </a:extLst>
        </xdr:cNvPr>
        <xdr:cNvSpPr>
          <a:spLocks noChangeAspect="1" noChangeArrowheads="1"/>
        </xdr:cNvSpPr>
      </xdr:nvSpPr>
      <xdr:spPr bwMode="auto">
        <a:xfrm>
          <a:off x="46110525" y="226047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77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C160000}"/>
            </a:ext>
          </a:extLst>
        </xdr:cNvPr>
        <xdr:cNvSpPr>
          <a:spLocks noChangeAspect="1" noChangeArrowheads="1"/>
        </xdr:cNvSpPr>
      </xdr:nvSpPr>
      <xdr:spPr bwMode="auto">
        <a:xfrm>
          <a:off x="46110525" y="226047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77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D160000}"/>
            </a:ext>
          </a:extLst>
        </xdr:cNvPr>
        <xdr:cNvSpPr>
          <a:spLocks noChangeAspect="1" noChangeArrowheads="1"/>
        </xdr:cNvSpPr>
      </xdr:nvSpPr>
      <xdr:spPr bwMode="auto">
        <a:xfrm>
          <a:off x="46110525" y="226342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77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E160000}"/>
            </a:ext>
          </a:extLst>
        </xdr:cNvPr>
        <xdr:cNvSpPr>
          <a:spLocks noChangeAspect="1" noChangeArrowheads="1"/>
        </xdr:cNvSpPr>
      </xdr:nvSpPr>
      <xdr:spPr bwMode="auto">
        <a:xfrm>
          <a:off x="46110525" y="226342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77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F160000}"/>
            </a:ext>
          </a:extLst>
        </xdr:cNvPr>
        <xdr:cNvSpPr>
          <a:spLocks noChangeAspect="1" noChangeArrowheads="1"/>
        </xdr:cNvSpPr>
      </xdr:nvSpPr>
      <xdr:spPr bwMode="auto">
        <a:xfrm>
          <a:off x="46110525" y="226637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77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0160000}"/>
            </a:ext>
          </a:extLst>
        </xdr:cNvPr>
        <xdr:cNvSpPr>
          <a:spLocks noChangeAspect="1" noChangeArrowheads="1"/>
        </xdr:cNvSpPr>
      </xdr:nvSpPr>
      <xdr:spPr bwMode="auto">
        <a:xfrm>
          <a:off x="46110525" y="226637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77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1160000}"/>
            </a:ext>
          </a:extLst>
        </xdr:cNvPr>
        <xdr:cNvSpPr>
          <a:spLocks noChangeAspect="1" noChangeArrowheads="1"/>
        </xdr:cNvSpPr>
      </xdr:nvSpPr>
      <xdr:spPr bwMode="auto">
        <a:xfrm>
          <a:off x="46110525" y="2269331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77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2160000}"/>
            </a:ext>
          </a:extLst>
        </xdr:cNvPr>
        <xdr:cNvSpPr>
          <a:spLocks noChangeAspect="1" noChangeArrowheads="1"/>
        </xdr:cNvSpPr>
      </xdr:nvSpPr>
      <xdr:spPr bwMode="auto">
        <a:xfrm>
          <a:off x="46110525" y="2269331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77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3160000}"/>
            </a:ext>
          </a:extLst>
        </xdr:cNvPr>
        <xdr:cNvSpPr>
          <a:spLocks noChangeAspect="1" noChangeArrowheads="1"/>
        </xdr:cNvSpPr>
      </xdr:nvSpPr>
      <xdr:spPr bwMode="auto">
        <a:xfrm>
          <a:off x="46110525" y="227228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78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4160000}"/>
            </a:ext>
          </a:extLst>
        </xdr:cNvPr>
        <xdr:cNvSpPr>
          <a:spLocks noChangeAspect="1" noChangeArrowheads="1"/>
        </xdr:cNvSpPr>
      </xdr:nvSpPr>
      <xdr:spPr bwMode="auto">
        <a:xfrm>
          <a:off x="46110525" y="227228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78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5160000}"/>
            </a:ext>
          </a:extLst>
        </xdr:cNvPr>
        <xdr:cNvSpPr>
          <a:spLocks noChangeAspect="1" noChangeArrowheads="1"/>
        </xdr:cNvSpPr>
      </xdr:nvSpPr>
      <xdr:spPr bwMode="auto">
        <a:xfrm>
          <a:off x="46110525" y="2275236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78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6160000}"/>
            </a:ext>
          </a:extLst>
        </xdr:cNvPr>
        <xdr:cNvSpPr>
          <a:spLocks noChangeAspect="1" noChangeArrowheads="1"/>
        </xdr:cNvSpPr>
      </xdr:nvSpPr>
      <xdr:spPr bwMode="auto">
        <a:xfrm>
          <a:off x="46110525" y="2275236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78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7160000}"/>
            </a:ext>
          </a:extLst>
        </xdr:cNvPr>
        <xdr:cNvSpPr>
          <a:spLocks noChangeAspect="1" noChangeArrowheads="1"/>
        </xdr:cNvSpPr>
      </xdr:nvSpPr>
      <xdr:spPr bwMode="auto">
        <a:xfrm>
          <a:off x="46110525" y="227818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78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8160000}"/>
            </a:ext>
          </a:extLst>
        </xdr:cNvPr>
        <xdr:cNvSpPr>
          <a:spLocks noChangeAspect="1" noChangeArrowheads="1"/>
        </xdr:cNvSpPr>
      </xdr:nvSpPr>
      <xdr:spPr bwMode="auto">
        <a:xfrm>
          <a:off x="46110525" y="227818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78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9160000}"/>
            </a:ext>
          </a:extLst>
        </xdr:cNvPr>
        <xdr:cNvSpPr>
          <a:spLocks noChangeAspect="1" noChangeArrowheads="1"/>
        </xdr:cNvSpPr>
      </xdr:nvSpPr>
      <xdr:spPr bwMode="auto">
        <a:xfrm>
          <a:off x="46110525" y="228114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78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A160000}"/>
            </a:ext>
          </a:extLst>
        </xdr:cNvPr>
        <xdr:cNvSpPr>
          <a:spLocks noChangeAspect="1" noChangeArrowheads="1"/>
        </xdr:cNvSpPr>
      </xdr:nvSpPr>
      <xdr:spPr bwMode="auto">
        <a:xfrm>
          <a:off x="46110525" y="228114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78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B160000}"/>
            </a:ext>
          </a:extLst>
        </xdr:cNvPr>
        <xdr:cNvSpPr>
          <a:spLocks noChangeAspect="1" noChangeArrowheads="1"/>
        </xdr:cNvSpPr>
      </xdr:nvSpPr>
      <xdr:spPr bwMode="auto">
        <a:xfrm>
          <a:off x="46110525" y="22840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78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C160000}"/>
            </a:ext>
          </a:extLst>
        </xdr:cNvPr>
        <xdr:cNvSpPr>
          <a:spLocks noChangeAspect="1" noChangeArrowheads="1"/>
        </xdr:cNvSpPr>
      </xdr:nvSpPr>
      <xdr:spPr bwMode="auto">
        <a:xfrm>
          <a:off x="46110525" y="22840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78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D160000}"/>
            </a:ext>
          </a:extLst>
        </xdr:cNvPr>
        <xdr:cNvSpPr>
          <a:spLocks noChangeAspect="1" noChangeArrowheads="1"/>
        </xdr:cNvSpPr>
      </xdr:nvSpPr>
      <xdr:spPr bwMode="auto">
        <a:xfrm>
          <a:off x="46110525" y="2287047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79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E160000}"/>
            </a:ext>
          </a:extLst>
        </xdr:cNvPr>
        <xdr:cNvSpPr>
          <a:spLocks noChangeAspect="1" noChangeArrowheads="1"/>
        </xdr:cNvSpPr>
      </xdr:nvSpPr>
      <xdr:spPr bwMode="auto">
        <a:xfrm>
          <a:off x="46110525" y="2287047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79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F160000}"/>
            </a:ext>
          </a:extLst>
        </xdr:cNvPr>
        <xdr:cNvSpPr>
          <a:spLocks noChangeAspect="1" noChangeArrowheads="1"/>
        </xdr:cNvSpPr>
      </xdr:nvSpPr>
      <xdr:spPr bwMode="auto">
        <a:xfrm>
          <a:off x="46110525" y="229000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79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0160000}"/>
            </a:ext>
          </a:extLst>
        </xdr:cNvPr>
        <xdr:cNvSpPr>
          <a:spLocks noChangeAspect="1" noChangeArrowheads="1"/>
        </xdr:cNvSpPr>
      </xdr:nvSpPr>
      <xdr:spPr bwMode="auto">
        <a:xfrm>
          <a:off x="46110525" y="229000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79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1160000}"/>
            </a:ext>
          </a:extLst>
        </xdr:cNvPr>
        <xdr:cNvSpPr>
          <a:spLocks noChangeAspect="1" noChangeArrowheads="1"/>
        </xdr:cNvSpPr>
      </xdr:nvSpPr>
      <xdr:spPr bwMode="auto">
        <a:xfrm>
          <a:off x="46110525" y="229295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79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2160000}"/>
            </a:ext>
          </a:extLst>
        </xdr:cNvPr>
        <xdr:cNvSpPr>
          <a:spLocks noChangeAspect="1" noChangeArrowheads="1"/>
        </xdr:cNvSpPr>
      </xdr:nvSpPr>
      <xdr:spPr bwMode="auto">
        <a:xfrm>
          <a:off x="46110525" y="229295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79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3160000}"/>
            </a:ext>
          </a:extLst>
        </xdr:cNvPr>
        <xdr:cNvSpPr>
          <a:spLocks noChangeAspect="1" noChangeArrowheads="1"/>
        </xdr:cNvSpPr>
      </xdr:nvSpPr>
      <xdr:spPr bwMode="auto">
        <a:xfrm>
          <a:off x="46110525" y="229590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79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4160000}"/>
            </a:ext>
          </a:extLst>
        </xdr:cNvPr>
        <xdr:cNvSpPr>
          <a:spLocks noChangeAspect="1" noChangeArrowheads="1"/>
        </xdr:cNvSpPr>
      </xdr:nvSpPr>
      <xdr:spPr bwMode="auto">
        <a:xfrm>
          <a:off x="46110525" y="229590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79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5160000}"/>
            </a:ext>
          </a:extLst>
        </xdr:cNvPr>
        <xdr:cNvSpPr>
          <a:spLocks noChangeAspect="1" noChangeArrowheads="1"/>
        </xdr:cNvSpPr>
      </xdr:nvSpPr>
      <xdr:spPr bwMode="auto">
        <a:xfrm>
          <a:off x="46110525" y="229885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79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6160000}"/>
            </a:ext>
          </a:extLst>
        </xdr:cNvPr>
        <xdr:cNvSpPr>
          <a:spLocks noChangeAspect="1" noChangeArrowheads="1"/>
        </xdr:cNvSpPr>
      </xdr:nvSpPr>
      <xdr:spPr bwMode="auto">
        <a:xfrm>
          <a:off x="46110525" y="229885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79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7160000}"/>
            </a:ext>
          </a:extLst>
        </xdr:cNvPr>
        <xdr:cNvSpPr>
          <a:spLocks noChangeAspect="1" noChangeArrowheads="1"/>
        </xdr:cNvSpPr>
      </xdr:nvSpPr>
      <xdr:spPr bwMode="auto">
        <a:xfrm>
          <a:off x="46110525" y="230181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80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8160000}"/>
            </a:ext>
          </a:extLst>
        </xdr:cNvPr>
        <xdr:cNvSpPr>
          <a:spLocks noChangeAspect="1" noChangeArrowheads="1"/>
        </xdr:cNvSpPr>
      </xdr:nvSpPr>
      <xdr:spPr bwMode="auto">
        <a:xfrm>
          <a:off x="46110525" y="230181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80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9160000}"/>
            </a:ext>
          </a:extLst>
        </xdr:cNvPr>
        <xdr:cNvSpPr>
          <a:spLocks noChangeAspect="1" noChangeArrowheads="1"/>
        </xdr:cNvSpPr>
      </xdr:nvSpPr>
      <xdr:spPr bwMode="auto">
        <a:xfrm>
          <a:off x="46110525" y="2304764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80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A160000}"/>
            </a:ext>
          </a:extLst>
        </xdr:cNvPr>
        <xdr:cNvSpPr>
          <a:spLocks noChangeAspect="1" noChangeArrowheads="1"/>
        </xdr:cNvSpPr>
      </xdr:nvSpPr>
      <xdr:spPr bwMode="auto">
        <a:xfrm>
          <a:off x="46110525" y="2304764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80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B160000}"/>
            </a:ext>
          </a:extLst>
        </xdr:cNvPr>
        <xdr:cNvSpPr>
          <a:spLocks noChangeAspect="1" noChangeArrowheads="1"/>
        </xdr:cNvSpPr>
      </xdr:nvSpPr>
      <xdr:spPr bwMode="auto">
        <a:xfrm>
          <a:off x="46110525" y="230771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80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C160000}"/>
            </a:ext>
          </a:extLst>
        </xdr:cNvPr>
        <xdr:cNvSpPr>
          <a:spLocks noChangeAspect="1" noChangeArrowheads="1"/>
        </xdr:cNvSpPr>
      </xdr:nvSpPr>
      <xdr:spPr bwMode="auto">
        <a:xfrm>
          <a:off x="46110525" y="230771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80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D160000}"/>
            </a:ext>
          </a:extLst>
        </xdr:cNvPr>
        <xdr:cNvSpPr>
          <a:spLocks noChangeAspect="1" noChangeArrowheads="1"/>
        </xdr:cNvSpPr>
      </xdr:nvSpPr>
      <xdr:spPr bwMode="auto">
        <a:xfrm>
          <a:off x="46110525" y="2310669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80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E160000}"/>
            </a:ext>
          </a:extLst>
        </xdr:cNvPr>
        <xdr:cNvSpPr>
          <a:spLocks noChangeAspect="1" noChangeArrowheads="1"/>
        </xdr:cNvSpPr>
      </xdr:nvSpPr>
      <xdr:spPr bwMode="auto">
        <a:xfrm>
          <a:off x="46110525" y="2310669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80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F160000}"/>
            </a:ext>
          </a:extLst>
        </xdr:cNvPr>
        <xdr:cNvSpPr>
          <a:spLocks noChangeAspect="1" noChangeArrowheads="1"/>
        </xdr:cNvSpPr>
      </xdr:nvSpPr>
      <xdr:spPr bwMode="auto">
        <a:xfrm>
          <a:off x="46110525" y="231362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80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0160000}"/>
            </a:ext>
          </a:extLst>
        </xdr:cNvPr>
        <xdr:cNvSpPr>
          <a:spLocks noChangeAspect="1" noChangeArrowheads="1"/>
        </xdr:cNvSpPr>
      </xdr:nvSpPr>
      <xdr:spPr bwMode="auto">
        <a:xfrm>
          <a:off x="46110525" y="231362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80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1160000}"/>
            </a:ext>
          </a:extLst>
        </xdr:cNvPr>
        <xdr:cNvSpPr>
          <a:spLocks noChangeAspect="1" noChangeArrowheads="1"/>
        </xdr:cNvSpPr>
      </xdr:nvSpPr>
      <xdr:spPr bwMode="auto">
        <a:xfrm>
          <a:off x="46110525" y="231657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81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2160000}"/>
            </a:ext>
          </a:extLst>
        </xdr:cNvPr>
        <xdr:cNvSpPr>
          <a:spLocks noChangeAspect="1" noChangeArrowheads="1"/>
        </xdr:cNvSpPr>
      </xdr:nvSpPr>
      <xdr:spPr bwMode="auto">
        <a:xfrm>
          <a:off x="46110525" y="231657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81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3160000}"/>
            </a:ext>
          </a:extLst>
        </xdr:cNvPr>
        <xdr:cNvSpPr>
          <a:spLocks noChangeAspect="1" noChangeArrowheads="1"/>
        </xdr:cNvSpPr>
      </xdr:nvSpPr>
      <xdr:spPr bwMode="auto">
        <a:xfrm>
          <a:off x="46110525" y="231952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81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4160000}"/>
            </a:ext>
          </a:extLst>
        </xdr:cNvPr>
        <xdr:cNvSpPr>
          <a:spLocks noChangeAspect="1" noChangeArrowheads="1"/>
        </xdr:cNvSpPr>
      </xdr:nvSpPr>
      <xdr:spPr bwMode="auto">
        <a:xfrm>
          <a:off x="46110525" y="231952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81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5160000}"/>
            </a:ext>
          </a:extLst>
        </xdr:cNvPr>
        <xdr:cNvSpPr>
          <a:spLocks noChangeAspect="1" noChangeArrowheads="1"/>
        </xdr:cNvSpPr>
      </xdr:nvSpPr>
      <xdr:spPr bwMode="auto">
        <a:xfrm>
          <a:off x="46110525" y="232248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81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6160000}"/>
            </a:ext>
          </a:extLst>
        </xdr:cNvPr>
        <xdr:cNvSpPr>
          <a:spLocks noChangeAspect="1" noChangeArrowheads="1"/>
        </xdr:cNvSpPr>
      </xdr:nvSpPr>
      <xdr:spPr bwMode="auto">
        <a:xfrm>
          <a:off x="46110525" y="232248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81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7160000}"/>
            </a:ext>
          </a:extLst>
        </xdr:cNvPr>
        <xdr:cNvSpPr>
          <a:spLocks noChangeAspect="1" noChangeArrowheads="1"/>
        </xdr:cNvSpPr>
      </xdr:nvSpPr>
      <xdr:spPr bwMode="auto">
        <a:xfrm>
          <a:off x="46110525" y="232543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81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8160000}"/>
            </a:ext>
          </a:extLst>
        </xdr:cNvPr>
        <xdr:cNvSpPr>
          <a:spLocks noChangeAspect="1" noChangeArrowheads="1"/>
        </xdr:cNvSpPr>
      </xdr:nvSpPr>
      <xdr:spPr bwMode="auto">
        <a:xfrm>
          <a:off x="46110525" y="232543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81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9160000}"/>
            </a:ext>
          </a:extLst>
        </xdr:cNvPr>
        <xdr:cNvSpPr>
          <a:spLocks noChangeAspect="1" noChangeArrowheads="1"/>
        </xdr:cNvSpPr>
      </xdr:nvSpPr>
      <xdr:spPr bwMode="auto">
        <a:xfrm>
          <a:off x="46110525" y="232838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81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A160000}"/>
            </a:ext>
          </a:extLst>
        </xdr:cNvPr>
        <xdr:cNvSpPr>
          <a:spLocks noChangeAspect="1" noChangeArrowheads="1"/>
        </xdr:cNvSpPr>
      </xdr:nvSpPr>
      <xdr:spPr bwMode="auto">
        <a:xfrm>
          <a:off x="46110525" y="232838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81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B160000}"/>
            </a:ext>
          </a:extLst>
        </xdr:cNvPr>
        <xdr:cNvSpPr>
          <a:spLocks noChangeAspect="1" noChangeArrowheads="1"/>
        </xdr:cNvSpPr>
      </xdr:nvSpPr>
      <xdr:spPr bwMode="auto">
        <a:xfrm>
          <a:off x="46110525" y="233133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82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C160000}"/>
            </a:ext>
          </a:extLst>
        </xdr:cNvPr>
        <xdr:cNvSpPr>
          <a:spLocks noChangeAspect="1" noChangeArrowheads="1"/>
        </xdr:cNvSpPr>
      </xdr:nvSpPr>
      <xdr:spPr bwMode="auto">
        <a:xfrm>
          <a:off x="46110525" y="233133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82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D160000}"/>
            </a:ext>
          </a:extLst>
        </xdr:cNvPr>
        <xdr:cNvSpPr>
          <a:spLocks noChangeAspect="1" noChangeArrowheads="1"/>
        </xdr:cNvSpPr>
      </xdr:nvSpPr>
      <xdr:spPr bwMode="auto">
        <a:xfrm>
          <a:off x="46110525" y="2334291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82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E160000}"/>
            </a:ext>
          </a:extLst>
        </xdr:cNvPr>
        <xdr:cNvSpPr>
          <a:spLocks noChangeAspect="1" noChangeArrowheads="1"/>
        </xdr:cNvSpPr>
      </xdr:nvSpPr>
      <xdr:spPr bwMode="auto">
        <a:xfrm>
          <a:off x="46110525" y="2334291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82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F160000}"/>
            </a:ext>
          </a:extLst>
        </xdr:cNvPr>
        <xdr:cNvSpPr>
          <a:spLocks noChangeAspect="1" noChangeArrowheads="1"/>
        </xdr:cNvSpPr>
      </xdr:nvSpPr>
      <xdr:spPr bwMode="auto">
        <a:xfrm>
          <a:off x="46110525" y="233724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82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0160000}"/>
            </a:ext>
          </a:extLst>
        </xdr:cNvPr>
        <xdr:cNvSpPr>
          <a:spLocks noChangeAspect="1" noChangeArrowheads="1"/>
        </xdr:cNvSpPr>
      </xdr:nvSpPr>
      <xdr:spPr bwMode="auto">
        <a:xfrm>
          <a:off x="46110525" y="233724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82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1160000}"/>
            </a:ext>
          </a:extLst>
        </xdr:cNvPr>
        <xdr:cNvSpPr>
          <a:spLocks noChangeAspect="1" noChangeArrowheads="1"/>
        </xdr:cNvSpPr>
      </xdr:nvSpPr>
      <xdr:spPr bwMode="auto">
        <a:xfrm>
          <a:off x="46110525" y="2340197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82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2160000}"/>
            </a:ext>
          </a:extLst>
        </xdr:cNvPr>
        <xdr:cNvSpPr>
          <a:spLocks noChangeAspect="1" noChangeArrowheads="1"/>
        </xdr:cNvSpPr>
      </xdr:nvSpPr>
      <xdr:spPr bwMode="auto">
        <a:xfrm>
          <a:off x="46110525" y="2340197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82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3160000}"/>
            </a:ext>
          </a:extLst>
        </xdr:cNvPr>
        <xdr:cNvSpPr>
          <a:spLocks noChangeAspect="1" noChangeArrowheads="1"/>
        </xdr:cNvSpPr>
      </xdr:nvSpPr>
      <xdr:spPr bwMode="auto">
        <a:xfrm>
          <a:off x="46110525" y="234315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82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4160000}"/>
            </a:ext>
          </a:extLst>
        </xdr:cNvPr>
        <xdr:cNvSpPr>
          <a:spLocks noChangeAspect="1" noChangeArrowheads="1"/>
        </xdr:cNvSpPr>
      </xdr:nvSpPr>
      <xdr:spPr bwMode="auto">
        <a:xfrm>
          <a:off x="46110525" y="234315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82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5160000}"/>
            </a:ext>
          </a:extLst>
        </xdr:cNvPr>
        <xdr:cNvSpPr>
          <a:spLocks noChangeAspect="1" noChangeArrowheads="1"/>
        </xdr:cNvSpPr>
      </xdr:nvSpPr>
      <xdr:spPr bwMode="auto">
        <a:xfrm>
          <a:off x="46110525" y="2346102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83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6160000}"/>
            </a:ext>
          </a:extLst>
        </xdr:cNvPr>
        <xdr:cNvSpPr>
          <a:spLocks noChangeAspect="1" noChangeArrowheads="1"/>
        </xdr:cNvSpPr>
      </xdr:nvSpPr>
      <xdr:spPr bwMode="auto">
        <a:xfrm>
          <a:off x="46110525" y="2346102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83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7160000}"/>
            </a:ext>
          </a:extLst>
        </xdr:cNvPr>
        <xdr:cNvSpPr>
          <a:spLocks noChangeAspect="1" noChangeArrowheads="1"/>
        </xdr:cNvSpPr>
      </xdr:nvSpPr>
      <xdr:spPr bwMode="auto">
        <a:xfrm>
          <a:off x="46110525" y="234905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83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8160000}"/>
            </a:ext>
          </a:extLst>
        </xdr:cNvPr>
        <xdr:cNvSpPr>
          <a:spLocks noChangeAspect="1" noChangeArrowheads="1"/>
        </xdr:cNvSpPr>
      </xdr:nvSpPr>
      <xdr:spPr bwMode="auto">
        <a:xfrm>
          <a:off x="46110525" y="234905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83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9160000}"/>
            </a:ext>
          </a:extLst>
        </xdr:cNvPr>
        <xdr:cNvSpPr>
          <a:spLocks noChangeAspect="1" noChangeArrowheads="1"/>
        </xdr:cNvSpPr>
      </xdr:nvSpPr>
      <xdr:spPr bwMode="auto">
        <a:xfrm>
          <a:off x="46110525" y="235200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83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A160000}"/>
            </a:ext>
          </a:extLst>
        </xdr:cNvPr>
        <xdr:cNvSpPr>
          <a:spLocks noChangeAspect="1" noChangeArrowheads="1"/>
        </xdr:cNvSpPr>
      </xdr:nvSpPr>
      <xdr:spPr bwMode="auto">
        <a:xfrm>
          <a:off x="46110525" y="235200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83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B160000}"/>
            </a:ext>
          </a:extLst>
        </xdr:cNvPr>
        <xdr:cNvSpPr>
          <a:spLocks noChangeAspect="1" noChangeArrowheads="1"/>
        </xdr:cNvSpPr>
      </xdr:nvSpPr>
      <xdr:spPr bwMode="auto">
        <a:xfrm>
          <a:off x="46110525" y="235496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83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C160000}"/>
            </a:ext>
          </a:extLst>
        </xdr:cNvPr>
        <xdr:cNvSpPr>
          <a:spLocks noChangeAspect="1" noChangeArrowheads="1"/>
        </xdr:cNvSpPr>
      </xdr:nvSpPr>
      <xdr:spPr bwMode="auto">
        <a:xfrm>
          <a:off x="46110525" y="235496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83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D160000}"/>
            </a:ext>
          </a:extLst>
        </xdr:cNvPr>
        <xdr:cNvSpPr>
          <a:spLocks noChangeAspect="1" noChangeArrowheads="1"/>
        </xdr:cNvSpPr>
      </xdr:nvSpPr>
      <xdr:spPr bwMode="auto">
        <a:xfrm>
          <a:off x="46110525" y="235791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83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E160000}"/>
            </a:ext>
          </a:extLst>
        </xdr:cNvPr>
        <xdr:cNvSpPr>
          <a:spLocks noChangeAspect="1" noChangeArrowheads="1"/>
        </xdr:cNvSpPr>
      </xdr:nvSpPr>
      <xdr:spPr bwMode="auto">
        <a:xfrm>
          <a:off x="46110525" y="235791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83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F160000}"/>
            </a:ext>
          </a:extLst>
        </xdr:cNvPr>
        <xdr:cNvSpPr>
          <a:spLocks noChangeAspect="1" noChangeArrowheads="1"/>
        </xdr:cNvSpPr>
      </xdr:nvSpPr>
      <xdr:spPr bwMode="auto">
        <a:xfrm>
          <a:off x="46110525" y="236086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84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0160000}"/>
            </a:ext>
          </a:extLst>
        </xdr:cNvPr>
        <xdr:cNvSpPr>
          <a:spLocks noChangeAspect="1" noChangeArrowheads="1"/>
        </xdr:cNvSpPr>
      </xdr:nvSpPr>
      <xdr:spPr bwMode="auto">
        <a:xfrm>
          <a:off x="46110525" y="236086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84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1160000}"/>
            </a:ext>
          </a:extLst>
        </xdr:cNvPr>
        <xdr:cNvSpPr>
          <a:spLocks noChangeAspect="1" noChangeArrowheads="1"/>
        </xdr:cNvSpPr>
      </xdr:nvSpPr>
      <xdr:spPr bwMode="auto">
        <a:xfrm>
          <a:off x="46110525" y="2363819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84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2160000}"/>
            </a:ext>
          </a:extLst>
        </xdr:cNvPr>
        <xdr:cNvSpPr>
          <a:spLocks noChangeAspect="1" noChangeArrowheads="1"/>
        </xdr:cNvSpPr>
      </xdr:nvSpPr>
      <xdr:spPr bwMode="auto">
        <a:xfrm>
          <a:off x="46110525" y="2363819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84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3160000}"/>
            </a:ext>
          </a:extLst>
        </xdr:cNvPr>
        <xdr:cNvSpPr>
          <a:spLocks noChangeAspect="1" noChangeArrowheads="1"/>
        </xdr:cNvSpPr>
      </xdr:nvSpPr>
      <xdr:spPr bwMode="auto">
        <a:xfrm>
          <a:off x="46110525" y="236677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84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4160000}"/>
            </a:ext>
          </a:extLst>
        </xdr:cNvPr>
        <xdr:cNvSpPr>
          <a:spLocks noChangeAspect="1" noChangeArrowheads="1"/>
        </xdr:cNvSpPr>
      </xdr:nvSpPr>
      <xdr:spPr bwMode="auto">
        <a:xfrm>
          <a:off x="46110525" y="236677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84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5160000}"/>
            </a:ext>
          </a:extLst>
        </xdr:cNvPr>
        <xdr:cNvSpPr>
          <a:spLocks noChangeAspect="1" noChangeArrowheads="1"/>
        </xdr:cNvSpPr>
      </xdr:nvSpPr>
      <xdr:spPr bwMode="auto">
        <a:xfrm>
          <a:off x="46110525" y="2369724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84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6160000}"/>
            </a:ext>
          </a:extLst>
        </xdr:cNvPr>
        <xdr:cNvSpPr>
          <a:spLocks noChangeAspect="1" noChangeArrowheads="1"/>
        </xdr:cNvSpPr>
      </xdr:nvSpPr>
      <xdr:spPr bwMode="auto">
        <a:xfrm>
          <a:off x="46110525" y="2369724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84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7160000}"/>
            </a:ext>
          </a:extLst>
        </xdr:cNvPr>
        <xdr:cNvSpPr>
          <a:spLocks noChangeAspect="1" noChangeArrowheads="1"/>
        </xdr:cNvSpPr>
      </xdr:nvSpPr>
      <xdr:spPr bwMode="auto">
        <a:xfrm>
          <a:off x="46110525" y="237267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84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8160000}"/>
            </a:ext>
          </a:extLst>
        </xdr:cNvPr>
        <xdr:cNvSpPr>
          <a:spLocks noChangeAspect="1" noChangeArrowheads="1"/>
        </xdr:cNvSpPr>
      </xdr:nvSpPr>
      <xdr:spPr bwMode="auto">
        <a:xfrm>
          <a:off x="46110525" y="237267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84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9160000}"/>
            </a:ext>
          </a:extLst>
        </xdr:cNvPr>
        <xdr:cNvSpPr>
          <a:spLocks noChangeAspect="1" noChangeArrowheads="1"/>
        </xdr:cNvSpPr>
      </xdr:nvSpPr>
      <xdr:spPr bwMode="auto">
        <a:xfrm>
          <a:off x="46110525" y="237563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85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A160000}"/>
            </a:ext>
          </a:extLst>
        </xdr:cNvPr>
        <xdr:cNvSpPr>
          <a:spLocks noChangeAspect="1" noChangeArrowheads="1"/>
        </xdr:cNvSpPr>
      </xdr:nvSpPr>
      <xdr:spPr bwMode="auto">
        <a:xfrm>
          <a:off x="46110525" y="237563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85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B160000}"/>
            </a:ext>
          </a:extLst>
        </xdr:cNvPr>
        <xdr:cNvSpPr>
          <a:spLocks noChangeAspect="1" noChangeArrowheads="1"/>
        </xdr:cNvSpPr>
      </xdr:nvSpPr>
      <xdr:spPr bwMode="auto">
        <a:xfrm>
          <a:off x="46110525" y="237858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85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C160000}"/>
            </a:ext>
          </a:extLst>
        </xdr:cNvPr>
        <xdr:cNvSpPr>
          <a:spLocks noChangeAspect="1" noChangeArrowheads="1"/>
        </xdr:cNvSpPr>
      </xdr:nvSpPr>
      <xdr:spPr bwMode="auto">
        <a:xfrm>
          <a:off x="46110525" y="237858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85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D160000}"/>
            </a:ext>
          </a:extLst>
        </xdr:cNvPr>
        <xdr:cNvSpPr>
          <a:spLocks noChangeAspect="1" noChangeArrowheads="1"/>
        </xdr:cNvSpPr>
      </xdr:nvSpPr>
      <xdr:spPr bwMode="auto">
        <a:xfrm>
          <a:off x="46110525" y="238153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85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E160000}"/>
            </a:ext>
          </a:extLst>
        </xdr:cNvPr>
        <xdr:cNvSpPr>
          <a:spLocks noChangeAspect="1" noChangeArrowheads="1"/>
        </xdr:cNvSpPr>
      </xdr:nvSpPr>
      <xdr:spPr bwMode="auto">
        <a:xfrm>
          <a:off x="46110525" y="238153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85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F160000}"/>
            </a:ext>
          </a:extLst>
        </xdr:cNvPr>
        <xdr:cNvSpPr>
          <a:spLocks noChangeAspect="1" noChangeArrowheads="1"/>
        </xdr:cNvSpPr>
      </xdr:nvSpPr>
      <xdr:spPr bwMode="auto">
        <a:xfrm>
          <a:off x="46110525" y="238448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85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0160000}"/>
            </a:ext>
          </a:extLst>
        </xdr:cNvPr>
        <xdr:cNvSpPr>
          <a:spLocks noChangeAspect="1" noChangeArrowheads="1"/>
        </xdr:cNvSpPr>
      </xdr:nvSpPr>
      <xdr:spPr bwMode="auto">
        <a:xfrm>
          <a:off x="46110525" y="238448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85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1160000}"/>
            </a:ext>
          </a:extLst>
        </xdr:cNvPr>
        <xdr:cNvSpPr>
          <a:spLocks noChangeAspect="1" noChangeArrowheads="1"/>
        </xdr:cNvSpPr>
      </xdr:nvSpPr>
      <xdr:spPr bwMode="auto">
        <a:xfrm>
          <a:off x="46110525" y="2387441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85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2160000}"/>
            </a:ext>
          </a:extLst>
        </xdr:cNvPr>
        <xdr:cNvSpPr>
          <a:spLocks noChangeAspect="1" noChangeArrowheads="1"/>
        </xdr:cNvSpPr>
      </xdr:nvSpPr>
      <xdr:spPr bwMode="auto">
        <a:xfrm>
          <a:off x="46110525" y="2387441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85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3160000}"/>
            </a:ext>
          </a:extLst>
        </xdr:cNvPr>
        <xdr:cNvSpPr>
          <a:spLocks noChangeAspect="1" noChangeArrowheads="1"/>
        </xdr:cNvSpPr>
      </xdr:nvSpPr>
      <xdr:spPr bwMode="auto">
        <a:xfrm>
          <a:off x="46110525" y="239039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86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4160000}"/>
            </a:ext>
          </a:extLst>
        </xdr:cNvPr>
        <xdr:cNvSpPr>
          <a:spLocks noChangeAspect="1" noChangeArrowheads="1"/>
        </xdr:cNvSpPr>
      </xdr:nvSpPr>
      <xdr:spPr bwMode="auto">
        <a:xfrm>
          <a:off x="46110525" y="239039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86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5160000}"/>
            </a:ext>
          </a:extLst>
        </xdr:cNvPr>
        <xdr:cNvSpPr>
          <a:spLocks noChangeAspect="1" noChangeArrowheads="1"/>
        </xdr:cNvSpPr>
      </xdr:nvSpPr>
      <xdr:spPr bwMode="auto">
        <a:xfrm>
          <a:off x="46110525" y="2393346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86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6160000}"/>
            </a:ext>
          </a:extLst>
        </xdr:cNvPr>
        <xdr:cNvSpPr>
          <a:spLocks noChangeAspect="1" noChangeArrowheads="1"/>
        </xdr:cNvSpPr>
      </xdr:nvSpPr>
      <xdr:spPr bwMode="auto">
        <a:xfrm>
          <a:off x="46110525" y="2393346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86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7160000}"/>
            </a:ext>
          </a:extLst>
        </xdr:cNvPr>
        <xdr:cNvSpPr>
          <a:spLocks noChangeAspect="1" noChangeArrowheads="1"/>
        </xdr:cNvSpPr>
      </xdr:nvSpPr>
      <xdr:spPr bwMode="auto">
        <a:xfrm>
          <a:off x="46110525" y="239629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86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8160000}"/>
            </a:ext>
          </a:extLst>
        </xdr:cNvPr>
        <xdr:cNvSpPr>
          <a:spLocks noChangeAspect="1" noChangeArrowheads="1"/>
        </xdr:cNvSpPr>
      </xdr:nvSpPr>
      <xdr:spPr bwMode="auto">
        <a:xfrm>
          <a:off x="46110525" y="239629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86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9160000}"/>
            </a:ext>
          </a:extLst>
        </xdr:cNvPr>
        <xdr:cNvSpPr>
          <a:spLocks noChangeAspect="1" noChangeArrowheads="1"/>
        </xdr:cNvSpPr>
      </xdr:nvSpPr>
      <xdr:spPr bwMode="auto">
        <a:xfrm>
          <a:off x="46110525" y="239925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86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A160000}"/>
            </a:ext>
          </a:extLst>
        </xdr:cNvPr>
        <xdr:cNvSpPr>
          <a:spLocks noChangeAspect="1" noChangeArrowheads="1"/>
        </xdr:cNvSpPr>
      </xdr:nvSpPr>
      <xdr:spPr bwMode="auto">
        <a:xfrm>
          <a:off x="46110525" y="239925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86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B160000}"/>
            </a:ext>
          </a:extLst>
        </xdr:cNvPr>
        <xdr:cNvSpPr>
          <a:spLocks noChangeAspect="1" noChangeArrowheads="1"/>
        </xdr:cNvSpPr>
      </xdr:nvSpPr>
      <xdr:spPr bwMode="auto">
        <a:xfrm>
          <a:off x="46110525" y="24022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86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C160000}"/>
            </a:ext>
          </a:extLst>
        </xdr:cNvPr>
        <xdr:cNvSpPr>
          <a:spLocks noChangeAspect="1" noChangeArrowheads="1"/>
        </xdr:cNvSpPr>
      </xdr:nvSpPr>
      <xdr:spPr bwMode="auto">
        <a:xfrm>
          <a:off x="46110525" y="240220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86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D160000}"/>
            </a:ext>
          </a:extLst>
        </xdr:cNvPr>
        <xdr:cNvSpPr>
          <a:spLocks noChangeAspect="1" noChangeArrowheads="1"/>
        </xdr:cNvSpPr>
      </xdr:nvSpPr>
      <xdr:spPr bwMode="auto">
        <a:xfrm>
          <a:off x="46110525" y="2405157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87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E160000}"/>
            </a:ext>
          </a:extLst>
        </xdr:cNvPr>
        <xdr:cNvSpPr>
          <a:spLocks noChangeAspect="1" noChangeArrowheads="1"/>
        </xdr:cNvSpPr>
      </xdr:nvSpPr>
      <xdr:spPr bwMode="auto">
        <a:xfrm>
          <a:off x="46110525" y="2405157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87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F160000}"/>
            </a:ext>
          </a:extLst>
        </xdr:cNvPr>
        <xdr:cNvSpPr>
          <a:spLocks noChangeAspect="1" noChangeArrowheads="1"/>
        </xdr:cNvSpPr>
      </xdr:nvSpPr>
      <xdr:spPr bwMode="auto">
        <a:xfrm>
          <a:off x="46110525" y="240811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87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0160000}"/>
            </a:ext>
          </a:extLst>
        </xdr:cNvPr>
        <xdr:cNvSpPr>
          <a:spLocks noChangeAspect="1" noChangeArrowheads="1"/>
        </xdr:cNvSpPr>
      </xdr:nvSpPr>
      <xdr:spPr bwMode="auto">
        <a:xfrm>
          <a:off x="46110525" y="240811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87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1160000}"/>
            </a:ext>
          </a:extLst>
        </xdr:cNvPr>
        <xdr:cNvSpPr>
          <a:spLocks noChangeAspect="1" noChangeArrowheads="1"/>
        </xdr:cNvSpPr>
      </xdr:nvSpPr>
      <xdr:spPr bwMode="auto">
        <a:xfrm>
          <a:off x="46110525" y="241106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87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2160000}"/>
            </a:ext>
          </a:extLst>
        </xdr:cNvPr>
        <xdr:cNvSpPr>
          <a:spLocks noChangeAspect="1" noChangeArrowheads="1"/>
        </xdr:cNvSpPr>
      </xdr:nvSpPr>
      <xdr:spPr bwMode="auto">
        <a:xfrm>
          <a:off x="46110525" y="241106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87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3160000}"/>
            </a:ext>
          </a:extLst>
        </xdr:cNvPr>
        <xdr:cNvSpPr>
          <a:spLocks noChangeAspect="1" noChangeArrowheads="1"/>
        </xdr:cNvSpPr>
      </xdr:nvSpPr>
      <xdr:spPr bwMode="auto">
        <a:xfrm>
          <a:off x="46110525" y="241401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87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4160000}"/>
            </a:ext>
          </a:extLst>
        </xdr:cNvPr>
        <xdr:cNvSpPr>
          <a:spLocks noChangeAspect="1" noChangeArrowheads="1"/>
        </xdr:cNvSpPr>
      </xdr:nvSpPr>
      <xdr:spPr bwMode="auto">
        <a:xfrm>
          <a:off x="46110525" y="241401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87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5160000}"/>
            </a:ext>
          </a:extLst>
        </xdr:cNvPr>
        <xdr:cNvSpPr>
          <a:spLocks noChangeAspect="1" noChangeArrowheads="1"/>
        </xdr:cNvSpPr>
      </xdr:nvSpPr>
      <xdr:spPr bwMode="auto">
        <a:xfrm>
          <a:off x="46110525" y="241696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87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6160000}"/>
            </a:ext>
          </a:extLst>
        </xdr:cNvPr>
        <xdr:cNvSpPr>
          <a:spLocks noChangeAspect="1" noChangeArrowheads="1"/>
        </xdr:cNvSpPr>
      </xdr:nvSpPr>
      <xdr:spPr bwMode="auto">
        <a:xfrm>
          <a:off x="46110525" y="241696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87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7160000}"/>
            </a:ext>
          </a:extLst>
        </xdr:cNvPr>
        <xdr:cNvSpPr>
          <a:spLocks noChangeAspect="1" noChangeArrowheads="1"/>
        </xdr:cNvSpPr>
      </xdr:nvSpPr>
      <xdr:spPr bwMode="auto">
        <a:xfrm>
          <a:off x="46110525" y="241992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88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8160000}"/>
            </a:ext>
          </a:extLst>
        </xdr:cNvPr>
        <xdr:cNvSpPr>
          <a:spLocks noChangeAspect="1" noChangeArrowheads="1"/>
        </xdr:cNvSpPr>
      </xdr:nvSpPr>
      <xdr:spPr bwMode="auto">
        <a:xfrm>
          <a:off x="46110525" y="241992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88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9160000}"/>
            </a:ext>
          </a:extLst>
        </xdr:cNvPr>
        <xdr:cNvSpPr>
          <a:spLocks noChangeAspect="1" noChangeArrowheads="1"/>
        </xdr:cNvSpPr>
      </xdr:nvSpPr>
      <xdr:spPr bwMode="auto">
        <a:xfrm>
          <a:off x="46110525" y="2422874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88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A160000}"/>
            </a:ext>
          </a:extLst>
        </xdr:cNvPr>
        <xdr:cNvSpPr>
          <a:spLocks noChangeAspect="1" noChangeArrowheads="1"/>
        </xdr:cNvSpPr>
      </xdr:nvSpPr>
      <xdr:spPr bwMode="auto">
        <a:xfrm>
          <a:off x="46110525" y="2422874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88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B160000}"/>
            </a:ext>
          </a:extLst>
        </xdr:cNvPr>
        <xdr:cNvSpPr>
          <a:spLocks noChangeAspect="1" noChangeArrowheads="1"/>
        </xdr:cNvSpPr>
      </xdr:nvSpPr>
      <xdr:spPr bwMode="auto">
        <a:xfrm>
          <a:off x="46110525" y="242582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88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C160000}"/>
            </a:ext>
          </a:extLst>
        </xdr:cNvPr>
        <xdr:cNvSpPr>
          <a:spLocks noChangeAspect="1" noChangeArrowheads="1"/>
        </xdr:cNvSpPr>
      </xdr:nvSpPr>
      <xdr:spPr bwMode="auto">
        <a:xfrm>
          <a:off x="46110525" y="242582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88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D160000}"/>
            </a:ext>
          </a:extLst>
        </xdr:cNvPr>
        <xdr:cNvSpPr>
          <a:spLocks noChangeAspect="1" noChangeArrowheads="1"/>
        </xdr:cNvSpPr>
      </xdr:nvSpPr>
      <xdr:spPr bwMode="auto">
        <a:xfrm>
          <a:off x="46110525" y="2428779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88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E160000}"/>
            </a:ext>
          </a:extLst>
        </xdr:cNvPr>
        <xdr:cNvSpPr>
          <a:spLocks noChangeAspect="1" noChangeArrowheads="1"/>
        </xdr:cNvSpPr>
      </xdr:nvSpPr>
      <xdr:spPr bwMode="auto">
        <a:xfrm>
          <a:off x="46110525" y="2428779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88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F160000}"/>
            </a:ext>
          </a:extLst>
        </xdr:cNvPr>
        <xdr:cNvSpPr>
          <a:spLocks noChangeAspect="1" noChangeArrowheads="1"/>
        </xdr:cNvSpPr>
      </xdr:nvSpPr>
      <xdr:spPr bwMode="auto">
        <a:xfrm>
          <a:off x="46110525" y="243173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88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0170000}"/>
            </a:ext>
          </a:extLst>
        </xdr:cNvPr>
        <xdr:cNvSpPr>
          <a:spLocks noChangeAspect="1" noChangeArrowheads="1"/>
        </xdr:cNvSpPr>
      </xdr:nvSpPr>
      <xdr:spPr bwMode="auto">
        <a:xfrm>
          <a:off x="46110525" y="243173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88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1170000}"/>
            </a:ext>
          </a:extLst>
        </xdr:cNvPr>
        <xdr:cNvSpPr>
          <a:spLocks noChangeAspect="1" noChangeArrowheads="1"/>
        </xdr:cNvSpPr>
      </xdr:nvSpPr>
      <xdr:spPr bwMode="auto">
        <a:xfrm>
          <a:off x="46110525" y="243468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89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2170000}"/>
            </a:ext>
          </a:extLst>
        </xdr:cNvPr>
        <xdr:cNvSpPr>
          <a:spLocks noChangeAspect="1" noChangeArrowheads="1"/>
        </xdr:cNvSpPr>
      </xdr:nvSpPr>
      <xdr:spPr bwMode="auto">
        <a:xfrm>
          <a:off x="46110525" y="243468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89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3170000}"/>
            </a:ext>
          </a:extLst>
        </xdr:cNvPr>
        <xdr:cNvSpPr>
          <a:spLocks noChangeAspect="1" noChangeArrowheads="1"/>
        </xdr:cNvSpPr>
      </xdr:nvSpPr>
      <xdr:spPr bwMode="auto">
        <a:xfrm>
          <a:off x="46110525" y="243763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89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4170000}"/>
            </a:ext>
          </a:extLst>
        </xdr:cNvPr>
        <xdr:cNvSpPr>
          <a:spLocks noChangeAspect="1" noChangeArrowheads="1"/>
        </xdr:cNvSpPr>
      </xdr:nvSpPr>
      <xdr:spPr bwMode="auto">
        <a:xfrm>
          <a:off x="46110525" y="243763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89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5170000}"/>
            </a:ext>
          </a:extLst>
        </xdr:cNvPr>
        <xdr:cNvSpPr>
          <a:spLocks noChangeAspect="1" noChangeArrowheads="1"/>
        </xdr:cNvSpPr>
      </xdr:nvSpPr>
      <xdr:spPr bwMode="auto">
        <a:xfrm>
          <a:off x="46110525" y="244059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89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6170000}"/>
            </a:ext>
          </a:extLst>
        </xdr:cNvPr>
        <xdr:cNvSpPr>
          <a:spLocks noChangeAspect="1" noChangeArrowheads="1"/>
        </xdr:cNvSpPr>
      </xdr:nvSpPr>
      <xdr:spPr bwMode="auto">
        <a:xfrm>
          <a:off x="46110525" y="244059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89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7170000}"/>
            </a:ext>
          </a:extLst>
        </xdr:cNvPr>
        <xdr:cNvSpPr>
          <a:spLocks noChangeAspect="1" noChangeArrowheads="1"/>
        </xdr:cNvSpPr>
      </xdr:nvSpPr>
      <xdr:spPr bwMode="auto">
        <a:xfrm>
          <a:off x="46110525" y="244354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89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8170000}"/>
            </a:ext>
          </a:extLst>
        </xdr:cNvPr>
        <xdr:cNvSpPr>
          <a:spLocks noChangeAspect="1" noChangeArrowheads="1"/>
        </xdr:cNvSpPr>
      </xdr:nvSpPr>
      <xdr:spPr bwMode="auto">
        <a:xfrm>
          <a:off x="46110525" y="244354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89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9170000}"/>
            </a:ext>
          </a:extLst>
        </xdr:cNvPr>
        <xdr:cNvSpPr>
          <a:spLocks noChangeAspect="1" noChangeArrowheads="1"/>
        </xdr:cNvSpPr>
      </xdr:nvSpPr>
      <xdr:spPr bwMode="auto">
        <a:xfrm>
          <a:off x="46110525" y="244649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89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A170000}"/>
            </a:ext>
          </a:extLst>
        </xdr:cNvPr>
        <xdr:cNvSpPr>
          <a:spLocks noChangeAspect="1" noChangeArrowheads="1"/>
        </xdr:cNvSpPr>
      </xdr:nvSpPr>
      <xdr:spPr bwMode="auto">
        <a:xfrm>
          <a:off x="46110525" y="244649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89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B170000}"/>
            </a:ext>
          </a:extLst>
        </xdr:cNvPr>
        <xdr:cNvSpPr>
          <a:spLocks noChangeAspect="1" noChangeArrowheads="1"/>
        </xdr:cNvSpPr>
      </xdr:nvSpPr>
      <xdr:spPr bwMode="auto">
        <a:xfrm>
          <a:off x="46110525" y="244944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90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C170000}"/>
            </a:ext>
          </a:extLst>
        </xdr:cNvPr>
        <xdr:cNvSpPr>
          <a:spLocks noChangeAspect="1" noChangeArrowheads="1"/>
        </xdr:cNvSpPr>
      </xdr:nvSpPr>
      <xdr:spPr bwMode="auto">
        <a:xfrm>
          <a:off x="46110525" y="244944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90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D170000}"/>
            </a:ext>
          </a:extLst>
        </xdr:cNvPr>
        <xdr:cNvSpPr>
          <a:spLocks noChangeAspect="1" noChangeArrowheads="1"/>
        </xdr:cNvSpPr>
      </xdr:nvSpPr>
      <xdr:spPr bwMode="auto">
        <a:xfrm>
          <a:off x="46110525" y="2452401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90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E170000}"/>
            </a:ext>
          </a:extLst>
        </xdr:cNvPr>
        <xdr:cNvSpPr>
          <a:spLocks noChangeAspect="1" noChangeArrowheads="1"/>
        </xdr:cNvSpPr>
      </xdr:nvSpPr>
      <xdr:spPr bwMode="auto">
        <a:xfrm>
          <a:off x="46110525" y="2452401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90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F170000}"/>
            </a:ext>
          </a:extLst>
        </xdr:cNvPr>
        <xdr:cNvSpPr>
          <a:spLocks noChangeAspect="1" noChangeArrowheads="1"/>
        </xdr:cNvSpPr>
      </xdr:nvSpPr>
      <xdr:spPr bwMode="auto">
        <a:xfrm>
          <a:off x="46110525" y="245535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90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0170000}"/>
            </a:ext>
          </a:extLst>
        </xdr:cNvPr>
        <xdr:cNvSpPr>
          <a:spLocks noChangeAspect="1" noChangeArrowheads="1"/>
        </xdr:cNvSpPr>
      </xdr:nvSpPr>
      <xdr:spPr bwMode="auto">
        <a:xfrm>
          <a:off x="46110525" y="245535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90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1170000}"/>
            </a:ext>
          </a:extLst>
        </xdr:cNvPr>
        <xdr:cNvSpPr>
          <a:spLocks noChangeAspect="1" noChangeArrowheads="1"/>
        </xdr:cNvSpPr>
      </xdr:nvSpPr>
      <xdr:spPr bwMode="auto">
        <a:xfrm>
          <a:off x="46110525" y="2458307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90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2170000}"/>
            </a:ext>
          </a:extLst>
        </xdr:cNvPr>
        <xdr:cNvSpPr>
          <a:spLocks noChangeAspect="1" noChangeArrowheads="1"/>
        </xdr:cNvSpPr>
      </xdr:nvSpPr>
      <xdr:spPr bwMode="auto">
        <a:xfrm>
          <a:off x="46110525" y="2458307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90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3170000}"/>
            </a:ext>
          </a:extLst>
        </xdr:cNvPr>
        <xdr:cNvSpPr>
          <a:spLocks noChangeAspect="1" noChangeArrowheads="1"/>
        </xdr:cNvSpPr>
      </xdr:nvSpPr>
      <xdr:spPr bwMode="auto">
        <a:xfrm>
          <a:off x="46110525" y="246126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90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4170000}"/>
            </a:ext>
          </a:extLst>
        </xdr:cNvPr>
        <xdr:cNvSpPr>
          <a:spLocks noChangeAspect="1" noChangeArrowheads="1"/>
        </xdr:cNvSpPr>
      </xdr:nvSpPr>
      <xdr:spPr bwMode="auto">
        <a:xfrm>
          <a:off x="46110525" y="246126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90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5170000}"/>
            </a:ext>
          </a:extLst>
        </xdr:cNvPr>
        <xdr:cNvSpPr>
          <a:spLocks noChangeAspect="1" noChangeArrowheads="1"/>
        </xdr:cNvSpPr>
      </xdr:nvSpPr>
      <xdr:spPr bwMode="auto">
        <a:xfrm>
          <a:off x="46110525" y="2464212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91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6170000}"/>
            </a:ext>
          </a:extLst>
        </xdr:cNvPr>
        <xdr:cNvSpPr>
          <a:spLocks noChangeAspect="1" noChangeArrowheads="1"/>
        </xdr:cNvSpPr>
      </xdr:nvSpPr>
      <xdr:spPr bwMode="auto">
        <a:xfrm>
          <a:off x="46110525" y="2464212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91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7170000}"/>
            </a:ext>
          </a:extLst>
        </xdr:cNvPr>
        <xdr:cNvSpPr>
          <a:spLocks noChangeAspect="1" noChangeArrowheads="1"/>
        </xdr:cNvSpPr>
      </xdr:nvSpPr>
      <xdr:spPr bwMode="auto">
        <a:xfrm>
          <a:off x="46110525" y="246716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91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8170000}"/>
            </a:ext>
          </a:extLst>
        </xdr:cNvPr>
        <xdr:cNvSpPr>
          <a:spLocks noChangeAspect="1" noChangeArrowheads="1"/>
        </xdr:cNvSpPr>
      </xdr:nvSpPr>
      <xdr:spPr bwMode="auto">
        <a:xfrm>
          <a:off x="46110525" y="246716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91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9170000}"/>
            </a:ext>
          </a:extLst>
        </xdr:cNvPr>
        <xdr:cNvSpPr>
          <a:spLocks noChangeAspect="1" noChangeArrowheads="1"/>
        </xdr:cNvSpPr>
      </xdr:nvSpPr>
      <xdr:spPr bwMode="auto">
        <a:xfrm>
          <a:off x="46110525" y="247011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91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A170000}"/>
            </a:ext>
          </a:extLst>
        </xdr:cNvPr>
        <xdr:cNvSpPr>
          <a:spLocks noChangeAspect="1" noChangeArrowheads="1"/>
        </xdr:cNvSpPr>
      </xdr:nvSpPr>
      <xdr:spPr bwMode="auto">
        <a:xfrm>
          <a:off x="46110525" y="247011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91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B170000}"/>
            </a:ext>
          </a:extLst>
        </xdr:cNvPr>
        <xdr:cNvSpPr>
          <a:spLocks noChangeAspect="1" noChangeArrowheads="1"/>
        </xdr:cNvSpPr>
      </xdr:nvSpPr>
      <xdr:spPr bwMode="auto">
        <a:xfrm>
          <a:off x="46110525" y="247307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91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C170000}"/>
            </a:ext>
          </a:extLst>
        </xdr:cNvPr>
        <xdr:cNvSpPr>
          <a:spLocks noChangeAspect="1" noChangeArrowheads="1"/>
        </xdr:cNvSpPr>
      </xdr:nvSpPr>
      <xdr:spPr bwMode="auto">
        <a:xfrm>
          <a:off x="46110525" y="247307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91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D170000}"/>
            </a:ext>
          </a:extLst>
        </xdr:cNvPr>
        <xdr:cNvSpPr>
          <a:spLocks noChangeAspect="1" noChangeArrowheads="1"/>
        </xdr:cNvSpPr>
      </xdr:nvSpPr>
      <xdr:spPr bwMode="auto">
        <a:xfrm>
          <a:off x="46110525" y="247602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91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E170000}"/>
            </a:ext>
          </a:extLst>
        </xdr:cNvPr>
        <xdr:cNvSpPr>
          <a:spLocks noChangeAspect="1" noChangeArrowheads="1"/>
        </xdr:cNvSpPr>
      </xdr:nvSpPr>
      <xdr:spPr bwMode="auto">
        <a:xfrm>
          <a:off x="46110525" y="247602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91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F170000}"/>
            </a:ext>
          </a:extLst>
        </xdr:cNvPr>
        <xdr:cNvSpPr>
          <a:spLocks noChangeAspect="1" noChangeArrowheads="1"/>
        </xdr:cNvSpPr>
      </xdr:nvSpPr>
      <xdr:spPr bwMode="auto">
        <a:xfrm>
          <a:off x="46110525" y="247897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92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0170000}"/>
            </a:ext>
          </a:extLst>
        </xdr:cNvPr>
        <xdr:cNvSpPr>
          <a:spLocks noChangeAspect="1" noChangeArrowheads="1"/>
        </xdr:cNvSpPr>
      </xdr:nvSpPr>
      <xdr:spPr bwMode="auto">
        <a:xfrm>
          <a:off x="46110525" y="247897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92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1170000}"/>
            </a:ext>
          </a:extLst>
        </xdr:cNvPr>
        <xdr:cNvSpPr>
          <a:spLocks noChangeAspect="1" noChangeArrowheads="1"/>
        </xdr:cNvSpPr>
      </xdr:nvSpPr>
      <xdr:spPr bwMode="auto">
        <a:xfrm>
          <a:off x="46110525" y="2481929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92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2170000}"/>
            </a:ext>
          </a:extLst>
        </xdr:cNvPr>
        <xdr:cNvSpPr>
          <a:spLocks noChangeAspect="1" noChangeArrowheads="1"/>
        </xdr:cNvSpPr>
      </xdr:nvSpPr>
      <xdr:spPr bwMode="auto">
        <a:xfrm>
          <a:off x="46110525" y="2481929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92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3170000}"/>
            </a:ext>
          </a:extLst>
        </xdr:cNvPr>
        <xdr:cNvSpPr>
          <a:spLocks noChangeAspect="1" noChangeArrowheads="1"/>
        </xdr:cNvSpPr>
      </xdr:nvSpPr>
      <xdr:spPr bwMode="auto">
        <a:xfrm>
          <a:off x="46110525" y="24848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92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4170000}"/>
            </a:ext>
          </a:extLst>
        </xdr:cNvPr>
        <xdr:cNvSpPr>
          <a:spLocks noChangeAspect="1" noChangeArrowheads="1"/>
        </xdr:cNvSpPr>
      </xdr:nvSpPr>
      <xdr:spPr bwMode="auto">
        <a:xfrm>
          <a:off x="46110525" y="248488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92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5170000}"/>
            </a:ext>
          </a:extLst>
        </xdr:cNvPr>
        <xdr:cNvSpPr>
          <a:spLocks noChangeAspect="1" noChangeArrowheads="1"/>
        </xdr:cNvSpPr>
      </xdr:nvSpPr>
      <xdr:spPr bwMode="auto">
        <a:xfrm>
          <a:off x="46110525" y="2487834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92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6170000}"/>
            </a:ext>
          </a:extLst>
        </xdr:cNvPr>
        <xdr:cNvSpPr>
          <a:spLocks noChangeAspect="1" noChangeArrowheads="1"/>
        </xdr:cNvSpPr>
      </xdr:nvSpPr>
      <xdr:spPr bwMode="auto">
        <a:xfrm>
          <a:off x="46110525" y="2487834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92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7170000}"/>
            </a:ext>
          </a:extLst>
        </xdr:cNvPr>
        <xdr:cNvSpPr>
          <a:spLocks noChangeAspect="1" noChangeArrowheads="1"/>
        </xdr:cNvSpPr>
      </xdr:nvSpPr>
      <xdr:spPr bwMode="auto">
        <a:xfrm>
          <a:off x="46110525" y="249078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92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8170000}"/>
            </a:ext>
          </a:extLst>
        </xdr:cNvPr>
        <xdr:cNvSpPr>
          <a:spLocks noChangeAspect="1" noChangeArrowheads="1"/>
        </xdr:cNvSpPr>
      </xdr:nvSpPr>
      <xdr:spPr bwMode="auto">
        <a:xfrm>
          <a:off x="46110525" y="249078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92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9170000}"/>
            </a:ext>
          </a:extLst>
        </xdr:cNvPr>
        <xdr:cNvSpPr>
          <a:spLocks noChangeAspect="1" noChangeArrowheads="1"/>
        </xdr:cNvSpPr>
      </xdr:nvSpPr>
      <xdr:spPr bwMode="auto">
        <a:xfrm>
          <a:off x="46110525" y="249374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93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A170000}"/>
            </a:ext>
          </a:extLst>
        </xdr:cNvPr>
        <xdr:cNvSpPr>
          <a:spLocks noChangeAspect="1" noChangeArrowheads="1"/>
        </xdr:cNvSpPr>
      </xdr:nvSpPr>
      <xdr:spPr bwMode="auto">
        <a:xfrm>
          <a:off x="46110525" y="249374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93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B170000}"/>
            </a:ext>
          </a:extLst>
        </xdr:cNvPr>
        <xdr:cNvSpPr>
          <a:spLocks noChangeAspect="1" noChangeArrowheads="1"/>
        </xdr:cNvSpPr>
      </xdr:nvSpPr>
      <xdr:spPr bwMode="auto">
        <a:xfrm>
          <a:off x="46110525" y="249669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93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C170000}"/>
            </a:ext>
          </a:extLst>
        </xdr:cNvPr>
        <xdr:cNvSpPr>
          <a:spLocks noChangeAspect="1" noChangeArrowheads="1"/>
        </xdr:cNvSpPr>
      </xdr:nvSpPr>
      <xdr:spPr bwMode="auto">
        <a:xfrm>
          <a:off x="46110525" y="249669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93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D170000}"/>
            </a:ext>
          </a:extLst>
        </xdr:cNvPr>
        <xdr:cNvSpPr>
          <a:spLocks noChangeAspect="1" noChangeArrowheads="1"/>
        </xdr:cNvSpPr>
      </xdr:nvSpPr>
      <xdr:spPr bwMode="auto">
        <a:xfrm>
          <a:off x="46110525" y="249964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93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E170000}"/>
            </a:ext>
          </a:extLst>
        </xdr:cNvPr>
        <xdr:cNvSpPr>
          <a:spLocks noChangeAspect="1" noChangeArrowheads="1"/>
        </xdr:cNvSpPr>
      </xdr:nvSpPr>
      <xdr:spPr bwMode="auto">
        <a:xfrm>
          <a:off x="46110525" y="249964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93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F170000}"/>
            </a:ext>
          </a:extLst>
        </xdr:cNvPr>
        <xdr:cNvSpPr>
          <a:spLocks noChangeAspect="1" noChangeArrowheads="1"/>
        </xdr:cNvSpPr>
      </xdr:nvSpPr>
      <xdr:spPr bwMode="auto">
        <a:xfrm>
          <a:off x="46110525" y="250259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93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0170000}"/>
            </a:ext>
          </a:extLst>
        </xdr:cNvPr>
        <xdr:cNvSpPr>
          <a:spLocks noChangeAspect="1" noChangeArrowheads="1"/>
        </xdr:cNvSpPr>
      </xdr:nvSpPr>
      <xdr:spPr bwMode="auto">
        <a:xfrm>
          <a:off x="46110525" y="250259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93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1170000}"/>
            </a:ext>
          </a:extLst>
        </xdr:cNvPr>
        <xdr:cNvSpPr>
          <a:spLocks noChangeAspect="1" noChangeArrowheads="1"/>
        </xdr:cNvSpPr>
      </xdr:nvSpPr>
      <xdr:spPr bwMode="auto">
        <a:xfrm>
          <a:off x="46110525" y="2505551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93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2170000}"/>
            </a:ext>
          </a:extLst>
        </xdr:cNvPr>
        <xdr:cNvSpPr>
          <a:spLocks noChangeAspect="1" noChangeArrowheads="1"/>
        </xdr:cNvSpPr>
      </xdr:nvSpPr>
      <xdr:spPr bwMode="auto">
        <a:xfrm>
          <a:off x="46110525" y="2505551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93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3170000}"/>
            </a:ext>
          </a:extLst>
        </xdr:cNvPr>
        <xdr:cNvSpPr>
          <a:spLocks noChangeAspect="1" noChangeArrowheads="1"/>
        </xdr:cNvSpPr>
      </xdr:nvSpPr>
      <xdr:spPr bwMode="auto">
        <a:xfrm>
          <a:off x="46110525" y="250850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94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4170000}"/>
            </a:ext>
          </a:extLst>
        </xdr:cNvPr>
        <xdr:cNvSpPr>
          <a:spLocks noChangeAspect="1" noChangeArrowheads="1"/>
        </xdr:cNvSpPr>
      </xdr:nvSpPr>
      <xdr:spPr bwMode="auto">
        <a:xfrm>
          <a:off x="46110525" y="250850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94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5170000}"/>
            </a:ext>
          </a:extLst>
        </xdr:cNvPr>
        <xdr:cNvSpPr>
          <a:spLocks noChangeAspect="1" noChangeArrowheads="1"/>
        </xdr:cNvSpPr>
      </xdr:nvSpPr>
      <xdr:spPr bwMode="auto">
        <a:xfrm>
          <a:off x="46110525" y="2511456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94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6170000}"/>
            </a:ext>
          </a:extLst>
        </xdr:cNvPr>
        <xdr:cNvSpPr>
          <a:spLocks noChangeAspect="1" noChangeArrowheads="1"/>
        </xdr:cNvSpPr>
      </xdr:nvSpPr>
      <xdr:spPr bwMode="auto">
        <a:xfrm>
          <a:off x="46110525" y="2511456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94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7170000}"/>
            </a:ext>
          </a:extLst>
        </xdr:cNvPr>
        <xdr:cNvSpPr>
          <a:spLocks noChangeAspect="1" noChangeArrowheads="1"/>
        </xdr:cNvSpPr>
      </xdr:nvSpPr>
      <xdr:spPr bwMode="auto">
        <a:xfrm>
          <a:off x="46110525" y="251440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94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8170000}"/>
            </a:ext>
          </a:extLst>
        </xdr:cNvPr>
        <xdr:cNvSpPr>
          <a:spLocks noChangeAspect="1" noChangeArrowheads="1"/>
        </xdr:cNvSpPr>
      </xdr:nvSpPr>
      <xdr:spPr bwMode="auto">
        <a:xfrm>
          <a:off x="46110525" y="251440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94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9170000}"/>
            </a:ext>
          </a:extLst>
        </xdr:cNvPr>
        <xdr:cNvSpPr>
          <a:spLocks noChangeAspect="1" noChangeArrowheads="1"/>
        </xdr:cNvSpPr>
      </xdr:nvSpPr>
      <xdr:spPr bwMode="auto">
        <a:xfrm>
          <a:off x="46110525" y="251736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94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A170000}"/>
            </a:ext>
          </a:extLst>
        </xdr:cNvPr>
        <xdr:cNvSpPr>
          <a:spLocks noChangeAspect="1" noChangeArrowheads="1"/>
        </xdr:cNvSpPr>
      </xdr:nvSpPr>
      <xdr:spPr bwMode="auto">
        <a:xfrm>
          <a:off x="46110525" y="251736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94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B170000}"/>
            </a:ext>
          </a:extLst>
        </xdr:cNvPr>
        <xdr:cNvSpPr>
          <a:spLocks noChangeAspect="1" noChangeArrowheads="1"/>
        </xdr:cNvSpPr>
      </xdr:nvSpPr>
      <xdr:spPr bwMode="auto">
        <a:xfrm>
          <a:off x="46110525" y="252031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94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C170000}"/>
            </a:ext>
          </a:extLst>
        </xdr:cNvPr>
        <xdr:cNvSpPr>
          <a:spLocks noChangeAspect="1" noChangeArrowheads="1"/>
        </xdr:cNvSpPr>
      </xdr:nvSpPr>
      <xdr:spPr bwMode="auto">
        <a:xfrm>
          <a:off x="46110525" y="252031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94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D170000}"/>
            </a:ext>
          </a:extLst>
        </xdr:cNvPr>
        <xdr:cNvSpPr>
          <a:spLocks noChangeAspect="1" noChangeArrowheads="1"/>
        </xdr:cNvSpPr>
      </xdr:nvSpPr>
      <xdr:spPr bwMode="auto">
        <a:xfrm>
          <a:off x="46110525" y="2523267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95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E170000}"/>
            </a:ext>
          </a:extLst>
        </xdr:cNvPr>
        <xdr:cNvSpPr>
          <a:spLocks noChangeAspect="1" noChangeArrowheads="1"/>
        </xdr:cNvSpPr>
      </xdr:nvSpPr>
      <xdr:spPr bwMode="auto">
        <a:xfrm>
          <a:off x="46110525" y="2523267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95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F170000}"/>
            </a:ext>
          </a:extLst>
        </xdr:cNvPr>
        <xdr:cNvSpPr>
          <a:spLocks noChangeAspect="1" noChangeArrowheads="1"/>
        </xdr:cNvSpPr>
      </xdr:nvSpPr>
      <xdr:spPr bwMode="auto">
        <a:xfrm>
          <a:off x="46110525" y="252622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95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0170000}"/>
            </a:ext>
          </a:extLst>
        </xdr:cNvPr>
        <xdr:cNvSpPr>
          <a:spLocks noChangeAspect="1" noChangeArrowheads="1"/>
        </xdr:cNvSpPr>
      </xdr:nvSpPr>
      <xdr:spPr bwMode="auto">
        <a:xfrm>
          <a:off x="46110525" y="252622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95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1170000}"/>
            </a:ext>
          </a:extLst>
        </xdr:cNvPr>
        <xdr:cNvSpPr>
          <a:spLocks noChangeAspect="1" noChangeArrowheads="1"/>
        </xdr:cNvSpPr>
      </xdr:nvSpPr>
      <xdr:spPr bwMode="auto">
        <a:xfrm>
          <a:off x="46110525" y="252917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95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2170000}"/>
            </a:ext>
          </a:extLst>
        </xdr:cNvPr>
        <xdr:cNvSpPr>
          <a:spLocks noChangeAspect="1" noChangeArrowheads="1"/>
        </xdr:cNvSpPr>
      </xdr:nvSpPr>
      <xdr:spPr bwMode="auto">
        <a:xfrm>
          <a:off x="46110525" y="252917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95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3170000}"/>
            </a:ext>
          </a:extLst>
        </xdr:cNvPr>
        <xdr:cNvSpPr>
          <a:spLocks noChangeAspect="1" noChangeArrowheads="1"/>
        </xdr:cNvSpPr>
      </xdr:nvSpPr>
      <xdr:spPr bwMode="auto">
        <a:xfrm>
          <a:off x="46110525" y="253212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95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4170000}"/>
            </a:ext>
          </a:extLst>
        </xdr:cNvPr>
        <xdr:cNvSpPr>
          <a:spLocks noChangeAspect="1" noChangeArrowheads="1"/>
        </xdr:cNvSpPr>
      </xdr:nvSpPr>
      <xdr:spPr bwMode="auto">
        <a:xfrm>
          <a:off x="46110525" y="253212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95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5170000}"/>
            </a:ext>
          </a:extLst>
        </xdr:cNvPr>
        <xdr:cNvSpPr>
          <a:spLocks noChangeAspect="1" noChangeArrowheads="1"/>
        </xdr:cNvSpPr>
      </xdr:nvSpPr>
      <xdr:spPr bwMode="auto">
        <a:xfrm>
          <a:off x="46110525" y="253507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95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6170000}"/>
            </a:ext>
          </a:extLst>
        </xdr:cNvPr>
        <xdr:cNvSpPr>
          <a:spLocks noChangeAspect="1" noChangeArrowheads="1"/>
        </xdr:cNvSpPr>
      </xdr:nvSpPr>
      <xdr:spPr bwMode="auto">
        <a:xfrm>
          <a:off x="46110525" y="253507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95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7170000}"/>
            </a:ext>
          </a:extLst>
        </xdr:cNvPr>
        <xdr:cNvSpPr>
          <a:spLocks noChangeAspect="1" noChangeArrowheads="1"/>
        </xdr:cNvSpPr>
      </xdr:nvSpPr>
      <xdr:spPr bwMode="auto">
        <a:xfrm>
          <a:off x="46110525" y="253803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96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8170000}"/>
            </a:ext>
          </a:extLst>
        </xdr:cNvPr>
        <xdr:cNvSpPr>
          <a:spLocks noChangeAspect="1" noChangeArrowheads="1"/>
        </xdr:cNvSpPr>
      </xdr:nvSpPr>
      <xdr:spPr bwMode="auto">
        <a:xfrm>
          <a:off x="46110525" y="253803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96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9170000}"/>
            </a:ext>
          </a:extLst>
        </xdr:cNvPr>
        <xdr:cNvSpPr>
          <a:spLocks noChangeAspect="1" noChangeArrowheads="1"/>
        </xdr:cNvSpPr>
      </xdr:nvSpPr>
      <xdr:spPr bwMode="auto">
        <a:xfrm>
          <a:off x="46110525" y="2540984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96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A170000}"/>
            </a:ext>
          </a:extLst>
        </xdr:cNvPr>
        <xdr:cNvSpPr>
          <a:spLocks noChangeAspect="1" noChangeArrowheads="1"/>
        </xdr:cNvSpPr>
      </xdr:nvSpPr>
      <xdr:spPr bwMode="auto">
        <a:xfrm>
          <a:off x="46110525" y="2540984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96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B170000}"/>
            </a:ext>
          </a:extLst>
        </xdr:cNvPr>
        <xdr:cNvSpPr>
          <a:spLocks noChangeAspect="1" noChangeArrowheads="1"/>
        </xdr:cNvSpPr>
      </xdr:nvSpPr>
      <xdr:spPr bwMode="auto">
        <a:xfrm>
          <a:off x="46110525" y="254393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96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C170000}"/>
            </a:ext>
          </a:extLst>
        </xdr:cNvPr>
        <xdr:cNvSpPr>
          <a:spLocks noChangeAspect="1" noChangeArrowheads="1"/>
        </xdr:cNvSpPr>
      </xdr:nvSpPr>
      <xdr:spPr bwMode="auto">
        <a:xfrm>
          <a:off x="46110525" y="254393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96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D170000}"/>
            </a:ext>
          </a:extLst>
        </xdr:cNvPr>
        <xdr:cNvSpPr>
          <a:spLocks noChangeAspect="1" noChangeArrowheads="1"/>
        </xdr:cNvSpPr>
      </xdr:nvSpPr>
      <xdr:spPr bwMode="auto">
        <a:xfrm>
          <a:off x="46110525" y="2546889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96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E170000}"/>
            </a:ext>
          </a:extLst>
        </xdr:cNvPr>
        <xdr:cNvSpPr>
          <a:spLocks noChangeAspect="1" noChangeArrowheads="1"/>
        </xdr:cNvSpPr>
      </xdr:nvSpPr>
      <xdr:spPr bwMode="auto">
        <a:xfrm>
          <a:off x="46110525" y="2546889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96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F170000}"/>
            </a:ext>
          </a:extLst>
        </xdr:cNvPr>
        <xdr:cNvSpPr>
          <a:spLocks noChangeAspect="1" noChangeArrowheads="1"/>
        </xdr:cNvSpPr>
      </xdr:nvSpPr>
      <xdr:spPr bwMode="auto">
        <a:xfrm>
          <a:off x="46110525" y="254984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96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0170000}"/>
            </a:ext>
          </a:extLst>
        </xdr:cNvPr>
        <xdr:cNvSpPr>
          <a:spLocks noChangeAspect="1" noChangeArrowheads="1"/>
        </xdr:cNvSpPr>
      </xdr:nvSpPr>
      <xdr:spPr bwMode="auto">
        <a:xfrm>
          <a:off x="46110525" y="254984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96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1170000}"/>
            </a:ext>
          </a:extLst>
        </xdr:cNvPr>
        <xdr:cNvSpPr>
          <a:spLocks noChangeAspect="1" noChangeArrowheads="1"/>
        </xdr:cNvSpPr>
      </xdr:nvSpPr>
      <xdr:spPr bwMode="auto">
        <a:xfrm>
          <a:off x="46110525" y="255279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97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2170000}"/>
            </a:ext>
          </a:extLst>
        </xdr:cNvPr>
        <xdr:cNvSpPr>
          <a:spLocks noChangeAspect="1" noChangeArrowheads="1"/>
        </xdr:cNvSpPr>
      </xdr:nvSpPr>
      <xdr:spPr bwMode="auto">
        <a:xfrm>
          <a:off x="46110525" y="255279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97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3170000}"/>
            </a:ext>
          </a:extLst>
        </xdr:cNvPr>
        <xdr:cNvSpPr>
          <a:spLocks noChangeAspect="1" noChangeArrowheads="1"/>
        </xdr:cNvSpPr>
      </xdr:nvSpPr>
      <xdr:spPr bwMode="auto">
        <a:xfrm>
          <a:off x="46110525" y="255574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97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4170000}"/>
            </a:ext>
          </a:extLst>
        </xdr:cNvPr>
        <xdr:cNvSpPr>
          <a:spLocks noChangeAspect="1" noChangeArrowheads="1"/>
        </xdr:cNvSpPr>
      </xdr:nvSpPr>
      <xdr:spPr bwMode="auto">
        <a:xfrm>
          <a:off x="46110525" y="255574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97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5170000}"/>
            </a:ext>
          </a:extLst>
        </xdr:cNvPr>
        <xdr:cNvSpPr>
          <a:spLocks noChangeAspect="1" noChangeArrowheads="1"/>
        </xdr:cNvSpPr>
      </xdr:nvSpPr>
      <xdr:spPr bwMode="auto">
        <a:xfrm>
          <a:off x="46110525" y="255870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97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6170000}"/>
            </a:ext>
          </a:extLst>
        </xdr:cNvPr>
        <xdr:cNvSpPr>
          <a:spLocks noChangeAspect="1" noChangeArrowheads="1"/>
        </xdr:cNvSpPr>
      </xdr:nvSpPr>
      <xdr:spPr bwMode="auto">
        <a:xfrm>
          <a:off x="46110525" y="255870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97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7170000}"/>
            </a:ext>
          </a:extLst>
        </xdr:cNvPr>
        <xdr:cNvSpPr>
          <a:spLocks noChangeAspect="1" noChangeArrowheads="1"/>
        </xdr:cNvSpPr>
      </xdr:nvSpPr>
      <xdr:spPr bwMode="auto">
        <a:xfrm>
          <a:off x="46110525" y="256165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97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8170000}"/>
            </a:ext>
          </a:extLst>
        </xdr:cNvPr>
        <xdr:cNvSpPr>
          <a:spLocks noChangeAspect="1" noChangeArrowheads="1"/>
        </xdr:cNvSpPr>
      </xdr:nvSpPr>
      <xdr:spPr bwMode="auto">
        <a:xfrm>
          <a:off x="46110525" y="256165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97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9170000}"/>
            </a:ext>
          </a:extLst>
        </xdr:cNvPr>
        <xdr:cNvSpPr>
          <a:spLocks noChangeAspect="1" noChangeArrowheads="1"/>
        </xdr:cNvSpPr>
      </xdr:nvSpPr>
      <xdr:spPr bwMode="auto">
        <a:xfrm>
          <a:off x="46110525" y="256460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97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A170000}"/>
            </a:ext>
          </a:extLst>
        </xdr:cNvPr>
        <xdr:cNvSpPr>
          <a:spLocks noChangeAspect="1" noChangeArrowheads="1"/>
        </xdr:cNvSpPr>
      </xdr:nvSpPr>
      <xdr:spPr bwMode="auto">
        <a:xfrm>
          <a:off x="46110525" y="256460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97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B170000}"/>
            </a:ext>
          </a:extLst>
        </xdr:cNvPr>
        <xdr:cNvSpPr>
          <a:spLocks noChangeAspect="1" noChangeArrowheads="1"/>
        </xdr:cNvSpPr>
      </xdr:nvSpPr>
      <xdr:spPr bwMode="auto">
        <a:xfrm>
          <a:off x="46110525" y="256755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98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C170000}"/>
            </a:ext>
          </a:extLst>
        </xdr:cNvPr>
        <xdr:cNvSpPr>
          <a:spLocks noChangeAspect="1" noChangeArrowheads="1"/>
        </xdr:cNvSpPr>
      </xdr:nvSpPr>
      <xdr:spPr bwMode="auto">
        <a:xfrm>
          <a:off x="46110525" y="256755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98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D170000}"/>
            </a:ext>
          </a:extLst>
        </xdr:cNvPr>
        <xdr:cNvSpPr>
          <a:spLocks noChangeAspect="1" noChangeArrowheads="1"/>
        </xdr:cNvSpPr>
      </xdr:nvSpPr>
      <xdr:spPr bwMode="auto">
        <a:xfrm>
          <a:off x="46110525" y="2570511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98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E170000}"/>
            </a:ext>
          </a:extLst>
        </xdr:cNvPr>
        <xdr:cNvSpPr>
          <a:spLocks noChangeAspect="1" noChangeArrowheads="1"/>
        </xdr:cNvSpPr>
      </xdr:nvSpPr>
      <xdr:spPr bwMode="auto">
        <a:xfrm>
          <a:off x="46110525" y="2570511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98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F170000}"/>
            </a:ext>
          </a:extLst>
        </xdr:cNvPr>
        <xdr:cNvSpPr>
          <a:spLocks noChangeAspect="1" noChangeArrowheads="1"/>
        </xdr:cNvSpPr>
      </xdr:nvSpPr>
      <xdr:spPr bwMode="auto">
        <a:xfrm>
          <a:off x="46110525" y="257346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98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0170000}"/>
            </a:ext>
          </a:extLst>
        </xdr:cNvPr>
        <xdr:cNvSpPr>
          <a:spLocks noChangeAspect="1" noChangeArrowheads="1"/>
        </xdr:cNvSpPr>
      </xdr:nvSpPr>
      <xdr:spPr bwMode="auto">
        <a:xfrm>
          <a:off x="46110525" y="257346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98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1170000}"/>
            </a:ext>
          </a:extLst>
        </xdr:cNvPr>
        <xdr:cNvSpPr>
          <a:spLocks noChangeAspect="1" noChangeArrowheads="1"/>
        </xdr:cNvSpPr>
      </xdr:nvSpPr>
      <xdr:spPr bwMode="auto">
        <a:xfrm>
          <a:off x="46110525" y="2576417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98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2170000}"/>
            </a:ext>
          </a:extLst>
        </xdr:cNvPr>
        <xdr:cNvSpPr>
          <a:spLocks noChangeAspect="1" noChangeArrowheads="1"/>
        </xdr:cNvSpPr>
      </xdr:nvSpPr>
      <xdr:spPr bwMode="auto">
        <a:xfrm>
          <a:off x="46110525" y="2576417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98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3170000}"/>
            </a:ext>
          </a:extLst>
        </xdr:cNvPr>
        <xdr:cNvSpPr>
          <a:spLocks noChangeAspect="1" noChangeArrowheads="1"/>
        </xdr:cNvSpPr>
      </xdr:nvSpPr>
      <xdr:spPr bwMode="auto">
        <a:xfrm>
          <a:off x="46110525" y="25793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98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4170000}"/>
            </a:ext>
          </a:extLst>
        </xdr:cNvPr>
        <xdr:cNvSpPr>
          <a:spLocks noChangeAspect="1" noChangeArrowheads="1"/>
        </xdr:cNvSpPr>
      </xdr:nvSpPr>
      <xdr:spPr bwMode="auto">
        <a:xfrm>
          <a:off x="46110525" y="257937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98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5170000}"/>
            </a:ext>
          </a:extLst>
        </xdr:cNvPr>
        <xdr:cNvSpPr>
          <a:spLocks noChangeAspect="1" noChangeArrowheads="1"/>
        </xdr:cNvSpPr>
      </xdr:nvSpPr>
      <xdr:spPr bwMode="auto">
        <a:xfrm>
          <a:off x="46110525" y="2582322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99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6170000}"/>
            </a:ext>
          </a:extLst>
        </xdr:cNvPr>
        <xdr:cNvSpPr>
          <a:spLocks noChangeAspect="1" noChangeArrowheads="1"/>
        </xdr:cNvSpPr>
      </xdr:nvSpPr>
      <xdr:spPr bwMode="auto">
        <a:xfrm>
          <a:off x="46110525" y="2582322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99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7170000}"/>
            </a:ext>
          </a:extLst>
        </xdr:cNvPr>
        <xdr:cNvSpPr>
          <a:spLocks noChangeAspect="1" noChangeArrowheads="1"/>
        </xdr:cNvSpPr>
      </xdr:nvSpPr>
      <xdr:spPr bwMode="auto">
        <a:xfrm>
          <a:off x="46110525" y="258527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99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8170000}"/>
            </a:ext>
          </a:extLst>
        </xdr:cNvPr>
        <xdr:cNvSpPr>
          <a:spLocks noChangeAspect="1" noChangeArrowheads="1"/>
        </xdr:cNvSpPr>
      </xdr:nvSpPr>
      <xdr:spPr bwMode="auto">
        <a:xfrm>
          <a:off x="46110525" y="258527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99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9170000}"/>
            </a:ext>
          </a:extLst>
        </xdr:cNvPr>
        <xdr:cNvSpPr>
          <a:spLocks noChangeAspect="1" noChangeArrowheads="1"/>
        </xdr:cNvSpPr>
      </xdr:nvSpPr>
      <xdr:spPr bwMode="auto">
        <a:xfrm>
          <a:off x="46110525" y="258822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99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A170000}"/>
            </a:ext>
          </a:extLst>
        </xdr:cNvPr>
        <xdr:cNvSpPr>
          <a:spLocks noChangeAspect="1" noChangeArrowheads="1"/>
        </xdr:cNvSpPr>
      </xdr:nvSpPr>
      <xdr:spPr bwMode="auto">
        <a:xfrm>
          <a:off x="46110525" y="258822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99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B170000}"/>
            </a:ext>
          </a:extLst>
        </xdr:cNvPr>
        <xdr:cNvSpPr>
          <a:spLocks noChangeAspect="1" noChangeArrowheads="1"/>
        </xdr:cNvSpPr>
      </xdr:nvSpPr>
      <xdr:spPr bwMode="auto">
        <a:xfrm>
          <a:off x="46110525" y="259118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99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C170000}"/>
            </a:ext>
          </a:extLst>
        </xdr:cNvPr>
        <xdr:cNvSpPr>
          <a:spLocks noChangeAspect="1" noChangeArrowheads="1"/>
        </xdr:cNvSpPr>
      </xdr:nvSpPr>
      <xdr:spPr bwMode="auto">
        <a:xfrm>
          <a:off x="46110525" y="259118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99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D170000}"/>
            </a:ext>
          </a:extLst>
        </xdr:cNvPr>
        <xdr:cNvSpPr>
          <a:spLocks noChangeAspect="1" noChangeArrowheads="1"/>
        </xdr:cNvSpPr>
      </xdr:nvSpPr>
      <xdr:spPr bwMode="auto">
        <a:xfrm>
          <a:off x="46110525" y="259413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99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E170000}"/>
            </a:ext>
          </a:extLst>
        </xdr:cNvPr>
        <xdr:cNvSpPr>
          <a:spLocks noChangeAspect="1" noChangeArrowheads="1"/>
        </xdr:cNvSpPr>
      </xdr:nvSpPr>
      <xdr:spPr bwMode="auto">
        <a:xfrm>
          <a:off x="46110525" y="259413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599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F170000}"/>
            </a:ext>
          </a:extLst>
        </xdr:cNvPr>
        <xdr:cNvSpPr>
          <a:spLocks noChangeAspect="1" noChangeArrowheads="1"/>
        </xdr:cNvSpPr>
      </xdr:nvSpPr>
      <xdr:spPr bwMode="auto">
        <a:xfrm>
          <a:off x="46110525" y="259708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00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0170000}"/>
            </a:ext>
          </a:extLst>
        </xdr:cNvPr>
        <xdr:cNvSpPr>
          <a:spLocks noChangeAspect="1" noChangeArrowheads="1"/>
        </xdr:cNvSpPr>
      </xdr:nvSpPr>
      <xdr:spPr bwMode="auto">
        <a:xfrm>
          <a:off x="46110525" y="259708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00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1170000}"/>
            </a:ext>
          </a:extLst>
        </xdr:cNvPr>
        <xdr:cNvSpPr>
          <a:spLocks noChangeAspect="1" noChangeArrowheads="1"/>
        </xdr:cNvSpPr>
      </xdr:nvSpPr>
      <xdr:spPr bwMode="auto">
        <a:xfrm>
          <a:off x="46110525" y="2600039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00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2170000}"/>
            </a:ext>
          </a:extLst>
        </xdr:cNvPr>
        <xdr:cNvSpPr>
          <a:spLocks noChangeAspect="1" noChangeArrowheads="1"/>
        </xdr:cNvSpPr>
      </xdr:nvSpPr>
      <xdr:spPr bwMode="auto">
        <a:xfrm>
          <a:off x="46110525" y="2600039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00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3170000}"/>
            </a:ext>
          </a:extLst>
        </xdr:cNvPr>
        <xdr:cNvSpPr>
          <a:spLocks noChangeAspect="1" noChangeArrowheads="1"/>
        </xdr:cNvSpPr>
      </xdr:nvSpPr>
      <xdr:spPr bwMode="auto">
        <a:xfrm>
          <a:off x="46110525" y="26029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00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4170000}"/>
            </a:ext>
          </a:extLst>
        </xdr:cNvPr>
        <xdr:cNvSpPr>
          <a:spLocks noChangeAspect="1" noChangeArrowheads="1"/>
        </xdr:cNvSpPr>
      </xdr:nvSpPr>
      <xdr:spPr bwMode="auto">
        <a:xfrm>
          <a:off x="46110525" y="260299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00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5170000}"/>
            </a:ext>
          </a:extLst>
        </xdr:cNvPr>
        <xdr:cNvSpPr>
          <a:spLocks noChangeAspect="1" noChangeArrowheads="1"/>
        </xdr:cNvSpPr>
      </xdr:nvSpPr>
      <xdr:spPr bwMode="auto">
        <a:xfrm>
          <a:off x="46110525" y="2605944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00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6170000}"/>
            </a:ext>
          </a:extLst>
        </xdr:cNvPr>
        <xdr:cNvSpPr>
          <a:spLocks noChangeAspect="1" noChangeArrowheads="1"/>
        </xdr:cNvSpPr>
      </xdr:nvSpPr>
      <xdr:spPr bwMode="auto">
        <a:xfrm>
          <a:off x="46110525" y="2605944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00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7170000}"/>
            </a:ext>
          </a:extLst>
        </xdr:cNvPr>
        <xdr:cNvSpPr>
          <a:spLocks noChangeAspect="1" noChangeArrowheads="1"/>
        </xdr:cNvSpPr>
      </xdr:nvSpPr>
      <xdr:spPr bwMode="auto">
        <a:xfrm>
          <a:off x="46110525" y="260889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00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8170000}"/>
            </a:ext>
          </a:extLst>
        </xdr:cNvPr>
        <xdr:cNvSpPr>
          <a:spLocks noChangeAspect="1" noChangeArrowheads="1"/>
        </xdr:cNvSpPr>
      </xdr:nvSpPr>
      <xdr:spPr bwMode="auto">
        <a:xfrm>
          <a:off x="46110525" y="260889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00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9170000}"/>
            </a:ext>
          </a:extLst>
        </xdr:cNvPr>
        <xdr:cNvSpPr>
          <a:spLocks noChangeAspect="1" noChangeArrowheads="1"/>
        </xdr:cNvSpPr>
      </xdr:nvSpPr>
      <xdr:spPr bwMode="auto">
        <a:xfrm>
          <a:off x="46110525" y="261185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01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A170000}"/>
            </a:ext>
          </a:extLst>
        </xdr:cNvPr>
        <xdr:cNvSpPr>
          <a:spLocks noChangeAspect="1" noChangeArrowheads="1"/>
        </xdr:cNvSpPr>
      </xdr:nvSpPr>
      <xdr:spPr bwMode="auto">
        <a:xfrm>
          <a:off x="46110525" y="261185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01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B170000}"/>
            </a:ext>
          </a:extLst>
        </xdr:cNvPr>
        <xdr:cNvSpPr>
          <a:spLocks noChangeAspect="1" noChangeArrowheads="1"/>
        </xdr:cNvSpPr>
      </xdr:nvSpPr>
      <xdr:spPr bwMode="auto">
        <a:xfrm>
          <a:off x="46110525" y="261480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01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C170000}"/>
            </a:ext>
          </a:extLst>
        </xdr:cNvPr>
        <xdr:cNvSpPr>
          <a:spLocks noChangeAspect="1" noChangeArrowheads="1"/>
        </xdr:cNvSpPr>
      </xdr:nvSpPr>
      <xdr:spPr bwMode="auto">
        <a:xfrm>
          <a:off x="46110525" y="261480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01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D170000}"/>
            </a:ext>
          </a:extLst>
        </xdr:cNvPr>
        <xdr:cNvSpPr>
          <a:spLocks noChangeAspect="1" noChangeArrowheads="1"/>
        </xdr:cNvSpPr>
      </xdr:nvSpPr>
      <xdr:spPr bwMode="auto">
        <a:xfrm>
          <a:off x="46110525" y="261775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01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E170000}"/>
            </a:ext>
          </a:extLst>
        </xdr:cNvPr>
        <xdr:cNvSpPr>
          <a:spLocks noChangeAspect="1" noChangeArrowheads="1"/>
        </xdr:cNvSpPr>
      </xdr:nvSpPr>
      <xdr:spPr bwMode="auto">
        <a:xfrm>
          <a:off x="46110525" y="261775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01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F170000}"/>
            </a:ext>
          </a:extLst>
        </xdr:cNvPr>
        <xdr:cNvSpPr>
          <a:spLocks noChangeAspect="1" noChangeArrowheads="1"/>
        </xdr:cNvSpPr>
      </xdr:nvSpPr>
      <xdr:spPr bwMode="auto">
        <a:xfrm>
          <a:off x="46110525" y="262070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01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0170000}"/>
            </a:ext>
          </a:extLst>
        </xdr:cNvPr>
        <xdr:cNvSpPr>
          <a:spLocks noChangeAspect="1" noChangeArrowheads="1"/>
        </xdr:cNvSpPr>
      </xdr:nvSpPr>
      <xdr:spPr bwMode="auto">
        <a:xfrm>
          <a:off x="46110525" y="262070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01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1170000}"/>
            </a:ext>
          </a:extLst>
        </xdr:cNvPr>
        <xdr:cNvSpPr>
          <a:spLocks noChangeAspect="1" noChangeArrowheads="1"/>
        </xdr:cNvSpPr>
      </xdr:nvSpPr>
      <xdr:spPr bwMode="auto">
        <a:xfrm>
          <a:off x="46110525" y="2623661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01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2170000}"/>
            </a:ext>
          </a:extLst>
        </xdr:cNvPr>
        <xdr:cNvSpPr>
          <a:spLocks noChangeAspect="1" noChangeArrowheads="1"/>
        </xdr:cNvSpPr>
      </xdr:nvSpPr>
      <xdr:spPr bwMode="auto">
        <a:xfrm>
          <a:off x="46110525" y="2623661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01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3170000}"/>
            </a:ext>
          </a:extLst>
        </xdr:cNvPr>
        <xdr:cNvSpPr>
          <a:spLocks noChangeAspect="1" noChangeArrowheads="1"/>
        </xdr:cNvSpPr>
      </xdr:nvSpPr>
      <xdr:spPr bwMode="auto">
        <a:xfrm>
          <a:off x="46110525" y="262661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02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4170000}"/>
            </a:ext>
          </a:extLst>
        </xdr:cNvPr>
        <xdr:cNvSpPr>
          <a:spLocks noChangeAspect="1" noChangeArrowheads="1"/>
        </xdr:cNvSpPr>
      </xdr:nvSpPr>
      <xdr:spPr bwMode="auto">
        <a:xfrm>
          <a:off x="46110525" y="262661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02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5170000}"/>
            </a:ext>
          </a:extLst>
        </xdr:cNvPr>
        <xdr:cNvSpPr>
          <a:spLocks noChangeAspect="1" noChangeArrowheads="1"/>
        </xdr:cNvSpPr>
      </xdr:nvSpPr>
      <xdr:spPr bwMode="auto">
        <a:xfrm>
          <a:off x="46110525" y="2629566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02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6170000}"/>
            </a:ext>
          </a:extLst>
        </xdr:cNvPr>
        <xdr:cNvSpPr>
          <a:spLocks noChangeAspect="1" noChangeArrowheads="1"/>
        </xdr:cNvSpPr>
      </xdr:nvSpPr>
      <xdr:spPr bwMode="auto">
        <a:xfrm>
          <a:off x="46110525" y="2629566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02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7170000}"/>
            </a:ext>
          </a:extLst>
        </xdr:cNvPr>
        <xdr:cNvSpPr>
          <a:spLocks noChangeAspect="1" noChangeArrowheads="1"/>
        </xdr:cNvSpPr>
      </xdr:nvSpPr>
      <xdr:spPr bwMode="auto">
        <a:xfrm>
          <a:off x="46110525" y="263251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02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8170000}"/>
            </a:ext>
          </a:extLst>
        </xdr:cNvPr>
        <xdr:cNvSpPr>
          <a:spLocks noChangeAspect="1" noChangeArrowheads="1"/>
        </xdr:cNvSpPr>
      </xdr:nvSpPr>
      <xdr:spPr bwMode="auto">
        <a:xfrm>
          <a:off x="46110525" y="263251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02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9170000}"/>
            </a:ext>
          </a:extLst>
        </xdr:cNvPr>
        <xdr:cNvSpPr>
          <a:spLocks noChangeAspect="1" noChangeArrowheads="1"/>
        </xdr:cNvSpPr>
      </xdr:nvSpPr>
      <xdr:spPr bwMode="auto">
        <a:xfrm>
          <a:off x="46110525" y="263547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02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A170000}"/>
            </a:ext>
          </a:extLst>
        </xdr:cNvPr>
        <xdr:cNvSpPr>
          <a:spLocks noChangeAspect="1" noChangeArrowheads="1"/>
        </xdr:cNvSpPr>
      </xdr:nvSpPr>
      <xdr:spPr bwMode="auto">
        <a:xfrm>
          <a:off x="46110525" y="263547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02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B170000}"/>
            </a:ext>
          </a:extLst>
        </xdr:cNvPr>
        <xdr:cNvSpPr>
          <a:spLocks noChangeAspect="1" noChangeArrowheads="1"/>
        </xdr:cNvSpPr>
      </xdr:nvSpPr>
      <xdr:spPr bwMode="auto">
        <a:xfrm>
          <a:off x="46110525" y="26384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02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C170000}"/>
            </a:ext>
          </a:extLst>
        </xdr:cNvPr>
        <xdr:cNvSpPr>
          <a:spLocks noChangeAspect="1" noChangeArrowheads="1"/>
        </xdr:cNvSpPr>
      </xdr:nvSpPr>
      <xdr:spPr bwMode="auto">
        <a:xfrm>
          <a:off x="46110525" y="26384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02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D170000}"/>
            </a:ext>
          </a:extLst>
        </xdr:cNvPr>
        <xdr:cNvSpPr>
          <a:spLocks noChangeAspect="1" noChangeArrowheads="1"/>
        </xdr:cNvSpPr>
      </xdr:nvSpPr>
      <xdr:spPr bwMode="auto">
        <a:xfrm>
          <a:off x="46110525" y="2641377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03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E170000}"/>
            </a:ext>
          </a:extLst>
        </xdr:cNvPr>
        <xdr:cNvSpPr>
          <a:spLocks noChangeAspect="1" noChangeArrowheads="1"/>
        </xdr:cNvSpPr>
      </xdr:nvSpPr>
      <xdr:spPr bwMode="auto">
        <a:xfrm>
          <a:off x="46110525" y="2641377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03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F170000}"/>
            </a:ext>
          </a:extLst>
        </xdr:cNvPr>
        <xdr:cNvSpPr>
          <a:spLocks noChangeAspect="1" noChangeArrowheads="1"/>
        </xdr:cNvSpPr>
      </xdr:nvSpPr>
      <xdr:spPr bwMode="auto">
        <a:xfrm>
          <a:off x="46110525" y="264433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03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0170000}"/>
            </a:ext>
          </a:extLst>
        </xdr:cNvPr>
        <xdr:cNvSpPr>
          <a:spLocks noChangeAspect="1" noChangeArrowheads="1"/>
        </xdr:cNvSpPr>
      </xdr:nvSpPr>
      <xdr:spPr bwMode="auto">
        <a:xfrm>
          <a:off x="46110525" y="264433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03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1170000}"/>
            </a:ext>
          </a:extLst>
        </xdr:cNvPr>
        <xdr:cNvSpPr>
          <a:spLocks noChangeAspect="1" noChangeArrowheads="1"/>
        </xdr:cNvSpPr>
      </xdr:nvSpPr>
      <xdr:spPr bwMode="auto">
        <a:xfrm>
          <a:off x="46110525" y="264728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03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2170000}"/>
            </a:ext>
          </a:extLst>
        </xdr:cNvPr>
        <xdr:cNvSpPr>
          <a:spLocks noChangeAspect="1" noChangeArrowheads="1"/>
        </xdr:cNvSpPr>
      </xdr:nvSpPr>
      <xdr:spPr bwMode="auto">
        <a:xfrm>
          <a:off x="46110525" y="264728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03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3170000}"/>
            </a:ext>
          </a:extLst>
        </xdr:cNvPr>
        <xdr:cNvSpPr>
          <a:spLocks noChangeAspect="1" noChangeArrowheads="1"/>
        </xdr:cNvSpPr>
      </xdr:nvSpPr>
      <xdr:spPr bwMode="auto">
        <a:xfrm>
          <a:off x="46110525" y="265023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03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4170000}"/>
            </a:ext>
          </a:extLst>
        </xdr:cNvPr>
        <xdr:cNvSpPr>
          <a:spLocks noChangeAspect="1" noChangeArrowheads="1"/>
        </xdr:cNvSpPr>
      </xdr:nvSpPr>
      <xdr:spPr bwMode="auto">
        <a:xfrm>
          <a:off x="46110525" y="265023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03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5170000}"/>
            </a:ext>
          </a:extLst>
        </xdr:cNvPr>
        <xdr:cNvSpPr>
          <a:spLocks noChangeAspect="1" noChangeArrowheads="1"/>
        </xdr:cNvSpPr>
      </xdr:nvSpPr>
      <xdr:spPr bwMode="auto">
        <a:xfrm>
          <a:off x="46110525" y="265318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03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6170000}"/>
            </a:ext>
          </a:extLst>
        </xdr:cNvPr>
        <xdr:cNvSpPr>
          <a:spLocks noChangeAspect="1" noChangeArrowheads="1"/>
        </xdr:cNvSpPr>
      </xdr:nvSpPr>
      <xdr:spPr bwMode="auto">
        <a:xfrm>
          <a:off x="46110525" y="265318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03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7170000}"/>
            </a:ext>
          </a:extLst>
        </xdr:cNvPr>
        <xdr:cNvSpPr>
          <a:spLocks noChangeAspect="1" noChangeArrowheads="1"/>
        </xdr:cNvSpPr>
      </xdr:nvSpPr>
      <xdr:spPr bwMode="auto">
        <a:xfrm>
          <a:off x="46110525" y="265614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04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8170000}"/>
            </a:ext>
          </a:extLst>
        </xdr:cNvPr>
        <xdr:cNvSpPr>
          <a:spLocks noChangeAspect="1" noChangeArrowheads="1"/>
        </xdr:cNvSpPr>
      </xdr:nvSpPr>
      <xdr:spPr bwMode="auto">
        <a:xfrm>
          <a:off x="46110525" y="265614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04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9170000}"/>
            </a:ext>
          </a:extLst>
        </xdr:cNvPr>
        <xdr:cNvSpPr>
          <a:spLocks noChangeAspect="1" noChangeArrowheads="1"/>
        </xdr:cNvSpPr>
      </xdr:nvSpPr>
      <xdr:spPr bwMode="auto">
        <a:xfrm>
          <a:off x="46110525" y="2659094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04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A170000}"/>
            </a:ext>
          </a:extLst>
        </xdr:cNvPr>
        <xdr:cNvSpPr>
          <a:spLocks noChangeAspect="1" noChangeArrowheads="1"/>
        </xdr:cNvSpPr>
      </xdr:nvSpPr>
      <xdr:spPr bwMode="auto">
        <a:xfrm>
          <a:off x="46110525" y="2659094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04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B170000}"/>
            </a:ext>
          </a:extLst>
        </xdr:cNvPr>
        <xdr:cNvSpPr>
          <a:spLocks noChangeAspect="1" noChangeArrowheads="1"/>
        </xdr:cNvSpPr>
      </xdr:nvSpPr>
      <xdr:spPr bwMode="auto">
        <a:xfrm>
          <a:off x="46110525" y="266204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04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C170000}"/>
            </a:ext>
          </a:extLst>
        </xdr:cNvPr>
        <xdr:cNvSpPr>
          <a:spLocks noChangeAspect="1" noChangeArrowheads="1"/>
        </xdr:cNvSpPr>
      </xdr:nvSpPr>
      <xdr:spPr bwMode="auto">
        <a:xfrm>
          <a:off x="46110525" y="266204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04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D170000}"/>
            </a:ext>
          </a:extLst>
        </xdr:cNvPr>
        <xdr:cNvSpPr>
          <a:spLocks noChangeAspect="1" noChangeArrowheads="1"/>
        </xdr:cNvSpPr>
      </xdr:nvSpPr>
      <xdr:spPr bwMode="auto">
        <a:xfrm>
          <a:off x="46110525" y="2664999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04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E170000}"/>
            </a:ext>
          </a:extLst>
        </xdr:cNvPr>
        <xdr:cNvSpPr>
          <a:spLocks noChangeAspect="1" noChangeArrowheads="1"/>
        </xdr:cNvSpPr>
      </xdr:nvSpPr>
      <xdr:spPr bwMode="auto">
        <a:xfrm>
          <a:off x="46110525" y="2664999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04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F170000}"/>
            </a:ext>
          </a:extLst>
        </xdr:cNvPr>
        <xdr:cNvSpPr>
          <a:spLocks noChangeAspect="1" noChangeArrowheads="1"/>
        </xdr:cNvSpPr>
      </xdr:nvSpPr>
      <xdr:spPr bwMode="auto">
        <a:xfrm>
          <a:off x="46110525" y="266795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04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0170000}"/>
            </a:ext>
          </a:extLst>
        </xdr:cNvPr>
        <xdr:cNvSpPr>
          <a:spLocks noChangeAspect="1" noChangeArrowheads="1"/>
        </xdr:cNvSpPr>
      </xdr:nvSpPr>
      <xdr:spPr bwMode="auto">
        <a:xfrm>
          <a:off x="46110525" y="266795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04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1170000}"/>
            </a:ext>
          </a:extLst>
        </xdr:cNvPr>
        <xdr:cNvSpPr>
          <a:spLocks noChangeAspect="1" noChangeArrowheads="1"/>
        </xdr:cNvSpPr>
      </xdr:nvSpPr>
      <xdr:spPr bwMode="auto">
        <a:xfrm>
          <a:off x="46110525" y="267090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05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2170000}"/>
            </a:ext>
          </a:extLst>
        </xdr:cNvPr>
        <xdr:cNvSpPr>
          <a:spLocks noChangeAspect="1" noChangeArrowheads="1"/>
        </xdr:cNvSpPr>
      </xdr:nvSpPr>
      <xdr:spPr bwMode="auto">
        <a:xfrm>
          <a:off x="46110525" y="267090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05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3170000}"/>
            </a:ext>
          </a:extLst>
        </xdr:cNvPr>
        <xdr:cNvSpPr>
          <a:spLocks noChangeAspect="1" noChangeArrowheads="1"/>
        </xdr:cNvSpPr>
      </xdr:nvSpPr>
      <xdr:spPr bwMode="auto">
        <a:xfrm>
          <a:off x="46110525" y="267385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05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4170000}"/>
            </a:ext>
          </a:extLst>
        </xdr:cNvPr>
        <xdr:cNvSpPr>
          <a:spLocks noChangeAspect="1" noChangeArrowheads="1"/>
        </xdr:cNvSpPr>
      </xdr:nvSpPr>
      <xdr:spPr bwMode="auto">
        <a:xfrm>
          <a:off x="46110525" y="267385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05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5170000}"/>
            </a:ext>
          </a:extLst>
        </xdr:cNvPr>
        <xdr:cNvSpPr>
          <a:spLocks noChangeAspect="1" noChangeArrowheads="1"/>
        </xdr:cNvSpPr>
      </xdr:nvSpPr>
      <xdr:spPr bwMode="auto">
        <a:xfrm>
          <a:off x="46110525" y="267681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05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6170000}"/>
            </a:ext>
          </a:extLst>
        </xdr:cNvPr>
        <xdr:cNvSpPr>
          <a:spLocks noChangeAspect="1" noChangeArrowheads="1"/>
        </xdr:cNvSpPr>
      </xdr:nvSpPr>
      <xdr:spPr bwMode="auto">
        <a:xfrm>
          <a:off x="46110525" y="267681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05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7170000}"/>
            </a:ext>
          </a:extLst>
        </xdr:cNvPr>
        <xdr:cNvSpPr>
          <a:spLocks noChangeAspect="1" noChangeArrowheads="1"/>
        </xdr:cNvSpPr>
      </xdr:nvSpPr>
      <xdr:spPr bwMode="auto">
        <a:xfrm>
          <a:off x="46110525" y="267976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05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8170000}"/>
            </a:ext>
          </a:extLst>
        </xdr:cNvPr>
        <xdr:cNvSpPr>
          <a:spLocks noChangeAspect="1" noChangeArrowheads="1"/>
        </xdr:cNvSpPr>
      </xdr:nvSpPr>
      <xdr:spPr bwMode="auto">
        <a:xfrm>
          <a:off x="46110525" y="267976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05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9170000}"/>
            </a:ext>
          </a:extLst>
        </xdr:cNvPr>
        <xdr:cNvSpPr>
          <a:spLocks noChangeAspect="1" noChangeArrowheads="1"/>
        </xdr:cNvSpPr>
      </xdr:nvSpPr>
      <xdr:spPr bwMode="auto">
        <a:xfrm>
          <a:off x="46110525" y="268271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05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A170000}"/>
            </a:ext>
          </a:extLst>
        </xdr:cNvPr>
        <xdr:cNvSpPr>
          <a:spLocks noChangeAspect="1" noChangeArrowheads="1"/>
        </xdr:cNvSpPr>
      </xdr:nvSpPr>
      <xdr:spPr bwMode="auto">
        <a:xfrm>
          <a:off x="46110525" y="268271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05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B170000}"/>
            </a:ext>
          </a:extLst>
        </xdr:cNvPr>
        <xdr:cNvSpPr>
          <a:spLocks noChangeAspect="1" noChangeArrowheads="1"/>
        </xdr:cNvSpPr>
      </xdr:nvSpPr>
      <xdr:spPr bwMode="auto">
        <a:xfrm>
          <a:off x="46110525" y="268566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06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C170000}"/>
            </a:ext>
          </a:extLst>
        </xdr:cNvPr>
        <xdr:cNvSpPr>
          <a:spLocks noChangeAspect="1" noChangeArrowheads="1"/>
        </xdr:cNvSpPr>
      </xdr:nvSpPr>
      <xdr:spPr bwMode="auto">
        <a:xfrm>
          <a:off x="46110525" y="268566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06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D170000}"/>
            </a:ext>
          </a:extLst>
        </xdr:cNvPr>
        <xdr:cNvSpPr>
          <a:spLocks noChangeAspect="1" noChangeArrowheads="1"/>
        </xdr:cNvSpPr>
      </xdr:nvSpPr>
      <xdr:spPr bwMode="auto">
        <a:xfrm>
          <a:off x="46110525" y="2688621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06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E170000}"/>
            </a:ext>
          </a:extLst>
        </xdr:cNvPr>
        <xdr:cNvSpPr>
          <a:spLocks noChangeAspect="1" noChangeArrowheads="1"/>
        </xdr:cNvSpPr>
      </xdr:nvSpPr>
      <xdr:spPr bwMode="auto">
        <a:xfrm>
          <a:off x="46110525" y="2688621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06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F170000}"/>
            </a:ext>
          </a:extLst>
        </xdr:cNvPr>
        <xdr:cNvSpPr>
          <a:spLocks noChangeAspect="1" noChangeArrowheads="1"/>
        </xdr:cNvSpPr>
      </xdr:nvSpPr>
      <xdr:spPr bwMode="auto">
        <a:xfrm>
          <a:off x="46110525" y="269157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06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0170000}"/>
            </a:ext>
          </a:extLst>
        </xdr:cNvPr>
        <xdr:cNvSpPr>
          <a:spLocks noChangeAspect="1" noChangeArrowheads="1"/>
        </xdr:cNvSpPr>
      </xdr:nvSpPr>
      <xdr:spPr bwMode="auto">
        <a:xfrm>
          <a:off x="46110525" y="269157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06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1170000}"/>
            </a:ext>
          </a:extLst>
        </xdr:cNvPr>
        <xdr:cNvSpPr>
          <a:spLocks noChangeAspect="1" noChangeArrowheads="1"/>
        </xdr:cNvSpPr>
      </xdr:nvSpPr>
      <xdr:spPr bwMode="auto">
        <a:xfrm>
          <a:off x="46110525" y="2694527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06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2170000}"/>
            </a:ext>
          </a:extLst>
        </xdr:cNvPr>
        <xdr:cNvSpPr>
          <a:spLocks noChangeAspect="1" noChangeArrowheads="1"/>
        </xdr:cNvSpPr>
      </xdr:nvSpPr>
      <xdr:spPr bwMode="auto">
        <a:xfrm>
          <a:off x="46110525" y="2694527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06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3170000}"/>
            </a:ext>
          </a:extLst>
        </xdr:cNvPr>
        <xdr:cNvSpPr>
          <a:spLocks noChangeAspect="1" noChangeArrowheads="1"/>
        </xdr:cNvSpPr>
      </xdr:nvSpPr>
      <xdr:spPr bwMode="auto">
        <a:xfrm>
          <a:off x="46110525" y="26974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06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4170000}"/>
            </a:ext>
          </a:extLst>
        </xdr:cNvPr>
        <xdr:cNvSpPr>
          <a:spLocks noChangeAspect="1" noChangeArrowheads="1"/>
        </xdr:cNvSpPr>
      </xdr:nvSpPr>
      <xdr:spPr bwMode="auto">
        <a:xfrm>
          <a:off x="46110525" y="269748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06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5170000}"/>
            </a:ext>
          </a:extLst>
        </xdr:cNvPr>
        <xdr:cNvSpPr>
          <a:spLocks noChangeAspect="1" noChangeArrowheads="1"/>
        </xdr:cNvSpPr>
      </xdr:nvSpPr>
      <xdr:spPr bwMode="auto">
        <a:xfrm>
          <a:off x="46110525" y="2700432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07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6170000}"/>
            </a:ext>
          </a:extLst>
        </xdr:cNvPr>
        <xdr:cNvSpPr>
          <a:spLocks noChangeAspect="1" noChangeArrowheads="1"/>
        </xdr:cNvSpPr>
      </xdr:nvSpPr>
      <xdr:spPr bwMode="auto">
        <a:xfrm>
          <a:off x="46110525" y="2700432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07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7170000}"/>
            </a:ext>
          </a:extLst>
        </xdr:cNvPr>
        <xdr:cNvSpPr>
          <a:spLocks noChangeAspect="1" noChangeArrowheads="1"/>
        </xdr:cNvSpPr>
      </xdr:nvSpPr>
      <xdr:spPr bwMode="auto">
        <a:xfrm>
          <a:off x="46110525" y="270338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07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8170000}"/>
            </a:ext>
          </a:extLst>
        </xdr:cNvPr>
        <xdr:cNvSpPr>
          <a:spLocks noChangeAspect="1" noChangeArrowheads="1"/>
        </xdr:cNvSpPr>
      </xdr:nvSpPr>
      <xdr:spPr bwMode="auto">
        <a:xfrm>
          <a:off x="46110525" y="270338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07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9170000}"/>
            </a:ext>
          </a:extLst>
        </xdr:cNvPr>
        <xdr:cNvSpPr>
          <a:spLocks noChangeAspect="1" noChangeArrowheads="1"/>
        </xdr:cNvSpPr>
      </xdr:nvSpPr>
      <xdr:spPr bwMode="auto">
        <a:xfrm>
          <a:off x="46110525" y="270633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07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A170000}"/>
            </a:ext>
          </a:extLst>
        </xdr:cNvPr>
        <xdr:cNvSpPr>
          <a:spLocks noChangeAspect="1" noChangeArrowheads="1"/>
        </xdr:cNvSpPr>
      </xdr:nvSpPr>
      <xdr:spPr bwMode="auto">
        <a:xfrm>
          <a:off x="46110525" y="270633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07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B170000}"/>
            </a:ext>
          </a:extLst>
        </xdr:cNvPr>
        <xdr:cNvSpPr>
          <a:spLocks noChangeAspect="1" noChangeArrowheads="1"/>
        </xdr:cNvSpPr>
      </xdr:nvSpPr>
      <xdr:spPr bwMode="auto">
        <a:xfrm>
          <a:off x="46110525" y="270929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07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C170000}"/>
            </a:ext>
          </a:extLst>
        </xdr:cNvPr>
        <xdr:cNvSpPr>
          <a:spLocks noChangeAspect="1" noChangeArrowheads="1"/>
        </xdr:cNvSpPr>
      </xdr:nvSpPr>
      <xdr:spPr bwMode="auto">
        <a:xfrm>
          <a:off x="46110525" y="270929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07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D170000}"/>
            </a:ext>
          </a:extLst>
        </xdr:cNvPr>
        <xdr:cNvSpPr>
          <a:spLocks noChangeAspect="1" noChangeArrowheads="1"/>
        </xdr:cNvSpPr>
      </xdr:nvSpPr>
      <xdr:spPr bwMode="auto">
        <a:xfrm>
          <a:off x="46110525" y="271224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07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E170000}"/>
            </a:ext>
          </a:extLst>
        </xdr:cNvPr>
        <xdr:cNvSpPr>
          <a:spLocks noChangeAspect="1" noChangeArrowheads="1"/>
        </xdr:cNvSpPr>
      </xdr:nvSpPr>
      <xdr:spPr bwMode="auto">
        <a:xfrm>
          <a:off x="46110525" y="271224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07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F170000}"/>
            </a:ext>
          </a:extLst>
        </xdr:cNvPr>
        <xdr:cNvSpPr>
          <a:spLocks noChangeAspect="1" noChangeArrowheads="1"/>
        </xdr:cNvSpPr>
      </xdr:nvSpPr>
      <xdr:spPr bwMode="auto">
        <a:xfrm>
          <a:off x="46110525" y="271519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08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0170000}"/>
            </a:ext>
          </a:extLst>
        </xdr:cNvPr>
        <xdr:cNvSpPr>
          <a:spLocks noChangeAspect="1" noChangeArrowheads="1"/>
        </xdr:cNvSpPr>
      </xdr:nvSpPr>
      <xdr:spPr bwMode="auto">
        <a:xfrm>
          <a:off x="46110525" y="271519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08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1170000}"/>
            </a:ext>
          </a:extLst>
        </xdr:cNvPr>
        <xdr:cNvSpPr>
          <a:spLocks noChangeAspect="1" noChangeArrowheads="1"/>
        </xdr:cNvSpPr>
      </xdr:nvSpPr>
      <xdr:spPr bwMode="auto">
        <a:xfrm>
          <a:off x="46110525" y="2718149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08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2170000}"/>
            </a:ext>
          </a:extLst>
        </xdr:cNvPr>
        <xdr:cNvSpPr>
          <a:spLocks noChangeAspect="1" noChangeArrowheads="1"/>
        </xdr:cNvSpPr>
      </xdr:nvSpPr>
      <xdr:spPr bwMode="auto">
        <a:xfrm>
          <a:off x="46110525" y="2718149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08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3170000}"/>
            </a:ext>
          </a:extLst>
        </xdr:cNvPr>
        <xdr:cNvSpPr>
          <a:spLocks noChangeAspect="1" noChangeArrowheads="1"/>
        </xdr:cNvSpPr>
      </xdr:nvSpPr>
      <xdr:spPr bwMode="auto">
        <a:xfrm>
          <a:off x="46110525" y="27211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08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4170000}"/>
            </a:ext>
          </a:extLst>
        </xdr:cNvPr>
        <xdr:cNvSpPr>
          <a:spLocks noChangeAspect="1" noChangeArrowheads="1"/>
        </xdr:cNvSpPr>
      </xdr:nvSpPr>
      <xdr:spPr bwMode="auto">
        <a:xfrm>
          <a:off x="46110525" y="272110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08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5170000}"/>
            </a:ext>
          </a:extLst>
        </xdr:cNvPr>
        <xdr:cNvSpPr>
          <a:spLocks noChangeAspect="1" noChangeArrowheads="1"/>
        </xdr:cNvSpPr>
      </xdr:nvSpPr>
      <xdr:spPr bwMode="auto">
        <a:xfrm>
          <a:off x="46110525" y="2724054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08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6170000}"/>
            </a:ext>
          </a:extLst>
        </xdr:cNvPr>
        <xdr:cNvSpPr>
          <a:spLocks noChangeAspect="1" noChangeArrowheads="1"/>
        </xdr:cNvSpPr>
      </xdr:nvSpPr>
      <xdr:spPr bwMode="auto">
        <a:xfrm>
          <a:off x="46110525" y="2724054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08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7170000}"/>
            </a:ext>
          </a:extLst>
        </xdr:cNvPr>
        <xdr:cNvSpPr>
          <a:spLocks noChangeAspect="1" noChangeArrowheads="1"/>
        </xdr:cNvSpPr>
      </xdr:nvSpPr>
      <xdr:spPr bwMode="auto">
        <a:xfrm>
          <a:off x="46110525" y="272700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08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8170000}"/>
            </a:ext>
          </a:extLst>
        </xdr:cNvPr>
        <xdr:cNvSpPr>
          <a:spLocks noChangeAspect="1" noChangeArrowheads="1"/>
        </xdr:cNvSpPr>
      </xdr:nvSpPr>
      <xdr:spPr bwMode="auto">
        <a:xfrm>
          <a:off x="46110525" y="272700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08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9170000}"/>
            </a:ext>
          </a:extLst>
        </xdr:cNvPr>
        <xdr:cNvSpPr>
          <a:spLocks noChangeAspect="1" noChangeArrowheads="1"/>
        </xdr:cNvSpPr>
      </xdr:nvSpPr>
      <xdr:spPr bwMode="auto">
        <a:xfrm>
          <a:off x="46110525" y="272996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09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A170000}"/>
            </a:ext>
          </a:extLst>
        </xdr:cNvPr>
        <xdr:cNvSpPr>
          <a:spLocks noChangeAspect="1" noChangeArrowheads="1"/>
        </xdr:cNvSpPr>
      </xdr:nvSpPr>
      <xdr:spPr bwMode="auto">
        <a:xfrm>
          <a:off x="46110525" y="272996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09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B170000}"/>
            </a:ext>
          </a:extLst>
        </xdr:cNvPr>
        <xdr:cNvSpPr>
          <a:spLocks noChangeAspect="1" noChangeArrowheads="1"/>
        </xdr:cNvSpPr>
      </xdr:nvSpPr>
      <xdr:spPr bwMode="auto">
        <a:xfrm>
          <a:off x="46110525" y="273291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09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C170000}"/>
            </a:ext>
          </a:extLst>
        </xdr:cNvPr>
        <xdr:cNvSpPr>
          <a:spLocks noChangeAspect="1" noChangeArrowheads="1"/>
        </xdr:cNvSpPr>
      </xdr:nvSpPr>
      <xdr:spPr bwMode="auto">
        <a:xfrm>
          <a:off x="46110525" y="273291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09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D170000}"/>
            </a:ext>
          </a:extLst>
        </xdr:cNvPr>
        <xdr:cNvSpPr>
          <a:spLocks noChangeAspect="1" noChangeArrowheads="1"/>
        </xdr:cNvSpPr>
      </xdr:nvSpPr>
      <xdr:spPr bwMode="auto">
        <a:xfrm>
          <a:off x="46110525" y="273586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09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E170000}"/>
            </a:ext>
          </a:extLst>
        </xdr:cNvPr>
        <xdr:cNvSpPr>
          <a:spLocks noChangeAspect="1" noChangeArrowheads="1"/>
        </xdr:cNvSpPr>
      </xdr:nvSpPr>
      <xdr:spPr bwMode="auto">
        <a:xfrm>
          <a:off x="46110525" y="273586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09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F170000}"/>
            </a:ext>
          </a:extLst>
        </xdr:cNvPr>
        <xdr:cNvSpPr>
          <a:spLocks noChangeAspect="1" noChangeArrowheads="1"/>
        </xdr:cNvSpPr>
      </xdr:nvSpPr>
      <xdr:spPr bwMode="auto">
        <a:xfrm>
          <a:off x="46110525" y="273881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09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0170000}"/>
            </a:ext>
          </a:extLst>
        </xdr:cNvPr>
        <xdr:cNvSpPr>
          <a:spLocks noChangeAspect="1" noChangeArrowheads="1"/>
        </xdr:cNvSpPr>
      </xdr:nvSpPr>
      <xdr:spPr bwMode="auto">
        <a:xfrm>
          <a:off x="46110525" y="273881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09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1170000}"/>
            </a:ext>
          </a:extLst>
        </xdr:cNvPr>
        <xdr:cNvSpPr>
          <a:spLocks noChangeAspect="1" noChangeArrowheads="1"/>
        </xdr:cNvSpPr>
      </xdr:nvSpPr>
      <xdr:spPr bwMode="auto">
        <a:xfrm>
          <a:off x="46110525" y="2741771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09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2170000}"/>
            </a:ext>
          </a:extLst>
        </xdr:cNvPr>
        <xdr:cNvSpPr>
          <a:spLocks noChangeAspect="1" noChangeArrowheads="1"/>
        </xdr:cNvSpPr>
      </xdr:nvSpPr>
      <xdr:spPr bwMode="auto">
        <a:xfrm>
          <a:off x="46110525" y="2741771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09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3170000}"/>
            </a:ext>
          </a:extLst>
        </xdr:cNvPr>
        <xdr:cNvSpPr>
          <a:spLocks noChangeAspect="1" noChangeArrowheads="1"/>
        </xdr:cNvSpPr>
      </xdr:nvSpPr>
      <xdr:spPr bwMode="auto">
        <a:xfrm>
          <a:off x="46110525" y="274472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10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4170000}"/>
            </a:ext>
          </a:extLst>
        </xdr:cNvPr>
        <xdr:cNvSpPr>
          <a:spLocks noChangeAspect="1" noChangeArrowheads="1"/>
        </xdr:cNvSpPr>
      </xdr:nvSpPr>
      <xdr:spPr bwMode="auto">
        <a:xfrm>
          <a:off x="46110525" y="274472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10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5170000}"/>
            </a:ext>
          </a:extLst>
        </xdr:cNvPr>
        <xdr:cNvSpPr>
          <a:spLocks noChangeAspect="1" noChangeArrowheads="1"/>
        </xdr:cNvSpPr>
      </xdr:nvSpPr>
      <xdr:spPr bwMode="auto">
        <a:xfrm>
          <a:off x="46110525" y="2747676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10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6170000}"/>
            </a:ext>
          </a:extLst>
        </xdr:cNvPr>
        <xdr:cNvSpPr>
          <a:spLocks noChangeAspect="1" noChangeArrowheads="1"/>
        </xdr:cNvSpPr>
      </xdr:nvSpPr>
      <xdr:spPr bwMode="auto">
        <a:xfrm>
          <a:off x="46110525" y="2747676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10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7170000}"/>
            </a:ext>
          </a:extLst>
        </xdr:cNvPr>
        <xdr:cNvSpPr>
          <a:spLocks noChangeAspect="1" noChangeArrowheads="1"/>
        </xdr:cNvSpPr>
      </xdr:nvSpPr>
      <xdr:spPr bwMode="auto">
        <a:xfrm>
          <a:off x="46110525" y="275062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10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8170000}"/>
            </a:ext>
          </a:extLst>
        </xdr:cNvPr>
        <xdr:cNvSpPr>
          <a:spLocks noChangeAspect="1" noChangeArrowheads="1"/>
        </xdr:cNvSpPr>
      </xdr:nvSpPr>
      <xdr:spPr bwMode="auto">
        <a:xfrm>
          <a:off x="46110525" y="275062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10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9170000}"/>
            </a:ext>
          </a:extLst>
        </xdr:cNvPr>
        <xdr:cNvSpPr>
          <a:spLocks noChangeAspect="1" noChangeArrowheads="1"/>
        </xdr:cNvSpPr>
      </xdr:nvSpPr>
      <xdr:spPr bwMode="auto">
        <a:xfrm>
          <a:off x="46110525" y="275358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10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A170000}"/>
            </a:ext>
          </a:extLst>
        </xdr:cNvPr>
        <xdr:cNvSpPr>
          <a:spLocks noChangeAspect="1" noChangeArrowheads="1"/>
        </xdr:cNvSpPr>
      </xdr:nvSpPr>
      <xdr:spPr bwMode="auto">
        <a:xfrm>
          <a:off x="46110525" y="275358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10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B170000}"/>
            </a:ext>
          </a:extLst>
        </xdr:cNvPr>
        <xdr:cNvSpPr>
          <a:spLocks noChangeAspect="1" noChangeArrowheads="1"/>
        </xdr:cNvSpPr>
      </xdr:nvSpPr>
      <xdr:spPr bwMode="auto">
        <a:xfrm>
          <a:off x="46110525" y="27565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10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C170000}"/>
            </a:ext>
          </a:extLst>
        </xdr:cNvPr>
        <xdr:cNvSpPr>
          <a:spLocks noChangeAspect="1" noChangeArrowheads="1"/>
        </xdr:cNvSpPr>
      </xdr:nvSpPr>
      <xdr:spPr bwMode="auto">
        <a:xfrm>
          <a:off x="46110525" y="275653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10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D170000}"/>
            </a:ext>
          </a:extLst>
        </xdr:cNvPr>
        <xdr:cNvSpPr>
          <a:spLocks noChangeAspect="1" noChangeArrowheads="1"/>
        </xdr:cNvSpPr>
      </xdr:nvSpPr>
      <xdr:spPr bwMode="auto">
        <a:xfrm>
          <a:off x="46110525" y="2759487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11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E170000}"/>
            </a:ext>
          </a:extLst>
        </xdr:cNvPr>
        <xdr:cNvSpPr>
          <a:spLocks noChangeAspect="1" noChangeArrowheads="1"/>
        </xdr:cNvSpPr>
      </xdr:nvSpPr>
      <xdr:spPr bwMode="auto">
        <a:xfrm>
          <a:off x="46110525" y="2759487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11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F170000}"/>
            </a:ext>
          </a:extLst>
        </xdr:cNvPr>
        <xdr:cNvSpPr>
          <a:spLocks noChangeAspect="1" noChangeArrowheads="1"/>
        </xdr:cNvSpPr>
      </xdr:nvSpPr>
      <xdr:spPr bwMode="auto">
        <a:xfrm>
          <a:off x="46110525" y="276244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11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0170000}"/>
            </a:ext>
          </a:extLst>
        </xdr:cNvPr>
        <xdr:cNvSpPr>
          <a:spLocks noChangeAspect="1" noChangeArrowheads="1"/>
        </xdr:cNvSpPr>
      </xdr:nvSpPr>
      <xdr:spPr bwMode="auto">
        <a:xfrm>
          <a:off x="46110525" y="276244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11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1170000}"/>
            </a:ext>
          </a:extLst>
        </xdr:cNvPr>
        <xdr:cNvSpPr>
          <a:spLocks noChangeAspect="1" noChangeArrowheads="1"/>
        </xdr:cNvSpPr>
      </xdr:nvSpPr>
      <xdr:spPr bwMode="auto">
        <a:xfrm>
          <a:off x="46110525" y="276539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11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2170000}"/>
            </a:ext>
          </a:extLst>
        </xdr:cNvPr>
        <xdr:cNvSpPr>
          <a:spLocks noChangeAspect="1" noChangeArrowheads="1"/>
        </xdr:cNvSpPr>
      </xdr:nvSpPr>
      <xdr:spPr bwMode="auto">
        <a:xfrm>
          <a:off x="46110525" y="276539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11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3170000}"/>
            </a:ext>
          </a:extLst>
        </xdr:cNvPr>
        <xdr:cNvSpPr>
          <a:spLocks noChangeAspect="1" noChangeArrowheads="1"/>
        </xdr:cNvSpPr>
      </xdr:nvSpPr>
      <xdr:spPr bwMode="auto">
        <a:xfrm>
          <a:off x="46110525" y="276834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11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4170000}"/>
            </a:ext>
          </a:extLst>
        </xdr:cNvPr>
        <xdr:cNvSpPr>
          <a:spLocks noChangeAspect="1" noChangeArrowheads="1"/>
        </xdr:cNvSpPr>
      </xdr:nvSpPr>
      <xdr:spPr bwMode="auto">
        <a:xfrm>
          <a:off x="46110525" y="276834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11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5170000}"/>
            </a:ext>
          </a:extLst>
        </xdr:cNvPr>
        <xdr:cNvSpPr>
          <a:spLocks noChangeAspect="1" noChangeArrowheads="1"/>
        </xdr:cNvSpPr>
      </xdr:nvSpPr>
      <xdr:spPr bwMode="auto">
        <a:xfrm>
          <a:off x="46110525" y="277129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11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6170000}"/>
            </a:ext>
          </a:extLst>
        </xdr:cNvPr>
        <xdr:cNvSpPr>
          <a:spLocks noChangeAspect="1" noChangeArrowheads="1"/>
        </xdr:cNvSpPr>
      </xdr:nvSpPr>
      <xdr:spPr bwMode="auto">
        <a:xfrm>
          <a:off x="46110525" y="277129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11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7170000}"/>
            </a:ext>
          </a:extLst>
        </xdr:cNvPr>
        <xdr:cNvSpPr>
          <a:spLocks noChangeAspect="1" noChangeArrowheads="1"/>
        </xdr:cNvSpPr>
      </xdr:nvSpPr>
      <xdr:spPr bwMode="auto">
        <a:xfrm>
          <a:off x="46110525" y="277425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12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8170000}"/>
            </a:ext>
          </a:extLst>
        </xdr:cNvPr>
        <xdr:cNvSpPr>
          <a:spLocks noChangeAspect="1" noChangeArrowheads="1"/>
        </xdr:cNvSpPr>
      </xdr:nvSpPr>
      <xdr:spPr bwMode="auto">
        <a:xfrm>
          <a:off x="46110525" y="277425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12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9170000}"/>
            </a:ext>
          </a:extLst>
        </xdr:cNvPr>
        <xdr:cNvSpPr>
          <a:spLocks noChangeAspect="1" noChangeArrowheads="1"/>
        </xdr:cNvSpPr>
      </xdr:nvSpPr>
      <xdr:spPr bwMode="auto">
        <a:xfrm>
          <a:off x="46110525" y="2777204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12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A170000}"/>
            </a:ext>
          </a:extLst>
        </xdr:cNvPr>
        <xdr:cNvSpPr>
          <a:spLocks noChangeAspect="1" noChangeArrowheads="1"/>
        </xdr:cNvSpPr>
      </xdr:nvSpPr>
      <xdr:spPr bwMode="auto">
        <a:xfrm>
          <a:off x="46110525" y="2777204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12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B170000}"/>
            </a:ext>
          </a:extLst>
        </xdr:cNvPr>
        <xdr:cNvSpPr>
          <a:spLocks noChangeAspect="1" noChangeArrowheads="1"/>
        </xdr:cNvSpPr>
      </xdr:nvSpPr>
      <xdr:spPr bwMode="auto">
        <a:xfrm>
          <a:off x="46110525" y="278015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12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C170000}"/>
            </a:ext>
          </a:extLst>
        </xdr:cNvPr>
        <xdr:cNvSpPr>
          <a:spLocks noChangeAspect="1" noChangeArrowheads="1"/>
        </xdr:cNvSpPr>
      </xdr:nvSpPr>
      <xdr:spPr bwMode="auto">
        <a:xfrm>
          <a:off x="46110525" y="278015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12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D170000}"/>
            </a:ext>
          </a:extLst>
        </xdr:cNvPr>
        <xdr:cNvSpPr>
          <a:spLocks noChangeAspect="1" noChangeArrowheads="1"/>
        </xdr:cNvSpPr>
      </xdr:nvSpPr>
      <xdr:spPr bwMode="auto">
        <a:xfrm>
          <a:off x="46110525" y="2783109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12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E170000}"/>
            </a:ext>
          </a:extLst>
        </xdr:cNvPr>
        <xdr:cNvSpPr>
          <a:spLocks noChangeAspect="1" noChangeArrowheads="1"/>
        </xdr:cNvSpPr>
      </xdr:nvSpPr>
      <xdr:spPr bwMode="auto">
        <a:xfrm>
          <a:off x="46110525" y="2783109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12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F170000}"/>
            </a:ext>
          </a:extLst>
        </xdr:cNvPr>
        <xdr:cNvSpPr>
          <a:spLocks noChangeAspect="1" noChangeArrowheads="1"/>
        </xdr:cNvSpPr>
      </xdr:nvSpPr>
      <xdr:spPr bwMode="auto">
        <a:xfrm>
          <a:off x="46110525" y="278606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12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0170000}"/>
            </a:ext>
          </a:extLst>
        </xdr:cNvPr>
        <xdr:cNvSpPr>
          <a:spLocks noChangeAspect="1" noChangeArrowheads="1"/>
        </xdr:cNvSpPr>
      </xdr:nvSpPr>
      <xdr:spPr bwMode="auto">
        <a:xfrm>
          <a:off x="46110525" y="278606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12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1170000}"/>
            </a:ext>
          </a:extLst>
        </xdr:cNvPr>
        <xdr:cNvSpPr>
          <a:spLocks noChangeAspect="1" noChangeArrowheads="1"/>
        </xdr:cNvSpPr>
      </xdr:nvSpPr>
      <xdr:spPr bwMode="auto">
        <a:xfrm>
          <a:off x="46110525" y="278901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13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2170000}"/>
            </a:ext>
          </a:extLst>
        </xdr:cNvPr>
        <xdr:cNvSpPr>
          <a:spLocks noChangeAspect="1" noChangeArrowheads="1"/>
        </xdr:cNvSpPr>
      </xdr:nvSpPr>
      <xdr:spPr bwMode="auto">
        <a:xfrm>
          <a:off x="46110525" y="278901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13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3170000}"/>
            </a:ext>
          </a:extLst>
        </xdr:cNvPr>
        <xdr:cNvSpPr>
          <a:spLocks noChangeAspect="1" noChangeArrowheads="1"/>
        </xdr:cNvSpPr>
      </xdr:nvSpPr>
      <xdr:spPr bwMode="auto">
        <a:xfrm>
          <a:off x="46110525" y="279196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13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4170000}"/>
            </a:ext>
          </a:extLst>
        </xdr:cNvPr>
        <xdr:cNvSpPr>
          <a:spLocks noChangeAspect="1" noChangeArrowheads="1"/>
        </xdr:cNvSpPr>
      </xdr:nvSpPr>
      <xdr:spPr bwMode="auto">
        <a:xfrm>
          <a:off x="46110525" y="279196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13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5170000}"/>
            </a:ext>
          </a:extLst>
        </xdr:cNvPr>
        <xdr:cNvSpPr>
          <a:spLocks noChangeAspect="1" noChangeArrowheads="1"/>
        </xdr:cNvSpPr>
      </xdr:nvSpPr>
      <xdr:spPr bwMode="auto">
        <a:xfrm>
          <a:off x="46110525" y="279492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13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6170000}"/>
            </a:ext>
          </a:extLst>
        </xdr:cNvPr>
        <xdr:cNvSpPr>
          <a:spLocks noChangeAspect="1" noChangeArrowheads="1"/>
        </xdr:cNvSpPr>
      </xdr:nvSpPr>
      <xdr:spPr bwMode="auto">
        <a:xfrm>
          <a:off x="46110525" y="279492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13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7170000}"/>
            </a:ext>
          </a:extLst>
        </xdr:cNvPr>
        <xdr:cNvSpPr>
          <a:spLocks noChangeAspect="1" noChangeArrowheads="1"/>
        </xdr:cNvSpPr>
      </xdr:nvSpPr>
      <xdr:spPr bwMode="auto">
        <a:xfrm>
          <a:off x="46110525" y="279787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13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8170000}"/>
            </a:ext>
          </a:extLst>
        </xdr:cNvPr>
        <xdr:cNvSpPr>
          <a:spLocks noChangeAspect="1" noChangeArrowheads="1"/>
        </xdr:cNvSpPr>
      </xdr:nvSpPr>
      <xdr:spPr bwMode="auto">
        <a:xfrm>
          <a:off x="46110525" y="279787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13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9170000}"/>
            </a:ext>
          </a:extLst>
        </xdr:cNvPr>
        <xdr:cNvSpPr>
          <a:spLocks noChangeAspect="1" noChangeArrowheads="1"/>
        </xdr:cNvSpPr>
      </xdr:nvSpPr>
      <xdr:spPr bwMode="auto">
        <a:xfrm>
          <a:off x="46110525" y="280082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13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A170000}"/>
            </a:ext>
          </a:extLst>
        </xdr:cNvPr>
        <xdr:cNvSpPr>
          <a:spLocks noChangeAspect="1" noChangeArrowheads="1"/>
        </xdr:cNvSpPr>
      </xdr:nvSpPr>
      <xdr:spPr bwMode="auto">
        <a:xfrm>
          <a:off x="46110525" y="280082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13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B170000}"/>
            </a:ext>
          </a:extLst>
        </xdr:cNvPr>
        <xdr:cNvSpPr>
          <a:spLocks noChangeAspect="1" noChangeArrowheads="1"/>
        </xdr:cNvSpPr>
      </xdr:nvSpPr>
      <xdr:spPr bwMode="auto">
        <a:xfrm>
          <a:off x="46110525" y="280377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14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C170000}"/>
            </a:ext>
          </a:extLst>
        </xdr:cNvPr>
        <xdr:cNvSpPr>
          <a:spLocks noChangeAspect="1" noChangeArrowheads="1"/>
        </xdr:cNvSpPr>
      </xdr:nvSpPr>
      <xdr:spPr bwMode="auto">
        <a:xfrm>
          <a:off x="46110525" y="280377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14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D170000}"/>
            </a:ext>
          </a:extLst>
        </xdr:cNvPr>
        <xdr:cNvSpPr>
          <a:spLocks noChangeAspect="1" noChangeArrowheads="1"/>
        </xdr:cNvSpPr>
      </xdr:nvSpPr>
      <xdr:spPr bwMode="auto">
        <a:xfrm>
          <a:off x="46110525" y="2806731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14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E170000}"/>
            </a:ext>
          </a:extLst>
        </xdr:cNvPr>
        <xdr:cNvSpPr>
          <a:spLocks noChangeAspect="1" noChangeArrowheads="1"/>
        </xdr:cNvSpPr>
      </xdr:nvSpPr>
      <xdr:spPr bwMode="auto">
        <a:xfrm>
          <a:off x="46110525" y="2806731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14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F170000}"/>
            </a:ext>
          </a:extLst>
        </xdr:cNvPr>
        <xdr:cNvSpPr>
          <a:spLocks noChangeAspect="1" noChangeArrowheads="1"/>
        </xdr:cNvSpPr>
      </xdr:nvSpPr>
      <xdr:spPr bwMode="auto">
        <a:xfrm>
          <a:off x="46110525" y="280968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14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0180000}"/>
            </a:ext>
          </a:extLst>
        </xdr:cNvPr>
        <xdr:cNvSpPr>
          <a:spLocks noChangeAspect="1" noChangeArrowheads="1"/>
        </xdr:cNvSpPr>
      </xdr:nvSpPr>
      <xdr:spPr bwMode="auto">
        <a:xfrm>
          <a:off x="46110525" y="280968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14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1180000}"/>
            </a:ext>
          </a:extLst>
        </xdr:cNvPr>
        <xdr:cNvSpPr>
          <a:spLocks noChangeAspect="1" noChangeArrowheads="1"/>
        </xdr:cNvSpPr>
      </xdr:nvSpPr>
      <xdr:spPr bwMode="auto">
        <a:xfrm>
          <a:off x="46110525" y="2812637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14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2180000}"/>
            </a:ext>
          </a:extLst>
        </xdr:cNvPr>
        <xdr:cNvSpPr>
          <a:spLocks noChangeAspect="1" noChangeArrowheads="1"/>
        </xdr:cNvSpPr>
      </xdr:nvSpPr>
      <xdr:spPr bwMode="auto">
        <a:xfrm>
          <a:off x="46110525" y="2812637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14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3180000}"/>
            </a:ext>
          </a:extLst>
        </xdr:cNvPr>
        <xdr:cNvSpPr>
          <a:spLocks noChangeAspect="1" noChangeArrowheads="1"/>
        </xdr:cNvSpPr>
      </xdr:nvSpPr>
      <xdr:spPr bwMode="auto">
        <a:xfrm>
          <a:off x="46110525" y="28155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14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4180000}"/>
            </a:ext>
          </a:extLst>
        </xdr:cNvPr>
        <xdr:cNvSpPr>
          <a:spLocks noChangeAspect="1" noChangeArrowheads="1"/>
        </xdr:cNvSpPr>
      </xdr:nvSpPr>
      <xdr:spPr bwMode="auto">
        <a:xfrm>
          <a:off x="46110525" y="281559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14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5180000}"/>
            </a:ext>
          </a:extLst>
        </xdr:cNvPr>
        <xdr:cNvSpPr>
          <a:spLocks noChangeAspect="1" noChangeArrowheads="1"/>
        </xdr:cNvSpPr>
      </xdr:nvSpPr>
      <xdr:spPr bwMode="auto">
        <a:xfrm>
          <a:off x="46110525" y="2818542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15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6180000}"/>
            </a:ext>
          </a:extLst>
        </xdr:cNvPr>
        <xdr:cNvSpPr>
          <a:spLocks noChangeAspect="1" noChangeArrowheads="1"/>
        </xdr:cNvSpPr>
      </xdr:nvSpPr>
      <xdr:spPr bwMode="auto">
        <a:xfrm>
          <a:off x="46110525" y="2818542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15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7180000}"/>
            </a:ext>
          </a:extLst>
        </xdr:cNvPr>
        <xdr:cNvSpPr>
          <a:spLocks noChangeAspect="1" noChangeArrowheads="1"/>
        </xdr:cNvSpPr>
      </xdr:nvSpPr>
      <xdr:spPr bwMode="auto">
        <a:xfrm>
          <a:off x="46110525" y="282149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15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8180000}"/>
            </a:ext>
          </a:extLst>
        </xdr:cNvPr>
        <xdr:cNvSpPr>
          <a:spLocks noChangeAspect="1" noChangeArrowheads="1"/>
        </xdr:cNvSpPr>
      </xdr:nvSpPr>
      <xdr:spPr bwMode="auto">
        <a:xfrm>
          <a:off x="46110525" y="282149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15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9180000}"/>
            </a:ext>
          </a:extLst>
        </xdr:cNvPr>
        <xdr:cNvSpPr>
          <a:spLocks noChangeAspect="1" noChangeArrowheads="1"/>
        </xdr:cNvSpPr>
      </xdr:nvSpPr>
      <xdr:spPr bwMode="auto">
        <a:xfrm>
          <a:off x="46110525" y="282444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15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A180000}"/>
            </a:ext>
          </a:extLst>
        </xdr:cNvPr>
        <xdr:cNvSpPr>
          <a:spLocks noChangeAspect="1" noChangeArrowheads="1"/>
        </xdr:cNvSpPr>
      </xdr:nvSpPr>
      <xdr:spPr bwMode="auto">
        <a:xfrm>
          <a:off x="46110525" y="282444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15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B180000}"/>
            </a:ext>
          </a:extLst>
        </xdr:cNvPr>
        <xdr:cNvSpPr>
          <a:spLocks noChangeAspect="1" noChangeArrowheads="1"/>
        </xdr:cNvSpPr>
      </xdr:nvSpPr>
      <xdr:spPr bwMode="auto">
        <a:xfrm>
          <a:off x="46110525" y="282740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15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C180000}"/>
            </a:ext>
          </a:extLst>
        </xdr:cNvPr>
        <xdr:cNvSpPr>
          <a:spLocks noChangeAspect="1" noChangeArrowheads="1"/>
        </xdr:cNvSpPr>
      </xdr:nvSpPr>
      <xdr:spPr bwMode="auto">
        <a:xfrm>
          <a:off x="46110525" y="282740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15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D180000}"/>
            </a:ext>
          </a:extLst>
        </xdr:cNvPr>
        <xdr:cNvSpPr>
          <a:spLocks noChangeAspect="1" noChangeArrowheads="1"/>
        </xdr:cNvSpPr>
      </xdr:nvSpPr>
      <xdr:spPr bwMode="auto">
        <a:xfrm>
          <a:off x="46110525" y="283035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15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E180000}"/>
            </a:ext>
          </a:extLst>
        </xdr:cNvPr>
        <xdr:cNvSpPr>
          <a:spLocks noChangeAspect="1" noChangeArrowheads="1"/>
        </xdr:cNvSpPr>
      </xdr:nvSpPr>
      <xdr:spPr bwMode="auto">
        <a:xfrm>
          <a:off x="46110525" y="283035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15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F180000}"/>
            </a:ext>
          </a:extLst>
        </xdr:cNvPr>
        <xdr:cNvSpPr>
          <a:spLocks noChangeAspect="1" noChangeArrowheads="1"/>
        </xdr:cNvSpPr>
      </xdr:nvSpPr>
      <xdr:spPr bwMode="auto">
        <a:xfrm>
          <a:off x="46110525" y="283330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16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0180000}"/>
            </a:ext>
          </a:extLst>
        </xdr:cNvPr>
        <xdr:cNvSpPr>
          <a:spLocks noChangeAspect="1" noChangeArrowheads="1"/>
        </xdr:cNvSpPr>
      </xdr:nvSpPr>
      <xdr:spPr bwMode="auto">
        <a:xfrm>
          <a:off x="46110525" y="283330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16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1180000}"/>
            </a:ext>
          </a:extLst>
        </xdr:cNvPr>
        <xdr:cNvSpPr>
          <a:spLocks noChangeAspect="1" noChangeArrowheads="1"/>
        </xdr:cNvSpPr>
      </xdr:nvSpPr>
      <xdr:spPr bwMode="auto">
        <a:xfrm>
          <a:off x="46110525" y="2836259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16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2180000}"/>
            </a:ext>
          </a:extLst>
        </xdr:cNvPr>
        <xdr:cNvSpPr>
          <a:spLocks noChangeAspect="1" noChangeArrowheads="1"/>
        </xdr:cNvSpPr>
      </xdr:nvSpPr>
      <xdr:spPr bwMode="auto">
        <a:xfrm>
          <a:off x="46110525" y="2836259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16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3180000}"/>
            </a:ext>
          </a:extLst>
        </xdr:cNvPr>
        <xdr:cNvSpPr>
          <a:spLocks noChangeAspect="1" noChangeArrowheads="1"/>
        </xdr:cNvSpPr>
      </xdr:nvSpPr>
      <xdr:spPr bwMode="auto">
        <a:xfrm>
          <a:off x="46110525" y="283921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16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4180000}"/>
            </a:ext>
          </a:extLst>
        </xdr:cNvPr>
        <xdr:cNvSpPr>
          <a:spLocks noChangeAspect="1" noChangeArrowheads="1"/>
        </xdr:cNvSpPr>
      </xdr:nvSpPr>
      <xdr:spPr bwMode="auto">
        <a:xfrm>
          <a:off x="46110525" y="283921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16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5180000}"/>
            </a:ext>
          </a:extLst>
        </xdr:cNvPr>
        <xdr:cNvSpPr>
          <a:spLocks noChangeAspect="1" noChangeArrowheads="1"/>
        </xdr:cNvSpPr>
      </xdr:nvSpPr>
      <xdr:spPr bwMode="auto">
        <a:xfrm>
          <a:off x="46110525" y="2842164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16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6180000}"/>
            </a:ext>
          </a:extLst>
        </xdr:cNvPr>
        <xdr:cNvSpPr>
          <a:spLocks noChangeAspect="1" noChangeArrowheads="1"/>
        </xdr:cNvSpPr>
      </xdr:nvSpPr>
      <xdr:spPr bwMode="auto">
        <a:xfrm>
          <a:off x="46110525" y="2842164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16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7180000}"/>
            </a:ext>
          </a:extLst>
        </xdr:cNvPr>
        <xdr:cNvSpPr>
          <a:spLocks noChangeAspect="1" noChangeArrowheads="1"/>
        </xdr:cNvSpPr>
      </xdr:nvSpPr>
      <xdr:spPr bwMode="auto">
        <a:xfrm>
          <a:off x="46110525" y="284511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16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8180000}"/>
            </a:ext>
          </a:extLst>
        </xdr:cNvPr>
        <xdr:cNvSpPr>
          <a:spLocks noChangeAspect="1" noChangeArrowheads="1"/>
        </xdr:cNvSpPr>
      </xdr:nvSpPr>
      <xdr:spPr bwMode="auto">
        <a:xfrm>
          <a:off x="46110525" y="284511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16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9180000}"/>
            </a:ext>
          </a:extLst>
        </xdr:cNvPr>
        <xdr:cNvSpPr>
          <a:spLocks noChangeAspect="1" noChangeArrowheads="1"/>
        </xdr:cNvSpPr>
      </xdr:nvSpPr>
      <xdr:spPr bwMode="auto">
        <a:xfrm>
          <a:off x="46110525" y="284807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17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A180000}"/>
            </a:ext>
          </a:extLst>
        </xdr:cNvPr>
        <xdr:cNvSpPr>
          <a:spLocks noChangeAspect="1" noChangeArrowheads="1"/>
        </xdr:cNvSpPr>
      </xdr:nvSpPr>
      <xdr:spPr bwMode="auto">
        <a:xfrm>
          <a:off x="46110525" y="284807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17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B180000}"/>
            </a:ext>
          </a:extLst>
        </xdr:cNvPr>
        <xdr:cNvSpPr>
          <a:spLocks noChangeAspect="1" noChangeArrowheads="1"/>
        </xdr:cNvSpPr>
      </xdr:nvSpPr>
      <xdr:spPr bwMode="auto">
        <a:xfrm>
          <a:off x="46110525" y="285102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17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C180000}"/>
            </a:ext>
          </a:extLst>
        </xdr:cNvPr>
        <xdr:cNvSpPr>
          <a:spLocks noChangeAspect="1" noChangeArrowheads="1"/>
        </xdr:cNvSpPr>
      </xdr:nvSpPr>
      <xdr:spPr bwMode="auto">
        <a:xfrm>
          <a:off x="46110525" y="285102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17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D180000}"/>
            </a:ext>
          </a:extLst>
        </xdr:cNvPr>
        <xdr:cNvSpPr>
          <a:spLocks noChangeAspect="1" noChangeArrowheads="1"/>
        </xdr:cNvSpPr>
      </xdr:nvSpPr>
      <xdr:spPr bwMode="auto">
        <a:xfrm>
          <a:off x="46110525" y="285397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17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E180000}"/>
            </a:ext>
          </a:extLst>
        </xdr:cNvPr>
        <xdr:cNvSpPr>
          <a:spLocks noChangeAspect="1" noChangeArrowheads="1"/>
        </xdr:cNvSpPr>
      </xdr:nvSpPr>
      <xdr:spPr bwMode="auto">
        <a:xfrm>
          <a:off x="46110525" y="285397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17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F180000}"/>
            </a:ext>
          </a:extLst>
        </xdr:cNvPr>
        <xdr:cNvSpPr>
          <a:spLocks noChangeAspect="1" noChangeArrowheads="1"/>
        </xdr:cNvSpPr>
      </xdr:nvSpPr>
      <xdr:spPr bwMode="auto">
        <a:xfrm>
          <a:off x="46110525" y="285692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17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0180000}"/>
            </a:ext>
          </a:extLst>
        </xdr:cNvPr>
        <xdr:cNvSpPr>
          <a:spLocks noChangeAspect="1" noChangeArrowheads="1"/>
        </xdr:cNvSpPr>
      </xdr:nvSpPr>
      <xdr:spPr bwMode="auto">
        <a:xfrm>
          <a:off x="46110525" y="285692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17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1180000}"/>
            </a:ext>
          </a:extLst>
        </xdr:cNvPr>
        <xdr:cNvSpPr>
          <a:spLocks noChangeAspect="1" noChangeArrowheads="1"/>
        </xdr:cNvSpPr>
      </xdr:nvSpPr>
      <xdr:spPr bwMode="auto">
        <a:xfrm>
          <a:off x="46110525" y="2859881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17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2180000}"/>
            </a:ext>
          </a:extLst>
        </xdr:cNvPr>
        <xdr:cNvSpPr>
          <a:spLocks noChangeAspect="1" noChangeArrowheads="1"/>
        </xdr:cNvSpPr>
      </xdr:nvSpPr>
      <xdr:spPr bwMode="auto">
        <a:xfrm>
          <a:off x="46110525" y="2859881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17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3180000}"/>
            </a:ext>
          </a:extLst>
        </xdr:cNvPr>
        <xdr:cNvSpPr>
          <a:spLocks noChangeAspect="1" noChangeArrowheads="1"/>
        </xdr:cNvSpPr>
      </xdr:nvSpPr>
      <xdr:spPr bwMode="auto">
        <a:xfrm>
          <a:off x="46110525" y="286283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18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4180000}"/>
            </a:ext>
          </a:extLst>
        </xdr:cNvPr>
        <xdr:cNvSpPr>
          <a:spLocks noChangeAspect="1" noChangeArrowheads="1"/>
        </xdr:cNvSpPr>
      </xdr:nvSpPr>
      <xdr:spPr bwMode="auto">
        <a:xfrm>
          <a:off x="46110525" y="286283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18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5180000}"/>
            </a:ext>
          </a:extLst>
        </xdr:cNvPr>
        <xdr:cNvSpPr>
          <a:spLocks noChangeAspect="1" noChangeArrowheads="1"/>
        </xdr:cNvSpPr>
      </xdr:nvSpPr>
      <xdr:spPr bwMode="auto">
        <a:xfrm>
          <a:off x="46110525" y="2865786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18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6180000}"/>
            </a:ext>
          </a:extLst>
        </xdr:cNvPr>
        <xdr:cNvSpPr>
          <a:spLocks noChangeAspect="1" noChangeArrowheads="1"/>
        </xdr:cNvSpPr>
      </xdr:nvSpPr>
      <xdr:spPr bwMode="auto">
        <a:xfrm>
          <a:off x="46110525" y="2865786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18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7180000}"/>
            </a:ext>
          </a:extLst>
        </xdr:cNvPr>
        <xdr:cNvSpPr>
          <a:spLocks noChangeAspect="1" noChangeArrowheads="1"/>
        </xdr:cNvSpPr>
      </xdr:nvSpPr>
      <xdr:spPr bwMode="auto">
        <a:xfrm>
          <a:off x="46110525" y="286873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18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8180000}"/>
            </a:ext>
          </a:extLst>
        </xdr:cNvPr>
        <xdr:cNvSpPr>
          <a:spLocks noChangeAspect="1" noChangeArrowheads="1"/>
        </xdr:cNvSpPr>
      </xdr:nvSpPr>
      <xdr:spPr bwMode="auto">
        <a:xfrm>
          <a:off x="46110525" y="286873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18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9180000}"/>
            </a:ext>
          </a:extLst>
        </xdr:cNvPr>
        <xdr:cNvSpPr>
          <a:spLocks noChangeAspect="1" noChangeArrowheads="1"/>
        </xdr:cNvSpPr>
      </xdr:nvSpPr>
      <xdr:spPr bwMode="auto">
        <a:xfrm>
          <a:off x="46110525" y="287169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18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A180000}"/>
            </a:ext>
          </a:extLst>
        </xdr:cNvPr>
        <xdr:cNvSpPr>
          <a:spLocks noChangeAspect="1" noChangeArrowheads="1"/>
        </xdr:cNvSpPr>
      </xdr:nvSpPr>
      <xdr:spPr bwMode="auto">
        <a:xfrm>
          <a:off x="46110525" y="287169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18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B180000}"/>
            </a:ext>
          </a:extLst>
        </xdr:cNvPr>
        <xdr:cNvSpPr>
          <a:spLocks noChangeAspect="1" noChangeArrowheads="1"/>
        </xdr:cNvSpPr>
      </xdr:nvSpPr>
      <xdr:spPr bwMode="auto">
        <a:xfrm>
          <a:off x="46110525" y="287464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18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C180000}"/>
            </a:ext>
          </a:extLst>
        </xdr:cNvPr>
        <xdr:cNvSpPr>
          <a:spLocks noChangeAspect="1" noChangeArrowheads="1"/>
        </xdr:cNvSpPr>
      </xdr:nvSpPr>
      <xdr:spPr bwMode="auto">
        <a:xfrm>
          <a:off x="46110525" y="287464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18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D180000}"/>
            </a:ext>
          </a:extLst>
        </xdr:cNvPr>
        <xdr:cNvSpPr>
          <a:spLocks noChangeAspect="1" noChangeArrowheads="1"/>
        </xdr:cNvSpPr>
      </xdr:nvSpPr>
      <xdr:spPr bwMode="auto">
        <a:xfrm>
          <a:off x="46110525" y="2877597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19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E180000}"/>
            </a:ext>
          </a:extLst>
        </xdr:cNvPr>
        <xdr:cNvSpPr>
          <a:spLocks noChangeAspect="1" noChangeArrowheads="1"/>
        </xdr:cNvSpPr>
      </xdr:nvSpPr>
      <xdr:spPr bwMode="auto">
        <a:xfrm>
          <a:off x="46110525" y="2877597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19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F180000}"/>
            </a:ext>
          </a:extLst>
        </xdr:cNvPr>
        <xdr:cNvSpPr>
          <a:spLocks noChangeAspect="1" noChangeArrowheads="1"/>
        </xdr:cNvSpPr>
      </xdr:nvSpPr>
      <xdr:spPr bwMode="auto">
        <a:xfrm>
          <a:off x="46110525" y="288055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19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0180000}"/>
            </a:ext>
          </a:extLst>
        </xdr:cNvPr>
        <xdr:cNvSpPr>
          <a:spLocks noChangeAspect="1" noChangeArrowheads="1"/>
        </xdr:cNvSpPr>
      </xdr:nvSpPr>
      <xdr:spPr bwMode="auto">
        <a:xfrm>
          <a:off x="46110525" y="288055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19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1180000}"/>
            </a:ext>
          </a:extLst>
        </xdr:cNvPr>
        <xdr:cNvSpPr>
          <a:spLocks noChangeAspect="1" noChangeArrowheads="1"/>
        </xdr:cNvSpPr>
      </xdr:nvSpPr>
      <xdr:spPr bwMode="auto">
        <a:xfrm>
          <a:off x="46110525" y="288350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19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2180000}"/>
            </a:ext>
          </a:extLst>
        </xdr:cNvPr>
        <xdr:cNvSpPr>
          <a:spLocks noChangeAspect="1" noChangeArrowheads="1"/>
        </xdr:cNvSpPr>
      </xdr:nvSpPr>
      <xdr:spPr bwMode="auto">
        <a:xfrm>
          <a:off x="46110525" y="288350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19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3180000}"/>
            </a:ext>
          </a:extLst>
        </xdr:cNvPr>
        <xdr:cNvSpPr>
          <a:spLocks noChangeAspect="1" noChangeArrowheads="1"/>
        </xdr:cNvSpPr>
      </xdr:nvSpPr>
      <xdr:spPr bwMode="auto">
        <a:xfrm>
          <a:off x="46110525" y="288645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19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4180000}"/>
            </a:ext>
          </a:extLst>
        </xdr:cNvPr>
        <xdr:cNvSpPr>
          <a:spLocks noChangeAspect="1" noChangeArrowheads="1"/>
        </xdr:cNvSpPr>
      </xdr:nvSpPr>
      <xdr:spPr bwMode="auto">
        <a:xfrm>
          <a:off x="46110525" y="288645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19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5180000}"/>
            </a:ext>
          </a:extLst>
        </xdr:cNvPr>
        <xdr:cNvSpPr>
          <a:spLocks noChangeAspect="1" noChangeArrowheads="1"/>
        </xdr:cNvSpPr>
      </xdr:nvSpPr>
      <xdr:spPr bwMode="auto">
        <a:xfrm>
          <a:off x="46110525" y="288940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19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6180000}"/>
            </a:ext>
          </a:extLst>
        </xdr:cNvPr>
        <xdr:cNvSpPr>
          <a:spLocks noChangeAspect="1" noChangeArrowheads="1"/>
        </xdr:cNvSpPr>
      </xdr:nvSpPr>
      <xdr:spPr bwMode="auto">
        <a:xfrm>
          <a:off x="46110525" y="288940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19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7180000}"/>
            </a:ext>
          </a:extLst>
        </xdr:cNvPr>
        <xdr:cNvSpPr>
          <a:spLocks noChangeAspect="1" noChangeArrowheads="1"/>
        </xdr:cNvSpPr>
      </xdr:nvSpPr>
      <xdr:spPr bwMode="auto">
        <a:xfrm>
          <a:off x="46110525" y="289236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20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8180000}"/>
            </a:ext>
          </a:extLst>
        </xdr:cNvPr>
        <xdr:cNvSpPr>
          <a:spLocks noChangeAspect="1" noChangeArrowheads="1"/>
        </xdr:cNvSpPr>
      </xdr:nvSpPr>
      <xdr:spPr bwMode="auto">
        <a:xfrm>
          <a:off x="46110525" y="289236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20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9180000}"/>
            </a:ext>
          </a:extLst>
        </xdr:cNvPr>
        <xdr:cNvSpPr>
          <a:spLocks noChangeAspect="1" noChangeArrowheads="1"/>
        </xdr:cNvSpPr>
      </xdr:nvSpPr>
      <xdr:spPr bwMode="auto">
        <a:xfrm>
          <a:off x="46110525" y="2895314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20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A180000}"/>
            </a:ext>
          </a:extLst>
        </xdr:cNvPr>
        <xdr:cNvSpPr>
          <a:spLocks noChangeAspect="1" noChangeArrowheads="1"/>
        </xdr:cNvSpPr>
      </xdr:nvSpPr>
      <xdr:spPr bwMode="auto">
        <a:xfrm>
          <a:off x="46110525" y="2895314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20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B180000}"/>
            </a:ext>
          </a:extLst>
        </xdr:cNvPr>
        <xdr:cNvSpPr>
          <a:spLocks noChangeAspect="1" noChangeArrowheads="1"/>
        </xdr:cNvSpPr>
      </xdr:nvSpPr>
      <xdr:spPr bwMode="auto">
        <a:xfrm>
          <a:off x="46110525" y="289826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20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C180000}"/>
            </a:ext>
          </a:extLst>
        </xdr:cNvPr>
        <xdr:cNvSpPr>
          <a:spLocks noChangeAspect="1" noChangeArrowheads="1"/>
        </xdr:cNvSpPr>
      </xdr:nvSpPr>
      <xdr:spPr bwMode="auto">
        <a:xfrm>
          <a:off x="46110525" y="289826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20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D180000}"/>
            </a:ext>
          </a:extLst>
        </xdr:cNvPr>
        <xdr:cNvSpPr>
          <a:spLocks noChangeAspect="1" noChangeArrowheads="1"/>
        </xdr:cNvSpPr>
      </xdr:nvSpPr>
      <xdr:spPr bwMode="auto">
        <a:xfrm>
          <a:off x="46110525" y="2901219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20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E180000}"/>
            </a:ext>
          </a:extLst>
        </xdr:cNvPr>
        <xdr:cNvSpPr>
          <a:spLocks noChangeAspect="1" noChangeArrowheads="1"/>
        </xdr:cNvSpPr>
      </xdr:nvSpPr>
      <xdr:spPr bwMode="auto">
        <a:xfrm>
          <a:off x="46110525" y="2901219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20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F180000}"/>
            </a:ext>
          </a:extLst>
        </xdr:cNvPr>
        <xdr:cNvSpPr>
          <a:spLocks noChangeAspect="1" noChangeArrowheads="1"/>
        </xdr:cNvSpPr>
      </xdr:nvSpPr>
      <xdr:spPr bwMode="auto">
        <a:xfrm>
          <a:off x="46110525" y="290417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20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0180000}"/>
            </a:ext>
          </a:extLst>
        </xdr:cNvPr>
        <xdr:cNvSpPr>
          <a:spLocks noChangeAspect="1" noChangeArrowheads="1"/>
        </xdr:cNvSpPr>
      </xdr:nvSpPr>
      <xdr:spPr bwMode="auto">
        <a:xfrm>
          <a:off x="46110525" y="290417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20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1180000}"/>
            </a:ext>
          </a:extLst>
        </xdr:cNvPr>
        <xdr:cNvSpPr>
          <a:spLocks noChangeAspect="1" noChangeArrowheads="1"/>
        </xdr:cNvSpPr>
      </xdr:nvSpPr>
      <xdr:spPr bwMode="auto">
        <a:xfrm>
          <a:off x="46110525" y="290712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21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2180000}"/>
            </a:ext>
          </a:extLst>
        </xdr:cNvPr>
        <xdr:cNvSpPr>
          <a:spLocks noChangeAspect="1" noChangeArrowheads="1"/>
        </xdr:cNvSpPr>
      </xdr:nvSpPr>
      <xdr:spPr bwMode="auto">
        <a:xfrm>
          <a:off x="46110525" y="290712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21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3180000}"/>
            </a:ext>
          </a:extLst>
        </xdr:cNvPr>
        <xdr:cNvSpPr>
          <a:spLocks noChangeAspect="1" noChangeArrowheads="1"/>
        </xdr:cNvSpPr>
      </xdr:nvSpPr>
      <xdr:spPr bwMode="auto">
        <a:xfrm>
          <a:off x="46110525" y="291007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21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4180000}"/>
            </a:ext>
          </a:extLst>
        </xdr:cNvPr>
        <xdr:cNvSpPr>
          <a:spLocks noChangeAspect="1" noChangeArrowheads="1"/>
        </xdr:cNvSpPr>
      </xdr:nvSpPr>
      <xdr:spPr bwMode="auto">
        <a:xfrm>
          <a:off x="46110525" y="291007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21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5180000}"/>
            </a:ext>
          </a:extLst>
        </xdr:cNvPr>
        <xdr:cNvSpPr>
          <a:spLocks noChangeAspect="1" noChangeArrowheads="1"/>
        </xdr:cNvSpPr>
      </xdr:nvSpPr>
      <xdr:spPr bwMode="auto">
        <a:xfrm>
          <a:off x="46110525" y="291303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21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6180000}"/>
            </a:ext>
          </a:extLst>
        </xdr:cNvPr>
        <xdr:cNvSpPr>
          <a:spLocks noChangeAspect="1" noChangeArrowheads="1"/>
        </xdr:cNvSpPr>
      </xdr:nvSpPr>
      <xdr:spPr bwMode="auto">
        <a:xfrm>
          <a:off x="46110525" y="291303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21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7180000}"/>
            </a:ext>
          </a:extLst>
        </xdr:cNvPr>
        <xdr:cNvSpPr>
          <a:spLocks noChangeAspect="1" noChangeArrowheads="1"/>
        </xdr:cNvSpPr>
      </xdr:nvSpPr>
      <xdr:spPr bwMode="auto">
        <a:xfrm>
          <a:off x="46110525" y="291598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21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8180000}"/>
            </a:ext>
          </a:extLst>
        </xdr:cNvPr>
        <xdr:cNvSpPr>
          <a:spLocks noChangeAspect="1" noChangeArrowheads="1"/>
        </xdr:cNvSpPr>
      </xdr:nvSpPr>
      <xdr:spPr bwMode="auto">
        <a:xfrm>
          <a:off x="46110525" y="291598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21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9180000}"/>
            </a:ext>
          </a:extLst>
        </xdr:cNvPr>
        <xdr:cNvSpPr>
          <a:spLocks noChangeAspect="1" noChangeArrowheads="1"/>
        </xdr:cNvSpPr>
      </xdr:nvSpPr>
      <xdr:spPr bwMode="auto">
        <a:xfrm>
          <a:off x="46110525" y="291893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21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A180000}"/>
            </a:ext>
          </a:extLst>
        </xdr:cNvPr>
        <xdr:cNvSpPr>
          <a:spLocks noChangeAspect="1" noChangeArrowheads="1"/>
        </xdr:cNvSpPr>
      </xdr:nvSpPr>
      <xdr:spPr bwMode="auto">
        <a:xfrm>
          <a:off x="46110525" y="291893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21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B180000}"/>
            </a:ext>
          </a:extLst>
        </xdr:cNvPr>
        <xdr:cNvSpPr>
          <a:spLocks noChangeAspect="1" noChangeArrowheads="1"/>
        </xdr:cNvSpPr>
      </xdr:nvSpPr>
      <xdr:spPr bwMode="auto">
        <a:xfrm>
          <a:off x="46110525" y="292188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22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C180000}"/>
            </a:ext>
          </a:extLst>
        </xdr:cNvPr>
        <xdr:cNvSpPr>
          <a:spLocks noChangeAspect="1" noChangeArrowheads="1"/>
        </xdr:cNvSpPr>
      </xdr:nvSpPr>
      <xdr:spPr bwMode="auto">
        <a:xfrm>
          <a:off x="46110525" y="292188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22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D180000}"/>
            </a:ext>
          </a:extLst>
        </xdr:cNvPr>
        <xdr:cNvSpPr>
          <a:spLocks noChangeAspect="1" noChangeArrowheads="1"/>
        </xdr:cNvSpPr>
      </xdr:nvSpPr>
      <xdr:spPr bwMode="auto">
        <a:xfrm>
          <a:off x="46110525" y="2924841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22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E180000}"/>
            </a:ext>
          </a:extLst>
        </xdr:cNvPr>
        <xdr:cNvSpPr>
          <a:spLocks noChangeAspect="1" noChangeArrowheads="1"/>
        </xdr:cNvSpPr>
      </xdr:nvSpPr>
      <xdr:spPr bwMode="auto">
        <a:xfrm>
          <a:off x="46110525" y="2924841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22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F180000}"/>
            </a:ext>
          </a:extLst>
        </xdr:cNvPr>
        <xdr:cNvSpPr>
          <a:spLocks noChangeAspect="1" noChangeArrowheads="1"/>
        </xdr:cNvSpPr>
      </xdr:nvSpPr>
      <xdr:spPr bwMode="auto">
        <a:xfrm>
          <a:off x="46110525" y="292779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22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0180000}"/>
            </a:ext>
          </a:extLst>
        </xdr:cNvPr>
        <xdr:cNvSpPr>
          <a:spLocks noChangeAspect="1" noChangeArrowheads="1"/>
        </xdr:cNvSpPr>
      </xdr:nvSpPr>
      <xdr:spPr bwMode="auto">
        <a:xfrm>
          <a:off x="46110525" y="292779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22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1180000}"/>
            </a:ext>
          </a:extLst>
        </xdr:cNvPr>
        <xdr:cNvSpPr>
          <a:spLocks noChangeAspect="1" noChangeArrowheads="1"/>
        </xdr:cNvSpPr>
      </xdr:nvSpPr>
      <xdr:spPr bwMode="auto">
        <a:xfrm>
          <a:off x="46110525" y="2930747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22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2180000}"/>
            </a:ext>
          </a:extLst>
        </xdr:cNvPr>
        <xdr:cNvSpPr>
          <a:spLocks noChangeAspect="1" noChangeArrowheads="1"/>
        </xdr:cNvSpPr>
      </xdr:nvSpPr>
      <xdr:spPr bwMode="auto">
        <a:xfrm>
          <a:off x="46110525" y="2930747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22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3180000}"/>
            </a:ext>
          </a:extLst>
        </xdr:cNvPr>
        <xdr:cNvSpPr>
          <a:spLocks noChangeAspect="1" noChangeArrowheads="1"/>
        </xdr:cNvSpPr>
      </xdr:nvSpPr>
      <xdr:spPr bwMode="auto">
        <a:xfrm>
          <a:off x="46110525" y="29337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22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4180000}"/>
            </a:ext>
          </a:extLst>
        </xdr:cNvPr>
        <xdr:cNvSpPr>
          <a:spLocks noChangeAspect="1" noChangeArrowheads="1"/>
        </xdr:cNvSpPr>
      </xdr:nvSpPr>
      <xdr:spPr bwMode="auto">
        <a:xfrm>
          <a:off x="46110525" y="29337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22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5180000}"/>
            </a:ext>
          </a:extLst>
        </xdr:cNvPr>
        <xdr:cNvSpPr>
          <a:spLocks noChangeAspect="1" noChangeArrowheads="1"/>
        </xdr:cNvSpPr>
      </xdr:nvSpPr>
      <xdr:spPr bwMode="auto">
        <a:xfrm>
          <a:off x="46110525" y="2936652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23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6180000}"/>
            </a:ext>
          </a:extLst>
        </xdr:cNvPr>
        <xdr:cNvSpPr>
          <a:spLocks noChangeAspect="1" noChangeArrowheads="1"/>
        </xdr:cNvSpPr>
      </xdr:nvSpPr>
      <xdr:spPr bwMode="auto">
        <a:xfrm>
          <a:off x="46110525" y="2936652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23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7180000}"/>
            </a:ext>
          </a:extLst>
        </xdr:cNvPr>
        <xdr:cNvSpPr>
          <a:spLocks noChangeAspect="1" noChangeArrowheads="1"/>
        </xdr:cNvSpPr>
      </xdr:nvSpPr>
      <xdr:spPr bwMode="auto">
        <a:xfrm>
          <a:off x="46110525" y="293960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23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8180000}"/>
            </a:ext>
          </a:extLst>
        </xdr:cNvPr>
        <xdr:cNvSpPr>
          <a:spLocks noChangeAspect="1" noChangeArrowheads="1"/>
        </xdr:cNvSpPr>
      </xdr:nvSpPr>
      <xdr:spPr bwMode="auto">
        <a:xfrm>
          <a:off x="46110525" y="293960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23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9180000}"/>
            </a:ext>
          </a:extLst>
        </xdr:cNvPr>
        <xdr:cNvSpPr>
          <a:spLocks noChangeAspect="1" noChangeArrowheads="1"/>
        </xdr:cNvSpPr>
      </xdr:nvSpPr>
      <xdr:spPr bwMode="auto">
        <a:xfrm>
          <a:off x="46110525" y="294255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23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A180000}"/>
            </a:ext>
          </a:extLst>
        </xdr:cNvPr>
        <xdr:cNvSpPr>
          <a:spLocks noChangeAspect="1" noChangeArrowheads="1"/>
        </xdr:cNvSpPr>
      </xdr:nvSpPr>
      <xdr:spPr bwMode="auto">
        <a:xfrm>
          <a:off x="46110525" y="294255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23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B180000}"/>
            </a:ext>
          </a:extLst>
        </xdr:cNvPr>
        <xdr:cNvSpPr>
          <a:spLocks noChangeAspect="1" noChangeArrowheads="1"/>
        </xdr:cNvSpPr>
      </xdr:nvSpPr>
      <xdr:spPr bwMode="auto">
        <a:xfrm>
          <a:off x="46110525" y="294551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23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C180000}"/>
            </a:ext>
          </a:extLst>
        </xdr:cNvPr>
        <xdr:cNvSpPr>
          <a:spLocks noChangeAspect="1" noChangeArrowheads="1"/>
        </xdr:cNvSpPr>
      </xdr:nvSpPr>
      <xdr:spPr bwMode="auto">
        <a:xfrm>
          <a:off x="46110525" y="294551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23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D180000}"/>
            </a:ext>
          </a:extLst>
        </xdr:cNvPr>
        <xdr:cNvSpPr>
          <a:spLocks noChangeAspect="1" noChangeArrowheads="1"/>
        </xdr:cNvSpPr>
      </xdr:nvSpPr>
      <xdr:spPr bwMode="auto">
        <a:xfrm>
          <a:off x="46110525" y="294846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23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E180000}"/>
            </a:ext>
          </a:extLst>
        </xdr:cNvPr>
        <xdr:cNvSpPr>
          <a:spLocks noChangeAspect="1" noChangeArrowheads="1"/>
        </xdr:cNvSpPr>
      </xdr:nvSpPr>
      <xdr:spPr bwMode="auto">
        <a:xfrm>
          <a:off x="46110525" y="294846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23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F180000}"/>
            </a:ext>
          </a:extLst>
        </xdr:cNvPr>
        <xdr:cNvSpPr>
          <a:spLocks noChangeAspect="1" noChangeArrowheads="1"/>
        </xdr:cNvSpPr>
      </xdr:nvSpPr>
      <xdr:spPr bwMode="auto">
        <a:xfrm>
          <a:off x="46110525" y="295141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24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0180000}"/>
            </a:ext>
          </a:extLst>
        </xdr:cNvPr>
        <xdr:cNvSpPr>
          <a:spLocks noChangeAspect="1" noChangeArrowheads="1"/>
        </xdr:cNvSpPr>
      </xdr:nvSpPr>
      <xdr:spPr bwMode="auto">
        <a:xfrm>
          <a:off x="46110525" y="295141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24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1180000}"/>
            </a:ext>
          </a:extLst>
        </xdr:cNvPr>
        <xdr:cNvSpPr>
          <a:spLocks noChangeAspect="1" noChangeArrowheads="1"/>
        </xdr:cNvSpPr>
      </xdr:nvSpPr>
      <xdr:spPr bwMode="auto">
        <a:xfrm>
          <a:off x="46110525" y="2954369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24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2180000}"/>
            </a:ext>
          </a:extLst>
        </xdr:cNvPr>
        <xdr:cNvSpPr>
          <a:spLocks noChangeAspect="1" noChangeArrowheads="1"/>
        </xdr:cNvSpPr>
      </xdr:nvSpPr>
      <xdr:spPr bwMode="auto">
        <a:xfrm>
          <a:off x="46110525" y="2954369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24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3180000}"/>
            </a:ext>
          </a:extLst>
        </xdr:cNvPr>
        <xdr:cNvSpPr>
          <a:spLocks noChangeAspect="1" noChangeArrowheads="1"/>
        </xdr:cNvSpPr>
      </xdr:nvSpPr>
      <xdr:spPr bwMode="auto">
        <a:xfrm>
          <a:off x="46110525" y="295732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24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4180000}"/>
            </a:ext>
          </a:extLst>
        </xdr:cNvPr>
        <xdr:cNvSpPr>
          <a:spLocks noChangeAspect="1" noChangeArrowheads="1"/>
        </xdr:cNvSpPr>
      </xdr:nvSpPr>
      <xdr:spPr bwMode="auto">
        <a:xfrm>
          <a:off x="46110525" y="295732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24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5180000}"/>
            </a:ext>
          </a:extLst>
        </xdr:cNvPr>
        <xdr:cNvSpPr>
          <a:spLocks noChangeAspect="1" noChangeArrowheads="1"/>
        </xdr:cNvSpPr>
      </xdr:nvSpPr>
      <xdr:spPr bwMode="auto">
        <a:xfrm>
          <a:off x="46110525" y="2960274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24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6180000}"/>
            </a:ext>
          </a:extLst>
        </xdr:cNvPr>
        <xdr:cNvSpPr>
          <a:spLocks noChangeAspect="1" noChangeArrowheads="1"/>
        </xdr:cNvSpPr>
      </xdr:nvSpPr>
      <xdr:spPr bwMode="auto">
        <a:xfrm>
          <a:off x="46110525" y="2960274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24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7180000}"/>
            </a:ext>
          </a:extLst>
        </xdr:cNvPr>
        <xdr:cNvSpPr>
          <a:spLocks noChangeAspect="1" noChangeArrowheads="1"/>
        </xdr:cNvSpPr>
      </xdr:nvSpPr>
      <xdr:spPr bwMode="auto">
        <a:xfrm>
          <a:off x="46110525" y="296322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24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8180000}"/>
            </a:ext>
          </a:extLst>
        </xdr:cNvPr>
        <xdr:cNvSpPr>
          <a:spLocks noChangeAspect="1" noChangeArrowheads="1"/>
        </xdr:cNvSpPr>
      </xdr:nvSpPr>
      <xdr:spPr bwMode="auto">
        <a:xfrm>
          <a:off x="46110525" y="296322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24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9180000}"/>
            </a:ext>
          </a:extLst>
        </xdr:cNvPr>
        <xdr:cNvSpPr>
          <a:spLocks noChangeAspect="1" noChangeArrowheads="1"/>
        </xdr:cNvSpPr>
      </xdr:nvSpPr>
      <xdr:spPr bwMode="auto">
        <a:xfrm>
          <a:off x="46110525" y="296618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25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A180000}"/>
            </a:ext>
          </a:extLst>
        </xdr:cNvPr>
        <xdr:cNvSpPr>
          <a:spLocks noChangeAspect="1" noChangeArrowheads="1"/>
        </xdr:cNvSpPr>
      </xdr:nvSpPr>
      <xdr:spPr bwMode="auto">
        <a:xfrm>
          <a:off x="46110525" y="296618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25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B180000}"/>
            </a:ext>
          </a:extLst>
        </xdr:cNvPr>
        <xdr:cNvSpPr>
          <a:spLocks noChangeAspect="1" noChangeArrowheads="1"/>
        </xdr:cNvSpPr>
      </xdr:nvSpPr>
      <xdr:spPr bwMode="auto">
        <a:xfrm>
          <a:off x="46110525" y="296913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25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C180000}"/>
            </a:ext>
          </a:extLst>
        </xdr:cNvPr>
        <xdr:cNvSpPr>
          <a:spLocks noChangeAspect="1" noChangeArrowheads="1"/>
        </xdr:cNvSpPr>
      </xdr:nvSpPr>
      <xdr:spPr bwMode="auto">
        <a:xfrm>
          <a:off x="46110525" y="296913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25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D180000}"/>
            </a:ext>
          </a:extLst>
        </xdr:cNvPr>
        <xdr:cNvSpPr>
          <a:spLocks noChangeAspect="1" noChangeArrowheads="1"/>
        </xdr:cNvSpPr>
      </xdr:nvSpPr>
      <xdr:spPr bwMode="auto">
        <a:xfrm>
          <a:off x="46110525" y="297208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25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E180000}"/>
            </a:ext>
          </a:extLst>
        </xdr:cNvPr>
        <xdr:cNvSpPr>
          <a:spLocks noChangeAspect="1" noChangeArrowheads="1"/>
        </xdr:cNvSpPr>
      </xdr:nvSpPr>
      <xdr:spPr bwMode="auto">
        <a:xfrm>
          <a:off x="46110525" y="297208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25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F180000}"/>
            </a:ext>
          </a:extLst>
        </xdr:cNvPr>
        <xdr:cNvSpPr>
          <a:spLocks noChangeAspect="1" noChangeArrowheads="1"/>
        </xdr:cNvSpPr>
      </xdr:nvSpPr>
      <xdr:spPr bwMode="auto">
        <a:xfrm>
          <a:off x="46110525" y="297503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25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0180000}"/>
            </a:ext>
          </a:extLst>
        </xdr:cNvPr>
        <xdr:cNvSpPr>
          <a:spLocks noChangeAspect="1" noChangeArrowheads="1"/>
        </xdr:cNvSpPr>
      </xdr:nvSpPr>
      <xdr:spPr bwMode="auto">
        <a:xfrm>
          <a:off x="46110525" y="297503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25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1180000}"/>
            </a:ext>
          </a:extLst>
        </xdr:cNvPr>
        <xdr:cNvSpPr>
          <a:spLocks noChangeAspect="1" noChangeArrowheads="1"/>
        </xdr:cNvSpPr>
      </xdr:nvSpPr>
      <xdr:spPr bwMode="auto">
        <a:xfrm>
          <a:off x="46110525" y="2977991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25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2180000}"/>
            </a:ext>
          </a:extLst>
        </xdr:cNvPr>
        <xdr:cNvSpPr>
          <a:spLocks noChangeAspect="1" noChangeArrowheads="1"/>
        </xdr:cNvSpPr>
      </xdr:nvSpPr>
      <xdr:spPr bwMode="auto">
        <a:xfrm>
          <a:off x="46110525" y="2977991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25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3180000}"/>
            </a:ext>
          </a:extLst>
        </xdr:cNvPr>
        <xdr:cNvSpPr>
          <a:spLocks noChangeAspect="1" noChangeArrowheads="1"/>
        </xdr:cNvSpPr>
      </xdr:nvSpPr>
      <xdr:spPr bwMode="auto">
        <a:xfrm>
          <a:off x="46110525" y="298094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26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4180000}"/>
            </a:ext>
          </a:extLst>
        </xdr:cNvPr>
        <xdr:cNvSpPr>
          <a:spLocks noChangeAspect="1" noChangeArrowheads="1"/>
        </xdr:cNvSpPr>
      </xdr:nvSpPr>
      <xdr:spPr bwMode="auto">
        <a:xfrm>
          <a:off x="46110525" y="298094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26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5180000}"/>
            </a:ext>
          </a:extLst>
        </xdr:cNvPr>
        <xdr:cNvSpPr>
          <a:spLocks noChangeAspect="1" noChangeArrowheads="1"/>
        </xdr:cNvSpPr>
      </xdr:nvSpPr>
      <xdr:spPr bwMode="auto">
        <a:xfrm>
          <a:off x="46110525" y="2983896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26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6180000}"/>
            </a:ext>
          </a:extLst>
        </xdr:cNvPr>
        <xdr:cNvSpPr>
          <a:spLocks noChangeAspect="1" noChangeArrowheads="1"/>
        </xdr:cNvSpPr>
      </xdr:nvSpPr>
      <xdr:spPr bwMode="auto">
        <a:xfrm>
          <a:off x="46110525" y="2983896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26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7180000}"/>
            </a:ext>
          </a:extLst>
        </xdr:cNvPr>
        <xdr:cNvSpPr>
          <a:spLocks noChangeAspect="1" noChangeArrowheads="1"/>
        </xdr:cNvSpPr>
      </xdr:nvSpPr>
      <xdr:spPr bwMode="auto">
        <a:xfrm>
          <a:off x="46110525" y="298684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26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8180000}"/>
            </a:ext>
          </a:extLst>
        </xdr:cNvPr>
        <xdr:cNvSpPr>
          <a:spLocks noChangeAspect="1" noChangeArrowheads="1"/>
        </xdr:cNvSpPr>
      </xdr:nvSpPr>
      <xdr:spPr bwMode="auto">
        <a:xfrm>
          <a:off x="46110525" y="298684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26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9180000}"/>
            </a:ext>
          </a:extLst>
        </xdr:cNvPr>
        <xdr:cNvSpPr>
          <a:spLocks noChangeAspect="1" noChangeArrowheads="1"/>
        </xdr:cNvSpPr>
      </xdr:nvSpPr>
      <xdr:spPr bwMode="auto">
        <a:xfrm>
          <a:off x="46110525" y="298980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26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A180000}"/>
            </a:ext>
          </a:extLst>
        </xdr:cNvPr>
        <xdr:cNvSpPr>
          <a:spLocks noChangeAspect="1" noChangeArrowheads="1"/>
        </xdr:cNvSpPr>
      </xdr:nvSpPr>
      <xdr:spPr bwMode="auto">
        <a:xfrm>
          <a:off x="46110525" y="298980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26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B180000}"/>
            </a:ext>
          </a:extLst>
        </xdr:cNvPr>
        <xdr:cNvSpPr>
          <a:spLocks noChangeAspect="1" noChangeArrowheads="1"/>
        </xdr:cNvSpPr>
      </xdr:nvSpPr>
      <xdr:spPr bwMode="auto">
        <a:xfrm>
          <a:off x="46110525" y="299275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26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C180000}"/>
            </a:ext>
          </a:extLst>
        </xdr:cNvPr>
        <xdr:cNvSpPr>
          <a:spLocks noChangeAspect="1" noChangeArrowheads="1"/>
        </xdr:cNvSpPr>
      </xdr:nvSpPr>
      <xdr:spPr bwMode="auto">
        <a:xfrm>
          <a:off x="46110525" y="299275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26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D180000}"/>
            </a:ext>
          </a:extLst>
        </xdr:cNvPr>
        <xdr:cNvSpPr>
          <a:spLocks noChangeAspect="1" noChangeArrowheads="1"/>
        </xdr:cNvSpPr>
      </xdr:nvSpPr>
      <xdr:spPr bwMode="auto">
        <a:xfrm>
          <a:off x="46110525" y="2995707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27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E180000}"/>
            </a:ext>
          </a:extLst>
        </xdr:cNvPr>
        <xdr:cNvSpPr>
          <a:spLocks noChangeAspect="1" noChangeArrowheads="1"/>
        </xdr:cNvSpPr>
      </xdr:nvSpPr>
      <xdr:spPr bwMode="auto">
        <a:xfrm>
          <a:off x="46110525" y="2995707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27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F180000}"/>
            </a:ext>
          </a:extLst>
        </xdr:cNvPr>
        <xdr:cNvSpPr>
          <a:spLocks noChangeAspect="1" noChangeArrowheads="1"/>
        </xdr:cNvSpPr>
      </xdr:nvSpPr>
      <xdr:spPr bwMode="auto">
        <a:xfrm>
          <a:off x="46110525" y="299866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27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0180000}"/>
            </a:ext>
          </a:extLst>
        </xdr:cNvPr>
        <xdr:cNvSpPr>
          <a:spLocks noChangeAspect="1" noChangeArrowheads="1"/>
        </xdr:cNvSpPr>
      </xdr:nvSpPr>
      <xdr:spPr bwMode="auto">
        <a:xfrm>
          <a:off x="46110525" y="299866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27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1180000}"/>
            </a:ext>
          </a:extLst>
        </xdr:cNvPr>
        <xdr:cNvSpPr>
          <a:spLocks noChangeAspect="1" noChangeArrowheads="1"/>
        </xdr:cNvSpPr>
      </xdr:nvSpPr>
      <xdr:spPr bwMode="auto">
        <a:xfrm>
          <a:off x="46110525" y="300161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27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2180000}"/>
            </a:ext>
          </a:extLst>
        </xdr:cNvPr>
        <xdr:cNvSpPr>
          <a:spLocks noChangeAspect="1" noChangeArrowheads="1"/>
        </xdr:cNvSpPr>
      </xdr:nvSpPr>
      <xdr:spPr bwMode="auto">
        <a:xfrm>
          <a:off x="46110525" y="300161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27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3180000}"/>
            </a:ext>
          </a:extLst>
        </xdr:cNvPr>
        <xdr:cNvSpPr>
          <a:spLocks noChangeAspect="1" noChangeArrowheads="1"/>
        </xdr:cNvSpPr>
      </xdr:nvSpPr>
      <xdr:spPr bwMode="auto">
        <a:xfrm>
          <a:off x="46110525" y="300456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27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4180000}"/>
            </a:ext>
          </a:extLst>
        </xdr:cNvPr>
        <xdr:cNvSpPr>
          <a:spLocks noChangeAspect="1" noChangeArrowheads="1"/>
        </xdr:cNvSpPr>
      </xdr:nvSpPr>
      <xdr:spPr bwMode="auto">
        <a:xfrm>
          <a:off x="46110525" y="300456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27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5180000}"/>
            </a:ext>
          </a:extLst>
        </xdr:cNvPr>
        <xdr:cNvSpPr>
          <a:spLocks noChangeAspect="1" noChangeArrowheads="1"/>
        </xdr:cNvSpPr>
      </xdr:nvSpPr>
      <xdr:spPr bwMode="auto">
        <a:xfrm>
          <a:off x="46110525" y="300751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27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6180000}"/>
            </a:ext>
          </a:extLst>
        </xdr:cNvPr>
        <xdr:cNvSpPr>
          <a:spLocks noChangeAspect="1" noChangeArrowheads="1"/>
        </xdr:cNvSpPr>
      </xdr:nvSpPr>
      <xdr:spPr bwMode="auto">
        <a:xfrm>
          <a:off x="46110525" y="300751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27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7180000}"/>
            </a:ext>
          </a:extLst>
        </xdr:cNvPr>
        <xdr:cNvSpPr>
          <a:spLocks noChangeAspect="1" noChangeArrowheads="1"/>
        </xdr:cNvSpPr>
      </xdr:nvSpPr>
      <xdr:spPr bwMode="auto">
        <a:xfrm>
          <a:off x="46110525" y="301047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28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8180000}"/>
            </a:ext>
          </a:extLst>
        </xdr:cNvPr>
        <xdr:cNvSpPr>
          <a:spLocks noChangeAspect="1" noChangeArrowheads="1"/>
        </xdr:cNvSpPr>
      </xdr:nvSpPr>
      <xdr:spPr bwMode="auto">
        <a:xfrm>
          <a:off x="46110525" y="3010471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28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9180000}"/>
            </a:ext>
          </a:extLst>
        </xdr:cNvPr>
        <xdr:cNvSpPr>
          <a:spLocks noChangeAspect="1" noChangeArrowheads="1"/>
        </xdr:cNvSpPr>
      </xdr:nvSpPr>
      <xdr:spPr bwMode="auto">
        <a:xfrm>
          <a:off x="46110525" y="3013424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28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A180000}"/>
            </a:ext>
          </a:extLst>
        </xdr:cNvPr>
        <xdr:cNvSpPr>
          <a:spLocks noChangeAspect="1" noChangeArrowheads="1"/>
        </xdr:cNvSpPr>
      </xdr:nvSpPr>
      <xdr:spPr bwMode="auto">
        <a:xfrm>
          <a:off x="46110525" y="3013424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28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B180000}"/>
            </a:ext>
          </a:extLst>
        </xdr:cNvPr>
        <xdr:cNvSpPr>
          <a:spLocks noChangeAspect="1" noChangeArrowheads="1"/>
        </xdr:cNvSpPr>
      </xdr:nvSpPr>
      <xdr:spPr bwMode="auto">
        <a:xfrm>
          <a:off x="46110525" y="30163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28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C180000}"/>
            </a:ext>
          </a:extLst>
        </xdr:cNvPr>
        <xdr:cNvSpPr>
          <a:spLocks noChangeAspect="1" noChangeArrowheads="1"/>
        </xdr:cNvSpPr>
      </xdr:nvSpPr>
      <xdr:spPr bwMode="auto">
        <a:xfrm>
          <a:off x="46110525" y="30163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28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D180000}"/>
            </a:ext>
          </a:extLst>
        </xdr:cNvPr>
        <xdr:cNvSpPr>
          <a:spLocks noChangeAspect="1" noChangeArrowheads="1"/>
        </xdr:cNvSpPr>
      </xdr:nvSpPr>
      <xdr:spPr bwMode="auto">
        <a:xfrm>
          <a:off x="46110525" y="3019329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28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E180000}"/>
            </a:ext>
          </a:extLst>
        </xdr:cNvPr>
        <xdr:cNvSpPr>
          <a:spLocks noChangeAspect="1" noChangeArrowheads="1"/>
        </xdr:cNvSpPr>
      </xdr:nvSpPr>
      <xdr:spPr bwMode="auto">
        <a:xfrm>
          <a:off x="46110525" y="3019329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28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F180000}"/>
            </a:ext>
          </a:extLst>
        </xdr:cNvPr>
        <xdr:cNvSpPr>
          <a:spLocks noChangeAspect="1" noChangeArrowheads="1"/>
        </xdr:cNvSpPr>
      </xdr:nvSpPr>
      <xdr:spPr bwMode="auto">
        <a:xfrm>
          <a:off x="46110525" y="302228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28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0180000}"/>
            </a:ext>
          </a:extLst>
        </xdr:cNvPr>
        <xdr:cNvSpPr>
          <a:spLocks noChangeAspect="1" noChangeArrowheads="1"/>
        </xdr:cNvSpPr>
      </xdr:nvSpPr>
      <xdr:spPr bwMode="auto">
        <a:xfrm>
          <a:off x="46110525" y="302228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28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1180000}"/>
            </a:ext>
          </a:extLst>
        </xdr:cNvPr>
        <xdr:cNvSpPr>
          <a:spLocks noChangeAspect="1" noChangeArrowheads="1"/>
        </xdr:cNvSpPr>
      </xdr:nvSpPr>
      <xdr:spPr bwMode="auto">
        <a:xfrm>
          <a:off x="46110525" y="302523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29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2180000}"/>
            </a:ext>
          </a:extLst>
        </xdr:cNvPr>
        <xdr:cNvSpPr>
          <a:spLocks noChangeAspect="1" noChangeArrowheads="1"/>
        </xdr:cNvSpPr>
      </xdr:nvSpPr>
      <xdr:spPr bwMode="auto">
        <a:xfrm>
          <a:off x="46110525" y="302523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29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3180000}"/>
            </a:ext>
          </a:extLst>
        </xdr:cNvPr>
        <xdr:cNvSpPr>
          <a:spLocks noChangeAspect="1" noChangeArrowheads="1"/>
        </xdr:cNvSpPr>
      </xdr:nvSpPr>
      <xdr:spPr bwMode="auto">
        <a:xfrm>
          <a:off x="46110525" y="302818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29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4180000}"/>
            </a:ext>
          </a:extLst>
        </xdr:cNvPr>
        <xdr:cNvSpPr>
          <a:spLocks noChangeAspect="1" noChangeArrowheads="1"/>
        </xdr:cNvSpPr>
      </xdr:nvSpPr>
      <xdr:spPr bwMode="auto">
        <a:xfrm>
          <a:off x="46110525" y="302818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29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5180000}"/>
            </a:ext>
          </a:extLst>
        </xdr:cNvPr>
        <xdr:cNvSpPr>
          <a:spLocks noChangeAspect="1" noChangeArrowheads="1"/>
        </xdr:cNvSpPr>
      </xdr:nvSpPr>
      <xdr:spPr bwMode="auto">
        <a:xfrm>
          <a:off x="46110525" y="303114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29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6180000}"/>
            </a:ext>
          </a:extLst>
        </xdr:cNvPr>
        <xdr:cNvSpPr>
          <a:spLocks noChangeAspect="1" noChangeArrowheads="1"/>
        </xdr:cNvSpPr>
      </xdr:nvSpPr>
      <xdr:spPr bwMode="auto">
        <a:xfrm>
          <a:off x="46110525" y="303114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29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7180000}"/>
            </a:ext>
          </a:extLst>
        </xdr:cNvPr>
        <xdr:cNvSpPr>
          <a:spLocks noChangeAspect="1" noChangeArrowheads="1"/>
        </xdr:cNvSpPr>
      </xdr:nvSpPr>
      <xdr:spPr bwMode="auto">
        <a:xfrm>
          <a:off x="46110525" y="303409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29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8180000}"/>
            </a:ext>
          </a:extLst>
        </xdr:cNvPr>
        <xdr:cNvSpPr>
          <a:spLocks noChangeAspect="1" noChangeArrowheads="1"/>
        </xdr:cNvSpPr>
      </xdr:nvSpPr>
      <xdr:spPr bwMode="auto">
        <a:xfrm>
          <a:off x="46110525" y="303409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29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9180000}"/>
            </a:ext>
          </a:extLst>
        </xdr:cNvPr>
        <xdr:cNvSpPr>
          <a:spLocks noChangeAspect="1" noChangeArrowheads="1"/>
        </xdr:cNvSpPr>
      </xdr:nvSpPr>
      <xdr:spPr bwMode="auto">
        <a:xfrm>
          <a:off x="46110525" y="303704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29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A180000}"/>
            </a:ext>
          </a:extLst>
        </xdr:cNvPr>
        <xdr:cNvSpPr>
          <a:spLocks noChangeAspect="1" noChangeArrowheads="1"/>
        </xdr:cNvSpPr>
      </xdr:nvSpPr>
      <xdr:spPr bwMode="auto">
        <a:xfrm>
          <a:off x="46110525" y="303704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29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B180000}"/>
            </a:ext>
          </a:extLst>
        </xdr:cNvPr>
        <xdr:cNvSpPr>
          <a:spLocks noChangeAspect="1" noChangeArrowheads="1"/>
        </xdr:cNvSpPr>
      </xdr:nvSpPr>
      <xdr:spPr bwMode="auto">
        <a:xfrm>
          <a:off x="46110525" y="303999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30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C180000}"/>
            </a:ext>
          </a:extLst>
        </xdr:cNvPr>
        <xdr:cNvSpPr>
          <a:spLocks noChangeAspect="1" noChangeArrowheads="1"/>
        </xdr:cNvSpPr>
      </xdr:nvSpPr>
      <xdr:spPr bwMode="auto">
        <a:xfrm>
          <a:off x="46110525" y="303999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30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D180000}"/>
            </a:ext>
          </a:extLst>
        </xdr:cNvPr>
        <xdr:cNvSpPr>
          <a:spLocks noChangeAspect="1" noChangeArrowheads="1"/>
        </xdr:cNvSpPr>
      </xdr:nvSpPr>
      <xdr:spPr bwMode="auto">
        <a:xfrm>
          <a:off x="46110525" y="3042951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30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E180000}"/>
            </a:ext>
          </a:extLst>
        </xdr:cNvPr>
        <xdr:cNvSpPr>
          <a:spLocks noChangeAspect="1" noChangeArrowheads="1"/>
        </xdr:cNvSpPr>
      </xdr:nvSpPr>
      <xdr:spPr bwMode="auto">
        <a:xfrm>
          <a:off x="46110525" y="3042951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30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F180000}"/>
            </a:ext>
          </a:extLst>
        </xdr:cNvPr>
        <xdr:cNvSpPr>
          <a:spLocks noChangeAspect="1" noChangeArrowheads="1"/>
        </xdr:cNvSpPr>
      </xdr:nvSpPr>
      <xdr:spPr bwMode="auto">
        <a:xfrm>
          <a:off x="46110525" y="304590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30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0180000}"/>
            </a:ext>
          </a:extLst>
        </xdr:cNvPr>
        <xdr:cNvSpPr>
          <a:spLocks noChangeAspect="1" noChangeArrowheads="1"/>
        </xdr:cNvSpPr>
      </xdr:nvSpPr>
      <xdr:spPr bwMode="auto">
        <a:xfrm>
          <a:off x="46110525" y="304590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30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1180000}"/>
            </a:ext>
          </a:extLst>
        </xdr:cNvPr>
        <xdr:cNvSpPr>
          <a:spLocks noChangeAspect="1" noChangeArrowheads="1"/>
        </xdr:cNvSpPr>
      </xdr:nvSpPr>
      <xdr:spPr bwMode="auto">
        <a:xfrm>
          <a:off x="46110525" y="3048857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30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2180000}"/>
            </a:ext>
          </a:extLst>
        </xdr:cNvPr>
        <xdr:cNvSpPr>
          <a:spLocks noChangeAspect="1" noChangeArrowheads="1"/>
        </xdr:cNvSpPr>
      </xdr:nvSpPr>
      <xdr:spPr bwMode="auto">
        <a:xfrm>
          <a:off x="46110525" y="3048857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30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3180000}"/>
            </a:ext>
          </a:extLst>
        </xdr:cNvPr>
        <xdr:cNvSpPr>
          <a:spLocks noChangeAspect="1" noChangeArrowheads="1"/>
        </xdr:cNvSpPr>
      </xdr:nvSpPr>
      <xdr:spPr bwMode="auto">
        <a:xfrm>
          <a:off x="46110525" y="30518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30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4180000}"/>
            </a:ext>
          </a:extLst>
        </xdr:cNvPr>
        <xdr:cNvSpPr>
          <a:spLocks noChangeAspect="1" noChangeArrowheads="1"/>
        </xdr:cNvSpPr>
      </xdr:nvSpPr>
      <xdr:spPr bwMode="auto">
        <a:xfrm>
          <a:off x="46110525" y="305181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30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5180000}"/>
            </a:ext>
          </a:extLst>
        </xdr:cNvPr>
        <xdr:cNvSpPr>
          <a:spLocks noChangeAspect="1" noChangeArrowheads="1"/>
        </xdr:cNvSpPr>
      </xdr:nvSpPr>
      <xdr:spPr bwMode="auto">
        <a:xfrm>
          <a:off x="46110525" y="3054762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31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6180000}"/>
            </a:ext>
          </a:extLst>
        </xdr:cNvPr>
        <xdr:cNvSpPr>
          <a:spLocks noChangeAspect="1" noChangeArrowheads="1"/>
        </xdr:cNvSpPr>
      </xdr:nvSpPr>
      <xdr:spPr bwMode="auto">
        <a:xfrm>
          <a:off x="46110525" y="3054762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31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7180000}"/>
            </a:ext>
          </a:extLst>
        </xdr:cNvPr>
        <xdr:cNvSpPr>
          <a:spLocks noChangeAspect="1" noChangeArrowheads="1"/>
        </xdr:cNvSpPr>
      </xdr:nvSpPr>
      <xdr:spPr bwMode="auto">
        <a:xfrm>
          <a:off x="46110525" y="305771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31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8180000}"/>
            </a:ext>
          </a:extLst>
        </xdr:cNvPr>
        <xdr:cNvSpPr>
          <a:spLocks noChangeAspect="1" noChangeArrowheads="1"/>
        </xdr:cNvSpPr>
      </xdr:nvSpPr>
      <xdr:spPr bwMode="auto">
        <a:xfrm>
          <a:off x="46110525" y="305771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31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9180000}"/>
            </a:ext>
          </a:extLst>
        </xdr:cNvPr>
        <xdr:cNvSpPr>
          <a:spLocks noChangeAspect="1" noChangeArrowheads="1"/>
        </xdr:cNvSpPr>
      </xdr:nvSpPr>
      <xdr:spPr bwMode="auto">
        <a:xfrm>
          <a:off x="46110525" y="306066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31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A180000}"/>
            </a:ext>
          </a:extLst>
        </xdr:cNvPr>
        <xdr:cNvSpPr>
          <a:spLocks noChangeAspect="1" noChangeArrowheads="1"/>
        </xdr:cNvSpPr>
      </xdr:nvSpPr>
      <xdr:spPr bwMode="auto">
        <a:xfrm>
          <a:off x="46110525" y="306066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31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B180000}"/>
            </a:ext>
          </a:extLst>
        </xdr:cNvPr>
        <xdr:cNvSpPr>
          <a:spLocks noChangeAspect="1" noChangeArrowheads="1"/>
        </xdr:cNvSpPr>
      </xdr:nvSpPr>
      <xdr:spPr bwMode="auto">
        <a:xfrm>
          <a:off x="46110525" y="306362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31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C180000}"/>
            </a:ext>
          </a:extLst>
        </xdr:cNvPr>
        <xdr:cNvSpPr>
          <a:spLocks noChangeAspect="1" noChangeArrowheads="1"/>
        </xdr:cNvSpPr>
      </xdr:nvSpPr>
      <xdr:spPr bwMode="auto">
        <a:xfrm>
          <a:off x="46110525" y="3063621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31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D180000}"/>
            </a:ext>
          </a:extLst>
        </xdr:cNvPr>
        <xdr:cNvSpPr>
          <a:spLocks noChangeAspect="1" noChangeArrowheads="1"/>
        </xdr:cNvSpPr>
      </xdr:nvSpPr>
      <xdr:spPr bwMode="auto">
        <a:xfrm>
          <a:off x="46110525" y="306657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31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E180000}"/>
            </a:ext>
          </a:extLst>
        </xdr:cNvPr>
        <xdr:cNvSpPr>
          <a:spLocks noChangeAspect="1" noChangeArrowheads="1"/>
        </xdr:cNvSpPr>
      </xdr:nvSpPr>
      <xdr:spPr bwMode="auto">
        <a:xfrm>
          <a:off x="46110525" y="306657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31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F180000}"/>
            </a:ext>
          </a:extLst>
        </xdr:cNvPr>
        <xdr:cNvSpPr>
          <a:spLocks noChangeAspect="1" noChangeArrowheads="1"/>
        </xdr:cNvSpPr>
      </xdr:nvSpPr>
      <xdr:spPr bwMode="auto">
        <a:xfrm>
          <a:off x="46110525" y="306952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32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0180000}"/>
            </a:ext>
          </a:extLst>
        </xdr:cNvPr>
        <xdr:cNvSpPr>
          <a:spLocks noChangeAspect="1" noChangeArrowheads="1"/>
        </xdr:cNvSpPr>
      </xdr:nvSpPr>
      <xdr:spPr bwMode="auto">
        <a:xfrm>
          <a:off x="46110525" y="306952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14</xdr:row>
      <xdr:rowOff>0</xdr:rowOff>
    </xdr:from>
    <xdr:ext cx="304800" cy="304800"/>
    <xdr:sp macro="" textlink="">
      <xdr:nvSpPr>
        <xdr:cNvPr id="632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1180000}"/>
            </a:ext>
          </a:extLst>
        </xdr:cNvPr>
        <xdr:cNvSpPr>
          <a:spLocks noChangeAspect="1" noChangeArrowheads="1"/>
        </xdr:cNvSpPr>
      </xdr:nvSpPr>
      <xdr:spPr bwMode="auto">
        <a:xfrm>
          <a:off x="46110525" y="42957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14</xdr:row>
      <xdr:rowOff>0</xdr:rowOff>
    </xdr:from>
    <xdr:ext cx="304800" cy="304800"/>
    <xdr:sp macro="" textlink="">
      <xdr:nvSpPr>
        <xdr:cNvPr id="632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2180000}"/>
            </a:ext>
          </a:extLst>
        </xdr:cNvPr>
        <xdr:cNvSpPr>
          <a:spLocks noChangeAspect="1" noChangeArrowheads="1"/>
        </xdr:cNvSpPr>
      </xdr:nvSpPr>
      <xdr:spPr bwMode="auto">
        <a:xfrm>
          <a:off x="46110525" y="42957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15</xdr:row>
      <xdr:rowOff>0</xdr:rowOff>
    </xdr:from>
    <xdr:ext cx="304800" cy="304800"/>
    <xdr:sp macro="" textlink="">
      <xdr:nvSpPr>
        <xdr:cNvPr id="632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3180000}"/>
            </a:ext>
          </a:extLst>
        </xdr:cNvPr>
        <xdr:cNvSpPr>
          <a:spLocks noChangeAspect="1" noChangeArrowheads="1"/>
        </xdr:cNvSpPr>
      </xdr:nvSpPr>
      <xdr:spPr bwMode="auto">
        <a:xfrm>
          <a:off x="46110525" y="4591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15</xdr:row>
      <xdr:rowOff>0</xdr:rowOff>
    </xdr:from>
    <xdr:ext cx="304800" cy="304800"/>
    <xdr:sp macro="" textlink="">
      <xdr:nvSpPr>
        <xdr:cNvPr id="632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4180000}"/>
            </a:ext>
          </a:extLst>
        </xdr:cNvPr>
        <xdr:cNvSpPr>
          <a:spLocks noChangeAspect="1" noChangeArrowheads="1"/>
        </xdr:cNvSpPr>
      </xdr:nvSpPr>
      <xdr:spPr bwMode="auto">
        <a:xfrm>
          <a:off x="46110525" y="4591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32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5180000}"/>
            </a:ext>
          </a:extLst>
        </xdr:cNvPr>
        <xdr:cNvSpPr>
          <a:spLocks noChangeAspect="1" noChangeArrowheads="1"/>
        </xdr:cNvSpPr>
      </xdr:nvSpPr>
      <xdr:spPr bwMode="auto">
        <a:xfrm>
          <a:off x="46110525" y="32937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32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6180000}"/>
            </a:ext>
          </a:extLst>
        </xdr:cNvPr>
        <xdr:cNvSpPr>
          <a:spLocks noChangeAspect="1" noChangeArrowheads="1"/>
        </xdr:cNvSpPr>
      </xdr:nvSpPr>
      <xdr:spPr bwMode="auto">
        <a:xfrm>
          <a:off x="46110525" y="32937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32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7180000}"/>
            </a:ext>
          </a:extLst>
        </xdr:cNvPr>
        <xdr:cNvSpPr>
          <a:spLocks noChangeAspect="1" noChangeArrowheads="1"/>
        </xdr:cNvSpPr>
      </xdr:nvSpPr>
      <xdr:spPr bwMode="auto">
        <a:xfrm>
          <a:off x="46110525" y="332327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32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8180000}"/>
            </a:ext>
          </a:extLst>
        </xdr:cNvPr>
        <xdr:cNvSpPr>
          <a:spLocks noChangeAspect="1" noChangeArrowheads="1"/>
        </xdr:cNvSpPr>
      </xdr:nvSpPr>
      <xdr:spPr bwMode="auto">
        <a:xfrm>
          <a:off x="46110525" y="332327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32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9180000}"/>
            </a:ext>
          </a:extLst>
        </xdr:cNvPr>
        <xdr:cNvSpPr>
          <a:spLocks noChangeAspect="1" noChangeArrowheads="1"/>
        </xdr:cNvSpPr>
      </xdr:nvSpPr>
      <xdr:spPr bwMode="auto">
        <a:xfrm>
          <a:off x="46110525" y="35004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33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A180000}"/>
            </a:ext>
          </a:extLst>
        </xdr:cNvPr>
        <xdr:cNvSpPr>
          <a:spLocks noChangeAspect="1" noChangeArrowheads="1"/>
        </xdr:cNvSpPr>
      </xdr:nvSpPr>
      <xdr:spPr bwMode="auto">
        <a:xfrm>
          <a:off x="46110525" y="35004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33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B180000}"/>
            </a:ext>
          </a:extLst>
        </xdr:cNvPr>
        <xdr:cNvSpPr>
          <a:spLocks noChangeAspect="1" noChangeArrowheads="1"/>
        </xdr:cNvSpPr>
      </xdr:nvSpPr>
      <xdr:spPr bwMode="auto">
        <a:xfrm>
          <a:off x="46110525" y="35299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33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C180000}"/>
            </a:ext>
          </a:extLst>
        </xdr:cNvPr>
        <xdr:cNvSpPr>
          <a:spLocks noChangeAspect="1" noChangeArrowheads="1"/>
        </xdr:cNvSpPr>
      </xdr:nvSpPr>
      <xdr:spPr bwMode="auto">
        <a:xfrm>
          <a:off x="46110525" y="35299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33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D180000}"/>
            </a:ext>
          </a:extLst>
        </xdr:cNvPr>
        <xdr:cNvSpPr>
          <a:spLocks noChangeAspect="1" noChangeArrowheads="1"/>
        </xdr:cNvSpPr>
      </xdr:nvSpPr>
      <xdr:spPr bwMode="auto">
        <a:xfrm>
          <a:off x="46110525" y="40614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33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E180000}"/>
            </a:ext>
          </a:extLst>
        </xdr:cNvPr>
        <xdr:cNvSpPr>
          <a:spLocks noChangeAspect="1" noChangeArrowheads="1"/>
        </xdr:cNvSpPr>
      </xdr:nvSpPr>
      <xdr:spPr bwMode="auto">
        <a:xfrm>
          <a:off x="46110525" y="40614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33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F180000}"/>
            </a:ext>
          </a:extLst>
        </xdr:cNvPr>
        <xdr:cNvSpPr>
          <a:spLocks noChangeAspect="1" noChangeArrowheads="1"/>
        </xdr:cNvSpPr>
      </xdr:nvSpPr>
      <xdr:spPr bwMode="auto">
        <a:xfrm>
          <a:off x="46110525" y="40909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33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0180000}"/>
            </a:ext>
          </a:extLst>
        </xdr:cNvPr>
        <xdr:cNvSpPr>
          <a:spLocks noChangeAspect="1" noChangeArrowheads="1"/>
        </xdr:cNvSpPr>
      </xdr:nvSpPr>
      <xdr:spPr bwMode="auto">
        <a:xfrm>
          <a:off x="46110525" y="40909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33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1180000}"/>
            </a:ext>
          </a:extLst>
        </xdr:cNvPr>
        <xdr:cNvSpPr>
          <a:spLocks noChangeAspect="1" noChangeArrowheads="1"/>
        </xdr:cNvSpPr>
      </xdr:nvSpPr>
      <xdr:spPr bwMode="auto">
        <a:xfrm>
          <a:off x="46110525" y="57740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33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2180000}"/>
            </a:ext>
          </a:extLst>
        </xdr:cNvPr>
        <xdr:cNvSpPr>
          <a:spLocks noChangeAspect="1" noChangeArrowheads="1"/>
        </xdr:cNvSpPr>
      </xdr:nvSpPr>
      <xdr:spPr bwMode="auto">
        <a:xfrm>
          <a:off x="46110525" y="57740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33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3180000}"/>
            </a:ext>
          </a:extLst>
        </xdr:cNvPr>
        <xdr:cNvSpPr>
          <a:spLocks noChangeAspect="1" noChangeArrowheads="1"/>
        </xdr:cNvSpPr>
      </xdr:nvSpPr>
      <xdr:spPr bwMode="auto">
        <a:xfrm>
          <a:off x="46110525" y="58035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34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4180000}"/>
            </a:ext>
          </a:extLst>
        </xdr:cNvPr>
        <xdr:cNvSpPr>
          <a:spLocks noChangeAspect="1" noChangeArrowheads="1"/>
        </xdr:cNvSpPr>
      </xdr:nvSpPr>
      <xdr:spPr bwMode="auto">
        <a:xfrm>
          <a:off x="46110525" y="58035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34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5180000}"/>
            </a:ext>
          </a:extLst>
        </xdr:cNvPr>
        <xdr:cNvSpPr>
          <a:spLocks noChangeAspect="1" noChangeArrowheads="1"/>
        </xdr:cNvSpPr>
      </xdr:nvSpPr>
      <xdr:spPr bwMode="auto">
        <a:xfrm>
          <a:off x="46110525" y="598074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34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6180000}"/>
            </a:ext>
          </a:extLst>
        </xdr:cNvPr>
        <xdr:cNvSpPr>
          <a:spLocks noChangeAspect="1" noChangeArrowheads="1"/>
        </xdr:cNvSpPr>
      </xdr:nvSpPr>
      <xdr:spPr bwMode="auto">
        <a:xfrm>
          <a:off x="46110525" y="598074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34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7180000}"/>
            </a:ext>
          </a:extLst>
        </xdr:cNvPr>
        <xdr:cNvSpPr>
          <a:spLocks noChangeAspect="1" noChangeArrowheads="1"/>
        </xdr:cNvSpPr>
      </xdr:nvSpPr>
      <xdr:spPr bwMode="auto">
        <a:xfrm>
          <a:off x="46110525" y="60102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34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8180000}"/>
            </a:ext>
          </a:extLst>
        </xdr:cNvPr>
        <xdr:cNvSpPr>
          <a:spLocks noChangeAspect="1" noChangeArrowheads="1"/>
        </xdr:cNvSpPr>
      </xdr:nvSpPr>
      <xdr:spPr bwMode="auto">
        <a:xfrm>
          <a:off x="46110525" y="60102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34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9180000}"/>
            </a:ext>
          </a:extLst>
        </xdr:cNvPr>
        <xdr:cNvSpPr>
          <a:spLocks noChangeAspect="1" noChangeArrowheads="1"/>
        </xdr:cNvSpPr>
      </xdr:nvSpPr>
      <xdr:spPr bwMode="auto">
        <a:xfrm>
          <a:off x="46110525" y="6541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34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A180000}"/>
            </a:ext>
          </a:extLst>
        </xdr:cNvPr>
        <xdr:cNvSpPr>
          <a:spLocks noChangeAspect="1" noChangeArrowheads="1"/>
        </xdr:cNvSpPr>
      </xdr:nvSpPr>
      <xdr:spPr bwMode="auto">
        <a:xfrm>
          <a:off x="46110525" y="6541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34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B180000}"/>
            </a:ext>
          </a:extLst>
        </xdr:cNvPr>
        <xdr:cNvSpPr>
          <a:spLocks noChangeAspect="1" noChangeArrowheads="1"/>
        </xdr:cNvSpPr>
      </xdr:nvSpPr>
      <xdr:spPr bwMode="auto">
        <a:xfrm>
          <a:off x="46110525" y="657129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34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C180000}"/>
            </a:ext>
          </a:extLst>
        </xdr:cNvPr>
        <xdr:cNvSpPr>
          <a:spLocks noChangeAspect="1" noChangeArrowheads="1"/>
        </xdr:cNvSpPr>
      </xdr:nvSpPr>
      <xdr:spPr bwMode="auto">
        <a:xfrm>
          <a:off x="46110525" y="87563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34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D180000}"/>
            </a:ext>
          </a:extLst>
        </xdr:cNvPr>
        <xdr:cNvSpPr>
          <a:spLocks noChangeAspect="1" noChangeArrowheads="1"/>
        </xdr:cNvSpPr>
      </xdr:nvSpPr>
      <xdr:spPr bwMode="auto">
        <a:xfrm>
          <a:off x="46110525" y="87563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35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E180000}"/>
            </a:ext>
          </a:extLst>
        </xdr:cNvPr>
        <xdr:cNvSpPr>
          <a:spLocks noChangeAspect="1" noChangeArrowheads="1"/>
        </xdr:cNvSpPr>
      </xdr:nvSpPr>
      <xdr:spPr bwMode="auto">
        <a:xfrm>
          <a:off x="46110525" y="87858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35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CF180000}"/>
            </a:ext>
          </a:extLst>
        </xdr:cNvPr>
        <xdr:cNvSpPr>
          <a:spLocks noChangeAspect="1" noChangeArrowheads="1"/>
        </xdr:cNvSpPr>
      </xdr:nvSpPr>
      <xdr:spPr bwMode="auto">
        <a:xfrm>
          <a:off x="46110525" y="87858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35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0180000}"/>
            </a:ext>
          </a:extLst>
        </xdr:cNvPr>
        <xdr:cNvSpPr>
          <a:spLocks noChangeAspect="1" noChangeArrowheads="1"/>
        </xdr:cNvSpPr>
      </xdr:nvSpPr>
      <xdr:spPr bwMode="auto">
        <a:xfrm>
          <a:off x="46110525" y="946499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35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1180000}"/>
            </a:ext>
          </a:extLst>
        </xdr:cNvPr>
        <xdr:cNvSpPr>
          <a:spLocks noChangeAspect="1" noChangeArrowheads="1"/>
        </xdr:cNvSpPr>
      </xdr:nvSpPr>
      <xdr:spPr bwMode="auto">
        <a:xfrm>
          <a:off x="46110525" y="946499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35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2180000}"/>
            </a:ext>
          </a:extLst>
        </xdr:cNvPr>
        <xdr:cNvSpPr>
          <a:spLocks noChangeAspect="1" noChangeArrowheads="1"/>
        </xdr:cNvSpPr>
      </xdr:nvSpPr>
      <xdr:spPr bwMode="auto">
        <a:xfrm>
          <a:off x="46110525" y="94945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35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3180000}"/>
            </a:ext>
          </a:extLst>
        </xdr:cNvPr>
        <xdr:cNvSpPr>
          <a:spLocks noChangeAspect="1" noChangeArrowheads="1"/>
        </xdr:cNvSpPr>
      </xdr:nvSpPr>
      <xdr:spPr bwMode="auto">
        <a:xfrm>
          <a:off x="46110525" y="94945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35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4180000}"/>
            </a:ext>
          </a:extLst>
        </xdr:cNvPr>
        <xdr:cNvSpPr>
          <a:spLocks noChangeAspect="1" noChangeArrowheads="1"/>
        </xdr:cNvSpPr>
      </xdr:nvSpPr>
      <xdr:spPr bwMode="auto">
        <a:xfrm>
          <a:off x="46110525" y="96126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35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5180000}"/>
            </a:ext>
          </a:extLst>
        </xdr:cNvPr>
        <xdr:cNvSpPr>
          <a:spLocks noChangeAspect="1" noChangeArrowheads="1"/>
        </xdr:cNvSpPr>
      </xdr:nvSpPr>
      <xdr:spPr bwMode="auto">
        <a:xfrm>
          <a:off x="46110525" y="96126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35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6180000}"/>
            </a:ext>
          </a:extLst>
        </xdr:cNvPr>
        <xdr:cNvSpPr>
          <a:spLocks noChangeAspect="1" noChangeArrowheads="1"/>
        </xdr:cNvSpPr>
      </xdr:nvSpPr>
      <xdr:spPr bwMode="auto">
        <a:xfrm>
          <a:off x="46110525" y="96421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35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7180000}"/>
            </a:ext>
          </a:extLst>
        </xdr:cNvPr>
        <xdr:cNvSpPr>
          <a:spLocks noChangeAspect="1" noChangeArrowheads="1"/>
        </xdr:cNvSpPr>
      </xdr:nvSpPr>
      <xdr:spPr bwMode="auto">
        <a:xfrm>
          <a:off x="46110525" y="96421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36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8180000}"/>
            </a:ext>
          </a:extLst>
        </xdr:cNvPr>
        <xdr:cNvSpPr>
          <a:spLocks noChangeAspect="1" noChangeArrowheads="1"/>
        </xdr:cNvSpPr>
      </xdr:nvSpPr>
      <xdr:spPr bwMode="auto">
        <a:xfrm>
          <a:off x="46110525" y="110004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36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9180000}"/>
            </a:ext>
          </a:extLst>
        </xdr:cNvPr>
        <xdr:cNvSpPr>
          <a:spLocks noChangeAspect="1" noChangeArrowheads="1"/>
        </xdr:cNvSpPr>
      </xdr:nvSpPr>
      <xdr:spPr bwMode="auto">
        <a:xfrm>
          <a:off x="46110525" y="110004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36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A180000}"/>
            </a:ext>
          </a:extLst>
        </xdr:cNvPr>
        <xdr:cNvSpPr>
          <a:spLocks noChangeAspect="1" noChangeArrowheads="1"/>
        </xdr:cNvSpPr>
      </xdr:nvSpPr>
      <xdr:spPr bwMode="auto">
        <a:xfrm>
          <a:off x="46110525" y="11029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36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B180000}"/>
            </a:ext>
          </a:extLst>
        </xdr:cNvPr>
        <xdr:cNvSpPr>
          <a:spLocks noChangeAspect="1" noChangeArrowheads="1"/>
        </xdr:cNvSpPr>
      </xdr:nvSpPr>
      <xdr:spPr bwMode="auto">
        <a:xfrm>
          <a:off x="46110525" y="11029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36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C180000}"/>
            </a:ext>
          </a:extLst>
        </xdr:cNvPr>
        <xdr:cNvSpPr>
          <a:spLocks noChangeAspect="1" noChangeArrowheads="1"/>
        </xdr:cNvSpPr>
      </xdr:nvSpPr>
      <xdr:spPr bwMode="auto">
        <a:xfrm>
          <a:off x="46110525" y="120338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36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D180000}"/>
            </a:ext>
          </a:extLst>
        </xdr:cNvPr>
        <xdr:cNvSpPr>
          <a:spLocks noChangeAspect="1" noChangeArrowheads="1"/>
        </xdr:cNvSpPr>
      </xdr:nvSpPr>
      <xdr:spPr bwMode="auto">
        <a:xfrm>
          <a:off x="46110525" y="120338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36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E180000}"/>
            </a:ext>
          </a:extLst>
        </xdr:cNvPr>
        <xdr:cNvSpPr>
          <a:spLocks noChangeAspect="1" noChangeArrowheads="1"/>
        </xdr:cNvSpPr>
      </xdr:nvSpPr>
      <xdr:spPr bwMode="auto">
        <a:xfrm>
          <a:off x="46110525" y="1206341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36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DF180000}"/>
            </a:ext>
          </a:extLst>
        </xdr:cNvPr>
        <xdr:cNvSpPr>
          <a:spLocks noChangeAspect="1" noChangeArrowheads="1"/>
        </xdr:cNvSpPr>
      </xdr:nvSpPr>
      <xdr:spPr bwMode="auto">
        <a:xfrm>
          <a:off x="46110525" y="1206341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36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0180000}"/>
            </a:ext>
          </a:extLst>
        </xdr:cNvPr>
        <xdr:cNvSpPr>
          <a:spLocks noChangeAspect="1" noChangeArrowheads="1"/>
        </xdr:cNvSpPr>
      </xdr:nvSpPr>
      <xdr:spPr bwMode="auto">
        <a:xfrm>
          <a:off x="46110525" y="107346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36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1180000}"/>
            </a:ext>
          </a:extLst>
        </xdr:cNvPr>
        <xdr:cNvSpPr>
          <a:spLocks noChangeAspect="1" noChangeArrowheads="1"/>
        </xdr:cNvSpPr>
      </xdr:nvSpPr>
      <xdr:spPr bwMode="auto">
        <a:xfrm>
          <a:off x="46110525" y="107346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37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2180000}"/>
            </a:ext>
          </a:extLst>
        </xdr:cNvPr>
        <xdr:cNvSpPr>
          <a:spLocks noChangeAspect="1" noChangeArrowheads="1"/>
        </xdr:cNvSpPr>
      </xdr:nvSpPr>
      <xdr:spPr bwMode="auto">
        <a:xfrm>
          <a:off x="46110525" y="107642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37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3180000}"/>
            </a:ext>
          </a:extLst>
        </xdr:cNvPr>
        <xdr:cNvSpPr>
          <a:spLocks noChangeAspect="1" noChangeArrowheads="1"/>
        </xdr:cNvSpPr>
      </xdr:nvSpPr>
      <xdr:spPr bwMode="auto">
        <a:xfrm>
          <a:off x="46110525" y="107642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37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4180000}"/>
            </a:ext>
          </a:extLst>
        </xdr:cNvPr>
        <xdr:cNvSpPr>
          <a:spLocks noChangeAspect="1" noChangeArrowheads="1"/>
        </xdr:cNvSpPr>
      </xdr:nvSpPr>
      <xdr:spPr bwMode="auto">
        <a:xfrm>
          <a:off x="46110525" y="1188624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37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5180000}"/>
            </a:ext>
          </a:extLst>
        </xdr:cNvPr>
        <xdr:cNvSpPr>
          <a:spLocks noChangeAspect="1" noChangeArrowheads="1"/>
        </xdr:cNvSpPr>
      </xdr:nvSpPr>
      <xdr:spPr bwMode="auto">
        <a:xfrm>
          <a:off x="46110525" y="1188624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37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6180000}"/>
            </a:ext>
          </a:extLst>
        </xdr:cNvPr>
        <xdr:cNvSpPr>
          <a:spLocks noChangeAspect="1" noChangeArrowheads="1"/>
        </xdr:cNvSpPr>
      </xdr:nvSpPr>
      <xdr:spPr bwMode="auto">
        <a:xfrm>
          <a:off x="46110525" y="119157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37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7180000}"/>
            </a:ext>
          </a:extLst>
        </xdr:cNvPr>
        <xdr:cNvSpPr>
          <a:spLocks noChangeAspect="1" noChangeArrowheads="1"/>
        </xdr:cNvSpPr>
      </xdr:nvSpPr>
      <xdr:spPr bwMode="auto">
        <a:xfrm>
          <a:off x="46110525" y="119157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37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8180000}"/>
            </a:ext>
          </a:extLst>
        </xdr:cNvPr>
        <xdr:cNvSpPr>
          <a:spLocks noChangeAspect="1" noChangeArrowheads="1"/>
        </xdr:cNvSpPr>
      </xdr:nvSpPr>
      <xdr:spPr bwMode="auto">
        <a:xfrm>
          <a:off x="46110525" y="125653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37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9180000}"/>
            </a:ext>
          </a:extLst>
        </xdr:cNvPr>
        <xdr:cNvSpPr>
          <a:spLocks noChangeAspect="1" noChangeArrowheads="1"/>
        </xdr:cNvSpPr>
      </xdr:nvSpPr>
      <xdr:spPr bwMode="auto">
        <a:xfrm>
          <a:off x="46110525" y="125653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37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A180000}"/>
            </a:ext>
          </a:extLst>
        </xdr:cNvPr>
        <xdr:cNvSpPr>
          <a:spLocks noChangeAspect="1" noChangeArrowheads="1"/>
        </xdr:cNvSpPr>
      </xdr:nvSpPr>
      <xdr:spPr bwMode="auto">
        <a:xfrm>
          <a:off x="46110525" y="125949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37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B180000}"/>
            </a:ext>
          </a:extLst>
        </xdr:cNvPr>
        <xdr:cNvSpPr>
          <a:spLocks noChangeAspect="1" noChangeArrowheads="1"/>
        </xdr:cNvSpPr>
      </xdr:nvSpPr>
      <xdr:spPr bwMode="auto">
        <a:xfrm>
          <a:off x="46110525" y="125949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38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C180000}"/>
            </a:ext>
          </a:extLst>
        </xdr:cNvPr>
        <xdr:cNvSpPr>
          <a:spLocks noChangeAspect="1" noChangeArrowheads="1"/>
        </xdr:cNvSpPr>
      </xdr:nvSpPr>
      <xdr:spPr bwMode="auto">
        <a:xfrm>
          <a:off x="46110525" y="126539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38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D180000}"/>
            </a:ext>
          </a:extLst>
        </xdr:cNvPr>
        <xdr:cNvSpPr>
          <a:spLocks noChangeAspect="1" noChangeArrowheads="1"/>
        </xdr:cNvSpPr>
      </xdr:nvSpPr>
      <xdr:spPr bwMode="auto">
        <a:xfrm>
          <a:off x="46110525" y="126539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38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E180000}"/>
            </a:ext>
          </a:extLst>
        </xdr:cNvPr>
        <xdr:cNvSpPr>
          <a:spLocks noChangeAspect="1" noChangeArrowheads="1"/>
        </xdr:cNvSpPr>
      </xdr:nvSpPr>
      <xdr:spPr bwMode="auto">
        <a:xfrm>
          <a:off x="46110525" y="126834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38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EF180000}"/>
            </a:ext>
          </a:extLst>
        </xdr:cNvPr>
        <xdr:cNvSpPr>
          <a:spLocks noChangeAspect="1" noChangeArrowheads="1"/>
        </xdr:cNvSpPr>
      </xdr:nvSpPr>
      <xdr:spPr bwMode="auto">
        <a:xfrm>
          <a:off x="46110525" y="126834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38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0180000}"/>
            </a:ext>
          </a:extLst>
        </xdr:cNvPr>
        <xdr:cNvSpPr>
          <a:spLocks noChangeAspect="1" noChangeArrowheads="1"/>
        </xdr:cNvSpPr>
      </xdr:nvSpPr>
      <xdr:spPr bwMode="auto">
        <a:xfrm>
          <a:off x="46110525" y="168173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38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1180000}"/>
            </a:ext>
          </a:extLst>
        </xdr:cNvPr>
        <xdr:cNvSpPr>
          <a:spLocks noChangeAspect="1" noChangeArrowheads="1"/>
        </xdr:cNvSpPr>
      </xdr:nvSpPr>
      <xdr:spPr bwMode="auto">
        <a:xfrm>
          <a:off x="46110525" y="168173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38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2180000}"/>
            </a:ext>
          </a:extLst>
        </xdr:cNvPr>
        <xdr:cNvSpPr>
          <a:spLocks noChangeAspect="1" noChangeArrowheads="1"/>
        </xdr:cNvSpPr>
      </xdr:nvSpPr>
      <xdr:spPr bwMode="auto">
        <a:xfrm>
          <a:off x="46110525" y="1684686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38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3180000}"/>
            </a:ext>
          </a:extLst>
        </xdr:cNvPr>
        <xdr:cNvSpPr>
          <a:spLocks noChangeAspect="1" noChangeArrowheads="1"/>
        </xdr:cNvSpPr>
      </xdr:nvSpPr>
      <xdr:spPr bwMode="auto">
        <a:xfrm>
          <a:off x="46110525" y="1684686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38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4180000}"/>
            </a:ext>
          </a:extLst>
        </xdr:cNvPr>
        <xdr:cNvSpPr>
          <a:spLocks noChangeAspect="1" noChangeArrowheads="1"/>
        </xdr:cNvSpPr>
      </xdr:nvSpPr>
      <xdr:spPr bwMode="auto">
        <a:xfrm>
          <a:off x="46110525" y="169945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38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5180000}"/>
            </a:ext>
          </a:extLst>
        </xdr:cNvPr>
        <xdr:cNvSpPr>
          <a:spLocks noChangeAspect="1" noChangeArrowheads="1"/>
        </xdr:cNvSpPr>
      </xdr:nvSpPr>
      <xdr:spPr bwMode="auto">
        <a:xfrm>
          <a:off x="46110525" y="169945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39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6180000}"/>
            </a:ext>
          </a:extLst>
        </xdr:cNvPr>
        <xdr:cNvSpPr>
          <a:spLocks noChangeAspect="1" noChangeArrowheads="1"/>
        </xdr:cNvSpPr>
      </xdr:nvSpPr>
      <xdr:spPr bwMode="auto">
        <a:xfrm>
          <a:off x="46110525" y="170240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39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7180000}"/>
            </a:ext>
          </a:extLst>
        </xdr:cNvPr>
        <xdr:cNvSpPr>
          <a:spLocks noChangeAspect="1" noChangeArrowheads="1"/>
        </xdr:cNvSpPr>
      </xdr:nvSpPr>
      <xdr:spPr bwMode="auto">
        <a:xfrm>
          <a:off x="46110525" y="170240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39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8180000}"/>
            </a:ext>
          </a:extLst>
        </xdr:cNvPr>
        <xdr:cNvSpPr>
          <a:spLocks noChangeAspect="1" noChangeArrowheads="1"/>
        </xdr:cNvSpPr>
      </xdr:nvSpPr>
      <xdr:spPr bwMode="auto">
        <a:xfrm>
          <a:off x="46110525" y="174078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39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9180000}"/>
            </a:ext>
          </a:extLst>
        </xdr:cNvPr>
        <xdr:cNvSpPr>
          <a:spLocks noChangeAspect="1" noChangeArrowheads="1"/>
        </xdr:cNvSpPr>
      </xdr:nvSpPr>
      <xdr:spPr bwMode="auto">
        <a:xfrm>
          <a:off x="46110525" y="174078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39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A180000}"/>
            </a:ext>
          </a:extLst>
        </xdr:cNvPr>
        <xdr:cNvSpPr>
          <a:spLocks noChangeAspect="1" noChangeArrowheads="1"/>
        </xdr:cNvSpPr>
      </xdr:nvSpPr>
      <xdr:spPr bwMode="auto">
        <a:xfrm>
          <a:off x="46110525" y="1743741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39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B180000}"/>
            </a:ext>
          </a:extLst>
        </xdr:cNvPr>
        <xdr:cNvSpPr>
          <a:spLocks noChangeAspect="1" noChangeArrowheads="1"/>
        </xdr:cNvSpPr>
      </xdr:nvSpPr>
      <xdr:spPr bwMode="auto">
        <a:xfrm>
          <a:off x="46110525" y="1743741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39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C180000}"/>
            </a:ext>
          </a:extLst>
        </xdr:cNvPr>
        <xdr:cNvSpPr>
          <a:spLocks noChangeAspect="1" noChangeArrowheads="1"/>
        </xdr:cNvSpPr>
      </xdr:nvSpPr>
      <xdr:spPr bwMode="auto">
        <a:xfrm>
          <a:off x="46110525" y="17526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39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D180000}"/>
            </a:ext>
          </a:extLst>
        </xdr:cNvPr>
        <xdr:cNvSpPr>
          <a:spLocks noChangeAspect="1" noChangeArrowheads="1"/>
        </xdr:cNvSpPr>
      </xdr:nvSpPr>
      <xdr:spPr bwMode="auto">
        <a:xfrm>
          <a:off x="46110525" y="17526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39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E180000}"/>
            </a:ext>
          </a:extLst>
        </xdr:cNvPr>
        <xdr:cNvSpPr>
          <a:spLocks noChangeAspect="1" noChangeArrowheads="1"/>
        </xdr:cNvSpPr>
      </xdr:nvSpPr>
      <xdr:spPr bwMode="auto">
        <a:xfrm>
          <a:off x="46110525" y="1755552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39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FF180000}"/>
            </a:ext>
          </a:extLst>
        </xdr:cNvPr>
        <xdr:cNvSpPr>
          <a:spLocks noChangeAspect="1" noChangeArrowheads="1"/>
        </xdr:cNvSpPr>
      </xdr:nvSpPr>
      <xdr:spPr bwMode="auto">
        <a:xfrm>
          <a:off x="46110525" y="1755552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40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0190000}"/>
            </a:ext>
          </a:extLst>
        </xdr:cNvPr>
        <xdr:cNvSpPr>
          <a:spLocks noChangeAspect="1" noChangeArrowheads="1"/>
        </xdr:cNvSpPr>
      </xdr:nvSpPr>
      <xdr:spPr bwMode="auto">
        <a:xfrm>
          <a:off x="46110525" y="195929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40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1190000}"/>
            </a:ext>
          </a:extLst>
        </xdr:cNvPr>
        <xdr:cNvSpPr>
          <a:spLocks noChangeAspect="1" noChangeArrowheads="1"/>
        </xdr:cNvSpPr>
      </xdr:nvSpPr>
      <xdr:spPr bwMode="auto">
        <a:xfrm>
          <a:off x="46110525" y="195929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40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2190000}"/>
            </a:ext>
          </a:extLst>
        </xdr:cNvPr>
        <xdr:cNvSpPr>
          <a:spLocks noChangeAspect="1" noChangeArrowheads="1"/>
        </xdr:cNvSpPr>
      </xdr:nvSpPr>
      <xdr:spPr bwMode="auto">
        <a:xfrm>
          <a:off x="46110525" y="196224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40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3190000}"/>
            </a:ext>
          </a:extLst>
        </xdr:cNvPr>
        <xdr:cNvSpPr>
          <a:spLocks noChangeAspect="1" noChangeArrowheads="1"/>
        </xdr:cNvSpPr>
      </xdr:nvSpPr>
      <xdr:spPr bwMode="auto">
        <a:xfrm>
          <a:off x="46110525" y="196224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40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4190000}"/>
            </a:ext>
          </a:extLst>
        </xdr:cNvPr>
        <xdr:cNvSpPr>
          <a:spLocks noChangeAspect="1" noChangeArrowheads="1"/>
        </xdr:cNvSpPr>
      </xdr:nvSpPr>
      <xdr:spPr bwMode="auto">
        <a:xfrm>
          <a:off x="46110525" y="217189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40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5190000}"/>
            </a:ext>
          </a:extLst>
        </xdr:cNvPr>
        <xdr:cNvSpPr>
          <a:spLocks noChangeAspect="1" noChangeArrowheads="1"/>
        </xdr:cNvSpPr>
      </xdr:nvSpPr>
      <xdr:spPr bwMode="auto">
        <a:xfrm>
          <a:off x="46110525" y="217189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40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6190000}"/>
            </a:ext>
          </a:extLst>
        </xdr:cNvPr>
        <xdr:cNvSpPr>
          <a:spLocks noChangeAspect="1" noChangeArrowheads="1"/>
        </xdr:cNvSpPr>
      </xdr:nvSpPr>
      <xdr:spPr bwMode="auto">
        <a:xfrm>
          <a:off x="46110525" y="217484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40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7190000}"/>
            </a:ext>
          </a:extLst>
        </xdr:cNvPr>
        <xdr:cNvSpPr>
          <a:spLocks noChangeAspect="1" noChangeArrowheads="1"/>
        </xdr:cNvSpPr>
      </xdr:nvSpPr>
      <xdr:spPr bwMode="auto">
        <a:xfrm>
          <a:off x="46110525" y="217484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14</xdr:row>
      <xdr:rowOff>0</xdr:rowOff>
    </xdr:from>
    <xdr:ext cx="304800" cy="304800"/>
    <xdr:sp macro="" textlink="">
      <xdr:nvSpPr>
        <xdr:cNvPr id="640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8190000}"/>
            </a:ext>
          </a:extLst>
        </xdr:cNvPr>
        <xdr:cNvSpPr>
          <a:spLocks noChangeAspect="1" noChangeArrowheads="1"/>
        </xdr:cNvSpPr>
      </xdr:nvSpPr>
      <xdr:spPr bwMode="auto">
        <a:xfrm>
          <a:off x="39300150" y="42957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14</xdr:row>
      <xdr:rowOff>0</xdr:rowOff>
    </xdr:from>
    <xdr:ext cx="304800" cy="304800"/>
    <xdr:sp macro="" textlink="">
      <xdr:nvSpPr>
        <xdr:cNvPr id="640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9190000}"/>
            </a:ext>
          </a:extLst>
        </xdr:cNvPr>
        <xdr:cNvSpPr>
          <a:spLocks noChangeAspect="1" noChangeArrowheads="1"/>
        </xdr:cNvSpPr>
      </xdr:nvSpPr>
      <xdr:spPr bwMode="auto">
        <a:xfrm>
          <a:off x="39300150" y="42957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15</xdr:row>
      <xdr:rowOff>0</xdr:rowOff>
    </xdr:from>
    <xdr:ext cx="304800" cy="304800"/>
    <xdr:sp macro="" textlink="">
      <xdr:nvSpPr>
        <xdr:cNvPr id="641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A190000}"/>
            </a:ext>
          </a:extLst>
        </xdr:cNvPr>
        <xdr:cNvSpPr>
          <a:spLocks noChangeAspect="1" noChangeArrowheads="1"/>
        </xdr:cNvSpPr>
      </xdr:nvSpPr>
      <xdr:spPr bwMode="auto">
        <a:xfrm>
          <a:off x="39300150" y="4591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15</xdr:row>
      <xdr:rowOff>0</xdr:rowOff>
    </xdr:from>
    <xdr:ext cx="304800" cy="304800"/>
    <xdr:sp macro="" textlink="">
      <xdr:nvSpPr>
        <xdr:cNvPr id="641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B190000}"/>
            </a:ext>
          </a:extLst>
        </xdr:cNvPr>
        <xdr:cNvSpPr>
          <a:spLocks noChangeAspect="1" noChangeArrowheads="1"/>
        </xdr:cNvSpPr>
      </xdr:nvSpPr>
      <xdr:spPr bwMode="auto">
        <a:xfrm>
          <a:off x="39300150" y="4591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14</xdr:row>
      <xdr:rowOff>0</xdr:rowOff>
    </xdr:from>
    <xdr:ext cx="304800" cy="304800"/>
    <xdr:sp macro="" textlink="">
      <xdr:nvSpPr>
        <xdr:cNvPr id="641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C190000}"/>
            </a:ext>
          </a:extLst>
        </xdr:cNvPr>
        <xdr:cNvSpPr>
          <a:spLocks noChangeAspect="1" noChangeArrowheads="1"/>
        </xdr:cNvSpPr>
      </xdr:nvSpPr>
      <xdr:spPr bwMode="auto">
        <a:xfrm>
          <a:off x="39300150" y="42957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14</xdr:row>
      <xdr:rowOff>0</xdr:rowOff>
    </xdr:from>
    <xdr:ext cx="304800" cy="304800"/>
    <xdr:sp macro="" textlink="">
      <xdr:nvSpPr>
        <xdr:cNvPr id="641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D190000}"/>
            </a:ext>
          </a:extLst>
        </xdr:cNvPr>
        <xdr:cNvSpPr>
          <a:spLocks noChangeAspect="1" noChangeArrowheads="1"/>
        </xdr:cNvSpPr>
      </xdr:nvSpPr>
      <xdr:spPr bwMode="auto">
        <a:xfrm>
          <a:off x="39300150" y="42957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15</xdr:row>
      <xdr:rowOff>0</xdr:rowOff>
    </xdr:from>
    <xdr:ext cx="304800" cy="304800"/>
    <xdr:sp macro="" textlink="">
      <xdr:nvSpPr>
        <xdr:cNvPr id="641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E190000}"/>
            </a:ext>
          </a:extLst>
        </xdr:cNvPr>
        <xdr:cNvSpPr>
          <a:spLocks noChangeAspect="1" noChangeArrowheads="1"/>
        </xdr:cNvSpPr>
      </xdr:nvSpPr>
      <xdr:spPr bwMode="auto">
        <a:xfrm>
          <a:off x="39300150" y="4591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15</xdr:row>
      <xdr:rowOff>0</xdr:rowOff>
    </xdr:from>
    <xdr:ext cx="304800" cy="304800"/>
    <xdr:sp macro="" textlink="">
      <xdr:nvSpPr>
        <xdr:cNvPr id="641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0F190000}"/>
            </a:ext>
          </a:extLst>
        </xdr:cNvPr>
        <xdr:cNvSpPr>
          <a:spLocks noChangeAspect="1" noChangeArrowheads="1"/>
        </xdr:cNvSpPr>
      </xdr:nvSpPr>
      <xdr:spPr bwMode="auto">
        <a:xfrm>
          <a:off x="39300150" y="4591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41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0190000}"/>
            </a:ext>
          </a:extLst>
        </xdr:cNvPr>
        <xdr:cNvSpPr>
          <a:spLocks noChangeAspect="1" noChangeArrowheads="1"/>
        </xdr:cNvSpPr>
      </xdr:nvSpPr>
      <xdr:spPr bwMode="auto">
        <a:xfrm>
          <a:off x="39300150" y="32937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41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1190000}"/>
            </a:ext>
          </a:extLst>
        </xdr:cNvPr>
        <xdr:cNvSpPr>
          <a:spLocks noChangeAspect="1" noChangeArrowheads="1"/>
        </xdr:cNvSpPr>
      </xdr:nvSpPr>
      <xdr:spPr bwMode="auto">
        <a:xfrm>
          <a:off x="39300150" y="32937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41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2190000}"/>
            </a:ext>
          </a:extLst>
        </xdr:cNvPr>
        <xdr:cNvSpPr>
          <a:spLocks noChangeAspect="1" noChangeArrowheads="1"/>
        </xdr:cNvSpPr>
      </xdr:nvSpPr>
      <xdr:spPr bwMode="auto">
        <a:xfrm>
          <a:off x="39300150" y="332327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41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3190000}"/>
            </a:ext>
          </a:extLst>
        </xdr:cNvPr>
        <xdr:cNvSpPr>
          <a:spLocks noChangeAspect="1" noChangeArrowheads="1"/>
        </xdr:cNvSpPr>
      </xdr:nvSpPr>
      <xdr:spPr bwMode="auto">
        <a:xfrm>
          <a:off x="39300150" y="332327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42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4190000}"/>
            </a:ext>
          </a:extLst>
        </xdr:cNvPr>
        <xdr:cNvSpPr>
          <a:spLocks noChangeAspect="1" noChangeArrowheads="1"/>
        </xdr:cNvSpPr>
      </xdr:nvSpPr>
      <xdr:spPr bwMode="auto">
        <a:xfrm>
          <a:off x="39300150" y="32937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42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5190000}"/>
            </a:ext>
          </a:extLst>
        </xdr:cNvPr>
        <xdr:cNvSpPr>
          <a:spLocks noChangeAspect="1" noChangeArrowheads="1"/>
        </xdr:cNvSpPr>
      </xdr:nvSpPr>
      <xdr:spPr bwMode="auto">
        <a:xfrm>
          <a:off x="39300150" y="32937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42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6190000}"/>
            </a:ext>
          </a:extLst>
        </xdr:cNvPr>
        <xdr:cNvSpPr>
          <a:spLocks noChangeAspect="1" noChangeArrowheads="1"/>
        </xdr:cNvSpPr>
      </xdr:nvSpPr>
      <xdr:spPr bwMode="auto">
        <a:xfrm>
          <a:off x="39300150" y="332327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42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7190000}"/>
            </a:ext>
          </a:extLst>
        </xdr:cNvPr>
        <xdr:cNvSpPr>
          <a:spLocks noChangeAspect="1" noChangeArrowheads="1"/>
        </xdr:cNvSpPr>
      </xdr:nvSpPr>
      <xdr:spPr bwMode="auto">
        <a:xfrm>
          <a:off x="39300150" y="332327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42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8190000}"/>
            </a:ext>
          </a:extLst>
        </xdr:cNvPr>
        <xdr:cNvSpPr>
          <a:spLocks noChangeAspect="1" noChangeArrowheads="1"/>
        </xdr:cNvSpPr>
      </xdr:nvSpPr>
      <xdr:spPr bwMode="auto">
        <a:xfrm>
          <a:off x="39300150" y="35004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42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9190000}"/>
            </a:ext>
          </a:extLst>
        </xdr:cNvPr>
        <xdr:cNvSpPr>
          <a:spLocks noChangeAspect="1" noChangeArrowheads="1"/>
        </xdr:cNvSpPr>
      </xdr:nvSpPr>
      <xdr:spPr bwMode="auto">
        <a:xfrm>
          <a:off x="39300150" y="35004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42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A190000}"/>
            </a:ext>
          </a:extLst>
        </xdr:cNvPr>
        <xdr:cNvSpPr>
          <a:spLocks noChangeAspect="1" noChangeArrowheads="1"/>
        </xdr:cNvSpPr>
      </xdr:nvSpPr>
      <xdr:spPr bwMode="auto">
        <a:xfrm>
          <a:off x="39300150" y="35299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42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B190000}"/>
            </a:ext>
          </a:extLst>
        </xdr:cNvPr>
        <xdr:cNvSpPr>
          <a:spLocks noChangeAspect="1" noChangeArrowheads="1"/>
        </xdr:cNvSpPr>
      </xdr:nvSpPr>
      <xdr:spPr bwMode="auto">
        <a:xfrm>
          <a:off x="39300150" y="35299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42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C190000}"/>
            </a:ext>
          </a:extLst>
        </xdr:cNvPr>
        <xdr:cNvSpPr>
          <a:spLocks noChangeAspect="1" noChangeArrowheads="1"/>
        </xdr:cNvSpPr>
      </xdr:nvSpPr>
      <xdr:spPr bwMode="auto">
        <a:xfrm>
          <a:off x="39300150" y="35004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42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D190000}"/>
            </a:ext>
          </a:extLst>
        </xdr:cNvPr>
        <xdr:cNvSpPr>
          <a:spLocks noChangeAspect="1" noChangeArrowheads="1"/>
        </xdr:cNvSpPr>
      </xdr:nvSpPr>
      <xdr:spPr bwMode="auto">
        <a:xfrm>
          <a:off x="39300150" y="350043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43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E190000}"/>
            </a:ext>
          </a:extLst>
        </xdr:cNvPr>
        <xdr:cNvSpPr>
          <a:spLocks noChangeAspect="1" noChangeArrowheads="1"/>
        </xdr:cNvSpPr>
      </xdr:nvSpPr>
      <xdr:spPr bwMode="auto">
        <a:xfrm>
          <a:off x="39300150" y="35299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43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1F190000}"/>
            </a:ext>
          </a:extLst>
        </xdr:cNvPr>
        <xdr:cNvSpPr>
          <a:spLocks noChangeAspect="1" noChangeArrowheads="1"/>
        </xdr:cNvSpPr>
      </xdr:nvSpPr>
      <xdr:spPr bwMode="auto">
        <a:xfrm>
          <a:off x="39300150" y="35299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43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0190000}"/>
            </a:ext>
          </a:extLst>
        </xdr:cNvPr>
        <xdr:cNvSpPr>
          <a:spLocks noChangeAspect="1" noChangeArrowheads="1"/>
        </xdr:cNvSpPr>
      </xdr:nvSpPr>
      <xdr:spPr bwMode="auto">
        <a:xfrm>
          <a:off x="39300150" y="40614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43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1190000}"/>
            </a:ext>
          </a:extLst>
        </xdr:cNvPr>
        <xdr:cNvSpPr>
          <a:spLocks noChangeAspect="1" noChangeArrowheads="1"/>
        </xdr:cNvSpPr>
      </xdr:nvSpPr>
      <xdr:spPr bwMode="auto">
        <a:xfrm>
          <a:off x="39300150" y="40614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43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2190000}"/>
            </a:ext>
          </a:extLst>
        </xdr:cNvPr>
        <xdr:cNvSpPr>
          <a:spLocks noChangeAspect="1" noChangeArrowheads="1"/>
        </xdr:cNvSpPr>
      </xdr:nvSpPr>
      <xdr:spPr bwMode="auto">
        <a:xfrm>
          <a:off x="39300150" y="40909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43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3190000}"/>
            </a:ext>
          </a:extLst>
        </xdr:cNvPr>
        <xdr:cNvSpPr>
          <a:spLocks noChangeAspect="1" noChangeArrowheads="1"/>
        </xdr:cNvSpPr>
      </xdr:nvSpPr>
      <xdr:spPr bwMode="auto">
        <a:xfrm>
          <a:off x="39300150" y="40909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43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4190000}"/>
            </a:ext>
          </a:extLst>
        </xdr:cNvPr>
        <xdr:cNvSpPr>
          <a:spLocks noChangeAspect="1" noChangeArrowheads="1"/>
        </xdr:cNvSpPr>
      </xdr:nvSpPr>
      <xdr:spPr bwMode="auto">
        <a:xfrm>
          <a:off x="39300150" y="40614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43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5190000}"/>
            </a:ext>
          </a:extLst>
        </xdr:cNvPr>
        <xdr:cNvSpPr>
          <a:spLocks noChangeAspect="1" noChangeArrowheads="1"/>
        </xdr:cNvSpPr>
      </xdr:nvSpPr>
      <xdr:spPr bwMode="auto">
        <a:xfrm>
          <a:off x="39300150" y="40614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43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6190000}"/>
            </a:ext>
          </a:extLst>
        </xdr:cNvPr>
        <xdr:cNvSpPr>
          <a:spLocks noChangeAspect="1" noChangeArrowheads="1"/>
        </xdr:cNvSpPr>
      </xdr:nvSpPr>
      <xdr:spPr bwMode="auto">
        <a:xfrm>
          <a:off x="39300150" y="40909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43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7190000}"/>
            </a:ext>
          </a:extLst>
        </xdr:cNvPr>
        <xdr:cNvSpPr>
          <a:spLocks noChangeAspect="1" noChangeArrowheads="1"/>
        </xdr:cNvSpPr>
      </xdr:nvSpPr>
      <xdr:spPr bwMode="auto">
        <a:xfrm>
          <a:off x="39300150" y="40909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44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8190000}"/>
            </a:ext>
          </a:extLst>
        </xdr:cNvPr>
        <xdr:cNvSpPr>
          <a:spLocks noChangeAspect="1" noChangeArrowheads="1"/>
        </xdr:cNvSpPr>
      </xdr:nvSpPr>
      <xdr:spPr bwMode="auto">
        <a:xfrm>
          <a:off x="39300150" y="57740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44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9190000}"/>
            </a:ext>
          </a:extLst>
        </xdr:cNvPr>
        <xdr:cNvSpPr>
          <a:spLocks noChangeAspect="1" noChangeArrowheads="1"/>
        </xdr:cNvSpPr>
      </xdr:nvSpPr>
      <xdr:spPr bwMode="auto">
        <a:xfrm>
          <a:off x="39300150" y="57740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44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A190000}"/>
            </a:ext>
          </a:extLst>
        </xdr:cNvPr>
        <xdr:cNvSpPr>
          <a:spLocks noChangeAspect="1" noChangeArrowheads="1"/>
        </xdr:cNvSpPr>
      </xdr:nvSpPr>
      <xdr:spPr bwMode="auto">
        <a:xfrm>
          <a:off x="39300150" y="58035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44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B190000}"/>
            </a:ext>
          </a:extLst>
        </xdr:cNvPr>
        <xdr:cNvSpPr>
          <a:spLocks noChangeAspect="1" noChangeArrowheads="1"/>
        </xdr:cNvSpPr>
      </xdr:nvSpPr>
      <xdr:spPr bwMode="auto">
        <a:xfrm>
          <a:off x="39300150" y="58035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44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C190000}"/>
            </a:ext>
          </a:extLst>
        </xdr:cNvPr>
        <xdr:cNvSpPr>
          <a:spLocks noChangeAspect="1" noChangeArrowheads="1"/>
        </xdr:cNvSpPr>
      </xdr:nvSpPr>
      <xdr:spPr bwMode="auto">
        <a:xfrm>
          <a:off x="39300150" y="57740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44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D190000}"/>
            </a:ext>
          </a:extLst>
        </xdr:cNvPr>
        <xdr:cNvSpPr>
          <a:spLocks noChangeAspect="1" noChangeArrowheads="1"/>
        </xdr:cNvSpPr>
      </xdr:nvSpPr>
      <xdr:spPr bwMode="auto">
        <a:xfrm>
          <a:off x="39300150" y="577405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44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E190000}"/>
            </a:ext>
          </a:extLst>
        </xdr:cNvPr>
        <xdr:cNvSpPr>
          <a:spLocks noChangeAspect="1" noChangeArrowheads="1"/>
        </xdr:cNvSpPr>
      </xdr:nvSpPr>
      <xdr:spPr bwMode="auto">
        <a:xfrm>
          <a:off x="39300150" y="58035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44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2F190000}"/>
            </a:ext>
          </a:extLst>
        </xdr:cNvPr>
        <xdr:cNvSpPr>
          <a:spLocks noChangeAspect="1" noChangeArrowheads="1"/>
        </xdr:cNvSpPr>
      </xdr:nvSpPr>
      <xdr:spPr bwMode="auto">
        <a:xfrm>
          <a:off x="39300150" y="580358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44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0190000}"/>
            </a:ext>
          </a:extLst>
        </xdr:cNvPr>
        <xdr:cNvSpPr>
          <a:spLocks noChangeAspect="1" noChangeArrowheads="1"/>
        </xdr:cNvSpPr>
      </xdr:nvSpPr>
      <xdr:spPr bwMode="auto">
        <a:xfrm>
          <a:off x="39300150" y="598074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44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1190000}"/>
            </a:ext>
          </a:extLst>
        </xdr:cNvPr>
        <xdr:cNvSpPr>
          <a:spLocks noChangeAspect="1" noChangeArrowheads="1"/>
        </xdr:cNvSpPr>
      </xdr:nvSpPr>
      <xdr:spPr bwMode="auto">
        <a:xfrm>
          <a:off x="39300150" y="598074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450"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2190000}"/>
            </a:ext>
          </a:extLst>
        </xdr:cNvPr>
        <xdr:cNvSpPr>
          <a:spLocks noChangeAspect="1" noChangeArrowheads="1"/>
        </xdr:cNvSpPr>
      </xdr:nvSpPr>
      <xdr:spPr bwMode="auto">
        <a:xfrm>
          <a:off x="39300150" y="60102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451"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3190000}"/>
            </a:ext>
          </a:extLst>
        </xdr:cNvPr>
        <xdr:cNvSpPr>
          <a:spLocks noChangeAspect="1" noChangeArrowheads="1"/>
        </xdr:cNvSpPr>
      </xdr:nvSpPr>
      <xdr:spPr bwMode="auto">
        <a:xfrm>
          <a:off x="39300150" y="60102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452"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4190000}"/>
            </a:ext>
          </a:extLst>
        </xdr:cNvPr>
        <xdr:cNvSpPr>
          <a:spLocks noChangeAspect="1" noChangeArrowheads="1"/>
        </xdr:cNvSpPr>
      </xdr:nvSpPr>
      <xdr:spPr bwMode="auto">
        <a:xfrm>
          <a:off x="39300150" y="598074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453"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5190000}"/>
            </a:ext>
          </a:extLst>
        </xdr:cNvPr>
        <xdr:cNvSpPr>
          <a:spLocks noChangeAspect="1" noChangeArrowheads="1"/>
        </xdr:cNvSpPr>
      </xdr:nvSpPr>
      <xdr:spPr bwMode="auto">
        <a:xfrm>
          <a:off x="39300150" y="598074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454"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6190000}"/>
            </a:ext>
          </a:extLst>
        </xdr:cNvPr>
        <xdr:cNvSpPr>
          <a:spLocks noChangeAspect="1" noChangeArrowheads="1"/>
        </xdr:cNvSpPr>
      </xdr:nvSpPr>
      <xdr:spPr bwMode="auto">
        <a:xfrm>
          <a:off x="39300150" y="60102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455"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7190000}"/>
            </a:ext>
          </a:extLst>
        </xdr:cNvPr>
        <xdr:cNvSpPr>
          <a:spLocks noChangeAspect="1" noChangeArrowheads="1"/>
        </xdr:cNvSpPr>
      </xdr:nvSpPr>
      <xdr:spPr bwMode="auto">
        <a:xfrm>
          <a:off x="39300150" y="60102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456"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8190000}"/>
            </a:ext>
          </a:extLst>
        </xdr:cNvPr>
        <xdr:cNvSpPr>
          <a:spLocks noChangeAspect="1" noChangeArrowheads="1"/>
        </xdr:cNvSpPr>
      </xdr:nvSpPr>
      <xdr:spPr bwMode="auto">
        <a:xfrm>
          <a:off x="39300150" y="6541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457"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9190000}"/>
            </a:ext>
          </a:extLst>
        </xdr:cNvPr>
        <xdr:cNvSpPr>
          <a:spLocks noChangeAspect="1" noChangeArrowheads="1"/>
        </xdr:cNvSpPr>
      </xdr:nvSpPr>
      <xdr:spPr bwMode="auto">
        <a:xfrm>
          <a:off x="39300150" y="6541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458"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A190000}"/>
            </a:ext>
          </a:extLst>
        </xdr:cNvPr>
        <xdr:cNvSpPr>
          <a:spLocks noChangeAspect="1" noChangeArrowheads="1"/>
        </xdr:cNvSpPr>
      </xdr:nvSpPr>
      <xdr:spPr bwMode="auto">
        <a:xfrm>
          <a:off x="39300150" y="6541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459"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B190000}"/>
            </a:ext>
          </a:extLst>
        </xdr:cNvPr>
        <xdr:cNvSpPr>
          <a:spLocks noChangeAspect="1" noChangeArrowheads="1"/>
        </xdr:cNvSpPr>
      </xdr:nvSpPr>
      <xdr:spPr bwMode="auto">
        <a:xfrm>
          <a:off x="39300150" y="654177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46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C190000}"/>
            </a:ext>
          </a:extLst>
        </xdr:cNvPr>
        <xdr:cNvSpPr>
          <a:spLocks noChangeAspect="1" noChangeArrowheads="1"/>
        </xdr:cNvSpPr>
      </xdr:nvSpPr>
      <xdr:spPr bwMode="auto">
        <a:xfrm>
          <a:off x="39300150" y="657129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46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D190000}"/>
            </a:ext>
          </a:extLst>
        </xdr:cNvPr>
        <xdr:cNvSpPr>
          <a:spLocks noChangeAspect="1" noChangeArrowheads="1"/>
        </xdr:cNvSpPr>
      </xdr:nvSpPr>
      <xdr:spPr bwMode="auto">
        <a:xfrm>
          <a:off x="39300150" y="87563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46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E190000}"/>
            </a:ext>
          </a:extLst>
        </xdr:cNvPr>
        <xdr:cNvSpPr>
          <a:spLocks noChangeAspect="1" noChangeArrowheads="1"/>
        </xdr:cNvSpPr>
      </xdr:nvSpPr>
      <xdr:spPr bwMode="auto">
        <a:xfrm>
          <a:off x="39300150" y="87563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46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3F190000}"/>
            </a:ext>
          </a:extLst>
        </xdr:cNvPr>
        <xdr:cNvSpPr>
          <a:spLocks noChangeAspect="1" noChangeArrowheads="1"/>
        </xdr:cNvSpPr>
      </xdr:nvSpPr>
      <xdr:spPr bwMode="auto">
        <a:xfrm>
          <a:off x="39300150" y="87858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46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0190000}"/>
            </a:ext>
          </a:extLst>
        </xdr:cNvPr>
        <xdr:cNvSpPr>
          <a:spLocks noChangeAspect="1" noChangeArrowheads="1"/>
        </xdr:cNvSpPr>
      </xdr:nvSpPr>
      <xdr:spPr bwMode="auto">
        <a:xfrm>
          <a:off x="39300150" y="87858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46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1190000}"/>
            </a:ext>
          </a:extLst>
        </xdr:cNvPr>
        <xdr:cNvSpPr>
          <a:spLocks noChangeAspect="1" noChangeArrowheads="1"/>
        </xdr:cNvSpPr>
      </xdr:nvSpPr>
      <xdr:spPr bwMode="auto">
        <a:xfrm>
          <a:off x="39300150" y="87563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46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2190000}"/>
            </a:ext>
          </a:extLst>
        </xdr:cNvPr>
        <xdr:cNvSpPr>
          <a:spLocks noChangeAspect="1" noChangeArrowheads="1"/>
        </xdr:cNvSpPr>
      </xdr:nvSpPr>
      <xdr:spPr bwMode="auto">
        <a:xfrm>
          <a:off x="39300150" y="87563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46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3190000}"/>
            </a:ext>
          </a:extLst>
        </xdr:cNvPr>
        <xdr:cNvSpPr>
          <a:spLocks noChangeAspect="1" noChangeArrowheads="1"/>
        </xdr:cNvSpPr>
      </xdr:nvSpPr>
      <xdr:spPr bwMode="auto">
        <a:xfrm>
          <a:off x="39300150" y="87858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46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4190000}"/>
            </a:ext>
          </a:extLst>
        </xdr:cNvPr>
        <xdr:cNvSpPr>
          <a:spLocks noChangeAspect="1" noChangeArrowheads="1"/>
        </xdr:cNvSpPr>
      </xdr:nvSpPr>
      <xdr:spPr bwMode="auto">
        <a:xfrm>
          <a:off x="39300150" y="878586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46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5190000}"/>
            </a:ext>
          </a:extLst>
        </xdr:cNvPr>
        <xdr:cNvSpPr>
          <a:spLocks noChangeAspect="1" noChangeArrowheads="1"/>
        </xdr:cNvSpPr>
      </xdr:nvSpPr>
      <xdr:spPr bwMode="auto">
        <a:xfrm>
          <a:off x="39300150" y="946499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47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6190000}"/>
            </a:ext>
          </a:extLst>
        </xdr:cNvPr>
        <xdr:cNvSpPr>
          <a:spLocks noChangeAspect="1" noChangeArrowheads="1"/>
        </xdr:cNvSpPr>
      </xdr:nvSpPr>
      <xdr:spPr bwMode="auto">
        <a:xfrm>
          <a:off x="39300150" y="946499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47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7190000}"/>
            </a:ext>
          </a:extLst>
        </xdr:cNvPr>
        <xdr:cNvSpPr>
          <a:spLocks noChangeAspect="1" noChangeArrowheads="1"/>
        </xdr:cNvSpPr>
      </xdr:nvSpPr>
      <xdr:spPr bwMode="auto">
        <a:xfrm>
          <a:off x="39300150" y="94945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47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8190000}"/>
            </a:ext>
          </a:extLst>
        </xdr:cNvPr>
        <xdr:cNvSpPr>
          <a:spLocks noChangeAspect="1" noChangeArrowheads="1"/>
        </xdr:cNvSpPr>
      </xdr:nvSpPr>
      <xdr:spPr bwMode="auto">
        <a:xfrm>
          <a:off x="39300150" y="94945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47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9190000}"/>
            </a:ext>
          </a:extLst>
        </xdr:cNvPr>
        <xdr:cNvSpPr>
          <a:spLocks noChangeAspect="1" noChangeArrowheads="1"/>
        </xdr:cNvSpPr>
      </xdr:nvSpPr>
      <xdr:spPr bwMode="auto">
        <a:xfrm>
          <a:off x="39300150" y="946499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47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A190000}"/>
            </a:ext>
          </a:extLst>
        </xdr:cNvPr>
        <xdr:cNvSpPr>
          <a:spLocks noChangeAspect="1" noChangeArrowheads="1"/>
        </xdr:cNvSpPr>
      </xdr:nvSpPr>
      <xdr:spPr bwMode="auto">
        <a:xfrm>
          <a:off x="39300150" y="946499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47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B190000}"/>
            </a:ext>
          </a:extLst>
        </xdr:cNvPr>
        <xdr:cNvSpPr>
          <a:spLocks noChangeAspect="1" noChangeArrowheads="1"/>
        </xdr:cNvSpPr>
      </xdr:nvSpPr>
      <xdr:spPr bwMode="auto">
        <a:xfrm>
          <a:off x="39300150" y="94945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47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C190000}"/>
            </a:ext>
          </a:extLst>
        </xdr:cNvPr>
        <xdr:cNvSpPr>
          <a:spLocks noChangeAspect="1" noChangeArrowheads="1"/>
        </xdr:cNvSpPr>
      </xdr:nvSpPr>
      <xdr:spPr bwMode="auto">
        <a:xfrm>
          <a:off x="39300150" y="94945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47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D190000}"/>
            </a:ext>
          </a:extLst>
        </xdr:cNvPr>
        <xdr:cNvSpPr>
          <a:spLocks noChangeAspect="1" noChangeArrowheads="1"/>
        </xdr:cNvSpPr>
      </xdr:nvSpPr>
      <xdr:spPr bwMode="auto">
        <a:xfrm>
          <a:off x="39300150" y="96126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47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E190000}"/>
            </a:ext>
          </a:extLst>
        </xdr:cNvPr>
        <xdr:cNvSpPr>
          <a:spLocks noChangeAspect="1" noChangeArrowheads="1"/>
        </xdr:cNvSpPr>
      </xdr:nvSpPr>
      <xdr:spPr bwMode="auto">
        <a:xfrm>
          <a:off x="39300150" y="96126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47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4F190000}"/>
            </a:ext>
          </a:extLst>
        </xdr:cNvPr>
        <xdr:cNvSpPr>
          <a:spLocks noChangeAspect="1" noChangeArrowheads="1"/>
        </xdr:cNvSpPr>
      </xdr:nvSpPr>
      <xdr:spPr bwMode="auto">
        <a:xfrm>
          <a:off x="39300150" y="96421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48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0190000}"/>
            </a:ext>
          </a:extLst>
        </xdr:cNvPr>
        <xdr:cNvSpPr>
          <a:spLocks noChangeAspect="1" noChangeArrowheads="1"/>
        </xdr:cNvSpPr>
      </xdr:nvSpPr>
      <xdr:spPr bwMode="auto">
        <a:xfrm>
          <a:off x="39300150" y="96421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48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1190000}"/>
            </a:ext>
          </a:extLst>
        </xdr:cNvPr>
        <xdr:cNvSpPr>
          <a:spLocks noChangeAspect="1" noChangeArrowheads="1"/>
        </xdr:cNvSpPr>
      </xdr:nvSpPr>
      <xdr:spPr bwMode="auto">
        <a:xfrm>
          <a:off x="39300150" y="96126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48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2190000}"/>
            </a:ext>
          </a:extLst>
        </xdr:cNvPr>
        <xdr:cNvSpPr>
          <a:spLocks noChangeAspect="1" noChangeArrowheads="1"/>
        </xdr:cNvSpPr>
      </xdr:nvSpPr>
      <xdr:spPr bwMode="auto">
        <a:xfrm>
          <a:off x="39300150" y="96126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48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3190000}"/>
            </a:ext>
          </a:extLst>
        </xdr:cNvPr>
        <xdr:cNvSpPr>
          <a:spLocks noChangeAspect="1" noChangeArrowheads="1"/>
        </xdr:cNvSpPr>
      </xdr:nvSpPr>
      <xdr:spPr bwMode="auto">
        <a:xfrm>
          <a:off x="39300150" y="96421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48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4190000}"/>
            </a:ext>
          </a:extLst>
        </xdr:cNvPr>
        <xdr:cNvSpPr>
          <a:spLocks noChangeAspect="1" noChangeArrowheads="1"/>
        </xdr:cNvSpPr>
      </xdr:nvSpPr>
      <xdr:spPr bwMode="auto">
        <a:xfrm>
          <a:off x="39300150" y="96421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48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5190000}"/>
            </a:ext>
          </a:extLst>
        </xdr:cNvPr>
        <xdr:cNvSpPr>
          <a:spLocks noChangeAspect="1" noChangeArrowheads="1"/>
        </xdr:cNvSpPr>
      </xdr:nvSpPr>
      <xdr:spPr bwMode="auto">
        <a:xfrm>
          <a:off x="39300150" y="107346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48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6190000}"/>
            </a:ext>
          </a:extLst>
        </xdr:cNvPr>
        <xdr:cNvSpPr>
          <a:spLocks noChangeAspect="1" noChangeArrowheads="1"/>
        </xdr:cNvSpPr>
      </xdr:nvSpPr>
      <xdr:spPr bwMode="auto">
        <a:xfrm>
          <a:off x="39300150" y="107346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48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7190000}"/>
            </a:ext>
          </a:extLst>
        </xdr:cNvPr>
        <xdr:cNvSpPr>
          <a:spLocks noChangeAspect="1" noChangeArrowheads="1"/>
        </xdr:cNvSpPr>
      </xdr:nvSpPr>
      <xdr:spPr bwMode="auto">
        <a:xfrm>
          <a:off x="39300150" y="107642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48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8190000}"/>
            </a:ext>
          </a:extLst>
        </xdr:cNvPr>
        <xdr:cNvSpPr>
          <a:spLocks noChangeAspect="1" noChangeArrowheads="1"/>
        </xdr:cNvSpPr>
      </xdr:nvSpPr>
      <xdr:spPr bwMode="auto">
        <a:xfrm>
          <a:off x="39300150" y="107642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48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9190000}"/>
            </a:ext>
          </a:extLst>
        </xdr:cNvPr>
        <xdr:cNvSpPr>
          <a:spLocks noChangeAspect="1" noChangeArrowheads="1"/>
        </xdr:cNvSpPr>
      </xdr:nvSpPr>
      <xdr:spPr bwMode="auto">
        <a:xfrm>
          <a:off x="39300150" y="107346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49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A190000}"/>
            </a:ext>
          </a:extLst>
        </xdr:cNvPr>
        <xdr:cNvSpPr>
          <a:spLocks noChangeAspect="1" noChangeArrowheads="1"/>
        </xdr:cNvSpPr>
      </xdr:nvSpPr>
      <xdr:spPr bwMode="auto">
        <a:xfrm>
          <a:off x="39300150" y="107346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49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B190000}"/>
            </a:ext>
          </a:extLst>
        </xdr:cNvPr>
        <xdr:cNvSpPr>
          <a:spLocks noChangeAspect="1" noChangeArrowheads="1"/>
        </xdr:cNvSpPr>
      </xdr:nvSpPr>
      <xdr:spPr bwMode="auto">
        <a:xfrm>
          <a:off x="39300150" y="107642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49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C190000}"/>
            </a:ext>
          </a:extLst>
        </xdr:cNvPr>
        <xdr:cNvSpPr>
          <a:spLocks noChangeAspect="1" noChangeArrowheads="1"/>
        </xdr:cNvSpPr>
      </xdr:nvSpPr>
      <xdr:spPr bwMode="auto">
        <a:xfrm>
          <a:off x="39300150" y="1076420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49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D190000}"/>
            </a:ext>
          </a:extLst>
        </xdr:cNvPr>
        <xdr:cNvSpPr>
          <a:spLocks noChangeAspect="1" noChangeArrowheads="1"/>
        </xdr:cNvSpPr>
      </xdr:nvSpPr>
      <xdr:spPr bwMode="auto">
        <a:xfrm>
          <a:off x="39300150" y="110004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49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E190000}"/>
            </a:ext>
          </a:extLst>
        </xdr:cNvPr>
        <xdr:cNvSpPr>
          <a:spLocks noChangeAspect="1" noChangeArrowheads="1"/>
        </xdr:cNvSpPr>
      </xdr:nvSpPr>
      <xdr:spPr bwMode="auto">
        <a:xfrm>
          <a:off x="39300150" y="110004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49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5F190000}"/>
            </a:ext>
          </a:extLst>
        </xdr:cNvPr>
        <xdr:cNvSpPr>
          <a:spLocks noChangeAspect="1" noChangeArrowheads="1"/>
        </xdr:cNvSpPr>
      </xdr:nvSpPr>
      <xdr:spPr bwMode="auto">
        <a:xfrm>
          <a:off x="39300150" y="11029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49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0190000}"/>
            </a:ext>
          </a:extLst>
        </xdr:cNvPr>
        <xdr:cNvSpPr>
          <a:spLocks noChangeAspect="1" noChangeArrowheads="1"/>
        </xdr:cNvSpPr>
      </xdr:nvSpPr>
      <xdr:spPr bwMode="auto">
        <a:xfrm>
          <a:off x="39300150" y="11029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49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1190000}"/>
            </a:ext>
          </a:extLst>
        </xdr:cNvPr>
        <xdr:cNvSpPr>
          <a:spLocks noChangeAspect="1" noChangeArrowheads="1"/>
        </xdr:cNvSpPr>
      </xdr:nvSpPr>
      <xdr:spPr bwMode="auto">
        <a:xfrm>
          <a:off x="39300150" y="110004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49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2190000}"/>
            </a:ext>
          </a:extLst>
        </xdr:cNvPr>
        <xdr:cNvSpPr>
          <a:spLocks noChangeAspect="1" noChangeArrowheads="1"/>
        </xdr:cNvSpPr>
      </xdr:nvSpPr>
      <xdr:spPr bwMode="auto">
        <a:xfrm>
          <a:off x="39300150" y="1100042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49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3190000}"/>
            </a:ext>
          </a:extLst>
        </xdr:cNvPr>
        <xdr:cNvSpPr>
          <a:spLocks noChangeAspect="1" noChangeArrowheads="1"/>
        </xdr:cNvSpPr>
      </xdr:nvSpPr>
      <xdr:spPr bwMode="auto">
        <a:xfrm>
          <a:off x="39300150" y="11029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50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4190000}"/>
            </a:ext>
          </a:extLst>
        </xdr:cNvPr>
        <xdr:cNvSpPr>
          <a:spLocks noChangeAspect="1" noChangeArrowheads="1"/>
        </xdr:cNvSpPr>
      </xdr:nvSpPr>
      <xdr:spPr bwMode="auto">
        <a:xfrm>
          <a:off x="39300150" y="11029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50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5190000}"/>
            </a:ext>
          </a:extLst>
        </xdr:cNvPr>
        <xdr:cNvSpPr>
          <a:spLocks noChangeAspect="1" noChangeArrowheads="1"/>
        </xdr:cNvSpPr>
      </xdr:nvSpPr>
      <xdr:spPr bwMode="auto">
        <a:xfrm>
          <a:off x="39300150" y="1188624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50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6190000}"/>
            </a:ext>
          </a:extLst>
        </xdr:cNvPr>
        <xdr:cNvSpPr>
          <a:spLocks noChangeAspect="1" noChangeArrowheads="1"/>
        </xdr:cNvSpPr>
      </xdr:nvSpPr>
      <xdr:spPr bwMode="auto">
        <a:xfrm>
          <a:off x="39300150" y="1188624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50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7190000}"/>
            </a:ext>
          </a:extLst>
        </xdr:cNvPr>
        <xdr:cNvSpPr>
          <a:spLocks noChangeAspect="1" noChangeArrowheads="1"/>
        </xdr:cNvSpPr>
      </xdr:nvSpPr>
      <xdr:spPr bwMode="auto">
        <a:xfrm>
          <a:off x="39300150" y="119157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50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8190000}"/>
            </a:ext>
          </a:extLst>
        </xdr:cNvPr>
        <xdr:cNvSpPr>
          <a:spLocks noChangeAspect="1" noChangeArrowheads="1"/>
        </xdr:cNvSpPr>
      </xdr:nvSpPr>
      <xdr:spPr bwMode="auto">
        <a:xfrm>
          <a:off x="39300150" y="119157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50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9190000}"/>
            </a:ext>
          </a:extLst>
        </xdr:cNvPr>
        <xdr:cNvSpPr>
          <a:spLocks noChangeAspect="1" noChangeArrowheads="1"/>
        </xdr:cNvSpPr>
      </xdr:nvSpPr>
      <xdr:spPr bwMode="auto">
        <a:xfrm>
          <a:off x="39300150" y="1188624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50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A190000}"/>
            </a:ext>
          </a:extLst>
        </xdr:cNvPr>
        <xdr:cNvSpPr>
          <a:spLocks noChangeAspect="1" noChangeArrowheads="1"/>
        </xdr:cNvSpPr>
      </xdr:nvSpPr>
      <xdr:spPr bwMode="auto">
        <a:xfrm>
          <a:off x="39300150" y="1188624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50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B190000}"/>
            </a:ext>
          </a:extLst>
        </xdr:cNvPr>
        <xdr:cNvSpPr>
          <a:spLocks noChangeAspect="1" noChangeArrowheads="1"/>
        </xdr:cNvSpPr>
      </xdr:nvSpPr>
      <xdr:spPr bwMode="auto">
        <a:xfrm>
          <a:off x="39300150" y="119157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50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C190000}"/>
            </a:ext>
          </a:extLst>
        </xdr:cNvPr>
        <xdr:cNvSpPr>
          <a:spLocks noChangeAspect="1" noChangeArrowheads="1"/>
        </xdr:cNvSpPr>
      </xdr:nvSpPr>
      <xdr:spPr bwMode="auto">
        <a:xfrm>
          <a:off x="39300150" y="1191577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50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D190000}"/>
            </a:ext>
          </a:extLst>
        </xdr:cNvPr>
        <xdr:cNvSpPr>
          <a:spLocks noChangeAspect="1" noChangeArrowheads="1"/>
        </xdr:cNvSpPr>
      </xdr:nvSpPr>
      <xdr:spPr bwMode="auto">
        <a:xfrm>
          <a:off x="39300150" y="120338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51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E190000}"/>
            </a:ext>
          </a:extLst>
        </xdr:cNvPr>
        <xdr:cNvSpPr>
          <a:spLocks noChangeAspect="1" noChangeArrowheads="1"/>
        </xdr:cNvSpPr>
      </xdr:nvSpPr>
      <xdr:spPr bwMode="auto">
        <a:xfrm>
          <a:off x="39300150" y="120338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51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6F190000}"/>
            </a:ext>
          </a:extLst>
        </xdr:cNvPr>
        <xdr:cNvSpPr>
          <a:spLocks noChangeAspect="1" noChangeArrowheads="1"/>
        </xdr:cNvSpPr>
      </xdr:nvSpPr>
      <xdr:spPr bwMode="auto">
        <a:xfrm>
          <a:off x="39300150" y="1206341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51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0190000}"/>
            </a:ext>
          </a:extLst>
        </xdr:cNvPr>
        <xdr:cNvSpPr>
          <a:spLocks noChangeAspect="1" noChangeArrowheads="1"/>
        </xdr:cNvSpPr>
      </xdr:nvSpPr>
      <xdr:spPr bwMode="auto">
        <a:xfrm>
          <a:off x="39300150" y="1206341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51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1190000}"/>
            </a:ext>
          </a:extLst>
        </xdr:cNvPr>
        <xdr:cNvSpPr>
          <a:spLocks noChangeAspect="1" noChangeArrowheads="1"/>
        </xdr:cNvSpPr>
      </xdr:nvSpPr>
      <xdr:spPr bwMode="auto">
        <a:xfrm>
          <a:off x="39300150" y="120338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51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2190000}"/>
            </a:ext>
          </a:extLst>
        </xdr:cNvPr>
        <xdr:cNvSpPr>
          <a:spLocks noChangeAspect="1" noChangeArrowheads="1"/>
        </xdr:cNvSpPr>
      </xdr:nvSpPr>
      <xdr:spPr bwMode="auto">
        <a:xfrm>
          <a:off x="39300150" y="1203388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51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3190000}"/>
            </a:ext>
          </a:extLst>
        </xdr:cNvPr>
        <xdr:cNvSpPr>
          <a:spLocks noChangeAspect="1" noChangeArrowheads="1"/>
        </xdr:cNvSpPr>
      </xdr:nvSpPr>
      <xdr:spPr bwMode="auto">
        <a:xfrm>
          <a:off x="39300150" y="1206341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51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4190000}"/>
            </a:ext>
          </a:extLst>
        </xdr:cNvPr>
        <xdr:cNvSpPr>
          <a:spLocks noChangeAspect="1" noChangeArrowheads="1"/>
        </xdr:cNvSpPr>
      </xdr:nvSpPr>
      <xdr:spPr bwMode="auto">
        <a:xfrm>
          <a:off x="39300150" y="1206341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51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5190000}"/>
            </a:ext>
          </a:extLst>
        </xdr:cNvPr>
        <xdr:cNvSpPr>
          <a:spLocks noChangeAspect="1" noChangeArrowheads="1"/>
        </xdr:cNvSpPr>
      </xdr:nvSpPr>
      <xdr:spPr bwMode="auto">
        <a:xfrm>
          <a:off x="39300150" y="125653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51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6190000}"/>
            </a:ext>
          </a:extLst>
        </xdr:cNvPr>
        <xdr:cNvSpPr>
          <a:spLocks noChangeAspect="1" noChangeArrowheads="1"/>
        </xdr:cNvSpPr>
      </xdr:nvSpPr>
      <xdr:spPr bwMode="auto">
        <a:xfrm>
          <a:off x="39300150" y="125653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51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7190000}"/>
            </a:ext>
          </a:extLst>
        </xdr:cNvPr>
        <xdr:cNvSpPr>
          <a:spLocks noChangeAspect="1" noChangeArrowheads="1"/>
        </xdr:cNvSpPr>
      </xdr:nvSpPr>
      <xdr:spPr bwMode="auto">
        <a:xfrm>
          <a:off x="39300150" y="125949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52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8190000}"/>
            </a:ext>
          </a:extLst>
        </xdr:cNvPr>
        <xdr:cNvSpPr>
          <a:spLocks noChangeAspect="1" noChangeArrowheads="1"/>
        </xdr:cNvSpPr>
      </xdr:nvSpPr>
      <xdr:spPr bwMode="auto">
        <a:xfrm>
          <a:off x="39300150" y="125949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52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9190000}"/>
            </a:ext>
          </a:extLst>
        </xdr:cNvPr>
        <xdr:cNvSpPr>
          <a:spLocks noChangeAspect="1" noChangeArrowheads="1"/>
        </xdr:cNvSpPr>
      </xdr:nvSpPr>
      <xdr:spPr bwMode="auto">
        <a:xfrm>
          <a:off x="39300150" y="125653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52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A190000}"/>
            </a:ext>
          </a:extLst>
        </xdr:cNvPr>
        <xdr:cNvSpPr>
          <a:spLocks noChangeAspect="1" noChangeArrowheads="1"/>
        </xdr:cNvSpPr>
      </xdr:nvSpPr>
      <xdr:spPr bwMode="auto">
        <a:xfrm>
          <a:off x="39300150" y="125653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52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B190000}"/>
            </a:ext>
          </a:extLst>
        </xdr:cNvPr>
        <xdr:cNvSpPr>
          <a:spLocks noChangeAspect="1" noChangeArrowheads="1"/>
        </xdr:cNvSpPr>
      </xdr:nvSpPr>
      <xdr:spPr bwMode="auto">
        <a:xfrm>
          <a:off x="39300150" y="125949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52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C190000}"/>
            </a:ext>
          </a:extLst>
        </xdr:cNvPr>
        <xdr:cNvSpPr>
          <a:spLocks noChangeAspect="1" noChangeArrowheads="1"/>
        </xdr:cNvSpPr>
      </xdr:nvSpPr>
      <xdr:spPr bwMode="auto">
        <a:xfrm>
          <a:off x="39300150" y="1259490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52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D190000}"/>
            </a:ext>
          </a:extLst>
        </xdr:cNvPr>
        <xdr:cNvSpPr>
          <a:spLocks noChangeAspect="1" noChangeArrowheads="1"/>
        </xdr:cNvSpPr>
      </xdr:nvSpPr>
      <xdr:spPr bwMode="auto">
        <a:xfrm>
          <a:off x="39300150" y="126539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52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E190000}"/>
            </a:ext>
          </a:extLst>
        </xdr:cNvPr>
        <xdr:cNvSpPr>
          <a:spLocks noChangeAspect="1" noChangeArrowheads="1"/>
        </xdr:cNvSpPr>
      </xdr:nvSpPr>
      <xdr:spPr bwMode="auto">
        <a:xfrm>
          <a:off x="39300150" y="126539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52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7F190000}"/>
            </a:ext>
          </a:extLst>
        </xdr:cNvPr>
        <xdr:cNvSpPr>
          <a:spLocks noChangeAspect="1" noChangeArrowheads="1"/>
        </xdr:cNvSpPr>
      </xdr:nvSpPr>
      <xdr:spPr bwMode="auto">
        <a:xfrm>
          <a:off x="39300150" y="126834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52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0190000}"/>
            </a:ext>
          </a:extLst>
        </xdr:cNvPr>
        <xdr:cNvSpPr>
          <a:spLocks noChangeAspect="1" noChangeArrowheads="1"/>
        </xdr:cNvSpPr>
      </xdr:nvSpPr>
      <xdr:spPr bwMode="auto">
        <a:xfrm>
          <a:off x="39300150" y="126834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52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1190000}"/>
            </a:ext>
          </a:extLst>
        </xdr:cNvPr>
        <xdr:cNvSpPr>
          <a:spLocks noChangeAspect="1" noChangeArrowheads="1"/>
        </xdr:cNvSpPr>
      </xdr:nvSpPr>
      <xdr:spPr bwMode="auto">
        <a:xfrm>
          <a:off x="39300150" y="126539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53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2190000}"/>
            </a:ext>
          </a:extLst>
        </xdr:cNvPr>
        <xdr:cNvSpPr>
          <a:spLocks noChangeAspect="1" noChangeArrowheads="1"/>
        </xdr:cNvSpPr>
      </xdr:nvSpPr>
      <xdr:spPr bwMode="auto">
        <a:xfrm>
          <a:off x="39300150" y="1265396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53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3190000}"/>
            </a:ext>
          </a:extLst>
        </xdr:cNvPr>
        <xdr:cNvSpPr>
          <a:spLocks noChangeAspect="1" noChangeArrowheads="1"/>
        </xdr:cNvSpPr>
      </xdr:nvSpPr>
      <xdr:spPr bwMode="auto">
        <a:xfrm>
          <a:off x="39300150" y="126834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53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4190000}"/>
            </a:ext>
          </a:extLst>
        </xdr:cNvPr>
        <xdr:cNvSpPr>
          <a:spLocks noChangeAspect="1" noChangeArrowheads="1"/>
        </xdr:cNvSpPr>
      </xdr:nvSpPr>
      <xdr:spPr bwMode="auto">
        <a:xfrm>
          <a:off x="39300150" y="126834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53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5190000}"/>
            </a:ext>
          </a:extLst>
        </xdr:cNvPr>
        <xdr:cNvSpPr>
          <a:spLocks noChangeAspect="1" noChangeArrowheads="1"/>
        </xdr:cNvSpPr>
      </xdr:nvSpPr>
      <xdr:spPr bwMode="auto">
        <a:xfrm>
          <a:off x="39300150" y="168173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53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6190000}"/>
            </a:ext>
          </a:extLst>
        </xdr:cNvPr>
        <xdr:cNvSpPr>
          <a:spLocks noChangeAspect="1" noChangeArrowheads="1"/>
        </xdr:cNvSpPr>
      </xdr:nvSpPr>
      <xdr:spPr bwMode="auto">
        <a:xfrm>
          <a:off x="39300150" y="168173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53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7190000}"/>
            </a:ext>
          </a:extLst>
        </xdr:cNvPr>
        <xdr:cNvSpPr>
          <a:spLocks noChangeAspect="1" noChangeArrowheads="1"/>
        </xdr:cNvSpPr>
      </xdr:nvSpPr>
      <xdr:spPr bwMode="auto">
        <a:xfrm>
          <a:off x="39300150" y="1684686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53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8190000}"/>
            </a:ext>
          </a:extLst>
        </xdr:cNvPr>
        <xdr:cNvSpPr>
          <a:spLocks noChangeAspect="1" noChangeArrowheads="1"/>
        </xdr:cNvSpPr>
      </xdr:nvSpPr>
      <xdr:spPr bwMode="auto">
        <a:xfrm>
          <a:off x="39300150" y="1684686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53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9190000}"/>
            </a:ext>
          </a:extLst>
        </xdr:cNvPr>
        <xdr:cNvSpPr>
          <a:spLocks noChangeAspect="1" noChangeArrowheads="1"/>
        </xdr:cNvSpPr>
      </xdr:nvSpPr>
      <xdr:spPr bwMode="auto">
        <a:xfrm>
          <a:off x="39300150" y="168173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53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A190000}"/>
            </a:ext>
          </a:extLst>
        </xdr:cNvPr>
        <xdr:cNvSpPr>
          <a:spLocks noChangeAspect="1" noChangeArrowheads="1"/>
        </xdr:cNvSpPr>
      </xdr:nvSpPr>
      <xdr:spPr bwMode="auto">
        <a:xfrm>
          <a:off x="39300150" y="168173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53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B190000}"/>
            </a:ext>
          </a:extLst>
        </xdr:cNvPr>
        <xdr:cNvSpPr>
          <a:spLocks noChangeAspect="1" noChangeArrowheads="1"/>
        </xdr:cNvSpPr>
      </xdr:nvSpPr>
      <xdr:spPr bwMode="auto">
        <a:xfrm>
          <a:off x="39300150" y="1684686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54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C190000}"/>
            </a:ext>
          </a:extLst>
        </xdr:cNvPr>
        <xdr:cNvSpPr>
          <a:spLocks noChangeAspect="1" noChangeArrowheads="1"/>
        </xdr:cNvSpPr>
      </xdr:nvSpPr>
      <xdr:spPr bwMode="auto">
        <a:xfrm>
          <a:off x="39300150" y="1684686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54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D190000}"/>
            </a:ext>
          </a:extLst>
        </xdr:cNvPr>
        <xdr:cNvSpPr>
          <a:spLocks noChangeAspect="1" noChangeArrowheads="1"/>
        </xdr:cNvSpPr>
      </xdr:nvSpPr>
      <xdr:spPr bwMode="auto">
        <a:xfrm>
          <a:off x="39300150" y="169945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54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E190000}"/>
            </a:ext>
          </a:extLst>
        </xdr:cNvPr>
        <xdr:cNvSpPr>
          <a:spLocks noChangeAspect="1" noChangeArrowheads="1"/>
        </xdr:cNvSpPr>
      </xdr:nvSpPr>
      <xdr:spPr bwMode="auto">
        <a:xfrm>
          <a:off x="39300150" y="169945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54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8F190000}"/>
            </a:ext>
          </a:extLst>
        </xdr:cNvPr>
        <xdr:cNvSpPr>
          <a:spLocks noChangeAspect="1" noChangeArrowheads="1"/>
        </xdr:cNvSpPr>
      </xdr:nvSpPr>
      <xdr:spPr bwMode="auto">
        <a:xfrm>
          <a:off x="39300150" y="170240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54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0190000}"/>
            </a:ext>
          </a:extLst>
        </xdr:cNvPr>
        <xdr:cNvSpPr>
          <a:spLocks noChangeAspect="1" noChangeArrowheads="1"/>
        </xdr:cNvSpPr>
      </xdr:nvSpPr>
      <xdr:spPr bwMode="auto">
        <a:xfrm>
          <a:off x="39300150" y="170240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54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1190000}"/>
            </a:ext>
          </a:extLst>
        </xdr:cNvPr>
        <xdr:cNvSpPr>
          <a:spLocks noChangeAspect="1" noChangeArrowheads="1"/>
        </xdr:cNvSpPr>
      </xdr:nvSpPr>
      <xdr:spPr bwMode="auto">
        <a:xfrm>
          <a:off x="39300150" y="169945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54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2190000}"/>
            </a:ext>
          </a:extLst>
        </xdr:cNvPr>
        <xdr:cNvSpPr>
          <a:spLocks noChangeAspect="1" noChangeArrowheads="1"/>
        </xdr:cNvSpPr>
      </xdr:nvSpPr>
      <xdr:spPr bwMode="auto">
        <a:xfrm>
          <a:off x="39300150" y="169945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54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3190000}"/>
            </a:ext>
          </a:extLst>
        </xdr:cNvPr>
        <xdr:cNvSpPr>
          <a:spLocks noChangeAspect="1" noChangeArrowheads="1"/>
        </xdr:cNvSpPr>
      </xdr:nvSpPr>
      <xdr:spPr bwMode="auto">
        <a:xfrm>
          <a:off x="39300150" y="170240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54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4190000}"/>
            </a:ext>
          </a:extLst>
        </xdr:cNvPr>
        <xdr:cNvSpPr>
          <a:spLocks noChangeAspect="1" noChangeArrowheads="1"/>
        </xdr:cNvSpPr>
      </xdr:nvSpPr>
      <xdr:spPr bwMode="auto">
        <a:xfrm>
          <a:off x="39300150" y="170240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54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5190000}"/>
            </a:ext>
          </a:extLst>
        </xdr:cNvPr>
        <xdr:cNvSpPr>
          <a:spLocks noChangeAspect="1" noChangeArrowheads="1"/>
        </xdr:cNvSpPr>
      </xdr:nvSpPr>
      <xdr:spPr bwMode="auto">
        <a:xfrm>
          <a:off x="39300150" y="174078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55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6190000}"/>
            </a:ext>
          </a:extLst>
        </xdr:cNvPr>
        <xdr:cNvSpPr>
          <a:spLocks noChangeAspect="1" noChangeArrowheads="1"/>
        </xdr:cNvSpPr>
      </xdr:nvSpPr>
      <xdr:spPr bwMode="auto">
        <a:xfrm>
          <a:off x="39300150" y="174078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55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7190000}"/>
            </a:ext>
          </a:extLst>
        </xdr:cNvPr>
        <xdr:cNvSpPr>
          <a:spLocks noChangeAspect="1" noChangeArrowheads="1"/>
        </xdr:cNvSpPr>
      </xdr:nvSpPr>
      <xdr:spPr bwMode="auto">
        <a:xfrm>
          <a:off x="39300150" y="1743741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55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8190000}"/>
            </a:ext>
          </a:extLst>
        </xdr:cNvPr>
        <xdr:cNvSpPr>
          <a:spLocks noChangeAspect="1" noChangeArrowheads="1"/>
        </xdr:cNvSpPr>
      </xdr:nvSpPr>
      <xdr:spPr bwMode="auto">
        <a:xfrm>
          <a:off x="39300150" y="1743741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55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9190000}"/>
            </a:ext>
          </a:extLst>
        </xdr:cNvPr>
        <xdr:cNvSpPr>
          <a:spLocks noChangeAspect="1" noChangeArrowheads="1"/>
        </xdr:cNvSpPr>
      </xdr:nvSpPr>
      <xdr:spPr bwMode="auto">
        <a:xfrm>
          <a:off x="39300150" y="174078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55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A190000}"/>
            </a:ext>
          </a:extLst>
        </xdr:cNvPr>
        <xdr:cNvSpPr>
          <a:spLocks noChangeAspect="1" noChangeArrowheads="1"/>
        </xdr:cNvSpPr>
      </xdr:nvSpPr>
      <xdr:spPr bwMode="auto">
        <a:xfrm>
          <a:off x="39300150" y="174078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55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B190000}"/>
            </a:ext>
          </a:extLst>
        </xdr:cNvPr>
        <xdr:cNvSpPr>
          <a:spLocks noChangeAspect="1" noChangeArrowheads="1"/>
        </xdr:cNvSpPr>
      </xdr:nvSpPr>
      <xdr:spPr bwMode="auto">
        <a:xfrm>
          <a:off x="39300150" y="1743741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55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C190000}"/>
            </a:ext>
          </a:extLst>
        </xdr:cNvPr>
        <xdr:cNvSpPr>
          <a:spLocks noChangeAspect="1" noChangeArrowheads="1"/>
        </xdr:cNvSpPr>
      </xdr:nvSpPr>
      <xdr:spPr bwMode="auto">
        <a:xfrm>
          <a:off x="39300150" y="1743741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55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D190000}"/>
            </a:ext>
          </a:extLst>
        </xdr:cNvPr>
        <xdr:cNvSpPr>
          <a:spLocks noChangeAspect="1" noChangeArrowheads="1"/>
        </xdr:cNvSpPr>
      </xdr:nvSpPr>
      <xdr:spPr bwMode="auto">
        <a:xfrm>
          <a:off x="39300150" y="17526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55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E190000}"/>
            </a:ext>
          </a:extLst>
        </xdr:cNvPr>
        <xdr:cNvSpPr>
          <a:spLocks noChangeAspect="1" noChangeArrowheads="1"/>
        </xdr:cNvSpPr>
      </xdr:nvSpPr>
      <xdr:spPr bwMode="auto">
        <a:xfrm>
          <a:off x="39300150" y="17526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55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9F190000}"/>
            </a:ext>
          </a:extLst>
        </xdr:cNvPr>
        <xdr:cNvSpPr>
          <a:spLocks noChangeAspect="1" noChangeArrowheads="1"/>
        </xdr:cNvSpPr>
      </xdr:nvSpPr>
      <xdr:spPr bwMode="auto">
        <a:xfrm>
          <a:off x="39300150" y="1755552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56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0190000}"/>
            </a:ext>
          </a:extLst>
        </xdr:cNvPr>
        <xdr:cNvSpPr>
          <a:spLocks noChangeAspect="1" noChangeArrowheads="1"/>
        </xdr:cNvSpPr>
      </xdr:nvSpPr>
      <xdr:spPr bwMode="auto">
        <a:xfrm>
          <a:off x="39300150" y="1755552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56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1190000}"/>
            </a:ext>
          </a:extLst>
        </xdr:cNvPr>
        <xdr:cNvSpPr>
          <a:spLocks noChangeAspect="1" noChangeArrowheads="1"/>
        </xdr:cNvSpPr>
      </xdr:nvSpPr>
      <xdr:spPr bwMode="auto">
        <a:xfrm>
          <a:off x="39300150" y="17526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56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2190000}"/>
            </a:ext>
          </a:extLst>
        </xdr:cNvPr>
        <xdr:cNvSpPr>
          <a:spLocks noChangeAspect="1" noChangeArrowheads="1"/>
        </xdr:cNvSpPr>
      </xdr:nvSpPr>
      <xdr:spPr bwMode="auto">
        <a:xfrm>
          <a:off x="39300150" y="17526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56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3190000}"/>
            </a:ext>
          </a:extLst>
        </xdr:cNvPr>
        <xdr:cNvSpPr>
          <a:spLocks noChangeAspect="1" noChangeArrowheads="1"/>
        </xdr:cNvSpPr>
      </xdr:nvSpPr>
      <xdr:spPr bwMode="auto">
        <a:xfrm>
          <a:off x="39300150" y="1755552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56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4190000}"/>
            </a:ext>
          </a:extLst>
        </xdr:cNvPr>
        <xdr:cNvSpPr>
          <a:spLocks noChangeAspect="1" noChangeArrowheads="1"/>
        </xdr:cNvSpPr>
      </xdr:nvSpPr>
      <xdr:spPr bwMode="auto">
        <a:xfrm>
          <a:off x="39300150" y="1755552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56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5190000}"/>
            </a:ext>
          </a:extLst>
        </xdr:cNvPr>
        <xdr:cNvSpPr>
          <a:spLocks noChangeAspect="1" noChangeArrowheads="1"/>
        </xdr:cNvSpPr>
      </xdr:nvSpPr>
      <xdr:spPr bwMode="auto">
        <a:xfrm>
          <a:off x="39300150" y="195929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56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6190000}"/>
            </a:ext>
          </a:extLst>
        </xdr:cNvPr>
        <xdr:cNvSpPr>
          <a:spLocks noChangeAspect="1" noChangeArrowheads="1"/>
        </xdr:cNvSpPr>
      </xdr:nvSpPr>
      <xdr:spPr bwMode="auto">
        <a:xfrm>
          <a:off x="39300150" y="195929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56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7190000}"/>
            </a:ext>
          </a:extLst>
        </xdr:cNvPr>
        <xdr:cNvSpPr>
          <a:spLocks noChangeAspect="1" noChangeArrowheads="1"/>
        </xdr:cNvSpPr>
      </xdr:nvSpPr>
      <xdr:spPr bwMode="auto">
        <a:xfrm>
          <a:off x="39300150" y="196224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56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8190000}"/>
            </a:ext>
          </a:extLst>
        </xdr:cNvPr>
        <xdr:cNvSpPr>
          <a:spLocks noChangeAspect="1" noChangeArrowheads="1"/>
        </xdr:cNvSpPr>
      </xdr:nvSpPr>
      <xdr:spPr bwMode="auto">
        <a:xfrm>
          <a:off x="39300150" y="196224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56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9190000}"/>
            </a:ext>
          </a:extLst>
        </xdr:cNvPr>
        <xdr:cNvSpPr>
          <a:spLocks noChangeAspect="1" noChangeArrowheads="1"/>
        </xdr:cNvSpPr>
      </xdr:nvSpPr>
      <xdr:spPr bwMode="auto">
        <a:xfrm>
          <a:off x="39300150" y="195929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57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A190000}"/>
            </a:ext>
          </a:extLst>
        </xdr:cNvPr>
        <xdr:cNvSpPr>
          <a:spLocks noChangeAspect="1" noChangeArrowheads="1"/>
        </xdr:cNvSpPr>
      </xdr:nvSpPr>
      <xdr:spPr bwMode="auto">
        <a:xfrm>
          <a:off x="39300150" y="1959292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57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B190000}"/>
            </a:ext>
          </a:extLst>
        </xdr:cNvPr>
        <xdr:cNvSpPr>
          <a:spLocks noChangeAspect="1" noChangeArrowheads="1"/>
        </xdr:cNvSpPr>
      </xdr:nvSpPr>
      <xdr:spPr bwMode="auto">
        <a:xfrm>
          <a:off x="39300150" y="196224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57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C190000}"/>
            </a:ext>
          </a:extLst>
        </xdr:cNvPr>
        <xdr:cNvSpPr>
          <a:spLocks noChangeAspect="1" noChangeArrowheads="1"/>
        </xdr:cNvSpPr>
      </xdr:nvSpPr>
      <xdr:spPr bwMode="auto">
        <a:xfrm>
          <a:off x="39300150" y="1962245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57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D190000}"/>
            </a:ext>
          </a:extLst>
        </xdr:cNvPr>
        <xdr:cNvSpPr>
          <a:spLocks noChangeAspect="1" noChangeArrowheads="1"/>
        </xdr:cNvSpPr>
      </xdr:nvSpPr>
      <xdr:spPr bwMode="auto">
        <a:xfrm>
          <a:off x="39300150" y="217189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57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E190000}"/>
            </a:ext>
          </a:extLst>
        </xdr:cNvPr>
        <xdr:cNvSpPr>
          <a:spLocks noChangeAspect="1" noChangeArrowheads="1"/>
        </xdr:cNvSpPr>
      </xdr:nvSpPr>
      <xdr:spPr bwMode="auto">
        <a:xfrm>
          <a:off x="39300150" y="217189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57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AF190000}"/>
            </a:ext>
          </a:extLst>
        </xdr:cNvPr>
        <xdr:cNvSpPr>
          <a:spLocks noChangeAspect="1" noChangeArrowheads="1"/>
        </xdr:cNvSpPr>
      </xdr:nvSpPr>
      <xdr:spPr bwMode="auto">
        <a:xfrm>
          <a:off x="39300150" y="217484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57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0190000}"/>
            </a:ext>
          </a:extLst>
        </xdr:cNvPr>
        <xdr:cNvSpPr>
          <a:spLocks noChangeAspect="1" noChangeArrowheads="1"/>
        </xdr:cNvSpPr>
      </xdr:nvSpPr>
      <xdr:spPr bwMode="auto">
        <a:xfrm>
          <a:off x="39300150" y="217484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57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1190000}"/>
            </a:ext>
          </a:extLst>
        </xdr:cNvPr>
        <xdr:cNvSpPr>
          <a:spLocks noChangeAspect="1" noChangeArrowheads="1"/>
        </xdr:cNvSpPr>
      </xdr:nvSpPr>
      <xdr:spPr bwMode="auto">
        <a:xfrm>
          <a:off x="39300150" y="217189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57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2190000}"/>
            </a:ext>
          </a:extLst>
        </xdr:cNvPr>
        <xdr:cNvSpPr>
          <a:spLocks noChangeAspect="1" noChangeArrowheads="1"/>
        </xdr:cNvSpPr>
      </xdr:nvSpPr>
      <xdr:spPr bwMode="auto">
        <a:xfrm>
          <a:off x="39300150" y="217189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57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3190000}"/>
            </a:ext>
          </a:extLst>
        </xdr:cNvPr>
        <xdr:cNvSpPr>
          <a:spLocks noChangeAspect="1" noChangeArrowheads="1"/>
        </xdr:cNvSpPr>
      </xdr:nvSpPr>
      <xdr:spPr bwMode="auto">
        <a:xfrm>
          <a:off x="39300150" y="217484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58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0000000-0008-0000-0000-0000B4190000}"/>
            </a:ext>
          </a:extLst>
        </xdr:cNvPr>
        <xdr:cNvSpPr>
          <a:spLocks noChangeAspect="1" noChangeArrowheads="1"/>
        </xdr:cNvSpPr>
      </xdr:nvSpPr>
      <xdr:spPr bwMode="auto">
        <a:xfrm>
          <a:off x="39300150" y="2174843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71</xdr:row>
      <xdr:rowOff>0</xdr:rowOff>
    </xdr:from>
    <xdr:ext cx="304800" cy="304800"/>
    <xdr:sp macro="" textlink="">
      <xdr:nvSpPr>
        <xdr:cNvPr id="658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8A1E3978-FBAD-4B97-9F31-E2A73EB881E4}"/>
            </a:ext>
          </a:extLst>
        </xdr:cNvPr>
        <xdr:cNvSpPr>
          <a:spLocks noChangeAspect="1" noChangeArrowheads="1"/>
        </xdr:cNvSpPr>
      </xdr:nvSpPr>
      <xdr:spPr bwMode="auto">
        <a:xfrm>
          <a:off x="39324643" y="1872342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71</xdr:row>
      <xdr:rowOff>0</xdr:rowOff>
    </xdr:from>
    <xdr:ext cx="304800" cy="304800"/>
    <xdr:sp macro="" textlink="">
      <xdr:nvSpPr>
        <xdr:cNvPr id="658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BDDF81C9-4397-428A-BCB3-E0DD1FE4E781}"/>
            </a:ext>
          </a:extLst>
        </xdr:cNvPr>
        <xdr:cNvSpPr>
          <a:spLocks noChangeAspect="1" noChangeArrowheads="1"/>
        </xdr:cNvSpPr>
      </xdr:nvSpPr>
      <xdr:spPr bwMode="auto">
        <a:xfrm>
          <a:off x="39324643" y="1872342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72</xdr:row>
      <xdr:rowOff>0</xdr:rowOff>
    </xdr:from>
    <xdr:ext cx="304800" cy="304800"/>
    <xdr:sp macro="" textlink="">
      <xdr:nvSpPr>
        <xdr:cNvPr id="658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31F78AE7-6FC9-48AB-95E7-403ACB66C403}"/>
            </a:ext>
          </a:extLst>
        </xdr:cNvPr>
        <xdr:cNvSpPr>
          <a:spLocks noChangeAspect="1" noChangeArrowheads="1"/>
        </xdr:cNvSpPr>
      </xdr:nvSpPr>
      <xdr:spPr bwMode="auto">
        <a:xfrm>
          <a:off x="39324643" y="19022786"/>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72</xdr:row>
      <xdr:rowOff>0</xdr:rowOff>
    </xdr:from>
    <xdr:ext cx="304800" cy="304800"/>
    <xdr:sp macro="" textlink="">
      <xdr:nvSpPr>
        <xdr:cNvPr id="658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2E000274-DB83-4AC4-82DE-8810569692F0}"/>
            </a:ext>
          </a:extLst>
        </xdr:cNvPr>
        <xdr:cNvSpPr>
          <a:spLocks noChangeAspect="1" noChangeArrowheads="1"/>
        </xdr:cNvSpPr>
      </xdr:nvSpPr>
      <xdr:spPr bwMode="auto">
        <a:xfrm>
          <a:off x="39324643" y="19022786"/>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73</xdr:row>
      <xdr:rowOff>0</xdr:rowOff>
    </xdr:from>
    <xdr:ext cx="304800" cy="304800"/>
    <xdr:sp macro="" textlink="">
      <xdr:nvSpPr>
        <xdr:cNvPr id="658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E36E0E3D-A35A-4F8F-BF10-2DAD39032DB4}"/>
            </a:ext>
          </a:extLst>
        </xdr:cNvPr>
        <xdr:cNvSpPr>
          <a:spLocks noChangeAspect="1" noChangeArrowheads="1"/>
        </xdr:cNvSpPr>
      </xdr:nvSpPr>
      <xdr:spPr bwMode="auto">
        <a:xfrm>
          <a:off x="39324643" y="19322143"/>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73</xdr:row>
      <xdr:rowOff>0</xdr:rowOff>
    </xdr:from>
    <xdr:ext cx="304800" cy="304800"/>
    <xdr:sp macro="" textlink="">
      <xdr:nvSpPr>
        <xdr:cNvPr id="658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4DDD65FD-69BD-4732-822B-6175EFBAB3AF}"/>
            </a:ext>
          </a:extLst>
        </xdr:cNvPr>
        <xdr:cNvSpPr>
          <a:spLocks noChangeAspect="1" noChangeArrowheads="1"/>
        </xdr:cNvSpPr>
      </xdr:nvSpPr>
      <xdr:spPr bwMode="auto">
        <a:xfrm>
          <a:off x="39324643" y="19322143"/>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74</xdr:row>
      <xdr:rowOff>0</xdr:rowOff>
    </xdr:from>
    <xdr:ext cx="304800" cy="304800"/>
    <xdr:sp macro="" textlink="">
      <xdr:nvSpPr>
        <xdr:cNvPr id="658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EEA966FF-5342-46BF-9AE1-C8EC5855E6FC}"/>
            </a:ext>
          </a:extLst>
        </xdr:cNvPr>
        <xdr:cNvSpPr>
          <a:spLocks noChangeAspect="1" noChangeArrowheads="1"/>
        </xdr:cNvSpPr>
      </xdr:nvSpPr>
      <xdr:spPr bwMode="auto">
        <a:xfrm>
          <a:off x="39324643" y="19621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74</xdr:row>
      <xdr:rowOff>0</xdr:rowOff>
    </xdr:from>
    <xdr:ext cx="304800" cy="304800"/>
    <xdr:sp macro="" textlink="">
      <xdr:nvSpPr>
        <xdr:cNvPr id="658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F9478EE7-E89C-4247-A000-0209875FBC11}"/>
            </a:ext>
          </a:extLst>
        </xdr:cNvPr>
        <xdr:cNvSpPr>
          <a:spLocks noChangeAspect="1" noChangeArrowheads="1"/>
        </xdr:cNvSpPr>
      </xdr:nvSpPr>
      <xdr:spPr bwMode="auto">
        <a:xfrm>
          <a:off x="39324643" y="19621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75</xdr:row>
      <xdr:rowOff>0</xdr:rowOff>
    </xdr:from>
    <xdr:ext cx="304800" cy="304800"/>
    <xdr:sp macro="" textlink="">
      <xdr:nvSpPr>
        <xdr:cNvPr id="658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B77E24F2-0959-4532-ADC5-6A47BCF5D950}"/>
            </a:ext>
          </a:extLst>
        </xdr:cNvPr>
        <xdr:cNvSpPr>
          <a:spLocks noChangeAspect="1" noChangeArrowheads="1"/>
        </xdr:cNvSpPr>
      </xdr:nvSpPr>
      <xdr:spPr bwMode="auto">
        <a:xfrm>
          <a:off x="39324643" y="19920857"/>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75</xdr:row>
      <xdr:rowOff>0</xdr:rowOff>
    </xdr:from>
    <xdr:ext cx="304800" cy="304800"/>
    <xdr:sp macro="" textlink="">
      <xdr:nvSpPr>
        <xdr:cNvPr id="659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9C9B83B2-0376-4056-A5B2-CC020F1F6124}"/>
            </a:ext>
          </a:extLst>
        </xdr:cNvPr>
        <xdr:cNvSpPr>
          <a:spLocks noChangeAspect="1" noChangeArrowheads="1"/>
        </xdr:cNvSpPr>
      </xdr:nvSpPr>
      <xdr:spPr bwMode="auto">
        <a:xfrm>
          <a:off x="39324643" y="19920857"/>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76</xdr:row>
      <xdr:rowOff>0</xdr:rowOff>
    </xdr:from>
    <xdr:ext cx="304800" cy="304800"/>
    <xdr:sp macro="" textlink="">
      <xdr:nvSpPr>
        <xdr:cNvPr id="659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688BDF7E-C549-49D8-B158-2757B76AEA54}"/>
            </a:ext>
          </a:extLst>
        </xdr:cNvPr>
        <xdr:cNvSpPr>
          <a:spLocks noChangeAspect="1" noChangeArrowheads="1"/>
        </xdr:cNvSpPr>
      </xdr:nvSpPr>
      <xdr:spPr bwMode="auto">
        <a:xfrm>
          <a:off x="39324643" y="20220214"/>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76</xdr:row>
      <xdr:rowOff>0</xdr:rowOff>
    </xdr:from>
    <xdr:ext cx="304800" cy="304800"/>
    <xdr:sp macro="" textlink="">
      <xdr:nvSpPr>
        <xdr:cNvPr id="659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1AF940E7-03CB-4F5F-B882-EEC31AF00802}"/>
            </a:ext>
          </a:extLst>
        </xdr:cNvPr>
        <xdr:cNvSpPr>
          <a:spLocks noChangeAspect="1" noChangeArrowheads="1"/>
        </xdr:cNvSpPr>
      </xdr:nvSpPr>
      <xdr:spPr bwMode="auto">
        <a:xfrm>
          <a:off x="39324643" y="20220214"/>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59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7D6B528E-1479-4A41-AFE4-D59847EE33D9}"/>
            </a:ext>
          </a:extLst>
        </xdr:cNvPr>
        <xdr:cNvSpPr>
          <a:spLocks noChangeAspect="1" noChangeArrowheads="1"/>
        </xdr:cNvSpPr>
      </xdr:nvSpPr>
      <xdr:spPr bwMode="auto">
        <a:xfrm>
          <a:off x="39324643" y="20519571"/>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59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4A6DCB18-FA5E-4B5C-B546-EDB16BF5E9FD}"/>
            </a:ext>
          </a:extLst>
        </xdr:cNvPr>
        <xdr:cNvSpPr>
          <a:spLocks noChangeAspect="1" noChangeArrowheads="1"/>
        </xdr:cNvSpPr>
      </xdr:nvSpPr>
      <xdr:spPr bwMode="auto">
        <a:xfrm>
          <a:off x="39324643" y="20519571"/>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59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5FD85A6-8F82-4521-AC1B-20E859B0F09C}"/>
            </a:ext>
          </a:extLst>
        </xdr:cNvPr>
        <xdr:cNvSpPr>
          <a:spLocks noChangeAspect="1" noChangeArrowheads="1"/>
        </xdr:cNvSpPr>
      </xdr:nvSpPr>
      <xdr:spPr bwMode="auto">
        <a:xfrm>
          <a:off x="39324643" y="2081892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59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CE7715D1-879C-479C-90F0-2E05EA8DF9F2}"/>
            </a:ext>
          </a:extLst>
        </xdr:cNvPr>
        <xdr:cNvSpPr>
          <a:spLocks noChangeAspect="1" noChangeArrowheads="1"/>
        </xdr:cNvSpPr>
      </xdr:nvSpPr>
      <xdr:spPr bwMode="auto">
        <a:xfrm>
          <a:off x="39324643" y="2081892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59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C3807DFF-6E25-4AA0-B7CD-7E2F8826E9B4}"/>
            </a:ext>
          </a:extLst>
        </xdr:cNvPr>
        <xdr:cNvSpPr>
          <a:spLocks noChangeAspect="1" noChangeArrowheads="1"/>
        </xdr:cNvSpPr>
      </xdr:nvSpPr>
      <xdr:spPr bwMode="auto">
        <a:xfrm>
          <a:off x="39324643" y="21118286"/>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59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EA354257-01F6-45BF-894C-2E83501A3FF3}"/>
            </a:ext>
          </a:extLst>
        </xdr:cNvPr>
        <xdr:cNvSpPr>
          <a:spLocks noChangeAspect="1" noChangeArrowheads="1"/>
        </xdr:cNvSpPr>
      </xdr:nvSpPr>
      <xdr:spPr bwMode="auto">
        <a:xfrm>
          <a:off x="39324643" y="21118286"/>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59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6F96DF79-399B-4917-BB39-CAB81EA6136D}"/>
            </a:ext>
          </a:extLst>
        </xdr:cNvPr>
        <xdr:cNvSpPr>
          <a:spLocks noChangeAspect="1" noChangeArrowheads="1"/>
        </xdr:cNvSpPr>
      </xdr:nvSpPr>
      <xdr:spPr bwMode="auto">
        <a:xfrm>
          <a:off x="39324643" y="21417643"/>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37</xdr:col>
      <xdr:colOff>0</xdr:colOff>
      <xdr:row>77</xdr:row>
      <xdr:rowOff>0</xdr:rowOff>
    </xdr:from>
    <xdr:ext cx="304800" cy="304800"/>
    <xdr:sp macro="" textlink="">
      <xdr:nvSpPr>
        <xdr:cNvPr id="660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BD5B560B-ABC5-4983-B413-EF70CDB69704}"/>
            </a:ext>
          </a:extLst>
        </xdr:cNvPr>
        <xdr:cNvSpPr>
          <a:spLocks noChangeAspect="1" noChangeArrowheads="1"/>
        </xdr:cNvSpPr>
      </xdr:nvSpPr>
      <xdr:spPr bwMode="auto">
        <a:xfrm>
          <a:off x="39324643" y="21417643"/>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71</xdr:row>
      <xdr:rowOff>0</xdr:rowOff>
    </xdr:from>
    <xdr:ext cx="304800" cy="304800"/>
    <xdr:sp macro="" textlink="">
      <xdr:nvSpPr>
        <xdr:cNvPr id="660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1FD214A5-A26E-4780-B620-49A5E156C2CF}"/>
            </a:ext>
          </a:extLst>
        </xdr:cNvPr>
        <xdr:cNvSpPr>
          <a:spLocks noChangeAspect="1" noChangeArrowheads="1"/>
        </xdr:cNvSpPr>
      </xdr:nvSpPr>
      <xdr:spPr bwMode="auto">
        <a:xfrm>
          <a:off x="46128214" y="1872342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71</xdr:row>
      <xdr:rowOff>0</xdr:rowOff>
    </xdr:from>
    <xdr:ext cx="304800" cy="304800"/>
    <xdr:sp macro="" textlink="">
      <xdr:nvSpPr>
        <xdr:cNvPr id="660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227CD017-FEAC-4079-9751-5FC80C6A752E}"/>
            </a:ext>
          </a:extLst>
        </xdr:cNvPr>
        <xdr:cNvSpPr>
          <a:spLocks noChangeAspect="1" noChangeArrowheads="1"/>
        </xdr:cNvSpPr>
      </xdr:nvSpPr>
      <xdr:spPr bwMode="auto">
        <a:xfrm>
          <a:off x="46128214" y="1872342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72</xdr:row>
      <xdr:rowOff>0</xdr:rowOff>
    </xdr:from>
    <xdr:ext cx="304800" cy="304800"/>
    <xdr:sp macro="" textlink="">
      <xdr:nvSpPr>
        <xdr:cNvPr id="660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3B866348-0C00-4E5A-808A-13385DA4DB20}"/>
            </a:ext>
          </a:extLst>
        </xdr:cNvPr>
        <xdr:cNvSpPr>
          <a:spLocks noChangeAspect="1" noChangeArrowheads="1"/>
        </xdr:cNvSpPr>
      </xdr:nvSpPr>
      <xdr:spPr bwMode="auto">
        <a:xfrm>
          <a:off x="46128214" y="19022786"/>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72</xdr:row>
      <xdr:rowOff>0</xdr:rowOff>
    </xdr:from>
    <xdr:ext cx="304800" cy="304800"/>
    <xdr:sp macro="" textlink="">
      <xdr:nvSpPr>
        <xdr:cNvPr id="660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FA51D2B3-DC7C-4124-A8C2-1C2AC8CE2E2C}"/>
            </a:ext>
          </a:extLst>
        </xdr:cNvPr>
        <xdr:cNvSpPr>
          <a:spLocks noChangeAspect="1" noChangeArrowheads="1"/>
        </xdr:cNvSpPr>
      </xdr:nvSpPr>
      <xdr:spPr bwMode="auto">
        <a:xfrm>
          <a:off x="46128214" y="19022786"/>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73</xdr:row>
      <xdr:rowOff>0</xdr:rowOff>
    </xdr:from>
    <xdr:ext cx="304800" cy="304800"/>
    <xdr:sp macro="" textlink="">
      <xdr:nvSpPr>
        <xdr:cNvPr id="660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159DAD8C-670B-4551-BE63-91E5EA0D4605}"/>
            </a:ext>
          </a:extLst>
        </xdr:cNvPr>
        <xdr:cNvSpPr>
          <a:spLocks noChangeAspect="1" noChangeArrowheads="1"/>
        </xdr:cNvSpPr>
      </xdr:nvSpPr>
      <xdr:spPr bwMode="auto">
        <a:xfrm>
          <a:off x="46128214" y="19322143"/>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73</xdr:row>
      <xdr:rowOff>0</xdr:rowOff>
    </xdr:from>
    <xdr:ext cx="304800" cy="304800"/>
    <xdr:sp macro="" textlink="">
      <xdr:nvSpPr>
        <xdr:cNvPr id="660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904E6234-A7E7-4284-97A5-0593F1F0E751}"/>
            </a:ext>
          </a:extLst>
        </xdr:cNvPr>
        <xdr:cNvSpPr>
          <a:spLocks noChangeAspect="1" noChangeArrowheads="1"/>
        </xdr:cNvSpPr>
      </xdr:nvSpPr>
      <xdr:spPr bwMode="auto">
        <a:xfrm>
          <a:off x="46128214" y="19322143"/>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74</xdr:row>
      <xdr:rowOff>0</xdr:rowOff>
    </xdr:from>
    <xdr:ext cx="304800" cy="304800"/>
    <xdr:sp macro="" textlink="">
      <xdr:nvSpPr>
        <xdr:cNvPr id="660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CBE6C258-F7D4-46E3-9838-70B7B70D8147}"/>
            </a:ext>
          </a:extLst>
        </xdr:cNvPr>
        <xdr:cNvSpPr>
          <a:spLocks noChangeAspect="1" noChangeArrowheads="1"/>
        </xdr:cNvSpPr>
      </xdr:nvSpPr>
      <xdr:spPr bwMode="auto">
        <a:xfrm>
          <a:off x="46128214" y="19621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74</xdr:row>
      <xdr:rowOff>0</xdr:rowOff>
    </xdr:from>
    <xdr:ext cx="304800" cy="304800"/>
    <xdr:sp macro="" textlink="">
      <xdr:nvSpPr>
        <xdr:cNvPr id="660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102193E0-980E-43B1-92BD-E8B36E0879BB}"/>
            </a:ext>
          </a:extLst>
        </xdr:cNvPr>
        <xdr:cNvSpPr>
          <a:spLocks noChangeAspect="1" noChangeArrowheads="1"/>
        </xdr:cNvSpPr>
      </xdr:nvSpPr>
      <xdr:spPr bwMode="auto">
        <a:xfrm>
          <a:off x="46128214" y="19621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75</xdr:row>
      <xdr:rowOff>0</xdr:rowOff>
    </xdr:from>
    <xdr:ext cx="304800" cy="304800"/>
    <xdr:sp macro="" textlink="">
      <xdr:nvSpPr>
        <xdr:cNvPr id="660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A20DFCF4-8C35-4FF8-96F5-A43C1C1529D3}"/>
            </a:ext>
          </a:extLst>
        </xdr:cNvPr>
        <xdr:cNvSpPr>
          <a:spLocks noChangeAspect="1" noChangeArrowheads="1"/>
        </xdr:cNvSpPr>
      </xdr:nvSpPr>
      <xdr:spPr bwMode="auto">
        <a:xfrm>
          <a:off x="46128214" y="19920857"/>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75</xdr:row>
      <xdr:rowOff>0</xdr:rowOff>
    </xdr:from>
    <xdr:ext cx="304800" cy="304800"/>
    <xdr:sp macro="" textlink="">
      <xdr:nvSpPr>
        <xdr:cNvPr id="661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A85CC887-3949-4CB4-A0FB-9E1FF50862DF}"/>
            </a:ext>
          </a:extLst>
        </xdr:cNvPr>
        <xdr:cNvSpPr>
          <a:spLocks noChangeAspect="1" noChangeArrowheads="1"/>
        </xdr:cNvSpPr>
      </xdr:nvSpPr>
      <xdr:spPr bwMode="auto">
        <a:xfrm>
          <a:off x="46128214" y="19920857"/>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76</xdr:row>
      <xdr:rowOff>0</xdr:rowOff>
    </xdr:from>
    <xdr:ext cx="304800" cy="304800"/>
    <xdr:sp macro="" textlink="">
      <xdr:nvSpPr>
        <xdr:cNvPr id="661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5539FEC2-5FCC-41BE-82A3-600764630B99}"/>
            </a:ext>
          </a:extLst>
        </xdr:cNvPr>
        <xdr:cNvSpPr>
          <a:spLocks noChangeAspect="1" noChangeArrowheads="1"/>
        </xdr:cNvSpPr>
      </xdr:nvSpPr>
      <xdr:spPr bwMode="auto">
        <a:xfrm>
          <a:off x="46128214" y="20220214"/>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76</xdr:row>
      <xdr:rowOff>0</xdr:rowOff>
    </xdr:from>
    <xdr:ext cx="304800" cy="304800"/>
    <xdr:sp macro="" textlink="">
      <xdr:nvSpPr>
        <xdr:cNvPr id="661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BD50D04-1F62-4BEF-A675-C633B78AAF57}"/>
            </a:ext>
          </a:extLst>
        </xdr:cNvPr>
        <xdr:cNvSpPr>
          <a:spLocks noChangeAspect="1" noChangeArrowheads="1"/>
        </xdr:cNvSpPr>
      </xdr:nvSpPr>
      <xdr:spPr bwMode="auto">
        <a:xfrm>
          <a:off x="46128214" y="20220214"/>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61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C91F8A3-88B2-425F-BA90-6BD694CEC9DE}"/>
            </a:ext>
          </a:extLst>
        </xdr:cNvPr>
        <xdr:cNvSpPr>
          <a:spLocks noChangeAspect="1" noChangeArrowheads="1"/>
        </xdr:cNvSpPr>
      </xdr:nvSpPr>
      <xdr:spPr bwMode="auto">
        <a:xfrm>
          <a:off x="46128214" y="20519571"/>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61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1A5AA837-A780-4A8A-A3EF-2F19C96A50EB}"/>
            </a:ext>
          </a:extLst>
        </xdr:cNvPr>
        <xdr:cNvSpPr>
          <a:spLocks noChangeAspect="1" noChangeArrowheads="1"/>
        </xdr:cNvSpPr>
      </xdr:nvSpPr>
      <xdr:spPr bwMode="auto">
        <a:xfrm>
          <a:off x="46128214" y="20519571"/>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61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EC7CD396-0DA6-40E1-982D-197405410E72}"/>
            </a:ext>
          </a:extLst>
        </xdr:cNvPr>
        <xdr:cNvSpPr>
          <a:spLocks noChangeAspect="1" noChangeArrowheads="1"/>
        </xdr:cNvSpPr>
      </xdr:nvSpPr>
      <xdr:spPr bwMode="auto">
        <a:xfrm>
          <a:off x="46128214" y="2081892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61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B4A2AA71-7884-4809-B646-56438E79EC79}"/>
            </a:ext>
          </a:extLst>
        </xdr:cNvPr>
        <xdr:cNvSpPr>
          <a:spLocks noChangeAspect="1" noChangeArrowheads="1"/>
        </xdr:cNvSpPr>
      </xdr:nvSpPr>
      <xdr:spPr bwMode="auto">
        <a:xfrm>
          <a:off x="46128214" y="2081892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61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F13E0359-905C-4616-B510-4959CB103853}"/>
            </a:ext>
          </a:extLst>
        </xdr:cNvPr>
        <xdr:cNvSpPr>
          <a:spLocks noChangeAspect="1" noChangeArrowheads="1"/>
        </xdr:cNvSpPr>
      </xdr:nvSpPr>
      <xdr:spPr bwMode="auto">
        <a:xfrm>
          <a:off x="46128214" y="21118286"/>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61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D90A32E7-B4AC-4932-B153-224E3E87AFC8}"/>
            </a:ext>
          </a:extLst>
        </xdr:cNvPr>
        <xdr:cNvSpPr>
          <a:spLocks noChangeAspect="1" noChangeArrowheads="1"/>
        </xdr:cNvSpPr>
      </xdr:nvSpPr>
      <xdr:spPr bwMode="auto">
        <a:xfrm>
          <a:off x="46128214" y="21118286"/>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61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1C13E2C-785B-4B5D-9CD4-6F62F5A53CBD}"/>
            </a:ext>
          </a:extLst>
        </xdr:cNvPr>
        <xdr:cNvSpPr>
          <a:spLocks noChangeAspect="1" noChangeArrowheads="1"/>
        </xdr:cNvSpPr>
      </xdr:nvSpPr>
      <xdr:spPr bwMode="auto">
        <a:xfrm>
          <a:off x="46128214" y="21417643"/>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62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C765E384-A023-40B9-B78A-AB32FB6FD842}"/>
            </a:ext>
          </a:extLst>
        </xdr:cNvPr>
        <xdr:cNvSpPr>
          <a:spLocks noChangeAspect="1" noChangeArrowheads="1"/>
        </xdr:cNvSpPr>
      </xdr:nvSpPr>
      <xdr:spPr bwMode="auto">
        <a:xfrm>
          <a:off x="46128214" y="21417643"/>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71</xdr:row>
      <xdr:rowOff>0</xdr:rowOff>
    </xdr:from>
    <xdr:ext cx="304800" cy="304800"/>
    <xdr:sp macro="" textlink="">
      <xdr:nvSpPr>
        <xdr:cNvPr id="662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3C384057-DA83-4EEA-A41E-54FD38E734FE}"/>
            </a:ext>
          </a:extLst>
        </xdr:cNvPr>
        <xdr:cNvSpPr>
          <a:spLocks noChangeAspect="1" noChangeArrowheads="1"/>
        </xdr:cNvSpPr>
      </xdr:nvSpPr>
      <xdr:spPr bwMode="auto">
        <a:xfrm>
          <a:off x="46128214" y="1872342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71</xdr:row>
      <xdr:rowOff>0</xdr:rowOff>
    </xdr:from>
    <xdr:ext cx="304800" cy="304800"/>
    <xdr:sp macro="" textlink="">
      <xdr:nvSpPr>
        <xdr:cNvPr id="662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956CF7A3-7C4C-4B03-A5A1-AD1F933AE9FF}"/>
            </a:ext>
          </a:extLst>
        </xdr:cNvPr>
        <xdr:cNvSpPr>
          <a:spLocks noChangeAspect="1" noChangeArrowheads="1"/>
        </xdr:cNvSpPr>
      </xdr:nvSpPr>
      <xdr:spPr bwMode="auto">
        <a:xfrm>
          <a:off x="46128214" y="1872342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72</xdr:row>
      <xdr:rowOff>0</xdr:rowOff>
    </xdr:from>
    <xdr:ext cx="304800" cy="304800"/>
    <xdr:sp macro="" textlink="">
      <xdr:nvSpPr>
        <xdr:cNvPr id="662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3A8B7A5A-AA88-4F1C-AA05-59EA06FAA7D0}"/>
            </a:ext>
          </a:extLst>
        </xdr:cNvPr>
        <xdr:cNvSpPr>
          <a:spLocks noChangeAspect="1" noChangeArrowheads="1"/>
        </xdr:cNvSpPr>
      </xdr:nvSpPr>
      <xdr:spPr bwMode="auto">
        <a:xfrm>
          <a:off x="46128214" y="19022786"/>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72</xdr:row>
      <xdr:rowOff>0</xdr:rowOff>
    </xdr:from>
    <xdr:ext cx="304800" cy="304800"/>
    <xdr:sp macro="" textlink="">
      <xdr:nvSpPr>
        <xdr:cNvPr id="662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B051E834-EFCB-4528-8730-AFA9FD47FC83}"/>
            </a:ext>
          </a:extLst>
        </xdr:cNvPr>
        <xdr:cNvSpPr>
          <a:spLocks noChangeAspect="1" noChangeArrowheads="1"/>
        </xdr:cNvSpPr>
      </xdr:nvSpPr>
      <xdr:spPr bwMode="auto">
        <a:xfrm>
          <a:off x="46128214" y="19022786"/>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73</xdr:row>
      <xdr:rowOff>0</xdr:rowOff>
    </xdr:from>
    <xdr:ext cx="304800" cy="304800"/>
    <xdr:sp macro="" textlink="">
      <xdr:nvSpPr>
        <xdr:cNvPr id="662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B3BAE07E-26A2-4CA4-94D0-55680076929C}"/>
            </a:ext>
          </a:extLst>
        </xdr:cNvPr>
        <xdr:cNvSpPr>
          <a:spLocks noChangeAspect="1" noChangeArrowheads="1"/>
        </xdr:cNvSpPr>
      </xdr:nvSpPr>
      <xdr:spPr bwMode="auto">
        <a:xfrm>
          <a:off x="46128214" y="19322143"/>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73</xdr:row>
      <xdr:rowOff>0</xdr:rowOff>
    </xdr:from>
    <xdr:ext cx="304800" cy="304800"/>
    <xdr:sp macro="" textlink="">
      <xdr:nvSpPr>
        <xdr:cNvPr id="662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22CA8F43-3E2F-4B6F-9C3C-3B5622BF9022}"/>
            </a:ext>
          </a:extLst>
        </xdr:cNvPr>
        <xdr:cNvSpPr>
          <a:spLocks noChangeAspect="1" noChangeArrowheads="1"/>
        </xdr:cNvSpPr>
      </xdr:nvSpPr>
      <xdr:spPr bwMode="auto">
        <a:xfrm>
          <a:off x="46128214" y="19322143"/>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74</xdr:row>
      <xdr:rowOff>0</xdr:rowOff>
    </xdr:from>
    <xdr:ext cx="304800" cy="304800"/>
    <xdr:sp macro="" textlink="">
      <xdr:nvSpPr>
        <xdr:cNvPr id="662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40B38829-866C-486C-8C30-FB04BD1FC125}"/>
            </a:ext>
          </a:extLst>
        </xdr:cNvPr>
        <xdr:cNvSpPr>
          <a:spLocks noChangeAspect="1" noChangeArrowheads="1"/>
        </xdr:cNvSpPr>
      </xdr:nvSpPr>
      <xdr:spPr bwMode="auto">
        <a:xfrm>
          <a:off x="46128214" y="19621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74</xdr:row>
      <xdr:rowOff>0</xdr:rowOff>
    </xdr:from>
    <xdr:ext cx="304800" cy="304800"/>
    <xdr:sp macro="" textlink="">
      <xdr:nvSpPr>
        <xdr:cNvPr id="662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3419D1A2-DB8E-4652-BAA1-6A9F68FECD3C}"/>
            </a:ext>
          </a:extLst>
        </xdr:cNvPr>
        <xdr:cNvSpPr>
          <a:spLocks noChangeAspect="1" noChangeArrowheads="1"/>
        </xdr:cNvSpPr>
      </xdr:nvSpPr>
      <xdr:spPr bwMode="auto">
        <a:xfrm>
          <a:off x="46128214" y="19621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75</xdr:row>
      <xdr:rowOff>0</xdr:rowOff>
    </xdr:from>
    <xdr:ext cx="304800" cy="304800"/>
    <xdr:sp macro="" textlink="">
      <xdr:nvSpPr>
        <xdr:cNvPr id="662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18035F16-6620-458D-BF9D-DD442A1FF1D6}"/>
            </a:ext>
          </a:extLst>
        </xdr:cNvPr>
        <xdr:cNvSpPr>
          <a:spLocks noChangeAspect="1" noChangeArrowheads="1"/>
        </xdr:cNvSpPr>
      </xdr:nvSpPr>
      <xdr:spPr bwMode="auto">
        <a:xfrm>
          <a:off x="46128214" y="19920857"/>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75</xdr:row>
      <xdr:rowOff>0</xdr:rowOff>
    </xdr:from>
    <xdr:ext cx="304800" cy="304800"/>
    <xdr:sp macro="" textlink="">
      <xdr:nvSpPr>
        <xdr:cNvPr id="663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4FC34129-3AE0-4AA9-A132-D01C460C67AC}"/>
            </a:ext>
          </a:extLst>
        </xdr:cNvPr>
        <xdr:cNvSpPr>
          <a:spLocks noChangeAspect="1" noChangeArrowheads="1"/>
        </xdr:cNvSpPr>
      </xdr:nvSpPr>
      <xdr:spPr bwMode="auto">
        <a:xfrm>
          <a:off x="46128214" y="19920857"/>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76</xdr:row>
      <xdr:rowOff>0</xdr:rowOff>
    </xdr:from>
    <xdr:ext cx="304800" cy="304800"/>
    <xdr:sp macro="" textlink="">
      <xdr:nvSpPr>
        <xdr:cNvPr id="6631"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0D0B5C95-6F35-489A-94D5-57523176AFA2}"/>
            </a:ext>
          </a:extLst>
        </xdr:cNvPr>
        <xdr:cNvSpPr>
          <a:spLocks noChangeAspect="1" noChangeArrowheads="1"/>
        </xdr:cNvSpPr>
      </xdr:nvSpPr>
      <xdr:spPr bwMode="auto">
        <a:xfrm>
          <a:off x="46128214" y="20220214"/>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76</xdr:row>
      <xdr:rowOff>0</xdr:rowOff>
    </xdr:from>
    <xdr:ext cx="304800" cy="304800"/>
    <xdr:sp macro="" textlink="">
      <xdr:nvSpPr>
        <xdr:cNvPr id="6632"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39BD3B20-DAD1-40D6-BAC3-A475188ACB13}"/>
            </a:ext>
          </a:extLst>
        </xdr:cNvPr>
        <xdr:cNvSpPr>
          <a:spLocks noChangeAspect="1" noChangeArrowheads="1"/>
        </xdr:cNvSpPr>
      </xdr:nvSpPr>
      <xdr:spPr bwMode="auto">
        <a:xfrm>
          <a:off x="46128214" y="20220214"/>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633"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5AA5C01F-73D6-4C8E-B543-943E64AF254A}"/>
            </a:ext>
          </a:extLst>
        </xdr:cNvPr>
        <xdr:cNvSpPr>
          <a:spLocks noChangeAspect="1" noChangeArrowheads="1"/>
        </xdr:cNvSpPr>
      </xdr:nvSpPr>
      <xdr:spPr bwMode="auto">
        <a:xfrm>
          <a:off x="46128214" y="20519571"/>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634"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CAAB3D57-1C6C-4071-B3EC-7951D9F2E001}"/>
            </a:ext>
          </a:extLst>
        </xdr:cNvPr>
        <xdr:cNvSpPr>
          <a:spLocks noChangeAspect="1" noChangeArrowheads="1"/>
        </xdr:cNvSpPr>
      </xdr:nvSpPr>
      <xdr:spPr bwMode="auto">
        <a:xfrm>
          <a:off x="46128214" y="20519571"/>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635"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24C2397F-4A8C-4051-9005-3610949A660F}"/>
            </a:ext>
          </a:extLst>
        </xdr:cNvPr>
        <xdr:cNvSpPr>
          <a:spLocks noChangeAspect="1" noChangeArrowheads="1"/>
        </xdr:cNvSpPr>
      </xdr:nvSpPr>
      <xdr:spPr bwMode="auto">
        <a:xfrm>
          <a:off x="46128214" y="2081892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636"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1141494B-EA75-4470-A542-56D77B01E5EA}"/>
            </a:ext>
          </a:extLst>
        </xdr:cNvPr>
        <xdr:cNvSpPr>
          <a:spLocks noChangeAspect="1" noChangeArrowheads="1"/>
        </xdr:cNvSpPr>
      </xdr:nvSpPr>
      <xdr:spPr bwMode="auto">
        <a:xfrm>
          <a:off x="46128214" y="20818929"/>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637"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2027819A-C6E8-40B5-BA9F-2EDBAB7DF1A1}"/>
            </a:ext>
          </a:extLst>
        </xdr:cNvPr>
        <xdr:cNvSpPr>
          <a:spLocks noChangeAspect="1" noChangeArrowheads="1"/>
        </xdr:cNvSpPr>
      </xdr:nvSpPr>
      <xdr:spPr bwMode="auto">
        <a:xfrm>
          <a:off x="46128214" y="21118286"/>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638"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6D605FA0-8AF7-4D8B-87F6-9CE6E5E618F0}"/>
            </a:ext>
          </a:extLst>
        </xdr:cNvPr>
        <xdr:cNvSpPr>
          <a:spLocks noChangeAspect="1" noChangeArrowheads="1"/>
        </xdr:cNvSpPr>
      </xdr:nvSpPr>
      <xdr:spPr bwMode="auto">
        <a:xfrm>
          <a:off x="46128214" y="21118286"/>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639" name="AutoShape 1"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D711B78B-641B-4E17-81FB-0DCBD8337064}"/>
            </a:ext>
          </a:extLst>
        </xdr:cNvPr>
        <xdr:cNvSpPr>
          <a:spLocks noChangeAspect="1" noChangeArrowheads="1"/>
        </xdr:cNvSpPr>
      </xdr:nvSpPr>
      <xdr:spPr bwMode="auto">
        <a:xfrm>
          <a:off x="46128214" y="21417643"/>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39</xdr:col>
      <xdr:colOff>0</xdr:colOff>
      <xdr:row>77</xdr:row>
      <xdr:rowOff>0</xdr:rowOff>
    </xdr:from>
    <xdr:ext cx="304800" cy="304800"/>
    <xdr:sp macro="" textlink="">
      <xdr:nvSpPr>
        <xdr:cNvPr id="6640" name="AutoShape 2" descr="http://yulproxy.yonsei.ac.kr/scifinder/substancesImage/structure/6U2NEAZBfawPfug4rseVcd4ok1ECJ0I9XVKOFzR11rCP9puO2SEUQ5-Ip-3pqQ5bH91IsxHgmAxBBiIfIpw-SQ?imageMaxWidth=2000&amp;scale=0.03&amp;isReactionImage=false">
          <a:extLst>
            <a:ext uri="{FF2B5EF4-FFF2-40B4-BE49-F238E27FC236}">
              <a16:creationId xmlns:a16="http://schemas.microsoft.com/office/drawing/2014/main" id="{69B0A80E-4310-4F28-AD01-CC85EDC459C9}"/>
            </a:ext>
          </a:extLst>
        </xdr:cNvPr>
        <xdr:cNvSpPr>
          <a:spLocks noChangeAspect="1" noChangeArrowheads="1"/>
        </xdr:cNvSpPr>
      </xdr:nvSpPr>
      <xdr:spPr bwMode="auto">
        <a:xfrm>
          <a:off x="46128214" y="21417643"/>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My%20Documents\4.CC%20EHS&#54016;\&#54868;&#54617;&#47932;&#51656;%20&#51064;&#48292;&#53664;&#47532;&#44396;&#52629;%20&#52968;&#49444;&#54021;\&#52572;&#51333;&#48372;&#44256;&#54924;\Inventory%20DB_&#46041;&#50500;&#52636;&#54032;_SHES(update_161231).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물질 DB검색"/>
      <sheetName val="화관법 및 화평법_총괄"/>
      <sheetName val="산업안전보건법_총괄"/>
      <sheetName val="기타법규_총괄"/>
      <sheetName val="조사양식"/>
      <sheetName val="물질량추적"/>
      <sheetName val="신규물질"/>
      <sheetName val="등록대상기존화학물질"/>
      <sheetName val="유독물질_제품"/>
      <sheetName val="금지물질 학인필요_제품"/>
      <sheetName val="제한물질_제품"/>
      <sheetName val="사고대비물질_제품"/>
      <sheetName val="배출량조사1_제품"/>
      <sheetName val="배출량조사2_제품"/>
      <sheetName val="기초자료"/>
      <sheetName val="산안법_허가물질 제품"/>
      <sheetName val="산안법_특별관리물질 제품"/>
      <sheetName val="산안법_관리대상유해물질 제품"/>
      <sheetName val="산안법_허용기준이하물질 제품"/>
      <sheetName val="산안법_노출기준설정물질 제품"/>
      <sheetName val="산안법_작업환경측정대상유해인자"/>
      <sheetName val="산안법_특수건강진단대상유해인자"/>
      <sheetName val="고용노동부고시_발암성물질"/>
      <sheetName val="고용노동부고시_생식세포변이원성물질"/>
      <sheetName val="고용노동부고시_생식독성물질"/>
      <sheetName val="위험물 제품"/>
      <sheetName val="고압가스 제품"/>
      <sheetName val="규제DB_화평법_등록대상"/>
      <sheetName val="규제DB_유해법_유독물"/>
      <sheetName val="규제DB_유해법_금지물질"/>
      <sheetName val="규제DB_유해법_제한물질"/>
      <sheetName val="규제DB_유해법_사고대비물질"/>
      <sheetName val="규제DB_유해법_배출량조사 I"/>
      <sheetName val="규제DB_유해법_배출량조사 II"/>
      <sheetName val="규제DB_유해법_기존화학물질"/>
      <sheetName val="규제DB_유해법_UN No."/>
      <sheetName val="규제DB_화관법_개별취급기준"/>
      <sheetName val="규제DB_화관법_소량기준"/>
      <sheetName val="규제DB_산안법_금지물질"/>
      <sheetName val="규제DB_산안법_허가물질"/>
      <sheetName val="규제DB_산안법_특별관리물질"/>
      <sheetName val="규제DB_산안법_관리대상유해물질"/>
      <sheetName val="규제DB_산안법_허용기준이하물질"/>
      <sheetName val="규제DB_산안법_노출기준설정물질"/>
      <sheetName val="규제DB_산안법_작업환경측정대상유해인자"/>
      <sheetName val="규제DB_산안법_특수건강진단대상유해인자"/>
      <sheetName val="규제DB_고용노동부고시_CMR"/>
      <sheetName val="규제DB_위험물안전관리법_위험물"/>
      <sheetName val="규제DB_고압법_독성가스"/>
      <sheetName val="규제DB_고압법_가연성가스"/>
      <sheetName val="규제DB_고압법_특수고압가스"/>
      <sheetName val="규제DB_고압법_특정고압가스"/>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row r="1">
          <cell r="A1" t="str">
            <v>CAS No.</v>
          </cell>
          <cell r="B1" t="str">
            <v>물질명</v>
          </cell>
          <cell r="C1" t="str">
            <v>물질량</v>
          </cell>
        </row>
        <row r="2">
          <cell r="A2" t="str">
            <v>64-02-8</v>
          </cell>
          <cell r="B2" t="str">
            <v>Ethylenediaminetetraacetic acid tetrasodium salt ; Tetrasodium EDTA</v>
          </cell>
          <cell r="C2">
            <v>0.73</v>
          </cell>
        </row>
        <row r="3">
          <cell r="A3" t="str">
            <v>68-04-2</v>
          </cell>
          <cell r="B3" t="str">
            <v>2-Hydroxy-1,2,3-propanetricarboxylic acid trisodium salt ; Sodium citrate</v>
          </cell>
          <cell r="C3">
            <v>100.8</v>
          </cell>
        </row>
        <row r="4">
          <cell r="A4" t="str">
            <v>3445-11-2</v>
          </cell>
          <cell r="B4" t="str">
            <v>1-(2-Hydroxyethyl)pyrrolidin-2-one</v>
          </cell>
          <cell r="C4">
            <v>0.97499999999999998</v>
          </cell>
        </row>
        <row r="5">
          <cell r="A5" t="str">
            <v>5160-02-1</v>
          </cell>
          <cell r="B5" t="str">
            <v>Barium bis[2-chloro-5-(hydroxy-1-naphthyl)azotoluene-4-sulphonate</v>
          </cell>
          <cell r="C5">
            <v>0</v>
          </cell>
        </row>
        <row r="6">
          <cell r="A6" t="str">
            <v>5281-04-9</v>
          </cell>
          <cell r="B6" t="str">
            <v>2-Naphthalenecarboxylic acid, 3-hydroxy-4-[(4-methyl-2-sulfophenyl)azo]-, calcium salt) (D &amp; C Red No. 7)</v>
          </cell>
          <cell r="C6">
            <v>7744.5000000000009</v>
          </cell>
        </row>
        <row r="7">
          <cell r="A7" t="str">
            <v>8050-09-7</v>
          </cell>
          <cell r="B7" t="str">
            <v>Gum rosin ; Rosin</v>
          </cell>
          <cell r="C7">
            <v>427.00000000000006</v>
          </cell>
        </row>
        <row r="8">
          <cell r="A8" t="str">
            <v>9000-11-7</v>
          </cell>
          <cell r="B8" t="str">
            <v>Carboxymethyl ether cellulose</v>
          </cell>
          <cell r="C8">
            <v>32.67</v>
          </cell>
        </row>
        <row r="9">
          <cell r="A9" t="str">
            <v>9003-01-4</v>
          </cell>
          <cell r="B9" t="str">
            <v>Poly(acrylic acid) ; 2-Propenic acid homopolymer, Polyacrylic acid, Carboxypolymethylene</v>
          </cell>
          <cell r="C9">
            <v>15120</v>
          </cell>
        </row>
        <row r="10">
          <cell r="A10" t="str">
            <v>9005-09-8</v>
          </cell>
          <cell r="B10" t="str">
            <v>(Z)-2-Butenedioic acid polymer with chloroethene and ethenyl acetate ; Vinyl chloride-vinyl acetate-maleic acid terpolymer</v>
          </cell>
          <cell r="C10">
            <v>1767.5</v>
          </cell>
        </row>
        <row r="11">
          <cell r="A11" t="str">
            <v>100-41-4</v>
          </cell>
          <cell r="B11" t="str">
            <v>Ethylbenzene</v>
          </cell>
          <cell r="C11">
            <v>3.5</v>
          </cell>
        </row>
        <row r="12">
          <cell r="A12" t="str">
            <v>10043-35-3</v>
          </cell>
          <cell r="B12" t="str">
            <v>Boric acid, crude natural</v>
          </cell>
          <cell r="C12">
            <v>13.815</v>
          </cell>
        </row>
        <row r="13">
          <cell r="A13" t="str">
            <v>10043-52-4</v>
          </cell>
          <cell r="B13" t="str">
            <v>Calcium Chloride</v>
          </cell>
          <cell r="C13">
            <v>250</v>
          </cell>
        </row>
        <row r="14">
          <cell r="A14" t="str">
            <v>10117-38-1</v>
          </cell>
          <cell r="B14" t="str">
            <v>Potassium sulfite</v>
          </cell>
          <cell r="C14">
            <v>0</v>
          </cell>
        </row>
        <row r="15">
          <cell r="A15" t="str">
            <v>10124-56-8</v>
          </cell>
          <cell r="B15" t="str">
            <v>Sodium metaphosphate ; Metaphosphoric acid (H6P6O18), hexasodium salt</v>
          </cell>
          <cell r="C15">
            <v>14.52</v>
          </cell>
        </row>
        <row r="16">
          <cell r="A16" t="str">
            <v>102-71-6</v>
          </cell>
          <cell r="B16" t="str">
            <v>Triethanolamine</v>
          </cell>
          <cell r="C16">
            <v>0.495</v>
          </cell>
        </row>
        <row r="17">
          <cell r="A17" t="str">
            <v>103-65-1</v>
          </cell>
          <cell r="B17" t="str">
            <v>Propylbenzene</v>
          </cell>
          <cell r="C17">
            <v>0</v>
          </cell>
        </row>
        <row r="18">
          <cell r="A18" t="str">
            <v>10377-60-3</v>
          </cell>
          <cell r="B18" t="str">
            <v>Magnesium nitrate</v>
          </cell>
          <cell r="C18">
            <v>60.48</v>
          </cell>
        </row>
        <row r="19">
          <cell r="A19" t="str">
            <v>106-97-8</v>
          </cell>
          <cell r="B19" t="str">
            <v>Butane</v>
          </cell>
          <cell r="C19">
            <v>24.72</v>
          </cell>
        </row>
        <row r="20">
          <cell r="A20" t="str">
            <v>107-21-1</v>
          </cell>
          <cell r="B20" t="str">
            <v>1,2-Ethanediol ; Ethylene glycol</v>
          </cell>
          <cell r="C20">
            <v>268.8</v>
          </cell>
        </row>
        <row r="21">
          <cell r="A21" t="str">
            <v>107246-80-0</v>
          </cell>
          <cell r="B21" t="str">
            <v>Tetralithium 6-Amino-4-hydroxy-3-[[7-sulfo-4-[(5-sulfo-2-naphthalenyl)azo]-1-naphthalenyl]azo]-2,7-naphthalenedisulfonate</v>
          </cell>
          <cell r="C21">
            <v>0</v>
          </cell>
        </row>
        <row r="22">
          <cell r="A22" t="str">
            <v>107-83-5</v>
          </cell>
          <cell r="B22" t="str">
            <v>2-Methylpentane</v>
          </cell>
          <cell r="C22">
            <v>16.399999999999999</v>
          </cell>
        </row>
        <row r="23">
          <cell r="A23" t="str">
            <v>107-98-2</v>
          </cell>
          <cell r="B23" t="str">
            <v>Propylene glycol methyl ether</v>
          </cell>
          <cell r="C23">
            <v>9246.25</v>
          </cell>
        </row>
        <row r="24">
          <cell r="A24" t="str">
            <v>108-05-4</v>
          </cell>
          <cell r="B24" t="str">
            <v>Vinyl acetate ; Ethenyl acetate</v>
          </cell>
          <cell r="C24">
            <v>0</v>
          </cell>
        </row>
        <row r="25">
          <cell r="A25" t="str">
            <v>108-67-8</v>
          </cell>
          <cell r="B25" t="str">
            <v>1,3,5-Trimethylbenzene</v>
          </cell>
          <cell r="C25">
            <v>48</v>
          </cell>
        </row>
        <row r="26">
          <cell r="A26" t="str">
            <v>108-88-3</v>
          </cell>
          <cell r="B26" t="str">
            <v>Toluene</v>
          </cell>
          <cell r="C26">
            <v>104481.705</v>
          </cell>
        </row>
        <row r="27">
          <cell r="A27" t="str">
            <v>110-54-3</v>
          </cell>
          <cell r="B27" t="str">
            <v>n-Hexane ; Hexane</v>
          </cell>
          <cell r="C27">
            <v>5.6000000000000008E-2</v>
          </cell>
        </row>
        <row r="28">
          <cell r="A28" t="str">
            <v>110-82-7</v>
          </cell>
          <cell r="B28" t="str">
            <v>Hexahydrobenzene ; Cyclohexane</v>
          </cell>
          <cell r="C28">
            <v>5.49</v>
          </cell>
        </row>
        <row r="29">
          <cell r="A29" t="str">
            <v>111-29-5</v>
          </cell>
          <cell r="B29" t="str">
            <v>1,5-Pentanediol</v>
          </cell>
          <cell r="C29">
            <v>0</v>
          </cell>
        </row>
        <row r="30">
          <cell r="A30" t="str">
            <v>111-46-6</v>
          </cell>
          <cell r="B30" t="str">
            <v>Diethylene glycol</v>
          </cell>
          <cell r="C30">
            <v>10.575000000000001</v>
          </cell>
        </row>
        <row r="31">
          <cell r="A31" t="str">
            <v>111-76-2</v>
          </cell>
          <cell r="B31" t="str">
            <v>2-Butoxyethanol ; Ethylene glycol monobutyl ether</v>
          </cell>
          <cell r="C31">
            <v>0.87800000000000011</v>
          </cell>
        </row>
        <row r="32">
          <cell r="A32" t="str">
            <v>1119-40-0</v>
          </cell>
          <cell r="B32" t="str">
            <v>Pentanedioic acid dimethyl ester</v>
          </cell>
          <cell r="C32">
            <v>2150.7999999999997</v>
          </cell>
        </row>
        <row r="33">
          <cell r="A33" t="str">
            <v>112-34-5</v>
          </cell>
          <cell r="B33" t="str">
            <v>Diethylene glycol monobutyl ether ; 2-(2-Butoxyethoxy)ethanol, Butyl Carbitol</v>
          </cell>
          <cell r="C33">
            <v>0.1</v>
          </cell>
        </row>
        <row r="34">
          <cell r="A34" t="str">
            <v>112-80-1</v>
          </cell>
          <cell r="B34" t="str">
            <v>(Z)-9-octadecenoic acid</v>
          </cell>
          <cell r="C34">
            <v>0.54</v>
          </cell>
        </row>
        <row r="35">
          <cell r="A35" t="str">
            <v>112926-00-8</v>
          </cell>
          <cell r="B35" t="str">
            <v>Silicon dioxide</v>
          </cell>
          <cell r="C35">
            <v>676.44999999999993</v>
          </cell>
        </row>
        <row r="36">
          <cell r="A36" t="str">
            <v>112945-52-5</v>
          </cell>
          <cell r="B36" t="str">
            <v>Silicon dioxide</v>
          </cell>
          <cell r="C36">
            <v>110.85</v>
          </cell>
        </row>
        <row r="37">
          <cell r="A37" t="str">
            <v>122-99-6</v>
          </cell>
          <cell r="B37" t="str">
            <v>2-Phenoxyethanol</v>
          </cell>
          <cell r="C37">
            <v>0</v>
          </cell>
        </row>
        <row r="38">
          <cell r="A38" t="str">
            <v>123-31-9</v>
          </cell>
          <cell r="B38" t="str">
            <v>Hydroquinone</v>
          </cell>
          <cell r="C38">
            <v>3.65</v>
          </cell>
        </row>
        <row r="39">
          <cell r="A39" t="str">
            <v>127-09-3</v>
          </cell>
          <cell r="B39" t="str">
            <v>Sodium acetate</v>
          </cell>
          <cell r="C39">
            <v>16.8</v>
          </cell>
        </row>
        <row r="40">
          <cell r="A40" t="str">
            <v>128-37-0</v>
          </cell>
          <cell r="B40" t="str">
            <v>2,6-Di-tert-butyl-p-cresol</v>
          </cell>
          <cell r="C40">
            <v>50.2</v>
          </cell>
        </row>
        <row r="41">
          <cell r="A41" t="str">
            <v>128-39-2</v>
          </cell>
          <cell r="B41" t="str">
            <v>2,6-di-tert-butylphenol</v>
          </cell>
          <cell r="C41">
            <v>0</v>
          </cell>
        </row>
        <row r="42">
          <cell r="A42" t="str">
            <v>1310-58-3</v>
          </cell>
          <cell r="B42" t="str">
            <v>Potassium hydroxide</v>
          </cell>
          <cell r="C42">
            <v>39.343299999999999</v>
          </cell>
        </row>
        <row r="43">
          <cell r="A43" t="str">
            <v>1310-73-2</v>
          </cell>
          <cell r="B43" t="str">
            <v>Sodium hydroxide</v>
          </cell>
          <cell r="C43">
            <v>0</v>
          </cell>
        </row>
        <row r="44">
          <cell r="A44" t="str">
            <v>1312-76-1</v>
          </cell>
          <cell r="B44" t="str">
            <v>Silicic acid, potassium salt</v>
          </cell>
          <cell r="C44">
            <v>208.9</v>
          </cell>
        </row>
        <row r="45">
          <cell r="A45" t="str">
            <v>132-27-4</v>
          </cell>
          <cell r="B45" t="str">
            <v>[1,1'-Biphenyl]-2-ol sodium salt ; Sodium 2-biphenylate</v>
          </cell>
          <cell r="C45">
            <v>2.4749999999999996</v>
          </cell>
        </row>
        <row r="46">
          <cell r="A46" t="str">
            <v>1324-76-1</v>
          </cell>
          <cell r="B46" t="str">
            <v>C.I. pigment blue 061</v>
          </cell>
          <cell r="C46">
            <v>141.5</v>
          </cell>
        </row>
        <row r="47">
          <cell r="A47" t="str">
            <v>1328-53-6</v>
          </cell>
          <cell r="B47" t="str">
            <v>C.I. pigment green 007</v>
          </cell>
          <cell r="C47">
            <v>0</v>
          </cell>
        </row>
        <row r="48">
          <cell r="A48" t="str">
            <v>1330-20-7</v>
          </cell>
          <cell r="B48" t="str">
            <v>Xylene ; Dimethylbenzene</v>
          </cell>
          <cell r="C48">
            <v>14</v>
          </cell>
        </row>
        <row r="49">
          <cell r="A49" t="str">
            <v>1333-86-4</v>
          </cell>
          <cell r="B49" t="str">
            <v>Carbon black ; Acetylene black</v>
          </cell>
          <cell r="C49">
            <v>9936.0150000000012</v>
          </cell>
        </row>
        <row r="50">
          <cell r="A50" t="str">
            <v>1344-09-8</v>
          </cell>
          <cell r="B50" t="str">
            <v>Sodium silicate</v>
          </cell>
          <cell r="C50">
            <v>5441.3</v>
          </cell>
        </row>
        <row r="51">
          <cell r="A51" t="str">
            <v>13463-67-7</v>
          </cell>
          <cell r="B51" t="str">
            <v>Titanium dioxide</v>
          </cell>
          <cell r="C51">
            <v>12996.699999999999</v>
          </cell>
        </row>
        <row r="52">
          <cell r="A52" t="str">
            <v>14047-60-0</v>
          </cell>
          <cell r="B52" t="str">
            <v>Nonanoic acid sodium salt ; Sodium nonanoate</v>
          </cell>
          <cell r="C52">
            <v>0</v>
          </cell>
        </row>
        <row r="53">
          <cell r="A53" t="str">
            <v>141-78-6</v>
          </cell>
          <cell r="B53" t="str">
            <v>Acetic acid ethyl ester ; Ethyl acetate</v>
          </cell>
          <cell r="C53">
            <v>52274.409999999989</v>
          </cell>
        </row>
        <row r="54">
          <cell r="A54" t="str">
            <v>142-16-5</v>
          </cell>
          <cell r="B54" t="str">
            <v>Bis(2-ethylhexyl) maleate</v>
          </cell>
          <cell r="C54">
            <v>1.2</v>
          </cell>
        </row>
        <row r="55">
          <cell r="A55" t="str">
            <v>147-14-8</v>
          </cell>
          <cell r="B55" t="str">
            <v>Copper, phthalocyanine</v>
          </cell>
          <cell r="C55">
            <v>12231.699999999999</v>
          </cell>
        </row>
        <row r="56">
          <cell r="A56" t="str">
            <v>15625-89-5</v>
          </cell>
          <cell r="B56" t="str">
            <v>2-Propenoic acid 2-ethyl-2-[[(1-oxo-2-propenyl)oxy]methyl]-1,3-propanediyl ester ; Trimethylolpropane triacrylate</v>
          </cell>
          <cell r="C56">
            <v>4770</v>
          </cell>
        </row>
        <row r="57">
          <cell r="A57" t="str">
            <v>15793-73-4</v>
          </cell>
          <cell r="B57" t="str">
            <v>C.I. pigment orange 034</v>
          </cell>
          <cell r="C57">
            <v>33.6</v>
          </cell>
        </row>
        <row r="58">
          <cell r="A58" t="str">
            <v>166412-78-8</v>
          </cell>
          <cell r="B58" t="str">
            <v>Diisononyl 1,2-cyclohexanedicarboxylate</v>
          </cell>
          <cell r="C58">
            <v>134.75</v>
          </cell>
        </row>
        <row r="59">
          <cell r="A59" t="str">
            <v>1717-00-6</v>
          </cell>
          <cell r="B59" t="str">
            <v>1,1'-Dichloro-1-fluoroethane (HCFC 141b)</v>
          </cell>
          <cell r="C59">
            <v>0</v>
          </cell>
        </row>
        <row r="60">
          <cell r="A60" t="str">
            <v>19210-06-1</v>
          </cell>
          <cell r="B60" t="str">
            <v>Phosphorodithioic acid zinc salt</v>
          </cell>
          <cell r="C60">
            <v>0.30660000000000004</v>
          </cell>
        </row>
        <row r="61">
          <cell r="A61" t="str">
            <v>24937-78-8</v>
          </cell>
          <cell r="B61" t="str">
            <v>Acetic acid ethenyl ester polymer with ethene ; EVA</v>
          </cell>
          <cell r="C61">
            <v>13756.1</v>
          </cell>
        </row>
        <row r="62">
          <cell r="A62" t="str">
            <v>25087-34-7</v>
          </cell>
          <cell r="B62" t="str">
            <v>1-Butene polymer with ethene</v>
          </cell>
          <cell r="C62">
            <v>6150</v>
          </cell>
        </row>
        <row r="63">
          <cell r="A63" t="str">
            <v>25154-85-2</v>
          </cell>
          <cell r="B63" t="str">
            <v>1-(Ethenyloxy)-2-methylpropane polymer with chloroethene</v>
          </cell>
          <cell r="C63">
            <v>3976.4999999999995</v>
          </cell>
        </row>
        <row r="64">
          <cell r="A64" t="str">
            <v>25213-02-9</v>
          </cell>
          <cell r="B64" t="str">
            <v>Ethylene-1-hexene copolymer</v>
          </cell>
          <cell r="C64">
            <v>4100</v>
          </cell>
        </row>
        <row r="65">
          <cell r="A65" t="str">
            <v>25322-68-3</v>
          </cell>
          <cell r="B65" t="str">
            <v>α-Hydro-ω-hydroxypoly(oxy-1,2-ethanediyl)</v>
          </cell>
          <cell r="C65">
            <v>20.7</v>
          </cell>
        </row>
        <row r="66">
          <cell r="A66" t="str">
            <v>26221-73-8</v>
          </cell>
          <cell r="B66" t="str">
            <v>Ethylene-1-octene copolymer</v>
          </cell>
          <cell r="C66">
            <v>4100</v>
          </cell>
        </row>
        <row r="67">
          <cell r="A67" t="str">
            <v>33703-08-1</v>
          </cell>
          <cell r="B67" t="str">
            <v>Diisononyl adipate</v>
          </cell>
          <cell r="C67">
            <v>0</v>
          </cell>
        </row>
        <row r="68">
          <cell r="A68" t="str">
            <v>34375-28-5</v>
          </cell>
          <cell r="B68" t="str">
            <v>2-(Hydroxymethylamino)ethanol</v>
          </cell>
          <cell r="C68">
            <v>3</v>
          </cell>
        </row>
        <row r="69">
          <cell r="A69" t="str">
            <v>34398-01-1</v>
          </cell>
          <cell r="B69" t="str">
            <v>Polyethylene glycol monoundecyl</v>
          </cell>
          <cell r="C69">
            <v>0.54</v>
          </cell>
        </row>
        <row r="70">
          <cell r="A70" t="str">
            <v>34590-94-8</v>
          </cell>
          <cell r="B70" t="str">
            <v>Dipropylene glycol methyl ether</v>
          </cell>
          <cell r="C70">
            <v>0.6</v>
          </cell>
        </row>
        <row r="71">
          <cell r="A71" t="str">
            <v>4259-15-8</v>
          </cell>
          <cell r="B71" t="str">
            <v>Phosphorodithioic acid O,O-bis(2-ethylhexyl) ester, zinc salt</v>
          </cell>
          <cell r="C71">
            <v>0.02</v>
          </cell>
        </row>
        <row r="72">
          <cell r="A72" t="str">
            <v>471-34-1</v>
          </cell>
          <cell r="B72" t="str">
            <v>Calcium carbonate</v>
          </cell>
          <cell r="C72">
            <v>15247</v>
          </cell>
        </row>
        <row r="73">
          <cell r="A73" t="str">
            <v>50-21-5</v>
          </cell>
          <cell r="B73" t="str">
            <v>Lactic acid</v>
          </cell>
          <cell r="C73">
            <v>47.04</v>
          </cell>
        </row>
        <row r="74">
          <cell r="A74" t="str">
            <v>5102-83-0</v>
          </cell>
          <cell r="B74" t="str">
            <v>C.I. pigment yellow 013</v>
          </cell>
          <cell r="C74">
            <v>146.5</v>
          </cell>
        </row>
        <row r="75">
          <cell r="A75" t="str">
            <v>52-51-7</v>
          </cell>
          <cell r="B75" t="str">
            <v>2-Bromo-2-nitro-1,3-propanediol ; Bronopol</v>
          </cell>
          <cell r="C75">
            <v>0</v>
          </cell>
        </row>
        <row r="76">
          <cell r="A76" t="str">
            <v>5274-68-0</v>
          </cell>
          <cell r="B76" t="str">
            <v>3,6,9,12-Tetraoxatetracosan-1-ol</v>
          </cell>
          <cell r="C76">
            <v>0</v>
          </cell>
        </row>
        <row r="77">
          <cell r="A77" t="str">
            <v>5280-68-2</v>
          </cell>
          <cell r="B77" t="str">
            <v>C.I. pigment red 146</v>
          </cell>
          <cell r="C77">
            <v>11.25</v>
          </cell>
        </row>
        <row r="78">
          <cell r="A78" t="str">
            <v>5395-50-6</v>
          </cell>
          <cell r="B78" t="str">
            <v>Tetrahydro-1,3,4,6-tetrakis(hydroxymethyl)-imidazo[4,5-d]-imidazole-2,5(1H,3H)-dione</v>
          </cell>
          <cell r="C78">
            <v>2.34</v>
          </cell>
        </row>
        <row r="79">
          <cell r="A79" t="str">
            <v>5468-75-7</v>
          </cell>
          <cell r="B79" t="str">
            <v>2,2'-[(3,3'-Dichloro[1,1'-biphenyl]-4,4'-diyl)bis(azo)]bis[N-(2-methyphenyl)-3-oxo-butanamide]</v>
          </cell>
          <cell r="C79">
            <v>110.8</v>
          </cell>
        </row>
        <row r="80">
          <cell r="A80" t="str">
            <v>5567-15-7</v>
          </cell>
          <cell r="B80" t="str">
            <v>C.I. pigment yellow 083</v>
          </cell>
          <cell r="C80">
            <v>68.100000000000009</v>
          </cell>
        </row>
        <row r="81">
          <cell r="A81" t="str">
            <v>55965-84-9</v>
          </cell>
          <cell r="B81" t="str">
            <v>5-Chloro-2-methyl-3(2H)-isothiazolone, mixt. with 2-methyl-3(2H)-isothiazolone</v>
          </cell>
          <cell r="C81">
            <v>0.15960000000000002</v>
          </cell>
        </row>
        <row r="82">
          <cell r="A82" t="str">
            <v>56-81-5</v>
          </cell>
          <cell r="B82" t="str">
            <v>Glycerol</v>
          </cell>
          <cell r="C82">
            <v>260.67499999999995</v>
          </cell>
        </row>
        <row r="83">
          <cell r="A83" t="str">
            <v>57-13-6</v>
          </cell>
          <cell r="B83" t="str">
            <v>Urea</v>
          </cell>
          <cell r="C83">
            <v>0.6</v>
          </cell>
        </row>
        <row r="84">
          <cell r="A84" t="str">
            <v>57-55-6</v>
          </cell>
          <cell r="B84" t="str">
            <v>Propylene glycol</v>
          </cell>
          <cell r="C84">
            <v>336.42</v>
          </cell>
        </row>
        <row r="85">
          <cell r="A85" t="str">
            <v>577-11-7</v>
          </cell>
          <cell r="B85" t="str">
            <v>Sulfobutanedioic acid 1,4-bis(2-ethylhexyl)ester sodium salt</v>
          </cell>
          <cell r="C85">
            <v>0.09</v>
          </cell>
        </row>
        <row r="86">
          <cell r="A86" t="str">
            <v>584-08-7</v>
          </cell>
          <cell r="B86" t="str">
            <v>Potassium carbonate</v>
          </cell>
          <cell r="C86">
            <v>7.3</v>
          </cell>
        </row>
        <row r="87">
          <cell r="A87" t="str">
            <v>616-45-5</v>
          </cell>
          <cell r="B87" t="str">
            <v>2-Pyrrolidinone</v>
          </cell>
          <cell r="C87">
            <v>8.9</v>
          </cell>
        </row>
        <row r="88">
          <cell r="A88" t="str">
            <v>617-48-1</v>
          </cell>
          <cell r="B88" t="str">
            <v>DL-Malic acid</v>
          </cell>
          <cell r="C88">
            <v>0.5</v>
          </cell>
        </row>
        <row r="89">
          <cell r="A89" t="str">
            <v>63148-62-9</v>
          </cell>
          <cell r="B89" t="str">
            <v>Siloxanes and Silicones, di-Me</v>
          </cell>
          <cell r="C89">
            <v>63.67</v>
          </cell>
        </row>
        <row r="90">
          <cell r="A90" t="str">
            <v>6358-30-1</v>
          </cell>
          <cell r="B90" t="str">
            <v>C.I. pigment violet 023</v>
          </cell>
          <cell r="C90">
            <v>1068.9000000000001</v>
          </cell>
        </row>
        <row r="91">
          <cell r="A91" t="str">
            <v>6358-85-6</v>
          </cell>
          <cell r="B91" t="str">
            <v>C.I. pigment yellow 012</v>
          </cell>
          <cell r="C91">
            <v>10261.85</v>
          </cell>
        </row>
        <row r="92">
          <cell r="A92" t="str">
            <v>64-17-5</v>
          </cell>
          <cell r="B92" t="str">
            <v>Ethanol</v>
          </cell>
          <cell r="C92">
            <v>12923.6</v>
          </cell>
        </row>
        <row r="93">
          <cell r="A93" t="str">
            <v>6419-19-8</v>
          </cell>
          <cell r="B93" t="str">
            <v>Aminotri (methylenephosphoric acid)</v>
          </cell>
          <cell r="C93">
            <v>0</v>
          </cell>
        </row>
        <row r="94">
          <cell r="A94" t="str">
            <v>64-19-7</v>
          </cell>
          <cell r="B94" t="str">
            <v>Acetic acid ; Glacial acetic acid</v>
          </cell>
          <cell r="C94">
            <v>2.4</v>
          </cell>
        </row>
        <row r="95">
          <cell r="A95" t="str">
            <v>64741-46-4</v>
          </cell>
          <cell r="B95" t="str">
            <v>Naphtha (petroleum), light straight-run</v>
          </cell>
          <cell r="C95">
            <v>8851.52</v>
          </cell>
        </row>
        <row r="96">
          <cell r="A96" t="str">
            <v>64742-01-4</v>
          </cell>
          <cell r="B96" t="str">
            <v>Residual oils (petroleum), solvent-refined</v>
          </cell>
          <cell r="C96">
            <v>9.5</v>
          </cell>
        </row>
        <row r="97">
          <cell r="A97" t="str">
            <v>64742-16-1</v>
          </cell>
          <cell r="B97" t="str">
            <v>Petroleum resins</v>
          </cell>
          <cell r="C97">
            <v>18817.8</v>
          </cell>
        </row>
        <row r="98">
          <cell r="A98" t="str">
            <v>64742-46-7</v>
          </cell>
          <cell r="B98" t="str">
            <v>Distillates (petroleum), hydrotreated middle</v>
          </cell>
          <cell r="C98">
            <v>24.78</v>
          </cell>
        </row>
        <row r="99">
          <cell r="A99" t="str">
            <v>64742-47-8</v>
          </cell>
          <cell r="B99" t="str">
            <v>Distillates (petroleum), hydrotreated light</v>
          </cell>
          <cell r="C99">
            <v>72774.100000000006</v>
          </cell>
        </row>
        <row r="100">
          <cell r="A100" t="str">
            <v>64742-48-9</v>
          </cell>
          <cell r="B100" t="str">
            <v>Naphtha (petroleum), hydrotreated heavy</v>
          </cell>
          <cell r="C100">
            <v>240.54</v>
          </cell>
        </row>
        <row r="101">
          <cell r="A101" t="str">
            <v>64742-49-0</v>
          </cell>
          <cell r="B101" t="str">
            <v>Naphtha (petroleum), hydrotreated light</v>
          </cell>
          <cell r="C101">
            <v>70.7</v>
          </cell>
        </row>
        <row r="102">
          <cell r="A102" t="str">
            <v>64742-54-7</v>
          </cell>
          <cell r="B102" t="str">
            <v>Distillates (petroleum), hydrotreated heavy paraffinic</v>
          </cell>
          <cell r="C102">
            <v>1050.7</v>
          </cell>
        </row>
        <row r="103">
          <cell r="A103" t="str">
            <v>64742-55-8</v>
          </cell>
          <cell r="B103" t="str">
            <v>Distillates (petroleum), hydrotreated light paraffinic</v>
          </cell>
          <cell r="C103">
            <v>7459.4500000000016</v>
          </cell>
        </row>
        <row r="104">
          <cell r="A104" t="str">
            <v>64742-62-7</v>
          </cell>
          <cell r="B104" t="str">
            <v>Residual oils (petroleum) solvent dewaxed</v>
          </cell>
          <cell r="C104">
            <v>69.355000000000004</v>
          </cell>
        </row>
        <row r="105">
          <cell r="A105" t="str">
            <v>64742-65-0</v>
          </cell>
          <cell r="B105" t="str">
            <v>Distillates (petroleum), solvent-dewaxed heavy paraffinic</v>
          </cell>
          <cell r="C105">
            <v>23.847999999999999</v>
          </cell>
        </row>
        <row r="106">
          <cell r="A106" t="str">
            <v>64742-80-9</v>
          </cell>
          <cell r="B106" t="str">
            <v>Distillates (petroleum), hydrodesulfurized middle</v>
          </cell>
          <cell r="C106">
            <v>3392.2</v>
          </cell>
        </row>
        <row r="107">
          <cell r="A107" t="str">
            <v>64742-82-1</v>
          </cell>
          <cell r="B107" t="str">
            <v>Naphtha (petroleum), hydrodesulfurized heavy</v>
          </cell>
          <cell r="C107">
            <v>0</v>
          </cell>
        </row>
        <row r="108">
          <cell r="A108" t="str">
            <v>64742-95-6</v>
          </cell>
          <cell r="B108" t="str">
            <v>Solvent naphtha (petroleum), light arom.</v>
          </cell>
          <cell r="C108">
            <v>240</v>
          </cell>
        </row>
        <row r="109">
          <cell r="A109" t="str">
            <v>6484-52-2</v>
          </cell>
          <cell r="B109" t="str">
            <v>Ammonium nitrate</v>
          </cell>
          <cell r="C109">
            <v>122</v>
          </cell>
        </row>
        <row r="110">
          <cell r="A110" t="str">
            <v>6683-19-8</v>
          </cell>
          <cell r="B110" t="str">
            <v>3,5-Bis(1,1-dimethylethyl)-4-hydroxybenzene- propanoic acid 2,2-bis[[3-[3,5-bis(1,1- dimethylethyl)-4-hydroxyphenyl]-1-oxo- propoxy]methyl]-1,3-propanediyl ester</v>
          </cell>
          <cell r="C110">
            <v>0</v>
          </cell>
        </row>
        <row r="111">
          <cell r="A111" t="str">
            <v>67-56-1</v>
          </cell>
          <cell r="B111" t="str">
            <v>Methanol ; Methyl alcohol</v>
          </cell>
          <cell r="C111">
            <v>575.35</v>
          </cell>
        </row>
        <row r="112">
          <cell r="A112" t="str">
            <v>67-63-0</v>
          </cell>
          <cell r="B112" t="str">
            <v>2-Propanol</v>
          </cell>
          <cell r="C112">
            <v>93980.127999999982</v>
          </cell>
        </row>
        <row r="113">
          <cell r="A113" t="str">
            <v>67-64-1</v>
          </cell>
          <cell r="B113" t="str">
            <v>Acetone</v>
          </cell>
          <cell r="C113">
            <v>2.1</v>
          </cell>
        </row>
        <row r="114">
          <cell r="A114" t="str">
            <v>67989-22-4</v>
          </cell>
          <cell r="B114" t="str">
            <v>C.I. basic violet 001, molybdatephosphate</v>
          </cell>
          <cell r="C114">
            <v>0</v>
          </cell>
        </row>
        <row r="115">
          <cell r="A115" t="str">
            <v>68002-58-4</v>
          </cell>
          <cell r="B115" t="str">
            <v>Quaternary ammonium compounds, dialkyl(C=14-18)dimethyl, Me sulfates</v>
          </cell>
          <cell r="C115">
            <v>0</v>
          </cell>
        </row>
        <row r="116">
          <cell r="A116" t="str">
            <v>68038-41-5</v>
          </cell>
          <cell r="B116" t="str">
            <v>Rosin, maleated polymer with glycerol</v>
          </cell>
          <cell r="C116">
            <v>127.95</v>
          </cell>
        </row>
        <row r="117">
          <cell r="A117" t="str">
            <v>68130-80-3</v>
          </cell>
          <cell r="B117" t="str">
            <v>4,4'-(1-Methylethylidene)bisphenol polymer with (chloromethyl)oxirane, monoesters with (C=18)-unsatd. fatty acid dimers</v>
          </cell>
          <cell r="C117">
            <v>0</v>
          </cell>
        </row>
        <row r="118">
          <cell r="A118" t="str">
            <v>68131-40-8</v>
          </cell>
          <cell r="B118" t="str">
            <v>Ethoxylated secondary alcohols (C=11-15)</v>
          </cell>
          <cell r="C118">
            <v>0</v>
          </cell>
        </row>
        <row r="119">
          <cell r="A119" t="str">
            <v>68139-80-0</v>
          </cell>
          <cell r="B119" t="str">
            <v>Fatty acids, (C=18)-unsatd., dimers polymers with ethylenediamine and tall oil fatty acids</v>
          </cell>
          <cell r="C119">
            <v>12255.000000000002</v>
          </cell>
        </row>
        <row r="120">
          <cell r="A120" t="str">
            <v>68334-30-5</v>
          </cell>
          <cell r="B120" t="str">
            <v>Fuels, diesel</v>
          </cell>
          <cell r="C120">
            <v>0</v>
          </cell>
        </row>
        <row r="121">
          <cell r="A121" t="str">
            <v>68411-30-3</v>
          </cell>
          <cell r="B121" t="str">
            <v>C10-13 Alkylbenzene sulfonic acid, sodium salt</v>
          </cell>
          <cell r="C121">
            <v>0</v>
          </cell>
        </row>
        <row r="122">
          <cell r="A122" t="str">
            <v>68442-33-1</v>
          </cell>
          <cell r="B122" t="str">
            <v>Chlorinated polypropylene ; 1-Propene homopolymer, chlorinated</v>
          </cell>
          <cell r="C122">
            <v>599.00000000000011</v>
          </cell>
        </row>
        <row r="123">
          <cell r="A123" t="str">
            <v>6846-50-0</v>
          </cell>
          <cell r="B123" t="str">
            <v>2,2,4-Trimethyl-1,3-pentanediolester diisobutyrate</v>
          </cell>
          <cell r="C123">
            <v>0</v>
          </cell>
        </row>
        <row r="124">
          <cell r="A124" t="str">
            <v>68476-85-7</v>
          </cell>
          <cell r="B124" t="str">
            <v>Petroleum gases, liquefied</v>
          </cell>
          <cell r="C124">
            <v>679.5</v>
          </cell>
        </row>
        <row r="125">
          <cell r="A125" t="str">
            <v>68511-50-2</v>
          </cell>
          <cell r="B125" t="str">
            <v>2-Methyl-1-propene, sulfurized</v>
          </cell>
          <cell r="C125">
            <v>7.0000000000000007E-2</v>
          </cell>
        </row>
        <row r="126">
          <cell r="A126" t="str">
            <v>68610-92-4</v>
          </cell>
          <cell r="B126" t="str">
            <v>α-[2-Hydroxy-3-(trimethylammonio)propyl]-ω-hydroxypoly(oxy-1,2-ethanediyl), ether with cellulose, chloride</v>
          </cell>
          <cell r="C126">
            <v>0</v>
          </cell>
        </row>
        <row r="127">
          <cell r="A127" t="str">
            <v>6920-22-5</v>
          </cell>
          <cell r="B127" t="str">
            <v>DL-Hexane-1,2-diol</v>
          </cell>
          <cell r="C127">
            <v>0.16</v>
          </cell>
        </row>
        <row r="128">
          <cell r="A128" t="str">
            <v>69430-35-9</v>
          </cell>
          <cell r="B128" t="str">
            <v>Hydrogenated hydrocarbons (C=6-20) polymers</v>
          </cell>
          <cell r="C128">
            <v>4820</v>
          </cell>
        </row>
        <row r="129">
          <cell r="A129" t="str">
            <v>70955-45-2</v>
          </cell>
          <cell r="B129" t="str">
            <v>Rosin polymer with formaldehyde, glycerol, octylphenol and polymd. rosin</v>
          </cell>
          <cell r="C129">
            <v>60613.2</v>
          </cell>
        </row>
        <row r="130">
          <cell r="A130" t="str">
            <v>71-43-2</v>
          </cell>
          <cell r="B130" t="str">
            <v>Benzene</v>
          </cell>
          <cell r="C130">
            <v>72.795000000000002</v>
          </cell>
        </row>
        <row r="131">
          <cell r="A131" t="str">
            <v>72102-84-2</v>
          </cell>
          <cell r="B131" t="str">
            <v/>
          </cell>
          <cell r="C131">
            <v>0</v>
          </cell>
        </row>
        <row r="132">
          <cell r="A132" t="str">
            <v>7429-90-5</v>
          </cell>
          <cell r="B132" t="str">
            <v>Aluminium</v>
          </cell>
          <cell r="C132">
            <v>107.05</v>
          </cell>
        </row>
        <row r="133">
          <cell r="A133" t="str">
            <v>7439-89-6</v>
          </cell>
          <cell r="B133" t="str">
            <v>Iron</v>
          </cell>
          <cell r="C133">
            <v>7.84</v>
          </cell>
        </row>
        <row r="134">
          <cell r="A134" t="str">
            <v>7439-96-5</v>
          </cell>
          <cell r="B134" t="str">
            <v>Manganese</v>
          </cell>
          <cell r="C134">
            <v>0.12</v>
          </cell>
        </row>
        <row r="135">
          <cell r="A135" t="str">
            <v>7440-44-0</v>
          </cell>
          <cell r="B135" t="str">
            <v>Carbon ; Activated carbon</v>
          </cell>
          <cell r="C135">
            <v>0.12</v>
          </cell>
        </row>
        <row r="136">
          <cell r="A136" t="str">
            <v>7440-50-8</v>
          </cell>
          <cell r="B136" t="str">
            <v>Copper</v>
          </cell>
          <cell r="C136">
            <v>0.9</v>
          </cell>
        </row>
        <row r="137">
          <cell r="A137" t="str">
            <v>7440-66-6</v>
          </cell>
          <cell r="B137" t="str">
            <v>Zinc</v>
          </cell>
          <cell r="C137">
            <v>0.6</v>
          </cell>
        </row>
        <row r="138">
          <cell r="A138" t="str">
            <v>74-98-6</v>
          </cell>
          <cell r="B138" t="str">
            <v>Propane</v>
          </cell>
          <cell r="C138">
            <v>9.43</v>
          </cell>
        </row>
        <row r="139">
          <cell r="A139" t="str">
            <v>75-28-5</v>
          </cell>
          <cell r="B139" t="str">
            <v>2-Methylpropane ; Isobutane</v>
          </cell>
          <cell r="C139">
            <v>6.120000000000001</v>
          </cell>
        </row>
        <row r="140">
          <cell r="A140" t="str">
            <v>7558-80-7</v>
          </cell>
          <cell r="B140" t="str">
            <v>Sodium phosphate monobasic</v>
          </cell>
          <cell r="C140">
            <v>94.08</v>
          </cell>
        </row>
        <row r="141">
          <cell r="A141" t="str">
            <v>7580-85-0</v>
          </cell>
          <cell r="B141" t="str">
            <v>Ethylene glycol mono-tert-butyl ether</v>
          </cell>
          <cell r="C141">
            <v>732</v>
          </cell>
        </row>
        <row r="142">
          <cell r="A142" t="str">
            <v>75-83-2</v>
          </cell>
          <cell r="B142" t="str">
            <v>2,2-Dimethylbutane</v>
          </cell>
          <cell r="C142">
            <v>0.21</v>
          </cell>
        </row>
        <row r="143">
          <cell r="A143" t="str">
            <v>7585-41-3</v>
          </cell>
          <cell r="B143" t="str">
            <v>4-[(5-Chloro-4-methyl-2-sulfophenyl)azo]-3-hydroxy-2-naphthalenecarboxylic acid barium salt (1:1)</v>
          </cell>
          <cell r="C143">
            <v>76.350000000000009</v>
          </cell>
        </row>
        <row r="144">
          <cell r="A144" t="str">
            <v>76199-85-4</v>
          </cell>
          <cell r="B144" t="str">
            <v>2-Cyano-2-[2,3-dihydro-3-(tetrahydro-2,4,6-trioxo-5(2H)-pyrimidinylidene)-1H-isoindol-1-ylidene]-N-methylacetamide</v>
          </cell>
          <cell r="C144">
            <v>0</v>
          </cell>
        </row>
        <row r="145">
          <cell r="A145" t="str">
            <v>7631-86-9</v>
          </cell>
          <cell r="B145" t="str">
            <v>Silicon dioxide</v>
          </cell>
          <cell r="C145">
            <v>23.6</v>
          </cell>
        </row>
        <row r="146">
          <cell r="A146" t="str">
            <v>7631-99-4</v>
          </cell>
          <cell r="B146" t="str">
            <v>Sodium nitrate</v>
          </cell>
          <cell r="C146">
            <v>0.3</v>
          </cell>
        </row>
        <row r="147">
          <cell r="A147" t="str">
            <v>7647-15-6</v>
          </cell>
          <cell r="B147" t="str">
            <v>Sodium bromide</v>
          </cell>
          <cell r="C147">
            <v>3.65</v>
          </cell>
        </row>
        <row r="148">
          <cell r="A148" t="str">
            <v>7664-38-2</v>
          </cell>
          <cell r="B148" t="str">
            <v>Orthophosphoric acid</v>
          </cell>
          <cell r="C148">
            <v>53.515000000000001</v>
          </cell>
        </row>
        <row r="149">
          <cell r="A149" t="str">
            <v>7681-57-4</v>
          </cell>
          <cell r="B149" t="str">
            <v>Disodium disulphite</v>
          </cell>
          <cell r="C149">
            <v>36</v>
          </cell>
        </row>
        <row r="150">
          <cell r="A150" t="str">
            <v>7704-34-9</v>
          </cell>
          <cell r="B150" t="str">
            <v>Sulfur, precipitated, sublimed or colloidal</v>
          </cell>
          <cell r="C150">
            <v>0.12</v>
          </cell>
        </row>
        <row r="151">
          <cell r="A151" t="str">
            <v>7723-14-0</v>
          </cell>
          <cell r="B151" t="str">
            <v>Phosphorus</v>
          </cell>
          <cell r="C151">
            <v>0.12</v>
          </cell>
        </row>
        <row r="152">
          <cell r="A152" t="str">
            <v>7727-54-0</v>
          </cell>
          <cell r="B152" t="str">
            <v>Ammonium persulfate</v>
          </cell>
          <cell r="C152">
            <v>0</v>
          </cell>
        </row>
        <row r="153">
          <cell r="A153" t="str">
            <v>7732-18-5</v>
          </cell>
          <cell r="B153" t="str">
            <v>Water</v>
          </cell>
          <cell r="C153">
            <v>25214.982399999997</v>
          </cell>
        </row>
        <row r="154">
          <cell r="A154" t="str">
            <v>7757-83-7</v>
          </cell>
          <cell r="B154" t="str">
            <v>Sodium sulfite</v>
          </cell>
          <cell r="C154">
            <v>0</v>
          </cell>
        </row>
        <row r="155">
          <cell r="A155" t="str">
            <v>7783-18-8</v>
          </cell>
          <cell r="B155" t="str">
            <v>Ammonium thiosulfate</v>
          </cell>
          <cell r="C155">
            <v>24</v>
          </cell>
        </row>
        <row r="156">
          <cell r="A156" t="str">
            <v>77-92-9</v>
          </cell>
          <cell r="B156" t="str">
            <v>Citric acid</v>
          </cell>
          <cell r="C156">
            <v>55.76</v>
          </cell>
        </row>
        <row r="157">
          <cell r="A157" t="str">
            <v>78-93-3</v>
          </cell>
          <cell r="B157" t="str">
            <v>Methyl ethyl ketone ; MEK, 2-Butanone</v>
          </cell>
          <cell r="C157">
            <v>28566.65</v>
          </cell>
        </row>
        <row r="158">
          <cell r="A158" t="str">
            <v>79-20-9</v>
          </cell>
          <cell r="B158" t="str">
            <v>Methyl acetate ; Acetic acid methyl ester</v>
          </cell>
          <cell r="C158">
            <v>14.14</v>
          </cell>
        </row>
        <row r="159">
          <cell r="A159" t="str">
            <v>79-29-8</v>
          </cell>
          <cell r="B159" t="str">
            <v>2,3-Dimethylbutane</v>
          </cell>
          <cell r="C159">
            <v>0.21</v>
          </cell>
        </row>
        <row r="160">
          <cell r="A160" t="str">
            <v>79-33-4</v>
          </cell>
          <cell r="B160" t="str">
            <v>1-(+)-Lactic acid</v>
          </cell>
          <cell r="C160">
            <v>0.09</v>
          </cell>
        </row>
        <row r="161">
          <cell r="A161" t="str">
            <v>8001-20-5</v>
          </cell>
          <cell r="B161" t="str">
            <v>Tung oil</v>
          </cell>
          <cell r="C161">
            <v>3.8</v>
          </cell>
        </row>
        <row r="162">
          <cell r="A162" t="str">
            <v>8001-22-7</v>
          </cell>
          <cell r="B162" t="str">
            <v>Soybean oil</v>
          </cell>
          <cell r="C162">
            <v>21795.69</v>
          </cell>
        </row>
        <row r="163">
          <cell r="A163" t="str">
            <v>8001-26-1</v>
          </cell>
          <cell r="B163" t="str">
            <v>Linseed oil</v>
          </cell>
          <cell r="C163">
            <v>25985.299999999996</v>
          </cell>
        </row>
        <row r="164">
          <cell r="A164" t="str">
            <v>8002-74-2</v>
          </cell>
          <cell r="B164" t="str">
            <v>Paraffin wax ; Paraffin waxes and Hydrocarbon waxes</v>
          </cell>
          <cell r="C164">
            <v>10446.649999999996</v>
          </cell>
        </row>
        <row r="165">
          <cell r="A165" t="str">
            <v>8008-20-6</v>
          </cell>
          <cell r="B165" t="str">
            <v>Kerosine ; Kerosene</v>
          </cell>
          <cell r="C165">
            <v>0</v>
          </cell>
        </row>
        <row r="166">
          <cell r="A166" t="str">
            <v>8042-47-5</v>
          </cell>
          <cell r="B166" t="str">
            <v>White mineral oil (petroleum)</v>
          </cell>
          <cell r="C166">
            <v>2.65</v>
          </cell>
        </row>
        <row r="167">
          <cell r="A167" t="str">
            <v>8050-26-8</v>
          </cell>
          <cell r="B167" t="str">
            <v>Resin acids and Rosin acids, esters with pentaerythritol</v>
          </cell>
          <cell r="C167">
            <v>7706.4</v>
          </cell>
        </row>
        <row r="168">
          <cell r="A168" t="str">
            <v>8052-41-3</v>
          </cell>
          <cell r="B168" t="str">
            <v>Stoddard solvent</v>
          </cell>
          <cell r="C168">
            <v>7.26</v>
          </cell>
        </row>
        <row r="169">
          <cell r="A169" t="str">
            <v>84649-84-3</v>
          </cell>
          <cell r="B169" t="str">
            <v/>
          </cell>
          <cell r="C169">
            <v>1.01</v>
          </cell>
        </row>
        <row r="170">
          <cell r="A170" t="str">
            <v>9002-84-0</v>
          </cell>
          <cell r="B170" t="str">
            <v>Tetrafluoroethene homopolymer ; Polytetrafluoro ethylene</v>
          </cell>
          <cell r="C170">
            <v>5683</v>
          </cell>
        </row>
        <row r="171">
          <cell r="A171" t="str">
            <v>9002-88-4</v>
          </cell>
          <cell r="B171" t="str">
            <v>Polyethylene</v>
          </cell>
          <cell r="C171">
            <v>12395.349999999999</v>
          </cell>
        </row>
        <row r="172">
          <cell r="A172" t="str">
            <v>9003-22-9</v>
          </cell>
          <cell r="B172" t="str">
            <v>Vinyl chloride.vinyl acetate polymer</v>
          </cell>
          <cell r="C172">
            <v>0</v>
          </cell>
        </row>
        <row r="173">
          <cell r="A173" t="str">
            <v>9004-39-1</v>
          </cell>
          <cell r="B173" t="str">
            <v>Cellulose acetate propionate</v>
          </cell>
          <cell r="C173">
            <v>684</v>
          </cell>
        </row>
        <row r="174">
          <cell r="A174" t="str">
            <v>9004-53-9</v>
          </cell>
          <cell r="B174" t="str">
            <v>Dextrin ; Pyrodextrin</v>
          </cell>
          <cell r="C174">
            <v>10</v>
          </cell>
        </row>
        <row r="175">
          <cell r="A175" t="str">
            <v>9004-70-0</v>
          </cell>
          <cell r="B175" t="str">
            <v>Nitrocellulose ; Pyroxylin</v>
          </cell>
          <cell r="C175">
            <v>9398.2000000000007</v>
          </cell>
        </row>
        <row r="176">
          <cell r="A176" t="str">
            <v>9009-54-5</v>
          </cell>
          <cell r="B176" t="str">
            <v/>
          </cell>
          <cell r="C176">
            <v>0</v>
          </cell>
        </row>
        <row r="177">
          <cell r="A177" t="str">
            <v>9014-85-1</v>
          </cell>
          <cell r="B177" t="str">
            <v>α,α'-[1,4-Dimethyl-1,4-bis(2-methylpropyl)-2-butyne-1,4-diyl)bis[ω-hydroxypoly(oxy-1,2-ethanediyl)]</v>
          </cell>
          <cell r="C177">
            <v>0.30000000000000004</v>
          </cell>
        </row>
        <row r="178">
          <cell r="A178" t="str">
            <v>9016-00-6</v>
          </cell>
          <cell r="B178" t="str">
            <v>Hexamethylcyclotrisiloxane homopolymer ; Poly[oxy(dimethylsilylene)]</v>
          </cell>
          <cell r="C178">
            <v>1.68</v>
          </cell>
        </row>
        <row r="179">
          <cell r="A179" t="str">
            <v>9016-45-9</v>
          </cell>
          <cell r="B179" t="str">
            <v>Nonylphenol polyethylene glycol ether ; nonylphenol ethoxylate</v>
          </cell>
          <cell r="C179">
            <v>2.1600000000000001E-2</v>
          </cell>
        </row>
        <row r="180">
          <cell r="A180" t="str">
            <v>90295-11-7</v>
          </cell>
          <cell r="B180" t="str">
            <v>[29H,31H-Phthalocyaninato(2-)-N29,N30,N31,N32]copper, aminosulfonyl sulfo derivs., sodium salts</v>
          </cell>
          <cell r="C180">
            <v>0</v>
          </cell>
        </row>
        <row r="181">
          <cell r="A181" t="str">
            <v>90622-58-5</v>
          </cell>
          <cell r="B181" t="str">
            <v>Alkanes, (C=11-15)-iso-</v>
          </cell>
          <cell r="C181">
            <v>0</v>
          </cell>
        </row>
        <row r="182">
          <cell r="A182" t="str">
            <v>9087-61-0</v>
          </cell>
          <cell r="B182" t="str">
            <v/>
          </cell>
          <cell r="C182">
            <v>3.8</v>
          </cell>
        </row>
        <row r="183">
          <cell r="A183" t="str">
            <v>91745-46-9</v>
          </cell>
          <cell r="B183" t="str">
            <v/>
          </cell>
          <cell r="C183">
            <v>0.44999999999999996</v>
          </cell>
        </row>
        <row r="184">
          <cell r="A184" t="str">
            <v>92-43-3</v>
          </cell>
          <cell r="B184" t="str">
            <v>1-Phenyl-3-pyrazolidinone</v>
          </cell>
          <cell r="C184">
            <v>0.36499999999999999</v>
          </cell>
        </row>
        <row r="185">
          <cell r="A185" t="str">
            <v>938065-79-3</v>
          </cell>
          <cell r="B185" t="str">
            <v/>
          </cell>
          <cell r="C185">
            <v>0</v>
          </cell>
        </row>
        <row r="186">
          <cell r="A186" t="str">
            <v>94581-16-5</v>
          </cell>
          <cell r="B186" t="str">
            <v>Resin acids and Rosin acids, maleated, esters with glycerol</v>
          </cell>
          <cell r="C186">
            <v>213.9</v>
          </cell>
        </row>
        <row r="187">
          <cell r="A187" t="str">
            <v>95-63-6</v>
          </cell>
          <cell r="B187" t="str">
            <v>1,2,4-Trimethylbenzene</v>
          </cell>
          <cell r="C187">
            <v>96</v>
          </cell>
        </row>
        <row r="188">
          <cell r="A188" t="str">
            <v>96-14-0</v>
          </cell>
          <cell r="B188" t="str">
            <v>3-Methylpentane</v>
          </cell>
          <cell r="C188">
            <v>0.49</v>
          </cell>
        </row>
        <row r="189">
          <cell r="A189" t="str">
            <v>사용할수없음</v>
          </cell>
          <cell r="B189" t="str">
            <v/>
          </cell>
          <cell r="C189">
            <v>0.3075</v>
          </cell>
        </row>
        <row r="190">
          <cell r="A190" t="str">
            <v>영업비밀</v>
          </cell>
          <cell r="B190" t="str">
            <v/>
          </cell>
          <cell r="C190">
            <v>17071.68</v>
          </cell>
        </row>
        <row r="191">
          <cell r="B191" t="str">
            <v/>
          </cell>
          <cell r="C191">
            <v>0</v>
          </cell>
        </row>
        <row r="192">
          <cell r="B192" t="str">
            <v/>
          </cell>
          <cell r="C192">
            <v>0</v>
          </cell>
        </row>
        <row r="193">
          <cell r="B193" t="str">
            <v/>
          </cell>
          <cell r="C193">
            <v>0</v>
          </cell>
        </row>
        <row r="194">
          <cell r="B194" t="str">
            <v/>
          </cell>
          <cell r="C194">
            <v>0</v>
          </cell>
        </row>
        <row r="195">
          <cell r="B195" t="str">
            <v/>
          </cell>
          <cell r="C195">
            <v>0</v>
          </cell>
        </row>
        <row r="196">
          <cell r="B196" t="str">
            <v/>
          </cell>
          <cell r="C196">
            <v>0</v>
          </cell>
        </row>
        <row r="197">
          <cell r="B197" t="str">
            <v/>
          </cell>
          <cell r="C197">
            <v>0</v>
          </cell>
        </row>
        <row r="198">
          <cell r="B198" t="str">
            <v/>
          </cell>
          <cell r="C198">
            <v>0</v>
          </cell>
        </row>
        <row r="199">
          <cell r="B199" t="str">
            <v/>
          </cell>
          <cell r="C199">
            <v>0</v>
          </cell>
        </row>
        <row r="200">
          <cell r="B200" t="str">
            <v/>
          </cell>
          <cell r="C200">
            <v>0</v>
          </cell>
        </row>
        <row r="201">
          <cell r="B201" t="str">
            <v/>
          </cell>
          <cell r="C201">
            <v>0</v>
          </cell>
        </row>
        <row r="202">
          <cell r="B202" t="str">
            <v/>
          </cell>
          <cell r="C202">
            <v>0</v>
          </cell>
        </row>
        <row r="203">
          <cell r="B203" t="str">
            <v/>
          </cell>
          <cell r="C203">
            <v>0</v>
          </cell>
        </row>
        <row r="204">
          <cell r="B204" t="str">
            <v/>
          </cell>
          <cell r="C204">
            <v>0</v>
          </cell>
        </row>
        <row r="205">
          <cell r="B205" t="str">
            <v/>
          </cell>
          <cell r="C205">
            <v>0</v>
          </cell>
        </row>
        <row r="206">
          <cell r="B206" t="str">
            <v/>
          </cell>
          <cell r="C206">
            <v>0</v>
          </cell>
        </row>
        <row r="207">
          <cell r="B207" t="str">
            <v/>
          </cell>
          <cell r="C207">
            <v>0</v>
          </cell>
        </row>
        <row r="208">
          <cell r="B208" t="str">
            <v/>
          </cell>
          <cell r="C208">
            <v>0</v>
          </cell>
        </row>
        <row r="209">
          <cell r="B209" t="str">
            <v/>
          </cell>
          <cell r="C209">
            <v>0</v>
          </cell>
        </row>
        <row r="210">
          <cell r="B210" t="str">
            <v/>
          </cell>
          <cell r="C210">
            <v>0</v>
          </cell>
        </row>
        <row r="211">
          <cell r="B211" t="str">
            <v/>
          </cell>
          <cell r="C211">
            <v>0</v>
          </cell>
        </row>
        <row r="212">
          <cell r="B212" t="str">
            <v/>
          </cell>
          <cell r="C212">
            <v>0</v>
          </cell>
        </row>
        <row r="213">
          <cell r="B213" t="str">
            <v/>
          </cell>
          <cell r="C213">
            <v>0</v>
          </cell>
        </row>
        <row r="214">
          <cell r="B214" t="str">
            <v/>
          </cell>
          <cell r="C214">
            <v>0</v>
          </cell>
        </row>
        <row r="215">
          <cell r="B215" t="str">
            <v/>
          </cell>
          <cell r="C215">
            <v>0</v>
          </cell>
        </row>
        <row r="216">
          <cell r="B216" t="str">
            <v/>
          </cell>
          <cell r="C216">
            <v>0</v>
          </cell>
        </row>
        <row r="217">
          <cell r="B217" t="str">
            <v/>
          </cell>
          <cell r="C217">
            <v>0</v>
          </cell>
        </row>
        <row r="218">
          <cell r="B218" t="str">
            <v/>
          </cell>
          <cell r="C218">
            <v>0</v>
          </cell>
        </row>
        <row r="219">
          <cell r="B219" t="str">
            <v/>
          </cell>
          <cell r="C219">
            <v>0</v>
          </cell>
        </row>
        <row r="220">
          <cell r="B220" t="str">
            <v/>
          </cell>
          <cell r="C220">
            <v>0</v>
          </cell>
        </row>
        <row r="221">
          <cell r="B221" t="str">
            <v/>
          </cell>
          <cell r="C221">
            <v>0</v>
          </cell>
        </row>
        <row r="222">
          <cell r="B222" t="str">
            <v/>
          </cell>
          <cell r="C222">
            <v>0</v>
          </cell>
        </row>
        <row r="223">
          <cell r="B223" t="str">
            <v/>
          </cell>
          <cell r="C223">
            <v>0</v>
          </cell>
        </row>
        <row r="224">
          <cell r="B224" t="str">
            <v/>
          </cell>
          <cell r="C224">
            <v>0</v>
          </cell>
        </row>
        <row r="225">
          <cell r="B225" t="str">
            <v/>
          </cell>
          <cell r="C225">
            <v>0</v>
          </cell>
        </row>
        <row r="226">
          <cell r="B226" t="str">
            <v/>
          </cell>
          <cell r="C226">
            <v>0</v>
          </cell>
        </row>
        <row r="227">
          <cell r="B227" t="str">
            <v/>
          </cell>
          <cell r="C227">
            <v>0</v>
          </cell>
        </row>
        <row r="228">
          <cell r="B228" t="str">
            <v/>
          </cell>
          <cell r="C228">
            <v>0</v>
          </cell>
        </row>
        <row r="229">
          <cell r="B229" t="str">
            <v/>
          </cell>
          <cell r="C229">
            <v>0</v>
          </cell>
        </row>
        <row r="230">
          <cell r="B230" t="str">
            <v/>
          </cell>
          <cell r="C230">
            <v>0</v>
          </cell>
        </row>
        <row r="231">
          <cell r="B231" t="str">
            <v/>
          </cell>
          <cell r="C231">
            <v>0</v>
          </cell>
        </row>
        <row r="232">
          <cell r="B232" t="str">
            <v/>
          </cell>
          <cell r="C232">
            <v>0</v>
          </cell>
        </row>
        <row r="233">
          <cell r="B233" t="str">
            <v/>
          </cell>
          <cell r="C233">
            <v>0</v>
          </cell>
        </row>
        <row r="234">
          <cell r="B234" t="str">
            <v/>
          </cell>
          <cell r="C234">
            <v>0</v>
          </cell>
        </row>
        <row r="235">
          <cell r="B235" t="str">
            <v/>
          </cell>
          <cell r="C235">
            <v>0</v>
          </cell>
        </row>
        <row r="236">
          <cell r="B236" t="str">
            <v/>
          </cell>
          <cell r="C236">
            <v>0</v>
          </cell>
        </row>
        <row r="237">
          <cell r="B237" t="str">
            <v/>
          </cell>
          <cell r="C237">
            <v>0</v>
          </cell>
        </row>
        <row r="238">
          <cell r="B238" t="str">
            <v/>
          </cell>
          <cell r="C238">
            <v>0</v>
          </cell>
        </row>
        <row r="239">
          <cell r="B239" t="str">
            <v/>
          </cell>
          <cell r="C239">
            <v>0</v>
          </cell>
        </row>
        <row r="240">
          <cell r="B240" t="str">
            <v/>
          </cell>
          <cell r="C240">
            <v>0</v>
          </cell>
        </row>
        <row r="241">
          <cell r="B241" t="str">
            <v/>
          </cell>
          <cell r="C241">
            <v>0</v>
          </cell>
        </row>
        <row r="242">
          <cell r="B242" t="str">
            <v/>
          </cell>
          <cell r="C242">
            <v>0</v>
          </cell>
        </row>
        <row r="243">
          <cell r="B243" t="str">
            <v/>
          </cell>
          <cell r="C243">
            <v>0</v>
          </cell>
        </row>
        <row r="244">
          <cell r="B244" t="str">
            <v/>
          </cell>
          <cell r="C244">
            <v>0</v>
          </cell>
        </row>
        <row r="245">
          <cell r="B245" t="str">
            <v/>
          </cell>
          <cell r="C245">
            <v>0</v>
          </cell>
        </row>
        <row r="246">
          <cell r="B246" t="str">
            <v/>
          </cell>
          <cell r="C246">
            <v>0</v>
          </cell>
        </row>
        <row r="247">
          <cell r="B247" t="str">
            <v/>
          </cell>
          <cell r="C247">
            <v>0</v>
          </cell>
        </row>
        <row r="248">
          <cell r="B248" t="str">
            <v/>
          </cell>
          <cell r="C248">
            <v>0</v>
          </cell>
        </row>
        <row r="249">
          <cell r="B249" t="str">
            <v/>
          </cell>
          <cell r="C249">
            <v>0</v>
          </cell>
        </row>
        <row r="250">
          <cell r="B250" t="str">
            <v/>
          </cell>
          <cell r="C250">
            <v>0</v>
          </cell>
        </row>
        <row r="251">
          <cell r="B251" t="str">
            <v/>
          </cell>
          <cell r="C251">
            <v>0</v>
          </cell>
        </row>
        <row r="252">
          <cell r="B252" t="str">
            <v/>
          </cell>
          <cell r="C252">
            <v>0</v>
          </cell>
        </row>
        <row r="253">
          <cell r="B253" t="str">
            <v/>
          </cell>
          <cell r="C253">
            <v>0</v>
          </cell>
        </row>
        <row r="254">
          <cell r="B254" t="str">
            <v/>
          </cell>
          <cell r="C254">
            <v>0</v>
          </cell>
        </row>
        <row r="255">
          <cell r="B255" t="str">
            <v/>
          </cell>
          <cell r="C255">
            <v>0</v>
          </cell>
        </row>
        <row r="256">
          <cell r="B256" t="str">
            <v/>
          </cell>
          <cell r="C256">
            <v>0</v>
          </cell>
        </row>
        <row r="257">
          <cell r="B257" t="str">
            <v/>
          </cell>
          <cell r="C257">
            <v>0</v>
          </cell>
        </row>
        <row r="258">
          <cell r="B258" t="str">
            <v/>
          </cell>
          <cell r="C258">
            <v>0</v>
          </cell>
        </row>
        <row r="259">
          <cell r="B259" t="str">
            <v/>
          </cell>
          <cell r="C259">
            <v>0</v>
          </cell>
        </row>
        <row r="260">
          <cell r="B260" t="str">
            <v/>
          </cell>
          <cell r="C260">
            <v>0</v>
          </cell>
        </row>
        <row r="261">
          <cell r="B261" t="str">
            <v/>
          </cell>
          <cell r="C261">
            <v>0</v>
          </cell>
        </row>
        <row r="262">
          <cell r="B262" t="str">
            <v/>
          </cell>
          <cell r="C262">
            <v>0</v>
          </cell>
        </row>
        <row r="263">
          <cell r="B263" t="str">
            <v/>
          </cell>
          <cell r="C263">
            <v>0</v>
          </cell>
        </row>
        <row r="264">
          <cell r="B264" t="str">
            <v/>
          </cell>
          <cell r="C264">
            <v>0</v>
          </cell>
        </row>
        <row r="265">
          <cell r="B265" t="str">
            <v/>
          </cell>
          <cell r="C265">
            <v>0</v>
          </cell>
        </row>
        <row r="266">
          <cell r="B266" t="str">
            <v/>
          </cell>
          <cell r="C266">
            <v>0</v>
          </cell>
        </row>
        <row r="267">
          <cell r="B267" t="str">
            <v/>
          </cell>
          <cell r="C267">
            <v>0</v>
          </cell>
        </row>
        <row r="268">
          <cell r="B268" t="str">
            <v/>
          </cell>
          <cell r="C268">
            <v>0</v>
          </cell>
        </row>
        <row r="269">
          <cell r="B269" t="str">
            <v/>
          </cell>
          <cell r="C269">
            <v>0</v>
          </cell>
        </row>
        <row r="270">
          <cell r="B270" t="str">
            <v/>
          </cell>
          <cell r="C270">
            <v>0</v>
          </cell>
        </row>
        <row r="271">
          <cell r="B271" t="str">
            <v/>
          </cell>
          <cell r="C271">
            <v>0</v>
          </cell>
        </row>
        <row r="272">
          <cell r="B272" t="str">
            <v/>
          </cell>
          <cell r="C272">
            <v>0</v>
          </cell>
        </row>
        <row r="273">
          <cell r="B273" t="str">
            <v/>
          </cell>
          <cell r="C273">
            <v>0</v>
          </cell>
        </row>
        <row r="274">
          <cell r="B274" t="str">
            <v/>
          </cell>
          <cell r="C274">
            <v>0</v>
          </cell>
        </row>
        <row r="275">
          <cell r="B275" t="str">
            <v/>
          </cell>
          <cell r="C275">
            <v>0</v>
          </cell>
        </row>
        <row r="276">
          <cell r="B276" t="str">
            <v/>
          </cell>
          <cell r="C276">
            <v>0</v>
          </cell>
        </row>
        <row r="277">
          <cell r="B277" t="str">
            <v/>
          </cell>
          <cell r="C277">
            <v>0</v>
          </cell>
        </row>
        <row r="278">
          <cell r="B278" t="str">
            <v/>
          </cell>
          <cell r="C278">
            <v>0</v>
          </cell>
        </row>
        <row r="279">
          <cell r="B279" t="str">
            <v/>
          </cell>
          <cell r="C279">
            <v>0</v>
          </cell>
        </row>
        <row r="280">
          <cell r="B280" t="str">
            <v/>
          </cell>
          <cell r="C280">
            <v>0</v>
          </cell>
        </row>
        <row r="281">
          <cell r="B281" t="str">
            <v/>
          </cell>
          <cell r="C281">
            <v>0</v>
          </cell>
        </row>
        <row r="282">
          <cell r="B282" t="str">
            <v/>
          </cell>
          <cell r="C282">
            <v>0</v>
          </cell>
        </row>
        <row r="283">
          <cell r="B283" t="str">
            <v/>
          </cell>
          <cell r="C283">
            <v>0</v>
          </cell>
        </row>
        <row r="284">
          <cell r="B284" t="str">
            <v/>
          </cell>
          <cell r="C284">
            <v>0</v>
          </cell>
        </row>
        <row r="285">
          <cell r="B285" t="str">
            <v/>
          </cell>
          <cell r="C285">
            <v>0</v>
          </cell>
        </row>
        <row r="286">
          <cell r="B286" t="str">
            <v/>
          </cell>
          <cell r="C286">
            <v>0</v>
          </cell>
        </row>
        <row r="287">
          <cell r="B287" t="str">
            <v/>
          </cell>
          <cell r="C287">
            <v>0</v>
          </cell>
        </row>
        <row r="288">
          <cell r="B288" t="str">
            <v/>
          </cell>
          <cell r="C288">
            <v>0</v>
          </cell>
        </row>
        <row r="289">
          <cell r="B289" t="str">
            <v/>
          </cell>
          <cell r="C289">
            <v>0</v>
          </cell>
        </row>
        <row r="290">
          <cell r="B290" t="str">
            <v/>
          </cell>
          <cell r="C290">
            <v>0</v>
          </cell>
        </row>
        <row r="291">
          <cell r="B291" t="str">
            <v/>
          </cell>
          <cell r="C291">
            <v>0</v>
          </cell>
        </row>
        <row r="292">
          <cell r="B292" t="str">
            <v/>
          </cell>
          <cell r="C292">
            <v>0</v>
          </cell>
        </row>
        <row r="293">
          <cell r="B293" t="str">
            <v/>
          </cell>
          <cell r="C293">
            <v>0</v>
          </cell>
        </row>
        <row r="294">
          <cell r="B294" t="str">
            <v/>
          </cell>
          <cell r="C294">
            <v>0</v>
          </cell>
        </row>
        <row r="295">
          <cell r="B295" t="str">
            <v/>
          </cell>
          <cell r="C295">
            <v>0</v>
          </cell>
        </row>
        <row r="296">
          <cell r="B296" t="str">
            <v/>
          </cell>
          <cell r="C296">
            <v>0</v>
          </cell>
        </row>
        <row r="297">
          <cell r="B297" t="str">
            <v/>
          </cell>
          <cell r="C297">
            <v>0</v>
          </cell>
        </row>
      </sheetData>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row r="1">
          <cell r="B1" t="str">
            <v>CAS No</v>
          </cell>
          <cell r="C1" t="str">
            <v>화학물질명</v>
          </cell>
          <cell r="D1" t="str">
            <v>규제번호</v>
          </cell>
          <cell r="E1" t="str">
            <v>함량기준설명</v>
          </cell>
          <cell r="F1" t="str">
            <v>함량기준수치</v>
          </cell>
        </row>
        <row r="2">
          <cell r="B2" t="str">
            <v>131013-81-5</v>
          </cell>
          <cell r="C2" t="str">
            <v>Tritetramethylammonium 4,5-dihydro-5-oxo-1-(4-sulfophenyl)-4-[(4-sulfophenyl)azo]-1H- pyrazole-3-carboxylate</v>
          </cell>
          <cell r="D2" t="str">
            <v>2000-1-507</v>
          </cell>
          <cell r="E2" t="str">
            <v>및 이를 25% 이상 함유한 혼합물질</v>
          </cell>
          <cell r="F2">
            <v>25</v>
          </cell>
        </row>
        <row r="3">
          <cell r="B3" t="str">
            <v>107-12-0</v>
          </cell>
          <cell r="C3" t="str">
            <v>Propiononitrile</v>
          </cell>
          <cell r="D3" t="str">
            <v>2000-1-508</v>
          </cell>
          <cell r="E3" t="str">
            <v>및 이를 25% 이상 함유한 혼합물질</v>
          </cell>
          <cell r="F3">
            <v>25</v>
          </cell>
        </row>
        <row r="4">
          <cell r="B4" t="str">
            <v>112-02-7</v>
          </cell>
          <cell r="C4" t="str">
            <v>N-Hexadecyltrimethyl ammonium chloride</v>
          </cell>
          <cell r="D4" t="str">
            <v>2000-1-509</v>
          </cell>
          <cell r="E4" t="str">
            <v>수산화 세트리모늄[Cetrimonium hydroxide; 505-86-2]과 세트리모늄 염류[Cetrimonium salts; 112-02-7, 57-09-0, 124-23-2 등] 및 이를 25%이상 함유한 혼합물질</v>
          </cell>
          <cell r="F4">
            <v>25</v>
          </cell>
        </row>
        <row r="5">
          <cell r="B5" t="str">
            <v>69711-44-0</v>
          </cell>
          <cell r="C5" t="str">
            <v>1,4-Dichloro-3-buten-2-one</v>
          </cell>
          <cell r="D5" t="str">
            <v>2000-1-510</v>
          </cell>
          <cell r="E5" t="str">
            <v>및 이를 1% 이상 함유한 혼합물질</v>
          </cell>
          <cell r="F5">
            <v>1</v>
          </cell>
        </row>
        <row r="6">
          <cell r="B6" t="str">
            <v>3380-30-1</v>
          </cell>
          <cell r="C6" t="str">
            <v>2-Hydroxy-4,4'-dichlorodiphenyl ether</v>
          </cell>
          <cell r="D6" t="str">
            <v>2000-1-511</v>
          </cell>
          <cell r="E6" t="str">
            <v>및 이를 25% 이상 함유한 혼합물질</v>
          </cell>
          <cell r="F6">
            <v>25</v>
          </cell>
        </row>
        <row r="7">
          <cell r="B7" t="str">
            <v>153965-50-5</v>
          </cell>
          <cell r="C7" t="str">
            <v>N,N-Dimethyl-N-2-propenyl-2-propen-1-aminium reaction products with sodium tetraphenylborate(1-)</v>
          </cell>
          <cell r="D7" t="str">
            <v>2000-1-512</v>
          </cell>
          <cell r="E7" t="str">
            <v>및 이를 25% 이상 함유한 혼합물질</v>
          </cell>
          <cell r="F7">
            <v>25</v>
          </cell>
        </row>
        <row r="8">
          <cell r="B8" t="str">
            <v>137398-54-0</v>
          </cell>
          <cell r="C8" t="str">
            <v>Diisopropyl xanthogen polysulphide</v>
          </cell>
          <cell r="D8" t="str">
            <v>2000-1-513</v>
          </cell>
          <cell r="E8" t="str">
            <v>및 이를 25% 이상 함유한 혼합물질</v>
          </cell>
          <cell r="F8">
            <v>25</v>
          </cell>
        </row>
        <row r="9">
          <cell r="B9" t="str">
            <v>128275-31-0</v>
          </cell>
          <cell r="C9" t="str">
            <v>1,3-Dihydro-1,3-dioxo-2H-isoindole-2-hexaneperoxoic acid</v>
          </cell>
          <cell r="D9" t="str">
            <v>2000-1-514</v>
          </cell>
          <cell r="E9" t="str">
            <v>및 이를 25% 이상 함유한 혼합물질</v>
          </cell>
          <cell r="F9">
            <v>25</v>
          </cell>
        </row>
        <row r="10">
          <cell r="B10" t="str">
            <v>104-40-5</v>
          </cell>
          <cell r="C10" t="str">
            <v>Nonylphenols</v>
          </cell>
          <cell r="D10" t="str">
            <v>2001-1-515</v>
          </cell>
          <cell r="E10" t="str">
            <v>및 그 중 하나를 25% 이상 함유한 혼합물질</v>
          </cell>
          <cell r="F10">
            <v>25</v>
          </cell>
        </row>
        <row r="11">
          <cell r="B11" t="str">
            <v>136-83-4</v>
          </cell>
          <cell r="C11" t="str">
            <v>Nonylphenols</v>
          </cell>
          <cell r="D11" t="str">
            <v>2001-1-515</v>
          </cell>
          <cell r="E11" t="str">
            <v>및 그 중 하나를 25% 이상 함유한 혼합물질</v>
          </cell>
          <cell r="F11">
            <v>25</v>
          </cell>
        </row>
        <row r="12">
          <cell r="B12" t="str">
            <v>139-84-4</v>
          </cell>
          <cell r="C12" t="str">
            <v>Nonylphenols</v>
          </cell>
          <cell r="D12" t="str">
            <v>2001-1-515</v>
          </cell>
          <cell r="E12" t="str">
            <v>및 그 중 하나를 25% 이상 함유한 혼합물질</v>
          </cell>
          <cell r="F12">
            <v>25</v>
          </cell>
        </row>
        <row r="13">
          <cell r="B13" t="str">
            <v>140-66-9</v>
          </cell>
          <cell r="C13" t="str">
            <v>4-tert-Octylphenol</v>
          </cell>
          <cell r="D13" t="str">
            <v>2001-1-515</v>
          </cell>
          <cell r="E13" t="str">
            <v>및 그 중 하나를 25% 이상 함유한 혼합물질</v>
          </cell>
          <cell r="F13">
            <v>25</v>
          </cell>
        </row>
        <row r="14">
          <cell r="B14" t="str">
            <v>25154-52-3</v>
          </cell>
          <cell r="C14" t="str">
            <v>Nonylphenol</v>
          </cell>
          <cell r="D14" t="str">
            <v>2001-1-515</v>
          </cell>
          <cell r="E14" t="str">
            <v>및 그 중 하나를 25% 이상 함유한 혼합물질</v>
          </cell>
          <cell r="F14">
            <v>25</v>
          </cell>
        </row>
        <row r="15">
          <cell r="B15" t="str">
            <v>84852-15-3</v>
          </cell>
          <cell r="C15" t="str">
            <v>Nonylphenols</v>
          </cell>
          <cell r="D15" t="str">
            <v>2001-1-515</v>
          </cell>
          <cell r="E15" t="str">
            <v>및 그 중 하나를 25% 이상 함유한 혼합물질</v>
          </cell>
          <cell r="F15">
            <v>25</v>
          </cell>
        </row>
        <row r="16">
          <cell r="B16" t="str">
            <v>90481-04-2</v>
          </cell>
          <cell r="C16" t="str">
            <v>Branched nonylphenol</v>
          </cell>
          <cell r="D16" t="str">
            <v>2001-1-515</v>
          </cell>
          <cell r="E16" t="str">
            <v>및 그 중 하나를 25% 이상 함유한 혼합물질</v>
          </cell>
          <cell r="F16">
            <v>25</v>
          </cell>
        </row>
        <row r="17">
          <cell r="B17" t="str">
            <v>91672-41-2</v>
          </cell>
          <cell r="C17" t="str">
            <v>Branched 2-nonylphenol</v>
          </cell>
          <cell r="D17" t="str">
            <v>2001-1-515</v>
          </cell>
          <cell r="E17" t="str">
            <v>및 그 중 하나를 25% 이상 함유한 혼합물질</v>
          </cell>
          <cell r="F17">
            <v>25</v>
          </cell>
        </row>
        <row r="18">
          <cell r="B18" t="str">
            <v>128-04-1</v>
          </cell>
          <cell r="C18" t="str">
            <v>Sodium dimethyldithiocarbamate</v>
          </cell>
          <cell r="D18" t="str">
            <v>2001-1-516</v>
          </cell>
          <cell r="E18" t="str">
            <v>및 이를 25% 이상 함유한 혼합물질</v>
          </cell>
          <cell r="F18">
            <v>25</v>
          </cell>
        </row>
        <row r="19">
          <cell r="B19" t="str">
            <v>115-86-6</v>
          </cell>
          <cell r="C19" t="str">
            <v>Triphenyl phosphate</v>
          </cell>
          <cell r="D19" t="str">
            <v>2001-1-517</v>
          </cell>
          <cell r="E19" t="str">
            <v>및 이를 25% 이상 함유한 혼합물질</v>
          </cell>
          <cell r="F19">
            <v>25</v>
          </cell>
        </row>
        <row r="20">
          <cell r="B20" t="str">
            <v>107-06-2</v>
          </cell>
          <cell r="C20" t="str">
            <v>1,2-Dichloroethane</v>
          </cell>
          <cell r="D20" t="str">
            <v>2001-1-518</v>
          </cell>
          <cell r="E20" t="str">
            <v>및 이를 0.1% 이상 함유한 혼합물질</v>
          </cell>
          <cell r="F20">
            <v>0.1</v>
          </cell>
        </row>
        <row r="21">
          <cell r="B21" t="str">
            <v>75-01-4</v>
          </cell>
          <cell r="C21" t="str">
            <v>Vinyl chloride</v>
          </cell>
          <cell r="D21" t="str">
            <v>2001-1-519</v>
          </cell>
          <cell r="E21" t="str">
            <v>및 이를 0.1% 이상 함유한 혼합물질</v>
          </cell>
          <cell r="F21">
            <v>0.1</v>
          </cell>
        </row>
        <row r="22">
          <cell r="B22" t="str">
            <v>75-21-8</v>
          </cell>
          <cell r="C22" t="str">
            <v>Ethylene oxide</v>
          </cell>
          <cell r="D22" t="str">
            <v>2001-1-520</v>
          </cell>
          <cell r="E22" t="str">
            <v>및 이를 0.1% 이상 함유한 혼합물질</v>
          </cell>
          <cell r="F22">
            <v>0.1</v>
          </cell>
        </row>
        <row r="23">
          <cell r="B23" t="str">
            <v>545-06-2</v>
          </cell>
          <cell r="C23" t="str">
            <v>Trichloroacetonitrile</v>
          </cell>
          <cell r="D23" t="str">
            <v>2001-1-521</v>
          </cell>
          <cell r="E23" t="str">
            <v>및 이를 25% 이상 함유한 혼합물질</v>
          </cell>
          <cell r="F23">
            <v>25</v>
          </cell>
        </row>
        <row r="24">
          <cell r="B24" t="str">
            <v>920-46-7</v>
          </cell>
          <cell r="C24" t="str">
            <v>2-Methyl-2-propenoyl chloride</v>
          </cell>
          <cell r="D24" t="str">
            <v>2001-1-522</v>
          </cell>
          <cell r="E24" t="str">
            <v>및 이를 1% 이상 함유한 혼합물질</v>
          </cell>
          <cell r="F24">
            <v>1</v>
          </cell>
        </row>
        <row r="25">
          <cell r="B25" t="str">
            <v>38668-48-3</v>
          </cell>
          <cell r="C25" t="str">
            <v>1,1’-(p-Tolylimino) dipropan-2-ol</v>
          </cell>
          <cell r="D25" t="str">
            <v>2001-1-523</v>
          </cell>
          <cell r="E25" t="str">
            <v>및 이를 25% 이상 함유한 혼합물질</v>
          </cell>
          <cell r="F25">
            <v>25</v>
          </cell>
        </row>
        <row r="26">
          <cell r="B26" t="str">
            <v>685-63-2</v>
          </cell>
          <cell r="C26" t="str">
            <v>Hexafluoro-1,3-buta diene</v>
          </cell>
          <cell r="D26" t="str">
            <v>2001-1-524</v>
          </cell>
          <cell r="E26" t="str">
            <v>및 이를 25% 이상 함유한 혼합물질</v>
          </cell>
          <cell r="F26">
            <v>25</v>
          </cell>
        </row>
        <row r="27">
          <cell r="B27" t="str">
            <v>90076-65-6</v>
          </cell>
          <cell r="C27" t="str">
            <v>1,1,1-Trifluoro-N-[(trifluoromethyl)sulfonyl]methanesulfon amide lithium salt</v>
          </cell>
          <cell r="D27" t="str">
            <v>2001-1-525</v>
          </cell>
          <cell r="E27" t="str">
            <v>및 이를 25% 이상 함유한 혼합물질</v>
          </cell>
          <cell r="F27">
            <v>25</v>
          </cell>
        </row>
        <row r="28">
          <cell r="B28" t="str">
            <v>3570-55-6</v>
          </cell>
          <cell r="C28" t="str">
            <v>2,2'-Thiodiethanethiol</v>
          </cell>
          <cell r="D28" t="str">
            <v>2002-1-526</v>
          </cell>
          <cell r="E28" t="str">
            <v>및 이를 1% 이상 함유한 혼합물질</v>
          </cell>
          <cell r="F28">
            <v>1</v>
          </cell>
        </row>
        <row r="29">
          <cell r="B29" t="str">
            <v>1631-25-0</v>
          </cell>
          <cell r="C29" t="str">
            <v>1-Cyclohexyl-1H-pyrrole-2,5-dione</v>
          </cell>
          <cell r="D29" t="str">
            <v>2002-1-527</v>
          </cell>
          <cell r="E29" t="str">
            <v>및 이를 1% 이상 함유한 혼합물질</v>
          </cell>
          <cell r="F29">
            <v>1</v>
          </cell>
        </row>
        <row r="30">
          <cell r="B30" t="str">
            <v>6711-48-4</v>
          </cell>
          <cell r="C30" t="str">
            <v>N'-[3-(Dimethyl amino)propyl]-N,N-dimethylpropane-1,3-diamine</v>
          </cell>
          <cell r="D30" t="str">
            <v>2002-1-528</v>
          </cell>
          <cell r="E30" t="str">
            <v>및 이를 25% 이상 함유한 혼합물질</v>
          </cell>
          <cell r="F30">
            <v>25</v>
          </cell>
        </row>
        <row r="31">
          <cell r="B31" t="str">
            <v>10424-65-4</v>
          </cell>
          <cell r="C31" t="str">
            <v>Methanaminium, N,N,N-trimethyl-, hydroxide, pentahydrate</v>
          </cell>
          <cell r="D31" t="str">
            <v>2002-1-529</v>
          </cell>
          <cell r="E31" t="str">
            <v>및 이를 25% 이상 함유한 혼합물질</v>
          </cell>
          <cell r="F31">
            <v>25</v>
          </cell>
        </row>
        <row r="32">
          <cell r="B32" t="str">
            <v>75-59-2</v>
          </cell>
          <cell r="C32" t="str">
            <v>Tetramethylammonium hydroxide</v>
          </cell>
          <cell r="D32" t="str">
            <v>2002-1-529</v>
          </cell>
          <cell r="E32" t="str">
            <v>및 이를 25% 이상 함유한 혼합물질</v>
          </cell>
          <cell r="F32">
            <v>25</v>
          </cell>
        </row>
        <row r="33">
          <cell r="B33" t="str">
            <v>971-66-4</v>
          </cell>
          <cell r="C33" t="str">
            <v>Pyridine-triphenyl borane(1/1)</v>
          </cell>
          <cell r="D33" t="str">
            <v>2002-1-530</v>
          </cell>
          <cell r="E33" t="str">
            <v>및 이를 25% 이상 함유한 혼합물질</v>
          </cell>
          <cell r="F33">
            <v>25</v>
          </cell>
        </row>
        <row r="34">
          <cell r="B34" t="str">
            <v>71604-74-5</v>
          </cell>
          <cell r="C34" t="str">
            <v>N-[3-(Oxiranyl methoxy)phenyl]-N-(oxiranylmethyl) oxiranemethanamine</v>
          </cell>
          <cell r="D34" t="str">
            <v>2002-1-531</v>
          </cell>
          <cell r="E34" t="str">
            <v>및 이를 1% 이상 함유한 혼합물질</v>
          </cell>
          <cell r="F34">
            <v>1</v>
          </cell>
        </row>
        <row r="35">
          <cell r="B35" t="str">
            <v>110656-67-2</v>
          </cell>
          <cell r="C35" t="str">
            <v>N-[2-Methyl-4-(oxiranylmethoxy)phenyl]-N-(oxiranylmethyl)oxiranemethanamine</v>
          </cell>
          <cell r="D35" t="str">
            <v>2002-1-532</v>
          </cell>
          <cell r="E35" t="str">
            <v>및 이를 1% 이상 함유한 혼합물질</v>
          </cell>
          <cell r="F35">
            <v>1</v>
          </cell>
        </row>
        <row r="36">
          <cell r="B36" t="str">
            <v>97659-53-5</v>
          </cell>
          <cell r="C36" t="str">
            <v>N-Alkyl(C=8~22) polytrimethylenepoly amines, carboxymethyl derivs., sodium salt</v>
          </cell>
          <cell r="D36" t="str">
            <v>2002-1-533</v>
          </cell>
          <cell r="E36" t="str">
            <v>및 이를 25% 이상 함유하는 혼합물질</v>
          </cell>
          <cell r="F36">
            <v>25</v>
          </cell>
        </row>
        <row r="37">
          <cell r="C37" t="str">
            <v>1,3-Di-2-propenyl-2-(2-propenyloxy) benzene, epoxidized</v>
          </cell>
          <cell r="D37" t="str">
            <v>2002-1-534</v>
          </cell>
          <cell r="E37" t="str">
            <v>및 이를 1% 이상 함유한 혼합물질</v>
          </cell>
          <cell r="F37">
            <v>1</v>
          </cell>
        </row>
        <row r="38">
          <cell r="B38" t="str">
            <v>93705-66-9</v>
          </cell>
          <cell r="C38" t="str">
            <v>2,2'-[Methylenebis [(2,6-dimethyl-4,1-phenylene)oxymethylene]] bisoxirane</v>
          </cell>
          <cell r="D38" t="str">
            <v>2003-1-535</v>
          </cell>
          <cell r="E38" t="str">
            <v>및 이를 25% 이상 함유한 혼합물질</v>
          </cell>
          <cell r="F38">
            <v>25</v>
          </cell>
        </row>
        <row r="39">
          <cell r="B39" t="str">
            <v>3410-77-3</v>
          </cell>
          <cell r="C39" t="str">
            <v>Tetraisocyanatosilane</v>
          </cell>
          <cell r="D39" t="str">
            <v>2003-1-536</v>
          </cell>
          <cell r="E39" t="str">
            <v>및 이를 1% 이상 함유한 혼합물질</v>
          </cell>
          <cell r="F39">
            <v>1</v>
          </cell>
        </row>
        <row r="40">
          <cell r="B40" t="str">
            <v>569-64-2</v>
          </cell>
          <cell r="C40" t="str">
            <v>[4-[α-[4-(Dimethyl amino)phenyl]benzylidene] cyclohexa-2,5-dien-1- ylidene]dimethylammonium chloride</v>
          </cell>
          <cell r="D40" t="str">
            <v>2003-1-537</v>
          </cell>
          <cell r="E40" t="str">
            <v>및 이를 25% 이상 함유한 혼합물질</v>
          </cell>
          <cell r="F40">
            <v>25</v>
          </cell>
        </row>
        <row r="41">
          <cell r="B41" t="str">
            <v>109-61-5</v>
          </cell>
          <cell r="C41" t="str">
            <v>n-Propyl chloroformate</v>
          </cell>
          <cell r="D41" t="str">
            <v>2003-1-538</v>
          </cell>
          <cell r="E41" t="str">
            <v>및 이를 25% 이상 함유한 혼합물질</v>
          </cell>
          <cell r="F41">
            <v>25</v>
          </cell>
        </row>
        <row r="42">
          <cell r="B42" t="str">
            <v>75-57-0</v>
          </cell>
          <cell r="C42" t="str">
            <v>Tetramethylammonium chloride</v>
          </cell>
          <cell r="D42" t="str">
            <v>2003-1-539</v>
          </cell>
          <cell r="E42" t="str">
            <v>및 이를 1% 이상 함유한 혼합물질</v>
          </cell>
          <cell r="F42">
            <v>1</v>
          </cell>
        </row>
        <row r="43">
          <cell r="B43" t="str">
            <v>73602-61-6</v>
          </cell>
          <cell r="C43" t="str">
            <v>Triethylammonium fluoride</v>
          </cell>
          <cell r="D43" t="str">
            <v>2003-1-540</v>
          </cell>
          <cell r="E43" t="str">
            <v>및 이를 25% 이상 함유한 혼합물질</v>
          </cell>
          <cell r="F43">
            <v>25</v>
          </cell>
        </row>
        <row r="44">
          <cell r="B44" t="str">
            <v>57214-10-5</v>
          </cell>
          <cell r="C44" t="str">
            <v>Formaldehyde polymer with 1,3-benzene dimethanamine and phenol</v>
          </cell>
          <cell r="D44" t="str">
            <v>2003-1-541</v>
          </cell>
          <cell r="E44" t="str">
            <v>및 이를 25% 이상 함유한 혼합물질</v>
          </cell>
          <cell r="F44">
            <v>25</v>
          </cell>
        </row>
        <row r="45">
          <cell r="B45" t="str">
            <v>404362-22-7</v>
          </cell>
          <cell r="C45" t="str">
            <v>1,3-Benzenedimethanamine, N-(2-phenylethyl) derivs.</v>
          </cell>
          <cell r="D45" t="str">
            <v>2003-1-542</v>
          </cell>
          <cell r="E45" t="str">
            <v>및 이를 25% 이상 함유한 혼합물질</v>
          </cell>
          <cell r="F45">
            <v>25</v>
          </cell>
        </row>
        <row r="46">
          <cell r="B46" t="str">
            <v>5350-57-2</v>
          </cell>
          <cell r="C46" t="str">
            <v>Benzophenone hydrazone</v>
          </cell>
          <cell r="D46" t="str">
            <v>2003-1-543</v>
          </cell>
          <cell r="E46" t="str">
            <v>및 이를 25% 이상 함유한 혼합물질</v>
          </cell>
          <cell r="F46">
            <v>25</v>
          </cell>
        </row>
        <row r="47">
          <cell r="B47" t="str">
            <v>553664-68-9</v>
          </cell>
          <cell r="C47" t="str">
            <v>Reaction products of epichlorohydrin, 2-mercaptoethanol, sodium sulfide and thiourea</v>
          </cell>
          <cell r="D47" t="str">
            <v>2004-1-544</v>
          </cell>
          <cell r="E47" t="str">
            <v>및 이를 25% 이상 함유한 혼합물질</v>
          </cell>
          <cell r="F47">
            <v>25</v>
          </cell>
        </row>
        <row r="48">
          <cell r="B48" t="str">
            <v>124-63-0</v>
          </cell>
          <cell r="C48" t="str">
            <v>Methanesulfonyl chloride</v>
          </cell>
          <cell r="D48" t="str">
            <v>2004-1-545</v>
          </cell>
          <cell r="E48" t="str">
            <v>및 이를 1% 이상 함유한 혼합물질</v>
          </cell>
          <cell r="F48">
            <v>1</v>
          </cell>
        </row>
        <row r="49">
          <cell r="B49" t="str">
            <v>35184-08-8</v>
          </cell>
          <cell r="C49" t="str">
            <v>4,4a,4b,5,8,8a,9,9a-Octahydro-1,4:5,8-dimethano-1H-fluorene</v>
          </cell>
          <cell r="D49" t="str">
            <v>2004-1-546</v>
          </cell>
          <cell r="E49" t="str">
            <v>및 이를 25% 이상 함유한 혼합물질</v>
          </cell>
          <cell r="F49">
            <v>25</v>
          </cell>
        </row>
        <row r="50">
          <cell r="B50" t="str">
            <v>7158-25-0</v>
          </cell>
          <cell r="C50" t="str">
            <v>3a,4,4a,5,8,8a,9,9a-Octahydro-4,9-5,8-dimethano (1H)-benz(f)indene</v>
          </cell>
          <cell r="D50" t="str">
            <v>2004-1-546</v>
          </cell>
          <cell r="E50" t="str">
            <v>및 이를 25% 이상 함유한 혼합물질</v>
          </cell>
          <cell r="F50">
            <v>25</v>
          </cell>
        </row>
        <row r="51">
          <cell r="B51" t="str">
            <v>7158-25-0,35184-08-8</v>
          </cell>
          <cell r="C51" t="str">
            <v>Mixture of 3a,4,4a,5,8,8a,9,9a-Octahydro-4,9:5,8-dimethano-1H-benz[f]indene and 4,4a,4b,5,8,8a,9,9a-Octahydro-1,4:5,8-dimethano-1H-fluorene</v>
          </cell>
          <cell r="D51" t="str">
            <v>2004-1-546</v>
          </cell>
          <cell r="E51" t="str">
            <v>및 이를 25% 이상 함유한 혼합물질</v>
          </cell>
          <cell r="F51">
            <v>25</v>
          </cell>
        </row>
        <row r="52">
          <cell r="B52" t="str">
            <v>612-83-9</v>
          </cell>
          <cell r="C52" t="str">
            <v>3,3'-Dichloro(1,1'-biphenyl)-4,4'-diamine dihydrochloride ; 3,3'-Dichlorobenzidine dihydrochloride</v>
          </cell>
          <cell r="D52" t="str">
            <v>2005-1-547</v>
          </cell>
          <cell r="E52" t="str">
            <v>과 그 염류 및 그 중 하나를 1% 이상 함유한 혼합물질</v>
          </cell>
          <cell r="F52">
            <v>1</v>
          </cell>
        </row>
        <row r="53">
          <cell r="B53" t="str">
            <v>91-94-1</v>
          </cell>
          <cell r="C53" t="str">
            <v>3,3'-Dichlorobenzidine</v>
          </cell>
          <cell r="D53" t="str">
            <v>2005-1-547</v>
          </cell>
          <cell r="E53" t="str">
            <v>과 그 염류 및 그 중 하나를 1% 이상 함유한 혼합물질</v>
          </cell>
          <cell r="F53">
            <v>1</v>
          </cell>
        </row>
        <row r="54">
          <cell r="C54" t="str">
            <v>3,3’-Dichlorobenzidine, salts</v>
          </cell>
          <cell r="D54" t="str">
            <v>2005-1-547</v>
          </cell>
          <cell r="E54" t="str">
            <v>과 그 염류 및 그 중 하나를 1% 이상 함유한 혼합물질</v>
          </cell>
          <cell r="F54">
            <v>1</v>
          </cell>
        </row>
        <row r="55">
          <cell r="B55" t="str">
            <v>51-79-6</v>
          </cell>
          <cell r="C55" t="str">
            <v>Ethyl carbamate</v>
          </cell>
          <cell r="D55" t="str">
            <v>2005-1-548</v>
          </cell>
          <cell r="E55" t="str">
            <v>및 이를 1% 이상 함유한 혼합물질</v>
          </cell>
          <cell r="F55">
            <v>1</v>
          </cell>
        </row>
        <row r="56">
          <cell r="B56" t="str">
            <v>105-33-9</v>
          </cell>
          <cell r="C56" t="str">
            <v>4-Chloro-3-hydroxybutyronitrile</v>
          </cell>
          <cell r="D56" t="str">
            <v>2005-1-549</v>
          </cell>
          <cell r="E56" t="str">
            <v>및 이를 25% 이상 함유한 혼합물질</v>
          </cell>
          <cell r="F56">
            <v>25</v>
          </cell>
        </row>
        <row r="57">
          <cell r="B57" t="str">
            <v>127913-44-4</v>
          </cell>
          <cell r="C57" t="str">
            <v>4-Chloro-3-hydroxybutyronitrile</v>
          </cell>
          <cell r="D57" t="str">
            <v>2005-1-549</v>
          </cell>
          <cell r="E57" t="str">
            <v>및 이를 25% 이상 함유한 혼합물질</v>
          </cell>
          <cell r="F57">
            <v>25</v>
          </cell>
        </row>
        <row r="58">
          <cell r="B58" t="str">
            <v>84367-31-7</v>
          </cell>
          <cell r="C58" t="str">
            <v>4-Chloro-3-hydroxybutyronitrile</v>
          </cell>
          <cell r="D58" t="str">
            <v>2005-1-549</v>
          </cell>
          <cell r="E58" t="str">
            <v>및 이를 25% 이상 함유한 혼합물질</v>
          </cell>
          <cell r="F58">
            <v>25</v>
          </cell>
        </row>
        <row r="59">
          <cell r="C59" t="str">
            <v>N-Ethyl-N'-[(1-diethylamino)propylidene]thiourea</v>
          </cell>
          <cell r="D59" t="str">
            <v>2005-1-550</v>
          </cell>
          <cell r="E59" t="str">
            <v>및 이를 25% 이상 함유한 혼합물질</v>
          </cell>
          <cell r="F59">
            <v>25</v>
          </cell>
        </row>
        <row r="60">
          <cell r="B60" t="str">
            <v>214534-44-8</v>
          </cell>
          <cell r="C60" t="str">
            <v>Diphenyl iodonium salt with 7,7-dimethyl-2-oxobicyclo[2.2.1]heptane-1-methanesulfonic acid(1:1)</v>
          </cell>
          <cell r="D60" t="str">
            <v>2005-1-551</v>
          </cell>
          <cell r="E60" t="str">
            <v>및 이를 1% 이상 함유한 혼합물질</v>
          </cell>
          <cell r="F60">
            <v>1</v>
          </cell>
        </row>
        <row r="61">
          <cell r="B61" t="str">
            <v>119530-69-7</v>
          </cell>
          <cell r="C61" t="str">
            <v>Dodecyl or tetradecyl N-(2,2,6,6-tetramethyl-4-piperidinyl)-β-alanine</v>
          </cell>
          <cell r="D61" t="str">
            <v>2005-1-552</v>
          </cell>
          <cell r="E61" t="str">
            <v>및 이를 25% 이상 함유한 혼합물질</v>
          </cell>
          <cell r="F61">
            <v>25</v>
          </cell>
        </row>
        <row r="62">
          <cell r="B62" t="str">
            <v>119530-70-0</v>
          </cell>
          <cell r="C62" t="str">
            <v>Dodecyl or tetradecyl N-(2,2,6,6-tetramethyl-4-piperidinyl)-β-alanine</v>
          </cell>
          <cell r="D62" t="str">
            <v>2005-1-552</v>
          </cell>
          <cell r="E62" t="str">
            <v>및 이를 25% 이상 함유한 혼합물질</v>
          </cell>
          <cell r="F62">
            <v>25</v>
          </cell>
        </row>
        <row r="63">
          <cell r="B63" t="str">
            <v>21806-61-1</v>
          </cell>
          <cell r="C63" t="str">
            <v>5H-1,2-Oxathiole, 2,2-dioxide</v>
          </cell>
          <cell r="D63" t="str">
            <v>2005-1-553</v>
          </cell>
          <cell r="E63" t="str">
            <v>및 이를 25% 이상 함유한 혼합물질</v>
          </cell>
          <cell r="F63">
            <v>25</v>
          </cell>
        </row>
        <row r="64">
          <cell r="B64" t="str">
            <v>68555-36-2</v>
          </cell>
          <cell r="C64" t="str">
            <v>N,N'-Bis[3-(dimethylamino)propyl]urea polymer with 1,1'-oxybis[2-chloroethane]</v>
          </cell>
          <cell r="D64" t="str">
            <v>2005-1-554</v>
          </cell>
          <cell r="E64" t="str">
            <v>및 이를 25% 이상 함유한 혼합물질</v>
          </cell>
          <cell r="F64">
            <v>25</v>
          </cell>
        </row>
        <row r="65">
          <cell r="B65" t="str">
            <v>81741-28-8</v>
          </cell>
          <cell r="C65" t="str">
            <v>Tributyltetradecylphosphonium chloride</v>
          </cell>
          <cell r="D65" t="str">
            <v>2005-1-555</v>
          </cell>
          <cell r="E65" t="str">
            <v>및 이를 25% 이상 함유한 혼합물질</v>
          </cell>
          <cell r="F65">
            <v>25</v>
          </cell>
        </row>
        <row r="66">
          <cell r="B66" t="str">
            <v>117-81-7</v>
          </cell>
          <cell r="C66" t="str">
            <v>Bis(2-ethylhexyl) phthalate</v>
          </cell>
          <cell r="D66" t="str">
            <v>2006-1-556</v>
          </cell>
          <cell r="E66" t="str">
            <v>및 이를 25% 이상 함유한 혼합물질</v>
          </cell>
          <cell r="F66">
            <v>25</v>
          </cell>
        </row>
        <row r="67">
          <cell r="B67" t="str">
            <v>84-74-2</v>
          </cell>
          <cell r="C67" t="str">
            <v>Dibutyl phthalate</v>
          </cell>
          <cell r="D67" t="str">
            <v>2006-1-557</v>
          </cell>
          <cell r="E67" t="str">
            <v>및 이를 25% 이상 함유한 혼합물질</v>
          </cell>
          <cell r="F67">
            <v>25</v>
          </cell>
        </row>
        <row r="68">
          <cell r="B68" t="str">
            <v>85-68-7</v>
          </cell>
          <cell r="C68" t="str">
            <v>Butylbenzyl phthalate</v>
          </cell>
          <cell r="D68" t="str">
            <v>2006-1-558</v>
          </cell>
          <cell r="E68" t="str">
            <v>및 이를 25% 이상 함유한 혼합물질</v>
          </cell>
          <cell r="F68">
            <v>25</v>
          </cell>
        </row>
        <row r="69">
          <cell r="B69" t="str">
            <v>122454-29-9</v>
          </cell>
          <cell r="C69" t="str">
            <v>4-Bromo-2-(4-chlorophenyl)-5-(trifluoromethyl)-1H-pyrrole-3-carbonitrile</v>
          </cell>
          <cell r="D69" t="str">
            <v>2008-1-559</v>
          </cell>
          <cell r="E69" t="str">
            <v>및 이를 25% 이상 함유한 혼합물질</v>
          </cell>
          <cell r="F69">
            <v>25</v>
          </cell>
        </row>
        <row r="70">
          <cell r="B70" t="str">
            <v>13292-87-0</v>
          </cell>
          <cell r="C70" t="str">
            <v>Dimethyl sulfide borane</v>
          </cell>
          <cell r="D70" t="str">
            <v>2008-1-560</v>
          </cell>
          <cell r="E70" t="str">
            <v>및 이를 25% 이상 함유한 혼합물질</v>
          </cell>
          <cell r="F70">
            <v>25</v>
          </cell>
        </row>
        <row r="71">
          <cell r="B71" t="str">
            <v>163269-30-5</v>
          </cell>
          <cell r="C71" t="str">
            <v>Bethoxazin</v>
          </cell>
          <cell r="D71" t="str">
            <v>2008-1-561</v>
          </cell>
          <cell r="E71" t="str">
            <v>및 이를 2.5% 이상 함유한 혼합물질</v>
          </cell>
          <cell r="F71">
            <v>2.5</v>
          </cell>
        </row>
        <row r="72">
          <cell r="B72" t="str">
            <v>25307-17-9</v>
          </cell>
          <cell r="C72" t="str">
            <v>2,2'-(9-Octadecenylimino)bisethanol</v>
          </cell>
          <cell r="D72" t="str">
            <v>2008-1-562</v>
          </cell>
          <cell r="E72" t="str">
            <v>및 이를 10% 이상 함유한 혼합물질</v>
          </cell>
          <cell r="F72">
            <v>10</v>
          </cell>
        </row>
        <row r="73">
          <cell r="B73" t="str">
            <v>354-32-5</v>
          </cell>
          <cell r="C73" t="str">
            <v>Trifluoroacetyl chloride</v>
          </cell>
          <cell r="D73" t="str">
            <v>2008-1-563</v>
          </cell>
          <cell r="E73" t="str">
            <v>및 이를 1% 이상 함유한 혼합물질</v>
          </cell>
          <cell r="F73">
            <v>1</v>
          </cell>
        </row>
        <row r="74">
          <cell r="B74" t="str">
            <v>874299-51-1</v>
          </cell>
          <cell r="C74" t="str">
            <v>[3-(Hydroxy-kO)-4-[[2-(hydroxy-kO)-1-naphthalenyl]azo-kN1]-7-nitro-1-naphthalenesulfonato(3-)][4-(hydroxy-kO)-3-[[2-(hydroxy-kO)-5-nitrophenyl]azo-kN1]-7-(phenylamino)-2-naphthalenesulfonato(3-)]chromate(3-), sodium dihydrogen</v>
          </cell>
          <cell r="D74" t="str">
            <v>2008-1-564</v>
          </cell>
          <cell r="E74" t="str">
            <v>및 이를 25% 이상 함유한 혼합물질</v>
          </cell>
          <cell r="F74">
            <v>25</v>
          </cell>
        </row>
        <row r="75">
          <cell r="B75" t="str">
            <v>874299-52-2</v>
          </cell>
          <cell r="C75" t="str">
            <v>[3-(hydroxy-kO)-4-[[2-(hydroxy-kO)-1-naphthalenyl]azo-kN1]-7-nitro-1-naphthalenesulfonato(3-)][4-(hydroxy-kO)-3-[[2-(hydroxy-kO)-5-nitrophenyl]azo-kN1]-8-[(2-hydroxy-5-nitrophenyl)azo]-7-(phenylamino)-2-naphthalenesulfonato(3-)]chromate(3-), sodium dih</v>
          </cell>
          <cell r="D75" t="str">
            <v>2008-1-565</v>
          </cell>
          <cell r="E75" t="str">
            <v>및 이를 25% 이상 함유한 혼합물질</v>
          </cell>
          <cell r="F75">
            <v>25</v>
          </cell>
        </row>
        <row r="76">
          <cell r="B76" t="str">
            <v>874299-53-3</v>
          </cell>
          <cell r="C76" t="str">
            <v>[μ-[4-(Hydroxy-kO)-3,8-bis[[2-(hydroxy-kO)-5-nitrophenyl]azo-kN1]-7-(phenylamino-kN)-2-naphthalenesulfonato](5-)]bis[3-(hydroxy-kO)-4-[[2-(hydroxy-kO)-1-naphthalenyl]azo-kN1]-7-nitro-1-naphthalenesulfonato(3-)]dichromate(5-), disodium trihydrogen</v>
          </cell>
          <cell r="D76" t="str">
            <v>2008-1-566</v>
          </cell>
          <cell r="E76" t="str">
            <v>및 이를 25% 이상 함유한 혼합물질</v>
          </cell>
          <cell r="F76">
            <v>25</v>
          </cell>
        </row>
        <row r="77">
          <cell r="B77" t="str">
            <v>131013-83-7</v>
          </cell>
          <cell r="C77" t="str">
            <v>N,N,N-Trimethylmethanaminium salt with 3,3'-[[6-[(2-hydroxyethyl)amino]-1,3,5-triazine-2,4-diyl]bis[imino (2-methyl-4,1-phenylene)azo]]bis[1,5-naphthalenedisulfonic acid] (4:1)</v>
          </cell>
          <cell r="D77" t="str">
            <v>2008-1-567</v>
          </cell>
          <cell r="E77" t="str">
            <v>및 이를 25% 이상 함유한 혼합물질</v>
          </cell>
          <cell r="F77">
            <v>25</v>
          </cell>
        </row>
        <row r="78">
          <cell r="B78" t="str">
            <v>173010-79-2</v>
          </cell>
          <cell r="C78" t="str">
            <v>Quaternary ammonium compounds, coco alkyl(2,3-dihydroxypropyl)dimethyl, 3-phosphates (esters), chlorides, sodium salts</v>
          </cell>
          <cell r="D78" t="str">
            <v>2008-1-568</v>
          </cell>
          <cell r="E78" t="str">
            <v>및 이를 25% 이상 함유한 혼합물질</v>
          </cell>
          <cell r="F78">
            <v>25</v>
          </cell>
        </row>
        <row r="79">
          <cell r="B79" t="str">
            <v>116340-05-7</v>
          </cell>
          <cell r="C79" t="str">
            <v>N,N,N-Trimethylmethanaminium salt with 6-amino-4-hydroxy-3-[[7-sulfo-4-[(4- sulfophenyl)azo]-1-naphthalenyl]azo]-2,7-naphthalenedisulfonic acid(4:1)</v>
          </cell>
          <cell r="D79" t="str">
            <v>2008-1-569</v>
          </cell>
          <cell r="E79" t="str">
            <v>및 이를 25% 이상 함유한 혼합물질</v>
          </cell>
          <cell r="F79">
            <v>25</v>
          </cell>
        </row>
        <row r="80">
          <cell r="B80" t="str">
            <v>328249-37-2</v>
          </cell>
          <cell r="C80" t="str">
            <v>Tetrahydro-2-oxo-3-furanyl 2-propenoate</v>
          </cell>
          <cell r="D80" t="str">
            <v>2008-1-570</v>
          </cell>
          <cell r="E80" t="str">
            <v>및 이를 25% 이상 함유한 혼합물질</v>
          </cell>
          <cell r="F80">
            <v>25</v>
          </cell>
        </row>
        <row r="81">
          <cell r="B81" t="str">
            <v>30417-37-9</v>
          </cell>
          <cell r="C81" t="str">
            <v>1,3-Bis[(acrylamidomethoxy)methyl]urea</v>
          </cell>
          <cell r="D81" t="str">
            <v>2008-1-571</v>
          </cell>
          <cell r="E81" t="str">
            <v>및 이를 1% 이상 함유한 혼합물질</v>
          </cell>
          <cell r="F81">
            <v>1</v>
          </cell>
        </row>
        <row r="82">
          <cell r="B82" t="str">
            <v>478695-70-4</v>
          </cell>
          <cell r="C82" t="str">
            <v>1-(3,3-Dimethylcyclohexyl)ethyl ethyl malonate</v>
          </cell>
          <cell r="D82" t="str">
            <v>2008-1-572</v>
          </cell>
          <cell r="E82" t="str">
            <v>및 이를 25% 이상 함유한 혼합물질</v>
          </cell>
          <cell r="F82">
            <v>25</v>
          </cell>
        </row>
        <row r="83">
          <cell r="B83" t="str">
            <v>148788-55-0</v>
          </cell>
          <cell r="C83" t="str">
            <v>N-Decyl-N,N-dimethyl-1-decanaminium, carbonate</v>
          </cell>
          <cell r="D83" t="str">
            <v>2008-1-573</v>
          </cell>
          <cell r="E83" t="str">
            <v>및 이를 25% 이상 함유한 혼합물질</v>
          </cell>
          <cell r="F83">
            <v>25</v>
          </cell>
        </row>
        <row r="84">
          <cell r="B84" t="str">
            <v>148812-65-1</v>
          </cell>
          <cell r="C84" t="str">
            <v>N-Decyl-N,N-dimethyl-1-decanaminium, carbonate</v>
          </cell>
          <cell r="D84" t="str">
            <v>2008-1-573</v>
          </cell>
          <cell r="E84" t="str">
            <v>및 이를 25% 이상 함유한 혼합물질</v>
          </cell>
          <cell r="F84">
            <v>25</v>
          </cell>
        </row>
        <row r="85">
          <cell r="B85" t="str">
            <v>116808-67-4</v>
          </cell>
          <cell r="C85" t="str">
            <v>(4-Methoxyphenyl)diphenylsulfonium trifluoromethanesulfonate</v>
          </cell>
          <cell r="D85" t="str">
            <v>2008-1-574</v>
          </cell>
          <cell r="E85" t="str">
            <v>및 이를 25% 이상 함유한 혼합물질</v>
          </cell>
          <cell r="F85">
            <v>25</v>
          </cell>
        </row>
        <row r="86">
          <cell r="B86" t="str">
            <v>161453-44-7</v>
          </cell>
          <cell r="C86" t="str">
            <v>[4-(1,1-Dimethylethoxy)phenyl]diphenylsulfonium 4-methylbenzenesulfonate</v>
          </cell>
          <cell r="D86" t="str">
            <v>2008-1-575</v>
          </cell>
          <cell r="E86" t="str">
            <v>및 이를 25% 이상 함유한 혼합물질</v>
          </cell>
          <cell r="F86">
            <v>25</v>
          </cell>
        </row>
        <row r="87">
          <cell r="B87" t="str">
            <v>197447-16-8</v>
          </cell>
          <cell r="C87" t="str">
            <v>Triphenylsulfonium 2,4,6-tris(1-methylethyl)benzenesulfonate</v>
          </cell>
          <cell r="D87" t="str">
            <v>2008-1-576</v>
          </cell>
          <cell r="E87" t="str">
            <v>및 이를 25% 이상 함유한 혼합물질</v>
          </cell>
          <cell r="F87">
            <v>25</v>
          </cell>
        </row>
        <row r="88">
          <cell r="B88" t="str">
            <v>98485-71-3</v>
          </cell>
          <cell r="C88" t="str">
            <v>Bis(2,3-epithiopropyl) disulfide</v>
          </cell>
          <cell r="D88" t="str">
            <v>2008-1-577</v>
          </cell>
          <cell r="E88" t="str">
            <v>및 이를 25% 이상 함유한 혼합물질</v>
          </cell>
          <cell r="F88">
            <v>25</v>
          </cell>
        </row>
        <row r="89">
          <cell r="B89" t="str">
            <v>146058-40-4</v>
          </cell>
          <cell r="C89" t="str">
            <v>Formaldehyde polymer with dimethylbenzene and 2-ethyl-2-(hydroxymethyl)-1,3-propanediol</v>
          </cell>
          <cell r="D89" t="str">
            <v>2008-1-578</v>
          </cell>
          <cell r="E89" t="str">
            <v>및 이를 1% 이상 함유한 혼합물질</v>
          </cell>
          <cell r="F89">
            <v>1</v>
          </cell>
        </row>
        <row r="90">
          <cell r="B90" t="str">
            <v>198404-98-7</v>
          </cell>
          <cell r="C90" t="str">
            <v>1-Methyl-2-[(1,2,2-trimethylbicyclo[3.1.0]hex-3-yl)methyl]cyclopropanemethanol</v>
          </cell>
          <cell r="D90" t="str">
            <v>2008-1-579</v>
          </cell>
          <cell r="E90" t="str">
            <v>및 이를 25% 이상 함유한 혼합물질</v>
          </cell>
          <cell r="F90">
            <v>25</v>
          </cell>
        </row>
        <row r="91">
          <cell r="B91" t="str">
            <v>3100-36-5</v>
          </cell>
          <cell r="C91" t="str">
            <v>8-Cyclohexadecen-1-one</v>
          </cell>
          <cell r="D91" t="str">
            <v>2008-1-580</v>
          </cell>
          <cell r="E91" t="str">
            <v>및 이를 25% 이상 함유한 혼합물질</v>
          </cell>
          <cell r="F91">
            <v>25</v>
          </cell>
        </row>
        <row r="92">
          <cell r="B92" t="str">
            <v>3153-26-2</v>
          </cell>
          <cell r="C92" t="str">
            <v>Oxobis(pentane-2,4-dionato-O,O')vanadium</v>
          </cell>
          <cell r="D92" t="str">
            <v>2008-1-581</v>
          </cell>
          <cell r="E92" t="str">
            <v>및 이를 25% 이상 함유한 혼합물질</v>
          </cell>
          <cell r="F92">
            <v>25</v>
          </cell>
        </row>
        <row r="93">
          <cell r="B93" t="str">
            <v>156105-38-3</v>
          </cell>
          <cell r="C93" t="str">
            <v>2-Propanone reaction products with 5-amino-1,3,3-trimethylcyclohexanemethanamine, reduced</v>
          </cell>
          <cell r="D93" t="str">
            <v>2008-1-582</v>
          </cell>
          <cell r="E93" t="str">
            <v>및 이를 10% 이상 함유한 혼합물질</v>
          </cell>
          <cell r="F93">
            <v>10</v>
          </cell>
        </row>
        <row r="94">
          <cell r="B94" t="str">
            <v>75-86-5</v>
          </cell>
          <cell r="C94" t="str">
            <v>Acetone cyanohydrin</v>
          </cell>
          <cell r="D94" t="str">
            <v>2008-1-583</v>
          </cell>
          <cell r="E94" t="str">
            <v>및 이를 1% 이상 함유한 혼합물질</v>
          </cell>
          <cell r="F94">
            <v>1</v>
          </cell>
        </row>
        <row r="95">
          <cell r="B95" t="str">
            <v>1702-42-7</v>
          </cell>
          <cell r="C95" t="str">
            <v>Tributylmethylphosphonium iodide</v>
          </cell>
          <cell r="D95" t="str">
            <v>2008-1-584</v>
          </cell>
          <cell r="E95" t="str">
            <v>및 이를 25% 이상 함유한 혼합물질</v>
          </cell>
          <cell r="F95">
            <v>25</v>
          </cell>
        </row>
        <row r="96">
          <cell r="B96" t="str">
            <v>149057-64-7</v>
          </cell>
          <cell r="C96" t="str">
            <v>Bis(3-dimethylamino-7-hydroxy-8-methyl-5-phenylphenazinium) sulfate</v>
          </cell>
          <cell r="D96" t="str">
            <v>2008-1-585</v>
          </cell>
          <cell r="E96" t="str">
            <v>및 이를 25% 이상 함유한 혼합물질</v>
          </cell>
          <cell r="F96">
            <v>25</v>
          </cell>
        </row>
        <row r="97">
          <cell r="B97" t="str">
            <v>541-59-3</v>
          </cell>
          <cell r="C97" t="str">
            <v>Maleimide</v>
          </cell>
          <cell r="D97" t="str">
            <v>2008-1-586</v>
          </cell>
          <cell r="E97" t="str">
            <v>및 이를 1% 이상 함유한 혼합물질</v>
          </cell>
          <cell r="F97">
            <v>1</v>
          </cell>
        </row>
        <row r="98">
          <cell r="B98" t="str">
            <v>91-97-4</v>
          </cell>
          <cell r="C98" t="str">
            <v>4,4'-Diisocyanato-3,3'-dimethyl-1,1'-biphenyl</v>
          </cell>
          <cell r="D98" t="str">
            <v>2009-1-587</v>
          </cell>
          <cell r="E98" t="str">
            <v>및 이를 25% 이상 함유한 혼합물질</v>
          </cell>
          <cell r="F98">
            <v>25</v>
          </cell>
        </row>
        <row r="99">
          <cell r="C99" t="str">
            <v>2,5-Furandione reaction products with aniline-1,4-bis(chloromethyl)benzene copolymer</v>
          </cell>
          <cell r="D99" t="str">
            <v>2009-1-588</v>
          </cell>
          <cell r="E99" t="str">
            <v>및 이를 25% 이상 함유한 혼합물질</v>
          </cell>
          <cell r="F99">
            <v>25</v>
          </cell>
        </row>
        <row r="100">
          <cell r="C100" t="str">
            <v>Mixture of 2-[[(3-ethenylphenyl)methoxy]methyl]oxirane(113538-79-7) and 2-[[(4-ethenylphenyl)methoxy]methyl]oxirane(113538-80-0)</v>
          </cell>
          <cell r="D100" t="str">
            <v>2009-1-589</v>
          </cell>
          <cell r="E100" t="str">
            <v>및 이를 1% 이상 함유한 혼합물질</v>
          </cell>
          <cell r="F100">
            <v>1</v>
          </cell>
        </row>
        <row r="101">
          <cell r="B101" t="str">
            <v>95718-78-8</v>
          </cell>
          <cell r="C101" t="str">
            <v>3-Hydroxy-1,1-dimethylbutyl peroxyneodecanoate</v>
          </cell>
          <cell r="D101" t="str">
            <v>2009-1-590</v>
          </cell>
          <cell r="E101" t="str">
            <v>및 이를 25% 이상 함유한 혼합물질</v>
          </cell>
          <cell r="F101">
            <v>25</v>
          </cell>
        </row>
        <row r="102">
          <cell r="B102" t="str">
            <v>84-67-3</v>
          </cell>
          <cell r="C102" t="str">
            <v>2,2'-Dimethylbenzidine</v>
          </cell>
          <cell r="D102" t="str">
            <v>2009-1-591</v>
          </cell>
          <cell r="E102" t="str">
            <v>및 이를 25% 이상 함유한 혼합물질</v>
          </cell>
          <cell r="F102">
            <v>25</v>
          </cell>
        </row>
        <row r="103">
          <cell r="B103" t="str">
            <v>109-74-0</v>
          </cell>
          <cell r="C103" t="str">
            <v>Butanenitrile</v>
          </cell>
          <cell r="D103" t="str">
            <v>2009-1-592</v>
          </cell>
          <cell r="E103" t="str">
            <v>및 이를 25% 이상 함유한 혼합물질</v>
          </cell>
          <cell r="F103">
            <v>25</v>
          </cell>
        </row>
        <row r="104">
          <cell r="B104" t="str">
            <v>16627-68-2</v>
          </cell>
          <cell r="C104" t="str">
            <v>1,1,2,2-Tetrafluoro-3-(1,1,2,2-tetrafluoroethoxy)propane</v>
          </cell>
          <cell r="D104" t="str">
            <v>2009-1-593</v>
          </cell>
          <cell r="E104" t="str">
            <v>및 이를 25% 이상 함유한 혼합물질</v>
          </cell>
          <cell r="F104">
            <v>25</v>
          </cell>
        </row>
        <row r="105">
          <cell r="B105" t="str">
            <v>722-56-5</v>
          </cell>
          <cell r="C105" t="str">
            <v>Diphenyliodonium nitrate</v>
          </cell>
          <cell r="D105" t="str">
            <v>2009-1-594</v>
          </cell>
          <cell r="E105" t="str">
            <v>및 이를 1% 이상 함유한 혼합물질</v>
          </cell>
          <cell r="F105">
            <v>1</v>
          </cell>
        </row>
        <row r="106">
          <cell r="B106" t="str">
            <v>13360-57-1</v>
          </cell>
          <cell r="C106" t="str">
            <v>Dimethylsulfamoyl chloride</v>
          </cell>
          <cell r="D106" t="str">
            <v>2009-1-595</v>
          </cell>
          <cell r="E106" t="str">
            <v>및 이를 1% 이상 함유한 혼합물질</v>
          </cell>
          <cell r="F106">
            <v>1</v>
          </cell>
        </row>
        <row r="107">
          <cell r="B107" t="str">
            <v>913269-98-4</v>
          </cell>
          <cell r="C107" t="str">
            <v>Triphenylsulfonium 4-oxo-1-adamantyloxycarbonyldifluoromethane sulfonate</v>
          </cell>
          <cell r="D107" t="str">
            <v>2009-1-596</v>
          </cell>
          <cell r="E107" t="str">
            <v>및 이를 25% 이상 함유한 혼합물질</v>
          </cell>
          <cell r="F107">
            <v>25</v>
          </cell>
        </row>
        <row r="108">
          <cell r="C108" t="str">
            <v>Reaction products of phosphoryl trichloride, o-phenylphenol and phenol</v>
          </cell>
          <cell r="D108" t="str">
            <v>2009-1-597</v>
          </cell>
          <cell r="E108" t="str">
            <v>및 이를 25% 이상 함유한 혼합물질</v>
          </cell>
          <cell r="F108">
            <v>25</v>
          </cell>
        </row>
        <row r="109">
          <cell r="B109" t="str">
            <v>68156-13-8</v>
          </cell>
          <cell r="C109" t="str">
            <v>Diphenyl[(phenylthio)phenyl]sulfonium hexafluorophosphate(1-)</v>
          </cell>
          <cell r="D109" t="str">
            <v>2009-1-598</v>
          </cell>
          <cell r="E109" t="str">
            <v>및 이를 50% 이상 함유한 혼합물질</v>
          </cell>
          <cell r="F109">
            <v>50</v>
          </cell>
        </row>
        <row r="110">
          <cell r="B110" t="str">
            <v>3380-34-5</v>
          </cell>
          <cell r="C110" t="str">
            <v>Triclosan</v>
          </cell>
          <cell r="D110" t="str">
            <v>2009-1-599</v>
          </cell>
          <cell r="E110" t="str">
            <v>및 이를 25% 이상 함유한 혼합물질</v>
          </cell>
          <cell r="F110">
            <v>25</v>
          </cell>
        </row>
        <row r="111">
          <cell r="B111" t="str">
            <v>250578-38-2</v>
          </cell>
          <cell r="C111" t="str">
            <v>[3-(2-Ethylhexyloxy)propylamine]triphenylboron</v>
          </cell>
          <cell r="D111" t="str">
            <v>2010-1-600</v>
          </cell>
          <cell r="E111" t="str">
            <v>및 이를 25% 이상 함유한 혼합물질</v>
          </cell>
          <cell r="F111">
            <v>25</v>
          </cell>
        </row>
        <row r="112">
          <cell r="B112" t="str">
            <v>117933-89-8</v>
          </cell>
          <cell r="C112" t="str">
            <v>2-(2,4-Dimethyl-3-cyclohexen-1-yl)-5-methyl-5-(1-methylpropyl)-1,3-dioxane</v>
          </cell>
          <cell r="D112" t="str">
            <v>2010-1-601</v>
          </cell>
          <cell r="E112" t="str">
            <v>및 이를 25% 이상 함유한 혼합물질</v>
          </cell>
          <cell r="F112">
            <v>25</v>
          </cell>
        </row>
        <row r="113">
          <cell r="B113" t="str">
            <v>227199-92-0</v>
          </cell>
          <cell r="C113" t="str">
            <v>Triphenylsulfonium 7,7-dimethyl-2-oxobicyclo[2.2.1]heptane-1-methanesulfonate (1:1)</v>
          </cell>
          <cell r="D113" t="str">
            <v>2010-1-602</v>
          </cell>
          <cell r="E113" t="str">
            <v>및 이를 25% 이상 함유한 혼합물질</v>
          </cell>
          <cell r="F113">
            <v>25</v>
          </cell>
        </row>
        <row r="114">
          <cell r="C114" t="str">
            <v>Mixture of pentaerythritol tetrakis(3-mercaptobutanoate)(31775-89-0) and pentaerythritol tris(3-mercaptobutanoate)(1027326-93-7)</v>
          </cell>
          <cell r="D114" t="str">
            <v>2010-1-603</v>
          </cell>
          <cell r="E114" t="str">
            <v>및 이를 25% 이상 함유한 혼합물질</v>
          </cell>
          <cell r="F114">
            <v>25</v>
          </cell>
        </row>
        <row r="115">
          <cell r="B115" t="str">
            <v>7789-24-4</v>
          </cell>
          <cell r="C115" t="str">
            <v>Lithium fluoride</v>
          </cell>
          <cell r="D115" t="str">
            <v>2010-1-604</v>
          </cell>
          <cell r="E115" t="str">
            <v>및 이를 25% 이상 함유한 혼합물질</v>
          </cell>
          <cell r="F115">
            <v>25</v>
          </cell>
        </row>
        <row r="116">
          <cell r="B116" t="str">
            <v>478945-46-9</v>
          </cell>
          <cell r="C116" t="str">
            <v>Iron(1+), chloro[rel-1,5-dimethyl (1R,2S,4R,5S)-9,9-dihydroxy-3-methyl-2,4-di(2-pyridinyl-κN)-7-[(2-pyridinyl-κN)methyl]-3,7-diazabicyclo[3.3.1]nonane-1,5-dicarboxylate-κN3, κN7]-, chloride (1:1), (OC-6-63)-</v>
          </cell>
          <cell r="D116" t="str">
            <v>2010-1-605</v>
          </cell>
          <cell r="E116" t="str">
            <v>및 이를 25% 이상 함유한 혼합물질</v>
          </cell>
          <cell r="F116">
            <v>25</v>
          </cell>
        </row>
        <row r="117">
          <cell r="B117" t="str">
            <v>2527-66-4</v>
          </cell>
          <cell r="C117" t="str">
            <v>2-Methyl-1,2-benzisothiazolin-3-one</v>
          </cell>
          <cell r="D117" t="str">
            <v>2010-1-606</v>
          </cell>
          <cell r="E117" t="str">
            <v>및 이를 25% 이상 함유한 혼합물질</v>
          </cell>
          <cell r="F117">
            <v>25</v>
          </cell>
        </row>
        <row r="118">
          <cell r="B118" t="str">
            <v>678966-16-0</v>
          </cell>
          <cell r="C118" t="str">
            <v>Lithium bis[ethanedio ato(2-)-κO1,κO2]difluorophosphate(1-)</v>
          </cell>
          <cell r="D118" t="str">
            <v>2010-1-607</v>
          </cell>
          <cell r="E118" t="str">
            <v>및 이를 25% 이상 함유한 혼합물질</v>
          </cell>
          <cell r="F118">
            <v>25</v>
          </cell>
        </row>
        <row r="119">
          <cell r="B119" t="str">
            <v>123-81-9</v>
          </cell>
          <cell r="C119" t="str">
            <v>Ethylene mercapto acetate</v>
          </cell>
          <cell r="D119" t="str">
            <v>2010-1-608</v>
          </cell>
          <cell r="E119" t="str">
            <v>및 이를 25% 이상 함유한 혼합물질</v>
          </cell>
          <cell r="F119">
            <v>25</v>
          </cell>
        </row>
        <row r="120">
          <cell r="B120" t="str">
            <v>10101-97-0</v>
          </cell>
          <cell r="C120" t="str">
            <v>Nickel sulfate hexahydrate</v>
          </cell>
          <cell r="D120" t="str">
            <v>2010-1-609</v>
          </cell>
          <cell r="E120" t="str">
            <v>및 이를 0.1% 이상 함유한 혼합물질</v>
          </cell>
          <cell r="F120">
            <v>0.1</v>
          </cell>
        </row>
        <row r="121">
          <cell r="B121" t="str">
            <v>7786-81-4</v>
          </cell>
          <cell r="C121" t="str">
            <v>Nickel sulfate</v>
          </cell>
          <cell r="D121" t="str">
            <v>2010-1-609</v>
          </cell>
          <cell r="E121" t="str">
            <v>및 이를 0.1% 이상 함유한 혼합물질</v>
          </cell>
          <cell r="F121">
            <v>0.1</v>
          </cell>
        </row>
        <row r="122">
          <cell r="B122" t="str">
            <v>123-31-9</v>
          </cell>
          <cell r="C122" t="str">
            <v>Hydroquinone</v>
          </cell>
          <cell r="D122" t="str">
            <v>2010-1-610</v>
          </cell>
          <cell r="E122" t="str">
            <v>및 이를 2.5% 이상 함유한 혼합물질</v>
          </cell>
          <cell r="F122">
            <v>2.5</v>
          </cell>
        </row>
        <row r="123">
          <cell r="B123" t="str">
            <v>26471-62-5</v>
          </cell>
          <cell r="C123" t="str">
            <v>Toluene diisocyanate</v>
          </cell>
          <cell r="D123" t="str">
            <v>2010-1-611</v>
          </cell>
          <cell r="E123" t="str">
            <v>및 이를 25% 이상 함유한 혼합물질</v>
          </cell>
          <cell r="F123">
            <v>25</v>
          </cell>
        </row>
        <row r="124">
          <cell r="B124" t="str">
            <v>584-84-9</v>
          </cell>
          <cell r="C124" t="str">
            <v>Toluene diisocyanate</v>
          </cell>
          <cell r="D124" t="str">
            <v>2010-1-611</v>
          </cell>
          <cell r="E124" t="str">
            <v>및 이를 25% 이상 함유한 혼합물질</v>
          </cell>
          <cell r="F124">
            <v>25</v>
          </cell>
        </row>
        <row r="125">
          <cell r="B125" t="str">
            <v>91-08-7</v>
          </cell>
          <cell r="C125" t="str">
            <v>Toluene diisocyanate</v>
          </cell>
          <cell r="D125" t="str">
            <v>2010-1-611</v>
          </cell>
          <cell r="E125" t="str">
            <v>및 이를 25% 이상 함유한 혼합물질</v>
          </cell>
          <cell r="F125">
            <v>25</v>
          </cell>
        </row>
        <row r="126">
          <cell r="B126" t="str">
            <v>2795-39-3</v>
          </cell>
          <cell r="C126" t="str">
            <v>Potassium perfluorooctanesulfonate</v>
          </cell>
          <cell r="D126" t="str">
            <v>2010-1-612</v>
          </cell>
          <cell r="E126" t="str">
            <v>및 이를 0.3% 이상 함유한 혼합물질</v>
          </cell>
          <cell r="F126">
            <v>0.3</v>
          </cell>
        </row>
        <row r="127">
          <cell r="B127" t="str">
            <v>94-36-0</v>
          </cell>
          <cell r="C127" t="str">
            <v>Benzoyl peroxide</v>
          </cell>
          <cell r="D127" t="str">
            <v>2010-1-613</v>
          </cell>
          <cell r="E127" t="str">
            <v>및 이를 25% 이상 함유한 혼합물질</v>
          </cell>
          <cell r="F127">
            <v>25</v>
          </cell>
        </row>
        <row r="128">
          <cell r="B128" t="str">
            <v>118612-00-3</v>
          </cell>
          <cell r="C128" t="str">
            <v>N,N-Dimethylbenzenamine tetrakis(penta fluorophenyl)borate(1-)</v>
          </cell>
          <cell r="D128" t="str">
            <v>2011-1-614</v>
          </cell>
          <cell r="E128" t="str">
            <v>및 이를 25% 이상 함유한 혼합물질</v>
          </cell>
          <cell r="F128">
            <v>25</v>
          </cell>
        </row>
        <row r="129">
          <cell r="B129" t="str">
            <v>1892-03-1</v>
          </cell>
          <cell r="C129" t="str">
            <v>1,3,3,4,4,5,5-Heptafluorocyclopentene</v>
          </cell>
          <cell r="D129" t="str">
            <v>2011-1-615</v>
          </cell>
          <cell r="E129" t="str">
            <v>및 이를 25% 이상 함유한 혼합물질</v>
          </cell>
          <cell r="F129">
            <v>25</v>
          </cell>
        </row>
        <row r="130">
          <cell r="B130" t="str">
            <v>15396-00-6</v>
          </cell>
          <cell r="C130" t="str">
            <v>(3-Isocyanatopropyl)trimethoxysilane</v>
          </cell>
          <cell r="D130" t="str">
            <v>2011-1-616</v>
          </cell>
          <cell r="E130" t="str">
            <v>및 이를 1% 이상 함유한 혼합물질</v>
          </cell>
          <cell r="F130">
            <v>1</v>
          </cell>
        </row>
        <row r="131">
          <cell r="B131" t="str">
            <v>12125-01-8</v>
          </cell>
          <cell r="C131" t="str">
            <v>Ammonium fluoride</v>
          </cell>
          <cell r="D131" t="str">
            <v>2011-1-617</v>
          </cell>
          <cell r="E131" t="str">
            <v>및 이를 25% 이상 함유한 혼합물질</v>
          </cell>
          <cell r="F131">
            <v>25</v>
          </cell>
        </row>
        <row r="132">
          <cell r="B132" t="str">
            <v>1530-32-1</v>
          </cell>
          <cell r="C132" t="str">
            <v>Ethyltriphenyl phosphonium bromide</v>
          </cell>
          <cell r="D132" t="str">
            <v>2011-1-618</v>
          </cell>
          <cell r="E132" t="str">
            <v>및 이를 25% 이상 함유한 혼합물질</v>
          </cell>
          <cell r="F132">
            <v>25</v>
          </cell>
        </row>
        <row r="133">
          <cell r="B133" t="str">
            <v>101-90-6</v>
          </cell>
          <cell r="C133" t="str">
            <v>2,2'-[1,3-Phenylenebis(oxymethylene)]bis[oxirane]</v>
          </cell>
          <cell r="D133" t="str">
            <v>2011-1-619</v>
          </cell>
          <cell r="E133" t="str">
            <v>및 이를 1% 이상 함유한 혼합물질</v>
          </cell>
          <cell r="F133">
            <v>1</v>
          </cell>
        </row>
        <row r="134">
          <cell r="B134" t="str">
            <v>47073-92-7</v>
          </cell>
          <cell r="C134" t="str">
            <v>4,4'-Ethylidenediphenyl dicyanate</v>
          </cell>
          <cell r="D134" t="str">
            <v>2011-1-620</v>
          </cell>
          <cell r="E134" t="str">
            <v>및 이를 25% 이상 함유한 혼합물질</v>
          </cell>
          <cell r="F134">
            <v>25</v>
          </cell>
        </row>
        <row r="135">
          <cell r="B135" t="str">
            <v>86347-14-0</v>
          </cell>
          <cell r="C135" t="str">
            <v>5- [1-(2,3-Dimethylphenyl)ethyl]-1H-imidazole</v>
          </cell>
          <cell r="D135" t="str">
            <v>2011-1-621</v>
          </cell>
          <cell r="E135" t="str">
            <v>및 이를 1% 이상 함유한 혼합물질</v>
          </cell>
          <cell r="F135">
            <v>1</v>
          </cell>
        </row>
        <row r="136">
          <cell r="B136" t="str">
            <v>341-58-2</v>
          </cell>
          <cell r="C136" t="str">
            <v>2,2'-Bis(trifluoromethyl)benzidine</v>
          </cell>
          <cell r="D136" t="str">
            <v>2011-1-622</v>
          </cell>
          <cell r="E136" t="str">
            <v>및 이를 25% 이상 함유한 혼합물질</v>
          </cell>
          <cell r="F136">
            <v>25</v>
          </cell>
        </row>
        <row r="137">
          <cell r="B137" t="str">
            <v>154279-60-4</v>
          </cell>
          <cell r="C137" t="str">
            <v>4,4'-Methylenebis[N-(1-methylpropyl)cyclohexanamine]</v>
          </cell>
          <cell r="D137" t="str">
            <v>2011-1-623</v>
          </cell>
          <cell r="E137" t="str">
            <v>및 이를 25% 이상 함유한 혼합물질</v>
          </cell>
          <cell r="F137">
            <v>25</v>
          </cell>
        </row>
        <row r="138">
          <cell r="B138" t="str">
            <v>137-07-5</v>
          </cell>
          <cell r="C138" t="str">
            <v>2-Aminothiophenol</v>
          </cell>
          <cell r="D138" t="str">
            <v>2011-1-624</v>
          </cell>
          <cell r="E138" t="str">
            <v>및 이를 25% 이상 함유한 혼합물질</v>
          </cell>
          <cell r="F138">
            <v>25</v>
          </cell>
        </row>
        <row r="139">
          <cell r="B139" t="str">
            <v>130841-23-5</v>
          </cell>
          <cell r="C139" t="str">
            <v>1,4-Dichloro-2-(1,1,2,3,3,3-hexafluoropropoxy)-5-nitrobenzene</v>
          </cell>
          <cell r="D139" t="str">
            <v>2011-1-625</v>
          </cell>
          <cell r="E139" t="str">
            <v>및 이를 25% 이상 함유한 혼합물질</v>
          </cell>
          <cell r="F139">
            <v>25</v>
          </cell>
        </row>
        <row r="140">
          <cell r="B140" t="str">
            <v>13080-86-9</v>
          </cell>
          <cell r="C140" t="str">
            <v>4,4'-[Isopropyli denebis(4,1-phenyleneoxy)]dianiline</v>
          </cell>
          <cell r="D140" t="str">
            <v>2011-1-626</v>
          </cell>
          <cell r="E140" t="str">
            <v>및 이를 25% 이상 함유한 혼합물질</v>
          </cell>
          <cell r="F140">
            <v>25</v>
          </cell>
        </row>
        <row r="141">
          <cell r="B141" t="str">
            <v>425670-97-9</v>
          </cell>
          <cell r="C141" t="str">
            <v>Triphenylsulfonium, 2- (trifluoromethyl)benzenesulfonate(1:1)</v>
          </cell>
          <cell r="D141" t="str">
            <v>2011-1-627</v>
          </cell>
          <cell r="E141" t="str">
            <v>및 이를 25% 이상 함유한 혼합물질</v>
          </cell>
          <cell r="F141">
            <v>25</v>
          </cell>
        </row>
        <row r="142">
          <cell r="B142" t="str">
            <v>661476-43-3</v>
          </cell>
          <cell r="C142" t="str">
            <v>2,2,3,3,4,4-Hexafluoro-4-[(trifluoroethenyl)oxy]butanoic acid, methyl ester homopolymer, hydrolyzed</v>
          </cell>
          <cell r="D142" t="str">
            <v>2011-1-628</v>
          </cell>
          <cell r="E142" t="str">
            <v>및 이를 25% 이상 함유한 혼합물질</v>
          </cell>
          <cell r="F142">
            <v>25</v>
          </cell>
        </row>
        <row r="143">
          <cell r="B143" t="str">
            <v>29103-75-1</v>
          </cell>
          <cell r="C143" t="str">
            <v>N,N'-Bis(4-aminophenyl)-N,N'-dimethylethylenediamine</v>
          </cell>
          <cell r="D143" t="str">
            <v>2011-1-629</v>
          </cell>
          <cell r="E143" t="str">
            <v>및 이를 25% 이상 함유한 혼합물질</v>
          </cell>
          <cell r="F143">
            <v>25</v>
          </cell>
        </row>
        <row r="144">
          <cell r="B144" t="str">
            <v>7479-12-1</v>
          </cell>
          <cell r="C144" t="str">
            <v>1,4-Bis(4-amino phenyl)piperazine</v>
          </cell>
          <cell r="D144" t="str">
            <v>2012-1-630</v>
          </cell>
          <cell r="E144" t="str">
            <v>및 이를 1% 이상 함유한 혼합물질</v>
          </cell>
          <cell r="F144">
            <v>1</v>
          </cell>
        </row>
        <row r="145">
          <cell r="B145" t="str">
            <v>602-56-2</v>
          </cell>
          <cell r="C145" t="str">
            <v>9-Phenyl acridine</v>
          </cell>
          <cell r="D145" t="str">
            <v>2012-1-631</v>
          </cell>
          <cell r="E145" t="str">
            <v>및 이를 25% 이상 함유한 혼합물질</v>
          </cell>
          <cell r="F145">
            <v>25</v>
          </cell>
        </row>
        <row r="146">
          <cell r="B146" t="str">
            <v>294847-79-3</v>
          </cell>
          <cell r="C146" t="str">
            <v>9-(3-Methylphenyl)acridine</v>
          </cell>
          <cell r="D146" t="str">
            <v>2012-1-632</v>
          </cell>
          <cell r="E146" t="str">
            <v>및 이를 25% 이상 함유한 혼합물질</v>
          </cell>
          <cell r="F146">
            <v>25</v>
          </cell>
        </row>
        <row r="147">
          <cell r="B147" t="str">
            <v>34079-31-7</v>
          </cell>
          <cell r="C147" t="str">
            <v>Benzyl (2S)-2-carbamoylpyrrolidine-1-carboxylate</v>
          </cell>
          <cell r="D147" t="str">
            <v>2012-1-633</v>
          </cell>
          <cell r="E147" t="str">
            <v>및 이를 25% 이상 함유한 혼합물질</v>
          </cell>
          <cell r="F147">
            <v>25</v>
          </cell>
        </row>
        <row r="148">
          <cell r="B148" t="str">
            <v>33271-88-4</v>
          </cell>
          <cell r="C148" t="str">
            <v>(η5-2,4- Cyclopentadien-1-yl)tris(N-methylmethanaminato)zirconium</v>
          </cell>
          <cell r="D148" t="str">
            <v>2012-1-634</v>
          </cell>
          <cell r="E148" t="str">
            <v>및 이를 5% 이상 함유한 혼합물질</v>
          </cell>
          <cell r="F148">
            <v>5</v>
          </cell>
        </row>
        <row r="149">
          <cell r="B149" t="str">
            <v>332350-93-3</v>
          </cell>
          <cell r="C149" t="str">
            <v>Triphenyl(phenylmethyl)phosphonium 1,1,2,2,3,3,4, 4,4-nonafluoro-N-methyl-1-butanesulfonamide(1:1)</v>
          </cell>
          <cell r="D149" t="str">
            <v>2012-1-635</v>
          </cell>
          <cell r="E149" t="str">
            <v>및 이를 25% 이상 함유한 혼합물질</v>
          </cell>
          <cell r="F149">
            <v>25</v>
          </cell>
        </row>
        <row r="150">
          <cell r="B150" t="str">
            <v>176022-82-5</v>
          </cell>
          <cell r="C150" t="str">
            <v>α-[2-[Bis(2-hydroxyethyl) amino]propyl]-ω-hydroxypoly [oxy(methyl-1,2-ethanediyl)] ether with α-hydro-ω-hydroxy poly(oxy-1,2-ethanediyl) (1:2), mono-C12-16-alkyl ethers</v>
          </cell>
          <cell r="D150" t="str">
            <v>2012-1-636</v>
          </cell>
          <cell r="E150" t="str">
            <v>및 이를 25% 이상 함유한 혼합물질</v>
          </cell>
          <cell r="F150">
            <v>25</v>
          </cell>
        </row>
        <row r="151">
          <cell r="B151" t="str">
            <v>119-90-4</v>
          </cell>
          <cell r="C151" t="str">
            <v>3,3'-Dimethoxybenzidine ; 3,3'-Dimethoxy-[1,1'-biphenyl]-4,4'-diamine</v>
          </cell>
          <cell r="D151" t="str">
            <v>2012-1-637</v>
          </cell>
          <cell r="E151" t="str">
            <v>및 그 염산염과 그 중 하나를 1% 이상</v>
          </cell>
          <cell r="F151">
            <v>1</v>
          </cell>
        </row>
        <row r="152">
          <cell r="B152" t="str">
            <v>20325-40-0</v>
          </cell>
          <cell r="C152" t="str">
            <v>3,3`-Dimethoxy -[1,1`-biphenyl]-4,4`-diamine, hydrochloride(1:2)</v>
          </cell>
          <cell r="D152" t="str">
            <v>2012-1-637</v>
          </cell>
          <cell r="E152" t="str">
            <v>및 그 염산염과 그 중 하나를 1% 이상</v>
          </cell>
          <cell r="F152">
            <v>1</v>
          </cell>
        </row>
        <row r="153">
          <cell r="B153" t="str">
            <v>131812-51-6</v>
          </cell>
          <cell r="C153" t="str">
            <v>2,4-Dimethyl- 2-(5,6,7,8-tetrahydro-5,5,8,8-tetramethyl-2-naphthalenyl)-1,3-dioxolane</v>
          </cell>
          <cell r="D153" t="str">
            <v>2012-1-638</v>
          </cell>
          <cell r="E153" t="str">
            <v>및 이를 25% 이상 함유한 혼합물질</v>
          </cell>
          <cell r="F153">
            <v>25</v>
          </cell>
        </row>
        <row r="154">
          <cell r="B154" t="str">
            <v>131812-52-7</v>
          </cell>
          <cell r="C154" t="str">
            <v>2,4-Dimethyl- 2-(5,6,7,8-tetrahydro-5,5,8,8-tetramethyl-2-naphthalenyl)-1,3-dioxolane</v>
          </cell>
          <cell r="D154" t="str">
            <v>2012-1-638</v>
          </cell>
          <cell r="E154" t="str">
            <v>및 이를 25% 이상 함유한 혼합물질</v>
          </cell>
          <cell r="F154">
            <v>25</v>
          </cell>
        </row>
        <row r="155">
          <cell r="B155" t="str">
            <v>131812-67-4</v>
          </cell>
          <cell r="C155" t="str">
            <v>2,4-Dimethyl- 2-(5,6,7,8-tetrahydro-5,5,8,8-tetramethyl-2-naphthalenyl)-1,3-dioxolane</v>
          </cell>
          <cell r="D155" t="str">
            <v>2012-1-638</v>
          </cell>
          <cell r="E155" t="str">
            <v>및 이를 25% 이상 함유한 혼합물질</v>
          </cell>
          <cell r="F155">
            <v>25</v>
          </cell>
        </row>
        <row r="156">
          <cell r="B156" t="str">
            <v>110-57-6</v>
          </cell>
          <cell r="C156" t="str">
            <v>(2E)-1,4-Dichloro-2-butene</v>
          </cell>
          <cell r="D156" t="str">
            <v>2012-1-639</v>
          </cell>
          <cell r="E156" t="str">
            <v>및 이를 0.1% 이상 함유한 혼합물질</v>
          </cell>
          <cell r="F156">
            <v>0.1</v>
          </cell>
        </row>
        <row r="157">
          <cell r="B157" t="str">
            <v>1303-86-2</v>
          </cell>
          <cell r="C157" t="str">
            <v>Diboron trioxide</v>
          </cell>
          <cell r="D157" t="str">
            <v>2012-1-640</v>
          </cell>
          <cell r="E157" t="str">
            <v>및 이를 0.3% 이상 함유한 혼합물질</v>
          </cell>
          <cell r="F157">
            <v>0.3</v>
          </cell>
        </row>
        <row r="158">
          <cell r="B158" t="str">
            <v>73003-80-2</v>
          </cell>
          <cell r="C158" t="str">
            <v>2,2-Dibromopropanediamide</v>
          </cell>
          <cell r="D158" t="str">
            <v>2012-1-641</v>
          </cell>
          <cell r="E158" t="str">
            <v>및 이를 1% 이상 함유한 혼합물질</v>
          </cell>
          <cell r="F158">
            <v>1</v>
          </cell>
        </row>
        <row r="159">
          <cell r="B159" t="str">
            <v>920-37-6</v>
          </cell>
          <cell r="C159" t="str">
            <v>2-Chloroacrylonitrile</v>
          </cell>
          <cell r="D159" t="str">
            <v>2012-1-642</v>
          </cell>
          <cell r="E159" t="str">
            <v>및 이를 1% 이상 함유한 혼합물질</v>
          </cell>
          <cell r="F159">
            <v>1</v>
          </cell>
        </row>
        <row r="160">
          <cell r="B160" t="str">
            <v>57028-96-3</v>
          </cell>
          <cell r="C160" t="str">
            <v>Polyhexamethyleneguanidine hydrochloride; PHMG chloride;</v>
          </cell>
          <cell r="D160" t="str">
            <v>2012-1-643</v>
          </cell>
          <cell r="E160" t="str">
            <v>그 중 하나를 1% 이상 함유한 혼합물질</v>
          </cell>
          <cell r="F160">
            <v>1</v>
          </cell>
        </row>
        <row r="161">
          <cell r="B161" t="str">
            <v>89697-78-9</v>
          </cell>
          <cell r="C161" t="str">
            <v>Polyhexamethyleneguanidine phosphate; PHMG phosphate;</v>
          </cell>
          <cell r="D161" t="str">
            <v>2012-1-643</v>
          </cell>
          <cell r="E161" t="str">
            <v>그 중 하나를 1% 이상 함유한 혼합물질</v>
          </cell>
          <cell r="F161">
            <v>1</v>
          </cell>
        </row>
        <row r="162">
          <cell r="B162" t="str">
            <v>26172-55-4</v>
          </cell>
          <cell r="C162" t="str">
            <v>5-Chloro-2-Methyl-4-isothiazolin-3-one</v>
          </cell>
          <cell r="D162" t="str">
            <v>2012-1-644</v>
          </cell>
          <cell r="E162" t="str">
            <v>및 이를 1% 이상 함유한 혼합물질</v>
          </cell>
          <cell r="F162">
            <v>1</v>
          </cell>
        </row>
        <row r="163">
          <cell r="B163" t="str">
            <v>55965-84-9</v>
          </cell>
          <cell r="C163" t="str">
            <v>5-Chloro-2-methyl-3(2H)-isothiazolone, mixt. with 2-methyl-3(2H)-isothiazolone</v>
          </cell>
          <cell r="D163" t="str">
            <v>2012-1-644, 2012-1-645</v>
          </cell>
          <cell r="E163" t="str">
            <v>및 이를 1% 이상 함유한 혼합물질</v>
          </cell>
          <cell r="F163">
            <v>1</v>
          </cell>
        </row>
        <row r="164">
          <cell r="B164" t="str">
            <v>2682-20-4</v>
          </cell>
          <cell r="C164" t="str">
            <v>2-Methyl-4-isothiazolin-3-one</v>
          </cell>
          <cell r="D164" t="str">
            <v>2012-1-645</v>
          </cell>
          <cell r="E164" t="str">
            <v>및 이를 1% 이상 함유한 혼합물질</v>
          </cell>
          <cell r="F164">
            <v>1</v>
          </cell>
        </row>
        <row r="165">
          <cell r="B165" t="str">
            <v>7173-51-5</v>
          </cell>
          <cell r="C165" t="str">
            <v>Didecyldimethylammonium chloride</v>
          </cell>
          <cell r="D165" t="str">
            <v>2012-1-646</v>
          </cell>
          <cell r="E165" t="str">
            <v>및 이를 25% 이상 함유한 혼합물질</v>
          </cell>
          <cell r="F165">
            <v>25</v>
          </cell>
        </row>
        <row r="166">
          <cell r="B166" t="str">
            <v>1193-21-1</v>
          </cell>
          <cell r="C166" t="str">
            <v>4,6-Dichloropyrimidine</v>
          </cell>
          <cell r="D166" t="str">
            <v>2012-1-647</v>
          </cell>
          <cell r="E166" t="str">
            <v>및 이를 25% 이상 함유한 혼합물질</v>
          </cell>
          <cell r="F166">
            <v>25</v>
          </cell>
        </row>
        <row r="167">
          <cell r="B167" t="str">
            <v>521065-36-1</v>
          </cell>
          <cell r="C167" t="str">
            <v>Lithium tetrafluoro(oxalato) phosphate</v>
          </cell>
          <cell r="D167" t="str">
            <v>2012-1-648</v>
          </cell>
          <cell r="E167" t="str">
            <v>및 이를 25% 이상 함유한 혼합물질</v>
          </cell>
          <cell r="F167">
            <v>25</v>
          </cell>
        </row>
        <row r="168">
          <cell r="B168" t="str">
            <v>18721-51-2</v>
          </cell>
          <cell r="C168" t="str">
            <v>Nickel(2+) hydrogen citrate</v>
          </cell>
          <cell r="D168" t="str">
            <v>2012-1-649</v>
          </cell>
          <cell r="E168" t="str">
            <v>및 이를 1% 이상 함유한 혼합물질</v>
          </cell>
          <cell r="F168">
            <v>1</v>
          </cell>
        </row>
        <row r="169">
          <cell r="B169" t="str">
            <v>869795-96-0</v>
          </cell>
          <cell r="C169" t="str">
            <v>Hexahydro-2-oxo-3,5-methano-2H-cyclopenta[b]furan-6-yl chloroacetate</v>
          </cell>
          <cell r="D169" t="str">
            <v>2012-1-650</v>
          </cell>
          <cell r="E169" t="str">
            <v>및 이를 25% 이상 함유한 혼합물질</v>
          </cell>
          <cell r="F169">
            <v>25</v>
          </cell>
        </row>
        <row r="170">
          <cell r="C170" t="str">
            <v>N1,N1,N1,N4,N4,N4-Hexabutyl-1,4-butanediaminium, hydroxide (1:2)</v>
          </cell>
          <cell r="D170" t="str">
            <v>2012-1-651</v>
          </cell>
          <cell r="E170" t="str">
            <v>및 이를 25% 이상 함유한 혼합물질</v>
          </cell>
          <cell r="F170">
            <v>25</v>
          </cell>
        </row>
        <row r="171">
          <cell r="B171" t="str">
            <v>119791-41-2</v>
          </cell>
          <cell r="C171" t="str">
            <v>Emamectin</v>
          </cell>
          <cell r="D171" t="str">
            <v>2012-1-652</v>
          </cell>
          <cell r="E171" t="str">
            <v>및 이를 25% 이상 함유한 혼합물질</v>
          </cell>
          <cell r="F171">
            <v>25</v>
          </cell>
        </row>
        <row r="172">
          <cell r="B172" t="str">
            <v>13159-52-9</v>
          </cell>
          <cell r="C172" t="str">
            <v>3-Chloro-2-hydroxypropyl methacrylate</v>
          </cell>
          <cell r="D172" t="str">
            <v>2012-1-653</v>
          </cell>
          <cell r="E172" t="str">
            <v>및 이를 25% 이상 함유한 혼합물질</v>
          </cell>
          <cell r="F172">
            <v>25</v>
          </cell>
        </row>
        <row r="173">
          <cell r="B173" t="str">
            <v>866-81-9</v>
          </cell>
          <cell r="C173" t="str">
            <v>Citric acid cobalt(2+) (2:3)</v>
          </cell>
          <cell r="D173" t="str">
            <v>2013-1-654</v>
          </cell>
          <cell r="E173" t="str">
            <v>및 이를 1% 이상 함유한 혼합물질</v>
          </cell>
          <cell r="F173">
            <v>1</v>
          </cell>
        </row>
        <row r="174">
          <cell r="B174" t="str">
            <v>141668-35-1</v>
          </cell>
          <cell r="C174" t="str">
            <v>Bi-7-oxabicyclo [4.1.0]heptane</v>
          </cell>
          <cell r="D174" t="str">
            <v>2013-1-655</v>
          </cell>
          <cell r="E174" t="str">
            <v>및 이를 1% 이상 함유한 혼합물질</v>
          </cell>
          <cell r="F174">
            <v>1</v>
          </cell>
        </row>
        <row r="175">
          <cell r="B175" t="str">
            <v>850918-68-2</v>
          </cell>
          <cell r="C175" t="str">
            <v>(8-Quinolinolato-κN1,κO8)lithium</v>
          </cell>
          <cell r="D175" t="str">
            <v>2013-1-656</v>
          </cell>
          <cell r="E175" t="str">
            <v>및 이를 25% 이상 함유한 혼합물질</v>
          </cell>
          <cell r="F175">
            <v>25</v>
          </cell>
        </row>
        <row r="176">
          <cell r="B176" t="str">
            <v>93982-96-8</v>
          </cell>
          <cell r="C176" t="str">
            <v>N,N'-Diphenylguanidine hydrobromide</v>
          </cell>
          <cell r="D176" t="str">
            <v>2013-1-657</v>
          </cell>
          <cell r="E176" t="str">
            <v>및 이를 25% 이상 함유한 혼합물질</v>
          </cell>
          <cell r="F176">
            <v>25</v>
          </cell>
        </row>
        <row r="177">
          <cell r="B177" t="str">
            <v>1937-37-7</v>
          </cell>
          <cell r="C177" t="str">
            <v>C.I. direct black 038</v>
          </cell>
          <cell r="D177" t="str">
            <v>2013-1-658</v>
          </cell>
          <cell r="E177" t="str">
            <v>및 이를 0.1% 이상 함유한 혼합물질</v>
          </cell>
          <cell r="F177">
            <v>0.1</v>
          </cell>
        </row>
        <row r="178">
          <cell r="B178" t="str">
            <v>16071-86-6</v>
          </cell>
          <cell r="C178" t="str">
            <v>C.I. direct brown 095</v>
          </cell>
          <cell r="D178" t="str">
            <v>2013-1-659</v>
          </cell>
          <cell r="E178" t="str">
            <v>및 이를 0.1% 이상 함유한 혼합물질</v>
          </cell>
          <cell r="F178">
            <v>0.1</v>
          </cell>
        </row>
        <row r="179">
          <cell r="B179" t="str">
            <v>556-52-5</v>
          </cell>
          <cell r="C179" t="str">
            <v>Glycidol ; Oxiranemethanol</v>
          </cell>
          <cell r="D179" t="str">
            <v>2013-1-660</v>
          </cell>
          <cell r="E179" t="str">
            <v>및 이를 0.1% 이상 함유한 혼합물질</v>
          </cell>
          <cell r="F179">
            <v>0.1</v>
          </cell>
        </row>
        <row r="180">
          <cell r="B180" t="str">
            <v>88-72-2</v>
          </cell>
          <cell r="C180" t="str">
            <v>2-Nitrotoluene ; 1-Methyl-2-nitrobenzene ; o-Nitrotoluene</v>
          </cell>
          <cell r="D180" t="str">
            <v>2013-1-661</v>
          </cell>
          <cell r="E180" t="str">
            <v>및 이를 0.1% 이상 함유한 혼합물질</v>
          </cell>
          <cell r="F180">
            <v>0.1</v>
          </cell>
        </row>
        <row r="181">
          <cell r="B181" t="str">
            <v>50985-55-2</v>
          </cell>
          <cell r="C181" t="str">
            <v>2,2'-[Octahydro- 4,7-methano-1H-indenediyl)bis(methyleneoxymethylene)]dioxirane</v>
          </cell>
          <cell r="D181" t="str">
            <v>2013-1-662</v>
          </cell>
          <cell r="E181" t="str">
            <v>및 이를 1% 이상 함유한 혼합물질</v>
          </cell>
          <cell r="F181">
            <v>1</v>
          </cell>
        </row>
        <row r="182">
          <cell r="B182" t="str">
            <v>117646-83-0</v>
          </cell>
          <cell r="C182" t="str">
            <v>2-[2-[(2-Ethylhexyl)oxy]ethoxy]ethyl 2-propenoate</v>
          </cell>
          <cell r="D182" t="str">
            <v>2013-1-663</v>
          </cell>
          <cell r="E182" t="str">
            <v>및 이를 25% 이상 함유한 혼합물질</v>
          </cell>
          <cell r="F182">
            <v>25</v>
          </cell>
        </row>
        <row r="183">
          <cell r="B183" t="str">
            <v>409325-06-0</v>
          </cell>
          <cell r="C183" t="str">
            <v>(3-Phenoxyphenyl) methyl 2-propenoate</v>
          </cell>
          <cell r="D183" t="str">
            <v>2013-1-664</v>
          </cell>
          <cell r="E183" t="str">
            <v>및 이를 25% 이상 함유한 혼합물질</v>
          </cell>
          <cell r="F183">
            <v>25</v>
          </cell>
        </row>
        <row r="184">
          <cell r="B184" t="str">
            <v>1233844-88-6</v>
          </cell>
          <cell r="C184" t="str">
            <v>Tris(4-methylphenyl)sulfonium salt with 1-[(3- hydroxytricyclo[3.3.1.13,7]dec-1-yl)methyl] 2,2- difluoro-2-sulfoacetate (1:1)</v>
          </cell>
          <cell r="D184" t="str">
            <v>2013-1-665</v>
          </cell>
          <cell r="E184" t="str">
            <v>및 이를 25% 이상 함유한 혼합물질</v>
          </cell>
          <cell r="F184">
            <v>25</v>
          </cell>
        </row>
        <row r="185">
          <cell r="B185" t="str">
            <v>75-75-2</v>
          </cell>
          <cell r="C185" t="str">
            <v>Methanesulfonic acid</v>
          </cell>
          <cell r="D185" t="str">
            <v>2013-1-666</v>
          </cell>
          <cell r="E185" t="str">
            <v>및 이를 5% 이상 함유한 혼합물질</v>
          </cell>
          <cell r="F185">
            <v>5</v>
          </cell>
        </row>
        <row r="186">
          <cell r="B186" t="str">
            <v>91-22-5</v>
          </cell>
          <cell r="C186" t="str">
            <v>Quinoline</v>
          </cell>
          <cell r="D186" t="str">
            <v>2013-1-667</v>
          </cell>
          <cell r="E186" t="str">
            <v>및 0.1% 이상 함유한 혼합물질</v>
          </cell>
          <cell r="F186">
            <v>0.1</v>
          </cell>
        </row>
        <row r="187">
          <cell r="B187" t="str">
            <v>1120-71-4</v>
          </cell>
          <cell r="C187" t="str">
            <v>1,3-Propanesultone</v>
          </cell>
          <cell r="D187" t="str">
            <v>2013-1-668</v>
          </cell>
          <cell r="E187" t="str">
            <v>및 0.1% 이상 함유한 혼합물질</v>
          </cell>
          <cell r="F187">
            <v>0.1</v>
          </cell>
        </row>
        <row r="188">
          <cell r="B188" t="str">
            <v>10049-04-4</v>
          </cell>
          <cell r="C188" t="str">
            <v>Chlorine dioxide</v>
          </cell>
          <cell r="D188" t="str">
            <v>2013-1-669</v>
          </cell>
          <cell r="E188" t="str">
            <v>및 1% 이상 함유한 혼합물질</v>
          </cell>
          <cell r="F188">
            <v>1</v>
          </cell>
        </row>
        <row r="189">
          <cell r="B189" t="str">
            <v>27804-64-4</v>
          </cell>
          <cell r="C189" t="str">
            <v>Bis(diethylamino)silane</v>
          </cell>
          <cell r="D189" t="str">
            <v>2013-1-670</v>
          </cell>
          <cell r="E189" t="str">
            <v>및 이를 5% 이상 함유한 혼합물질</v>
          </cell>
          <cell r="F189">
            <v>5</v>
          </cell>
        </row>
        <row r="190">
          <cell r="B190" t="str">
            <v>13862-16-3</v>
          </cell>
          <cell r="C190" t="str">
            <v>Trisilylamine</v>
          </cell>
          <cell r="D190" t="str">
            <v>2013-1-671</v>
          </cell>
          <cell r="E190" t="str">
            <v>및 이를 1% 이상 함유한 혼합물질</v>
          </cell>
          <cell r="F190">
            <v>1</v>
          </cell>
        </row>
        <row r="191">
          <cell r="B191" t="str">
            <v>82857-68-9</v>
          </cell>
          <cell r="C191" t="str">
            <v>1-Chloro-N,N-diethyl-1,1-diphenyl-1-(phenylmethyl) phosphoramine</v>
          </cell>
          <cell r="D191" t="str">
            <v>2013-1-672</v>
          </cell>
          <cell r="E191" t="str">
            <v>및 이를 25% 이상 함유한 혼합물질</v>
          </cell>
          <cell r="F191">
            <v>25</v>
          </cell>
        </row>
        <row r="192">
          <cell r="B192" t="str">
            <v>409071-16-5</v>
          </cell>
          <cell r="C192" t="str">
            <v>Lithium difluoro(oxalato)borate(1-)</v>
          </cell>
          <cell r="D192" t="str">
            <v>2013-1-673</v>
          </cell>
          <cell r="E192" t="str">
            <v>및 이를 25% 이상 함유한 혼합물질</v>
          </cell>
          <cell r="F192">
            <v>25</v>
          </cell>
        </row>
        <row r="193">
          <cell r="B193" t="str">
            <v>171611-11-3</v>
          </cell>
          <cell r="C193" t="str">
            <v>Lithium bis(fluorosulfonyl)imide</v>
          </cell>
          <cell r="D193" t="str">
            <v>2013-1-674</v>
          </cell>
          <cell r="E193" t="str">
            <v>및 이를 25% 이상 함유한 혼합물질</v>
          </cell>
          <cell r="F193">
            <v>25</v>
          </cell>
        </row>
        <row r="194">
          <cell r="B194" t="str">
            <v>96-13-9</v>
          </cell>
          <cell r="C194" t="str">
            <v>2,3-Dibromo-1-propanol</v>
          </cell>
          <cell r="D194" t="str">
            <v>2013-1-675</v>
          </cell>
          <cell r="E194" t="str">
            <v>및 이를 0.1% 이상 함유한 혼합물질</v>
          </cell>
          <cell r="F194">
            <v>0.1</v>
          </cell>
        </row>
        <row r="195">
          <cell r="B195" t="str">
            <v>374572-91-5</v>
          </cell>
          <cell r="C195" t="str">
            <v>2,2'-[1,2-Ethanediylbis(oxy)]bisethanamine polymer with guanidine monohydrochloride</v>
          </cell>
          <cell r="D195" t="str">
            <v>2013-1-676</v>
          </cell>
          <cell r="E195" t="str">
            <v>및 이를 25% 이상 함유한 혼합물질</v>
          </cell>
          <cell r="F195">
            <v>25</v>
          </cell>
        </row>
        <row r="196">
          <cell r="B196" t="str">
            <v>24389-25-1</v>
          </cell>
          <cell r="C196" t="str">
            <v>Lithium difluorophosphate</v>
          </cell>
          <cell r="D196" t="str">
            <v>2013-1-677</v>
          </cell>
          <cell r="E196" t="str">
            <v>및 이를 25% 이상 함유한 혼합물질</v>
          </cell>
          <cell r="F196">
            <v>25</v>
          </cell>
        </row>
        <row r="197">
          <cell r="B197" t="str">
            <v>223436-99-5</v>
          </cell>
          <cell r="C197" t="str">
            <v>1-Ethyl-1-methylpyrrolidinium salt with 1,1,1-trifluoro-N-[(trifluoromethyl) sulfonyl]methanesulfonamide(1:1)</v>
          </cell>
          <cell r="D197" t="str">
            <v>2013-1-678</v>
          </cell>
          <cell r="E197" t="str">
            <v>및 이를 25% 이상 함유한 혼합물질</v>
          </cell>
          <cell r="F197">
            <v>25</v>
          </cell>
        </row>
        <row r="198">
          <cell r="B198" t="str">
            <v>136040-19-2</v>
          </cell>
          <cell r="C198" t="str">
            <v>Triphenyl methylium tetrakis(pentafluorophenyl) borate(1-)</v>
          </cell>
          <cell r="D198" t="str">
            <v>2013-1-679</v>
          </cell>
          <cell r="E198" t="str">
            <v>및 이를 25% 이상 함유한 혼합물질</v>
          </cell>
          <cell r="F198">
            <v>25</v>
          </cell>
        </row>
        <row r="199">
          <cell r="B199" t="str">
            <v>1458-98-6</v>
          </cell>
          <cell r="C199" t="str">
            <v>3-Bromo-2-methyl-1-propene</v>
          </cell>
          <cell r="D199" t="str">
            <v>2013-1-680</v>
          </cell>
          <cell r="E199" t="str">
            <v>및 이를 25% 이상 함유한 혼합물질</v>
          </cell>
          <cell r="F199">
            <v>25</v>
          </cell>
        </row>
        <row r="200">
          <cell r="B200" t="str">
            <v>938451-30-0</v>
          </cell>
          <cell r="C200" t="str">
            <v>(4-Hydroxyphenyl)methyl (1-naphthalenylmethyl)sulfonium tetrakis(pentafluorophenyl)borate(1-)</v>
          </cell>
          <cell r="D200" t="str">
            <v>2014-1-681</v>
          </cell>
          <cell r="E200" t="str">
            <v>및 이를 25% 이상 함유한 혼합물질</v>
          </cell>
          <cell r="F200">
            <v>25</v>
          </cell>
        </row>
        <row r="201">
          <cell r="B201" t="str">
            <v>107667-02-7</v>
          </cell>
          <cell r="C201" t="str">
            <v>Bis(2,4,4-trimethylpentyl) phosphinodithioic acid</v>
          </cell>
          <cell r="D201" t="str">
            <v>2014-1-682</v>
          </cell>
          <cell r="E201" t="str">
            <v>및 이를 1% 이상 함유한 혼합물질</v>
          </cell>
          <cell r="F201">
            <v>1</v>
          </cell>
        </row>
        <row r="202">
          <cell r="B202" t="str">
            <v>65753-47-1</v>
          </cell>
          <cell r="C202" t="str">
            <v>2-Chloro-3-trifluoromethylpyridine</v>
          </cell>
          <cell r="D202" t="str">
            <v>2014-1-683</v>
          </cell>
          <cell r="E202" t="str">
            <v>및 이를 25% 이상 함유한 혼합물질</v>
          </cell>
          <cell r="F202">
            <v>25</v>
          </cell>
        </row>
        <row r="203">
          <cell r="B203" t="str">
            <v>15573-38-3</v>
          </cell>
          <cell r="C203" t="str">
            <v>Tris(trimethylsilyl)phosphine</v>
          </cell>
          <cell r="D203" t="str">
            <v>2014-1-684</v>
          </cell>
          <cell r="E203" t="str">
            <v>및 이를 1% 이상 함유한 혼합물질</v>
          </cell>
          <cell r="F203">
            <v>1</v>
          </cell>
        </row>
        <row r="204">
          <cell r="B204" t="str">
            <v>87-90-1</v>
          </cell>
          <cell r="C204" t="str">
            <v>Symclosene ; 1,3,5-Trichloro-1,3,5-triazine-2,4,6(1H,3H,5H)-trione</v>
          </cell>
          <cell r="D204" t="str">
            <v>2014-1-685</v>
          </cell>
          <cell r="E204" t="str">
            <v>및 이를 1% 이상 함유한 혼합물질</v>
          </cell>
          <cell r="F204">
            <v>1</v>
          </cell>
        </row>
        <row r="205">
          <cell r="B205" t="str">
            <v>2451-62-9</v>
          </cell>
          <cell r="C205" t="str">
            <v>1,3,5-Tris(oxiranylmethyl)-1,3,5-triazine-2,4,6(1H,3H,5H)-trione</v>
          </cell>
          <cell r="D205" t="str">
            <v>2014-1-686</v>
          </cell>
          <cell r="E205" t="str">
            <v>및 이를 0.1% 이상 함유한 혼합물질</v>
          </cell>
          <cell r="F205">
            <v>0.1</v>
          </cell>
        </row>
        <row r="206">
          <cell r="B206" t="str">
            <v>26530-20-1</v>
          </cell>
          <cell r="C206" t="str">
            <v>2-Octyl-3(2H)-isothiazolone ; 2-Octyl-2H-isothiazol-3-one, Octhilinone</v>
          </cell>
          <cell r="D206" t="str">
            <v>2014-1-687</v>
          </cell>
          <cell r="E206" t="str">
            <v>및 이를 1% 이상 함유한 혼합물질</v>
          </cell>
          <cell r="F206">
            <v>1</v>
          </cell>
        </row>
        <row r="207">
          <cell r="B207" t="str">
            <v>2893-78-9</v>
          </cell>
          <cell r="C207" t="str">
            <v>1,3-Dichloro-1,3,5-triazine-2,4,6(1H,3H,5H)-trione sodium salt ; Troclosene sodium, sodium dichloroisocyanurate</v>
          </cell>
          <cell r="D207" t="str">
            <v>2014-1-688</v>
          </cell>
          <cell r="E207" t="str">
            <v>및 이를 25% 이상 함유한 혼합물질</v>
          </cell>
          <cell r="F207">
            <v>25</v>
          </cell>
        </row>
        <row r="208">
          <cell r="B208" t="str">
            <v>51580-86-0</v>
          </cell>
          <cell r="C208" t="str">
            <v>Sodium dichloroisocyanurate dihydrate</v>
          </cell>
          <cell r="D208" t="str">
            <v>2014-1-688</v>
          </cell>
          <cell r="E208" t="str">
            <v>및 이를 25% 이상 함유한 혼합물질</v>
          </cell>
          <cell r="F208">
            <v>25</v>
          </cell>
        </row>
        <row r="209">
          <cell r="B209" t="str">
            <v>124-70-9</v>
          </cell>
          <cell r="C209" t="str">
            <v>Dichloroethenylmethylsilane</v>
          </cell>
          <cell r="D209" t="str">
            <v>2014-1-689</v>
          </cell>
          <cell r="E209" t="str">
            <v>및 이를 25% 이상 함유한 혼합물질</v>
          </cell>
          <cell r="F209">
            <v>25</v>
          </cell>
        </row>
        <row r="210">
          <cell r="B210" t="str">
            <v>13043-05-5</v>
          </cell>
          <cell r="C210" t="str">
            <v>2,3,3,3- Tetrafluoro-2-[1,1,2,3,3,3-hexafluoro-2-(heptafluoropropoxy)propoxy]propanoic acid, ammonium salt</v>
          </cell>
          <cell r="D210" t="str">
            <v>2014-1-690</v>
          </cell>
          <cell r="E210" t="str">
            <v>및 이를 25% 이상 함유한 혼합물질</v>
          </cell>
          <cell r="F210">
            <v>25</v>
          </cell>
        </row>
        <row r="211">
          <cell r="B211" t="str">
            <v>41563-69-3</v>
          </cell>
          <cell r="C211" t="str">
            <v>1,3-Benzenedimethanethiol</v>
          </cell>
          <cell r="D211" t="str">
            <v>2014-1-691</v>
          </cell>
          <cell r="E211" t="str">
            <v>및 이를 25% 이상 함유한 혼합물질</v>
          </cell>
          <cell r="F211">
            <v>25</v>
          </cell>
        </row>
        <row r="212">
          <cell r="C212" t="str">
            <v>1-Decylpyridinium bis(fluoro sulfonyl)imide</v>
          </cell>
          <cell r="D212" t="str">
            <v>2014-1-692</v>
          </cell>
          <cell r="E212" t="str">
            <v>및 이를 25% 이상 함유한 혼합물질</v>
          </cell>
          <cell r="F212">
            <v>25</v>
          </cell>
        </row>
        <row r="213">
          <cell r="B213" t="str">
            <v>1313-60-6</v>
          </cell>
          <cell r="C213" t="str">
            <v>Sodium peroxide</v>
          </cell>
          <cell r="D213" t="str">
            <v>97-1-1</v>
          </cell>
          <cell r="E213" t="str">
            <v>및 이를 5% 이상 함유한 혼합물질</v>
          </cell>
          <cell r="F213">
            <v>5</v>
          </cell>
        </row>
        <row r="214">
          <cell r="B214" t="str">
            <v>13463-39-3</v>
          </cell>
          <cell r="C214" t="str">
            <v>Nickel carbonyl</v>
          </cell>
          <cell r="D214" t="str">
            <v>97-1-10</v>
          </cell>
          <cell r="E214" t="str">
            <v>및 이를 0.1% 이상 함유한 혼합물질</v>
          </cell>
          <cell r="F214">
            <v>0.1</v>
          </cell>
        </row>
        <row r="215">
          <cell r="B215" t="str">
            <v>140-29-4</v>
          </cell>
          <cell r="C215" t="str">
            <v>Benzeneacetonitrile ; Benzyl cyanide</v>
          </cell>
          <cell r="D215" t="str">
            <v>97-1-100</v>
          </cell>
          <cell r="E215" t="str">
            <v>및 이를 1% 이상 함유한 혼합물질</v>
          </cell>
          <cell r="F215">
            <v>1</v>
          </cell>
        </row>
        <row r="216">
          <cell r="B216" t="str">
            <v>29104-30-1</v>
          </cell>
          <cell r="C216" t="str">
            <v>Benzoximate</v>
          </cell>
          <cell r="D216" t="str">
            <v>97-1-101</v>
          </cell>
          <cell r="E216" t="str">
            <v>및 이를 1% 이상 함유한 혼합물질</v>
          </cell>
          <cell r="F216">
            <v>1</v>
          </cell>
        </row>
        <row r="217">
          <cell r="B217" t="str">
            <v>14414-68-7</v>
          </cell>
          <cell r="C217" t="str">
            <v>Benzidine hydrochloric acid</v>
          </cell>
          <cell r="D217" t="str">
            <v>97-1-102</v>
          </cell>
          <cell r="E217" t="str">
            <v>과 그 염류 및 그 중 하나를 0.1% 이상 함유한 혼합물질</v>
          </cell>
          <cell r="F217">
            <v>0.1</v>
          </cell>
        </row>
        <row r="218">
          <cell r="B218" t="str">
            <v>21136-70-9</v>
          </cell>
          <cell r="C218" t="str">
            <v>Benzidine sulphate</v>
          </cell>
          <cell r="D218" t="str">
            <v>97-1-102</v>
          </cell>
          <cell r="E218" t="str">
            <v>과 그 염류 및 그 중 하나를 0.1% 이상 함유한 혼합물질</v>
          </cell>
          <cell r="F218">
            <v>0.1</v>
          </cell>
        </row>
        <row r="219">
          <cell r="B219" t="str">
            <v>531-85-1</v>
          </cell>
          <cell r="C219" t="str">
            <v>[1,1'-Biphenyl]-4,4'-diamine dihydrochloride ; Benzidine dihydrochloride</v>
          </cell>
          <cell r="D219" t="str">
            <v>97-1-102</v>
          </cell>
          <cell r="E219" t="str">
            <v>과 그 염류 및 그 중 하나를 0.1% 이상 함유한 혼합물질</v>
          </cell>
          <cell r="F219">
            <v>0.1</v>
          </cell>
        </row>
        <row r="220">
          <cell r="B220" t="str">
            <v>92-87-5</v>
          </cell>
          <cell r="C220" t="str">
            <v>Benzidine</v>
          </cell>
          <cell r="D220" t="str">
            <v>97-1-102</v>
          </cell>
          <cell r="E220" t="str">
            <v>과 그 염류 및 그 중 하나를 0.1% 이상 함유한 혼합물질</v>
          </cell>
          <cell r="F220">
            <v>0.1</v>
          </cell>
        </row>
        <row r="221">
          <cell r="C221" t="str">
            <v>Benzidine, salts</v>
          </cell>
          <cell r="D221" t="str">
            <v>97-1-102</v>
          </cell>
          <cell r="E221" t="str">
            <v>과 그 염류 및 그 중 하나를 0.1% 이상 함유한 혼합물질</v>
          </cell>
          <cell r="F221">
            <v>0.1</v>
          </cell>
        </row>
        <row r="222">
          <cell r="B222" t="str">
            <v>82560-54-1</v>
          </cell>
          <cell r="C222" t="str">
            <v>Ethyl N-[2,3-dihydro-2,2-dimethylbenzofuran-7-yloxycarbonyl(methyl)aminothio]-N-isopropyl-β-alaninate ; Benfuracarb</v>
          </cell>
          <cell r="D222" t="str">
            <v>97-1-103</v>
          </cell>
          <cell r="E222" t="str">
            <v>및 이를 1% 이상 함유한 혼합물질</v>
          </cell>
          <cell r="F222">
            <v>1</v>
          </cell>
        </row>
        <row r="223">
          <cell r="B223" t="str">
            <v>1861-40-1</v>
          </cell>
          <cell r="C223" t="str">
            <v>Benzenamine, N-butyl-N-ethyl-2,6-dinitro-4-(trifluoromethyl)- ; Benfluralin</v>
          </cell>
          <cell r="D223" t="str">
            <v>97-1-104</v>
          </cell>
          <cell r="E223" t="str">
            <v>및 이를 25% 이상 함유한 혼합물질</v>
          </cell>
          <cell r="F223">
            <v>25</v>
          </cell>
        </row>
        <row r="224">
          <cell r="B224" t="str">
            <v>122-10-1</v>
          </cell>
          <cell r="C224" t="str">
            <v>Bomyl</v>
          </cell>
          <cell r="D224" t="str">
            <v>97-1-105</v>
          </cell>
          <cell r="E224" t="str">
            <v>및 이를 1% 이상 함유한 혼합물질</v>
          </cell>
          <cell r="F224">
            <v>1</v>
          </cell>
        </row>
        <row r="225">
          <cell r="B225" t="str">
            <v>52-51-7</v>
          </cell>
          <cell r="C225" t="str">
            <v>2-Bromo-2-nitro-1,3-propanediol ; Bronopol</v>
          </cell>
          <cell r="D225" t="str">
            <v>97-1-106</v>
          </cell>
          <cell r="E225" t="str">
            <v>및 이를 1% 이상 함유한 혼합물질</v>
          </cell>
          <cell r="F225">
            <v>1</v>
          </cell>
        </row>
        <row r="226">
          <cell r="B226" t="str">
            <v>56073-10-0</v>
          </cell>
          <cell r="C226" t="str">
            <v>Brodifacoum</v>
          </cell>
          <cell r="D226" t="str">
            <v>97-1-107</v>
          </cell>
          <cell r="E226" t="str">
            <v>및 이를 1% 이상 함유한 혼합물질</v>
          </cell>
          <cell r="F226">
            <v>1</v>
          </cell>
        </row>
        <row r="227">
          <cell r="B227" t="str">
            <v>28772-56-7</v>
          </cell>
          <cell r="C227" t="str">
            <v>Bromadiolone</v>
          </cell>
          <cell r="D227" t="str">
            <v>97-1-108</v>
          </cell>
          <cell r="E227" t="str">
            <v>및 이를 1% 이상 함유한 혼합물질</v>
          </cell>
          <cell r="F227">
            <v>1</v>
          </cell>
        </row>
        <row r="228">
          <cell r="B228" t="str">
            <v>598-31-2</v>
          </cell>
          <cell r="C228" t="str">
            <v>Bromo-2-propanone</v>
          </cell>
          <cell r="D228" t="str">
            <v>97-1-109</v>
          </cell>
          <cell r="E228" t="str">
            <v>및 이를 1% 이상 함유한 혼합물질</v>
          </cell>
          <cell r="F228">
            <v>1</v>
          </cell>
        </row>
        <row r="229">
          <cell r="B229" t="str">
            <v>54-11-5</v>
          </cell>
          <cell r="C229" t="str">
            <v>Nicotine</v>
          </cell>
          <cell r="D229" t="str">
            <v>97-1-11</v>
          </cell>
          <cell r="E229" t="str">
            <v>염류 및 그 중 하나를 1% 이상 함유한 혼합물질</v>
          </cell>
          <cell r="F229">
            <v>1</v>
          </cell>
        </row>
        <row r="230">
          <cell r="B230" t="str">
            <v>65-31-6</v>
          </cell>
          <cell r="C230" t="str">
            <v>Nicotine hydrogen tartrate</v>
          </cell>
          <cell r="D230" t="str">
            <v>97-1-11</v>
          </cell>
          <cell r="E230" t="str">
            <v>염류 및 그 중 하나를 1% 이상 함유한 혼합물질</v>
          </cell>
          <cell r="F230">
            <v>1</v>
          </cell>
        </row>
        <row r="231">
          <cell r="C231" t="str">
            <v>Nicotine, salts</v>
          </cell>
          <cell r="D231" t="str">
            <v>97-1-11</v>
          </cell>
          <cell r="E231" t="str">
            <v>염류 및 그 중 하나를 1% 이상 함유한 혼합물질</v>
          </cell>
          <cell r="F231">
            <v>1</v>
          </cell>
        </row>
        <row r="232">
          <cell r="B232" t="str">
            <v>4824-78-6</v>
          </cell>
          <cell r="C232" t="str">
            <v>Bromophos-ethyl</v>
          </cell>
          <cell r="D232" t="str">
            <v>97-1-110</v>
          </cell>
          <cell r="E232" t="str">
            <v>및 이를 1% 이상 함유한 혼합물질</v>
          </cell>
          <cell r="F232">
            <v>1</v>
          </cell>
        </row>
        <row r="233">
          <cell r="B233" t="str">
            <v>7726-95-6</v>
          </cell>
          <cell r="C233" t="str">
            <v>Bromine</v>
          </cell>
          <cell r="D233" t="str">
            <v>97-1-111</v>
          </cell>
          <cell r="E233" t="str">
            <v>및 이를 1% 이상 함유한 혼합물질</v>
          </cell>
          <cell r="F233">
            <v>1</v>
          </cell>
        </row>
        <row r="234">
          <cell r="B234" t="str">
            <v>63333-35-7</v>
          </cell>
          <cell r="C234" t="str">
            <v>Bromethalin</v>
          </cell>
          <cell r="D234" t="str">
            <v>97-1-112</v>
          </cell>
          <cell r="E234" t="str">
            <v>및 이를 1% 이상 함유한 혼합물질</v>
          </cell>
          <cell r="F234">
            <v>1</v>
          </cell>
        </row>
        <row r="235">
          <cell r="B235" t="str">
            <v>74-83-9</v>
          </cell>
          <cell r="C235" t="str">
            <v>Methyl bromide</v>
          </cell>
          <cell r="D235" t="str">
            <v>97-1-113</v>
          </cell>
          <cell r="E235" t="str">
            <v>및 이를 1% 이상 함유한 혼합물질</v>
          </cell>
          <cell r="F235">
            <v>1</v>
          </cell>
        </row>
        <row r="236">
          <cell r="B236" t="str">
            <v>10035-10-6</v>
          </cell>
          <cell r="C236" t="str">
            <v>Hydrogen bromide</v>
          </cell>
          <cell r="D236" t="str">
            <v>97-1-114</v>
          </cell>
          <cell r="E236" t="str">
            <v>및 이를 1% 이상 함유한 혼합물질</v>
          </cell>
          <cell r="F236">
            <v>1</v>
          </cell>
        </row>
        <row r="237">
          <cell r="B237" t="str">
            <v>34681-10-2</v>
          </cell>
          <cell r="C237" t="str">
            <v>Butocarboxim</v>
          </cell>
          <cell r="D237" t="str">
            <v>97-1-115</v>
          </cell>
          <cell r="E237" t="str">
            <v>및 이를 1% 이상 함유한 혼합물질</v>
          </cell>
          <cell r="F237">
            <v>1</v>
          </cell>
        </row>
        <row r="238">
          <cell r="B238" t="str">
            <v>8065-36-9</v>
          </cell>
          <cell r="C238" t="str">
            <v>Bufencarb</v>
          </cell>
          <cell r="D238" t="str">
            <v>97-1-116</v>
          </cell>
          <cell r="E238" t="str">
            <v>및 이를 25% 이상 함유한 혼합물질</v>
          </cell>
          <cell r="F238">
            <v>25</v>
          </cell>
        </row>
        <row r="239">
          <cell r="B239" t="str">
            <v>2079-00-7</v>
          </cell>
          <cell r="C239" t="str">
            <v>Blasticidin-S</v>
          </cell>
          <cell r="D239" t="str">
            <v>97-1-117</v>
          </cell>
          <cell r="E239" t="str">
            <v>및 그 중 하나를 1% 이상 함유한 혼합물질</v>
          </cell>
          <cell r="F239">
            <v>1</v>
          </cell>
        </row>
        <row r="240">
          <cell r="C240" t="str">
            <v>Blasticidin-S, salts</v>
          </cell>
          <cell r="D240" t="str">
            <v>97-1-117</v>
          </cell>
          <cell r="E240" t="str">
            <v>및 그 중 하나를 1% 이상 함유한 혼합물질</v>
          </cell>
          <cell r="F240">
            <v>1</v>
          </cell>
        </row>
        <row r="241">
          <cell r="B241" t="str">
            <v>485-31-4</v>
          </cell>
          <cell r="C241" t="str">
            <v>Binapacryl</v>
          </cell>
          <cell r="D241" t="str">
            <v>97-1-118</v>
          </cell>
          <cell r="E241" t="str">
            <v>및 이를 0.1% 이상 함유한 혼합물질</v>
          </cell>
          <cell r="F241">
            <v>0.1</v>
          </cell>
        </row>
        <row r="242">
          <cell r="B242" t="str">
            <v>10031-13-7</v>
          </cell>
          <cell r="C242" t="str">
            <v>Lead arsenite</v>
          </cell>
          <cell r="D242" t="str">
            <v>97-1-119</v>
          </cell>
          <cell r="E242" t="str">
            <v>또는 그 화합물과 비소화합물을 0.1% 이상 함유한 혼합물질</v>
          </cell>
          <cell r="F242">
            <v>0.1</v>
          </cell>
        </row>
        <row r="243">
          <cell r="B243" t="str">
            <v>10048-95-0</v>
          </cell>
          <cell r="C243" t="str">
            <v>Disodium arsenate heptahydrate</v>
          </cell>
          <cell r="D243" t="str">
            <v>97-1-119</v>
          </cell>
          <cell r="E243" t="str">
            <v>또는 그 화합물과 비소화합물을 0.1% 이상 함유한 혼합물질</v>
          </cell>
          <cell r="F243">
            <v>0.1</v>
          </cell>
        </row>
        <row r="244">
          <cell r="B244" t="str">
            <v>10102-49-5</v>
          </cell>
          <cell r="C244" t="str">
            <v>Iron arsenate</v>
          </cell>
          <cell r="D244" t="str">
            <v>97-1-119</v>
          </cell>
          <cell r="E244" t="str">
            <v>또는 그 화합물과 비소화합물을 0.1% 이상 함유한 혼합물질</v>
          </cell>
          <cell r="F244">
            <v>0.1</v>
          </cell>
        </row>
        <row r="245">
          <cell r="B245" t="str">
            <v>10102-50-8</v>
          </cell>
          <cell r="C245" t="str">
            <v>Iron bis(arsenate)</v>
          </cell>
          <cell r="D245" t="str">
            <v>97-1-119</v>
          </cell>
          <cell r="E245" t="str">
            <v>또는 그 화합물과 비소화합물을 0.1% 이상 함유한 혼합물질</v>
          </cell>
          <cell r="F245">
            <v>0.1</v>
          </cell>
        </row>
        <row r="246">
          <cell r="B246" t="str">
            <v>10103-50-1</v>
          </cell>
          <cell r="C246" t="str">
            <v>Arsenic acid magnesium salt</v>
          </cell>
          <cell r="D246" t="str">
            <v>97-1-119</v>
          </cell>
          <cell r="E246" t="str">
            <v>또는 그 화합물과 비소화합물을 0.1% 이상 함유한 혼합물질</v>
          </cell>
          <cell r="F246">
            <v>0.1</v>
          </cell>
        </row>
        <row r="247">
          <cell r="B247" t="str">
            <v>10103-61-4</v>
          </cell>
          <cell r="C247" t="str">
            <v>Arsenic acid copper salt</v>
          </cell>
          <cell r="D247" t="str">
            <v>97-1-119</v>
          </cell>
          <cell r="E247" t="str">
            <v>또는 그 화합물과 비소화합물을 0.1% 이상 함유한 혼합물질</v>
          </cell>
          <cell r="F247">
            <v>0.1</v>
          </cell>
        </row>
        <row r="248">
          <cell r="B248" t="str">
            <v>10103-62-5</v>
          </cell>
          <cell r="C248" t="str">
            <v>Arsenic acid calcium salt</v>
          </cell>
          <cell r="D248" t="str">
            <v>97-1-119</v>
          </cell>
          <cell r="E248" t="str">
            <v>또는 그 화합물과 비소화합물을 0.1% 이상 함유한 혼합물질</v>
          </cell>
          <cell r="F248">
            <v>0.1</v>
          </cell>
        </row>
        <row r="249">
          <cell r="B249" t="str">
            <v>10124-50-2</v>
          </cell>
          <cell r="C249" t="str">
            <v>Potassium arsonate</v>
          </cell>
          <cell r="D249" t="str">
            <v>97-1-119</v>
          </cell>
          <cell r="E249" t="str">
            <v>또는 그 화합물과 비소화합물을 0.1% 이상 함유한 혼합물질</v>
          </cell>
          <cell r="F249">
            <v>0.1</v>
          </cell>
        </row>
        <row r="250">
          <cell r="B250" t="str">
            <v>102110-21-4</v>
          </cell>
          <cell r="C250" t="str">
            <v>Arsenic acid (H3AsO4), magnesium salt, manganese-doped</v>
          </cell>
          <cell r="D250" t="str">
            <v>97-1-119</v>
          </cell>
          <cell r="E250" t="str">
            <v>또는 그 화합물과 비소화합물을 0.1% 이상 함유한 혼합물질</v>
          </cell>
          <cell r="F250">
            <v>0.1</v>
          </cell>
        </row>
        <row r="251">
          <cell r="B251" t="str">
            <v>102110-62-3</v>
          </cell>
          <cell r="C251" t="str">
            <v>Slimes and Sludges, copper-lead ore roasting off gas scrubbing, arsenic-contg.</v>
          </cell>
          <cell r="D251" t="str">
            <v>97-1-119</v>
          </cell>
          <cell r="E251" t="str">
            <v>또는 그 화합물과 비소화합물을 0.1% 이상 함유한 혼합물질</v>
          </cell>
          <cell r="F251">
            <v>0.1</v>
          </cell>
        </row>
        <row r="252">
          <cell r="B252" t="str">
            <v>10290-12-7</v>
          </cell>
          <cell r="C252" t="str">
            <v>Copper arsonate</v>
          </cell>
          <cell r="D252" t="str">
            <v>97-1-119</v>
          </cell>
          <cell r="E252" t="str">
            <v>또는 그 화합물과 비소화합물을 0.1% 이상 함유한 혼합물질</v>
          </cell>
          <cell r="F252">
            <v>0.1</v>
          </cell>
        </row>
        <row r="253">
          <cell r="B253" t="str">
            <v>12005-75-3</v>
          </cell>
          <cell r="C253" t="str">
            <v>Tricopper arsenide</v>
          </cell>
          <cell r="D253" t="str">
            <v>97-1-119</v>
          </cell>
          <cell r="E253" t="str">
            <v>또는 그 화합물과 비소화합물을 0.1% 이상 함유한 혼합물질</v>
          </cell>
          <cell r="F253">
            <v>0.1</v>
          </cell>
        </row>
        <row r="254">
          <cell r="B254" t="str">
            <v>12005-81-1</v>
          </cell>
          <cell r="C254" t="str">
            <v>Dysprosium arsenide (DyAs)</v>
          </cell>
          <cell r="D254" t="str">
            <v>97-1-119</v>
          </cell>
          <cell r="E254" t="str">
            <v>또는 그 화합물과 비소화합물을 0.1% 이상 함유한 혼합물질</v>
          </cell>
          <cell r="F254">
            <v>0.1</v>
          </cell>
        </row>
        <row r="255">
          <cell r="B255" t="str">
            <v>12005-88-8</v>
          </cell>
          <cell r="C255" t="str">
            <v>Diiron arsenide</v>
          </cell>
          <cell r="D255" t="str">
            <v>97-1-119</v>
          </cell>
          <cell r="E255" t="str">
            <v>또는 그 화합물과 비소화합물을 0.1% 이상 함유한 혼합물질</v>
          </cell>
          <cell r="F255">
            <v>0.1</v>
          </cell>
        </row>
        <row r="256">
          <cell r="B256" t="str">
            <v>12005-89-9</v>
          </cell>
          <cell r="C256" t="str">
            <v>Gadolinium arsenide</v>
          </cell>
          <cell r="D256" t="str">
            <v>97-1-119</v>
          </cell>
          <cell r="E256" t="str">
            <v>또는 그 화합물과 비소화합물을 0.1% 이상 함유한 혼합물질</v>
          </cell>
          <cell r="F256">
            <v>0.1</v>
          </cell>
        </row>
        <row r="257">
          <cell r="B257" t="str">
            <v>12005-92-4</v>
          </cell>
          <cell r="C257" t="str">
            <v>Holmium arsenide (HoAs)</v>
          </cell>
          <cell r="D257" t="str">
            <v>97-1-119</v>
          </cell>
          <cell r="E257" t="str">
            <v>또는 그 화합물과 비소화합물을 0.1% 이상 함유한 혼합물질</v>
          </cell>
          <cell r="F257">
            <v>0.1</v>
          </cell>
        </row>
        <row r="258">
          <cell r="B258" t="str">
            <v>12005-94-6</v>
          </cell>
          <cell r="C258" t="str">
            <v>Lutetium arsenide (LuAs)</v>
          </cell>
          <cell r="D258" t="str">
            <v>97-1-119</v>
          </cell>
          <cell r="E258" t="str">
            <v>또는 그 화합물과 비소화합물을 0.1% 이상 함유한 혼합물질</v>
          </cell>
          <cell r="F258">
            <v>0.1</v>
          </cell>
        </row>
        <row r="259">
          <cell r="B259" t="str">
            <v>12005-95-7</v>
          </cell>
          <cell r="C259" t="str">
            <v>Manganese arsenide</v>
          </cell>
          <cell r="D259" t="str">
            <v>97-1-119</v>
          </cell>
          <cell r="E259" t="str">
            <v>또는 그 화합물과 비소화합물을 0.1% 이상 함유한 혼합물질</v>
          </cell>
          <cell r="F259">
            <v>0.1</v>
          </cell>
        </row>
        <row r="260">
          <cell r="B260" t="str">
            <v>12005-96-8</v>
          </cell>
          <cell r="C260" t="str">
            <v>Manganese arsenide (Mn2As)</v>
          </cell>
          <cell r="D260" t="str">
            <v>97-1-119</v>
          </cell>
          <cell r="E260" t="str">
            <v>또는 그 화합물과 비소화합물을 0.1% 이상 함유한 혼합물질</v>
          </cell>
          <cell r="F260">
            <v>0.1</v>
          </cell>
        </row>
        <row r="261">
          <cell r="B261" t="str">
            <v>12006-08-5</v>
          </cell>
          <cell r="C261" t="str">
            <v>Terbium arsenide (TbAs)</v>
          </cell>
          <cell r="D261" t="str">
            <v>97-1-119</v>
          </cell>
          <cell r="E261" t="str">
            <v>또는 그 화합물과 비소화합물을 0.1% 이상 함유한 혼합물질</v>
          </cell>
          <cell r="F261">
            <v>0.1</v>
          </cell>
        </row>
        <row r="262">
          <cell r="B262" t="str">
            <v>12006-09-6</v>
          </cell>
          <cell r="C262" t="str">
            <v>Thallium arsenide (TlAs)</v>
          </cell>
          <cell r="D262" t="str">
            <v>97-1-119</v>
          </cell>
          <cell r="E262" t="str">
            <v>또는 그 화합물과 비소화합물을 0.1% 이상 함유한 혼합물질</v>
          </cell>
          <cell r="F262">
            <v>0.1</v>
          </cell>
        </row>
        <row r="263">
          <cell r="B263" t="str">
            <v>12006-12-1</v>
          </cell>
          <cell r="C263" t="str">
            <v>Ytterbium arsenide</v>
          </cell>
          <cell r="D263" t="str">
            <v>97-1-119</v>
          </cell>
          <cell r="E263" t="str">
            <v>또는 그 화합물과 비소화합물을 0.1% 이상 함유한 혼합물질</v>
          </cell>
          <cell r="F263">
            <v>0.1</v>
          </cell>
        </row>
        <row r="264">
          <cell r="B264" t="str">
            <v>12006-15-4</v>
          </cell>
          <cell r="C264" t="str">
            <v>Tricadmium diarsenide</v>
          </cell>
          <cell r="D264" t="str">
            <v>97-1-119</v>
          </cell>
          <cell r="E264" t="str">
            <v>또는 그 화합물과 비소화합물을 0.1% 이상 함유한 혼합물질</v>
          </cell>
          <cell r="F264">
            <v>0.1</v>
          </cell>
        </row>
        <row r="265">
          <cell r="B265" t="str">
            <v>12006-21-2</v>
          </cell>
          <cell r="C265" t="str">
            <v>Iron diarsenide</v>
          </cell>
          <cell r="D265" t="str">
            <v>97-1-119</v>
          </cell>
          <cell r="E265" t="str">
            <v>또는 그 화합물과 비소화합물을 0.1% 이상 함유한 혼합물질</v>
          </cell>
          <cell r="F265">
            <v>0.1</v>
          </cell>
        </row>
        <row r="266">
          <cell r="B266" t="str">
            <v>12006-40-5</v>
          </cell>
          <cell r="C266" t="str">
            <v>Trizinc diarsenide</v>
          </cell>
          <cell r="D266" t="str">
            <v>97-1-119</v>
          </cell>
          <cell r="E266" t="str">
            <v>또는 그 화합물과 비소화합물을 0.1% 이상 함유한 혼합물질</v>
          </cell>
          <cell r="F266">
            <v>0.1</v>
          </cell>
        </row>
        <row r="267">
          <cell r="B267" t="str">
            <v>12044-16-5</v>
          </cell>
          <cell r="C267" t="str">
            <v>Iron arsenide</v>
          </cell>
          <cell r="D267" t="str">
            <v>97-1-119</v>
          </cell>
          <cell r="E267" t="str">
            <v>또는 그 화합물과 비소화합물을 0.1% 이상 함유한 혼합물질</v>
          </cell>
          <cell r="F267">
            <v>0.1</v>
          </cell>
        </row>
        <row r="268">
          <cell r="B268" t="str">
            <v>12044-20-1</v>
          </cell>
          <cell r="C268" t="str">
            <v>Gallium arsenide phosphide (Ga2AsP)</v>
          </cell>
          <cell r="D268" t="str">
            <v>97-1-119</v>
          </cell>
          <cell r="E268" t="str">
            <v>또는 그 화합물과 비소화합물을 0.1% 이상 함유한 혼합물질</v>
          </cell>
          <cell r="F268">
            <v>0.1</v>
          </cell>
        </row>
        <row r="269">
          <cell r="B269" t="str">
            <v>12044-21-2</v>
          </cell>
          <cell r="C269" t="str">
            <v>Tripotassium arsenide</v>
          </cell>
          <cell r="D269" t="str">
            <v>97-1-119</v>
          </cell>
          <cell r="E269" t="str">
            <v>또는 그 화합물과 비소화합물을 0.1% 이상 함유한 혼합물질</v>
          </cell>
          <cell r="F269">
            <v>0.1</v>
          </cell>
        </row>
        <row r="270">
          <cell r="B270" t="str">
            <v>12044-22-3</v>
          </cell>
          <cell r="C270" t="str">
            <v>Trilithium arsenide</v>
          </cell>
          <cell r="D270" t="str">
            <v>97-1-119</v>
          </cell>
          <cell r="E270" t="str">
            <v>또는 그 화합물과 비소화합물을 0.1% 이상 함유한 혼합물질</v>
          </cell>
          <cell r="F270">
            <v>0.1</v>
          </cell>
        </row>
        <row r="271">
          <cell r="B271" t="str">
            <v>12044-25-6</v>
          </cell>
          <cell r="C271" t="str">
            <v>Trisodium arsenide</v>
          </cell>
          <cell r="D271" t="str">
            <v>97-1-119</v>
          </cell>
          <cell r="E271" t="str">
            <v>또는 그 화합물과 비소화합물을 0.1% 이상 함유한 혼합물질</v>
          </cell>
          <cell r="F271">
            <v>0.1</v>
          </cell>
        </row>
        <row r="272">
          <cell r="B272" t="str">
            <v>12044-28-9</v>
          </cell>
          <cell r="C272" t="str">
            <v>Praseodymium arsenide (PrAs)</v>
          </cell>
          <cell r="D272" t="str">
            <v>97-1-119</v>
          </cell>
          <cell r="E272" t="str">
            <v>또는 그 화합물과 비소화합물을 0.1% 이상 함유한 혼합물질</v>
          </cell>
          <cell r="F272">
            <v>0.1</v>
          </cell>
        </row>
        <row r="273">
          <cell r="B273" t="str">
            <v>12044-42-7</v>
          </cell>
          <cell r="C273" t="str">
            <v>Cobalt arsenide (CoAs2)</v>
          </cell>
          <cell r="D273" t="str">
            <v>97-1-119</v>
          </cell>
          <cell r="E273" t="str">
            <v>또는 그 화합물과 비소화합물을 0.1% 이상 함유한 혼합물질</v>
          </cell>
          <cell r="F273">
            <v>0.1</v>
          </cell>
        </row>
        <row r="274">
          <cell r="B274" t="str">
            <v>12044-49-4</v>
          </cell>
          <cell r="C274" t="str">
            <v>Magnesium arsenide (Mg3As2)</v>
          </cell>
          <cell r="D274" t="str">
            <v>97-1-119</v>
          </cell>
          <cell r="E274" t="str">
            <v>또는 그 화합물과 비소화합물을 0.1% 이상 함유한 혼합물질</v>
          </cell>
          <cell r="F274">
            <v>0.1</v>
          </cell>
        </row>
        <row r="275">
          <cell r="B275" t="str">
            <v>12044-54-1</v>
          </cell>
          <cell r="C275" t="str">
            <v>Arsenic telluride (As2Te3)</v>
          </cell>
          <cell r="D275" t="str">
            <v>97-1-119</v>
          </cell>
          <cell r="E275" t="str">
            <v>또는 그 화합물과 비소화합물을 0.1% 이상 함유한 혼합물질</v>
          </cell>
          <cell r="F275">
            <v>0.1</v>
          </cell>
        </row>
        <row r="276">
          <cell r="B276" t="str">
            <v>12044-55-2</v>
          </cell>
          <cell r="C276" t="str">
            <v>Zinc arsenide (ZnAs2)</v>
          </cell>
          <cell r="D276" t="str">
            <v>97-1-119</v>
          </cell>
          <cell r="E276" t="str">
            <v>또는 그 화합물과 비소화합물을 0.1% 이상 함유한 혼합물질</v>
          </cell>
          <cell r="F276">
            <v>0.1</v>
          </cell>
        </row>
        <row r="277">
          <cell r="B277" t="str">
            <v>12068-61-0</v>
          </cell>
          <cell r="C277" t="str">
            <v>Nickel diarsenide</v>
          </cell>
          <cell r="D277" t="str">
            <v>97-1-119</v>
          </cell>
          <cell r="E277" t="str">
            <v>또는 그 화합물과 비소화합물을 0.1% 이상 함유한 혼합물질</v>
          </cell>
          <cell r="F277">
            <v>0.1</v>
          </cell>
        </row>
        <row r="278">
          <cell r="B278" t="str">
            <v>12254-85-2</v>
          </cell>
          <cell r="C278" t="str">
            <v>Dichromium arsenide</v>
          </cell>
          <cell r="D278" t="str">
            <v>97-1-119</v>
          </cell>
          <cell r="E278" t="str">
            <v>또는 그 화합물과 비소화합물을 0.1% 이상 함유한 혼합물질</v>
          </cell>
          <cell r="F278">
            <v>0.1</v>
          </cell>
        </row>
        <row r="279">
          <cell r="B279" t="str">
            <v>12254-88-5</v>
          </cell>
          <cell r="C279" t="str">
            <v>Erbium arsenide (ErAs)</v>
          </cell>
          <cell r="D279" t="str">
            <v>97-1-119</v>
          </cell>
          <cell r="E279" t="str">
            <v>또는 그 화합물과 비소화합물을 0.1% 이상 함유한 혼합물질</v>
          </cell>
          <cell r="F279">
            <v>0.1</v>
          </cell>
        </row>
        <row r="280">
          <cell r="B280" t="str">
            <v>12255-04-8</v>
          </cell>
          <cell r="C280" t="str">
            <v>Lanthanum arsenide (LaAs)</v>
          </cell>
          <cell r="D280" t="str">
            <v>97-1-119</v>
          </cell>
          <cell r="E280" t="str">
            <v>또는 그 화합물과 비소화합물을 0.1% 이상 함유한 혼합물질</v>
          </cell>
          <cell r="F280">
            <v>0.1</v>
          </cell>
        </row>
        <row r="281">
          <cell r="B281" t="str">
            <v>12255-08-2</v>
          </cell>
          <cell r="C281" t="str">
            <v>Niobium arsenide (NbAs)</v>
          </cell>
          <cell r="D281" t="str">
            <v>97-1-119</v>
          </cell>
          <cell r="E281" t="str">
            <v>또는 그 화합물과 비소화합물을 0.1% 이상 함유한 혼합물질</v>
          </cell>
          <cell r="F281">
            <v>0.1</v>
          </cell>
        </row>
        <row r="282">
          <cell r="B282" t="str">
            <v>12255-09-3</v>
          </cell>
          <cell r="C282" t="str">
            <v>Neodymium arsenide (NdAs)</v>
          </cell>
          <cell r="D282" t="str">
            <v>97-1-119</v>
          </cell>
          <cell r="E282" t="str">
            <v>또는 그 화합물과 비소화합물을 0.1% 이상 함유한 혼합물질</v>
          </cell>
          <cell r="F282">
            <v>0.1</v>
          </cell>
        </row>
        <row r="283">
          <cell r="B283" t="str">
            <v>12255-36-6</v>
          </cell>
          <cell r="C283" t="str">
            <v>Triantimony arsenide</v>
          </cell>
          <cell r="D283" t="str">
            <v>97-1-119</v>
          </cell>
          <cell r="E283" t="str">
            <v>또는 그 화합물과 비소화합물을 0.1% 이상 함유한 혼합물질</v>
          </cell>
          <cell r="F283">
            <v>0.1</v>
          </cell>
        </row>
        <row r="284">
          <cell r="B284" t="str">
            <v>12255-39-9</v>
          </cell>
          <cell r="C284" t="str">
            <v>Samarium arsenide</v>
          </cell>
          <cell r="D284" t="str">
            <v>97-1-119</v>
          </cell>
          <cell r="E284" t="str">
            <v>또는 그 화합물과 비소화합물을 0.1% 이상 함유한 혼합물질</v>
          </cell>
          <cell r="F284">
            <v>0.1</v>
          </cell>
        </row>
        <row r="285">
          <cell r="B285" t="str">
            <v>12255-48-0</v>
          </cell>
          <cell r="C285" t="str">
            <v>Yttrium arsenide</v>
          </cell>
          <cell r="D285" t="str">
            <v>97-1-119</v>
          </cell>
          <cell r="E285" t="str">
            <v>또는 그 화합물과 비소화합물을 0.1% 이상 함유한 혼합물질</v>
          </cell>
          <cell r="F285">
            <v>0.1</v>
          </cell>
        </row>
        <row r="286">
          <cell r="B286" t="str">
            <v>12255-50-4</v>
          </cell>
          <cell r="C286" t="str">
            <v>Tribarium diarsenide</v>
          </cell>
          <cell r="D286" t="str">
            <v>97-1-119</v>
          </cell>
          <cell r="E286" t="str">
            <v>또는 그 화합물과 비소화합물을 0.1% 이상 함유한 혼합물질</v>
          </cell>
          <cell r="F286">
            <v>0.1</v>
          </cell>
        </row>
        <row r="287">
          <cell r="B287" t="str">
            <v>12255-53-7</v>
          </cell>
          <cell r="C287" t="str">
            <v>Tricalcium diarsenide</v>
          </cell>
          <cell r="D287" t="str">
            <v>97-1-119</v>
          </cell>
          <cell r="E287" t="str">
            <v>또는 그 화합물과 비소화합물을 0.1% 이상 함유한 혼합물질</v>
          </cell>
          <cell r="F287">
            <v>0.1</v>
          </cell>
        </row>
        <row r="288">
          <cell r="B288" t="str">
            <v>12256-04-1</v>
          </cell>
          <cell r="C288" t="str">
            <v>Cobalt arsenide (CoAs3)</v>
          </cell>
          <cell r="D288" t="str">
            <v>97-1-119</v>
          </cell>
          <cell r="E288" t="str">
            <v>또는 그 화합물과 비소화합물을 0.1% 이상 함유한 혼합물질</v>
          </cell>
          <cell r="F288">
            <v>0.1</v>
          </cell>
        </row>
        <row r="289">
          <cell r="B289" t="str">
            <v>12271-72-6</v>
          </cell>
          <cell r="C289" t="str">
            <v>Germanium arsenide</v>
          </cell>
          <cell r="D289" t="str">
            <v>97-1-119</v>
          </cell>
          <cell r="E289" t="str">
            <v>또는 그 화합물과 비소화합물을 0.1% 이상 함유한 혼합물질</v>
          </cell>
          <cell r="F289">
            <v>0.1</v>
          </cell>
        </row>
        <row r="290">
          <cell r="B290" t="str">
            <v>12344-68-2</v>
          </cell>
          <cell r="C290" t="str">
            <v>Arsenic sulfide (As2S4)</v>
          </cell>
          <cell r="D290" t="str">
            <v>97-1-119</v>
          </cell>
          <cell r="E290" t="str">
            <v>또는 그 화합물과 비소화합물을 0.1% 이상 함유한 혼합물질</v>
          </cell>
          <cell r="F290">
            <v>0.1</v>
          </cell>
        </row>
        <row r="291">
          <cell r="B291" t="str">
            <v>124-58-3</v>
          </cell>
          <cell r="C291" t="str">
            <v>Methylarsonic acid ; Methanearsonic acid, DSMA</v>
          </cell>
          <cell r="D291" t="str">
            <v>97-1-119</v>
          </cell>
          <cell r="E291" t="str">
            <v>또는 그 화합물과 비소화합물을 0.1% 이상 함유한 혼합물질</v>
          </cell>
          <cell r="F291">
            <v>0.1</v>
          </cell>
        </row>
        <row r="292">
          <cell r="B292" t="str">
            <v>12417-99-1</v>
          </cell>
          <cell r="C292" t="str">
            <v>Trisilver arsenide</v>
          </cell>
          <cell r="D292" t="str">
            <v>97-1-119</v>
          </cell>
          <cell r="E292" t="str">
            <v>또는 그 화합물과 비소화합물을 0.1% 이상 함유한 혼합물질</v>
          </cell>
          <cell r="F292">
            <v>0.1</v>
          </cell>
        </row>
        <row r="293">
          <cell r="B293" t="str">
            <v>1303-00-0</v>
          </cell>
          <cell r="C293" t="str">
            <v>Gallium arsenide</v>
          </cell>
          <cell r="D293" t="str">
            <v>97-1-119</v>
          </cell>
          <cell r="E293" t="str">
            <v>또는 그 화합물과 비소화합물을 0.1% 이상 함유한 혼합물질</v>
          </cell>
          <cell r="F293">
            <v>0.1</v>
          </cell>
        </row>
        <row r="294">
          <cell r="B294" t="str">
            <v>1303-28-2</v>
          </cell>
          <cell r="C294" t="str">
            <v>Arsenic pentoxide</v>
          </cell>
          <cell r="D294" t="str">
            <v>97-1-119</v>
          </cell>
          <cell r="E294" t="str">
            <v>또는 그 화합물과 비소화합물을 0.1% 이상 함유한 혼합물질</v>
          </cell>
          <cell r="F294">
            <v>0.1</v>
          </cell>
        </row>
        <row r="295">
          <cell r="B295" t="str">
            <v>1303-33-9</v>
          </cell>
          <cell r="C295" t="str">
            <v>Arsenic sulfides</v>
          </cell>
          <cell r="D295" t="str">
            <v>97-1-119</v>
          </cell>
          <cell r="E295" t="str">
            <v>또는 그 화합물과 비소화합물을 0.1% 이상 함유한 혼합물질</v>
          </cell>
          <cell r="F295">
            <v>0.1</v>
          </cell>
        </row>
        <row r="296">
          <cell r="B296" t="str">
            <v>1303-36-2</v>
          </cell>
          <cell r="C296" t="str">
            <v>Diarsenic triselenide</v>
          </cell>
          <cell r="D296" t="str">
            <v>97-1-119</v>
          </cell>
          <cell r="E296" t="str">
            <v>또는 그 화합물과 비소화합물을 0.1% 이상 함유한 혼합물질</v>
          </cell>
          <cell r="F296">
            <v>0.1</v>
          </cell>
        </row>
        <row r="297">
          <cell r="B297" t="str">
            <v>1327-53-3</v>
          </cell>
          <cell r="C297" t="str">
            <v>Diarsenic trioxide</v>
          </cell>
          <cell r="D297" t="str">
            <v>97-1-119</v>
          </cell>
          <cell r="E297" t="str">
            <v>또는 그 화합물과 비소화합물을 0.1% 이상 함유한 혼합물질</v>
          </cell>
          <cell r="F297">
            <v>0.1</v>
          </cell>
        </row>
        <row r="298">
          <cell r="B298" t="str">
            <v>13453-15-1</v>
          </cell>
          <cell r="C298" t="str">
            <v>Diarsenic acid</v>
          </cell>
          <cell r="D298" t="str">
            <v>97-1-119</v>
          </cell>
          <cell r="E298" t="str">
            <v>또는 그 화합물과 비소화합물을 0.1% 이상 함유한 혼합물질</v>
          </cell>
          <cell r="F298">
            <v>0.1</v>
          </cell>
        </row>
        <row r="299">
          <cell r="B299" t="str">
            <v>13462-93-6</v>
          </cell>
          <cell r="C299" t="str">
            <v>Ammonium dihydrogenarsenate</v>
          </cell>
          <cell r="D299" t="str">
            <v>97-1-119</v>
          </cell>
          <cell r="E299" t="str">
            <v>또는 그 화합물과 비소화합물을 0.1% 이상 함유한 혼합물질</v>
          </cell>
          <cell r="F299">
            <v>0.1</v>
          </cell>
        </row>
        <row r="300">
          <cell r="B300" t="str">
            <v>13464-35-2</v>
          </cell>
          <cell r="C300" t="str">
            <v>Potassium arsenite</v>
          </cell>
          <cell r="D300" t="str">
            <v>97-1-119</v>
          </cell>
          <cell r="E300" t="str">
            <v>또는 그 화합물과 비소화합물을 0.1% 이상 함유한 혼합물질</v>
          </cell>
          <cell r="F300">
            <v>0.1</v>
          </cell>
        </row>
        <row r="301">
          <cell r="B301" t="str">
            <v>13464-37-4</v>
          </cell>
          <cell r="C301" t="str">
            <v>Trisodium arsenite</v>
          </cell>
          <cell r="D301" t="str">
            <v>97-1-119</v>
          </cell>
          <cell r="E301" t="str">
            <v>또는 그 화합물과 비소화합물을 0.1% 이상 함유한 혼합물질</v>
          </cell>
          <cell r="F301">
            <v>0.1</v>
          </cell>
        </row>
        <row r="302">
          <cell r="B302" t="str">
            <v>13464-38-5</v>
          </cell>
          <cell r="C302" t="str">
            <v>Trisodium arsenate</v>
          </cell>
          <cell r="D302" t="str">
            <v>97-1-119</v>
          </cell>
          <cell r="E302" t="str">
            <v>또는 그 화합물과 비소화합물을 0.1% 이상 함유한 혼합물질</v>
          </cell>
          <cell r="F302">
            <v>0.1</v>
          </cell>
        </row>
        <row r="303">
          <cell r="B303" t="str">
            <v>13464-44-3</v>
          </cell>
          <cell r="C303" t="str">
            <v>Zinc arsenate</v>
          </cell>
          <cell r="D303" t="str">
            <v>97-1-119</v>
          </cell>
          <cell r="E303" t="str">
            <v>또는 그 화합물과 비소화합물을 0.1% 이상 함유한 혼합물질</v>
          </cell>
          <cell r="F303">
            <v>0.1</v>
          </cell>
        </row>
        <row r="304">
          <cell r="B304" t="str">
            <v>13464-68-1</v>
          </cell>
          <cell r="C304" t="str">
            <v>Tristrontium diarsenate</v>
          </cell>
          <cell r="D304" t="str">
            <v>97-1-119</v>
          </cell>
          <cell r="E304" t="str">
            <v>또는 그 화합물과 비소화합물을 0.1% 이상 함유한 혼합물질</v>
          </cell>
          <cell r="F304">
            <v>0.1</v>
          </cell>
        </row>
        <row r="305">
          <cell r="B305" t="str">
            <v>13477-04-8</v>
          </cell>
          <cell r="C305" t="str">
            <v>Tribarium diarsenate</v>
          </cell>
          <cell r="D305" t="str">
            <v>97-1-119</v>
          </cell>
          <cell r="E305" t="str">
            <v>또는 그 화합물과 비소화합물을 0.1% 이상 함유한 혼합물질</v>
          </cell>
          <cell r="F305">
            <v>0.1</v>
          </cell>
        </row>
        <row r="306">
          <cell r="B306" t="str">
            <v>13477-70-8</v>
          </cell>
          <cell r="C306" t="str">
            <v>Trinickel bis(arsenate)</v>
          </cell>
          <cell r="D306" t="str">
            <v>97-1-119</v>
          </cell>
          <cell r="E306" t="str">
            <v>또는 그 화합물과 비소화합물을 0.1% 이상 함유한 혼합물질</v>
          </cell>
          <cell r="F306">
            <v>0.1</v>
          </cell>
        </row>
        <row r="307">
          <cell r="B307" t="str">
            <v>13478-14-3</v>
          </cell>
          <cell r="C307" t="str">
            <v>Trilithium arsenate</v>
          </cell>
          <cell r="D307" t="str">
            <v>97-1-119</v>
          </cell>
          <cell r="E307" t="str">
            <v>또는 그 화합물과 비소화합물을 0.1% 이상 함유한 혼합물질</v>
          </cell>
          <cell r="F307">
            <v>0.1</v>
          </cell>
        </row>
        <row r="308">
          <cell r="B308" t="str">
            <v>13510-31-1</v>
          </cell>
          <cell r="C308" t="str">
            <v>Boron arsenate</v>
          </cell>
          <cell r="D308" t="str">
            <v>97-1-119</v>
          </cell>
          <cell r="E308" t="str">
            <v>또는 그 화합물과 비소화합물을 0.1% 이상 함유한 혼합물질</v>
          </cell>
          <cell r="F308">
            <v>0.1</v>
          </cell>
        </row>
        <row r="309">
          <cell r="B309" t="str">
            <v>13510-44-6</v>
          </cell>
          <cell r="C309" t="str">
            <v>Trisilver arsenate</v>
          </cell>
          <cell r="D309" t="str">
            <v>97-1-119</v>
          </cell>
          <cell r="E309" t="str">
            <v>또는 그 화합물과 비소화합물을 0.1% 이상 함유한 혼합물질</v>
          </cell>
          <cell r="F309">
            <v>0.1</v>
          </cell>
        </row>
        <row r="310">
          <cell r="B310" t="str">
            <v>144-21-8</v>
          </cell>
          <cell r="C310" t="str">
            <v>disodium methylarsonate</v>
          </cell>
          <cell r="D310" t="str">
            <v>97-1-119</v>
          </cell>
          <cell r="E310" t="str">
            <v>또는 그 화합물과 비소화합물을 0.1% 이상 함유한 혼합물질</v>
          </cell>
          <cell r="F310">
            <v>0.1</v>
          </cell>
        </row>
        <row r="311">
          <cell r="B311" t="str">
            <v>15120-17-9</v>
          </cell>
          <cell r="C311" t="str">
            <v>Sodium metaarsenate</v>
          </cell>
          <cell r="D311" t="str">
            <v>97-1-119</v>
          </cell>
          <cell r="E311" t="str">
            <v>또는 그 화합물과 비소화합물을 0.1% 이상 함유한 혼합물질</v>
          </cell>
          <cell r="F311">
            <v>0.1</v>
          </cell>
        </row>
        <row r="312">
          <cell r="B312" t="str">
            <v>1668-00-4</v>
          </cell>
          <cell r="C312" t="str">
            <v>2,7-(Bis(2-arsonophenylazo))-1,8-dihydroxynaphthalene-3,6-disulfonic acid</v>
          </cell>
          <cell r="D312" t="str">
            <v>97-1-119</v>
          </cell>
          <cell r="E312" t="str">
            <v>또는 그 화합물과 비소화합물을 0.1% 이상 함유한 혼합물질</v>
          </cell>
          <cell r="F312">
            <v>0.1</v>
          </cell>
        </row>
        <row r="313">
          <cell r="B313" t="str">
            <v>17029-22-0</v>
          </cell>
          <cell r="C313" t="str">
            <v>Potassium hexafluoroarsenate</v>
          </cell>
          <cell r="D313" t="str">
            <v>97-1-119</v>
          </cell>
          <cell r="E313" t="str">
            <v>또는 그 화합물과 비소화합물을 0.1% 이상 함유한 혼합물질</v>
          </cell>
          <cell r="F313">
            <v>0.1</v>
          </cell>
        </row>
        <row r="314">
          <cell r="B314" t="str">
            <v>24719-19-5</v>
          </cell>
          <cell r="C314" t="str">
            <v>Tricobalt diarsenate</v>
          </cell>
          <cell r="D314" t="str">
            <v>97-1-119</v>
          </cell>
          <cell r="E314" t="str">
            <v>또는 그 화합물과 비소화합물을 0.1% 이상 함유한 혼합물질</v>
          </cell>
          <cell r="F314">
            <v>0.1</v>
          </cell>
        </row>
        <row r="315">
          <cell r="B315" t="str">
            <v>27016-73-5</v>
          </cell>
          <cell r="C315" t="str">
            <v>Cobalt arsenide (CoAs)</v>
          </cell>
          <cell r="D315" t="str">
            <v>97-1-119</v>
          </cell>
          <cell r="E315" t="str">
            <v>또는 그 화합물과 비소화합물을 0.1% 이상 함유한 혼합물질</v>
          </cell>
          <cell r="F315">
            <v>0.1</v>
          </cell>
        </row>
        <row r="316">
          <cell r="B316" t="str">
            <v>27016-75-7</v>
          </cell>
          <cell r="C316" t="str">
            <v>Nickel arsenide</v>
          </cell>
          <cell r="D316" t="str">
            <v>97-1-119</v>
          </cell>
          <cell r="E316" t="str">
            <v>또는 그 화합물과 비소화합물을 0.1% 이상 함유한 혼합물질</v>
          </cell>
          <cell r="F316">
            <v>0.1</v>
          </cell>
        </row>
        <row r="317">
          <cell r="B317" t="str">
            <v>27526-45-0</v>
          </cell>
          <cell r="C317" t="str">
            <v>Manganese arsenate</v>
          </cell>
          <cell r="D317" t="str">
            <v>97-1-119</v>
          </cell>
          <cell r="E317" t="str">
            <v>또는 그 화합물과 비소화합물을 0.1% 이상 함유한 혼합물질</v>
          </cell>
          <cell r="F317">
            <v>0.1</v>
          </cell>
        </row>
        <row r="318">
          <cell r="B318" t="str">
            <v>29935-35-1</v>
          </cell>
          <cell r="C318" t="str">
            <v>Hexafluoroarsenate(1-) lithium</v>
          </cell>
          <cell r="D318" t="str">
            <v>97-1-119</v>
          </cell>
          <cell r="E318" t="str">
            <v>또는 그 화합물과 비소화합물을 0.1% 이상 함유한 혼합물질</v>
          </cell>
          <cell r="F318">
            <v>0.1</v>
          </cell>
        </row>
        <row r="319">
          <cell r="B319" t="str">
            <v>32775-46-5</v>
          </cell>
          <cell r="C319" t="str">
            <v>Europium arsenide (EuAs)</v>
          </cell>
          <cell r="D319" t="str">
            <v>97-1-119</v>
          </cell>
          <cell r="E319" t="str">
            <v>또는 그 화합물과 비소화합물을 0.1% 이상 함유한 혼합물질</v>
          </cell>
          <cell r="F319">
            <v>0.1</v>
          </cell>
        </row>
        <row r="320">
          <cell r="B320" t="str">
            <v>39297-24-0</v>
          </cell>
          <cell r="C320" t="str">
            <v>Strontium arsenide (Sr3As2)</v>
          </cell>
          <cell r="D320" t="str">
            <v>97-1-119</v>
          </cell>
          <cell r="E320" t="str">
            <v>또는 그 화합물과 비소화합물을 0.1% 이상 함유한 혼합물질</v>
          </cell>
          <cell r="F320">
            <v>0.1</v>
          </cell>
        </row>
        <row r="321">
          <cell r="B321" t="str">
            <v>507-28-8</v>
          </cell>
          <cell r="C321" t="str">
            <v>Tetraphenylarsonium chloride</v>
          </cell>
          <cell r="D321" t="str">
            <v>97-1-119</v>
          </cell>
          <cell r="E321" t="str">
            <v>또는 그 화합물과 비소화합물을 0.1% 이상 함유한 혼합물질</v>
          </cell>
          <cell r="F321">
            <v>0.1</v>
          </cell>
        </row>
        <row r="322">
          <cell r="B322" t="str">
            <v>541-25-3</v>
          </cell>
          <cell r="C322" t="str">
            <v>Arsonous dichloride, (2-chloroethenyl)-</v>
          </cell>
          <cell r="D322" t="str">
            <v>97-1-119</v>
          </cell>
          <cell r="E322" t="str">
            <v>또는 그 화합물과 비소화합물을 0.1% 이상 함유한 혼합물질</v>
          </cell>
          <cell r="F322">
            <v>0.1</v>
          </cell>
        </row>
        <row r="323">
          <cell r="B323" t="str">
            <v>56450-43-2</v>
          </cell>
          <cell r="C323" t="str">
            <v>Zinc arsenide</v>
          </cell>
          <cell r="D323" t="str">
            <v>97-1-119</v>
          </cell>
          <cell r="E323" t="str">
            <v>또는 그 화합물과 비소화합물을 0.1% 이상 함유한 혼합물질</v>
          </cell>
          <cell r="F323">
            <v>0.1</v>
          </cell>
        </row>
        <row r="324">
          <cell r="B324" t="str">
            <v>58-36-6</v>
          </cell>
          <cell r="C324" t="str">
            <v>Diphenoxarsin-10-yl oxide</v>
          </cell>
          <cell r="D324" t="str">
            <v>97-1-119</v>
          </cell>
          <cell r="E324" t="str">
            <v>또는 그 화합물과 비소화합물을 0.1% 이상 함유한 혼합물질</v>
          </cell>
          <cell r="F324">
            <v>0.1</v>
          </cell>
        </row>
        <row r="325">
          <cell r="B325" t="str">
            <v>60909-47-9</v>
          </cell>
          <cell r="C325" t="str">
            <v>Zirconium arsenide (ZrAs)</v>
          </cell>
          <cell r="D325" t="str">
            <v>97-1-119</v>
          </cell>
          <cell r="E325" t="str">
            <v>또는 그 화합물과 비소화합물을 0.1% 이상 함유한 혼합물질</v>
          </cell>
          <cell r="F325">
            <v>0.1</v>
          </cell>
        </row>
        <row r="326">
          <cell r="B326" t="str">
            <v>68784-76-9</v>
          </cell>
          <cell r="C326" t="str">
            <v>Silicic acid (H4SiO4) magnesium manganese (2+) zinc salt, arsenic and lead-doped</v>
          </cell>
          <cell r="D326" t="str">
            <v>97-1-119</v>
          </cell>
          <cell r="E326" t="str">
            <v>또는 그 화합물과 비소화합물을 0.1% 이상 함유한 혼합물질</v>
          </cell>
          <cell r="F326">
            <v>0.1</v>
          </cell>
        </row>
        <row r="327">
          <cell r="B327" t="str">
            <v>70333-07-2</v>
          </cell>
          <cell r="C327" t="str">
            <v>Silver arsenide (Ag2As)</v>
          </cell>
          <cell r="D327" t="str">
            <v>97-1-119</v>
          </cell>
          <cell r="E327" t="str">
            <v>또는 그 화합물과 비소화합물을 0.1% 이상 함유한 혼합물질</v>
          </cell>
          <cell r="F327">
            <v>0.1</v>
          </cell>
        </row>
        <row r="328">
          <cell r="B328" t="str">
            <v>72845-34-2</v>
          </cell>
          <cell r="C328" t="str">
            <v>Arsenenous acid lithium salt</v>
          </cell>
          <cell r="D328" t="str">
            <v>97-1-119</v>
          </cell>
          <cell r="E328" t="str">
            <v>또는 그 화합물과 비소화합물을 0.1% 이상 함유한 혼합물질</v>
          </cell>
          <cell r="F328">
            <v>0.1</v>
          </cell>
        </row>
        <row r="329">
          <cell r="B329" t="str">
            <v>7440-38-2</v>
          </cell>
          <cell r="C329" t="str">
            <v>Arsenic</v>
          </cell>
          <cell r="D329" t="str">
            <v>97-1-119</v>
          </cell>
          <cell r="E329" t="str">
            <v>또는 그 화합물과 비소화합물을 0.1% 이상 함유한 혼합물질</v>
          </cell>
          <cell r="F329">
            <v>0.1</v>
          </cell>
        </row>
        <row r="330">
          <cell r="B330" t="str">
            <v>7631-89-2</v>
          </cell>
          <cell r="C330" t="str">
            <v>Arsenic acid, sodium salt</v>
          </cell>
          <cell r="D330" t="str">
            <v>97-1-119</v>
          </cell>
          <cell r="E330" t="str">
            <v>또는 그 화합물과 비소화합물을 0.1% 이상 함유한 혼합물질</v>
          </cell>
          <cell r="F330">
            <v>0.1</v>
          </cell>
        </row>
        <row r="331">
          <cell r="B331" t="str">
            <v>7778-39-4</v>
          </cell>
          <cell r="C331" t="str">
            <v>Arsenic acid</v>
          </cell>
          <cell r="D331" t="str">
            <v>97-1-119</v>
          </cell>
          <cell r="E331" t="str">
            <v>또는 그 화합물과 비소화합물을 0.1% 이상 함유한 혼합물질</v>
          </cell>
          <cell r="F331">
            <v>0.1</v>
          </cell>
        </row>
        <row r="332">
          <cell r="B332" t="str">
            <v>7778-41-8</v>
          </cell>
          <cell r="C332" t="str">
            <v>Copper arsenate (Cu3(AsO4)2)</v>
          </cell>
          <cell r="D332" t="str">
            <v>97-1-119</v>
          </cell>
          <cell r="E332" t="str">
            <v>또는 그 화합물과 비소화합물을 0.1% 이상 함유한 혼합물질</v>
          </cell>
          <cell r="F332">
            <v>0.1</v>
          </cell>
        </row>
        <row r="333">
          <cell r="B333" t="str">
            <v>7778-43-0</v>
          </cell>
          <cell r="C333" t="str">
            <v>Disodium hydrogenarsenate</v>
          </cell>
          <cell r="D333" t="str">
            <v>97-1-119</v>
          </cell>
          <cell r="E333" t="str">
            <v>또는 그 화합물과 비소화합물을 0.1% 이상 함유한 혼합물질</v>
          </cell>
          <cell r="F333">
            <v>0.1</v>
          </cell>
        </row>
        <row r="334">
          <cell r="B334" t="str">
            <v>7778-44-1</v>
          </cell>
          <cell r="C334" t="str">
            <v>Calcium arsenate</v>
          </cell>
          <cell r="D334" t="str">
            <v>97-1-119</v>
          </cell>
          <cell r="E334" t="str">
            <v>또는 그 화합물과 비소화합물을 0.1% 이상 함유한 혼합물질</v>
          </cell>
          <cell r="F334">
            <v>0.1</v>
          </cell>
        </row>
        <row r="335">
          <cell r="B335" t="str">
            <v>7784-08-9</v>
          </cell>
          <cell r="C335" t="str">
            <v>Trisilver arsenite</v>
          </cell>
          <cell r="D335" t="str">
            <v>97-1-119</v>
          </cell>
          <cell r="E335" t="str">
            <v>또는 그 화합물과 비소화합물을 0.1% 이상 함유한 혼합물질</v>
          </cell>
          <cell r="F335">
            <v>0.1</v>
          </cell>
        </row>
        <row r="336">
          <cell r="B336" t="str">
            <v>7784-33-0</v>
          </cell>
          <cell r="C336" t="str">
            <v>Arsenic tribromide</v>
          </cell>
          <cell r="D336" t="str">
            <v>97-1-119</v>
          </cell>
          <cell r="E336" t="str">
            <v>또는 그 화합물과 비소화합물을 0.1% 이상 함유한 혼합물질</v>
          </cell>
          <cell r="F336">
            <v>0.1</v>
          </cell>
        </row>
        <row r="337">
          <cell r="B337" t="str">
            <v>7784-34-1</v>
          </cell>
          <cell r="C337" t="str">
            <v>Arsenic trichloride</v>
          </cell>
          <cell r="D337" t="str">
            <v>97-1-119</v>
          </cell>
          <cell r="E337" t="str">
            <v>또는 그 화합물과 비소화합물을 0.1% 이상 함유한 혼합물질</v>
          </cell>
          <cell r="F337">
            <v>0.1</v>
          </cell>
        </row>
        <row r="338">
          <cell r="B338" t="str">
            <v>7784-35-2</v>
          </cell>
          <cell r="C338" t="str">
            <v>Trifluoroarsine</v>
          </cell>
          <cell r="D338" t="str">
            <v>97-1-119</v>
          </cell>
          <cell r="E338" t="str">
            <v>또는 그 화합물과 비소화합물을 0.1% 이상 함유한 혼합물질</v>
          </cell>
          <cell r="F338">
            <v>0.1</v>
          </cell>
        </row>
        <row r="339">
          <cell r="B339" t="str">
            <v>7784-36-3</v>
          </cell>
          <cell r="C339" t="str">
            <v>Pentafluoroarsorane</v>
          </cell>
          <cell r="D339" t="str">
            <v>97-1-119</v>
          </cell>
          <cell r="E339" t="str">
            <v>또는 그 화합물과 비소화합물을 0.1% 이상 함유한 혼합물질</v>
          </cell>
          <cell r="F339">
            <v>0.1</v>
          </cell>
        </row>
        <row r="340">
          <cell r="B340" t="str">
            <v>7784-38-5</v>
          </cell>
          <cell r="C340" t="str">
            <v>Manganese hydrogen arsenate</v>
          </cell>
          <cell r="D340" t="str">
            <v>97-1-119</v>
          </cell>
          <cell r="E340" t="str">
            <v>또는 그 화합물과 비소화합물을 0.1% 이상 함유한 혼합물질</v>
          </cell>
          <cell r="F340">
            <v>0.1</v>
          </cell>
        </row>
        <row r="341">
          <cell r="B341" t="str">
            <v>7784-40-9</v>
          </cell>
          <cell r="C341" t="str">
            <v>Lead arsenate</v>
          </cell>
          <cell r="D341" t="str">
            <v>97-1-119</v>
          </cell>
          <cell r="E341" t="str">
            <v>또는 그 화합물과 비소화합물을 0.1% 이상 함유한 혼합물질</v>
          </cell>
          <cell r="F341">
            <v>0.1</v>
          </cell>
        </row>
        <row r="342">
          <cell r="B342" t="str">
            <v>7784-41-0</v>
          </cell>
          <cell r="C342" t="str">
            <v>Potassium dihydrogen arsenate</v>
          </cell>
          <cell r="D342" t="str">
            <v>97-1-119</v>
          </cell>
          <cell r="E342" t="str">
            <v>또는 그 화합물과 비소화합물을 0.1% 이상 함유한 혼합물질</v>
          </cell>
          <cell r="F342">
            <v>0.1</v>
          </cell>
        </row>
        <row r="343">
          <cell r="B343" t="str">
            <v>7784-42-1</v>
          </cell>
          <cell r="C343" t="str">
            <v>Arsenic hydride</v>
          </cell>
          <cell r="D343" t="str">
            <v>97-1-119</v>
          </cell>
          <cell r="E343" t="str">
            <v>또는 그 화합물과 비소화합물을 0.1% 이상 함유한 혼합물질</v>
          </cell>
          <cell r="F343">
            <v>0.1</v>
          </cell>
        </row>
        <row r="344">
          <cell r="B344" t="str">
            <v>7784-44-3</v>
          </cell>
          <cell r="C344" t="str">
            <v>Diammonium hydrogen arsenate</v>
          </cell>
          <cell r="D344" t="str">
            <v>97-1-119</v>
          </cell>
          <cell r="E344" t="str">
            <v>또는 그 화합물과 비소화합물을 0.1% 이상 함유한 혼합물질</v>
          </cell>
          <cell r="F344">
            <v>0.1</v>
          </cell>
        </row>
        <row r="345">
          <cell r="B345" t="str">
            <v>7784-45-4</v>
          </cell>
          <cell r="C345" t="str">
            <v>Arsenic triiodide</v>
          </cell>
          <cell r="D345" t="str">
            <v>97-1-119</v>
          </cell>
          <cell r="E345" t="str">
            <v>또는 그 화합물과 비소화합물을 0.1% 이상 함유한 혼합물질</v>
          </cell>
          <cell r="F345">
            <v>0.1</v>
          </cell>
        </row>
        <row r="346">
          <cell r="B346" t="str">
            <v>7784-46-5</v>
          </cell>
          <cell r="C346" t="str">
            <v>Sodium dioxoarsenate</v>
          </cell>
          <cell r="D346" t="str">
            <v>97-1-119</v>
          </cell>
          <cell r="E346" t="str">
            <v>또는 그 화합물과 비소화합물을 0.1% 이상 함유한 혼합물질</v>
          </cell>
          <cell r="F346">
            <v>0.1</v>
          </cell>
        </row>
        <row r="347">
          <cell r="B347" t="str">
            <v>98106-56-0</v>
          </cell>
          <cell r="C347" t="str">
            <v>Gallium zinc triarsenide</v>
          </cell>
          <cell r="D347" t="str">
            <v>97-1-119</v>
          </cell>
          <cell r="E347" t="str">
            <v>또는 그 화합물과 비소화합물을 0.1% 이상 함유한 혼합물질</v>
          </cell>
          <cell r="F347">
            <v>0.1</v>
          </cell>
        </row>
        <row r="348">
          <cell r="B348" t="str">
            <v>99035-51-5</v>
          </cell>
          <cell r="C348" t="str">
            <v>Vanadium(4+) diarsenate (1:1)</v>
          </cell>
          <cell r="D348" t="str">
            <v>97-1-119</v>
          </cell>
          <cell r="E348" t="str">
            <v>또는 그 화합물과 비소화합물을 0.1% 이상 함유한 혼합물질</v>
          </cell>
          <cell r="F348">
            <v>0.1</v>
          </cell>
        </row>
        <row r="349">
          <cell r="B349" t="str">
            <v>98-95-3</v>
          </cell>
          <cell r="C349" t="str">
            <v>Nitrobenzene</v>
          </cell>
          <cell r="D349" t="str">
            <v>97-1-12</v>
          </cell>
          <cell r="E349" t="str">
            <v>및 이를 85% 이상 함유한 혼합물질</v>
          </cell>
          <cell r="F349">
            <v>85</v>
          </cell>
        </row>
        <row r="350">
          <cell r="B350" t="str">
            <v>106-20-7</v>
          </cell>
          <cell r="C350" t="str">
            <v>Bis(2-ethylhexyl)amine</v>
          </cell>
          <cell r="D350" t="str">
            <v>97-1-120</v>
          </cell>
          <cell r="E350" t="str">
            <v>및 이를 85% 이상 함유한 혼합물질</v>
          </cell>
          <cell r="F350">
            <v>85</v>
          </cell>
        </row>
        <row r="351">
          <cell r="B351" t="str">
            <v>111-44-4</v>
          </cell>
          <cell r="C351" t="str">
            <v>Bis(2-chloroethyl)ether</v>
          </cell>
          <cell r="D351" t="str">
            <v>97-1-121</v>
          </cell>
          <cell r="E351" t="str">
            <v>및 이를 0.1% 이상 함유한 혼합물질</v>
          </cell>
          <cell r="F351">
            <v>0.1</v>
          </cell>
        </row>
        <row r="352">
          <cell r="B352" t="str">
            <v>542-88-1</v>
          </cell>
          <cell r="C352" t="str">
            <v>Bis(chloromethyl)ether</v>
          </cell>
          <cell r="D352" t="str">
            <v>97-1-122</v>
          </cell>
          <cell r="E352" t="str">
            <v>및 이를 0.1% 이상 함유한 혼합물질</v>
          </cell>
          <cell r="F352">
            <v>0.1</v>
          </cell>
        </row>
        <row r="353">
          <cell r="B353" t="str">
            <v>39603-48-0</v>
          </cell>
          <cell r="C353" t="str">
            <v>Bisthiosemi</v>
          </cell>
          <cell r="D353" t="str">
            <v>97-1-123</v>
          </cell>
          <cell r="E353" t="str">
            <v>및 이를 2% 이상 함유한 혼합물질</v>
          </cell>
          <cell r="F353">
            <v>2</v>
          </cell>
        </row>
        <row r="354">
          <cell r="B354" t="str">
            <v>6317-18-6</v>
          </cell>
          <cell r="C354" t="str">
            <v>Methylene bisthio-cyanate</v>
          </cell>
          <cell r="D354" t="str">
            <v>97-1-124</v>
          </cell>
          <cell r="E354" t="str">
            <v>및 이를 1% 이상 함유한 혼합물질</v>
          </cell>
          <cell r="F354">
            <v>1</v>
          </cell>
        </row>
        <row r="355">
          <cell r="B355" t="str">
            <v>20816-12-0</v>
          </cell>
          <cell r="C355" t="str">
            <v>Osmium tetraoxide</v>
          </cell>
          <cell r="D355" t="str">
            <v>97-1-125</v>
          </cell>
          <cell r="E355" t="str">
            <v>및 이를 25% 이상 함유한 혼합물질</v>
          </cell>
          <cell r="F355">
            <v>25</v>
          </cell>
        </row>
        <row r="356">
          <cell r="B356" t="str">
            <v>56-23-5</v>
          </cell>
          <cell r="C356" t="str">
            <v>Carbon tetrachloride ; Tetrachloromethane</v>
          </cell>
          <cell r="D356" t="str">
            <v>97-1-126</v>
          </cell>
          <cell r="E356" t="str">
            <v>및 이를 1% 이상 함유한 혼합물질</v>
          </cell>
          <cell r="F356">
            <v>1</v>
          </cell>
        </row>
        <row r="357">
          <cell r="C357" t="str">
            <v>Mixture of trihexyl-phosphine oxide, tri-n-octyl phoshine oxide, dioctyl mono-octyl dihexylphosphine oxide</v>
          </cell>
          <cell r="D357" t="str">
            <v>97-1-127</v>
          </cell>
          <cell r="E357" t="str">
            <v>및 이를 25% 이상 함유한 혼합물질</v>
          </cell>
          <cell r="F357">
            <v>25</v>
          </cell>
        </row>
        <row r="358">
          <cell r="B358" t="str">
            <v>13356-08-6</v>
          </cell>
          <cell r="C358" t="str">
            <v>Hexakis(2-methyl-2-phenylpropyl)distannoxane ; Bis[tris[2-methyl-2-phenylpropyl)tin] oxide, Fenbutatin oxide, Vendex</v>
          </cell>
          <cell r="D358" t="str">
            <v>97-1-128</v>
          </cell>
          <cell r="E358" t="str">
            <v>및 이를 1% 이상 함유한 혼합물질</v>
          </cell>
          <cell r="F358">
            <v>1</v>
          </cell>
        </row>
        <row r="359">
          <cell r="B359" t="str">
            <v>75-56-9</v>
          </cell>
          <cell r="C359" t="str">
            <v>Propylene oxide</v>
          </cell>
          <cell r="D359" t="str">
            <v>97-1-129</v>
          </cell>
          <cell r="E359" t="str">
            <v>및 이를 0.1% 이상 함유한 혼합물질</v>
          </cell>
          <cell r="F359">
            <v>0.1</v>
          </cell>
        </row>
        <row r="360">
          <cell r="B360" t="str">
            <v>1754-58-1</v>
          </cell>
          <cell r="C360" t="str">
            <v>Diamidafos</v>
          </cell>
          <cell r="D360" t="str">
            <v>97-1-13</v>
          </cell>
          <cell r="E360" t="str">
            <v>및 이를 1% 이상 함유한 혼합물질</v>
          </cell>
          <cell r="F360">
            <v>1</v>
          </cell>
        </row>
        <row r="361">
          <cell r="B361" t="str">
            <v>11099-02-8</v>
          </cell>
          <cell r="C361" t="str">
            <v>Nickel oxide</v>
          </cell>
          <cell r="D361" t="str">
            <v>97-1-130</v>
          </cell>
          <cell r="E361" t="str">
            <v>그 중 하나를 0.1% 이상 함유한 혼합물질</v>
          </cell>
          <cell r="F361">
            <v>0.1</v>
          </cell>
        </row>
        <row r="362">
          <cell r="B362" t="str">
            <v>12035-36-8</v>
          </cell>
          <cell r="C362" t="str">
            <v>Nickel oxide</v>
          </cell>
          <cell r="D362" t="str">
            <v>97-1-130</v>
          </cell>
          <cell r="E362" t="str">
            <v>그 중 하나를 0.1% 이상 함유한 혼합물질</v>
          </cell>
          <cell r="F362">
            <v>0.1</v>
          </cell>
        </row>
        <row r="363">
          <cell r="B363" t="str">
            <v>12035-72-2</v>
          </cell>
          <cell r="C363" t="str">
            <v>Nickel sufide</v>
          </cell>
          <cell r="D363" t="str">
            <v>97-1-130</v>
          </cell>
          <cell r="E363" t="str">
            <v>그 중 하나를 0.1% 이상 함유한 혼합물질</v>
          </cell>
          <cell r="F363">
            <v>0.1</v>
          </cell>
        </row>
        <row r="364">
          <cell r="B364" t="str">
            <v>1313-99-1</v>
          </cell>
          <cell r="C364" t="str">
            <v>Nickel monoxide</v>
          </cell>
          <cell r="D364" t="str">
            <v>97-1-130</v>
          </cell>
          <cell r="E364" t="str">
            <v>그 중 하나를 0.1% 이상 함유한 혼합물질</v>
          </cell>
          <cell r="F364">
            <v>0.1</v>
          </cell>
        </row>
        <row r="365">
          <cell r="B365" t="str">
            <v>16812-54-7</v>
          </cell>
          <cell r="C365" t="str">
            <v>Nickel subsulfide</v>
          </cell>
          <cell r="D365" t="str">
            <v>97-1-130</v>
          </cell>
          <cell r="E365" t="str">
            <v>그 중 하나를 0.1% 이상 함유한 혼합물질</v>
          </cell>
          <cell r="F365">
            <v>0.1</v>
          </cell>
        </row>
        <row r="366">
          <cell r="C366" t="str">
            <v>Nickel oxide/monoxide, Nickel sufide/subsulfide</v>
          </cell>
          <cell r="D366" t="str">
            <v>97-1-130</v>
          </cell>
          <cell r="E366" t="str">
            <v>그 중 하나를 0.1% 이상 함유한 혼합물질</v>
          </cell>
          <cell r="F366">
            <v>0.1</v>
          </cell>
        </row>
        <row r="367">
          <cell r="B367" t="str">
            <v>53003-10-4</v>
          </cell>
          <cell r="C367" t="str">
            <v>Salinomycin</v>
          </cell>
          <cell r="D367" t="str">
            <v>97-1-131</v>
          </cell>
          <cell r="E367" t="str">
            <v>그 염류 및 이를 살리노마이신으로서 1% 이상 함유한 혼합물질</v>
          </cell>
          <cell r="F367">
            <v>1</v>
          </cell>
        </row>
        <row r="368">
          <cell r="C368" t="str">
            <v>Salinomycin, salts</v>
          </cell>
          <cell r="D368" t="str">
            <v>97-1-131</v>
          </cell>
          <cell r="E368" t="str">
            <v>그 염류 및 이를 살리노마이신으로서 1% 이상 함유한 혼합물질</v>
          </cell>
          <cell r="F368">
            <v>1</v>
          </cell>
        </row>
        <row r="369">
          <cell r="B369" t="str">
            <v>7719-12-2</v>
          </cell>
          <cell r="C369" t="str">
            <v>Phosphorous trichloride</v>
          </cell>
          <cell r="D369" t="str">
            <v>97-1-132</v>
          </cell>
          <cell r="E369" t="str">
            <v>및 이를 25% 이상 함유한 혼합물질</v>
          </cell>
          <cell r="F369">
            <v>25</v>
          </cell>
        </row>
        <row r="370">
          <cell r="B370" t="str">
            <v>2346-99-8</v>
          </cell>
          <cell r="C370" t="str">
            <v>Cerezin</v>
          </cell>
          <cell r="D370" t="str">
            <v>97-1-133</v>
          </cell>
          <cell r="E370" t="str">
            <v>및 이를 1% 이상 함유한 혼합물질</v>
          </cell>
          <cell r="F370">
            <v>1</v>
          </cell>
        </row>
        <row r="371">
          <cell r="B371" t="str">
            <v>10026-03-6</v>
          </cell>
          <cell r="C371" t="str">
            <v>Selenium tetrachloride</v>
          </cell>
          <cell r="D371" t="str">
            <v>97-1-134</v>
          </cell>
          <cell r="E371" t="str">
            <v>또는 그 화합물과 셀렌화합물질을 1% 이상 함유한 혼합물질</v>
          </cell>
          <cell r="F371">
            <v>1</v>
          </cell>
        </row>
        <row r="372">
          <cell r="B372" t="str">
            <v>10026-23-0</v>
          </cell>
          <cell r="C372" t="str">
            <v>Cobalt(2+) selenite</v>
          </cell>
          <cell r="D372" t="str">
            <v>97-1-134</v>
          </cell>
          <cell r="E372" t="str">
            <v>또는 그 화합물과 셀렌화합물질을 1% 이상 함유한 혼합물질</v>
          </cell>
          <cell r="F372">
            <v>1</v>
          </cell>
        </row>
        <row r="373">
          <cell r="B373" t="str">
            <v>10101-96-9</v>
          </cell>
          <cell r="C373" t="str">
            <v>Nickel(2+) selenite</v>
          </cell>
          <cell r="D373" t="str">
            <v>97-1-134</v>
          </cell>
          <cell r="E373" t="str">
            <v>또는 그 화합물과 셀렌화합물질을 1% 이상 함유한 혼합물질</v>
          </cell>
          <cell r="F373">
            <v>1</v>
          </cell>
        </row>
        <row r="374">
          <cell r="B374" t="str">
            <v>10102-18-8</v>
          </cell>
          <cell r="C374" t="str">
            <v>Sodium selenite</v>
          </cell>
          <cell r="D374" t="str">
            <v>97-1-134</v>
          </cell>
          <cell r="E374" t="str">
            <v>또는 그 화합물과 셀렌화합물질을 1% 이상 함유한 혼합물질</v>
          </cell>
          <cell r="F374">
            <v>1</v>
          </cell>
        </row>
        <row r="375">
          <cell r="B375" t="str">
            <v>10112-94-4</v>
          </cell>
          <cell r="C375" t="str">
            <v>Selenic acid (H2SeO4), monosodium salt</v>
          </cell>
          <cell r="D375" t="str">
            <v>97-1-134</v>
          </cell>
          <cell r="E375" t="str">
            <v>또는 그 화합물과 셀렌화합물질을 1% 이상 함유한 혼합물질</v>
          </cell>
          <cell r="F375">
            <v>1</v>
          </cell>
        </row>
        <row r="376">
          <cell r="B376" t="str">
            <v>101357-00-0</v>
          </cell>
          <cell r="C376" t="str">
            <v>Cadmium selenide (CdSe), solid soln. with cadmium sulfide, zinc selenide and zinc sulfide, aluminum and copper-doped</v>
          </cell>
          <cell r="D376" t="str">
            <v>97-1-134</v>
          </cell>
          <cell r="E376" t="str">
            <v>또는 그 화합물과 셀렌화합물질을 1% 이상 함유한 혼합물질</v>
          </cell>
          <cell r="F376">
            <v>1</v>
          </cell>
        </row>
        <row r="377">
          <cell r="B377" t="str">
            <v>101357-01-1</v>
          </cell>
          <cell r="C377" t="str">
            <v>Cadmium selenide (CdSe), solid soln. with cadmium sulfide, zinc selenide and zinc sulfide, copper and manganese-doped</v>
          </cell>
          <cell r="D377" t="str">
            <v>97-1-134</v>
          </cell>
          <cell r="E377" t="str">
            <v>또는 그 화합물과 셀렌화합물질을 1% 이상 함유한 혼합물질</v>
          </cell>
          <cell r="F377">
            <v>1</v>
          </cell>
        </row>
        <row r="378">
          <cell r="B378" t="str">
            <v>101357-02-2</v>
          </cell>
          <cell r="C378" t="str">
            <v>Cadmium selenide (CdSe), solid soln. with cadmium sulfide, zinc selenide and zinc sulfide, europium-doped</v>
          </cell>
          <cell r="D378" t="str">
            <v>97-1-134</v>
          </cell>
          <cell r="E378" t="str">
            <v>또는 그 화합물과 셀렌화합물질을 1% 이상 함유한 혼합물질</v>
          </cell>
          <cell r="F378">
            <v>1</v>
          </cell>
        </row>
        <row r="379">
          <cell r="B379" t="str">
            <v>101357-03-3</v>
          </cell>
          <cell r="C379" t="str">
            <v>Cadmium selenide (CdSe), solid soln. with cadmium sulfide, zinc selenide and zinc sulfide, gold and manganese-doped</v>
          </cell>
          <cell r="D379" t="str">
            <v>97-1-134</v>
          </cell>
          <cell r="E379" t="str">
            <v>또는 그 화합물과 셀렌화합물질을 1% 이상 함유한 혼합물질</v>
          </cell>
          <cell r="F379">
            <v>1</v>
          </cell>
        </row>
        <row r="380">
          <cell r="B380" t="str">
            <v>101357-04-4</v>
          </cell>
          <cell r="C380" t="str">
            <v>Cadmium selenide (CdSe), solid soln. with cadmium sulfide, zinc selenide and zinc sulfide, manganese and silver-doped</v>
          </cell>
          <cell r="D380" t="str">
            <v>97-1-134</v>
          </cell>
          <cell r="E380" t="str">
            <v>또는 그 화합물과 셀렌화합물질을 1% 이상 함유한 혼합물질</v>
          </cell>
          <cell r="F380">
            <v>1</v>
          </cell>
        </row>
        <row r="381">
          <cell r="B381" t="str">
            <v>10214-40-1</v>
          </cell>
          <cell r="C381" t="str">
            <v>Copper(2+) selenite</v>
          </cell>
          <cell r="D381" t="str">
            <v>97-1-134</v>
          </cell>
          <cell r="E381" t="str">
            <v>또는 그 화합물과 셀렌화합물질을 1% 이상 함유한 혼합물질</v>
          </cell>
          <cell r="F381">
            <v>1</v>
          </cell>
        </row>
        <row r="382">
          <cell r="B382" t="str">
            <v>10326-29-1</v>
          </cell>
          <cell r="C382" t="str">
            <v>Dicesium selenate</v>
          </cell>
          <cell r="D382" t="str">
            <v>97-1-134</v>
          </cell>
          <cell r="E382" t="str">
            <v>또는 그 화합물과 셀렌화합물질을 1% 이상 함유한 혼합물질</v>
          </cell>
          <cell r="F382">
            <v>1</v>
          </cell>
        </row>
        <row r="383">
          <cell r="B383" t="str">
            <v>10431-47-7</v>
          </cell>
          <cell r="C383" t="str">
            <v>Potassium selenite</v>
          </cell>
          <cell r="D383" t="str">
            <v>97-1-134</v>
          </cell>
          <cell r="E383" t="str">
            <v>또는 그 화합물과 셀렌화합물질을 1% 이상 함유한 혼합물질</v>
          </cell>
          <cell r="F383">
            <v>1</v>
          </cell>
        </row>
        <row r="384">
          <cell r="B384" t="str">
            <v>11112-63-3</v>
          </cell>
          <cell r="C384" t="str">
            <v>Cadmium selenide sulfide</v>
          </cell>
          <cell r="D384" t="str">
            <v>97-1-134</v>
          </cell>
          <cell r="E384" t="str">
            <v>또는 그 화합물과 셀렌화합물질을 1% 이상 함유한 혼합물질</v>
          </cell>
          <cell r="F384">
            <v>1</v>
          </cell>
        </row>
        <row r="385">
          <cell r="B385" t="str">
            <v>12014-94-7</v>
          </cell>
          <cell r="C385" t="str">
            <v>Dicerium triselenide</v>
          </cell>
          <cell r="D385" t="str">
            <v>97-1-134</v>
          </cell>
          <cell r="E385" t="str">
            <v>또는 그 화합물과 셀렌화합물질을 1% 이상 함유한 혼합물질</v>
          </cell>
          <cell r="F385">
            <v>1</v>
          </cell>
        </row>
        <row r="386">
          <cell r="B386" t="str">
            <v>12020-04-1</v>
          </cell>
          <cell r="C386" t="str">
            <v>Didysprosium triselenide</v>
          </cell>
          <cell r="D386" t="str">
            <v>97-1-134</v>
          </cell>
          <cell r="E386" t="str">
            <v>또는 그 화합물과 셀렌화합물질을 1% 이상 함유한 혼합물질</v>
          </cell>
          <cell r="F386">
            <v>1</v>
          </cell>
        </row>
        <row r="387">
          <cell r="B387" t="str">
            <v>12020-38-1</v>
          </cell>
          <cell r="C387" t="str">
            <v>Dierbium triselenide</v>
          </cell>
          <cell r="D387" t="str">
            <v>97-1-134</v>
          </cell>
          <cell r="E387" t="str">
            <v>또는 그 화합물과 셀렌화합물질을 1% 이상 함유한 혼합물질</v>
          </cell>
          <cell r="F387">
            <v>1</v>
          </cell>
        </row>
        <row r="388">
          <cell r="B388" t="str">
            <v>12020-66-5</v>
          </cell>
          <cell r="C388" t="str">
            <v>Europium selenide</v>
          </cell>
          <cell r="D388" t="str">
            <v>97-1-134</v>
          </cell>
          <cell r="E388" t="str">
            <v>또는 그 화합물과 셀렌화합물질을 1% 이상 함유한 혼합물질</v>
          </cell>
          <cell r="F388">
            <v>1</v>
          </cell>
        </row>
        <row r="389">
          <cell r="B389" t="str">
            <v>12024-11-2</v>
          </cell>
          <cell r="C389" t="str">
            <v>Gallium selenide</v>
          </cell>
          <cell r="D389" t="str">
            <v>97-1-134</v>
          </cell>
          <cell r="E389" t="str">
            <v>또는 그 화합물과 셀렌화합물질을 1% 이상 함유한 혼합물질</v>
          </cell>
          <cell r="F389">
            <v>1</v>
          </cell>
        </row>
        <row r="390">
          <cell r="B390" t="str">
            <v>12024-24-7</v>
          </cell>
          <cell r="C390" t="str">
            <v>Digallium triselenide</v>
          </cell>
          <cell r="D390" t="str">
            <v>97-1-134</v>
          </cell>
          <cell r="E390" t="str">
            <v>또는 그 화합물과 셀렌화합물질을 1% 이상 함유한 혼합물질</v>
          </cell>
          <cell r="F390">
            <v>1</v>
          </cell>
        </row>
        <row r="391">
          <cell r="B391" t="str">
            <v>12024-90-7</v>
          </cell>
          <cell r="C391" t="str">
            <v>Gadolinium selenide</v>
          </cell>
          <cell r="D391" t="str">
            <v>97-1-134</v>
          </cell>
          <cell r="E391" t="str">
            <v>또는 그 화합물과 셀렌화합물질을 1% 이상 함유한 혼합물질</v>
          </cell>
          <cell r="F391">
            <v>1</v>
          </cell>
        </row>
        <row r="392">
          <cell r="B392" t="str">
            <v>12029-87-7</v>
          </cell>
          <cell r="C392" t="str">
            <v>Holmium selenide</v>
          </cell>
          <cell r="D392" t="str">
            <v>97-1-134</v>
          </cell>
          <cell r="E392" t="str">
            <v>또는 그 화합물과 셀렌화합물질을 1% 이상 함유한 혼합물질</v>
          </cell>
          <cell r="F392">
            <v>1</v>
          </cell>
        </row>
        <row r="393">
          <cell r="B393" t="str">
            <v>12031-51-5</v>
          </cell>
          <cell r="C393" t="str">
            <v>Lanthanum selenide (La2Se3)</v>
          </cell>
          <cell r="D393" t="str">
            <v>97-1-134</v>
          </cell>
          <cell r="E393" t="str">
            <v>또는 그 화합물과 셀렌화합물질을 1% 이상 함유한 혼합물질</v>
          </cell>
          <cell r="F393">
            <v>1</v>
          </cell>
        </row>
        <row r="394">
          <cell r="B394" t="str">
            <v>12034-77-4</v>
          </cell>
          <cell r="C394" t="str">
            <v>Niobium diselenide</v>
          </cell>
          <cell r="D394" t="str">
            <v>97-1-134</v>
          </cell>
          <cell r="E394" t="str">
            <v>또는 그 화합물과 셀렌화합물질을 1% 이상 함유한 혼합물질</v>
          </cell>
          <cell r="F394">
            <v>1</v>
          </cell>
        </row>
        <row r="395">
          <cell r="B395" t="str">
            <v>12035-33-5</v>
          </cell>
          <cell r="C395" t="str">
            <v>Dineodymium triselenide</v>
          </cell>
          <cell r="D395" t="str">
            <v>97-1-134</v>
          </cell>
          <cell r="E395" t="str">
            <v>또는 그 화합물과 셀렌화합물질을 1% 이상 함유한 혼합물질</v>
          </cell>
          <cell r="F395">
            <v>1</v>
          </cell>
        </row>
        <row r="396">
          <cell r="B396" t="str">
            <v>12036-87-2</v>
          </cell>
          <cell r="C396" t="str">
            <v>Diyttrium triselenide</v>
          </cell>
          <cell r="D396" t="str">
            <v>97-1-134</v>
          </cell>
          <cell r="E396" t="str">
            <v>또는 그 화합물과 셀렌화합물질을 1% 이상 함유한 혼합물질</v>
          </cell>
          <cell r="F396">
            <v>1</v>
          </cell>
        </row>
        <row r="397">
          <cell r="B397" t="str">
            <v>12038-08-3</v>
          </cell>
          <cell r="C397" t="str">
            <v>Praseodymium selenide</v>
          </cell>
          <cell r="D397" t="str">
            <v>97-1-134</v>
          </cell>
          <cell r="E397" t="str">
            <v>또는 그 화합물과 셀렌화합물질을 1% 이상 함유한 혼합물질</v>
          </cell>
          <cell r="F397">
            <v>1</v>
          </cell>
        </row>
        <row r="398">
          <cell r="B398" t="str">
            <v>12038-64-1</v>
          </cell>
          <cell r="C398" t="str">
            <v>Rhenium diselenide</v>
          </cell>
          <cell r="D398" t="str">
            <v>97-1-134</v>
          </cell>
          <cell r="E398" t="str">
            <v>또는 그 화합물과 셀렌화합물질을 1% 이상 함유한 혼합물질</v>
          </cell>
          <cell r="F398">
            <v>1</v>
          </cell>
        </row>
        <row r="399">
          <cell r="B399" t="str">
            <v>12039-51-9</v>
          </cell>
          <cell r="C399" t="str">
            <v>Terbium selenide</v>
          </cell>
          <cell r="D399" t="str">
            <v>97-1-134</v>
          </cell>
          <cell r="E399" t="str">
            <v>또는 그 화합물과 셀렌화합물질을 1% 이상 함유한 혼합물질</v>
          </cell>
          <cell r="F399">
            <v>1</v>
          </cell>
        </row>
        <row r="400">
          <cell r="B400" t="str">
            <v>12039-52-0</v>
          </cell>
          <cell r="C400" t="str">
            <v>Thallium selenide (TlSe)</v>
          </cell>
          <cell r="D400" t="str">
            <v>97-1-134</v>
          </cell>
          <cell r="E400" t="str">
            <v>또는 그 화합물과 셀렌화합물질을 1% 이상 함유한 혼합물질</v>
          </cell>
          <cell r="F400">
            <v>1</v>
          </cell>
        </row>
        <row r="401">
          <cell r="B401" t="str">
            <v>12039-54-2</v>
          </cell>
          <cell r="C401" t="str">
            <v>Ytterbium selenide (YbSe)</v>
          </cell>
          <cell r="D401" t="str">
            <v>97-1-134</v>
          </cell>
          <cell r="E401" t="str">
            <v>또는 그 화합물과 셀렌화합물질을 1% 이상 함유한 혼합물질</v>
          </cell>
          <cell r="F401">
            <v>1</v>
          </cell>
        </row>
        <row r="402">
          <cell r="B402" t="str">
            <v>12039-55-3</v>
          </cell>
          <cell r="C402" t="str">
            <v>Tantalum diselenide</v>
          </cell>
          <cell r="D402" t="str">
            <v>97-1-134</v>
          </cell>
          <cell r="E402" t="str">
            <v>또는 그 화합물과 셀렌화합물질을 1% 이상 함유한 혼합물질</v>
          </cell>
          <cell r="F402">
            <v>1</v>
          </cell>
        </row>
        <row r="403">
          <cell r="B403" t="str">
            <v>12053-13-3</v>
          </cell>
          <cell r="C403" t="str">
            <v>Chromium selenide</v>
          </cell>
          <cell r="D403" t="str">
            <v>97-1-134</v>
          </cell>
          <cell r="E403" t="str">
            <v>또는 그 화합물과 셀렌화합물질을 1% 이상 함유한 혼합물질</v>
          </cell>
          <cell r="F403">
            <v>1</v>
          </cell>
        </row>
        <row r="404">
          <cell r="B404" t="str">
            <v>12056-07-4</v>
          </cell>
          <cell r="C404" t="str">
            <v>Diindium triselenide</v>
          </cell>
          <cell r="D404" t="str">
            <v>97-1-134</v>
          </cell>
          <cell r="E404" t="str">
            <v>또는 그 화합물과 셀렌화합물질을 1% 이상 함유한 혼합물질</v>
          </cell>
          <cell r="F404">
            <v>1</v>
          </cell>
        </row>
        <row r="405">
          <cell r="B405" t="str">
            <v>12058-18-3</v>
          </cell>
          <cell r="C405" t="str">
            <v>Molybdenum diselenide</v>
          </cell>
          <cell r="D405" t="str">
            <v>97-1-134</v>
          </cell>
          <cell r="E405" t="str">
            <v>또는 그 화합물과 셀렌화합물질을 1% 이상 함유한 혼합물질</v>
          </cell>
          <cell r="F405">
            <v>1</v>
          </cell>
        </row>
        <row r="406">
          <cell r="B406" t="str">
            <v>12065-10-0</v>
          </cell>
          <cell r="C406" t="str">
            <v>Germanium selenide</v>
          </cell>
          <cell r="D406" t="str">
            <v>97-1-134</v>
          </cell>
          <cell r="E406" t="str">
            <v>또는 그 화합물과 셀렌화합물질을 1% 이상 함유한 혼합물질</v>
          </cell>
          <cell r="F406">
            <v>1</v>
          </cell>
        </row>
        <row r="407">
          <cell r="B407" t="str">
            <v>12065-11-1</v>
          </cell>
          <cell r="C407" t="str">
            <v>Germanium diselenide</v>
          </cell>
          <cell r="D407" t="str">
            <v>97-1-134</v>
          </cell>
          <cell r="E407" t="str">
            <v>또는 그 화합물과 셀렌화합물질을 1% 이상 함유한 혼합물질</v>
          </cell>
          <cell r="F407">
            <v>1</v>
          </cell>
        </row>
        <row r="408">
          <cell r="B408" t="str">
            <v>12067-45-7</v>
          </cell>
          <cell r="C408" t="str">
            <v>Titanium selenide (TiSe2)</v>
          </cell>
          <cell r="D408" t="str">
            <v>97-1-134</v>
          </cell>
          <cell r="E408" t="str">
            <v>또는 그 화합물과 셀렌화합물질을 1% 이상 함유한 혼합물질</v>
          </cell>
          <cell r="F408">
            <v>1</v>
          </cell>
        </row>
        <row r="409">
          <cell r="B409" t="str">
            <v>12067-46-8</v>
          </cell>
          <cell r="C409" t="str">
            <v>Tungsten diselenide</v>
          </cell>
          <cell r="D409" t="str">
            <v>97-1-134</v>
          </cell>
          <cell r="E409" t="str">
            <v>또는 그 화합물과 셀렌화합물질을 1% 이상 함유한 혼합물질</v>
          </cell>
          <cell r="F409">
            <v>1</v>
          </cell>
        </row>
        <row r="410">
          <cell r="B410" t="str">
            <v>12068-69-8</v>
          </cell>
          <cell r="C410" t="str">
            <v>Dibismuth triselenide</v>
          </cell>
          <cell r="D410" t="str">
            <v>97-1-134</v>
          </cell>
          <cell r="E410" t="str">
            <v>또는 그 화합물과 셀렌화합물질을 1% 이상 함유한 혼합물질</v>
          </cell>
          <cell r="F410">
            <v>1</v>
          </cell>
        </row>
        <row r="411">
          <cell r="B411" t="str">
            <v>12069-00-0</v>
          </cell>
          <cell r="C411" t="str">
            <v>Lead selenide</v>
          </cell>
          <cell r="D411" t="str">
            <v>97-1-134</v>
          </cell>
          <cell r="E411" t="str">
            <v>또는 그 화합물과 셀렌화합물질을 1% 이상 함유한 혼합물질</v>
          </cell>
          <cell r="F411">
            <v>1</v>
          </cell>
        </row>
        <row r="412">
          <cell r="B412" t="str">
            <v>12136-60-6</v>
          </cell>
          <cell r="C412" t="str">
            <v>Dilithium selenide</v>
          </cell>
          <cell r="D412" t="str">
            <v>97-1-134</v>
          </cell>
          <cell r="E412" t="str">
            <v>또는 그 화합물과 셀렌화합물질을 1% 이상 함유한 혼합물질</v>
          </cell>
          <cell r="F412">
            <v>1</v>
          </cell>
        </row>
        <row r="413">
          <cell r="B413" t="str">
            <v>12137-76-7</v>
          </cell>
          <cell r="C413" t="str">
            <v>Palladium selenide (PdSe)</v>
          </cell>
          <cell r="D413" t="str">
            <v>97-1-134</v>
          </cell>
          <cell r="E413" t="str">
            <v>또는 그 화합물과 셀렌화합물질을 1% 이상 함유한 혼합물질</v>
          </cell>
          <cell r="F413">
            <v>1</v>
          </cell>
        </row>
        <row r="414">
          <cell r="B414" t="str">
            <v>12162-21-9</v>
          </cell>
          <cell r="C414" t="str">
            <v>Hafnium selenide (HfSe2)</v>
          </cell>
          <cell r="D414" t="str">
            <v>97-1-134</v>
          </cell>
          <cell r="E414" t="str">
            <v>또는 그 화합물과 셀렌화합물질을 1% 이상 함유한 혼합물질</v>
          </cell>
          <cell r="F414">
            <v>1</v>
          </cell>
        </row>
        <row r="415">
          <cell r="B415" t="str">
            <v>12162-60-6</v>
          </cell>
          <cell r="C415" t="str">
            <v>Diholmium triselenide</v>
          </cell>
          <cell r="D415" t="str">
            <v>97-1-134</v>
          </cell>
          <cell r="E415" t="str">
            <v>또는 그 화합물과 셀렌화합물질을 1% 이상 함유한 혼합물질</v>
          </cell>
          <cell r="F415">
            <v>1</v>
          </cell>
        </row>
        <row r="416">
          <cell r="B416" t="str">
            <v>12163-21-2</v>
          </cell>
          <cell r="C416" t="str">
            <v>Lutetium selenide (Lu2Se3)</v>
          </cell>
          <cell r="D416" t="str">
            <v>97-1-134</v>
          </cell>
          <cell r="E416" t="str">
            <v>또는 그 화합물과 셀렌화합물질을 1% 이상 함유한 혼합물질</v>
          </cell>
          <cell r="F416">
            <v>1</v>
          </cell>
        </row>
        <row r="417">
          <cell r="B417" t="str">
            <v>12166-43-7</v>
          </cell>
          <cell r="C417" t="str">
            <v>Scandium selenide (Sc2Se3)</v>
          </cell>
          <cell r="D417" t="str">
            <v>97-1-134</v>
          </cell>
          <cell r="E417" t="str">
            <v>또는 그 화합물과 셀렌화합물질을 1% 이상 함유한 혼합물질</v>
          </cell>
          <cell r="F417">
            <v>1</v>
          </cell>
        </row>
        <row r="418">
          <cell r="B418" t="str">
            <v>12166-47-1</v>
          </cell>
          <cell r="C418" t="str">
            <v>Zirconium diselenide</v>
          </cell>
          <cell r="D418" t="str">
            <v>97-1-134</v>
          </cell>
          <cell r="E418" t="str">
            <v>또는 그 화합물과 셀렌화합물질을 1% 이상 함유한 혼합물질</v>
          </cell>
          <cell r="F418">
            <v>1</v>
          </cell>
        </row>
        <row r="419">
          <cell r="B419" t="str">
            <v>12214-12-9</v>
          </cell>
          <cell r="C419" t="str">
            <v>Dicadmium selenide sulfide</v>
          </cell>
          <cell r="D419" t="str">
            <v>97-1-134</v>
          </cell>
          <cell r="E419" t="str">
            <v>또는 그 화합물과 셀렌화합물질을 1% 이상 함유한 혼합물질</v>
          </cell>
          <cell r="F419">
            <v>1</v>
          </cell>
        </row>
        <row r="420">
          <cell r="B420" t="str">
            <v>12232-25-6</v>
          </cell>
          <cell r="C420" t="str">
            <v>Beryllium selenide (BeSe)</v>
          </cell>
          <cell r="D420" t="str">
            <v>97-1-134</v>
          </cell>
          <cell r="E420" t="str">
            <v>또는 그 화합물과 셀렌화합물질을 1% 이상 함유한 혼합물질</v>
          </cell>
          <cell r="F420">
            <v>1</v>
          </cell>
        </row>
        <row r="421">
          <cell r="B421" t="str">
            <v>12299-51-3</v>
          </cell>
          <cell r="C421" t="str">
            <v>Vanadium diselenide</v>
          </cell>
          <cell r="D421" t="str">
            <v>97-1-134</v>
          </cell>
          <cell r="E421" t="str">
            <v>또는 그 화합물과 셀렌화합물질을 1% 이상 함유한 혼합물질</v>
          </cell>
          <cell r="F421">
            <v>1</v>
          </cell>
        </row>
        <row r="422">
          <cell r="B422" t="str">
            <v>12299-98-8</v>
          </cell>
          <cell r="C422" t="str">
            <v>Manganese diselenide</v>
          </cell>
          <cell r="D422" t="str">
            <v>97-1-134</v>
          </cell>
          <cell r="E422" t="str">
            <v>또는 그 화합물과 셀렌화합물질을 1% 이상 함유한 혼합물질</v>
          </cell>
          <cell r="F422">
            <v>1</v>
          </cell>
        </row>
        <row r="423">
          <cell r="B423" t="str">
            <v>12397-16-9</v>
          </cell>
          <cell r="C423" t="str">
            <v>Dirhenium heptaselenide</v>
          </cell>
          <cell r="D423" t="str">
            <v>97-1-134</v>
          </cell>
          <cell r="E423" t="str">
            <v>또는 그 화합물과 셀렌화합물질을 1% 이상 함유한 혼합물질</v>
          </cell>
          <cell r="F423">
            <v>1</v>
          </cell>
        </row>
        <row r="424">
          <cell r="B424" t="str">
            <v>12626-36-7</v>
          </cell>
          <cell r="C424" t="str">
            <v>Cadmium sulfoselenide</v>
          </cell>
          <cell r="D424" t="str">
            <v>97-1-134</v>
          </cell>
          <cell r="E424" t="str">
            <v>또는 그 화합물과 셀렌화합물질을 1% 이상 함유한 혼합물질</v>
          </cell>
          <cell r="F424">
            <v>1</v>
          </cell>
        </row>
        <row r="425">
          <cell r="B425" t="str">
            <v>12640-89-0</v>
          </cell>
          <cell r="C425" t="str">
            <v>Selenium oxide</v>
          </cell>
          <cell r="D425" t="str">
            <v>97-1-134</v>
          </cell>
          <cell r="E425" t="str">
            <v>또는 그 화합물과 셀렌화합물질을 1% 이상 함유한 혼합물질</v>
          </cell>
          <cell r="F425">
            <v>1</v>
          </cell>
        </row>
        <row r="426">
          <cell r="B426" t="str">
            <v>12656-57-4</v>
          </cell>
          <cell r="C426" t="str">
            <v>Cadmium sulfoselenide orange</v>
          </cell>
          <cell r="D426" t="str">
            <v>97-1-134</v>
          </cell>
          <cell r="E426" t="str">
            <v>또는 그 화합물과 셀렌화합물질을 1% 이상 함유한 혼합물질</v>
          </cell>
          <cell r="F426">
            <v>1</v>
          </cell>
        </row>
        <row r="427">
          <cell r="B427" t="str">
            <v>1302-09-6</v>
          </cell>
          <cell r="C427" t="str">
            <v>Disilver selenide</v>
          </cell>
          <cell r="D427" t="str">
            <v>97-1-134</v>
          </cell>
          <cell r="E427" t="str">
            <v>또는 그 화합물과 셀렌화합물질을 1% 이상 함유한 혼합물질</v>
          </cell>
          <cell r="F427">
            <v>1</v>
          </cell>
        </row>
        <row r="428">
          <cell r="B428" t="str">
            <v>1302-82-5</v>
          </cell>
          <cell r="C428" t="str">
            <v>Aluminium selenide</v>
          </cell>
          <cell r="D428" t="str">
            <v>97-1-134</v>
          </cell>
          <cell r="E428" t="str">
            <v>또는 그 화합물과 셀렌화합물질을 1% 이상 함유한 혼합물질</v>
          </cell>
          <cell r="F428">
            <v>1</v>
          </cell>
        </row>
        <row r="429">
          <cell r="B429" t="str">
            <v>1303-62-4</v>
          </cell>
          <cell r="C429" t="str">
            <v>Gold selenide (Au2Se3)</v>
          </cell>
          <cell r="D429" t="str">
            <v>97-1-134</v>
          </cell>
          <cell r="E429" t="str">
            <v>또는 그 화합물과 셀렌화합물질을 1% 이상 함유한 혼합물질</v>
          </cell>
          <cell r="F429">
            <v>1</v>
          </cell>
        </row>
        <row r="430">
          <cell r="B430" t="str">
            <v>1304-39-8</v>
          </cell>
          <cell r="C430" t="str">
            <v>Barium selenide</v>
          </cell>
          <cell r="D430" t="str">
            <v>97-1-134</v>
          </cell>
          <cell r="E430" t="str">
            <v>또는 그 화합물과 셀렌화합물질을 1% 이상 함유한 혼합물질</v>
          </cell>
          <cell r="F430">
            <v>1</v>
          </cell>
        </row>
        <row r="431">
          <cell r="B431" t="str">
            <v>1305-84-6</v>
          </cell>
          <cell r="C431" t="str">
            <v>Calcium selenide</v>
          </cell>
          <cell r="D431" t="str">
            <v>97-1-134</v>
          </cell>
          <cell r="E431" t="str">
            <v>또는 그 화합물과 셀렌화합물질을 1% 이상 함유한 혼합물질</v>
          </cell>
          <cell r="F431">
            <v>1</v>
          </cell>
        </row>
        <row r="432">
          <cell r="B432" t="str">
            <v>1306-24-7</v>
          </cell>
          <cell r="C432" t="str">
            <v>Cadmium selenide</v>
          </cell>
          <cell r="D432" t="str">
            <v>97-1-134</v>
          </cell>
          <cell r="E432" t="str">
            <v>또는 그 화합물과 셀렌화합물질을 1% 이상 함유한 혼합물질</v>
          </cell>
          <cell r="F432">
            <v>1</v>
          </cell>
        </row>
        <row r="433">
          <cell r="B433" t="str">
            <v>1307-99-9</v>
          </cell>
          <cell r="C433" t="str">
            <v>Cobalt selenide</v>
          </cell>
          <cell r="D433" t="str">
            <v>97-1-134</v>
          </cell>
          <cell r="E433" t="str">
            <v>또는 그 화합물과 셀렌화합물질을 1% 이상 함유한 혼합물질</v>
          </cell>
          <cell r="F433">
            <v>1</v>
          </cell>
        </row>
        <row r="434">
          <cell r="B434" t="str">
            <v>1310-32-3</v>
          </cell>
          <cell r="C434" t="str">
            <v>Iron selenide</v>
          </cell>
          <cell r="D434" t="str">
            <v>97-1-134</v>
          </cell>
          <cell r="E434" t="str">
            <v>또는 그 화합물과 셀렌화합물질을 1% 이상 함유한 혼합물질</v>
          </cell>
          <cell r="F434">
            <v>1</v>
          </cell>
        </row>
        <row r="435">
          <cell r="B435" t="str">
            <v>1312-74-9</v>
          </cell>
          <cell r="C435" t="str">
            <v>Dipotassium selenide</v>
          </cell>
          <cell r="D435" t="str">
            <v>97-1-134</v>
          </cell>
          <cell r="E435" t="str">
            <v>또는 그 화합물과 셀렌화합물질을 1% 이상 함유한 혼합물질</v>
          </cell>
          <cell r="F435">
            <v>1</v>
          </cell>
        </row>
        <row r="436">
          <cell r="B436" t="str">
            <v>1313-04-8</v>
          </cell>
          <cell r="C436" t="str">
            <v>Magnesium selenide</v>
          </cell>
          <cell r="D436" t="str">
            <v>97-1-134</v>
          </cell>
          <cell r="E436" t="str">
            <v>또는 그 화합물과 셀렌화합물질을 1% 이상 함유한 혼합물질</v>
          </cell>
          <cell r="F436">
            <v>1</v>
          </cell>
        </row>
        <row r="437">
          <cell r="B437" t="str">
            <v>1313-22-0</v>
          </cell>
          <cell r="C437" t="str">
            <v>Manganese selenide</v>
          </cell>
          <cell r="D437" t="str">
            <v>97-1-134</v>
          </cell>
          <cell r="E437" t="str">
            <v>또는 그 화합물과 셀렌화합물질을 1% 이상 함유한 혼합물질</v>
          </cell>
          <cell r="F437">
            <v>1</v>
          </cell>
        </row>
        <row r="438">
          <cell r="B438" t="str">
            <v>1313-85-5</v>
          </cell>
          <cell r="C438" t="str">
            <v>Disodium selenide</v>
          </cell>
          <cell r="D438" t="str">
            <v>97-1-134</v>
          </cell>
          <cell r="E438" t="str">
            <v>또는 그 화합물과 셀렌화합물질을 1% 이상 함유한 혼합물질</v>
          </cell>
          <cell r="F438">
            <v>1</v>
          </cell>
        </row>
        <row r="439">
          <cell r="B439" t="str">
            <v>1314-05-2</v>
          </cell>
          <cell r="C439" t="str">
            <v>Nickel selenide</v>
          </cell>
          <cell r="D439" t="str">
            <v>97-1-134</v>
          </cell>
          <cell r="E439" t="str">
            <v>또는 그 화합물과 셀렌화합물질을 1% 이상 함유한 혼합물질</v>
          </cell>
          <cell r="F439">
            <v>1</v>
          </cell>
        </row>
        <row r="440">
          <cell r="B440" t="str">
            <v>1315-06-6</v>
          </cell>
          <cell r="C440" t="str">
            <v>Tin selenide (SnSe)</v>
          </cell>
          <cell r="D440" t="str">
            <v>97-1-134</v>
          </cell>
          <cell r="E440" t="str">
            <v>또는 그 화합물과 셀렌화합물질을 1% 이상 함유한 혼합물질</v>
          </cell>
          <cell r="F440">
            <v>1</v>
          </cell>
        </row>
        <row r="441">
          <cell r="B441" t="str">
            <v>1315-07-7</v>
          </cell>
          <cell r="C441" t="str">
            <v>Strontium selenide (SrSe)</v>
          </cell>
          <cell r="D441" t="str">
            <v>97-1-134</v>
          </cell>
          <cell r="E441" t="str">
            <v>또는 그 화합물과 셀렌화합물질을 1% 이상 함유한 혼합물질</v>
          </cell>
          <cell r="F441">
            <v>1</v>
          </cell>
        </row>
        <row r="442">
          <cell r="B442" t="str">
            <v>1315-09-9</v>
          </cell>
          <cell r="C442" t="str">
            <v>Zinc selenide</v>
          </cell>
          <cell r="D442" t="str">
            <v>97-1-134</v>
          </cell>
          <cell r="E442" t="str">
            <v>또는 그 화합물과 셀렌화합물질을 1% 이상 함유한 혼합물질</v>
          </cell>
          <cell r="F442">
            <v>1</v>
          </cell>
        </row>
        <row r="443">
          <cell r="B443" t="str">
            <v>1317-41-5</v>
          </cell>
          <cell r="C443" t="str">
            <v>Copper selenide</v>
          </cell>
          <cell r="D443" t="str">
            <v>97-1-134</v>
          </cell>
          <cell r="E443" t="str">
            <v>또는 그 화합물과 셀렌화합물질을 1% 이상 함유한 혼합물질</v>
          </cell>
          <cell r="F443">
            <v>1</v>
          </cell>
        </row>
        <row r="444">
          <cell r="B444" t="str">
            <v>13410-01-0</v>
          </cell>
          <cell r="C444" t="str">
            <v>Selenic acid disodium salt</v>
          </cell>
          <cell r="D444" t="str">
            <v>97-1-134</v>
          </cell>
          <cell r="E444" t="str">
            <v>또는 그 화합물과 셀렌화합물질을 1% 이상 함유한 혼합물질</v>
          </cell>
          <cell r="F444">
            <v>1</v>
          </cell>
        </row>
        <row r="445">
          <cell r="B445" t="str">
            <v>13465-66-2</v>
          </cell>
          <cell r="C445" t="str">
            <v>Selenium tetrafluoride</v>
          </cell>
          <cell r="D445" t="str">
            <v>97-1-134</v>
          </cell>
          <cell r="E445" t="str">
            <v>또는 그 화합물과 셀렌화합물질을 1% 이상 함유한 혼합물질</v>
          </cell>
          <cell r="F445">
            <v>1</v>
          </cell>
        </row>
        <row r="446">
          <cell r="B446" t="str">
            <v>13597-46-1</v>
          </cell>
          <cell r="C446" t="str">
            <v>Zinc selenite</v>
          </cell>
          <cell r="D446" t="str">
            <v>97-1-134</v>
          </cell>
          <cell r="E446" t="str">
            <v>또는 그 화합물과 셀렌화합물질을 1% 이상 함유한 혼합물질</v>
          </cell>
          <cell r="F446">
            <v>1</v>
          </cell>
        </row>
        <row r="447">
          <cell r="B447" t="str">
            <v>13718-59-7</v>
          </cell>
          <cell r="C447" t="str">
            <v>Barium selenite</v>
          </cell>
          <cell r="D447" t="str">
            <v>97-1-134</v>
          </cell>
          <cell r="E447" t="str">
            <v>또는 그 화합물과 셀렌화합물질을 1% 이상 함유한 혼합물질</v>
          </cell>
          <cell r="F447">
            <v>1</v>
          </cell>
        </row>
        <row r="448">
          <cell r="B448" t="str">
            <v>13780-18-2</v>
          </cell>
          <cell r="C448" t="str">
            <v>Calcium selenite</v>
          </cell>
          <cell r="D448" t="str">
            <v>97-1-134</v>
          </cell>
          <cell r="E448" t="str">
            <v>또는 그 화합물과 셀렌화합물질을 1% 이상 함유한 혼합물질</v>
          </cell>
          <cell r="F448">
            <v>1</v>
          </cell>
        </row>
        <row r="449">
          <cell r="B449" t="str">
            <v>13814-59-0</v>
          </cell>
          <cell r="C449" t="str">
            <v>Selenious acid cadmium salt (1:1)</v>
          </cell>
          <cell r="D449" t="str">
            <v>97-1-134</v>
          </cell>
          <cell r="E449" t="str">
            <v>또는 그 화합물과 셀렌화합물질을 1% 이상 함유한 혼합물질</v>
          </cell>
          <cell r="F449">
            <v>1</v>
          </cell>
        </row>
        <row r="450">
          <cell r="B450" t="str">
            <v>13814-62-5</v>
          </cell>
          <cell r="C450" t="str">
            <v>Selenic acid cadmium salt (1:1)</v>
          </cell>
          <cell r="D450" t="str">
            <v>97-1-134</v>
          </cell>
          <cell r="E450" t="str">
            <v>또는 그 화합물과 셀렌화합물질을 1% 이상 함유한 혼합물질</v>
          </cell>
          <cell r="F450">
            <v>1</v>
          </cell>
        </row>
        <row r="451">
          <cell r="B451" t="str">
            <v>14019-91-1</v>
          </cell>
          <cell r="C451" t="str">
            <v>Calcium selenate</v>
          </cell>
          <cell r="D451" t="str">
            <v>97-1-134</v>
          </cell>
          <cell r="E451" t="str">
            <v>또는 그 화합물과 셀렌화합물질을 1% 이상 함유한 혼합물질</v>
          </cell>
          <cell r="F451">
            <v>1</v>
          </cell>
        </row>
        <row r="452">
          <cell r="B452" t="str">
            <v>14590-19-3</v>
          </cell>
          <cell r="C452" t="str">
            <v>Selenic acid cobalt(2+) salt (1:1)</v>
          </cell>
          <cell r="D452" t="str">
            <v>97-1-134</v>
          </cell>
          <cell r="E452" t="str">
            <v>또는 그 화합물과 셀렌화합물질을 1% 이상 함유한 혼합물질</v>
          </cell>
          <cell r="F452">
            <v>1</v>
          </cell>
        </row>
        <row r="453">
          <cell r="B453" t="str">
            <v>14590-38-6</v>
          </cell>
          <cell r="C453" t="str">
            <v>Strontium selenite</v>
          </cell>
          <cell r="D453" t="str">
            <v>97-1-134</v>
          </cell>
          <cell r="E453" t="str">
            <v>또는 그 화합물과 셀렌화합물질을 1% 이상 함유한 혼합물질</v>
          </cell>
          <cell r="F453">
            <v>1</v>
          </cell>
        </row>
        <row r="454">
          <cell r="B454" t="str">
            <v>14696-77-6</v>
          </cell>
          <cell r="C454" t="str">
            <v>Selenic acid aluminum salt (3:2)</v>
          </cell>
          <cell r="D454" t="str">
            <v>97-1-134</v>
          </cell>
          <cell r="E454" t="str">
            <v>또는 그 화합물과 셀렌화합물질을 1% 이상 함유한 혼합물질</v>
          </cell>
          <cell r="F454">
            <v>1</v>
          </cell>
        </row>
        <row r="455">
          <cell r="B455" t="str">
            <v>14986-91-5</v>
          </cell>
          <cell r="C455" t="str">
            <v>Magnesium selenate</v>
          </cell>
          <cell r="D455" t="str">
            <v>97-1-134</v>
          </cell>
          <cell r="E455" t="str">
            <v>또는 그 화합물과 셀렌화합물질을 1% 이상 함유한 혼합물질</v>
          </cell>
          <cell r="F455">
            <v>1</v>
          </cell>
        </row>
        <row r="456">
          <cell r="B456" t="str">
            <v>15060-62-5</v>
          </cell>
          <cell r="C456" t="str">
            <v>Nickel selenate</v>
          </cell>
          <cell r="D456" t="str">
            <v>97-1-134</v>
          </cell>
          <cell r="E456" t="str">
            <v>또는 그 화합물과 셀렌화합물질을 1% 이상 함유한 혼합물질</v>
          </cell>
          <cell r="F456">
            <v>1</v>
          </cell>
        </row>
        <row r="457">
          <cell r="B457" t="str">
            <v>15123-69-0</v>
          </cell>
          <cell r="C457" t="str">
            <v>Copper selenate</v>
          </cell>
          <cell r="D457" t="str">
            <v>97-1-134</v>
          </cell>
          <cell r="E457" t="str">
            <v>또는 그 화합물과 셀렌화합물질을 1% 이상 함유한 혼합물질</v>
          </cell>
          <cell r="F457">
            <v>1</v>
          </cell>
        </row>
        <row r="458">
          <cell r="B458" t="str">
            <v>15572-25-5</v>
          </cell>
          <cell r="C458" t="str">
            <v>Thallium selenide (Tl2Se)</v>
          </cell>
          <cell r="D458" t="str">
            <v>97-1-134</v>
          </cell>
          <cell r="E458" t="str">
            <v>또는 그 화합물과 셀렌화합물질을 1% 이상 함유한 혼합물질</v>
          </cell>
          <cell r="F458">
            <v>1</v>
          </cell>
        </row>
        <row r="459">
          <cell r="B459" t="str">
            <v>15586-47-7</v>
          </cell>
          <cell r="C459" t="str">
            <v>Dicesium selenite</v>
          </cell>
          <cell r="D459" t="str">
            <v>97-1-134</v>
          </cell>
          <cell r="E459" t="str">
            <v>또는 그 화합물과 셀렌화합물질을 1% 이상 함유한 혼합물질</v>
          </cell>
          <cell r="F459">
            <v>1</v>
          </cell>
        </row>
        <row r="460">
          <cell r="B460" t="str">
            <v>15593-51-8</v>
          </cell>
          <cell r="C460" t="str">
            <v>Dilithium selenite</v>
          </cell>
          <cell r="D460" t="str">
            <v>97-1-134</v>
          </cell>
          <cell r="E460" t="str">
            <v>또는 그 화합물과 셀렌화합물질을 1% 이상 함유한 혼합물질</v>
          </cell>
          <cell r="F460">
            <v>1</v>
          </cell>
        </row>
        <row r="461">
          <cell r="B461" t="str">
            <v>15593-52-9</v>
          </cell>
          <cell r="C461" t="str">
            <v>Dilithium selenate</v>
          </cell>
          <cell r="D461" t="str">
            <v>97-1-134</v>
          </cell>
          <cell r="E461" t="str">
            <v>또는 그 화합물과 셀렌화합물질을 1% 이상 함유한 혼합물질</v>
          </cell>
          <cell r="F461">
            <v>1</v>
          </cell>
        </row>
        <row r="462">
          <cell r="B462" t="str">
            <v>15702-34-8</v>
          </cell>
          <cell r="C462" t="str">
            <v>Manganese selenite (MnSeO3)</v>
          </cell>
          <cell r="D462" t="str">
            <v>97-1-134</v>
          </cell>
          <cell r="E462" t="str">
            <v>또는 그 화합물과 셀렌화합물질을 1% 이상 함유한 혼합물질</v>
          </cell>
          <cell r="F462">
            <v>1</v>
          </cell>
        </row>
        <row r="463">
          <cell r="B463" t="str">
            <v>20405-64-5</v>
          </cell>
          <cell r="C463" t="str">
            <v>Dicopper selenide</v>
          </cell>
          <cell r="D463" t="str">
            <v>97-1-134</v>
          </cell>
          <cell r="E463" t="str">
            <v>또는 그 화합물과 셀렌화합물질을 1% 이상 함유한 혼합물질</v>
          </cell>
          <cell r="F463">
            <v>1</v>
          </cell>
        </row>
        <row r="464">
          <cell r="B464" t="str">
            <v>20960-77-4</v>
          </cell>
          <cell r="C464" t="str">
            <v>Dialuminium triselenite</v>
          </cell>
          <cell r="D464" t="str">
            <v>97-1-134</v>
          </cell>
          <cell r="E464" t="str">
            <v>또는 그 화합물과 셀렌화합물질을 1% 이상 함유한 혼합물질</v>
          </cell>
          <cell r="F464">
            <v>1</v>
          </cell>
        </row>
        <row r="465">
          <cell r="B465" t="str">
            <v>26970-82-1</v>
          </cell>
          <cell r="C465" t="str">
            <v>sodium selenite pentahydrate</v>
          </cell>
          <cell r="D465" t="str">
            <v>97-1-134</v>
          </cell>
          <cell r="E465" t="str">
            <v>또는 그 화합물과 셀렌화합물질을 1% 이상 함유한 혼합물질</v>
          </cell>
          <cell r="F465">
            <v>1</v>
          </cell>
        </row>
        <row r="466">
          <cell r="B466" t="str">
            <v>31052-43-4</v>
          </cell>
          <cell r="C466" t="str">
            <v>Rubidium selenide (Rb2Se)</v>
          </cell>
          <cell r="D466" t="str">
            <v>97-1-134</v>
          </cell>
          <cell r="E466" t="str">
            <v>또는 그 화합물과 셀렌화합물질을 1% 이상 함유한 혼합물질</v>
          </cell>
          <cell r="F466">
            <v>1</v>
          </cell>
        </row>
        <row r="467">
          <cell r="B467" t="str">
            <v>31052-46-7</v>
          </cell>
          <cell r="C467" t="str">
            <v>Dicesium selenide</v>
          </cell>
          <cell r="D467" t="str">
            <v>97-1-134</v>
          </cell>
          <cell r="E467" t="str">
            <v>또는 그 화합물과 셀렌화합물질을 1% 이상 함유한 혼합물질</v>
          </cell>
          <cell r="F467">
            <v>1</v>
          </cell>
        </row>
        <row r="468">
          <cell r="B468" t="str">
            <v>3425-46-5</v>
          </cell>
          <cell r="C468" t="str">
            <v>Potassium selenocyanate</v>
          </cell>
          <cell r="D468" t="str">
            <v>97-1-134</v>
          </cell>
          <cell r="E468" t="str">
            <v>또는 그 화합물과 셀렌화합물질을 1% 이상 함유한 혼합물질</v>
          </cell>
          <cell r="F468">
            <v>1</v>
          </cell>
        </row>
        <row r="469">
          <cell r="B469" t="str">
            <v>506-80-9</v>
          </cell>
          <cell r="C469" t="str">
            <v>Carbon diselenide (CSe2)</v>
          </cell>
          <cell r="D469" t="str">
            <v>97-1-134</v>
          </cell>
          <cell r="E469" t="str">
            <v>또는 그 화합물과 셀렌화합물질을 1% 이상 함유한 혼합물질</v>
          </cell>
          <cell r="F469">
            <v>1</v>
          </cell>
        </row>
        <row r="470">
          <cell r="B470" t="str">
            <v>58127-88-1</v>
          </cell>
          <cell r="C470" t="str">
            <v>Digallium diselenide</v>
          </cell>
          <cell r="D470" t="str">
            <v>97-1-134</v>
          </cell>
          <cell r="E470" t="str">
            <v>또는 그 화합물과 셀렌화합물질을 1% 이상 함유한 혼합물질</v>
          </cell>
          <cell r="F470">
            <v>1</v>
          </cell>
        </row>
        <row r="471">
          <cell r="B471" t="str">
            <v>58339-34-7</v>
          </cell>
          <cell r="C471" t="str">
            <v>C.I. pigment red 108</v>
          </cell>
          <cell r="D471" t="str">
            <v>97-1-134</v>
          </cell>
          <cell r="E471" t="str">
            <v>또는 그 화합물과 셀렌화합물질을 1% 이상 함유한 혼합물질</v>
          </cell>
          <cell r="F471">
            <v>1</v>
          </cell>
        </row>
        <row r="472">
          <cell r="B472" t="str">
            <v>60763-24-8</v>
          </cell>
          <cell r="C472" t="str">
            <v>Thorium selenide (ThSe2)</v>
          </cell>
          <cell r="D472" t="str">
            <v>97-1-134</v>
          </cell>
          <cell r="E472" t="str">
            <v>또는 그 화합물과 셀렌화합물질을 1% 이상 함유한 혼합물질</v>
          </cell>
          <cell r="F472">
            <v>1</v>
          </cell>
        </row>
        <row r="473">
          <cell r="B473" t="str">
            <v>70714-63-5</v>
          </cell>
          <cell r="C473" t="str">
            <v>Samarium selenide (Sm2Se)</v>
          </cell>
          <cell r="D473" t="str">
            <v>97-1-134</v>
          </cell>
          <cell r="E473" t="str">
            <v>또는 그 화합물과 셀렌화합물질을 1% 이상 함유한 혼합물질</v>
          </cell>
          <cell r="F473">
            <v>1</v>
          </cell>
        </row>
        <row r="474">
          <cell r="B474" t="str">
            <v>71243-75-9</v>
          </cell>
          <cell r="C474" t="str">
            <v>Cadmium selenide (CdSe), solid soln. with cadmium sulfide</v>
          </cell>
          <cell r="D474" t="str">
            <v>97-1-134</v>
          </cell>
          <cell r="E474" t="str">
            <v>또는 그 화합물과 셀렌화합물질을 1% 이상 함유한 혼합물질</v>
          </cell>
          <cell r="F474">
            <v>1</v>
          </cell>
        </row>
        <row r="475">
          <cell r="B475" t="str">
            <v>7446-08-4</v>
          </cell>
          <cell r="C475" t="str">
            <v>Selenium dioxide</v>
          </cell>
          <cell r="D475" t="str">
            <v>97-1-134</v>
          </cell>
          <cell r="E475" t="str">
            <v>또는 그 화합물과 셀렌화합물질을 1% 이상 함유한 혼합물질</v>
          </cell>
          <cell r="F475">
            <v>1</v>
          </cell>
        </row>
        <row r="476">
          <cell r="B476" t="str">
            <v>7446-15-3</v>
          </cell>
          <cell r="C476" t="str">
            <v>Lead selenate</v>
          </cell>
          <cell r="D476" t="str">
            <v>97-1-134</v>
          </cell>
          <cell r="E476" t="str">
            <v>또는 그 화합물과 셀렌화합물질을 1% 이상 함유한 혼합물질</v>
          </cell>
          <cell r="F476">
            <v>1</v>
          </cell>
        </row>
        <row r="477">
          <cell r="B477" t="str">
            <v>7446-17-5</v>
          </cell>
          <cell r="C477" t="str">
            <v>Dirubidium selenate</v>
          </cell>
          <cell r="D477" t="str">
            <v>97-1-134</v>
          </cell>
          <cell r="E477" t="str">
            <v>또는 그 화합물과 셀렌화합물질을 1% 이상 함유한 혼합물질</v>
          </cell>
          <cell r="F477">
            <v>1</v>
          </cell>
        </row>
        <row r="478">
          <cell r="B478" t="str">
            <v>7446-21-1</v>
          </cell>
          <cell r="C478" t="str">
            <v>Strontium selenate</v>
          </cell>
          <cell r="D478" t="str">
            <v>97-1-134</v>
          </cell>
          <cell r="E478" t="str">
            <v>또는 그 화합물과 셀렌화합물질을 1% 이상 함유한 혼합물질</v>
          </cell>
          <cell r="F478">
            <v>1</v>
          </cell>
        </row>
        <row r="479">
          <cell r="B479" t="str">
            <v>7488-51-9</v>
          </cell>
          <cell r="C479" t="str">
            <v>Selenious acid lead(2+) salt (1:1)</v>
          </cell>
          <cell r="D479" t="str">
            <v>97-1-134</v>
          </cell>
          <cell r="E479" t="str">
            <v>또는 그 화합물과 셀렌화합물질을 1% 이상 함유한 혼합물질</v>
          </cell>
          <cell r="F479">
            <v>1</v>
          </cell>
        </row>
        <row r="480">
          <cell r="B480" t="str">
            <v>7488-56-4</v>
          </cell>
          <cell r="C480" t="str">
            <v>Selenium disulfide</v>
          </cell>
          <cell r="D480" t="str">
            <v>97-1-134</v>
          </cell>
          <cell r="E480" t="str">
            <v>또는 그 화합물과 셀렌화합물질을 1% 이상 함유한 혼합물질</v>
          </cell>
          <cell r="F480">
            <v>1</v>
          </cell>
        </row>
        <row r="481">
          <cell r="B481" t="str">
            <v>7782-49-2</v>
          </cell>
          <cell r="C481" t="str">
            <v>Selenium</v>
          </cell>
          <cell r="D481" t="str">
            <v>97-1-134</v>
          </cell>
          <cell r="E481" t="str">
            <v>또는 그 화합물과 셀렌화합물질을 1% 이상 함유한 혼합물질</v>
          </cell>
          <cell r="F481">
            <v>1</v>
          </cell>
        </row>
        <row r="482">
          <cell r="B482" t="str">
            <v>7782-82-3</v>
          </cell>
          <cell r="C482" t="str">
            <v>Sodium hydrogenselenite</v>
          </cell>
          <cell r="D482" t="str">
            <v>97-1-134</v>
          </cell>
          <cell r="E482" t="str">
            <v>또는 그 화합물과 셀렌화합물질을 1% 이상 함유한 혼합물질</v>
          </cell>
          <cell r="F482">
            <v>1</v>
          </cell>
        </row>
        <row r="483">
          <cell r="B483" t="str">
            <v>7783-00-8</v>
          </cell>
          <cell r="C483" t="str">
            <v>Selenious acid</v>
          </cell>
          <cell r="D483" t="str">
            <v>97-1-134</v>
          </cell>
          <cell r="E483" t="str">
            <v>또는 그 화합물과 셀렌화합물질을 1% 이상 함유한 혼합물질</v>
          </cell>
          <cell r="F483">
            <v>1</v>
          </cell>
        </row>
        <row r="484">
          <cell r="B484" t="str">
            <v>7783-07-5</v>
          </cell>
          <cell r="C484" t="str">
            <v>Dihydrogen selenide</v>
          </cell>
          <cell r="D484" t="str">
            <v>97-1-134</v>
          </cell>
          <cell r="E484" t="str">
            <v>또는 그 화합물과 셀렌화합물질을 1% 이상 함유한 혼합물질</v>
          </cell>
          <cell r="F484">
            <v>1</v>
          </cell>
        </row>
        <row r="485">
          <cell r="B485" t="str">
            <v>7783-08-6</v>
          </cell>
          <cell r="C485" t="str">
            <v>Selenic acid</v>
          </cell>
          <cell r="D485" t="str">
            <v>97-1-134</v>
          </cell>
          <cell r="E485" t="str">
            <v>또는 그 화합물과 셀렌화합물질을 1% 이상 함유한 혼합물질</v>
          </cell>
          <cell r="F485">
            <v>1</v>
          </cell>
        </row>
        <row r="486">
          <cell r="B486" t="str">
            <v>7783-19-9</v>
          </cell>
          <cell r="C486" t="str">
            <v>Ammonium selenite</v>
          </cell>
          <cell r="D486" t="str">
            <v>97-1-134</v>
          </cell>
          <cell r="E486" t="str">
            <v>또는 그 화합물과 셀렌화합물질을 1% 이상 함유한 혼합물질</v>
          </cell>
          <cell r="F486">
            <v>1</v>
          </cell>
        </row>
        <row r="487">
          <cell r="B487" t="str">
            <v>7783-21-3</v>
          </cell>
          <cell r="C487" t="str">
            <v>Ammonium selenate</v>
          </cell>
          <cell r="D487" t="str">
            <v>97-1-134</v>
          </cell>
          <cell r="E487" t="str">
            <v>또는 그 화합물과 셀렌화합물질을 1% 이상 함유한 혼합물질</v>
          </cell>
          <cell r="F487">
            <v>1</v>
          </cell>
        </row>
        <row r="488">
          <cell r="B488" t="str">
            <v>7783-79-1</v>
          </cell>
          <cell r="C488" t="str">
            <v>Selenium fluoride (SeF6), (OC-6-11)- ; Selenium hexafluoride</v>
          </cell>
          <cell r="D488" t="str">
            <v>97-1-134</v>
          </cell>
          <cell r="E488" t="str">
            <v>또는 그 화합물과 셀렌화합물질을 1% 이상 함유한 혼합물질</v>
          </cell>
          <cell r="F488">
            <v>1</v>
          </cell>
        </row>
        <row r="489">
          <cell r="B489" t="str">
            <v>7784-05-6</v>
          </cell>
          <cell r="C489" t="str">
            <v>Disilver selenite</v>
          </cell>
          <cell r="D489" t="str">
            <v>97-1-134</v>
          </cell>
          <cell r="E489" t="str">
            <v>또는 그 화합물과 셀렌화합물질을 1% 이상 함유한 혼합물질</v>
          </cell>
          <cell r="F489">
            <v>1</v>
          </cell>
        </row>
        <row r="490">
          <cell r="B490" t="str">
            <v>7787-41-9</v>
          </cell>
          <cell r="C490" t="str">
            <v>Barium selenate</v>
          </cell>
          <cell r="D490" t="str">
            <v>97-1-134</v>
          </cell>
          <cell r="E490" t="str">
            <v>또는 그 화합물과 셀렌화합물질을 1% 이상 함유한 혼합물질</v>
          </cell>
          <cell r="F490">
            <v>1</v>
          </cell>
        </row>
        <row r="491">
          <cell r="B491" t="str">
            <v>7789-51-7</v>
          </cell>
          <cell r="C491" t="str">
            <v>Seleninyl bromide</v>
          </cell>
          <cell r="D491" t="str">
            <v>97-1-134</v>
          </cell>
          <cell r="E491" t="str">
            <v>또는 그 화합물과 셀렌화합물질을 1% 이상 함유한 혼합물질</v>
          </cell>
          <cell r="F491">
            <v>1</v>
          </cell>
        </row>
        <row r="492">
          <cell r="B492" t="str">
            <v>7789-52-8</v>
          </cell>
          <cell r="C492" t="str">
            <v>Selenium bromide</v>
          </cell>
          <cell r="D492" t="str">
            <v>97-1-134</v>
          </cell>
          <cell r="E492" t="str">
            <v>또는 그 화합물과 셀렌화합물질을 1% 이상 함유한 혼합물질</v>
          </cell>
          <cell r="F492">
            <v>1</v>
          </cell>
        </row>
        <row r="493">
          <cell r="B493" t="str">
            <v>7789-65-3</v>
          </cell>
          <cell r="C493" t="str">
            <v>Selenium tetrabromide</v>
          </cell>
          <cell r="D493" t="str">
            <v>97-1-134</v>
          </cell>
          <cell r="E493" t="str">
            <v>또는 그 화합물과 셀렌화합물질을 1% 이상 함유한 혼합물질</v>
          </cell>
          <cell r="F493">
            <v>1</v>
          </cell>
        </row>
        <row r="494">
          <cell r="B494" t="str">
            <v>7790-59-2</v>
          </cell>
          <cell r="C494" t="str">
            <v>Potassium selenate</v>
          </cell>
          <cell r="D494" t="str">
            <v>97-1-134</v>
          </cell>
          <cell r="E494" t="str">
            <v>또는 그 화합물과 셀렌화합물질을 1% 이상 함유한 혼합물질</v>
          </cell>
          <cell r="F494">
            <v>1</v>
          </cell>
        </row>
        <row r="495">
          <cell r="B495" t="str">
            <v>7791-23-3</v>
          </cell>
          <cell r="C495" t="str">
            <v>Seleninyl dichloride</v>
          </cell>
          <cell r="D495" t="str">
            <v>97-1-134</v>
          </cell>
          <cell r="E495" t="str">
            <v>또는 그 화합물과 셀렌화합물질을 1% 이상 함유한 혼합물질</v>
          </cell>
          <cell r="F495">
            <v>1</v>
          </cell>
        </row>
        <row r="496">
          <cell r="B496" t="str">
            <v>88608-76-8</v>
          </cell>
          <cell r="C496" t="str">
            <v>Gold diselenide</v>
          </cell>
          <cell r="D496" t="str">
            <v>97-1-134</v>
          </cell>
          <cell r="E496" t="str">
            <v>또는 그 화합물과 셀렌화합물질을 1% 이상 함유한 혼합물질</v>
          </cell>
          <cell r="F496">
            <v>1</v>
          </cell>
        </row>
        <row r="497">
          <cell r="B497" t="str">
            <v>99811-54-8</v>
          </cell>
          <cell r="C497" t="str">
            <v>Selenious acid phenylmethyl ester</v>
          </cell>
          <cell r="D497" t="str">
            <v>97-1-134</v>
          </cell>
          <cell r="E497" t="str">
            <v>또는 그 화합물과 셀렌화합물질을 1% 이상 함유한 혼합물질</v>
          </cell>
          <cell r="F497">
            <v>1</v>
          </cell>
        </row>
        <row r="498">
          <cell r="C498" t="str">
            <v>Selenium compounds</v>
          </cell>
          <cell r="D498" t="str">
            <v>97-1-134</v>
          </cell>
          <cell r="E498" t="str">
            <v>또는 그 화합물질과 셀렌화합물질을 1% 이상 함유한 혼합물질</v>
          </cell>
          <cell r="F498">
            <v>1</v>
          </cell>
        </row>
        <row r="499">
          <cell r="B499" t="str">
            <v>543-21-5</v>
          </cell>
          <cell r="C499" t="str">
            <v>Cellocidin</v>
          </cell>
          <cell r="D499" t="str">
            <v>97-1-135</v>
          </cell>
          <cell r="E499" t="str">
            <v>및 이를 1% 이상 함유한 혼합물질</v>
          </cell>
          <cell r="F499">
            <v>1</v>
          </cell>
        </row>
        <row r="500">
          <cell r="B500" t="str">
            <v>1310-73-2</v>
          </cell>
          <cell r="C500" t="str">
            <v>Sodium hydroxide</v>
          </cell>
          <cell r="D500" t="str">
            <v>97-1-136</v>
          </cell>
          <cell r="E500" t="str">
            <v>및 이를 5% 이상 함유한 혼합물질</v>
          </cell>
          <cell r="F500">
            <v>5</v>
          </cell>
        </row>
        <row r="501">
          <cell r="B501" t="str">
            <v>1310-58-3</v>
          </cell>
          <cell r="C501" t="str">
            <v>Potassium hydroxide</v>
          </cell>
          <cell r="D501" t="str">
            <v>97-1-137</v>
          </cell>
          <cell r="E501" t="str">
            <v>및 이를 5% 이상 함유한 혼합물질</v>
          </cell>
          <cell r="F501">
            <v>5</v>
          </cell>
        </row>
        <row r="502">
          <cell r="B502" t="str">
            <v>3644-29-9</v>
          </cell>
          <cell r="C502" t="str">
            <v>Triphenyl tin laurate</v>
          </cell>
          <cell r="D502" t="str">
            <v>97-1-138</v>
          </cell>
          <cell r="E502" t="str">
            <v>및 그 염류(수산화트리아릴 주석의 무수물을 포함한다)와 그 중 하나를 2% 이상 함유한 혼합물질</v>
          </cell>
          <cell r="F502">
            <v>2</v>
          </cell>
        </row>
        <row r="503">
          <cell r="B503" t="str">
            <v>379-52-2</v>
          </cell>
          <cell r="C503" t="str">
            <v>Triphenyltin fluoride ; Fentin fluoride</v>
          </cell>
          <cell r="D503" t="str">
            <v>97-1-138</v>
          </cell>
          <cell r="E503" t="str">
            <v>및 그 염류(수산화트리아릴 주석의 무수물을 포함한다)와 그 중 하나를 2% 이상 함유한 혼합물질</v>
          </cell>
          <cell r="F503">
            <v>2</v>
          </cell>
        </row>
        <row r="504">
          <cell r="B504" t="str">
            <v>639-58-7</v>
          </cell>
          <cell r="C504" t="str">
            <v>Triphenyltin chloride ; Fentin chloride</v>
          </cell>
          <cell r="D504" t="str">
            <v>97-1-138</v>
          </cell>
          <cell r="E504" t="str">
            <v>및 그 염류(수산화트리아릴 주석의 무수물을 포함한다)와 그 중 하나를 2% 이상 함유한 혼합물질</v>
          </cell>
          <cell r="F504">
            <v>2</v>
          </cell>
        </row>
        <row r="505">
          <cell r="B505" t="str">
            <v>76-87-9</v>
          </cell>
          <cell r="C505" t="str">
            <v>Hydroxytriphenyl stannane ; Fentin hydroxide, Triphenyltin hydroxide</v>
          </cell>
          <cell r="D505" t="str">
            <v>97-1-138</v>
          </cell>
          <cell r="E505" t="str">
            <v>및 그 염류(수산화트리아릴 주석의 무수물을 포함한다)와 그 중 하나를 2% 이상 함유한 혼합물질</v>
          </cell>
          <cell r="F505">
            <v>2</v>
          </cell>
        </row>
        <row r="506">
          <cell r="B506" t="str">
            <v>900-95-8</v>
          </cell>
          <cell r="C506" t="str">
            <v>Triphenyltin acetate</v>
          </cell>
          <cell r="D506" t="str">
            <v>97-1-138</v>
          </cell>
          <cell r="E506" t="str">
            <v>및 그 염류(수산화트리아릴 주석의 무수물을 포함한다)와 그 중 하나를 2% 이상 함유한 혼합물질</v>
          </cell>
          <cell r="F506">
            <v>2</v>
          </cell>
        </row>
        <row r="507">
          <cell r="C507" t="str">
            <v>Triaryltin hydroxide</v>
          </cell>
          <cell r="D507" t="str">
            <v>97-1-138</v>
          </cell>
          <cell r="E507" t="str">
            <v>및 그 염류(수산화트리아릴 주석의 무수물을 포함한다)와 그 중 하나를 2% 이상 함유한 혼합물질</v>
          </cell>
          <cell r="F507">
            <v>2</v>
          </cell>
        </row>
        <row r="508">
          <cell r="C508" t="str">
            <v>Triaryltin hydroxide, salts</v>
          </cell>
          <cell r="D508" t="str">
            <v>97-1-138</v>
          </cell>
          <cell r="E508" t="str">
            <v>및 그 염류(수산화트리아릴 주석의 무수물을 포함한다)와 그 중 하나를 2% 이상 함유한 혼합물질</v>
          </cell>
          <cell r="F508">
            <v>2</v>
          </cell>
        </row>
        <row r="509">
          <cell r="B509" t="str">
            <v>1067-97-6</v>
          </cell>
          <cell r="C509" t="str">
            <v>Tributyltin hydroxide</v>
          </cell>
          <cell r="D509" t="str">
            <v>97-1-139</v>
          </cell>
          <cell r="E509" t="str">
            <v>그 염류(산화트리알킬주석을 포함한다) 및 트리부틸주석화합물(tributyltin compound), 또는 그 중 하나를 0.1% 이상 함유한 혼합물질</v>
          </cell>
          <cell r="F509">
            <v>0.1</v>
          </cell>
        </row>
        <row r="510">
          <cell r="B510" t="str">
            <v>1461-22-9</v>
          </cell>
          <cell r="C510" t="str">
            <v>Tributyltin chloride</v>
          </cell>
          <cell r="D510" t="str">
            <v>97-1-139</v>
          </cell>
          <cell r="E510" t="str">
            <v>그 염류(산화트리알킬주석을 포함한다) 및 트리부틸주석화합물(tributyltin compound), 또는 그 중 하나를 0.1% 이상 함유한 혼합물질</v>
          </cell>
          <cell r="F510">
            <v>0.1</v>
          </cell>
        </row>
        <row r="511">
          <cell r="B511" t="str">
            <v>1983-10-4</v>
          </cell>
          <cell r="C511" t="str">
            <v>Tributyltin fluoride</v>
          </cell>
          <cell r="D511" t="str">
            <v>97-1-139</v>
          </cell>
          <cell r="E511" t="str">
            <v>그 염류(산화트리알킬주석을 포함한다) 및 트리부틸주석화합물(tributyltin compound), 또는 그 중 하나를 0.1% 이상 함유한 혼합물질</v>
          </cell>
          <cell r="F511">
            <v>0.1</v>
          </cell>
        </row>
        <row r="512">
          <cell r="B512" t="str">
            <v>2155-70-6</v>
          </cell>
          <cell r="C512" t="str">
            <v>Tributyltin methacrylate</v>
          </cell>
          <cell r="D512" t="str">
            <v>97-1-139</v>
          </cell>
          <cell r="E512" t="str">
            <v>그 염류(산화트리알킬주석을 포함한다) 및 트리부틸주석화합물(tributyltin compound), 또는 그 중 하나를 0.1% 이상 함유한 혼합물질</v>
          </cell>
          <cell r="F512">
            <v>0.1</v>
          </cell>
        </row>
        <row r="513">
          <cell r="B513" t="str">
            <v>28089-34-1</v>
          </cell>
          <cell r="C513" t="str">
            <v>Tributyltin phosphate</v>
          </cell>
          <cell r="D513" t="str">
            <v>97-1-139</v>
          </cell>
          <cell r="E513" t="str">
            <v>그 염류(산화트리알킬주석을 포함한다) 및 트리부틸주석화합물(tributyltin compound), 또는 그 중 하나를 0.1% 이상 함유한 혼합물질</v>
          </cell>
          <cell r="F513">
            <v>0.1</v>
          </cell>
        </row>
        <row r="514">
          <cell r="B514" t="str">
            <v>3090-36-6</v>
          </cell>
          <cell r="C514" t="str">
            <v>Tributyltin laurate</v>
          </cell>
          <cell r="D514" t="str">
            <v>97-1-139</v>
          </cell>
          <cell r="E514" t="str">
            <v>그 염류(산화트리알킬주석을 포함한다) 및 트리부틸주석화합물(tributyltin compound), 또는 그 중 하나를 0.1% 이상 함유한 혼합물질</v>
          </cell>
          <cell r="F514">
            <v>0.1</v>
          </cell>
        </row>
        <row r="515">
          <cell r="B515" t="str">
            <v>31732-71-5</v>
          </cell>
          <cell r="C515" t="str">
            <v>Bis(tributyltin) meso-2,3-dibromosuccinate</v>
          </cell>
          <cell r="D515" t="str">
            <v>97-1-139</v>
          </cell>
          <cell r="E515" t="str">
            <v>그 염류(산화트리알킬주석을 포함한다) 및 트리부틸주석화합물(tributyltin compound), 또는 그 중 하나를 0.1% 이상 함유한 혼합물질</v>
          </cell>
          <cell r="F515">
            <v>0.1</v>
          </cell>
        </row>
        <row r="516">
          <cell r="B516" t="str">
            <v>4027-18-3</v>
          </cell>
          <cell r="C516" t="str">
            <v>Tributyltin maleate</v>
          </cell>
          <cell r="D516" t="str">
            <v>97-1-139</v>
          </cell>
          <cell r="E516" t="str">
            <v>그 염류(산화트리알킬주석을 포함한다) 및 트리부틸주석화합물(tributyltin compound), 또는 그 중 하나를 0.1% 이상 함유한 혼합물질</v>
          </cell>
          <cell r="F516">
            <v>0.1</v>
          </cell>
        </row>
        <row r="517">
          <cell r="B517" t="str">
            <v>4342-30-7</v>
          </cell>
          <cell r="C517" t="str">
            <v>Tributyltin salicylate</v>
          </cell>
          <cell r="D517" t="str">
            <v>97-1-139</v>
          </cell>
          <cell r="E517" t="str">
            <v>그 염류(산화트리알킬주석을 포함한다) 및 트리부틸주석화합물(tributyltin compound), 또는 그 중 하나를 0.1% 이상 함유한 혼합물질</v>
          </cell>
          <cell r="F517">
            <v>0.1</v>
          </cell>
        </row>
        <row r="518">
          <cell r="B518" t="str">
            <v>4782-29-0</v>
          </cell>
          <cell r="C518" t="str">
            <v>Bis(tributyltin) phthalate</v>
          </cell>
          <cell r="D518" t="str">
            <v>97-1-139</v>
          </cell>
          <cell r="E518" t="str">
            <v>그 염류(산화트리알킬주석을 포함한다) 및 트리부틸주석화합물(tributyltin compound), 또는 그 중 하나를 0.1% 이상 함유한 혼합물질</v>
          </cell>
          <cell r="F518">
            <v>0.1</v>
          </cell>
        </row>
        <row r="519">
          <cell r="B519" t="str">
            <v>56-35-9</v>
          </cell>
          <cell r="C519" t="str">
            <v>Tributyltin oxide</v>
          </cell>
          <cell r="D519" t="str">
            <v>97-1-139</v>
          </cell>
          <cell r="E519" t="str">
            <v>그 염류(산화트리알킬주석을 포함한다) 및 트리부틸주석화합물(tributyltin compound), 또는 그 중 하나를 0.1% 이상 함유한 혼합물질</v>
          </cell>
          <cell r="F519">
            <v>0.1</v>
          </cell>
        </row>
        <row r="520">
          <cell r="B520" t="str">
            <v>688-73-3</v>
          </cell>
          <cell r="C520" t="str">
            <v>Tributyltin hydride</v>
          </cell>
          <cell r="D520" t="str">
            <v>97-1-139</v>
          </cell>
          <cell r="E520" t="str">
            <v>그 염류(산화트리알킬주석을 포함한다) 및 트리부틸주석화합물(tributyltin compound), 또는 그 중 하나를 0.1% 이상 함유한 혼합물질</v>
          </cell>
          <cell r="F520">
            <v>0.1</v>
          </cell>
        </row>
        <row r="521">
          <cell r="C521" t="str">
            <v>Trialkyltin hydroxide, tributyltin compound</v>
          </cell>
          <cell r="D521" t="str">
            <v>97-1-139</v>
          </cell>
          <cell r="E521" t="str">
            <v>그 염류(산화트리알킬주석을 포함한다) 및 트리부틸주석화합물(tributyltin compound), 또는 그 중 하나를 0.1% 이상 함유한 혼합물질</v>
          </cell>
          <cell r="F521">
            <v>0.1</v>
          </cell>
        </row>
        <row r="522">
          <cell r="C522" t="str">
            <v>Trialkyltin hydroxide</v>
          </cell>
          <cell r="D522" t="str">
            <v>97-1-139</v>
          </cell>
          <cell r="E522" t="str">
            <v>그 염류(산화트리알킬주석을 포함한다) 및 트리부틸주석화합물(tributyltin compound), 또는 그 중 하나를 0.1% 이상 함유한 혼합물질</v>
          </cell>
          <cell r="F522">
            <v>0.1</v>
          </cell>
        </row>
        <row r="523">
          <cell r="C523" t="str">
            <v>Trialkyltin hydroxide, salts</v>
          </cell>
          <cell r="D523" t="str">
            <v>97-1-139</v>
          </cell>
          <cell r="E523" t="str">
            <v>그 염류(산화트리알킬주석을 포함한다) 및 트리부틸주석화합물(tributyltin compound), 또는 그 중 하나를 0.1% 이상 함유한 혼합물질</v>
          </cell>
          <cell r="F523">
            <v>0.1</v>
          </cell>
        </row>
        <row r="524">
          <cell r="C524" t="str">
            <v>Trialkyltin oxide</v>
          </cell>
          <cell r="D524" t="str">
            <v>97-1-139</v>
          </cell>
          <cell r="E524" t="str">
            <v>그 염류(산화트리알킬주석을 포함한다) 및 트리부틸주석화합물(tributyltin compound), 또는 그 중 하나를 0.1% 이상 함유한 혼합물질</v>
          </cell>
          <cell r="F524">
            <v>0.1</v>
          </cell>
        </row>
        <row r="525">
          <cell r="C525" t="str">
            <v>Tributyltin compounds</v>
          </cell>
          <cell r="D525" t="str">
            <v>97-1-139</v>
          </cell>
          <cell r="E525" t="str">
            <v>그 염류(산화트리알킬주석을 포함한다) 및 트리부틸주석화합물(tributyltin compound), 또는 그 중 하나를 0.1% 이상 함유한 혼합물질</v>
          </cell>
          <cell r="F525">
            <v>0.1</v>
          </cell>
        </row>
        <row r="526">
          <cell r="C526" t="str">
            <v>Triethyltin compounds</v>
          </cell>
          <cell r="D526" t="str">
            <v>97-1-139</v>
          </cell>
          <cell r="E526" t="str">
            <v>그 염류(산화트리알킬주석을 포함한다) 및 트리부틸주석화합물(tributyltin compound), 또는 그 중 하나를 0.1% 이상 함유한 혼합물질</v>
          </cell>
          <cell r="F526">
            <v>0.1</v>
          </cell>
        </row>
        <row r="527">
          <cell r="C527" t="str">
            <v>Trimethyltin compounds</v>
          </cell>
          <cell r="D527" t="str">
            <v>97-1-139</v>
          </cell>
          <cell r="E527" t="str">
            <v>그 염류(산화트리알킬주석을 포함한다) 및 트리부틸주석화합물(tributyltin compound), 또는 그 중 하나를 0.1% 이상 함유한 혼합물질</v>
          </cell>
          <cell r="F527">
            <v>0.1</v>
          </cell>
        </row>
        <row r="528">
          <cell r="C528" t="str">
            <v>Triphenyltin compounds</v>
          </cell>
          <cell r="D528" t="str">
            <v>97-1-139</v>
          </cell>
          <cell r="E528" t="str">
            <v>그 염류(산화트리알킬주석을 포함한다) 및 트리부틸주석화합물(tributyltin compound), 또는 그 중 하나를 0.1% 이상 함유한 혼합물질</v>
          </cell>
          <cell r="F528">
            <v>0.1</v>
          </cell>
        </row>
        <row r="529">
          <cell r="C529" t="str">
            <v>Tripropyltin compounds</v>
          </cell>
          <cell r="D529" t="str">
            <v>97-1-139</v>
          </cell>
          <cell r="E529" t="str">
            <v>그 염류(산화트리알킬주석을 포함한다) 및 트리부틸주석화합물(tributyltin compound), 또는 그 중 하나를 0.1% 이상 함유한 혼합물질</v>
          </cell>
          <cell r="F529">
            <v>0.1</v>
          </cell>
        </row>
        <row r="530">
          <cell r="B530" t="str">
            <v>333-41-5</v>
          </cell>
          <cell r="C530" t="str">
            <v>Diazinon</v>
          </cell>
          <cell r="D530" t="str">
            <v>97-1-14</v>
          </cell>
          <cell r="E530" t="str">
            <v>및 이를 1% 이상 함유한 혼합물질</v>
          </cell>
          <cell r="F530">
            <v>1</v>
          </cell>
        </row>
        <row r="531">
          <cell r="B531" t="str">
            <v>100-57-2</v>
          </cell>
          <cell r="C531" t="str">
            <v>Phenylmercury hydroxide</v>
          </cell>
          <cell r="D531" t="str">
            <v>97-1-140</v>
          </cell>
          <cell r="E531" t="str">
            <v>또는 그 화합물질과 수은화합물질을 1% 이상 함유한 혼합물질. 다만 황화제이수은(Mercuric sulfide), 요오드화 제일수은(Mercuric iodide), 오레인산 수은(Mercuric oleate), 아미노 염화 제이수은(Amino mercury(II) chloride), 뇌산제이수은(Mercury(II) fulminate) 및 그 중 하나를 함유한 혼합물질은 제외</v>
          </cell>
          <cell r="F531">
            <v>1</v>
          </cell>
        </row>
        <row r="532">
          <cell r="B532" t="str">
            <v>10045-94-0</v>
          </cell>
          <cell r="C532" t="str">
            <v>Mercury dinitrate</v>
          </cell>
          <cell r="D532" t="str">
            <v>97-1-140</v>
          </cell>
          <cell r="E532" t="str">
            <v>또는 그 화합물질과 수은화합물질을 1% 이상 함유한 혼합물질. 다만 황화제이수은(Mercuric sulfide), 요오드화 제일수은(Mercuric iodide), 오레인산 수은(Mercuric oleate), 아미노 염화 제이수은(Amino mercury(II) chloride), 뇌산제이수은(Mercury(II) fulminate) 및 그 중 하나를 함유한 혼합물질은 제외</v>
          </cell>
          <cell r="F532">
            <v>1</v>
          </cell>
        </row>
        <row r="533">
          <cell r="B533" t="str">
            <v>10048-99-4</v>
          </cell>
          <cell r="C533" t="str">
            <v>Barium tetraiodomercurate</v>
          </cell>
          <cell r="D533" t="str">
            <v>97-1-140</v>
          </cell>
          <cell r="E533" t="str">
            <v>또는 그 화합물질과 수은화합물질을 1% 이상 함유한 혼합물질. 다만 황화제이수은(Mercuric sulfide), 요오드화 제일수은(Mercuric iodide), 오레인산 수은(Mercuric oleate), 아미노 염화 제이수은(Amino mercury(II) chloride), 뇌산제이수은(Mercury(II) fulminate) 및 그 중 하나를 함유한 혼합물질은 제외</v>
          </cell>
          <cell r="F533">
            <v>1</v>
          </cell>
        </row>
        <row r="534">
          <cell r="B534" t="str">
            <v>10112-91-1</v>
          </cell>
          <cell r="C534" t="str">
            <v>Dimercury dichloride</v>
          </cell>
          <cell r="D534" t="str">
            <v>97-1-140</v>
          </cell>
          <cell r="E534" t="str">
            <v>또는 그 화합물질과 수은화합물질을 1% 이상 함유한 혼합물질. 다만 황화제이수은(Mercuric sulfide), 요오드화 제일수은(Mercuric iodide), 오레인산 수은(Mercuric oleate), 아미노 염화 제이수은(Amino mercury(II) chloride), 뇌산제이수은(Mercury(II) fulminate) 및 그 중 하나를 함유한 혼합물질은 제외</v>
          </cell>
          <cell r="F534">
            <v>1</v>
          </cell>
        </row>
        <row r="535">
          <cell r="B535" t="str">
            <v>102110-61-2</v>
          </cell>
          <cell r="C535" t="str">
            <v>Slimes and Sludges, copper conc. roasting off gas scrubbing, lead-mercury-selenium-contg.</v>
          </cell>
          <cell r="D535" t="str">
            <v>97-1-140</v>
          </cell>
          <cell r="E535" t="str">
            <v>또는 그 화합물질과 수은화합물질을 1% 이상 함유한 혼합물질. 다만 황화제이수은(Mercuric sulfide), 요오드화 제일수은(Mercuric iodide), 오레인산 수은(Mercuric oleate), 아미노 염화 제이수은(Amino mercury(II) chloride), 뇌산제이수은(Mercury(II) fulminate) 및 그 중 하나를 함유한 혼합물질은 제외</v>
          </cell>
          <cell r="F535">
            <v>1</v>
          </cell>
        </row>
        <row r="536">
          <cell r="B536" t="str">
            <v>10415-75-5</v>
          </cell>
          <cell r="C536" t="str">
            <v>Dimercury dinitrate</v>
          </cell>
          <cell r="D536" t="str">
            <v>97-1-140</v>
          </cell>
          <cell r="E536" t="str">
            <v>또는 그 화합물질과 수은화합물질을 1% 이상 함유한 혼합물질. 다만 황화제이수은(Mercuric sulfide), 요오드화 제일수은(Mercuric iodide), 오레인산 수은(Mercuric oleate), 아미노 염화 제이수은(Amino mercury(II) chloride), 뇌산제이수은(Mercury(II) fulminate) 및 그 중 하나를 함유한 혼합물질은 제외</v>
          </cell>
          <cell r="F536">
            <v>1</v>
          </cell>
        </row>
        <row r="537">
          <cell r="B537" t="str">
            <v>115-09-3</v>
          </cell>
          <cell r="C537" t="str">
            <v>Methylmercuric chloride</v>
          </cell>
          <cell r="D537" t="str">
            <v>97-1-140</v>
          </cell>
          <cell r="E537" t="str">
            <v>또는 그 화합물질과 수은화합물질을 1% 이상 함유한 혼합물질. 다만 황화제이수은(Mercuric sulfide), 요오드화 제일수은(Mercuric iodide), 오레인산 수은(Mercuric oleate), 아미노 염화 제이수은(Amino mercury(II) chloride), 뇌산제이수은(Mercury(II) fulminate) 및 그 중 하나를 함유한 혼합물질은 제외</v>
          </cell>
          <cell r="F537">
            <v>1</v>
          </cell>
        </row>
        <row r="538">
          <cell r="B538" t="str">
            <v>123-88-6</v>
          </cell>
          <cell r="C538" t="str">
            <v>2-Methoxyethylmercury chloride</v>
          </cell>
          <cell r="D538" t="str">
            <v>97-1-140</v>
          </cell>
          <cell r="E538" t="str">
            <v>또는 그 화합물질과 수은화합물질을 1% 이상 함유한 혼합물질. 다만 황화제이수은(Mercuric sulfide), 요오드화 제일수은(Mercuric iodide), 오레인산 수은(Mercuric oleate), 아미노 염화 제이수은(Amino mercury(II) chloride), 뇌산제이수은(Mercury(II) fulminate) 및 그 중 하나를 함유한 혼합물질은 제외</v>
          </cell>
          <cell r="F538">
            <v>1</v>
          </cell>
        </row>
        <row r="539">
          <cell r="B539" t="str">
            <v>12344-40-0</v>
          </cell>
          <cell r="C539" t="str">
            <v>Mercury silver iodide</v>
          </cell>
          <cell r="D539" t="str">
            <v>97-1-140</v>
          </cell>
          <cell r="E539" t="str">
            <v>또는 그 화합물질과 수은화합물질을 1% 이상 함유한 혼합물질. 다만 황화제이수은(Mercuric sulfide), 요오드화 제일수은(Mercuric iodide), 오레인산 수은(Mercuric oleate), 아미노 염화 제이수은(Amino mercury(II) chloride), 뇌산제이수은(Mercury(II) fulminate) 및 그 중 하나를 함유한 혼합물질은 제외</v>
          </cell>
          <cell r="F539">
            <v>1</v>
          </cell>
        </row>
        <row r="540">
          <cell r="B540" t="str">
            <v>13222-52-1</v>
          </cell>
          <cell r="C540" t="str">
            <v>Acetophenone, hydrazone, compd. with mercury chloride (HgCl2) (1:1)</v>
          </cell>
          <cell r="D540" t="str">
            <v>97-1-140</v>
          </cell>
          <cell r="E540" t="str">
            <v>또는 그 화합물질과 수은화합물질을 1% 이상 함유한 혼합물질. 다만 황화제이수은(Mercuric sulfide), 요오드화 제일수은(Mercuric iodide), 오레인산 수은(Mercuric oleate), 아미노 염화 제이수은(Amino mercury(II) chloride), 뇌산제이수은(Mercury(II) fulminate) 및 그 중 하나를 함유한 혼합물질은 제외</v>
          </cell>
          <cell r="F540">
            <v>1</v>
          </cell>
        </row>
        <row r="541">
          <cell r="B541" t="str">
            <v>1345-09-1</v>
          </cell>
          <cell r="C541" t="str">
            <v>Cadmium mercury sulfide</v>
          </cell>
          <cell r="D541" t="str">
            <v>97-1-140</v>
          </cell>
          <cell r="E541" t="str">
            <v>또는 그 화합물질과 수은화합물질을 1% 이상 함유한 혼합물질. 다만 황화제이수은(Mercuric sulfide), 요오드화 제일수은(Mercuric iodide), 오레인산 수은(Mercuric oleate), 아미노 염화 제이수은(Amino mercury(II) chloride), 뇌산제이수은(Mercury(II) fulminate) 및 그 중 하나를 함유한 혼합물질은 제외</v>
          </cell>
          <cell r="F541">
            <v>1</v>
          </cell>
        </row>
        <row r="542">
          <cell r="B542" t="str">
            <v>13465-33-3</v>
          </cell>
          <cell r="C542" t="str">
            <v>Mercurous bromate</v>
          </cell>
          <cell r="D542" t="str">
            <v>97-1-140</v>
          </cell>
          <cell r="E542" t="str">
            <v>또는 그 화합물질과 수은화합물질을 1% 이상 함유한 혼합물질. 다만 황화제이수은(Mercuric sulfide), 요오드화 제일수은(Mercuric iodide), 오레인산 수은(Mercuric oleate), 아미노 염화 제이수은(Amino mercury(II) chloride), 뇌산제이수은(Mercury(II) fulminate) 및 그 중 하나를 함유한 혼합물질은 제외</v>
          </cell>
          <cell r="F542">
            <v>1</v>
          </cell>
        </row>
        <row r="543">
          <cell r="B543" t="str">
            <v>14836-60-3</v>
          </cell>
          <cell r="C543" t="str">
            <v>Nitric acid, mercury(1+)salt, dihydrate</v>
          </cell>
          <cell r="D543" t="str">
            <v>97-1-140</v>
          </cell>
          <cell r="E543" t="str">
            <v>또는 그 화합물질과 수은화합물질을 1% 이상 함유한 혼합물질. 다만 황화제이수은(Mercuric sulfide), 요오드화 제일수은(Mercuric iodide), 오레인산 수은(Mercuric oleate), 아미노 염화 제이수은(Amino mercury(II) chloride), 뇌산제이수은(Mercury(II) fulminate) 및 그 중 하나를 함유한 혼합물질은 제외</v>
          </cell>
          <cell r="F543">
            <v>1</v>
          </cell>
        </row>
        <row r="544">
          <cell r="B544" t="str">
            <v>15385-58-7</v>
          </cell>
          <cell r="C544" t="str">
            <v>Mercury bromide</v>
          </cell>
          <cell r="D544" t="str">
            <v>97-1-140</v>
          </cell>
          <cell r="E544" t="str">
            <v>또는 그 화합물질과 수은화합물질을 1% 이상 함유한 혼합물질. 다만 황화제이수은(Mercuric sulfide), 요오드화 제일수은(Mercuric iodide), 오레인산 수은(Mercuric oleate), 아미노 염화 제이수은(Amino mercury(II) chloride), 뇌산제이수은(Mercury(II) fulminate) 및 그 중 하나를 함유한 혼합물질은 제외</v>
          </cell>
          <cell r="F544">
            <v>1</v>
          </cell>
        </row>
        <row r="545">
          <cell r="B545" t="str">
            <v>15829-53-5</v>
          </cell>
          <cell r="C545" t="str">
            <v>Mercurous oxide</v>
          </cell>
          <cell r="D545" t="str">
            <v>97-1-140</v>
          </cell>
          <cell r="E545" t="str">
            <v>또는 그 화합물질과 수은화합물질을 1% 이상 함유한 혼합물질. 다만 황화제이수은(Mercuric sulfide), 요오드화 제일수은(Mercuric iodide), 오레인산 수은(Mercuric oleate), 아미노 염화 제이수은(Amino mercury(II) chloride), 뇌산제이수은(Mercury(II) fulminate) 및 그 중 하나를 함유한 혼합물질은 제외</v>
          </cell>
          <cell r="F545">
            <v>1</v>
          </cell>
        </row>
        <row r="546">
          <cell r="B546" t="str">
            <v>1600-27-7</v>
          </cell>
          <cell r="C546" t="str">
            <v>Mercuric acetate</v>
          </cell>
          <cell r="D546" t="str">
            <v>97-1-140</v>
          </cell>
          <cell r="E546" t="str">
            <v>또는 그 화합물질과 수은화합물질을 1% 이상 함유한 혼합물질. 다만 황화제이수은(Mercuric sulfide), 요오드화 제일수은(Mercuric iodide), 오레인산 수은(Mercuric oleate), 아미노 염화 제이수은(Amino mercury(II) chloride), 뇌산제이수은(Mercury(II) fulminate) 및 그 중 하나를 함유한 혼합물질은 제외</v>
          </cell>
          <cell r="F546">
            <v>1</v>
          </cell>
        </row>
        <row r="547">
          <cell r="B547" t="str">
            <v>21908-53-2</v>
          </cell>
          <cell r="C547" t="str">
            <v>Mercuric monooxide</v>
          </cell>
          <cell r="D547" t="str">
            <v>97-1-140</v>
          </cell>
          <cell r="E547" t="str">
            <v>또는 그 화합물질과 수은화합물질을 1% 이상 함유한 혼합물질. 다만 황화제이수은(Mercuric sulfide), 요오드화 제일수은(Mercuric iodide), 오레인산 수은(Mercuric oleate), 아미노 염화 제이수은(Amino mercury(II) chloride), 뇌산제이수은(Mercury(II) fulminate) 및 그 중 하나를 함유한 혼합물질은 제외</v>
          </cell>
          <cell r="F547">
            <v>1</v>
          </cell>
        </row>
        <row r="548">
          <cell r="B548" t="str">
            <v>26545-49-3</v>
          </cell>
          <cell r="C548" t="str">
            <v>(Neodecanoato-O)phenylmercury</v>
          </cell>
          <cell r="D548" t="str">
            <v>97-1-140</v>
          </cell>
          <cell r="E548" t="str">
            <v>또는 그 화합물질과 수은화합물질을 1% 이상 함유한 혼합물질. 다만 황화제이수은(Mercuric sulfide), 요오드화 제일수은(Mercuric iodide), 오레인산 수은(Mercuric oleate), 아미노 염화 제이수은(Amino mercury(II) chloride), 뇌산제이수은(Mercury(II) fulminate) 및 그 중 하나를 함유한 혼합물질은 제외</v>
          </cell>
          <cell r="F548">
            <v>1</v>
          </cell>
        </row>
        <row r="549">
          <cell r="B549" t="str">
            <v>54-64-8</v>
          </cell>
          <cell r="C549" t="str">
            <v>Ethyl[2-mercaptobenzoate(2-)-O,S]mercurate(1-) sodium salt</v>
          </cell>
          <cell r="D549" t="str">
            <v>97-1-140</v>
          </cell>
          <cell r="E549" t="str">
            <v>또는 그 화합물질과 수은화합물질을 1% 이상 함유한 혼합물질. 다만 황화제이수은(Mercuric sulfide), 요오드화 제일수은(Mercuric iodide), 오레인산 수은(Mercuric oleate), 아미노 염화 제이수은(Amino mercury(II) chloride), 뇌산제이수은(Mercury(II) fulminate) 및 그 중 하나를 함유한 혼합물질은 제외</v>
          </cell>
          <cell r="F549">
            <v>1</v>
          </cell>
        </row>
        <row r="550">
          <cell r="B550" t="str">
            <v>55-68-5</v>
          </cell>
          <cell r="C550" t="str">
            <v>Phenylmercury nitrate</v>
          </cell>
          <cell r="D550" t="str">
            <v>97-1-140</v>
          </cell>
          <cell r="E550" t="str">
            <v>또는 그 화합물질과 수은화합물질을 1% 이상 함유한 혼합물질. 다만 황화제이수은(Mercuric sulfide), 요오드화 제일수은(Mercuric iodide), 오레인산 수은(Mercuric oleate), 아미노 염화 제이수은(Amino mercury(II) chloride), 뇌산제이수은(Mercury(II) fulminate) 및 그 중 하나를 함유한 혼합물질은 제외</v>
          </cell>
          <cell r="F550">
            <v>1</v>
          </cell>
        </row>
        <row r="551">
          <cell r="B551" t="str">
            <v>592-04-1</v>
          </cell>
          <cell r="C551" t="str">
            <v>Mercury dicyanide</v>
          </cell>
          <cell r="D551" t="str">
            <v>97-1-140</v>
          </cell>
          <cell r="E551" t="str">
            <v>또는 그 화합물질과 수은화합물질을 1% 이상 함유한 혼합물질. 다만 황화제이수은(Mercuric sulfide), 요오드화 제일수은(Mercuric iodide), 오레인산 수은(Mercuric oleate), 아미노 염화 제이수은(Amino mercury(II) chloride), 뇌산제이수은(Mercury(II) fulminate) 및 그 중 하나를 함유한 혼합물질은 제외</v>
          </cell>
          <cell r="F551">
            <v>1</v>
          </cell>
        </row>
        <row r="552">
          <cell r="B552" t="str">
            <v>592-85-8</v>
          </cell>
          <cell r="C552" t="str">
            <v>Mercuric thiocyanate</v>
          </cell>
          <cell r="D552" t="str">
            <v>97-1-140</v>
          </cell>
          <cell r="E552" t="str">
            <v>또는 그 화합물질과 수은화합물질을 1% 이상 함유한 혼합물질. 다만 황화제이수은(Mercuric sulfide), 요오드화 제일수은(Mercuric iodide), 오레인산 수은(Mercuric oleate), 아미노 염화 제이수은(Amino mercury(II) chloride), 뇌산제이수은(Mercury(II) fulminate) 및 그 중 하나를 함유한 혼합물질은 제외</v>
          </cell>
          <cell r="F552">
            <v>1</v>
          </cell>
        </row>
        <row r="553">
          <cell r="B553" t="str">
            <v>62-38-4</v>
          </cell>
          <cell r="C553" t="str">
            <v>Phenylmercury acetate</v>
          </cell>
          <cell r="D553" t="str">
            <v>97-1-140</v>
          </cell>
          <cell r="E553" t="str">
            <v>또는 그 화합물질과 수은화합물질을 1% 이상 함유한 혼합물질. 다만 황화제이수은(Mercuric sulfide), 요오드화 제일수은(Mercuric iodide), 오레인산 수은(Mercuric oleate), 아미노 염화 제이수은(Amino mercury(II) chloride), 뇌산제이수은(Mercury(II) fulminate) 및 그 중 하나를 함유한 혼합물질은 제외</v>
          </cell>
          <cell r="F553">
            <v>1</v>
          </cell>
        </row>
        <row r="554">
          <cell r="B554" t="str">
            <v>631-60-7</v>
          </cell>
          <cell r="C554" t="str">
            <v>Mercurous acetate ; Acetic acid, mercury(1+) salt</v>
          </cell>
          <cell r="D554" t="str">
            <v>97-1-140</v>
          </cell>
          <cell r="E554" t="str">
            <v>또는 그 화합물질과 수은화합물질을 1% 이상 함유한 혼합물질. 다만 황화제이수은(Mercuric sulfide), 요오드화 제일수은(Mercuric iodide), 오레인산 수은(Mercuric oleate), 아미노 염화 제이수은(Amino mercury(II) chloride), 뇌산제이수은(Mercury(II) fulminate) 및 그 중 하나를 함유한 혼합물질은 제외</v>
          </cell>
          <cell r="F554">
            <v>1</v>
          </cell>
        </row>
        <row r="555">
          <cell r="B555" t="str">
            <v>7439-97-6</v>
          </cell>
          <cell r="C555" t="str">
            <v>Mercury</v>
          </cell>
          <cell r="D555" t="str">
            <v>97-1-140</v>
          </cell>
          <cell r="E555" t="str">
            <v>또는 그 화합물질과 수은화합물질을 1% 이상 함유한 혼합물질. 다만 황화제이수은(Mercuric sulfide), 요오드화 제일수은(Mercuric iodide), 오레인산 수은(Mercuric oleate), 아미노 염화 제이수은(Amino mercury(II) chloride), 뇌산제이수은(Mercury(II) fulminate) 및 그 중 하나를 함유한 혼합물질은 제외</v>
          </cell>
          <cell r="F555">
            <v>1</v>
          </cell>
        </row>
        <row r="556">
          <cell r="B556" t="str">
            <v>7487-94-7</v>
          </cell>
          <cell r="C556" t="str">
            <v>Mercury dichloride</v>
          </cell>
          <cell r="D556" t="str">
            <v>97-1-140</v>
          </cell>
          <cell r="E556" t="str">
            <v>또는 그 화합물질과 수은화합물질을 1% 이상 함유한 혼합물질. 다만 황화제이수은(Mercuric sulfide), 요오드화 제일수은(Mercuric iodide), 오레인산 수은(Mercuric oleate), 아미노 염화 제이수은(Amino mercury(II) chloride), 뇌산제이수은(Mercury(II) fulminate) 및 그 중 하나를 함유한 혼합물질은 제외</v>
          </cell>
          <cell r="F556">
            <v>1</v>
          </cell>
        </row>
        <row r="557">
          <cell r="B557" t="str">
            <v>7546-30-7</v>
          </cell>
          <cell r="C557" t="str">
            <v>Mercury chloride</v>
          </cell>
          <cell r="D557" t="str">
            <v>97-1-140</v>
          </cell>
          <cell r="E557" t="str">
            <v>또는 그 화합물질과 수은화합물질을 1% 이상 함유한 혼합물질. 다만 황화제이수은(Mercuric sulfide), 요오드화 제일수은(Mercuric iodide), 오레인산 수은(Mercuric oleate), 아미노 염화 제이수은(Amino mercury(II) chloride), 뇌산제이수은(Mercury(II) fulminate) 및 그 중 하나를 함유한 혼합물질은 제외</v>
          </cell>
          <cell r="F557">
            <v>1</v>
          </cell>
        </row>
        <row r="558">
          <cell r="B558" t="str">
            <v>7616-83-3</v>
          </cell>
          <cell r="C558" t="str">
            <v>Mercury diperchlorate</v>
          </cell>
          <cell r="D558" t="str">
            <v>97-1-140</v>
          </cell>
          <cell r="E558" t="str">
            <v>또는 그 화합물질과 수은화합물질을 1% 이상 함유한 혼합물질. 다만 황화제이수은(Mercuric sulfide), 요오드화 제일수은(Mercuric iodide), 오레인산 수은(Mercuric oleate), 아미노 염화 제이수은(Amino mercury(II) chloride), 뇌산제이수은(Mercury(II) fulminate) 및 그 중 하나를 함유한 혼합물질은 제외</v>
          </cell>
          <cell r="F558">
            <v>1</v>
          </cell>
        </row>
        <row r="559">
          <cell r="B559" t="str">
            <v>7774-29-0</v>
          </cell>
          <cell r="C559" t="str">
            <v>Mercury diiodide</v>
          </cell>
          <cell r="D559" t="str">
            <v>97-1-140</v>
          </cell>
          <cell r="E559" t="str">
            <v>또는 그 화합물질과 수은화합물질을 1% 이상 함유한 혼합물질. 다만 황화제이수은(Mercuric sulfide), 요오드화 제일수은(Mercuric iodide), 오레인산 수은(Mercuric oleate), 아미노 염화 제이수은(Amino mercury(II) chloride), 뇌산제이수은(Mercury(II) fulminate) 및 그 중 하나를 함유한 혼합물질은 제외</v>
          </cell>
          <cell r="F559">
            <v>1</v>
          </cell>
        </row>
        <row r="560">
          <cell r="B560" t="str">
            <v>7782-86-7</v>
          </cell>
          <cell r="C560" t="str">
            <v>Mercurous nitrate monohydrate ; Mercury protonitrate</v>
          </cell>
          <cell r="D560" t="str">
            <v>97-1-140</v>
          </cell>
          <cell r="E560" t="str">
            <v>또는 그 화합물질과 수은화합물질을 1% 이상 함유한 혼합물질. 다만 황화제이수은(Mercuric sulfide), 요오드화 제일수은(Mercuric iodide), 오레인산 수은(Mercuric oleate), 아미노 염화 제이수은(Amino mercury(II) chloride), 뇌산제이수은(Mercury(II) fulminate) 및 그 중 하나를 함유한 혼합물질은 제외</v>
          </cell>
          <cell r="F560">
            <v>1</v>
          </cell>
        </row>
        <row r="561">
          <cell r="B561" t="str">
            <v>7783-32-6</v>
          </cell>
          <cell r="C561" t="str">
            <v>Mercury diiodate</v>
          </cell>
          <cell r="D561" t="str">
            <v>97-1-140</v>
          </cell>
          <cell r="E561" t="str">
            <v>또는 그 화합물질과 수은화합물질을 1% 이상 함유한 혼합물질. 다만 황화제이수은(Mercuric sulfide), 요오드화 제일수은(Mercuric iodide), 오레인산 수은(Mercuric oleate), 아미노 염화 제이수은(Amino mercury(II) chloride), 뇌산제이수은(Mercury(II) fulminate) 및 그 중 하나를 함유한 혼합물질은 제외</v>
          </cell>
          <cell r="F561">
            <v>1</v>
          </cell>
        </row>
        <row r="562">
          <cell r="B562" t="str">
            <v>7783-33-7</v>
          </cell>
          <cell r="C562" t="str">
            <v>Dipotassium tetraiodomercurate</v>
          </cell>
          <cell r="D562" t="str">
            <v>97-1-140</v>
          </cell>
          <cell r="E562" t="str">
            <v>또는 그 화합물질과 수은화합물질을 1% 이상 함유한 혼합물질. 다만 황화제이수은(Mercuric sulfide), 요오드화 제일수은(Mercuric iodide), 오레인산 수은(Mercuric oleate), 아미노 염화 제이수은(Amino mercury(II) chloride), 뇌산제이수은(Mercury(II) fulminate) 및 그 중 하나를 함유한 혼합물질은 제외</v>
          </cell>
          <cell r="F562">
            <v>1</v>
          </cell>
        </row>
        <row r="563">
          <cell r="B563" t="str">
            <v>7783-34-8</v>
          </cell>
          <cell r="C563" t="str">
            <v>Mercury nitrate monohydrate</v>
          </cell>
          <cell r="D563" t="str">
            <v>97-1-140</v>
          </cell>
          <cell r="E563" t="str">
            <v>또는 그 화합물질과 수은화합물질을 1% 이상 함유한 혼합물질. 다만 황화제이수은(Mercuric sulfide), 요오드화 제일수은(Mercuric iodide), 오레인산 수은(Mercuric oleate), 아미노 염화 제이수은(Amino mercury(II) chloride), 뇌산제이수은(Mercury(II) fulminate) 및 그 중 하나를 함유한 혼합물질은 제외</v>
          </cell>
          <cell r="F563">
            <v>1</v>
          </cell>
        </row>
        <row r="564">
          <cell r="B564" t="str">
            <v>7783-35-9</v>
          </cell>
          <cell r="C564" t="str">
            <v>Mercury sulfate</v>
          </cell>
          <cell r="D564" t="str">
            <v>97-1-140</v>
          </cell>
          <cell r="E564" t="str">
            <v>또는 그 화합물질과 수은화합물질을 1% 이상 함유한 혼합물질. 다만 황화제이수은(Mercuric sulfide), 요오드화 제일수은(Mercuric iodide), 오레인산 수은(Mercuric oleate), 아미노 염화 제이수은(Amino mercury(II) chloride), 뇌산제이수은(Mercury(II) fulminate) 및 그 중 하나를 함유한 혼합물질은 제외</v>
          </cell>
          <cell r="F564">
            <v>1</v>
          </cell>
        </row>
        <row r="565">
          <cell r="B565" t="str">
            <v>7783-36-0</v>
          </cell>
          <cell r="C565" t="str">
            <v>Dimercury sulfate</v>
          </cell>
          <cell r="D565" t="str">
            <v>97-1-140</v>
          </cell>
          <cell r="E565" t="str">
            <v>또는 그 화합물질과 수은화합물질을 1% 이상 함유한 혼합물질. 다만 황화제이수은(Mercuric sulfide), 요오드화 제일수은(Mercuric iodide), 오레인산 수은(Mercuric oleate), 아미노 염화 제이수은(Amino mercury(II) chloride), 뇌산제이수은(Mercury(II) fulminate) 및 그 중 하나를 함유한 혼합물질은 제외</v>
          </cell>
          <cell r="F565">
            <v>1</v>
          </cell>
        </row>
        <row r="566">
          <cell r="B566" t="str">
            <v>7783-39-3</v>
          </cell>
          <cell r="C566" t="str">
            <v>Mercury difluoride</v>
          </cell>
          <cell r="D566" t="str">
            <v>97-1-140</v>
          </cell>
          <cell r="E566" t="str">
            <v>또는 그 화합물질과 수은화합물질을 1% 이상 함유한 혼합물질. 다만 황화제이수은(Mercuric sulfide), 요오드화 제일수은(Mercuric iodide), 오레인산 수은(Mercuric oleate), 아미노 염화 제이수은(Amino mercury(II) chloride), 뇌산제이수은(Mercury(II) fulminate) 및 그 중 하나를 함유한 혼합물질은 제외</v>
          </cell>
          <cell r="F566">
            <v>1</v>
          </cell>
        </row>
        <row r="567">
          <cell r="B567" t="str">
            <v>7784-03-4</v>
          </cell>
          <cell r="C567" t="str">
            <v>Mercury disilver tetraiodide</v>
          </cell>
          <cell r="D567" t="str">
            <v>97-1-140</v>
          </cell>
          <cell r="E567" t="str">
            <v>또는 그 화합물질과 수은화합물질을 1% 이상 함유한 혼합물질. 다만 황화제이수은(Mercuric sulfide), 요오드화 제일수은(Mercuric iodide), 오레인산 수은(Mercuric oleate), 아미노 염화 제이수은(Amino mercury(II) chloride), 뇌산제이수은(Mercury(II) fulminate) 및 그 중 하나를 함유한 혼합물질은 제외</v>
          </cell>
          <cell r="F567">
            <v>1</v>
          </cell>
        </row>
        <row r="568">
          <cell r="B568" t="str">
            <v>7789-47-1</v>
          </cell>
          <cell r="C568" t="str">
            <v>Mercury dibromide</v>
          </cell>
          <cell r="D568" t="str">
            <v>97-1-140</v>
          </cell>
          <cell r="E568" t="str">
            <v>또는 그 화합물질과 수은화합물질을 1% 이상 함유한 혼합물질. 다만 황화제이수은(Mercuric sulfide), 요오드화 제일수은(Mercuric iodide), 오레인산 수은(Mercuric oleate), 아미노 염화 제이수은(Amino mercury(II) chloride), 뇌산제이수은(Mercury(II) fulminate) 및 그 중 하나를 함유한 혼합물질은 제외</v>
          </cell>
          <cell r="F568">
            <v>1</v>
          </cell>
        </row>
        <row r="569">
          <cell r="C569" t="str">
            <v>Mercury compounds</v>
          </cell>
          <cell r="D569" t="str">
            <v>97-1-140</v>
          </cell>
          <cell r="E569" t="str">
            <v>또는 그 화합물질과 수은화합물질을 1% 이상 함유한 혼합물질. 다만 황화제이수은(Mercuric sulfide), 요오드화 제일수은(Mercuric iodide), 오레인산 수은(Mercuric oleate), 아미노 염화 제이수은(Amino mercury(II) chloride), 뇌산제이수은(Mercury(II) fulminate) 및 그 중 하나를 함유한 혼합물질은 제외</v>
          </cell>
          <cell r="F569">
            <v>1</v>
          </cell>
        </row>
        <row r="570">
          <cell r="C570" t="str">
            <v>Methylmercury compounds</v>
          </cell>
          <cell r="D570" t="str">
            <v>97-1-140</v>
          </cell>
          <cell r="E570" t="str">
            <v>또는 그 화합물질과 수은화합물질을 1% 이상 함유한 혼합물질. 다만 황화제이수은(Mercuric sulfide), 요오드화 제일수은(Mercuric iodide), 오레인산 수은(Mercuric oleate), 아미노 염화 제이수은(Amino mercury(II) chloride), 뇌산제이수은(Mercury(II) fulminate) 및 그 중 하나를 함유한 혼합물질은 제외</v>
          </cell>
          <cell r="F570">
            <v>1</v>
          </cell>
        </row>
        <row r="571">
          <cell r="C571" t="str">
            <v>Phenylmercuric triethanol ammonium borate</v>
          </cell>
          <cell r="D571" t="str">
            <v>97-1-140</v>
          </cell>
          <cell r="E571" t="str">
            <v>또는 그 화합물질과 수은화합물질을 1% 이상 함유한 혼합물질. 다만 황화제이수은(Mercuric sulfide), 요오드화 제일수은(Mercuric iodide), 오레인산 수은(Mercuric oleate), 아미노 염화 제이수은(Amino mercury(II) chloride), 뇌산제이수은(Mercury(II) fulminate) 및 그 중 하나를 함유한 혼합물질은 제외</v>
          </cell>
          <cell r="F571">
            <v>1</v>
          </cell>
        </row>
        <row r="572">
          <cell r="B572" t="str">
            <v>3689-24-5</v>
          </cell>
          <cell r="C572" t="str">
            <v>Sulfotep</v>
          </cell>
          <cell r="D572" t="str">
            <v>97-1-141</v>
          </cell>
          <cell r="E572" t="str">
            <v>및 이를 1% 이상 함유한 혼합물질</v>
          </cell>
          <cell r="F572">
            <v>1</v>
          </cell>
        </row>
        <row r="573">
          <cell r="B573" t="str">
            <v>35400-43-2</v>
          </cell>
          <cell r="C573" t="str">
            <v>O-Ethyl O-(4-methylthiophenyl) S-propyl dithiophosphate ; Sulprofos</v>
          </cell>
          <cell r="D573" t="str">
            <v>97-1-142</v>
          </cell>
          <cell r="E573" t="str">
            <v>및 이를 3% 이상 함유한 혼합물질</v>
          </cell>
          <cell r="F573">
            <v>3</v>
          </cell>
        </row>
        <row r="574">
          <cell r="B574" t="str">
            <v>152-16-9</v>
          </cell>
          <cell r="C574" t="str">
            <v>Schradan</v>
          </cell>
          <cell r="D574" t="str">
            <v>97-1-143</v>
          </cell>
          <cell r="E574" t="str">
            <v>및 이를 1% 이상 함유한 혼합물질</v>
          </cell>
          <cell r="F574">
            <v>1</v>
          </cell>
        </row>
        <row r="575">
          <cell r="B575" t="str">
            <v>57-24-9</v>
          </cell>
          <cell r="C575" t="str">
            <v>Strychnine</v>
          </cell>
          <cell r="D575" t="str">
            <v>97-1-144</v>
          </cell>
          <cell r="E575" t="str">
            <v>및 그 중 하나를 1% 이상 함유한 혼합물질</v>
          </cell>
          <cell r="F575">
            <v>1</v>
          </cell>
        </row>
        <row r="576">
          <cell r="C576" t="str">
            <v>Strychnine, salts</v>
          </cell>
          <cell r="D576" t="str">
            <v>97-1-144</v>
          </cell>
          <cell r="E576" t="str">
            <v>및 그 중 하나를 1% 이상 함유한 혼합물질</v>
          </cell>
          <cell r="F576">
            <v>1</v>
          </cell>
        </row>
        <row r="577">
          <cell r="B577" t="str">
            <v>420-04-2</v>
          </cell>
          <cell r="C577" t="str">
            <v>Cyanamide</v>
          </cell>
          <cell r="D577" t="str">
            <v>97-1-145</v>
          </cell>
          <cell r="E577" t="str">
            <v>및 이를 25% 이상 함유한 혼합물질</v>
          </cell>
          <cell r="F577">
            <v>25</v>
          </cell>
        </row>
        <row r="578">
          <cell r="B578" t="str">
            <v>121-82-4</v>
          </cell>
          <cell r="C578" t="str">
            <v>Trimethylenetrinitramine</v>
          </cell>
          <cell r="D578" t="str">
            <v>97-1-146</v>
          </cell>
          <cell r="E578" t="str">
            <v>및 이를 1% 이상 함유한 혼합물질</v>
          </cell>
          <cell r="F578">
            <v>1</v>
          </cell>
        </row>
        <row r="579">
          <cell r="B579" t="str">
            <v>66-81-9</v>
          </cell>
          <cell r="C579" t="str">
            <v>Cycloheximide</v>
          </cell>
          <cell r="D579" t="str">
            <v>97-1-147</v>
          </cell>
          <cell r="E579" t="str">
            <v>및 이를 0.2% 이상 함유한 혼합물질</v>
          </cell>
          <cell r="F579">
            <v>0.2</v>
          </cell>
        </row>
        <row r="580">
          <cell r="B580" t="str">
            <v>108-91-8</v>
          </cell>
          <cell r="C580" t="str">
            <v>Cyclohexylamine</v>
          </cell>
          <cell r="D580" t="str">
            <v>97-1-148</v>
          </cell>
          <cell r="E580" t="str">
            <v>및 이를 25% 이상 함유한 혼합물질</v>
          </cell>
          <cell r="F580">
            <v>25</v>
          </cell>
        </row>
        <row r="581">
          <cell r="B581" t="str">
            <v>115-93-5</v>
          </cell>
          <cell r="C581" t="str">
            <v>Cythioate</v>
          </cell>
          <cell r="D581" t="str">
            <v>97-1-149</v>
          </cell>
          <cell r="E581" t="str">
            <v>및 이를 1% 이상 함유한 혼합물질</v>
          </cell>
          <cell r="F581">
            <v>1</v>
          </cell>
        </row>
        <row r="582">
          <cell r="B582" t="str">
            <v>80060-09-9</v>
          </cell>
          <cell r="C582" t="str">
            <v>Diafenthiuron</v>
          </cell>
          <cell r="D582" t="str">
            <v>97-1-15</v>
          </cell>
          <cell r="E582" t="str">
            <v>및 이를 25% 이상 함유한 혼합물질</v>
          </cell>
          <cell r="F582">
            <v>25</v>
          </cell>
        </row>
        <row r="583">
          <cell r="B583" t="str">
            <v>121552-61-2</v>
          </cell>
          <cell r="C583" t="str">
            <v>Cyprodinil</v>
          </cell>
          <cell r="D583" t="str">
            <v>97-1-150</v>
          </cell>
          <cell r="E583" t="str">
            <v>및 이를 25% 이상 함유한 혼합물질</v>
          </cell>
          <cell r="F583">
            <v>25</v>
          </cell>
        </row>
        <row r="584">
          <cell r="B584" t="str">
            <v>69581-33-5</v>
          </cell>
          <cell r="C584" t="str">
            <v>Cyprofuram</v>
          </cell>
          <cell r="D584" t="str">
            <v>97-1-151</v>
          </cell>
          <cell r="E584" t="str">
            <v>및 이를 1% 이상 함유한 혼합물질</v>
          </cell>
          <cell r="F584">
            <v>1</v>
          </cell>
        </row>
        <row r="585">
          <cell r="B585" t="str">
            <v>68359-37-5</v>
          </cell>
          <cell r="C585" t="str">
            <v>α-cyano-4-fluoro-3-phenoxybenzyl 3-(2,2-dichlorovinyl)-2,2-dimethylcyclopropanecarboxylate ; Cyfluthrin, Baythroid, Cyfoxylate</v>
          </cell>
          <cell r="D585" t="str">
            <v>97-1-152</v>
          </cell>
          <cell r="E585" t="str">
            <v>및 이를 0.5% 이상 함유한 혼합물질</v>
          </cell>
          <cell r="F585">
            <v>0.5</v>
          </cell>
        </row>
        <row r="586">
          <cell r="B586" t="str">
            <v>68085-85-8</v>
          </cell>
          <cell r="C586" t="str">
            <v>3-(2-Chloro-3,3,3-trifluoro-1-propenyl)-2,2-dimethylcyclopropanecarboxylic acid cyano(3-phenoxyphenyl)methyl ester ; Cyhalothrin, Grenade</v>
          </cell>
          <cell r="D586" t="str">
            <v>97-1-153</v>
          </cell>
          <cell r="E586" t="str">
            <v>및 이를 1.0% 이상 함유한 혼합물질</v>
          </cell>
          <cell r="F586">
            <v>1</v>
          </cell>
        </row>
        <row r="587">
          <cell r="B587" t="str">
            <v>13121-70-5</v>
          </cell>
          <cell r="C587" t="str">
            <v>Cyhexatin</v>
          </cell>
          <cell r="D587" t="str">
            <v>97-1-154</v>
          </cell>
          <cell r="E587" t="str">
            <v>및 이를 5% 이상 함유한 혼합물질</v>
          </cell>
          <cell r="F587">
            <v>5</v>
          </cell>
        </row>
        <row r="588">
          <cell r="B588" t="str">
            <v>13078-04-1</v>
          </cell>
          <cell r="C588" t="str">
            <v>Anabasin</v>
          </cell>
          <cell r="D588" t="str">
            <v>97-1-155</v>
          </cell>
          <cell r="E588" t="str">
            <v>및 그 중 하나를 1% 이상 함유한 혼합물질</v>
          </cell>
          <cell r="F588">
            <v>1</v>
          </cell>
        </row>
        <row r="589">
          <cell r="B589" t="str">
            <v>494-52-0</v>
          </cell>
          <cell r="C589" t="str">
            <v>Anabasin</v>
          </cell>
          <cell r="D589" t="str">
            <v>97-1-155</v>
          </cell>
          <cell r="E589" t="str">
            <v>및 그 중 하나를 1% 이상 함유한 혼합물질</v>
          </cell>
          <cell r="F589">
            <v>1</v>
          </cell>
        </row>
        <row r="590">
          <cell r="C590" t="str">
            <v>Anabasin, salts</v>
          </cell>
          <cell r="D590" t="str">
            <v>97-1-155</v>
          </cell>
          <cell r="E590" t="str">
            <v>및 그 중 하나를 1% 이상 함유한 혼합물질</v>
          </cell>
          <cell r="F590">
            <v>1</v>
          </cell>
        </row>
        <row r="591">
          <cell r="B591" t="str">
            <v>142-04-1</v>
          </cell>
          <cell r="C591" t="str">
            <v>Aniline chloride ; Benzenamine, hydrochloride</v>
          </cell>
          <cell r="D591" t="str">
            <v>97-1-156</v>
          </cell>
          <cell r="E591" t="str">
            <v>및 그 염류를 25% 이상 함유한 혼합물질</v>
          </cell>
          <cell r="F591">
            <v>25</v>
          </cell>
        </row>
        <row r="592">
          <cell r="B592" t="str">
            <v>2424-53-5</v>
          </cell>
          <cell r="C592" t="str">
            <v>Aniline sulfate (1:1)</v>
          </cell>
          <cell r="D592" t="str">
            <v>97-1-156</v>
          </cell>
          <cell r="E592" t="str">
            <v>및 그 염류를 25% 이상 함유한 혼합물질</v>
          </cell>
          <cell r="F592">
            <v>25</v>
          </cell>
        </row>
        <row r="593">
          <cell r="B593" t="str">
            <v>62-53-3</v>
          </cell>
          <cell r="C593" t="str">
            <v>Aniline</v>
          </cell>
          <cell r="D593" t="str">
            <v>97-1-156</v>
          </cell>
          <cell r="E593" t="str">
            <v>및 그 염류를 25% 이상 함유한 혼합물질</v>
          </cell>
          <cell r="F593">
            <v>25</v>
          </cell>
        </row>
        <row r="594">
          <cell r="C594" t="str">
            <v>Aniline, salts</v>
          </cell>
          <cell r="D594" t="str">
            <v>97-1-156</v>
          </cell>
          <cell r="E594" t="str">
            <v>및 그 염류를 25% 이상 함유한 혼합물질</v>
          </cell>
          <cell r="F594">
            <v>25</v>
          </cell>
        </row>
        <row r="595">
          <cell r="B595" t="str">
            <v>2032-59-9</v>
          </cell>
          <cell r="C595" t="str">
            <v>Aminocarb</v>
          </cell>
          <cell r="D595" t="str">
            <v>97-1-157</v>
          </cell>
          <cell r="E595" t="str">
            <v>및 이를 1% 이상 함유한 혼합물질</v>
          </cell>
          <cell r="F595">
            <v>1</v>
          </cell>
        </row>
        <row r="596">
          <cell r="B596" t="str">
            <v>54381-26-9</v>
          </cell>
          <cell r="C596" t="str">
            <v>Amidothioate</v>
          </cell>
          <cell r="D596" t="str">
            <v>97-1-158</v>
          </cell>
          <cell r="E596" t="str">
            <v>및 이를 1% 이상 함유한 혼합물질</v>
          </cell>
          <cell r="F596">
            <v>1</v>
          </cell>
        </row>
        <row r="597">
          <cell r="B597" t="str">
            <v>78-53-5</v>
          </cell>
          <cell r="C597" t="str">
            <v>Amiton</v>
          </cell>
          <cell r="D597" t="str">
            <v>97-1-159</v>
          </cell>
          <cell r="E597" t="str">
            <v>및 그 중 하나를 1% 이상 함유한 혼합물질</v>
          </cell>
          <cell r="F597">
            <v>1</v>
          </cell>
        </row>
        <row r="598">
          <cell r="B598" t="str">
            <v>10311-84-9</v>
          </cell>
          <cell r="C598" t="str">
            <v>Dialifos</v>
          </cell>
          <cell r="D598" t="str">
            <v>97-1-16</v>
          </cell>
          <cell r="E598" t="str">
            <v>및 이를 1% 이상 함유한 혼합물질</v>
          </cell>
          <cell r="F598">
            <v>1</v>
          </cell>
        </row>
        <row r="599">
          <cell r="B599" t="str">
            <v>2813-95-8</v>
          </cell>
          <cell r="C599" t="str">
            <v>Dinoseb acetate</v>
          </cell>
          <cell r="D599" t="str">
            <v>97-1-160</v>
          </cell>
          <cell r="E599" t="str">
            <v>및 이를 1% 이상 함유한 혼합물질</v>
          </cell>
          <cell r="F599">
            <v>1</v>
          </cell>
        </row>
        <row r="600">
          <cell r="B600" t="str">
            <v>141-78-6</v>
          </cell>
          <cell r="C600" t="str">
            <v>Acetic acid ethyl ester ; Ethyl acetate</v>
          </cell>
          <cell r="D600" t="str">
            <v>97-1-161</v>
          </cell>
          <cell r="E600" t="str">
            <v>및 이를 85% 이상 함유한 혼합물질</v>
          </cell>
          <cell r="F600">
            <v>85</v>
          </cell>
        </row>
        <row r="601">
          <cell r="B601" t="str">
            <v>563-68-8</v>
          </cell>
          <cell r="C601" t="str">
            <v>Thallium acetate</v>
          </cell>
          <cell r="D601" t="str">
            <v>97-1-162</v>
          </cell>
          <cell r="E601" t="str">
            <v>및 이를 1% 이상 함유한 혼합물질</v>
          </cell>
          <cell r="F601">
            <v>1</v>
          </cell>
        </row>
        <row r="602">
          <cell r="B602" t="str">
            <v>7758-19-2</v>
          </cell>
          <cell r="C602" t="str">
            <v>Sodium chlorite</v>
          </cell>
          <cell r="D602" t="str">
            <v>97-1-163</v>
          </cell>
          <cell r="E602" t="str">
            <v>및 이를 25% 이상 함유한 혼합물질</v>
          </cell>
          <cell r="F602">
            <v>25</v>
          </cell>
        </row>
        <row r="603">
          <cell r="B603" t="str">
            <v>41083-11-8</v>
          </cell>
          <cell r="C603" t="str">
            <v>Azocyclotin</v>
          </cell>
          <cell r="D603" t="str">
            <v>97-1-164</v>
          </cell>
          <cell r="E603" t="str">
            <v>및 이를 1% 이상 함유한 혼합물질</v>
          </cell>
          <cell r="F603">
            <v>1</v>
          </cell>
        </row>
        <row r="604">
          <cell r="B604" t="str">
            <v>26628-22-8</v>
          </cell>
          <cell r="C604" t="str">
            <v>Sodium azide</v>
          </cell>
          <cell r="D604" t="str">
            <v>97-1-165</v>
          </cell>
          <cell r="E604" t="str">
            <v>및 이를 1.0% 이상 함유한 혼합물질</v>
          </cell>
          <cell r="F604">
            <v>1</v>
          </cell>
        </row>
        <row r="605">
          <cell r="B605" t="str">
            <v>86-50-0</v>
          </cell>
          <cell r="C605" t="str">
            <v>O,O-Dimethyl S-[(4-oxo-1,2,3-benzotriazin-3(4H)-yl)methyl]phosphorodithioate ; Azinphos-methyl</v>
          </cell>
          <cell r="D605" t="str">
            <v>97-1-166</v>
          </cell>
          <cell r="E605" t="str">
            <v>및 이를 1% 이상 함유한 혼합물질</v>
          </cell>
          <cell r="F605">
            <v>1</v>
          </cell>
        </row>
        <row r="606">
          <cell r="B606" t="str">
            <v>13138-45-9</v>
          </cell>
          <cell r="C606" t="str">
            <v>Nickel dinitriate</v>
          </cell>
          <cell r="D606" t="str">
            <v>97-1-167</v>
          </cell>
          <cell r="E606" t="str">
            <v>및 이를 25% 이상 함유한 혼합물질</v>
          </cell>
          <cell r="F606">
            <v>25</v>
          </cell>
        </row>
        <row r="607">
          <cell r="B607" t="str">
            <v>13446-48-5</v>
          </cell>
          <cell r="C607" t="str">
            <v>Ammonium nitrite</v>
          </cell>
          <cell r="D607" t="str">
            <v>97-1-167</v>
          </cell>
          <cell r="E607" t="str">
            <v>및 이를 25% 이상 함유한 혼합물질</v>
          </cell>
          <cell r="F607">
            <v>25</v>
          </cell>
        </row>
        <row r="608">
          <cell r="B608" t="str">
            <v>13465-94-6</v>
          </cell>
          <cell r="C608" t="str">
            <v>Nitrous acid, barium salt</v>
          </cell>
          <cell r="D608" t="str">
            <v>97-1-167</v>
          </cell>
          <cell r="E608" t="str">
            <v>및 이를 25% 이상 함유한 혼합물질</v>
          </cell>
          <cell r="F608">
            <v>25</v>
          </cell>
        </row>
        <row r="609">
          <cell r="B609" t="str">
            <v>13470-06-9</v>
          </cell>
          <cell r="C609" t="str">
            <v>Strontium nitrite</v>
          </cell>
          <cell r="D609" t="str">
            <v>97-1-167</v>
          </cell>
          <cell r="E609" t="str">
            <v>및 이를 25% 이상 함유한 혼합물질</v>
          </cell>
          <cell r="F609">
            <v>25</v>
          </cell>
        </row>
        <row r="610">
          <cell r="B610" t="str">
            <v>13568-33-7</v>
          </cell>
          <cell r="C610" t="str">
            <v>Lithium nitrite</v>
          </cell>
          <cell r="D610" t="str">
            <v>97-1-167</v>
          </cell>
          <cell r="E610" t="str">
            <v>및 이를 25% 이상 함유한 혼합물질</v>
          </cell>
          <cell r="F610">
            <v>25</v>
          </cell>
        </row>
        <row r="611">
          <cell r="B611" t="str">
            <v>13780-06-8</v>
          </cell>
          <cell r="C611" t="str">
            <v>Calcium nitrite</v>
          </cell>
          <cell r="D611" t="str">
            <v>97-1-167</v>
          </cell>
          <cell r="E611" t="str">
            <v>및 이를 25% 이상 함유한 혼합물질</v>
          </cell>
          <cell r="F611">
            <v>25</v>
          </cell>
        </row>
        <row r="612">
          <cell r="B612" t="str">
            <v>13826-65-8</v>
          </cell>
          <cell r="C612" t="str">
            <v>Nitrous acid, lead(2+) salt</v>
          </cell>
          <cell r="D612" t="str">
            <v>97-1-167</v>
          </cell>
          <cell r="E612" t="str">
            <v>및 이를 25% 이상 함유한 혼합물질</v>
          </cell>
          <cell r="F612">
            <v>25</v>
          </cell>
        </row>
        <row r="613">
          <cell r="B613" t="str">
            <v>14216-75-2</v>
          </cell>
          <cell r="C613" t="str">
            <v>Nitric acid nickel salt</v>
          </cell>
          <cell r="D613" t="str">
            <v>97-1-167</v>
          </cell>
          <cell r="E613" t="str">
            <v>및 이를 25% 이상 함유한 혼합물질</v>
          </cell>
          <cell r="F613">
            <v>25</v>
          </cell>
        </row>
        <row r="614">
          <cell r="B614" t="str">
            <v>14984-71-5</v>
          </cell>
          <cell r="C614" t="str">
            <v>Nitrous acid, copper(2+) salt</v>
          </cell>
          <cell r="D614" t="str">
            <v>97-1-167</v>
          </cell>
          <cell r="E614" t="str">
            <v>및 이를 25% 이상 함유한 혼합물질</v>
          </cell>
          <cell r="F614">
            <v>25</v>
          </cell>
        </row>
        <row r="615">
          <cell r="B615" t="str">
            <v>7632-00-0</v>
          </cell>
          <cell r="C615" t="str">
            <v>Sodium nitrite</v>
          </cell>
          <cell r="D615" t="str">
            <v>97-1-167</v>
          </cell>
          <cell r="E615" t="str">
            <v>및 이를 25% 이상 함유한 혼합물질</v>
          </cell>
          <cell r="F615">
            <v>25</v>
          </cell>
        </row>
        <row r="616">
          <cell r="B616" t="str">
            <v>7758-09-0</v>
          </cell>
          <cell r="C616" t="str">
            <v>Potassium nitrite</v>
          </cell>
          <cell r="D616" t="str">
            <v>97-1-167</v>
          </cell>
          <cell r="E616" t="str">
            <v>및 이를 25% 이상 함유한 혼합물질</v>
          </cell>
          <cell r="F616">
            <v>25</v>
          </cell>
        </row>
        <row r="617">
          <cell r="B617" t="str">
            <v>7783-99-5</v>
          </cell>
          <cell r="C617" t="str">
            <v>Silver nitrite</v>
          </cell>
          <cell r="D617" t="str">
            <v>97-1-167</v>
          </cell>
          <cell r="E617" t="str">
            <v>및 이를 25% 이상 함유한 혼합물질</v>
          </cell>
          <cell r="F617">
            <v>25</v>
          </cell>
        </row>
        <row r="618">
          <cell r="B618" t="str">
            <v>7790-83-2</v>
          </cell>
          <cell r="C618" t="str">
            <v>Cadmium dinitrite</v>
          </cell>
          <cell r="D618" t="str">
            <v>97-1-167</v>
          </cell>
          <cell r="E618" t="str">
            <v>및 이를 25% 이상 함유한 혼합물질</v>
          </cell>
          <cell r="F618">
            <v>25</v>
          </cell>
        </row>
        <row r="619">
          <cell r="C619" t="str">
            <v>Nitrous acid, salts</v>
          </cell>
          <cell r="D619" t="str">
            <v>97-1-167</v>
          </cell>
          <cell r="E619" t="str">
            <v>및 이를 25% 이상 함유한 혼합물질</v>
          </cell>
          <cell r="F619">
            <v>25</v>
          </cell>
        </row>
        <row r="620">
          <cell r="B620" t="str">
            <v>107-02-8</v>
          </cell>
          <cell r="C620" t="str">
            <v>2-Propenal ; Acrolein</v>
          </cell>
          <cell r="D620" t="str">
            <v>97-1-168</v>
          </cell>
          <cell r="E620" t="str">
            <v>및 이를 1.0% 이상 함유한 혼합물질</v>
          </cell>
          <cell r="F620">
            <v>1</v>
          </cell>
        </row>
        <row r="621">
          <cell r="B621" t="str">
            <v>101007-06-1</v>
          </cell>
          <cell r="C621" t="str">
            <v>Acrinathrin</v>
          </cell>
          <cell r="D621" t="str">
            <v>97-1-169</v>
          </cell>
          <cell r="E621" t="str">
            <v>및 이를 25% 이상 함유한 혼합물질</v>
          </cell>
          <cell r="F621">
            <v>25</v>
          </cell>
        </row>
        <row r="622">
          <cell r="B622" t="str">
            <v>31512-74-0</v>
          </cell>
          <cell r="C622" t="str">
            <v>WSCP</v>
          </cell>
          <cell r="D622" t="str">
            <v>97-1-17</v>
          </cell>
          <cell r="E622" t="str">
            <v>및 이를 1% 이상 함유한 혼합물질</v>
          </cell>
          <cell r="F622">
            <v>1</v>
          </cell>
        </row>
        <row r="623">
          <cell r="B623" t="str">
            <v>107-13-1</v>
          </cell>
          <cell r="C623" t="str">
            <v>2-Propenenitrile ; Acrylonitrile, Cyanoethylene</v>
          </cell>
          <cell r="D623" t="str">
            <v>97-1-170</v>
          </cell>
          <cell r="E623" t="str">
            <v>및 이를 0.1% 이상 함유한 혼합물질</v>
          </cell>
          <cell r="F623">
            <v>0.1</v>
          </cell>
        </row>
        <row r="624">
          <cell r="B624" t="str">
            <v>79-06-1</v>
          </cell>
          <cell r="C624" t="str">
            <v>2-Propenamide ; Acrylamide</v>
          </cell>
          <cell r="D624" t="str">
            <v>97-1-171</v>
          </cell>
          <cell r="E624" t="str">
            <v>및 이를 0.1% 이상 함유한 혼합물질</v>
          </cell>
          <cell r="F624">
            <v>0.1</v>
          </cell>
        </row>
        <row r="625">
          <cell r="B625" t="str">
            <v>545-55-1</v>
          </cell>
          <cell r="C625" t="str">
            <v>Aphoxide</v>
          </cell>
          <cell r="D625" t="str">
            <v>97-1-172</v>
          </cell>
          <cell r="E625" t="str">
            <v>및 이를 1% 이상 함유한 혼합물질</v>
          </cell>
          <cell r="F625">
            <v>1</v>
          </cell>
        </row>
        <row r="626">
          <cell r="B626" t="str">
            <v>52-46-0</v>
          </cell>
          <cell r="C626" t="str">
            <v>Apholate</v>
          </cell>
          <cell r="D626" t="str">
            <v>97-1-173</v>
          </cell>
          <cell r="E626" t="str">
            <v>및 이를 1% 이상 함유한 혼합물질</v>
          </cell>
          <cell r="F626">
            <v>1</v>
          </cell>
        </row>
        <row r="627">
          <cell r="B627" t="str">
            <v>5827-05-4</v>
          </cell>
          <cell r="C627" t="str">
            <v>Aphidan</v>
          </cell>
          <cell r="D627" t="str">
            <v>97-1-174</v>
          </cell>
          <cell r="E627" t="str">
            <v>및 이를 5% 이상 함유한 혼합물질</v>
          </cell>
          <cell r="F627">
            <v>5</v>
          </cell>
        </row>
        <row r="628">
          <cell r="B628" t="str">
            <v>86-88-4</v>
          </cell>
          <cell r="C628" t="str">
            <v>Antu</v>
          </cell>
          <cell r="D628" t="str">
            <v>97-1-175</v>
          </cell>
          <cell r="E628" t="str">
            <v>및 이를 1% 이상 함유한 혼합물질</v>
          </cell>
          <cell r="F628">
            <v>1</v>
          </cell>
        </row>
        <row r="629">
          <cell r="B629" t="str">
            <v>10025-91-9</v>
          </cell>
          <cell r="C629" t="str">
            <v>Antimony trichloride</v>
          </cell>
          <cell r="D629" t="str">
            <v>97-1-176</v>
          </cell>
          <cell r="E629" t="str">
            <v>무기 안티몬 화합물질[Inorganic antimony compounds] 및 이를 1% 이상 함유한 혼합물질. 다만, 산화 안티몬(Antimony(Ⅴ) pentoxide, Antimony(Ⅳ) tetroxide), 황화안티몬(Antimony(Ⅴ) pentasulfide, Antimony(Ⅲ) trisulfide), 안티몬산(HSbO3) 염류(Antimonic(Ⅴ) acid, salts), 피그먼트 브라운 24(C.I. Pigment Brown 24), 피그먼트 옐로우 53 (C.I. Pigment Yellow 53) 및 이를 함유한 혼합물질과 산화안티몬(Antimony(Ⅲ) trioxide)을 함유한 혼합물질은 제외</v>
          </cell>
          <cell r="F629">
            <v>1</v>
          </cell>
        </row>
        <row r="630">
          <cell r="B630" t="str">
            <v>102110-60-1</v>
          </cell>
          <cell r="C630" t="str">
            <v>Slimes and Sludges, battery scrap, antimony- and lead-rich</v>
          </cell>
          <cell r="D630" t="str">
            <v>97-1-176</v>
          </cell>
          <cell r="E630" t="str">
            <v>무기 안티몬 화합물질[Inorganic antimony compounds] 및 이를 1% 이상 함유한 혼합물질. 다만, 산화 안티몬(Antimony(Ⅴ) pentoxide, Antimony(Ⅳ) tetroxide), 황화안티몬(Antimony(Ⅴ) pentasulfide, Antimony(Ⅲ) trisulfide), 안티몬산(HSbO3) 염류(Antimonic(Ⅴ) acid, salts), 피그먼트 브라운 24(C.I. Pigment Brown 24), 피그먼트 옐로우 53 (C.I. Pigment Yellow 53) 및 이를 함유한 혼합물질과 산화안티몬(Antimony(Ⅲ) trioxide)을 함유한 혼합물질은 제외</v>
          </cell>
          <cell r="F630">
            <v>1</v>
          </cell>
        </row>
        <row r="631">
          <cell r="B631" t="str">
            <v>12014-29-8</v>
          </cell>
          <cell r="C631" t="str">
            <v>Antimony compound with cadmium (2:3)</v>
          </cell>
          <cell r="D631" t="str">
            <v>97-1-176</v>
          </cell>
          <cell r="E631" t="str">
            <v>무기 안티몬 화합물질[Inorganic antimony compounds] 및 이를 1% 이상 함유한 혼합물질. 다만, 산화 안티몬(Antimony(Ⅴ) pentoxide, Antimony(Ⅳ) tetroxide), 황화안티몬(Antimony(Ⅴ) pentasulfide, Antimony(Ⅲ) trisulfide), 안티몬산(HSbO3) 염류(Antimonic(Ⅴ) acid, salts), 피그먼트 브라운 24(C.I. Pigment Brown 24), 피그먼트 옐로우 53 (C.I. Pigment Yellow 53) 및 이를 함유한 혼합물질과 산화안티몬(Antimony(Ⅲ) trioxide)을 함유한 혼합물질은 제외</v>
          </cell>
          <cell r="F631">
            <v>1</v>
          </cell>
        </row>
        <row r="632">
          <cell r="B632" t="str">
            <v>12018-68-7</v>
          </cell>
          <cell r="C632" t="str">
            <v>Antimony compound with cesium (1:3)</v>
          </cell>
          <cell r="D632" t="str">
            <v>97-1-176</v>
          </cell>
          <cell r="E632" t="str">
            <v>무기 안티몬 화합물질[Inorganic antimony compounds] 및 이를 1% 이상 함유한 혼합물질. 다만, 산화 안티몬(Antimony(Ⅴ) pentoxide, Antimony(Ⅳ) tetroxide), 황화안티몬(Antimony(Ⅴ) pentasulfide, Antimony(Ⅲ) trisulfide), 안티몬산(HSbO3) 염류(Antimonic(Ⅴ) acid, salts), 피그먼트 브라운 24(C.I. Pigment Brown 24), 피그먼트 옐로우 53 (C.I. Pigment Yellow 53) 및 이를 함유한 혼합물질과 산화안티몬(Antimony(Ⅲ) trioxide)을 함유한 혼합물질은 제외</v>
          </cell>
          <cell r="F632">
            <v>1</v>
          </cell>
        </row>
        <row r="633">
          <cell r="B633" t="str">
            <v>12019-92-0</v>
          </cell>
          <cell r="C633" t="str">
            <v>Antimony compound with dysprosium (1:1)</v>
          </cell>
          <cell r="D633" t="str">
            <v>97-1-176</v>
          </cell>
          <cell r="E633" t="str">
            <v>무기 안티몬 화합물질[Inorganic antimony compounds] 및 이를 1% 이상 함유한 혼합물질. 다만, 산화 안티몬(Antimony(Ⅴ) pentoxide, Antimony(Ⅳ) tetroxide), 황화안티몬(Antimony(Ⅴ) pentasulfide, Antimony(Ⅲ) trisulfide), 안티몬산(HSbO3) 염류(Antimonic(Ⅴ) acid, salts), 피그먼트 브라운 24(C.I. Pigment Brown 24), 피그먼트 옐로우 53 (C.I. Pigment Yellow 53) 및 이를 함유한 혼합물질과 산화안티몬(Antimony(Ⅲ) trioxide)을 함유한 혼합물질은 제외</v>
          </cell>
          <cell r="F633">
            <v>1</v>
          </cell>
        </row>
        <row r="634">
          <cell r="B634" t="str">
            <v>12020-24-5</v>
          </cell>
          <cell r="C634" t="str">
            <v>Antimony compound with erbium (1:1)</v>
          </cell>
          <cell r="D634" t="str">
            <v>97-1-176</v>
          </cell>
          <cell r="E634" t="str">
            <v>무기 안티몬 화합물질[Inorganic antimony compounds] 및 이를 1% 이상 함유한 혼합물질. 다만, 산화 안티몬(Antimony(Ⅴ) pentoxide, Antimony(Ⅳ) tetroxide), 황화안티몬(Antimony(Ⅴ) pentasulfide, Antimony(Ⅲ) trisulfide), 안티몬산(HSbO3) 염류(Antimonic(Ⅴ) acid, salts), 피그먼트 브라운 24(C.I. Pigment Brown 24), 피그먼트 옐로우 53 (C.I. Pigment Yellow 53) 및 이를 함유한 혼합물질과 산화안티몬(Antimony(Ⅲ) trioxide)을 함유한 혼합물질은 제외</v>
          </cell>
          <cell r="F634">
            <v>1</v>
          </cell>
        </row>
        <row r="635">
          <cell r="B635" t="str">
            <v>12022-92-3</v>
          </cell>
          <cell r="C635" t="str">
            <v>Antimony compound with iron (1:1)</v>
          </cell>
          <cell r="D635" t="str">
            <v>97-1-176</v>
          </cell>
          <cell r="E635" t="str">
            <v>무기 안티몬 화합물질[Inorganic antimony compounds] 및 이를 1% 이상 함유한 혼합물질. 다만, 산화 안티몬(Antimony(Ⅴ) pentoxide, Antimony(Ⅳ) tetroxide), 황화안티몬(Antimony(Ⅴ) pentasulfide, Antimony(Ⅲ) trisulfide), 안티몬산(HSbO3) 염류(Antimonic(Ⅴ) acid, salts), 피그먼트 브라운 24(C.I. Pigment Brown 24), 피그먼트 옐로우 53 (C.I. Pigment Yellow 53) 및 이를 함유한 혼합물질과 산화안티몬(Antimony(Ⅲ) trioxide)을 함유한 혼합물질은 제외</v>
          </cell>
          <cell r="F635">
            <v>1</v>
          </cell>
        </row>
        <row r="636">
          <cell r="B636" t="str">
            <v>12022-93-4</v>
          </cell>
          <cell r="C636" t="str">
            <v>Antimony compound with iron (2:1)</v>
          </cell>
          <cell r="D636" t="str">
            <v>97-1-176</v>
          </cell>
          <cell r="E636" t="str">
            <v>무기 안티몬 화합물질[Inorganic antimony compounds] 및 이를 1% 이상 함유한 혼합물질. 다만, 산화 안티몬(Antimony(Ⅴ) pentoxide, Antimony(Ⅳ) tetroxide), 황화안티몬(Antimony(Ⅴ) pentasulfide, Antimony(Ⅲ) trisulfide), 안티몬산(HSbO3) 염류(Antimonic(Ⅴ) acid, salts), 피그먼트 브라운 24(C.I. Pigment Brown 24), 피그먼트 옐로우 53 (C.I. Pigment Yellow 53) 및 이를 함유한 혼합물질과 산화안티몬(Antimony(Ⅲ) trioxide)을 함유한 혼합물질은 제외</v>
          </cell>
          <cell r="F636">
            <v>1</v>
          </cell>
        </row>
        <row r="637">
          <cell r="B637" t="str">
            <v>12024-80-5</v>
          </cell>
          <cell r="C637" t="str">
            <v>Antimony compound with gadolinium (1:1)</v>
          </cell>
          <cell r="D637" t="str">
            <v>97-1-176</v>
          </cell>
          <cell r="E637" t="str">
            <v>무기 안티몬 화합물질[Inorganic antimony compounds] 및 이를 1% 이상 함유한 혼합물질. 다만, 산화 안티몬(Antimony(Ⅴ) pentoxide, Antimony(Ⅳ) tetroxide), 황화안티몬(Antimony(Ⅴ) pentasulfide, Antimony(Ⅲ) trisulfide), 안티몬산(HSbO3) 염류(Antimonic(Ⅴ) acid, salts), 피그먼트 브라운 24(C.I. Pigment Brown 24), 피그먼트 옐로우 53 (C.I. Pigment Yellow 53) 및 이를 함유한 혼합물질과 산화안티몬(Antimony(Ⅲ) trioxide)을 함유한 혼합물질은 제외</v>
          </cell>
          <cell r="F637">
            <v>1</v>
          </cell>
        </row>
        <row r="638">
          <cell r="B638" t="str">
            <v>12029-86-6</v>
          </cell>
          <cell r="C638" t="str">
            <v>Antimony, compd. with holmium (1:1)</v>
          </cell>
          <cell r="D638" t="str">
            <v>97-1-176</v>
          </cell>
          <cell r="E638" t="str">
            <v>무기 안티몬 화합물질[Inorganic antimony compounds] 및 이를 1% 이상 함유한 혼합물질. 다만, 산화 안티몬(Antimony(Ⅴ) pentoxide, Antimony(Ⅳ) tetroxide), 황화안티몬(Antimony(Ⅴ) pentasulfide, Antimony(Ⅲ) trisulfide), 안티몬산(HSbO3) 염류(Antimonic(Ⅴ) acid, salts), 피그먼트 브라운 24(C.I. Pigment Brown 24), 피그먼트 옐로우 53 (C.I. Pigment Yellow 53) 및 이를 함유한 혼합물질과 산화안티몬(Antimony(Ⅲ) trioxide)을 함유한 혼합물질은 제외</v>
          </cell>
          <cell r="F638">
            <v>1</v>
          </cell>
        </row>
        <row r="639">
          <cell r="B639" t="str">
            <v>12032-10-9</v>
          </cell>
          <cell r="C639" t="str">
            <v>Antimony compound with lutetium (1:1)</v>
          </cell>
          <cell r="D639" t="str">
            <v>97-1-176</v>
          </cell>
          <cell r="E639" t="str">
            <v>무기 안티몬 화합물질[Inorganic antimony compounds] 및 이를 1% 이상 함유한 혼합물질. 다만, 산화 안티몬(Antimony(Ⅴ) pentoxide, Antimony(Ⅳ) tetroxide), 황화안티몬(Antimony(Ⅴ) pentasulfide, Antimony(Ⅲ) trisulfide), 안티몬산(HSbO3) 염류(Antimonic(Ⅴ) acid, salts), 피그먼트 브라운 24(C.I. Pigment Brown 24), 피그먼트 옐로우 53 (C.I. Pigment Yellow 53) 및 이를 함유한 혼합물질과 산화안티몬(Antimony(Ⅲ) trioxide)을 함유한 혼합물질은 제외</v>
          </cell>
          <cell r="F639">
            <v>1</v>
          </cell>
        </row>
        <row r="640">
          <cell r="B640" t="str">
            <v>12032-82-5</v>
          </cell>
          <cell r="C640" t="str">
            <v>Antimony compound with manganese (1:1)</v>
          </cell>
          <cell r="D640" t="str">
            <v>97-1-176</v>
          </cell>
          <cell r="E640" t="str">
            <v>무기 안티몬 화합물질[Inorganic antimony compounds] 및 이를 1% 이상 함유한 혼합물질. 다만, 산화 안티몬(Antimony(Ⅴ) pentoxide, Antimony(Ⅳ) tetroxide), 황화안티몬(Antimony(Ⅴ) pentasulfide, Antimony(Ⅲ) trisulfide), 안티몬산(HSbO3) 염류(Antimonic(Ⅴ) acid, salts), 피그먼트 브라운 24(C.I. Pigment Brown 24), 피그먼트 옐로우 53 (C.I. Pigment Yellow 53) 및 이를 함유한 혼합물질과 산화안티몬(Antimony(Ⅲ) trioxide)을 함유한 혼합물질은 제외</v>
          </cell>
          <cell r="F640">
            <v>1</v>
          </cell>
        </row>
        <row r="641">
          <cell r="B641" t="str">
            <v>12032-97-2</v>
          </cell>
          <cell r="C641" t="str">
            <v>Antimony compound with manganese (1:2)</v>
          </cell>
          <cell r="D641" t="str">
            <v>97-1-176</v>
          </cell>
          <cell r="E641" t="str">
            <v>무기 안티몬 화합물질[Inorganic antimony compounds] 및 이를 1% 이상 함유한 혼합물질. 다만, 산화 안티몬(Antimony(Ⅴ) pentoxide, Antimony(Ⅳ) tetroxide), 황화안티몬(Antimony(Ⅴ) pentasulfide, Antimony(Ⅲ) trisulfide), 안티몬산(HSbO3) 염류(Antimonic(Ⅴ) acid, salts), 피그먼트 브라운 24(C.I. Pigment Brown 24), 피그먼트 옐로우 53 (C.I. Pigment Yellow 53) 및 이를 함유한 혼합물질과 산화안티몬(Antimony(Ⅲ) trioxide)을 함유한 혼합물질은 제외</v>
          </cell>
          <cell r="F641">
            <v>1</v>
          </cell>
        </row>
        <row r="642">
          <cell r="B642" t="str">
            <v>12035-23-3</v>
          </cell>
          <cell r="C642" t="str">
            <v>Antimony compound with neodymium (1:1)</v>
          </cell>
          <cell r="D642" t="str">
            <v>97-1-176</v>
          </cell>
          <cell r="E642" t="str">
            <v>무기 안티몬 화합물질[Inorganic antimony compounds] 및 이를 1% 이상 함유한 혼합물질. 다만, 산화 안티몬(Antimony(Ⅴ) pentoxide, Antimony(Ⅳ) tetroxide), 황화안티몬(Antimony(Ⅴ) pentasulfide, Antimony(Ⅲ) trisulfide), 안티몬산(HSbO3) 염류(Antimonic(Ⅴ) acid, salts), 피그먼트 브라운 24(C.I. Pigment Brown 24), 피그먼트 옐로우 53 (C.I. Pigment Yellow 53) 및 이를 함유한 혼합물질과 산화안티몬(Antimony(Ⅲ) trioxide)을 함유한 혼합물질은 제외</v>
          </cell>
          <cell r="F642">
            <v>1</v>
          </cell>
        </row>
        <row r="643">
          <cell r="B643" t="str">
            <v>12035-52-8</v>
          </cell>
          <cell r="C643" t="str">
            <v>Antimony compound with nickel (1:1)</v>
          </cell>
          <cell r="D643" t="str">
            <v>97-1-176</v>
          </cell>
          <cell r="E643" t="str">
            <v>무기 안티몬 화합물질[Inorganic antimony compounds] 및 이를 1% 이상 함유한 혼합물질. 다만, 산화 안티몬(Antimony(Ⅴ) pentoxide, Antimony(Ⅳ) tetroxide), 황화안티몬(Antimony(Ⅴ) pentasulfide, Antimony(Ⅲ) trisulfide), 안티몬산(HSbO3) 염류(Antimonic(Ⅴ) acid, salts), 피그먼트 브라운 24(C.I. Pigment Brown 24), 피그먼트 옐로우 53 (C.I. Pigment Yellow 53) 및 이를 함유한 혼합물질과 산화안티몬(Antimony(Ⅲ) trioxide)을 함유한 혼합물질은 제외</v>
          </cell>
          <cell r="F643">
            <v>1</v>
          </cell>
        </row>
        <row r="644">
          <cell r="B644" t="str">
            <v>12038-62-9</v>
          </cell>
          <cell r="C644" t="str">
            <v>Antimony compound with rubidium (1:3)</v>
          </cell>
          <cell r="D644" t="str">
            <v>97-1-176</v>
          </cell>
          <cell r="E644" t="str">
            <v>무기 안티몬 화합물질[Inorganic antimony compounds] 및 이를 1% 이상 함유한 혼합물질. 다만, 산화 안티몬(Antimony(Ⅴ) pentoxide, Antimony(Ⅳ) tetroxide), 황화안티몬(Antimony(Ⅴ) pentasulfide, Antimony(Ⅲ) trisulfide), 안티몬산(HSbO3) 염류(Antimonic(Ⅴ) acid, salts), 피그먼트 브라운 24(C.I. Pigment Brown 24), 피그먼트 옐로우 53 (C.I. Pigment Yellow 53) 및 이를 함유한 혼합물질과 산화안티몬(Antimony(Ⅲ) trioxide)을 함유한 혼합물질은 제외</v>
          </cell>
          <cell r="F644">
            <v>1</v>
          </cell>
        </row>
        <row r="645">
          <cell r="B645" t="str">
            <v>12039-31-5</v>
          </cell>
          <cell r="C645" t="str">
            <v>Antimony, compd. with terbium (1:1)</v>
          </cell>
          <cell r="D645" t="str">
            <v>97-1-176</v>
          </cell>
          <cell r="E645" t="str">
            <v>무기 안티몬 화합물질[Inorganic antimony compounds] 및 이를 1% 이상 함유한 혼합물질. 다만, 산화 안티몬(Antimony(Ⅴ) pentoxide, Antimony(Ⅳ) tetroxide), 황화안티몬(Antimony(Ⅴ) pentasulfide, Antimony(Ⅲ) trisulfide), 안티몬산(HSbO3) 염류(Antimonic(Ⅴ) acid, salts), 피그먼트 브라운 24(C.I. Pigment Brown 24), 피그먼트 옐로우 53 (C.I. Pigment Yellow 53) 및 이를 함유한 혼합물질과 산화안티몬(Antimony(Ⅲ) trioxide)을 함유한 혼합물질은 제외</v>
          </cell>
          <cell r="F645">
            <v>1</v>
          </cell>
        </row>
        <row r="646">
          <cell r="B646" t="str">
            <v>12039-33-7</v>
          </cell>
          <cell r="C646" t="str">
            <v>Antimony, compd. with thulium (1:1)</v>
          </cell>
          <cell r="D646" t="str">
            <v>97-1-176</v>
          </cell>
          <cell r="E646" t="str">
            <v>무기 안티몬 화합물질[Inorganic antimony compounds] 및 이를 1% 이상 함유한 혼합물질. 다만, 산화 안티몬(Antimony(Ⅴ) pentoxide, Antimony(Ⅳ) tetroxide), 황화안티몬(Antimony(Ⅴ) pentasulfide, Antimony(Ⅲ) trisulfide), 안티몬산(HSbO3) 염류(Antimonic(Ⅴ) acid, salts), 피그먼트 브라운 24(C.I. Pigment Brown 24), 피그먼트 옐로우 53 (C.I. Pigment Yellow 53) 및 이를 함유한 혼합물질과 산화안티몬(Antimony(Ⅲ) trioxide)을 함유한 혼합물질은 제외</v>
          </cell>
          <cell r="F646">
            <v>1</v>
          </cell>
        </row>
        <row r="647">
          <cell r="B647" t="str">
            <v>12039-34-8</v>
          </cell>
          <cell r="C647" t="str">
            <v>Antimony compound with ytterbium (1:1)</v>
          </cell>
          <cell r="D647" t="str">
            <v>97-1-176</v>
          </cell>
          <cell r="E647" t="str">
            <v>무기 안티몬 화합물질[Inorganic antimony compounds] 및 이를 1% 이상 함유한 혼합물질. 다만, 산화 안티몬(Antimony(Ⅴ) pentoxide, Antimony(Ⅳ) tetroxide), 황화안티몬(Antimony(Ⅴ) pentasulfide, Antimony(Ⅲ) trisulfide), 안티몬산(HSbO3) 염류(Antimonic(Ⅴ) acid, salts), 피그먼트 브라운 24(C.I. Pigment Brown 24), 피그먼트 옐로우 53 (C.I. Pigment Yellow 53) 및 이를 함유한 혼합물질과 산화안티몬(Antimony(Ⅲ) trioxide)을 함유한 혼합물질은 제외</v>
          </cell>
          <cell r="F647">
            <v>1</v>
          </cell>
        </row>
        <row r="648">
          <cell r="B648" t="str">
            <v>12039-35-9</v>
          </cell>
          <cell r="C648" t="str">
            <v>Antimony compound with zinc (1:1)</v>
          </cell>
          <cell r="D648" t="str">
            <v>97-1-176</v>
          </cell>
          <cell r="E648" t="str">
            <v>무기 안티몬 화합물질[Inorganic antimony compounds] 및 이를 1% 이상 함유한 혼합물질. 다만, 산화 안티몬(Antimony(Ⅴ) pentoxide, Antimony(Ⅳ) tetroxide), 황화안티몬(Antimony(Ⅴ) pentasulfide, Antimony(Ⅲ) trisulfide), 안티몬산(HSbO3) 염류(Antimonic(Ⅴ) acid, salts), 피그먼트 브라운 24(C.I. Pigment Brown 24), 피그먼트 옐로우 53 (C.I. Pigment Yellow 53) 및 이를 함유한 혼합물질과 산화안티몬(Antimony(Ⅲ) trioxide)을 함유한 혼합물질은 제외</v>
          </cell>
          <cell r="F648">
            <v>1</v>
          </cell>
        </row>
        <row r="649">
          <cell r="B649" t="str">
            <v>12052-42-5</v>
          </cell>
          <cell r="C649" t="str">
            <v>Antimony compound with cobalt (1:1)</v>
          </cell>
          <cell r="D649" t="str">
            <v>97-1-176</v>
          </cell>
          <cell r="E649" t="str">
            <v>무기 안티몬 화합물질[Inorganic antimony compounds] 및 이를 1% 이상 함유한 혼합물질. 다만, 산화 안티몬(Antimony(Ⅴ) pentoxide, Antimony(Ⅳ) tetroxide), 황화안티몬(Antimony(Ⅴ) pentasulfide, Antimony(Ⅲ) trisulfide), 안티몬산(HSbO3) 염류(Antimonic(Ⅴ) acid, salts), 피그먼트 브라운 24(C.I. Pigment Brown 24), 피그먼트 옐로우 53 (C.I. Pigment Yellow 53) 및 이를 함유한 혼합물질과 산화안티몬(Antimony(Ⅲ) trioxide)을 함유한 혼합물질은 제외</v>
          </cell>
          <cell r="F649">
            <v>1</v>
          </cell>
        </row>
        <row r="650">
          <cell r="B650" t="str">
            <v>12053-12-2</v>
          </cell>
          <cell r="C650" t="str">
            <v>Antimony compound with chromium (1:1)</v>
          </cell>
          <cell r="D650" t="str">
            <v>97-1-176</v>
          </cell>
          <cell r="E650" t="str">
            <v>무기 안티몬 화합물질[Inorganic antimony compounds] 및 이를 1% 이상 함유한 혼합물질. 다만, 산화 안티몬(Antimony(Ⅴ) pentoxide, Antimony(Ⅳ) tetroxide), 황화안티몬(Antimony(Ⅴ) pentasulfide, Antimony(Ⅲ) trisulfide), 안티몬산(HSbO3) 염류(Antimonic(Ⅴ) acid, salts), 피그먼트 브라운 24(C.I. Pigment Brown 24), 피그먼트 옐로우 53 (C.I. Pigment Yellow 53) 및 이를 함유한 혼합물질과 산화안티몬(Antimony(Ⅲ) trioxide)을 함유한 혼합물질은 제외</v>
          </cell>
          <cell r="F650">
            <v>1</v>
          </cell>
        </row>
        <row r="651">
          <cell r="B651" t="str">
            <v>12054-21-6</v>
          </cell>
          <cell r="C651" t="str">
            <v>Antimony compound with copper (1:2)</v>
          </cell>
          <cell r="D651" t="str">
            <v>97-1-176</v>
          </cell>
          <cell r="E651" t="str">
            <v>무기 안티몬 화합물질[Inorganic antimony compounds] 및 이를 1% 이상 함유한 혼합물질. 다만, 산화 안티몬(Antimony(Ⅴ) pentoxide, Antimony(Ⅳ) tetroxide), 황화안티몬(Antimony(Ⅴ) pentasulfide, Antimony(Ⅲ) trisulfide), 안티몬산(HSbO3) 염류(Antimonic(Ⅴ) acid, salts), 피그먼트 브라운 24(C.I. Pigment Brown 24), 피그먼트 옐로우 53 (C.I. Pigment Yellow 53) 및 이를 함유한 혼합물질과 산화안티몬(Antimony(Ⅲ) trioxide)을 함유한 혼합물질은 제외</v>
          </cell>
          <cell r="F651">
            <v>1</v>
          </cell>
        </row>
        <row r="652">
          <cell r="B652" t="str">
            <v>12054-25-0</v>
          </cell>
          <cell r="C652" t="str">
            <v>Antimony compound with copper (1:3)</v>
          </cell>
          <cell r="D652" t="str">
            <v>97-1-176</v>
          </cell>
          <cell r="E652" t="str">
            <v>무기 안티몬 화합물질[Inorganic antimony compounds] 및 이를 1% 이상 함유한 혼합물질. 다만, 산화 안티몬(Antimony(Ⅴ) pentoxide, Antimony(Ⅳ) tetroxide), 황화안티몬(Antimony(Ⅴ) pentasulfide, Antimony(Ⅲ) trisulfide), 안티몬산(HSbO3) 염류(Antimonic(Ⅴ) acid, salts), 피그먼트 브라운 24(C.I. Pigment Brown 24), 피그먼트 옐로우 53 (C.I. Pigment Yellow 53) 및 이를 함유한 혼합물질과 산화안티몬(Antimony(Ⅲ) trioxide)을 함유한 혼합물질은 제외</v>
          </cell>
          <cell r="F652">
            <v>1</v>
          </cell>
        </row>
        <row r="653">
          <cell r="B653" t="str">
            <v>12057-30-6</v>
          </cell>
          <cell r="C653" t="str">
            <v>Antimony compound with lithium (1:3)</v>
          </cell>
          <cell r="D653" t="str">
            <v>97-1-176</v>
          </cell>
          <cell r="E653" t="str">
            <v>무기 안티몬 화합물질[Inorganic antimony compounds] 및 이를 1% 이상 함유한 혼합물질. 다만, 산화 안티몬(Antimony(Ⅴ) pentoxide, Antimony(Ⅳ) tetroxide), 황화안티몬(Antimony(Ⅴ) pentasulfide, Antimony(Ⅲ) trisulfide), 안티몬산(HSbO3) 염류(Antimonic(Ⅴ) acid, salts), 피그먼트 브라운 24(C.I. Pigment Brown 24), 피그먼트 옐로우 53 (C.I. Pigment Yellow 53) 및 이를 함유한 혼합물질과 산화안티몬(Antimony(Ⅲ) trioxide)을 함유한 혼합물질은 제외</v>
          </cell>
          <cell r="F653">
            <v>1</v>
          </cell>
        </row>
        <row r="654">
          <cell r="B654" t="str">
            <v>12057-75-9</v>
          </cell>
          <cell r="C654" t="str">
            <v>Antimony, compd. with magnesium (2:3)</v>
          </cell>
          <cell r="D654" t="str">
            <v>97-1-176</v>
          </cell>
          <cell r="E654" t="str">
            <v>무기 안티몬 화합물질[Inorganic antimony compounds] 및 이를 1% 이상 함유한 혼합물질. 다만, 산화 안티몬(Antimony(Ⅴ) pentoxide, Antimony(Ⅳ) tetroxide), 황화안티몬(Antimony(Ⅴ) pentasulfide, Antimony(Ⅲ) trisulfide), 안티몬산(HSbO3) 염류(Antimonic(Ⅴ) acid, salts), 피그먼트 브라운 24(C.I. Pigment Brown 24), 피그먼트 옐로우 53 (C.I. Pigment Yellow 53) 및 이를 함유한 혼합물질과 산화안티몬(Antimony(Ⅲ) trioxide)을 함유한 혼합물질은 제외</v>
          </cell>
          <cell r="F654">
            <v>1</v>
          </cell>
        </row>
        <row r="655">
          <cell r="B655" t="str">
            <v>12058-86-5</v>
          </cell>
          <cell r="C655" t="str">
            <v>Antimony compound with sodium (1:3)</v>
          </cell>
          <cell r="D655" t="str">
            <v>97-1-176</v>
          </cell>
          <cell r="E655" t="str">
            <v>무기 안티몬 화합물질[Inorganic antimony compounds] 및 이를 1% 이상 함유한 혼합물질. 다만, 산화 안티몬(Antimony(Ⅴ) pentoxide, Antimony(Ⅳ) tetroxide), 황화안티몬(Antimony(Ⅴ) pentasulfide, Antimony(Ⅲ) trisulfide), 안티몬산(HSbO3) 염류(Antimonic(Ⅴ) acid, salts), 피그먼트 브라운 24(C.I. Pigment Brown 24), 피그먼트 옐로우 53 (C.I. Pigment Yellow 53) 및 이를 함유한 혼합물질과 산화안티몬(Antimony(Ⅲ) trioxide)을 함유한 혼합물질은 제외</v>
          </cell>
          <cell r="F655">
            <v>1</v>
          </cell>
        </row>
        <row r="656">
          <cell r="B656" t="str">
            <v>12064-03-8</v>
          </cell>
          <cell r="C656" t="str">
            <v>Gallium antimonide</v>
          </cell>
          <cell r="D656" t="str">
            <v>97-1-176</v>
          </cell>
          <cell r="E656" t="str">
            <v>무기 안티몬 화합물질[Inorganic antimony compounds] 및 이를 1% 이상 함유한 혼합물질. 다만, 산화 안티몬(Antimony(Ⅴ) pentoxide, Antimony(Ⅳ) tetroxide), 황화안티몬(Antimony(Ⅴ) pentasulfide, Antimony(Ⅲ) trisulfide), 안티몬산(HSbO3) 염류(Antimonic(Ⅴ) acid, salts), 피그먼트 브라운 24(C.I. Pigment Brown 24), 피그먼트 옐로우 53 (C.I. Pigment Yellow 53) 및 이를 함유한 혼합물질과 산화안티몬(Antimony(Ⅲ) trioxide)을 함유한 혼합물질은 제외</v>
          </cell>
          <cell r="F656">
            <v>1</v>
          </cell>
        </row>
        <row r="657">
          <cell r="B657" t="str">
            <v>12066-81-8</v>
          </cell>
          <cell r="C657" t="str">
            <v>Antimony compound with praseodymium (1:1)</v>
          </cell>
          <cell r="D657" t="str">
            <v>97-1-176</v>
          </cell>
          <cell r="E657" t="str">
            <v>무기 안티몬 화합물질[Inorganic antimony compounds] 및 이를 1% 이상 함유한 혼합물질. 다만, 산화 안티몬(Antimony(Ⅴ) pentoxide, Antimony(Ⅳ) tetroxide), 황화안티몬(Antimony(Ⅴ) pentasulfide, Antimony(Ⅲ) trisulfide), 안티몬산(HSbO3) 염류(Antimonic(Ⅴ) acid, salts), 피그먼트 브라운 24(C.I. Pigment Brown 24), 피그먼트 옐로우 53 (C.I. Pigment Yellow 53) 및 이를 함유한 혼합물질과 산화안티몬(Antimony(Ⅲ) trioxide)을 함유한 혼합물질은 제외</v>
          </cell>
          <cell r="F657">
            <v>1</v>
          </cell>
        </row>
        <row r="658">
          <cell r="B658" t="str">
            <v>12142-69-7</v>
          </cell>
          <cell r="C658" t="str">
            <v>Antimony compound with lanthanum (1:1)</v>
          </cell>
          <cell r="D658" t="str">
            <v>97-1-176</v>
          </cell>
          <cell r="E658" t="str">
            <v>무기 안티몬 화합물질[Inorganic antimony compounds] 및 이를 1% 이상 함유한 혼합물질. 다만, 산화 안티몬(Antimony(Ⅴ) pentoxide, Antimony(Ⅳ) tetroxide), 황화안티몬(Antimony(Ⅴ) pentasulfide, Antimony(Ⅲ) trisulfide), 안티몬산(HSbO3) 염류(Antimonic(Ⅴ) acid, salts), 피그먼트 브라운 24(C.I. Pigment Brown 24), 피그먼트 옐로우 53 (C.I. Pigment Yellow 53) 및 이를 함유한 혼합물질과 산화안티몬(Antimony(Ⅲ) trioxide)을 함유한 혼합물질은 제외</v>
          </cell>
          <cell r="F658">
            <v>1</v>
          </cell>
        </row>
        <row r="659">
          <cell r="B659" t="str">
            <v>12166-36-8</v>
          </cell>
          <cell r="C659" t="str">
            <v>Antimony compound with scandium (1:1)</v>
          </cell>
          <cell r="D659" t="str">
            <v>97-1-176</v>
          </cell>
          <cell r="E659" t="str">
            <v>무기 안티몬 화합물질[Inorganic antimony compounds] 및 이를 1% 이상 함유한 혼합물질. 다만, 산화 안티몬(Antimony(Ⅴ) pentoxide, Antimony(Ⅳ) tetroxide), 황화안티몬(Antimony(Ⅴ) pentasulfide, Antimony(Ⅲ) trisulfide), 안티몬산(HSbO3) 염류(Antimonic(Ⅴ) acid, salts), 피그먼트 브라운 24(C.I. Pigment Brown 24), 피그먼트 옐로우 53 (C.I. Pigment Yellow 53) 및 이를 함유한 혼합물질과 산화안티몬(Antimony(Ⅲ) trioxide)을 함유한 혼합물질은 제외</v>
          </cell>
          <cell r="F659">
            <v>1</v>
          </cell>
        </row>
        <row r="660">
          <cell r="B660" t="str">
            <v>12182-69-3</v>
          </cell>
          <cell r="C660" t="str">
            <v>Antimony chloride oxide</v>
          </cell>
          <cell r="D660" t="str">
            <v>97-1-176</v>
          </cell>
          <cell r="E660" t="str">
            <v>무기 안티몬 화합물질[Inorganic antimony compounds] 및 이를 1% 이상 함유한 혼합물질. 다만, 산화 안티몬(Antimony(Ⅴ) pentoxide, Antimony(Ⅳ) tetroxide), 황화안티몬(Antimony(Ⅴ) pentasulfide, Antimony(Ⅲ) trisulfide), 안티몬산(HSbO3) 염류(Antimonic(Ⅴ) acid, salts), 피그먼트 브라운 24(C.I. Pigment Brown 24), 피그먼트 옐로우 53 (C.I. Pigment Yellow 53) 및 이를 함유한 혼합물질과 산화안티몬(Antimony(Ⅲ) trioxide)을 함유한 혼합물질은 제외</v>
          </cell>
          <cell r="F660">
            <v>1</v>
          </cell>
        </row>
        <row r="661">
          <cell r="B661" t="str">
            <v>12186-97-9</v>
          </cell>
          <cell r="C661" t="str">
            <v>Antimony compound with yttrium (1:1)</v>
          </cell>
          <cell r="D661" t="str">
            <v>97-1-176</v>
          </cell>
          <cell r="E661" t="str">
            <v>무기 안티몬 화합물질[Inorganic antimony compounds] 및 이를 1% 이상 함유한 혼합물질. 다만, 산화 안티몬(Antimony(Ⅴ) pentoxide, Antimony(Ⅳ) tetroxide), 황화안티몬(Antimony(Ⅴ) pentasulfide, Antimony(Ⅲ) trisulfide), 안티몬산(HSbO3) 염류(Antimonic(Ⅴ) acid, salts), 피그먼트 브라운 24(C.I. Pigment Brown 24), 피그먼트 옐로우 53 (C.I. Pigment Yellow 53) 및 이를 함유한 혼합물질과 산화안티몬(Antimony(Ⅲ) trioxide)을 함유한 혼합물질은 제외</v>
          </cell>
          <cell r="F661">
            <v>1</v>
          </cell>
        </row>
        <row r="662">
          <cell r="B662" t="str">
            <v>12208-13-8</v>
          </cell>
          <cell r="C662" t="str">
            <v>Potassium hexahydroxoantimonate</v>
          </cell>
          <cell r="D662" t="str">
            <v>97-1-176</v>
          </cell>
          <cell r="E662" t="str">
            <v>무기 안티몬 화합물질[Inorganic antimony compounds] 및 이를 1% 이상 함유한 혼합물질. 다만, 산화 안티몬(Antimony(Ⅴ) pentoxide, Antimony(Ⅳ) tetroxide), 황화안티몬(Antimony(Ⅴ) pentasulfide, Antimony(Ⅲ) trisulfide), 안티몬산(HSbO3) 염류(Antimonic(Ⅴ) acid, salts), 피그먼트 브라운 24(C.I. Pigment Brown 24), 피그먼트 옐로우 53 (C.I. Pigment Yellow 53) 및 이를 함유한 혼합물질과 산화안티몬(Antimony(Ⅲ) trioxide)을 함유한 혼합물질은 제외</v>
          </cell>
          <cell r="F662">
            <v>1</v>
          </cell>
        </row>
        <row r="663">
          <cell r="B663" t="str">
            <v>12266-38-5</v>
          </cell>
          <cell r="C663" t="str">
            <v>Antimony compound with lead (1:1)</v>
          </cell>
          <cell r="D663" t="str">
            <v>97-1-176</v>
          </cell>
          <cell r="E663" t="str">
            <v>무기 안티몬 화합물질[Inorganic antimony compounds] 및 이를 1% 이상 함유한 혼합물질. 다만, 산화 안티몬(Antimony(Ⅴ) pentoxide, Antimony(Ⅳ) tetroxide), 황화안티몬(Antimony(Ⅴ) pentasulfide, Antimony(Ⅲ) trisulfide), 안티몬산(HSbO3) 염류(Antimonic(Ⅴ) acid, salts), 피그먼트 브라운 24(C.I. Pigment Brown 24), 피그먼트 옐로우 53 (C.I. Pigment Yellow 53) 및 이를 함유한 혼합물질과 산화안티몬(Antimony(Ⅲ) trioxide)을 함유한 혼합물질은 제외</v>
          </cell>
          <cell r="F663">
            <v>1</v>
          </cell>
        </row>
        <row r="664">
          <cell r="B664" t="str">
            <v>12323-32-9</v>
          </cell>
          <cell r="C664" t="str">
            <v>Tetrantimony dibromide pentaoxide</v>
          </cell>
          <cell r="D664" t="str">
            <v>97-1-176</v>
          </cell>
          <cell r="E664" t="str">
            <v>무기 안티몬 화합물질[Inorganic antimony compounds] 및 이를 1% 이상 함유한 혼합물질. 다만, 산화 안티몬(Antimony(Ⅴ) pentoxide, Antimony(Ⅳ) tetroxide), 황화안티몬(Antimony(Ⅴ) pentasulfide, Antimony(Ⅲ) trisulfide), 안티몬산(HSbO3) 염류(Antimonic(Ⅴ) acid, salts), 피그먼트 브라운 24(C.I. Pigment Brown 24), 피그먼트 옐로우 53 (C.I. Pigment Yellow 53) 및 이를 함유한 혼합물질과 산화안티몬(Antimony(Ⅲ) trioxide)을 함유한 혼합물질은 제외</v>
          </cell>
          <cell r="F664">
            <v>1</v>
          </cell>
        </row>
        <row r="665">
          <cell r="B665" t="str">
            <v>12345-15-2</v>
          </cell>
          <cell r="C665" t="str">
            <v>Antimony compound with barium (2:3)</v>
          </cell>
          <cell r="D665" t="str">
            <v>97-1-176</v>
          </cell>
          <cell r="E665" t="str">
            <v>무기 안티몬 화합물질[Inorganic antimony compounds] 및 이를 1% 이상 함유한 혼합물질. 다만, 산화 안티몬(Antimony(Ⅴ) pentoxide, Antimony(Ⅳ) tetroxide), 황화안티몬(Antimony(Ⅴ) pentasulfide, Antimony(Ⅲ) trisulfide), 안티몬산(HSbO3) 염류(Antimonic(Ⅴ) acid, salts), 피그먼트 브라운 24(C.I. Pigment Brown 24), 피그먼트 옐로우 53 (C.I. Pigment Yellow 53) 및 이를 함유한 혼합물질과 산화안티몬(Antimony(Ⅲ) trioxide)을 함유한 혼합물질은 제외</v>
          </cell>
          <cell r="F665">
            <v>1</v>
          </cell>
        </row>
        <row r="666">
          <cell r="B666" t="str">
            <v>12359-48-7</v>
          </cell>
          <cell r="C666" t="str">
            <v>Diantimony tetrasulfide</v>
          </cell>
          <cell r="D666" t="str">
            <v>97-1-176</v>
          </cell>
          <cell r="E666" t="str">
            <v>무기 안티몬 화합물질[Inorganic antimony compounds] 및 이를 1% 이상 함유한 혼합물질. 다만, 산화 안티몬(Antimony(Ⅴ) pentoxide, Antimony(Ⅳ) tetroxide), 황화안티몬(Antimony(Ⅴ) pentasulfide, Antimony(Ⅲ) trisulfide), 안티몬산(HSbO3) 염류(Antimonic(Ⅴ) acid, salts), 피그먼트 브라운 24(C.I. Pigment Brown 24), 피그먼트 옐로우 53 (C.I. Pigment Yellow 53) 및 이를 함유한 혼합물질과 산화안티몬(Antimony(Ⅲ) trioxide)을 함유한 혼합물질은 제외</v>
          </cell>
          <cell r="F666">
            <v>1</v>
          </cell>
        </row>
        <row r="667">
          <cell r="B667" t="str">
            <v>12503-49-0</v>
          </cell>
          <cell r="C667" t="str">
            <v>Antimony, compd. with nickel (1:3)</v>
          </cell>
          <cell r="D667" t="str">
            <v>97-1-176</v>
          </cell>
          <cell r="E667" t="str">
            <v>무기 안티몬 화합물질[Inorganic antimony compounds] 및 이를 1% 이상 함유한 혼합물질. 다만, 산화 안티몬(Antimony(Ⅴ) pentoxide, Antimony(Ⅳ) tetroxide), 황화안티몬(Antimony(Ⅴ) pentasulfide, Antimony(Ⅲ) trisulfide), 안티몬산(HSbO3) 염류(Antimonic(Ⅴ) acid, salts), 피그먼트 브라운 24(C.I. Pigment Brown 24), 피그먼트 옐로우 53 (C.I. Pigment Yellow 53) 및 이를 함유한 혼합물질과 산화안티몬(Antimony(Ⅲ) trioxide)을 함유한 혼합물질은 제외</v>
          </cell>
          <cell r="F667">
            <v>1</v>
          </cell>
        </row>
        <row r="668">
          <cell r="B668" t="str">
            <v>1309-64-4</v>
          </cell>
          <cell r="C668" t="str">
            <v>Diantimony trioxide</v>
          </cell>
          <cell r="D668" t="str">
            <v>97-1-176</v>
          </cell>
          <cell r="E668" t="str">
            <v>무기 안티몬 화합물질[Inorganic antimony compounds] 및 이를 1% 이상 함유한 혼합물질. 다만, 산화 안티몬(Antimony(Ⅴ) pentoxide, Antimony(Ⅳ) tetroxide), 황화안티몬(Antimony(Ⅴ) pentasulfide, Antimony(Ⅲ) trisulfide), 안티몬산(HSbO3) 염류(Antimonic(Ⅴ) acid, salts), 피그먼트 브라운 24(C.I. Pigment Brown 24), 피그먼트 옐로우 53 (C.I. Pigment Yellow 53) 및 이를 함유한 혼합물질과 산화안티몬(Antimony(Ⅲ) trioxide)을 함유한 혼합물질은 제외</v>
          </cell>
          <cell r="F668">
            <v>1</v>
          </cell>
        </row>
        <row r="669">
          <cell r="B669" t="str">
            <v>1312-41-0</v>
          </cell>
          <cell r="C669" t="str">
            <v>Antimony compd. with indium (1:1)</v>
          </cell>
          <cell r="D669" t="str">
            <v>97-1-176</v>
          </cell>
          <cell r="E669" t="str">
            <v>무기 안티몬 화합물질[Inorganic antimony compounds] 및 이를 1% 이상 함유한 혼합물질. 다만, 산화 안티몬(Antimony(Ⅴ) pentoxide, Antimony(Ⅳ) tetroxide), 황화안티몬(Antimony(Ⅴ) pentasulfide, Antimony(Ⅲ) trisulfide), 안티몬산(HSbO3) 염류(Antimonic(Ⅴ) acid, salts), 피그먼트 브라운 24(C.I. Pigment Brown 24), 피그먼트 옐로우 53 (C.I. Pigment Yellow 53) 및 이를 함유한 혼합물질과 산화안티몬(Antimony(Ⅲ) trioxide)을 함유한 혼합물질은 제외</v>
          </cell>
          <cell r="F669">
            <v>1</v>
          </cell>
        </row>
        <row r="670">
          <cell r="B670" t="str">
            <v>1315-05-5</v>
          </cell>
          <cell r="C670" t="str">
            <v>Antimony selenide (Sb2Se3)</v>
          </cell>
          <cell r="D670" t="str">
            <v>97-1-176</v>
          </cell>
          <cell r="E670" t="str">
            <v>무기 안티몬 화합물질[Inorganic antimony compounds] 및 이를 1% 이상 함유한 혼합물질. 다만, 산화 안티몬(Antimony(Ⅴ) pentoxide, Antimony(Ⅳ) tetroxide), 황화안티몬(Antimony(Ⅴ) pentasulfide, Antimony(Ⅲ) trisulfide), 안티몬산(HSbO3) 염류(Antimonic(Ⅴ) acid, salts), 피그먼트 브라운 24(C.I. Pigment Brown 24), 피그먼트 옐로우 53 (C.I. Pigment Yellow 53) 및 이를 함유한 혼합물질과 산화안티몬(Antimony(Ⅲ) trioxide)을 함유한 혼합물질은 제외</v>
          </cell>
          <cell r="F670">
            <v>1</v>
          </cell>
        </row>
        <row r="671">
          <cell r="B671" t="str">
            <v>1327-33-9</v>
          </cell>
          <cell r="C671" t="str">
            <v>Antimony oxide</v>
          </cell>
          <cell r="D671" t="str">
            <v>97-1-176</v>
          </cell>
          <cell r="E671" t="str">
            <v>무기 안티몬 화합물질[Inorganic antimony compounds] 및 이를 1% 이상 함유한 혼합물질. 다만, 산화 안티몬(Antimony(Ⅴ) pentoxide, Antimony(Ⅳ) tetroxide), 황화안티몬(Antimony(Ⅴ) pentasulfide, Antimony(Ⅲ) trisulfide), 안티몬산(HSbO3) 염류(Antimonic(Ⅴ) acid, salts), 피그먼트 브라운 24(C.I. Pigment Brown 24), 피그먼트 옐로우 53 (C.I. Pigment Yellow 53) 및 이를 함유한 혼합물질과 산화안티몬(Antimony(Ⅲ) trioxide)을 함유한 혼합물질은 제외</v>
          </cell>
          <cell r="F671">
            <v>1</v>
          </cell>
        </row>
        <row r="672">
          <cell r="B672" t="str">
            <v>1333-78-4</v>
          </cell>
          <cell r="C672" t="str">
            <v>Antimony potassium oxide</v>
          </cell>
          <cell r="D672" t="str">
            <v>97-1-176</v>
          </cell>
          <cell r="E672" t="str">
            <v>무기 안티몬 화합물질[Inorganic antimony compounds] 및 이를 1% 이상 함유한 혼합물질. 다만, 산화 안티몬(Antimony(Ⅴ) pentoxide, Antimony(Ⅳ) tetroxide), 황화안티몬(Antimony(Ⅴ) pentasulfide, Antimony(Ⅲ) trisulfide), 안티몬산(HSbO3) 염류(Antimonic(Ⅴ) acid, salts), 피그먼트 브라운 24(C.I. Pigment Brown 24), 피그먼트 옐로우 53 (C.I. Pigment Yellow 53) 및 이를 함유한 혼합물질과 산화안티몬(Antimony(Ⅲ) trioxide)을 함유한 혼합물질은 제외</v>
          </cell>
          <cell r="F672">
            <v>1</v>
          </cell>
        </row>
        <row r="673">
          <cell r="B673" t="str">
            <v>13510-89-9</v>
          </cell>
          <cell r="C673" t="str">
            <v>Diantimony trilead octaoxide</v>
          </cell>
          <cell r="D673" t="str">
            <v>97-1-176</v>
          </cell>
          <cell r="E673" t="str">
            <v>무기 안티몬 화합물질[Inorganic antimony compounds] 및 이를 1% 이상 함유한 혼합물질. 다만, 산화 안티몬(Antimony(Ⅴ) pentoxide, Antimony(Ⅳ) tetroxide), 황화안티몬(Antimony(Ⅴ) pentasulfide, Antimony(Ⅲ) trisulfide), 안티몬산(HSbO3) 염류(Antimonic(Ⅴ) acid, salts), 피그먼트 브라운 24(C.I. Pigment Brown 24), 피그먼트 옐로우 53 (C.I. Pigment Yellow 53) 및 이를 함유한 혼합물질과 산화안티몬(Antimony(Ⅲ) trioxide)을 함유한 혼합물질은 제외</v>
          </cell>
          <cell r="F673">
            <v>1</v>
          </cell>
        </row>
        <row r="674">
          <cell r="B674" t="str">
            <v>13816-38-1</v>
          </cell>
          <cell r="C674" t="str">
            <v>Iodothioxostibine</v>
          </cell>
          <cell r="D674" t="str">
            <v>97-1-176</v>
          </cell>
          <cell r="E674" t="str">
            <v>무기 안티몬 화합물질[Inorganic antimony compounds] 및 이를 1% 이상 함유한 혼합물질. 다만, 산화 안티몬(Antimony(Ⅴ) pentoxide, Antimony(Ⅳ) tetroxide), 황화안티몬(Antimony(Ⅴ) pentasulfide, Antimony(Ⅲ) trisulfide), 안티몬산(HSbO3) 염류(Antimonic(Ⅴ) acid, salts), 피그먼트 브라운 24(C.I. Pigment Brown 24), 피그먼트 옐로우 53 (C.I. Pigment Yellow 53) 및 이를 함유한 혼합물질과 산화안티몬(Antimony(Ⅲ) trioxide)을 함유한 혼합물질은 제외</v>
          </cell>
          <cell r="F674">
            <v>1</v>
          </cell>
        </row>
        <row r="675">
          <cell r="B675" t="str">
            <v>14486-20-5</v>
          </cell>
          <cell r="C675" t="str">
            <v>Antimony(3+) tetrafluoroborate(1-)</v>
          </cell>
          <cell r="D675" t="str">
            <v>97-1-176</v>
          </cell>
          <cell r="E675" t="str">
            <v>무기 안티몬 화합물질[Inorganic antimony compounds] 및 이를 1% 이상 함유한 혼합물질. 다만, 산화 안티몬(Antimony(Ⅴ) pentoxide, Antimony(Ⅳ) tetroxide), 황화안티몬(Antimony(Ⅴ) pentasulfide, Antimony(Ⅲ) trisulfide), 안티몬산(HSbO3) 염류(Antimonic(Ⅴ) acid, salts), 피그먼트 브라운 24(C.I. Pigment Brown 24), 피그먼트 옐로우 53 (C.I. Pigment Yellow 53) 및 이를 함유한 혼합물질과 산화안티몬(Antimony(Ⅲ) trioxide)을 함유한 혼합물질은 제외</v>
          </cell>
          <cell r="F675">
            <v>1</v>
          </cell>
        </row>
        <row r="676">
          <cell r="B676" t="str">
            <v>15593-75-6</v>
          </cell>
          <cell r="C676" t="str">
            <v>Trisodium antimonate(3-)</v>
          </cell>
          <cell r="D676" t="str">
            <v>97-1-176</v>
          </cell>
          <cell r="E676" t="str">
            <v>무기 안티몬 화합물질[Inorganic antimony compounds] 및 이를 1% 이상 함유한 혼합물질. 다만, 산화 안티몬(Antimony(Ⅴ) pentoxide, Antimony(Ⅳ) tetroxide), 황화안티몬(Antimony(Ⅴ) pentasulfide, Antimony(Ⅲ) trisulfide), 안티몬산(HSbO3) 염류(Antimonic(Ⅴ) acid, salts), 피그먼트 브라운 24(C.I. Pigment Brown 24), 피그먼트 옐로우 53 (C.I. Pigment Yellow 53) 및 이를 함유한 혼합물질과 산화안티몬(Antimony(Ⅲ) trioxide)을 함유한 혼합물질은 제외</v>
          </cell>
          <cell r="F676">
            <v>1</v>
          </cell>
        </row>
        <row r="677">
          <cell r="B677" t="str">
            <v>15600-71-2</v>
          </cell>
          <cell r="C677" t="str">
            <v>Antimony iron oxide (SbFeO4)</v>
          </cell>
          <cell r="D677" t="str">
            <v>97-1-176</v>
          </cell>
          <cell r="E677" t="str">
            <v>무기 안티몬 화합물질[Inorganic antimony compounds] 및 이를 1% 이상 함유한 혼합물질. 다만, 산화 안티몬(Antimony(Ⅴ) pentoxide, Antimony(Ⅳ) tetroxide), 황화안티몬(Antimony(Ⅴ) pentasulfide, Antimony(Ⅲ) trisulfide), 안티몬산(HSbO3) 염류(Antimonic(Ⅴ) acid, salts), 피그먼트 브라운 24(C.I. Pigment Brown 24), 피그먼트 옐로우 53 (C.I. Pigment Yellow 53) 및 이를 함유한 혼합물질과 산화안티몬(Antimony(Ⅲ) trioxide)을 함유한 혼합물질은 제외</v>
          </cell>
          <cell r="F677">
            <v>1</v>
          </cell>
        </row>
        <row r="678">
          <cell r="B678" t="str">
            <v>2155-74-0</v>
          </cell>
          <cell r="C678" t="str">
            <v>Antimony tributoxide</v>
          </cell>
          <cell r="D678" t="str">
            <v>97-1-176</v>
          </cell>
          <cell r="E678" t="str">
            <v>무기 안티몬 화합물질[Inorganic antimony compounds] 및 이를 1% 이상 함유한 혼합물질. 다만, 산화 안티몬(Antimony(Ⅴ) pentoxide, Antimony(Ⅳ) tetroxide), 황화안티몬(Antimony(Ⅴ) pentasulfide, Antimony(Ⅲ) trisulfide), 안티몬산(HSbO3) 염류(Antimonic(Ⅴ) acid, salts), 피그먼트 브라운 24(C.I. Pigment Brown 24), 피그먼트 옐로우 53 (C.I. Pigment Yellow 53) 및 이를 함유한 혼합물질과 산화안티몬(Antimony(Ⅲ) trioxide)을 함유한 혼합물질은 제외</v>
          </cell>
          <cell r="F678">
            <v>1</v>
          </cell>
        </row>
        <row r="679">
          <cell r="B679" t="str">
            <v>23854-38-8</v>
          </cell>
          <cell r="C679" t="str">
            <v>Hydrogen pentafluoro(fluorosulfato-O) antimonate(1-)</v>
          </cell>
          <cell r="D679" t="str">
            <v>97-1-176</v>
          </cell>
          <cell r="E679" t="str">
            <v>무기 안티몬 화합물질[Inorganic antimony compounds] 및 이를 1% 이상 함유한 혼합물질. 다만, 산화 안티몬(Antimony(Ⅴ) pentoxide, Antimony(Ⅳ) tetroxide), 황화안티몬(Antimony(Ⅴ) pentasulfide, Antimony(Ⅲ) trisulfide), 안티몬산(HSbO3) 염류(Antimonic(Ⅴ) acid, salts), 피그먼트 브라운 24(C.I. Pigment Brown 24), 피그먼트 옐로우 53 (C.I. Pigment Yellow 53) 및 이를 함유한 혼합물질과 산화안티몬(Antimony(Ⅲ) trioxide)을 함유한 혼합물질은 제외</v>
          </cell>
          <cell r="F679">
            <v>1</v>
          </cell>
        </row>
        <row r="680">
          <cell r="B680" t="str">
            <v>24626-20-8</v>
          </cell>
          <cell r="C680" t="str">
            <v>Antimony chloride fluoride (SbCl3F2)</v>
          </cell>
          <cell r="D680" t="str">
            <v>97-1-176</v>
          </cell>
          <cell r="E680" t="str">
            <v>무기 안티몬 화합물질[Inorganic antimony compounds] 및 이를 1% 이상 함유한 혼합물질. 다만, 산화 안티몬(Antimony(Ⅴ) pentoxide, Antimony(Ⅳ) tetroxide), 황화안티몬(Antimony(Ⅴ) pentasulfide, Antimony(Ⅲ) trisulfide), 안티몬산(HSbO3) 염류(Antimonic(Ⅴ) acid, salts), 피그먼트 브라운 24(C.I. Pigment Brown 24), 피그먼트 옐로우 53 (C.I. Pigment Yellow 53) 및 이를 함유한 혼합물질과 산화안티몬(Antimony(Ⅲ) trioxide)을 함유한 혼합물질은 제외</v>
          </cell>
          <cell r="F680">
            <v>1</v>
          </cell>
        </row>
        <row r="681">
          <cell r="B681" t="str">
            <v>25152-52-7</v>
          </cell>
          <cell r="C681" t="str">
            <v>Aluminium compd. with antimony (1:1)</v>
          </cell>
          <cell r="D681" t="str">
            <v>97-1-176</v>
          </cell>
          <cell r="E681" t="str">
            <v>무기 안티몬 화합물질[Inorganic antimony compounds] 및 이를 1% 이상 함유한 혼합물질. 다만, 산화 안티몬(Antimony(Ⅴ) pentoxide, Antimony(Ⅳ) tetroxide), 황화안티몬(Antimony(Ⅴ) pentasulfide, Antimony(Ⅲ) trisulfide), 안티몬산(HSbO3) 염류(Antimonic(Ⅴ) acid, salts), 피그먼트 브라운 24(C.I. Pigment Brown 24), 피그먼트 옐로우 53 (C.I. Pigment Yellow 53) 및 이를 함유한 혼합물질과 산화안티몬(Antimony(Ⅲ) trioxide)을 함유한 혼합물질은 제외</v>
          </cell>
          <cell r="F681">
            <v>1</v>
          </cell>
        </row>
        <row r="682">
          <cell r="B682" t="str">
            <v>29095-38-3</v>
          </cell>
          <cell r="C682" t="str">
            <v>Antimony, compd. with thallium (1:1)</v>
          </cell>
          <cell r="D682" t="str">
            <v>97-1-176</v>
          </cell>
          <cell r="E682" t="str">
            <v>무기 안티몬 화합물질[Inorganic antimony compounds] 및 이를 1% 이상 함유한 혼합물질. 다만, 산화 안티몬(Antimony(Ⅴ) pentoxide, Antimony(Ⅳ) tetroxide), 황화안티몬(Antimony(Ⅴ) pentasulfide, Antimony(Ⅲ) trisulfide), 안티몬산(HSbO3) 염류(Antimonic(Ⅴ) acid, salts), 피그먼트 브라운 24(C.I. Pigment Brown 24), 피그먼트 옐로우 53 (C.I. Pigment Yellow 53) 및 이를 함유한 혼합물질과 산화안티몬(Antimony(Ⅲ) trioxide)을 함유한 혼합물질은 제외</v>
          </cell>
          <cell r="F682">
            <v>1</v>
          </cell>
        </row>
        <row r="683">
          <cell r="B683" t="str">
            <v>29638-69-5</v>
          </cell>
          <cell r="C683" t="str">
            <v>Diantimony tetrapotassium heptaoxide</v>
          </cell>
          <cell r="D683" t="str">
            <v>97-1-176</v>
          </cell>
          <cell r="E683" t="str">
            <v>무기 안티몬 화합물질[Inorganic antimony compounds] 및 이를 1% 이상 함유한 혼합물질. 다만, 산화 안티몬(Antimony(Ⅴ) pentoxide, Antimony(Ⅳ) tetroxide), 황화안티몬(Antimony(Ⅴ) pentasulfide, Antimony(Ⅲ) trisulfide), 안티몬산(HSbO3) 염류(Antimonic(Ⅴ) acid, salts), 피그먼트 브라운 24(C.I. Pigment Brown 24), 피그먼트 옐로우 53 (C.I. Pigment Yellow 53) 및 이를 함유한 혼합물질과 산화안티몬(Antimony(Ⅲ) trioxide)을 함유한 혼합물질은 제외</v>
          </cell>
          <cell r="F683">
            <v>1</v>
          </cell>
        </row>
        <row r="684">
          <cell r="B684" t="str">
            <v>29664-84-4</v>
          </cell>
          <cell r="C684" t="str">
            <v>Antimony, compd. with samarium (1:1)</v>
          </cell>
          <cell r="D684" t="str">
            <v>97-1-176</v>
          </cell>
          <cell r="E684" t="str">
            <v>무기 안티몬 화합물질[Inorganic antimony compounds] 및 이를 1% 이상 함유한 혼합물질. 다만, 산화 안티몬(Antimony(Ⅴ) pentoxide, Antimony(Ⅳ) tetroxide), 황화안티몬(Antimony(Ⅴ) pentasulfide, Antimony(Ⅲ) trisulfide), 안티몬산(HSbO3) 염류(Antimonic(Ⅴ) acid, salts), 피그먼트 브라운 24(C.I. Pigment Brown 24), 피그먼트 옐로우 53 (C.I. Pigment Yellow 53) 및 이를 함유한 혼합물질과 산화안티몬(Antimony(Ⅲ) trioxide)을 함유한 혼합물질은 제외</v>
          </cell>
          <cell r="F684">
            <v>1</v>
          </cell>
        </row>
        <row r="685">
          <cell r="B685" t="str">
            <v>33908-66-6</v>
          </cell>
          <cell r="C685" t="str">
            <v>Sodium hexahydroxyantimonate</v>
          </cell>
          <cell r="D685" t="str">
            <v>97-1-176</v>
          </cell>
          <cell r="E685" t="str">
            <v>무기 안티몬 화합물질[Inorganic antimony compounds] 및 이를 1% 이상 함유한 혼합물질. 다만, 산화 안티몬(Antimony(Ⅴ) pentoxide, Antimony(Ⅳ) tetroxide), 황화안티몬(Antimony(Ⅴ) pentasulfide, Antimony(Ⅲ) trisulfide), 안티몬산(HSbO3) 염류(Antimonic(Ⅴ) acid, salts), 피그먼트 브라운 24(C.I. Pigment Brown 24), 피그먼트 옐로우 53 (C.I. Pigment Yellow 53) 및 이를 함유한 혼합물질과 산화안티몬(Antimony(Ⅲ) trioxide)을 함유한 혼합물질은 제외</v>
          </cell>
          <cell r="F685">
            <v>1</v>
          </cell>
        </row>
        <row r="686">
          <cell r="B686" t="str">
            <v>33910-86-0</v>
          </cell>
          <cell r="C686" t="str">
            <v>Fluorosulfuric acid compound with antimony pentafluoride (4:1)</v>
          </cell>
          <cell r="D686" t="str">
            <v>97-1-176</v>
          </cell>
          <cell r="E686" t="str">
            <v>무기 안티몬 화합물질[Inorganic antimony compounds] 및 이를 1% 이상 함유한 혼합물질. 다만, 산화 안티몬(Antimony(Ⅴ) pentoxide, Antimony(Ⅳ) tetroxide), 황화안티몬(Antimony(Ⅴ) pentasulfide, Antimony(Ⅲ) trisulfide), 안티몬산(HSbO3) 염류(Antimonic(Ⅴ) acid, salts), 피그먼트 브라운 24(C.I. Pigment Brown 24), 피그먼트 옐로우 53 (C.I. Pigment Yellow 53) 및 이를 함유한 혼합물질과 산화안티몬(Antimony(Ⅲ) trioxide)을 함유한 혼합물질은 제외</v>
          </cell>
          <cell r="F686">
            <v>1</v>
          </cell>
        </row>
        <row r="687">
          <cell r="B687" t="str">
            <v>39294-08-1</v>
          </cell>
          <cell r="C687" t="str">
            <v>Antimony, compd. with strontium (2:3)</v>
          </cell>
          <cell r="D687" t="str">
            <v>97-1-176</v>
          </cell>
          <cell r="E687" t="str">
            <v>무기 안티몬 화합물질[Inorganic antimony compounds] 및 이를 1% 이상 함유한 혼합물질. 다만, 산화 안티몬(Antimony(Ⅴ) pentoxide, Antimony(Ⅳ) tetroxide), 황화안티몬(Antimony(Ⅴ) pentasulfide, Antimony(Ⅲ) trisulfide), 안티몬산(HSbO3) 염류(Antimonic(Ⅴ) acid, salts), 피그먼트 브라운 24(C.I. Pigment Brown 24), 피그먼트 옐로우 53 (C.I. Pigment Yellow 53) 및 이를 함유한 혼합물질과 산화안티몬(Antimony(Ⅲ) trioxide)을 함유한 혼합물질은 제외</v>
          </cell>
          <cell r="F687">
            <v>1</v>
          </cell>
        </row>
        <row r="688">
          <cell r="B688" t="str">
            <v>39427-02-6</v>
          </cell>
          <cell r="C688" t="str">
            <v>Antimony telluride</v>
          </cell>
          <cell r="D688" t="str">
            <v>97-1-176</v>
          </cell>
          <cell r="E688" t="str">
            <v>무기 안티몬 화합물질[Inorganic antimony compounds] 및 이를 1% 이상 함유한 혼합물질. 다만, 산화 안티몬(Antimony(Ⅴ) pentoxide, Antimony(Ⅳ) tetroxide), 황화안티몬(Antimony(Ⅴ) pentasulfide, Antimony(Ⅲ) trisulfide), 안티몬산(HSbO3) 염류(Antimonic(Ⅴ) acid, salts), 피그먼트 브라운 24(C.I. Pigment Brown 24), 피그먼트 옐로우 53 (C.I. Pigment Yellow 53) 및 이를 함유한 혼합물질과 산화안티몬(Antimony(Ⅲ) trioxide)을 함유한 혼합물질은 제외</v>
          </cell>
          <cell r="F688">
            <v>1</v>
          </cell>
        </row>
        <row r="689">
          <cell r="B689" t="str">
            <v>52503-06-7</v>
          </cell>
          <cell r="C689" t="str">
            <v>Ammonium antimony fluoride</v>
          </cell>
          <cell r="D689" t="str">
            <v>97-1-176</v>
          </cell>
          <cell r="E689" t="str">
            <v>무기 안티몬 화합물질[Inorganic antimony compounds] 및 이를 1% 이상 함유한 혼합물질. 다만, 산화 안티몬(Antimony(Ⅴ) pentoxide, Antimony(Ⅳ) tetroxide), 황화안티몬(Antimony(Ⅴ) pentasulfide, Antimony(Ⅲ) trisulfide), 안티몬산(HSbO3) 염류(Antimonic(Ⅴ) acid, salts), 피그먼트 브라운 24(C.I. Pigment Brown 24), 피그먼트 옐로우 53 (C.I. Pigment Yellow 53) 및 이를 함유한 혼합물질과 산화안티몬(Antimony(Ⅲ) trioxide)을 함유한 혼합물질은 제외</v>
          </cell>
          <cell r="F689">
            <v>1</v>
          </cell>
        </row>
        <row r="690">
          <cell r="B690" t="str">
            <v>54576-53-3</v>
          </cell>
          <cell r="C690" t="str">
            <v>Antimony nickel titanium oxide</v>
          </cell>
          <cell r="D690" t="str">
            <v>97-1-176</v>
          </cell>
          <cell r="E690" t="str">
            <v>무기 안티몬 화합물질[Inorganic antimony compounds] 및 이를 1% 이상 함유한 혼합물질. 다만, 산화 안티몬(Antimony(Ⅴ) pentoxide, Antimony(Ⅳ) tetroxide), 황화안티몬(Antimony(Ⅴ) pentasulfide, Antimony(Ⅲ) trisulfide), 안티몬산(HSbO3) 염류(Antimonic(Ⅴ) acid, salts), 피그먼트 브라운 24(C.I. Pigment Brown 24), 피그먼트 옐로우 53 (C.I. Pigment Yellow 53) 및 이를 함유한 혼합물질과 산화안티몬(Antimony(Ⅲ) trioxide)을 함유한 혼합물질은 제외</v>
          </cell>
          <cell r="F690">
            <v>1</v>
          </cell>
        </row>
        <row r="691">
          <cell r="B691" t="str">
            <v>54847-25-5</v>
          </cell>
          <cell r="C691" t="str">
            <v>Antimony silicate</v>
          </cell>
          <cell r="D691" t="str">
            <v>97-1-176</v>
          </cell>
          <cell r="E691" t="str">
            <v>무기 안티몬 화합물질[Inorganic antimony compounds] 및 이를 1% 이상 함유한 혼합물질. 다만, 산화 안티몬(Antimony(Ⅴ) pentoxide, Antimony(Ⅳ) tetroxide), 황화안티몬(Antimony(Ⅴ) pentasulfide, Antimony(Ⅲ) trisulfide), 안티몬산(HSbO3) 염류(Antimonic(Ⅴ) acid, salts), 피그먼트 브라운 24(C.I. Pigment Brown 24), 피그먼트 옐로우 53 (C.I. Pigment Yellow 53) 및 이를 함유한 혼합물질과 산화안티몬(Antimony(Ⅲ) trioxide)을 함유한 혼합물질은 제외</v>
          </cell>
          <cell r="F691">
            <v>1</v>
          </cell>
        </row>
        <row r="692">
          <cell r="B692" t="str">
            <v>55467-74-8</v>
          </cell>
          <cell r="C692" t="str">
            <v>Nickel antimonate</v>
          </cell>
          <cell r="D692" t="str">
            <v>97-1-176</v>
          </cell>
          <cell r="E692" t="str">
            <v>무기 안티몬 화합물질[Inorganic antimony compounds] 및 이를 1% 이상 함유한 혼합물질. 다만, 산화 안티몬(Antimony(Ⅴ) pentoxide, Antimony(Ⅳ) tetroxide), 황화안티몬(Antimony(Ⅴ) pentasulfide, Antimony(Ⅲ) trisulfide), 안티몬산(HSbO3) 염류(Antimonic(Ⅴ) acid, salts), 피그먼트 브라운 24(C.I. Pigment Brown 24), 피그먼트 옐로우 53 (C.I. Pigment Yellow 53) 및 이를 함유한 혼합물질과 산화안티몬(Antimony(Ⅲ) trioxide)을 함유한 혼합물질은 제외</v>
          </cell>
          <cell r="F692">
            <v>1</v>
          </cell>
        </row>
        <row r="693">
          <cell r="B693" t="str">
            <v>57762-28-4</v>
          </cell>
          <cell r="C693" t="str">
            <v>Propionylium hexachloroantimonate(1-)</v>
          </cell>
          <cell r="D693" t="str">
            <v>97-1-176</v>
          </cell>
          <cell r="E693" t="str">
            <v>무기 안티몬 화합물질[Inorganic antimony compounds] 및 이를 1% 이상 함유한 혼합물질. 다만, 산화 안티몬(Antimony(Ⅴ) pentoxide, Antimony(Ⅳ) tetroxide), 황화안티몬(Antimony(Ⅴ) pentasulfide, Antimony(Ⅲ) trisulfide), 안티몬산(HSbO3) 염류(Antimonic(Ⅴ) acid, salts), 피그먼트 브라운 24(C.I. Pigment Brown 24), 피그먼트 옐로우 53 (C.I. Pigment Yellow 53) 및 이를 함유한 혼합물질과 산화안티몬(Antimony(Ⅲ) trioxide)을 함유한 혼합물질은 제외</v>
          </cell>
          <cell r="F693">
            <v>1</v>
          </cell>
        </row>
        <row r="694">
          <cell r="B694" t="str">
            <v>68187-54-2</v>
          </cell>
          <cell r="C694" t="str">
            <v>C.I. Pigment Black 23</v>
          </cell>
          <cell r="D694" t="str">
            <v>97-1-176</v>
          </cell>
          <cell r="E694" t="str">
            <v>무기 안티몬 화합물질[Inorganic antimony compounds] 및 이를 1% 이상 함유한 혼합물질. 다만, 산화 안티몬(Antimony(Ⅴ) pentoxide, Antimony(Ⅳ) tetroxide), 황화안티몬(Antimony(Ⅴ) pentasulfide, Antimony(Ⅲ) trisulfide), 안티몬산(HSbO3) 염류(Antimonic(Ⅴ) acid, salts), 피그먼트 브라운 24(C.I. Pigment Brown 24), 피그먼트 옐로우 53 (C.I. Pigment Yellow 53) 및 이를 함유한 혼합물질과 산화안티몬(Antimony(Ⅲ) trioxide)을 함유한 혼합물질은 제외</v>
          </cell>
          <cell r="F694">
            <v>1</v>
          </cell>
        </row>
        <row r="695">
          <cell r="B695" t="str">
            <v>68412-38-4</v>
          </cell>
          <cell r="C695" t="str">
            <v>C.I. pigment yellow 164</v>
          </cell>
          <cell r="D695" t="str">
            <v>97-1-176</v>
          </cell>
          <cell r="E695" t="str">
            <v>무기 안티몬 화합물질[Inorganic antimony compounds] 및 이를 1% 이상 함유한 혼합물질. 다만, 산화 안티몬(Antimony(Ⅴ) pentoxide, Antimony(Ⅳ) tetroxide), 황화안티몬(Antimony(Ⅴ) pentasulfide, Antimony(Ⅲ) trisulfide), 안티몬산(HSbO3) 염류(Antimonic(Ⅴ) acid, salts), 피그먼트 브라운 24(C.I. Pigment Brown 24), 피그먼트 옐로우 53 (C.I. Pigment Yellow 53) 및 이를 함유한 혼합물질과 산화안티몬(Antimony(Ⅲ) trioxide)을 함유한 혼합물질은 제외</v>
          </cell>
          <cell r="F695">
            <v>1</v>
          </cell>
        </row>
        <row r="696">
          <cell r="B696" t="str">
            <v>68784-78-1</v>
          </cell>
          <cell r="C696" t="str">
            <v>Strontium fluoride phosphate (Sr5F(PO4)3), antimony and manganese-doped</v>
          </cell>
          <cell r="D696" t="str">
            <v>97-1-176</v>
          </cell>
          <cell r="E696" t="str">
            <v>무기 안티몬 화합물질[Inorganic antimony compounds] 및 이를 1% 이상 함유한 혼합물질. 다만, 산화 안티몬(Antimony(Ⅴ) pentoxide, Antimony(Ⅳ) tetroxide), 황화안티몬(Antimony(Ⅴ) pentasulfide, Antimony(Ⅲ) trisulfide), 안티몬산(HSbO3) 염류(Antimonic(Ⅴ) acid, salts), 피그먼트 브라운 24(C.I. Pigment Brown 24), 피그먼트 옐로우 53 (C.I. Pigment Yellow 53) 및 이를 함유한 혼합물질과 산화안티몬(Antimony(Ⅲ) trioxide)을 함유한 혼합물질은 제외</v>
          </cell>
          <cell r="F696">
            <v>1</v>
          </cell>
        </row>
        <row r="697">
          <cell r="B697" t="str">
            <v>68956-96-7</v>
          </cell>
          <cell r="C697" t="str">
            <v>Rosin, sulfurized, antimony salt</v>
          </cell>
          <cell r="D697" t="str">
            <v>97-1-176</v>
          </cell>
          <cell r="E697" t="str">
            <v>무기 안티몬 화합물질[Inorganic antimony compounds] 및 이를 1% 이상 함유한 혼합물질. 다만, 산화 안티몬(Antimony(Ⅴ) pentoxide, Antimony(Ⅳ) tetroxide), 황화안티몬(Antimony(Ⅴ) pentasulfide, Antimony(Ⅲ) trisulfide), 안티몬산(HSbO3) 염류(Antimonic(Ⅴ) acid, salts), 피그먼트 브라운 24(C.I. Pigment Brown 24), 피그먼트 옐로우 53 (C.I. Pigment Yellow 53) 및 이를 함유한 혼합물질과 산화안티몬(Antimony(Ⅲ) trioxide)을 함유한 혼합물질은 제외</v>
          </cell>
          <cell r="F697">
            <v>1</v>
          </cell>
        </row>
        <row r="698">
          <cell r="B698" t="str">
            <v>69011-08-1</v>
          </cell>
          <cell r="C698" t="str">
            <v>Chromium titanium antimonate oxide (CrTi10(SbO3)O20)</v>
          </cell>
          <cell r="D698" t="str">
            <v>97-1-176</v>
          </cell>
          <cell r="E698" t="str">
            <v>무기 안티몬 화합물질[Inorganic antimony compounds] 및 이를 1% 이상 함유한 혼합물질. 다만, 산화 안티몬(Antimony(Ⅴ) pentoxide, Antimony(Ⅳ) tetroxide), 황화안티몬(Antimony(Ⅴ) pentasulfide, Antimony(Ⅲ) trisulfide), 안티몬산(HSbO3) 염류(Antimonic(Ⅴ) acid, salts), 피그먼트 브라운 24(C.I. Pigment Brown 24), 피그먼트 옐로우 53 (C.I. Pigment Yellow 53) 및 이를 함유한 혼합물질과 산화안티몬(Antimony(Ⅲ) trioxide)을 함유한 혼합물질은 제외</v>
          </cell>
          <cell r="F698">
            <v>1</v>
          </cell>
        </row>
        <row r="699">
          <cell r="B699" t="str">
            <v>69991-68-0</v>
          </cell>
          <cell r="C699" t="str">
            <v>Rutile, antimony chromium manganese brown</v>
          </cell>
          <cell r="D699" t="str">
            <v>97-1-176</v>
          </cell>
          <cell r="E699" t="str">
            <v>무기 안티몬 화합물질[Inorganic antimony compounds] 및 이를 1% 이상 함유한 혼합물질. 다만, 산화 안티몬(Antimony(Ⅴ) pentoxide, Antimony(Ⅳ) tetroxide), 황화안티몬(Antimony(Ⅴ) pentasulfide, Antimony(Ⅲ) trisulfide), 안티몬산(HSbO3) 염류(Antimonic(Ⅴ) acid, salts), 피그먼트 브라운 24(C.I. Pigment Brown 24), 피그먼트 옐로우 53 (C.I. Pigment Yellow 53) 및 이를 함유한 혼합물질과 산화안티몬(Antimony(Ⅲ) trioxide)을 함유한 혼합물질은 제외</v>
          </cell>
          <cell r="F699">
            <v>1</v>
          </cell>
        </row>
        <row r="700">
          <cell r="B700" t="str">
            <v>70495-28-2</v>
          </cell>
          <cell r="C700" t="str">
            <v>Zirconium antimonide (ZrSb)</v>
          </cell>
          <cell r="D700" t="str">
            <v>97-1-176</v>
          </cell>
          <cell r="E700" t="str">
            <v>무기 안티몬 화합물질[Inorganic antimony compounds] 및 이를 1% 이상 함유한 혼합물질. 다만, 산화 안티몬(Antimony(Ⅴ) pentoxide, Antimony(Ⅳ) tetroxide), 황화안티몬(Antimony(Ⅴ) pentasulfide, Antimony(Ⅲ) trisulfide), 안티몬산(HSbO3) 염류(Antimonic(Ⅴ) acid, salts), 피그먼트 브라운 24(C.I. Pigment Brown 24), 피그먼트 옐로우 53 (C.I. Pigment Yellow 53) 및 이를 함유한 혼합물질과 산화안티몬(Antimony(Ⅲ) trioxide)을 함유한 혼합물질은 제외</v>
          </cell>
          <cell r="F700">
            <v>1</v>
          </cell>
        </row>
        <row r="701">
          <cell r="B701" t="str">
            <v>7446-32-4</v>
          </cell>
          <cell r="C701" t="str">
            <v>Diantimony tris(sulfate)</v>
          </cell>
          <cell r="D701" t="str">
            <v>97-1-176</v>
          </cell>
          <cell r="E701" t="str">
            <v>무기 안티몬 화합물질[Inorganic antimony compounds] 및 이를 1% 이상 함유한 혼합물질. 다만, 산화 안티몬(Antimony(Ⅴ) pentoxide, Antimony(Ⅳ) tetroxide), 황화안티몬(Antimony(Ⅴ) pentasulfide, Antimony(Ⅲ) trisulfide), 안티몬산(HSbO3) 염류(Antimonic(Ⅴ) acid, salts), 피그먼트 브라운 24(C.I. Pigment Brown 24), 피그먼트 옐로우 53 (C.I. Pigment Yellow 53) 및 이를 함유한 혼합물질과 산화안티몬(Antimony(Ⅲ) trioxide)을 함유한 혼합물질은 제외</v>
          </cell>
          <cell r="F701">
            <v>1</v>
          </cell>
        </row>
        <row r="702">
          <cell r="B702" t="str">
            <v>7647-18-9</v>
          </cell>
          <cell r="C702" t="str">
            <v>Antimony pentachloride</v>
          </cell>
          <cell r="D702" t="str">
            <v>97-1-176</v>
          </cell>
          <cell r="E702" t="str">
            <v>무기 안티몬 화합물질[Inorganic antimony compounds] 및 이를 1% 이상 함유한 혼합물질. 다만, 산화 안티몬(Antimony(Ⅴ) pentoxide, Antimony(Ⅳ) tetroxide), 황화안티몬(Antimony(Ⅴ) pentasulfide, Antimony(Ⅲ) trisulfide), 안티몬산(HSbO3) 염류(Antimonic(Ⅴ) acid, salts), 피그먼트 브라운 24(C.I. Pigment Brown 24), 피그먼트 옐로우 53 (C.I. Pigment Yellow 53) 및 이를 함유한 혼합물질과 산화안티몬(Antimony(Ⅲ) trioxide)을 함유한 혼합물질은 제외</v>
          </cell>
          <cell r="F702">
            <v>1</v>
          </cell>
        </row>
        <row r="703">
          <cell r="B703" t="str">
            <v>7783-56-4</v>
          </cell>
          <cell r="C703" t="str">
            <v>Antimony trifluoride</v>
          </cell>
          <cell r="D703" t="str">
            <v>97-1-176</v>
          </cell>
          <cell r="E703" t="str">
            <v>무기 안티몬 화합물질[Inorganic antimony compounds] 및 이를 1% 이상 함유한 혼합물질. 다만, 산화 안티몬(Antimony(Ⅴ) pentoxide, Antimony(Ⅳ) tetroxide), 황화안티몬(Antimony(Ⅴ) pentasulfide, Antimony(Ⅲ) trisulfide), 안티몬산(HSbO3) 염류(Antimonic(Ⅴ) acid, salts), 피그먼트 브라운 24(C.I. Pigment Brown 24), 피그먼트 옐로우 53 (C.I. Pigment Yellow 53) 및 이를 함유한 혼합물질과 산화안티몬(Antimony(Ⅲ) trioxide)을 함유한 혼합물질은 제외</v>
          </cell>
          <cell r="F703">
            <v>1</v>
          </cell>
        </row>
        <row r="704">
          <cell r="B704" t="str">
            <v>7783-70-2</v>
          </cell>
          <cell r="C704" t="str">
            <v>Antimony fluoride ; Antimony pentafluoride</v>
          </cell>
          <cell r="D704" t="str">
            <v>97-1-176</v>
          </cell>
          <cell r="E704" t="str">
            <v>무기 안티몬 화합물질[Inorganic antimony compounds] 및 이를 1% 이상 함유한 혼합물질. 다만, 산화 안티몬(Antimony(Ⅴ) pentoxide, Antimony(Ⅳ) tetroxide), 황화안티몬(Antimony(Ⅴ) pentasulfide, Antimony(Ⅲ) trisulfide), 안티몬산(HSbO3) 염류(Antimonic(Ⅴ) acid, salts), 피그먼트 브라운 24(C.I. Pigment Brown 24), 피그먼트 옐로우 53 (C.I. Pigment Yellow 53) 및 이를 함유한 혼합물질과 산화안티몬(Antimony(Ⅲ) trioxide)을 함유한 혼합물질은 제외</v>
          </cell>
          <cell r="F704">
            <v>1</v>
          </cell>
        </row>
        <row r="705">
          <cell r="B705" t="str">
            <v>7789-61-9</v>
          </cell>
          <cell r="C705" t="str">
            <v>Antimony tribromide</v>
          </cell>
          <cell r="D705" t="str">
            <v>97-1-176</v>
          </cell>
          <cell r="E705" t="str">
            <v>무기 안티몬 화합물질[Inorganic antimony compounds] 및 이를 1% 이상 함유한 혼합물질. 다만, 산화 안티몬(Antimony(Ⅴ) pentoxide, Antimony(Ⅳ) tetroxide), 황화안티몬(Antimony(Ⅴ) pentasulfide, Antimony(Ⅲ) trisulfide), 안티몬산(HSbO3) 염류(Antimonic(Ⅴ) acid, salts), 피그먼트 브라운 24(C.I. Pigment Brown 24), 피그먼트 옐로우 53 (C.I. Pigment Yellow 53) 및 이를 함유한 혼합물질과 산화안티몬(Antimony(Ⅲ) trioxide)을 함유한 혼합물질은 제외</v>
          </cell>
          <cell r="F705">
            <v>1</v>
          </cell>
        </row>
        <row r="706">
          <cell r="B706" t="str">
            <v>7790-44-5</v>
          </cell>
          <cell r="C706" t="str">
            <v>Antimony triiodide</v>
          </cell>
          <cell r="D706" t="str">
            <v>97-1-176</v>
          </cell>
          <cell r="E706" t="str">
            <v>무기 안티몬 화합물질[Inorganic antimony compounds] 및 이를 1% 이상 함유한 혼합물질. 다만, 산화 안티몬(Antimony(Ⅴ) pentoxide, Antimony(Ⅳ) tetroxide), 황화안티몬(Antimony(Ⅴ) pentasulfide, Antimony(Ⅲ) trisulfide), 안티몬산(HSbO3) 염류(Antimonic(Ⅴ) acid, salts), 피그먼트 브라운 24(C.I. Pigment Brown 24), 피그먼트 옐로우 53 (C.I. Pigment Yellow 53) 및 이를 함유한 혼합물질과 산화안티몬(Antimony(Ⅲ) trioxide)을 함유한 혼합물질은 제외</v>
          </cell>
          <cell r="F706">
            <v>1</v>
          </cell>
        </row>
        <row r="707">
          <cell r="B707" t="str">
            <v>7791-08-4</v>
          </cell>
          <cell r="C707" t="str">
            <v>Antimony monochloride monooxide</v>
          </cell>
          <cell r="D707" t="str">
            <v>97-1-176</v>
          </cell>
          <cell r="E707" t="str">
            <v>무기 안티몬 화합물질[Inorganic antimony compounds] 및 이를 1% 이상 함유한 혼합물질. 다만, 산화 안티몬(Antimony(Ⅴ) pentoxide, Antimony(Ⅳ) tetroxide), 황화안티몬(Antimony(Ⅴ) pentasulfide, Antimony(Ⅲ) trisulfide), 안티몬산(HSbO3) 염류(Antimonic(Ⅴ) acid, salts), 피그먼트 브라운 24(C.I. Pigment Brown 24), 피그먼트 옐로우 53 (C.I. Pigment Yellow 53) 및 이를 함유한 혼합물질과 산화안티몬(Antimony(Ⅲ) trioxide)을 함유한 혼합물질은 제외</v>
          </cell>
          <cell r="F707">
            <v>1</v>
          </cell>
        </row>
        <row r="708">
          <cell r="B708" t="str">
            <v>8012-00-8</v>
          </cell>
          <cell r="C708" t="str">
            <v>C.I. pigment yellow 041</v>
          </cell>
          <cell r="D708" t="str">
            <v>97-1-176</v>
          </cell>
          <cell r="E708" t="str">
            <v>무기 안티몬 화합물질[Inorganic antimony compounds] 및 이를 1% 이상 함유한 혼합물질. 다만, 산화 안티몬(Antimony(Ⅴ) pentoxide, Antimony(Ⅳ) tetroxide), 황화안티몬(Antimony(Ⅴ) pentasulfide, Antimony(Ⅲ) trisulfide), 안티몬산(HSbO3) 염류(Antimonic(Ⅴ) acid, salts), 피그먼트 브라운 24(C.I. Pigment Brown 24), 피그먼트 옐로우 53 (C.I. Pigment Yellow 53) 및 이를 함유한 혼합물질과 산화안티몬(Antimony(Ⅲ) trioxide)을 함유한 혼합물질은 제외</v>
          </cell>
          <cell r="F708">
            <v>1</v>
          </cell>
        </row>
        <row r="709">
          <cell r="B709" t="str">
            <v>95193-93-4</v>
          </cell>
          <cell r="C709" t="str">
            <v>Rutiles, antimony titanium yellow orange</v>
          </cell>
          <cell r="D709" t="str">
            <v>97-1-176</v>
          </cell>
          <cell r="E709" t="str">
            <v>무기 안티몬 화합물질[Inorganic antimony compounds] 및 이를 1% 이상 함유한 혼합물질. 다만, 산화 안티몬(Antimony(Ⅴ) pentoxide, Antimony(Ⅳ) tetroxide), 황화안티몬(Antimony(Ⅴ) pentasulfide, Antimony(Ⅲ) trisulfide), 안티몬산(HSbO3) 염류(Antimonic(Ⅴ) acid, salts), 피그먼트 브라운 24(C.I. Pigment Brown 24), 피그먼트 옐로우 53 (C.I. Pigment Yellow 53) 및 이를 함유한 혼합물질과 산화안티몬(Antimony(Ⅲ) trioxide)을 함유한 혼합물질은 제외</v>
          </cell>
          <cell r="F709">
            <v>1</v>
          </cell>
        </row>
        <row r="710">
          <cell r="C710" t="str">
            <v>Inorganic antimony compounds</v>
          </cell>
          <cell r="D710" t="str">
            <v>97-1-176</v>
          </cell>
          <cell r="E710" t="str">
            <v>무기 안티몬 화합물질[Inorganic antimony compounds] 및 이를 1% 이상 함유한 혼합물질. 다만, 산화 안티몬(Antimony(Ⅴ) pentoxide, Antimony(Ⅳ) tetroxide), 황화안티몬(Antimony(Ⅴ) pentasulfide, Antimony(Ⅲ) trisulfide), 안티몬산(HSbO3) 염류(Antimonic(Ⅴ) acid, salts), 피그먼트 브라운 24(C.I. Pigment Brown 24), 피그먼트 옐로우 53 (C.I. Pigment Yellow 53) 및 이를 함유한 혼합물질과 산화안티몬(Antimony(Ⅲ) trioxide)을 함유한 혼합물질은 제외</v>
          </cell>
          <cell r="F710">
            <v>1</v>
          </cell>
        </row>
        <row r="711">
          <cell r="B711" t="str">
            <v>1646-88-4</v>
          </cell>
          <cell r="C711" t="str">
            <v>Aldoxycarb</v>
          </cell>
          <cell r="D711" t="str">
            <v>97-1-177</v>
          </cell>
          <cell r="E711" t="str">
            <v>및 이를 1% 이상 함유한 혼합물질</v>
          </cell>
          <cell r="F711">
            <v>1</v>
          </cell>
        </row>
        <row r="712">
          <cell r="B712" t="str">
            <v>309-00-2</v>
          </cell>
          <cell r="C712" t="str">
            <v>Aldrin</v>
          </cell>
          <cell r="D712" t="str">
            <v>97-1-178</v>
          </cell>
          <cell r="E712" t="str">
            <v>및 이를 0.1% 이상 함유한 혼합물질</v>
          </cell>
          <cell r="F712">
            <v>0.1</v>
          </cell>
        </row>
        <row r="713">
          <cell r="B713" t="str">
            <v>116-06-3</v>
          </cell>
          <cell r="C713" t="str">
            <v>Aldicarb</v>
          </cell>
          <cell r="D713" t="str">
            <v>97-1-179</v>
          </cell>
          <cell r="E713" t="str">
            <v>및 이를 1% 이상 함유한 혼합물질</v>
          </cell>
          <cell r="F713">
            <v>1</v>
          </cell>
        </row>
        <row r="714">
          <cell r="B714" t="str">
            <v>52918-63-5</v>
          </cell>
          <cell r="C714" t="str">
            <v>Decamethrin</v>
          </cell>
          <cell r="D714" t="str">
            <v>97-1-18</v>
          </cell>
          <cell r="E714" t="str">
            <v>및 이를 25% 이상 함유한 혼합물질</v>
          </cell>
          <cell r="F714">
            <v>25</v>
          </cell>
        </row>
        <row r="715">
          <cell r="B715" t="str">
            <v>83130-01-2</v>
          </cell>
          <cell r="C715" t="str">
            <v>Alanycarb</v>
          </cell>
          <cell r="D715" t="str">
            <v>97-1-180</v>
          </cell>
          <cell r="E715" t="str">
            <v>및 이를 25% 이상 함유한 혼합물질</v>
          </cell>
          <cell r="F715">
            <v>25</v>
          </cell>
        </row>
        <row r="716">
          <cell r="B716" t="str">
            <v>6392-46-7</v>
          </cell>
          <cell r="C716" t="str">
            <v>Allyxycarb</v>
          </cell>
          <cell r="D716" t="str">
            <v>97-1-181</v>
          </cell>
          <cell r="E716" t="str">
            <v>및 이를 1% 이상 함유한 혼합물질</v>
          </cell>
          <cell r="F716">
            <v>1</v>
          </cell>
        </row>
        <row r="717">
          <cell r="B717" t="str">
            <v>107-18-6</v>
          </cell>
          <cell r="C717" t="str">
            <v>2-Propen-1-ol</v>
          </cell>
          <cell r="D717" t="str">
            <v>97-1-182</v>
          </cell>
          <cell r="E717" t="str">
            <v>및 이를 25% 이상 함유한 혼합물질</v>
          </cell>
          <cell r="F717">
            <v>25</v>
          </cell>
        </row>
        <row r="718">
          <cell r="B718" t="str">
            <v>100-61-8</v>
          </cell>
          <cell r="C718" t="str">
            <v>N-Methylbenzenamine</v>
          </cell>
          <cell r="D718" t="str">
            <v>97-1-183</v>
          </cell>
          <cell r="E718" t="str">
            <v>및 그 염류를 25% 이상 함유한 혼합물질</v>
          </cell>
          <cell r="F718">
            <v>25</v>
          </cell>
        </row>
        <row r="719">
          <cell r="B719" t="str">
            <v>103-69-5</v>
          </cell>
          <cell r="C719" t="str">
            <v>N-Ethylaniline</v>
          </cell>
          <cell r="D719" t="str">
            <v>97-1-183</v>
          </cell>
          <cell r="E719" t="str">
            <v>및 그 염류를 25% 이상 함유한 혼합물질</v>
          </cell>
          <cell r="F719">
            <v>25</v>
          </cell>
        </row>
        <row r="720">
          <cell r="B720" t="str">
            <v>121-69-7</v>
          </cell>
          <cell r="C720" t="str">
            <v>N,N-Dimethylaniline</v>
          </cell>
          <cell r="D720" t="str">
            <v>97-1-183</v>
          </cell>
          <cell r="E720" t="str">
            <v>및 그 염류를 25% 이상 함유한 혼합물질</v>
          </cell>
          <cell r="F720">
            <v>25</v>
          </cell>
        </row>
        <row r="721">
          <cell r="B721" t="str">
            <v>622-80-0</v>
          </cell>
          <cell r="C721" t="str">
            <v>N-Propylaniline</v>
          </cell>
          <cell r="D721" t="str">
            <v>97-1-183</v>
          </cell>
          <cell r="E721" t="str">
            <v>및 그 염류를 25% 이상 함유한 혼합물질</v>
          </cell>
          <cell r="F721">
            <v>25</v>
          </cell>
        </row>
        <row r="722">
          <cell r="B722" t="str">
            <v>768-52-5</v>
          </cell>
          <cell r="C722" t="str">
            <v>N-Isopropylaniline ; n-Isopropyl aniline</v>
          </cell>
          <cell r="D722" t="str">
            <v>97-1-183</v>
          </cell>
          <cell r="E722" t="str">
            <v>및 그 염류를 25% 이상 함유한 혼합물질</v>
          </cell>
          <cell r="F722">
            <v>25</v>
          </cell>
        </row>
        <row r="723">
          <cell r="B723" t="str">
            <v>87-59-2</v>
          </cell>
          <cell r="C723" t="str">
            <v>2,3-Dimethylbenzenamine</v>
          </cell>
          <cell r="D723" t="str">
            <v>97-1-183</v>
          </cell>
          <cell r="E723" t="str">
            <v>및 그 염류를 25% 이상 함유한 혼합물질</v>
          </cell>
          <cell r="F723">
            <v>25</v>
          </cell>
        </row>
        <row r="724">
          <cell r="B724" t="str">
            <v>91-66-7</v>
          </cell>
          <cell r="C724" t="str">
            <v>N,N-Diethylbenzenamine</v>
          </cell>
          <cell r="D724" t="str">
            <v>97-1-183</v>
          </cell>
          <cell r="E724" t="str">
            <v>및 그 염류를 25% 이상 함유한 혼합물질</v>
          </cell>
          <cell r="F724">
            <v>25</v>
          </cell>
        </row>
        <row r="725">
          <cell r="C725" t="str">
            <v>Alkyl aniline</v>
          </cell>
          <cell r="D725" t="str">
            <v>97-1-183</v>
          </cell>
          <cell r="E725" t="str">
            <v>및 그 염류를 25% 이상 함유한 혼합물질</v>
          </cell>
          <cell r="F725">
            <v>25</v>
          </cell>
        </row>
        <row r="726">
          <cell r="C726" t="str">
            <v>Alkyl aniline, salts</v>
          </cell>
          <cell r="D726" t="str">
            <v>97-1-183</v>
          </cell>
          <cell r="E726" t="str">
            <v>및 그 염류를 25% 이상 함유한 혼합물질</v>
          </cell>
          <cell r="F726">
            <v>25</v>
          </cell>
        </row>
        <row r="727">
          <cell r="B727" t="str">
            <v>1336-21-6</v>
          </cell>
          <cell r="C727" t="str">
            <v>Ammonium hydroxide</v>
          </cell>
          <cell r="D727" t="str">
            <v>97-1-184</v>
          </cell>
          <cell r="E727" t="str">
            <v>및 이를 10% 이상 함유한 혼합물질</v>
          </cell>
          <cell r="F727">
            <v>10</v>
          </cell>
        </row>
        <row r="728">
          <cell r="B728" t="str">
            <v>7664-41-7</v>
          </cell>
          <cell r="C728" t="str">
            <v>Ammonia</v>
          </cell>
          <cell r="D728" t="str">
            <v>97-1-184</v>
          </cell>
          <cell r="E728" t="str">
            <v>및 이를 10% 이상 함유한 혼합물질</v>
          </cell>
          <cell r="F728">
            <v>10</v>
          </cell>
        </row>
        <row r="729">
          <cell r="B729" t="str">
            <v>17109-49-8</v>
          </cell>
          <cell r="C729" t="str">
            <v>Phosphorodithioic acid O-ethyl S,S-diphenyl ester ; Edifenphos</v>
          </cell>
          <cell r="D729" t="str">
            <v>97-1-185</v>
          </cell>
          <cell r="E729" t="str">
            <v>및 이를 2% 이상 함유한 혼합물질</v>
          </cell>
          <cell r="F729">
            <v>2</v>
          </cell>
        </row>
        <row r="730">
          <cell r="B730" t="str">
            <v>50-14-6</v>
          </cell>
          <cell r="C730" t="str">
            <v>Ergocalciferol</v>
          </cell>
          <cell r="D730" t="str">
            <v>97-1-186</v>
          </cell>
          <cell r="E730" t="str">
            <v>및 이를 1% 이상 함유한 혼합물질</v>
          </cell>
          <cell r="F730">
            <v>1</v>
          </cell>
        </row>
        <row r="731">
          <cell r="B731" t="str">
            <v>67-97-0</v>
          </cell>
          <cell r="C731" t="str">
            <v>Ebivit</v>
          </cell>
          <cell r="D731" t="str">
            <v>97-1-187</v>
          </cell>
          <cell r="E731" t="str">
            <v>및 이를 1% 이상 함유한 혼합물질</v>
          </cell>
          <cell r="F731">
            <v>1</v>
          </cell>
        </row>
        <row r="732">
          <cell r="B732" t="str">
            <v>79456-26-1</v>
          </cell>
          <cell r="C732" t="str">
            <v>ACTP</v>
          </cell>
          <cell r="D732" t="str">
            <v>97-1-188</v>
          </cell>
          <cell r="E732" t="str">
            <v>및 이를 25% 이상 함유한 혼합물질</v>
          </cell>
          <cell r="F732">
            <v>25</v>
          </cell>
        </row>
        <row r="733">
          <cell r="B733" t="str">
            <v>13194-48-4</v>
          </cell>
          <cell r="C733" t="str">
            <v>Phosphorodithioic acid O-ethyl S,S-dipropyl ester ; Ethoprophos ; Mocap</v>
          </cell>
          <cell r="D733" t="str">
            <v>97-1-189</v>
          </cell>
          <cell r="E733" t="str">
            <v>및 이를 1% 이상 함유한 혼합물질</v>
          </cell>
          <cell r="F733">
            <v>1</v>
          </cell>
        </row>
        <row r="734">
          <cell r="B734" t="str">
            <v>2439-10-3</v>
          </cell>
          <cell r="C734" t="str">
            <v>Dodine</v>
          </cell>
          <cell r="D734" t="str">
            <v>97-1-19</v>
          </cell>
          <cell r="E734" t="str">
            <v>및 이를 25% 이상 함유한 혼합물질</v>
          </cell>
          <cell r="F734">
            <v>25</v>
          </cell>
        </row>
        <row r="735">
          <cell r="B735" t="str">
            <v>29973-13-5</v>
          </cell>
          <cell r="C735" t="str">
            <v>Ethiofencarb</v>
          </cell>
          <cell r="D735" t="str">
            <v>97-1-190</v>
          </cell>
          <cell r="E735" t="str">
            <v>및 이를 1% 이상 함유한 혼합물질</v>
          </cell>
          <cell r="F735">
            <v>1</v>
          </cell>
        </row>
        <row r="736">
          <cell r="B736" t="str">
            <v>563-12-2</v>
          </cell>
          <cell r="C736" t="str">
            <v>Phosphorodithioic acid, S,S'-methylene O,O,O',O'-tetraethyl ester ; Ethion</v>
          </cell>
          <cell r="D736" t="str">
            <v>97-1-191</v>
          </cell>
          <cell r="E736" t="str">
            <v>및 이를 1% 이상 함유한 혼합물질</v>
          </cell>
          <cell r="F736">
            <v>1</v>
          </cell>
        </row>
        <row r="737">
          <cell r="B737" t="str">
            <v>106-89-8</v>
          </cell>
          <cell r="C737" t="str">
            <v>1-Chloro-2,3-epoxypropane ; Epichlorohydrin</v>
          </cell>
          <cell r="D737" t="str">
            <v>97-1-192</v>
          </cell>
          <cell r="E737" t="str">
            <v>및 이를 0.1% 이상 함유한 혼합물질</v>
          </cell>
          <cell r="F737">
            <v>0.1</v>
          </cell>
        </row>
        <row r="738">
          <cell r="B738" t="str">
            <v>115-29-7</v>
          </cell>
          <cell r="C738" t="str">
            <v>Endosulfan</v>
          </cell>
          <cell r="D738" t="str">
            <v>97-1-193</v>
          </cell>
          <cell r="E738" t="str">
            <v>및 이를 1% 이상 함유한 혼합물질</v>
          </cell>
          <cell r="F738">
            <v>1</v>
          </cell>
        </row>
        <row r="739">
          <cell r="B739" t="str">
            <v>33213-65-9</v>
          </cell>
          <cell r="C739" t="str">
            <v>β-Endosulfan</v>
          </cell>
          <cell r="D739" t="str">
            <v>97-1-193</v>
          </cell>
          <cell r="E739" t="str">
            <v>및 이를 1% 이상 함유한 혼합물질</v>
          </cell>
          <cell r="F739">
            <v>1</v>
          </cell>
        </row>
        <row r="740">
          <cell r="B740" t="str">
            <v>959-98-8</v>
          </cell>
          <cell r="C740" t="str">
            <v>α-Endosulfan</v>
          </cell>
          <cell r="D740" t="str">
            <v>97-1-193</v>
          </cell>
          <cell r="E740" t="str">
            <v>및 이를 1% 이상 함유한 혼합물질</v>
          </cell>
          <cell r="F740">
            <v>1</v>
          </cell>
        </row>
        <row r="741">
          <cell r="B741" t="str">
            <v>145-73-3</v>
          </cell>
          <cell r="C741" t="str">
            <v>Endothal</v>
          </cell>
          <cell r="D741" t="str">
            <v>97-1-194</v>
          </cell>
          <cell r="E741" t="str">
            <v>및 이를 1% 이상 함유한 혼합물질</v>
          </cell>
          <cell r="F741">
            <v>1</v>
          </cell>
        </row>
        <row r="742">
          <cell r="B742" t="str">
            <v>2778-04-3</v>
          </cell>
          <cell r="C742" t="str">
            <v>Endothion</v>
          </cell>
          <cell r="D742" t="str">
            <v>97-1-195</v>
          </cell>
          <cell r="E742" t="str">
            <v>및 이를 1% 이상 함유한 혼합물질</v>
          </cell>
          <cell r="F742">
            <v>1</v>
          </cell>
        </row>
        <row r="743">
          <cell r="B743" t="str">
            <v>72-20-8</v>
          </cell>
          <cell r="C743" t="str">
            <v>Endrin</v>
          </cell>
          <cell r="D743" t="str">
            <v>97-1-196</v>
          </cell>
          <cell r="E743" t="str">
            <v>및 이를 1% 이상 함유한 혼합물질</v>
          </cell>
          <cell r="F743">
            <v>1</v>
          </cell>
        </row>
        <row r="744">
          <cell r="B744" t="str">
            <v>5903-13-9</v>
          </cell>
          <cell r="C744" t="str">
            <v>MNFA</v>
          </cell>
          <cell r="D744" t="str">
            <v>97-1-197</v>
          </cell>
          <cell r="E744" t="str">
            <v>및 이를 1% 이상 함유한 혼합물질</v>
          </cell>
          <cell r="F744">
            <v>1</v>
          </cell>
        </row>
        <row r="745">
          <cell r="C745" t="str">
            <v>Chloric acid, salts</v>
          </cell>
          <cell r="D745" t="str">
            <v>97-1-198</v>
          </cell>
          <cell r="E745" t="str">
            <v>및 이를 1% 이상 함유한 혼합물질. 다만, 폭발약은 제외</v>
          </cell>
          <cell r="F745">
            <v>1</v>
          </cell>
        </row>
        <row r="746">
          <cell r="B746" t="str">
            <v>10137-74-3</v>
          </cell>
          <cell r="C746" t="str">
            <v>Calcium chlorate</v>
          </cell>
          <cell r="D746" t="str">
            <v>97-1-198</v>
          </cell>
          <cell r="E746" t="str">
            <v>및 이를 1% 이상 함유한 혼합물질. 다만, 폭발약은 제외</v>
          </cell>
          <cell r="F746">
            <v>1</v>
          </cell>
        </row>
        <row r="747">
          <cell r="B747" t="str">
            <v>10192-29-7</v>
          </cell>
          <cell r="C747" t="str">
            <v>Ammonium chlorate</v>
          </cell>
          <cell r="D747" t="str">
            <v>97-1-198</v>
          </cell>
          <cell r="E747" t="str">
            <v>및 이를 1% 이상 함유한 혼합물질. 다만, 폭발약은 제외</v>
          </cell>
          <cell r="F747">
            <v>1</v>
          </cell>
        </row>
        <row r="748">
          <cell r="B748" t="str">
            <v>10326-21-3</v>
          </cell>
          <cell r="C748" t="str">
            <v>Magnesium chlorate</v>
          </cell>
          <cell r="D748" t="str">
            <v>97-1-198</v>
          </cell>
          <cell r="E748" t="str">
            <v>및 이를 1% 이상 함유한 혼합물질. 다만, 폭발약은 제외</v>
          </cell>
          <cell r="F748">
            <v>1</v>
          </cell>
        </row>
        <row r="749">
          <cell r="B749" t="str">
            <v>10361-95-2</v>
          </cell>
          <cell r="C749" t="str">
            <v>Chloric acid, zinc salt</v>
          </cell>
          <cell r="D749" t="str">
            <v>97-1-198</v>
          </cell>
          <cell r="E749" t="str">
            <v>및 이를 1% 이상 함유한 혼합물질. 다만, 폭발약은 제외</v>
          </cell>
          <cell r="F749">
            <v>1</v>
          </cell>
        </row>
        <row r="750">
          <cell r="B750" t="str">
            <v>13453-71-9</v>
          </cell>
          <cell r="C750" t="str">
            <v>Lithium chlorate</v>
          </cell>
          <cell r="D750" t="str">
            <v>97-1-198</v>
          </cell>
          <cell r="E750" t="str">
            <v>및 이를 1% 이상 함유한 혼합물질. 다만, 폭발약은 제외</v>
          </cell>
          <cell r="F750">
            <v>1</v>
          </cell>
        </row>
        <row r="751">
          <cell r="B751" t="str">
            <v>13477-00-4</v>
          </cell>
          <cell r="C751" t="str">
            <v>Barium chlorate</v>
          </cell>
          <cell r="D751" t="str">
            <v>97-1-198</v>
          </cell>
          <cell r="E751" t="str">
            <v>및 이를 1% 이상 함유한 혼합물질. 다만, 폭발약은 제외</v>
          </cell>
          <cell r="F751">
            <v>1</v>
          </cell>
        </row>
        <row r="752">
          <cell r="B752" t="str">
            <v>14013-71-9</v>
          </cell>
          <cell r="C752" t="str">
            <v>Iron trichlorate</v>
          </cell>
          <cell r="D752" t="str">
            <v>97-1-198</v>
          </cell>
          <cell r="E752" t="str">
            <v>및 이를 1% 이상 함유한 혼합물질. 다만, 폭발약은 제외</v>
          </cell>
          <cell r="F752">
            <v>1</v>
          </cell>
        </row>
        <row r="753">
          <cell r="B753" t="str">
            <v>14721-21-2</v>
          </cell>
          <cell r="C753" t="str">
            <v>Copper dichlorate</v>
          </cell>
          <cell r="D753" t="str">
            <v>97-1-198</v>
          </cell>
          <cell r="E753" t="str">
            <v>및 이를 1% 이상 함유한 혼합물질. 다만, 폭발약은 제외</v>
          </cell>
          <cell r="F753">
            <v>1</v>
          </cell>
        </row>
        <row r="754">
          <cell r="B754" t="str">
            <v>15477-33-5</v>
          </cell>
          <cell r="C754" t="str">
            <v>Aluminium chlorate</v>
          </cell>
          <cell r="D754" t="str">
            <v>97-1-198</v>
          </cell>
          <cell r="E754" t="str">
            <v>및 이를 1% 이상 함유한 혼합물질. 다만, 폭발약은 제외</v>
          </cell>
          <cell r="F754">
            <v>1</v>
          </cell>
        </row>
        <row r="755">
          <cell r="B755" t="str">
            <v>3811-04-9</v>
          </cell>
          <cell r="C755" t="str">
            <v>Potassium chlorate</v>
          </cell>
          <cell r="D755" t="str">
            <v>97-1-198</v>
          </cell>
          <cell r="E755" t="str">
            <v>및 이를 1% 이상 함유한 혼합물질. 다만, 폭발약은 제외</v>
          </cell>
          <cell r="F755">
            <v>1</v>
          </cell>
        </row>
        <row r="756">
          <cell r="B756" t="str">
            <v>67952-43-6</v>
          </cell>
          <cell r="C756" t="str">
            <v>Nickel chlorate ; Chloric acid, nickel(2+) salt</v>
          </cell>
          <cell r="D756" t="str">
            <v>97-1-198</v>
          </cell>
          <cell r="E756" t="str">
            <v>및 이를 1% 이상 함유한 혼합물질. 다만, 폭발약은 제외</v>
          </cell>
          <cell r="F756">
            <v>1</v>
          </cell>
        </row>
        <row r="757">
          <cell r="B757" t="str">
            <v>7775-09-9</v>
          </cell>
          <cell r="C757" t="str">
            <v>Sodium chlorate</v>
          </cell>
          <cell r="D757" t="str">
            <v>97-1-198</v>
          </cell>
          <cell r="E757" t="str">
            <v>및 이를 1% 이상 함유한 혼합물질. 다만, 폭발약은 제외</v>
          </cell>
          <cell r="F757">
            <v>1</v>
          </cell>
        </row>
        <row r="758">
          <cell r="B758" t="str">
            <v>7783-92-8</v>
          </cell>
          <cell r="C758" t="str">
            <v>Silver chlorate</v>
          </cell>
          <cell r="D758" t="str">
            <v>97-1-198</v>
          </cell>
          <cell r="E758" t="str">
            <v>및 이를 1% 이상 함유한 혼합물질. 다만, 폭발약은 제외</v>
          </cell>
          <cell r="F758">
            <v>1</v>
          </cell>
        </row>
        <row r="759">
          <cell r="B759" t="str">
            <v>7791-10-8</v>
          </cell>
          <cell r="C759" t="str">
            <v>Strontium chlorate</v>
          </cell>
          <cell r="D759" t="str">
            <v>97-1-198</v>
          </cell>
          <cell r="E759" t="str">
            <v>및 이를 1% 이상 함유한 혼합물질. 다만, 폭발약은 제외</v>
          </cell>
          <cell r="F759">
            <v>1</v>
          </cell>
        </row>
        <row r="760">
          <cell r="B760" t="str">
            <v>3033-77-0</v>
          </cell>
          <cell r="C760" t="str">
            <v>2,3-Epoxypropyltrimethylammonium chloride ; Oxiranemethanaminium, N,N,N-trimethyl-, chloride</v>
          </cell>
          <cell r="D760" t="str">
            <v>97-1-199</v>
          </cell>
          <cell r="E760" t="str">
            <v>및 이를 0.1% 이상 함유한 혼합물질</v>
          </cell>
          <cell r="F760">
            <v>0.1</v>
          </cell>
        </row>
        <row r="761">
          <cell r="B761" t="str">
            <v>7722-84-1</v>
          </cell>
          <cell r="C761" t="str">
            <v>Hydrogen peroxide</v>
          </cell>
          <cell r="D761" t="str">
            <v>97-1-2</v>
          </cell>
          <cell r="E761" t="str">
            <v>및 이를 6% 이상 함유한 혼합물질</v>
          </cell>
          <cell r="F761">
            <v>6</v>
          </cell>
        </row>
        <row r="762">
          <cell r="B762" t="str">
            <v>5707-69-7</v>
          </cell>
          <cell r="C762" t="str">
            <v>Drazoxolon</v>
          </cell>
          <cell r="D762" t="str">
            <v>97-1-20</v>
          </cell>
          <cell r="E762" t="str">
            <v>및 이를 1% 이상 함유한 혼합물질</v>
          </cell>
          <cell r="F762">
            <v>1</v>
          </cell>
        </row>
        <row r="763">
          <cell r="B763" t="str">
            <v>139-07-1</v>
          </cell>
          <cell r="C763" t="str">
            <v>N-Dodecyl-N,N-dimethylbenzenemethanaminium chloride</v>
          </cell>
          <cell r="D763" t="str">
            <v>97-1-200</v>
          </cell>
          <cell r="E763" t="str">
            <v>및 이를 1% 이상 함유한 혼합물질</v>
          </cell>
          <cell r="F763">
            <v>1</v>
          </cell>
        </row>
        <row r="764">
          <cell r="B764" t="str">
            <v>139-08-2</v>
          </cell>
          <cell r="C764" t="str">
            <v>N,N-Dimethyl-N-tetradecylbenzenemethanaminium chloride</v>
          </cell>
          <cell r="D764" t="str">
            <v>97-1-200</v>
          </cell>
          <cell r="E764" t="str">
            <v>및 이를 1% 이상 함유한 혼합물질</v>
          </cell>
          <cell r="F764">
            <v>1</v>
          </cell>
        </row>
        <row r="765">
          <cell r="B765" t="str">
            <v>160402-23-3</v>
          </cell>
          <cell r="C765" t="str">
            <v>Alkyl(C=10-14) (benzyl)dimethyl ammonium chloride</v>
          </cell>
          <cell r="D765" t="str">
            <v>97-1-200</v>
          </cell>
          <cell r="E765" t="str">
            <v>및 이를 1% 이상 함유한 혼합물질</v>
          </cell>
          <cell r="F765">
            <v>1</v>
          </cell>
        </row>
        <row r="766">
          <cell r="B766" t="str">
            <v>3024-71-3</v>
          </cell>
          <cell r="C766" t="str">
            <v>Benzyldimethylnonylammonium chloride</v>
          </cell>
          <cell r="D766" t="str">
            <v>97-1-200</v>
          </cell>
          <cell r="E766" t="str">
            <v>및 이를 1% 이상 함유한 혼합물질</v>
          </cell>
          <cell r="F766">
            <v>1</v>
          </cell>
        </row>
        <row r="767">
          <cell r="B767" t="str">
            <v>5197-80-8</v>
          </cell>
          <cell r="C767" t="str">
            <v>Benzylethyldimethylammonium chloride ; Benzenemethanaminium, N-ethyl-N,N-dimethyl-, chloride</v>
          </cell>
          <cell r="D767" t="str">
            <v>97-1-200</v>
          </cell>
          <cell r="E767" t="str">
            <v>및 이를 1% 이상 함유한 혼합물질</v>
          </cell>
          <cell r="F767">
            <v>1</v>
          </cell>
        </row>
        <row r="768">
          <cell r="B768" t="str">
            <v>56-93-9</v>
          </cell>
          <cell r="C768" t="str">
            <v>N,N,N-Trimethylbenzenemethanaminium chloride</v>
          </cell>
          <cell r="D768" t="str">
            <v>97-1-200</v>
          </cell>
          <cell r="E768" t="str">
            <v>및 이를 1% 이상 함유한 혼합물질</v>
          </cell>
          <cell r="F768">
            <v>1</v>
          </cell>
        </row>
        <row r="769">
          <cell r="B769" t="str">
            <v>61789-71-7</v>
          </cell>
          <cell r="C769" t="str">
            <v>Quaternary ammonium compounds, benzylcoco alkyldimethyl, chlorides</v>
          </cell>
          <cell r="D769" t="str">
            <v>97-1-200</v>
          </cell>
          <cell r="E769" t="str">
            <v>및 이를 1% 이상 함유한 혼합물질</v>
          </cell>
          <cell r="F769">
            <v>1</v>
          </cell>
        </row>
        <row r="770">
          <cell r="B770" t="str">
            <v>63449-41-2</v>
          </cell>
          <cell r="C770" t="str">
            <v>Quaternary ammonium compounds, benzyl-(C=8-18)-alkyldimethyl, chlorides</v>
          </cell>
          <cell r="D770" t="str">
            <v>97-1-200</v>
          </cell>
          <cell r="E770" t="str">
            <v>및 이를 1% 이상 함유한 혼합물질</v>
          </cell>
          <cell r="F770">
            <v>1</v>
          </cell>
        </row>
        <row r="771">
          <cell r="B771" t="str">
            <v>68391-01-5</v>
          </cell>
          <cell r="C771" t="str">
            <v>Alkyl(C=12-18) benzyl dimethyl ammonium chloride</v>
          </cell>
          <cell r="D771" t="str">
            <v>97-1-200</v>
          </cell>
          <cell r="E771" t="str">
            <v>및 이를 1% 이상 함유한 혼합물질</v>
          </cell>
          <cell r="F771">
            <v>1</v>
          </cell>
        </row>
        <row r="772">
          <cell r="B772" t="str">
            <v>68424-85-1</v>
          </cell>
          <cell r="C772" t="str">
            <v>Quaternary ammonium compounds, benzylalkyl(C=12-16)dimethyl, chlorides</v>
          </cell>
          <cell r="D772" t="str">
            <v>97-1-200</v>
          </cell>
          <cell r="E772" t="str">
            <v>및 이를 1% 이상 함유한 혼합물질</v>
          </cell>
          <cell r="F772">
            <v>1</v>
          </cell>
        </row>
        <row r="773">
          <cell r="B773" t="str">
            <v>8001-54-5</v>
          </cell>
          <cell r="C773" t="str">
            <v>Alkyldimethylbenzylammonium chloride</v>
          </cell>
          <cell r="D773" t="str">
            <v>97-1-200</v>
          </cell>
          <cell r="E773" t="str">
            <v>및 이를 1% 이상 함유한 혼합물질</v>
          </cell>
          <cell r="F773">
            <v>1</v>
          </cell>
        </row>
        <row r="774">
          <cell r="B774" t="str">
            <v>85409-22-9</v>
          </cell>
          <cell r="C774" t="str">
            <v>Quaternary ammonium compounds, benzylalkyl(C=12-14)dimethyl, chlorides</v>
          </cell>
          <cell r="D774" t="str">
            <v>97-1-200</v>
          </cell>
          <cell r="E774" t="str">
            <v>및 이를 1% 이상 함유한 혼합물질</v>
          </cell>
          <cell r="F774">
            <v>1</v>
          </cell>
        </row>
        <row r="775">
          <cell r="C775" t="str">
            <v>N-Alkyldimethylbenzylammonium chloride</v>
          </cell>
          <cell r="D775" t="str">
            <v>97-1-200</v>
          </cell>
          <cell r="E775" t="str">
            <v>및 이를 1% 이상 함유한 혼합물질</v>
          </cell>
          <cell r="F775">
            <v>1</v>
          </cell>
        </row>
        <row r="776">
          <cell r="B776" t="str">
            <v>74-87-3</v>
          </cell>
          <cell r="C776" t="str">
            <v>Chloromethane</v>
          </cell>
          <cell r="D776" t="str">
            <v>97-1-201</v>
          </cell>
          <cell r="E776" t="str">
            <v>및 이를 1.0% 이상 함유한 혼합물질</v>
          </cell>
          <cell r="F776">
            <v>1</v>
          </cell>
        </row>
        <row r="777">
          <cell r="B777" t="str">
            <v>13371-17-0</v>
          </cell>
          <cell r="C777" t="str">
            <v>Butyltriphenylphosphonium chloride</v>
          </cell>
          <cell r="D777" t="str">
            <v>97-1-202</v>
          </cell>
          <cell r="E777" t="str">
            <v>및 이를 25% 이상 함유한 혼합물질</v>
          </cell>
          <cell r="F777">
            <v>25</v>
          </cell>
        </row>
        <row r="778">
          <cell r="B778" t="str">
            <v>7647-01-0</v>
          </cell>
          <cell r="C778" t="str">
            <v>Hydrogen chloride</v>
          </cell>
          <cell r="D778" t="str">
            <v>97-1-203</v>
          </cell>
          <cell r="E778" t="str">
            <v>및 이를 10% 이상 함유한 혼합물질</v>
          </cell>
          <cell r="F778">
            <v>10</v>
          </cell>
        </row>
        <row r="779">
          <cell r="B779" t="str">
            <v>506-77-4</v>
          </cell>
          <cell r="C779" t="str">
            <v>Cyanogen chloride</v>
          </cell>
          <cell r="D779" t="str">
            <v>97-1-204</v>
          </cell>
          <cell r="E779" t="str">
            <v>및 이를 1.0% 이상 함유한 혼합물질</v>
          </cell>
          <cell r="F779">
            <v>1</v>
          </cell>
        </row>
        <row r="780">
          <cell r="B780" t="str">
            <v>75-00-3</v>
          </cell>
          <cell r="C780" t="str">
            <v>Chloroethane ; Ethyl chloride</v>
          </cell>
          <cell r="D780" t="str">
            <v>97-1-205</v>
          </cell>
          <cell r="E780" t="str">
            <v>및 이를 25% 이상 함유한 혼합물질</v>
          </cell>
          <cell r="F780">
            <v>25</v>
          </cell>
        </row>
        <row r="781">
          <cell r="B781" t="str">
            <v>115-78-6</v>
          </cell>
          <cell r="C781" t="str">
            <v>Chlorphonium chloride</v>
          </cell>
          <cell r="D781" t="str">
            <v>97-1-206</v>
          </cell>
          <cell r="E781" t="str">
            <v>및 이를 1% 이상 함유한 혼합물질</v>
          </cell>
          <cell r="F781">
            <v>1</v>
          </cell>
        </row>
        <row r="782">
          <cell r="B782" t="str">
            <v>133-59-5</v>
          </cell>
          <cell r="C782" t="str">
            <v>o-Toluenesulfonyl chloride</v>
          </cell>
          <cell r="D782" t="str">
            <v>97-1-207</v>
          </cell>
          <cell r="E782" t="str">
            <v>및 이를 25% 이상 함유한 혼합물질</v>
          </cell>
          <cell r="F782">
            <v>25</v>
          </cell>
        </row>
        <row r="783">
          <cell r="B783" t="str">
            <v>7719-09-7</v>
          </cell>
          <cell r="C783" t="str">
            <v>Thionyl chloride</v>
          </cell>
          <cell r="D783" t="str">
            <v>97-1-208</v>
          </cell>
          <cell r="E783" t="str">
            <v>및 이를 25% 이상 함유한 혼합물질</v>
          </cell>
          <cell r="F783">
            <v>25</v>
          </cell>
        </row>
        <row r="784">
          <cell r="B784" t="str">
            <v>10025-67-9</v>
          </cell>
          <cell r="C784" t="str">
            <v>Disulfur dichloride</v>
          </cell>
          <cell r="D784" t="str">
            <v>97-1-209</v>
          </cell>
          <cell r="E784" t="str">
            <v>및 이를 25% 이상 함유한 혼합물질</v>
          </cell>
          <cell r="F784">
            <v>25</v>
          </cell>
        </row>
        <row r="785">
          <cell r="B785" t="str">
            <v>111-92-2</v>
          </cell>
          <cell r="C785" t="str">
            <v>Di-n-butylamine</v>
          </cell>
          <cell r="D785" t="str">
            <v>97-1-21</v>
          </cell>
          <cell r="E785" t="str">
            <v>및 이를 25% 이상 함유한 혼합물질</v>
          </cell>
          <cell r="F785">
            <v>25</v>
          </cell>
        </row>
        <row r="786">
          <cell r="B786" t="str">
            <v>1121-31-9</v>
          </cell>
          <cell r="C786" t="str">
            <v>Omadine</v>
          </cell>
          <cell r="D786" t="str">
            <v>97-1-210</v>
          </cell>
          <cell r="E786" t="str">
            <v>및 이를 1% 이상 함유한 혼합물질</v>
          </cell>
          <cell r="F786">
            <v>1</v>
          </cell>
        </row>
        <row r="787">
          <cell r="B787" t="str">
            <v>1113-02-6</v>
          </cell>
          <cell r="C787" t="str">
            <v>Omethoate</v>
          </cell>
          <cell r="D787" t="str">
            <v>97-1-211</v>
          </cell>
          <cell r="E787" t="str">
            <v>및 이를 1% 이상 함유한 혼합물질</v>
          </cell>
          <cell r="F787">
            <v>1</v>
          </cell>
        </row>
        <row r="788">
          <cell r="B788" t="str">
            <v>1314-56-3</v>
          </cell>
          <cell r="C788" t="str">
            <v>Diphosphorus pentaoxide</v>
          </cell>
          <cell r="D788" t="str">
            <v>97-1-212</v>
          </cell>
          <cell r="E788" t="str">
            <v>및 이를 25% 이상 함유한 혼합물질</v>
          </cell>
          <cell r="F788">
            <v>25</v>
          </cell>
        </row>
        <row r="789">
          <cell r="B789" t="str">
            <v>10026-13-8</v>
          </cell>
          <cell r="C789" t="str">
            <v>Phosphorus pentachloride</v>
          </cell>
          <cell r="D789" t="str">
            <v>97-1-213</v>
          </cell>
          <cell r="E789" t="str">
            <v>및 이를 25% 이상 함유한 혼합물질</v>
          </cell>
          <cell r="F789">
            <v>25</v>
          </cell>
        </row>
        <row r="790">
          <cell r="B790" t="str">
            <v>1314-80-3</v>
          </cell>
          <cell r="C790" t="str">
            <v>Diphosphorus pentasulfide</v>
          </cell>
          <cell r="D790" t="str">
            <v>97-1-214</v>
          </cell>
          <cell r="E790" t="str">
            <v>및 이를 1% 이상 함유한 혼합물질</v>
          </cell>
          <cell r="F790">
            <v>1</v>
          </cell>
        </row>
        <row r="791">
          <cell r="B791" t="str">
            <v>23135-22-0</v>
          </cell>
          <cell r="C791" t="str">
            <v>Oxamyl</v>
          </cell>
          <cell r="D791" t="str">
            <v>97-1-215</v>
          </cell>
          <cell r="E791" t="str">
            <v>및 이를 1% 이상 함유한 혼합물질</v>
          </cell>
          <cell r="F791">
            <v>1</v>
          </cell>
        </row>
        <row r="792">
          <cell r="B792" t="str">
            <v>301-12-2</v>
          </cell>
          <cell r="C792" t="str">
            <v>Oxydemeton-methyl ; Phosphorothioic acid, S-[2-(ethylsulfinyl)ethyl] O,O-dimethyl ester</v>
          </cell>
          <cell r="D792" t="str">
            <v>97-1-216</v>
          </cell>
          <cell r="E792" t="str">
            <v>및 이를 1% 이상 함유한 혼합물질</v>
          </cell>
          <cell r="F792">
            <v>1</v>
          </cell>
        </row>
        <row r="793">
          <cell r="B793" t="str">
            <v>2674-91-1</v>
          </cell>
          <cell r="C793" t="str">
            <v>Oxydeprofos</v>
          </cell>
          <cell r="D793" t="str">
            <v>97-1-217</v>
          </cell>
          <cell r="E793" t="str">
            <v>및 이를 1% 이상 함유한 혼합물질</v>
          </cell>
          <cell r="F793">
            <v>1</v>
          </cell>
        </row>
        <row r="794">
          <cell r="B794" t="str">
            <v>10025-87-3</v>
          </cell>
          <cell r="C794" t="str">
            <v>Phosphoryl trichloride</v>
          </cell>
          <cell r="D794" t="str">
            <v>97-1-218</v>
          </cell>
          <cell r="E794" t="str">
            <v>및 이를 25% 이상 함유한 혼합물질</v>
          </cell>
          <cell r="F794">
            <v>25</v>
          </cell>
        </row>
        <row r="795">
          <cell r="B795" t="str">
            <v>5543-57-7</v>
          </cell>
          <cell r="C795" t="str">
            <v>Warfarin</v>
          </cell>
          <cell r="D795" t="str">
            <v>97-1-219</v>
          </cell>
          <cell r="E795" t="str">
            <v>및 그 중 하나를 0.1% 이상 함유한 혼합물질</v>
          </cell>
          <cell r="F795">
            <v>0.1</v>
          </cell>
        </row>
        <row r="796">
          <cell r="B796" t="str">
            <v>5543-58-8</v>
          </cell>
          <cell r="C796" t="str">
            <v>Warfarin</v>
          </cell>
          <cell r="D796" t="str">
            <v>97-1-219</v>
          </cell>
          <cell r="E796" t="str">
            <v>및 그 중 하나를 0.1% 이상 함유한 혼합물질</v>
          </cell>
          <cell r="F796">
            <v>0.1</v>
          </cell>
        </row>
        <row r="797">
          <cell r="B797" t="str">
            <v>81-81-2</v>
          </cell>
          <cell r="C797" t="str">
            <v>4-Hydroxy-3-(3-oxo-1-phenylbutyl)-2H-1-benzopyran-2-one ; 4-Hydroxy-3-(3-oxo-1-phenylbutyl)coumarin, Warfarin</v>
          </cell>
          <cell r="D797" t="str">
            <v>97-1-219</v>
          </cell>
          <cell r="E797" t="str">
            <v>및 그 중 하나를 0.1% 이상 함유한 혼합물질</v>
          </cell>
          <cell r="F797">
            <v>0.1</v>
          </cell>
        </row>
        <row r="798">
          <cell r="C798" t="str">
            <v>Warfarin, salts</v>
          </cell>
          <cell r="D798" t="str">
            <v>97-1-219</v>
          </cell>
          <cell r="E798" t="str">
            <v>및 그 중 하나를 0.1% 이상 함유한 혼합물질</v>
          </cell>
          <cell r="F798">
            <v>0.1</v>
          </cell>
        </row>
        <row r="799">
          <cell r="B799" t="str">
            <v>131-89-5</v>
          </cell>
          <cell r="C799" t="str">
            <v>Dinex</v>
          </cell>
          <cell r="D799" t="str">
            <v>97-1-22</v>
          </cell>
          <cell r="E799" t="str">
            <v>및 이를 0.5% 이상 함유한 혼합물질</v>
          </cell>
          <cell r="F799">
            <v>0.5</v>
          </cell>
        </row>
        <row r="800">
          <cell r="B800" t="str">
            <v>74-88-4</v>
          </cell>
          <cell r="C800" t="str">
            <v>Iodomethane ; Methyl iodide</v>
          </cell>
          <cell r="D800" t="str">
            <v>97-1-220</v>
          </cell>
          <cell r="E800" t="str">
            <v>및 이를 0.1% 이상 함유한 혼합물질</v>
          </cell>
          <cell r="F800">
            <v>0.1</v>
          </cell>
        </row>
        <row r="801">
          <cell r="B801" t="str">
            <v>10034-85-2</v>
          </cell>
          <cell r="C801" t="str">
            <v>Hydrogen iodide</v>
          </cell>
          <cell r="D801" t="str">
            <v>97-1-221</v>
          </cell>
          <cell r="E801" t="str">
            <v>및 이를 1% 이상 함유한 혼합물질</v>
          </cell>
          <cell r="F801">
            <v>1</v>
          </cell>
        </row>
        <row r="802">
          <cell r="B802" t="str">
            <v>105827-78-9</v>
          </cell>
          <cell r="C802" t="str">
            <v>Imidacloprid</v>
          </cell>
          <cell r="D802" t="str">
            <v>97-1-222</v>
          </cell>
          <cell r="E802" t="str">
            <v>및 이를 25% 이상 함유한 혼합물질</v>
          </cell>
          <cell r="F802">
            <v>25</v>
          </cell>
        </row>
        <row r="803">
          <cell r="B803" t="str">
            <v>86598-92-7</v>
          </cell>
          <cell r="C803" t="str">
            <v>1H-1,2,4-Triazole-1-ethanimidothioic acid, N-(2,4-dichlorophenyl)-, (4-chlorophenyl)methyl ester ; Imibenconazole</v>
          </cell>
          <cell r="D803" t="str">
            <v>97-1-223</v>
          </cell>
          <cell r="E803" t="str">
            <v>및 이를 25% 이상 함유한 혼합물질</v>
          </cell>
          <cell r="F803">
            <v>25</v>
          </cell>
        </row>
        <row r="804">
          <cell r="B804" t="str">
            <v>2552-55-8</v>
          </cell>
          <cell r="C804" t="str">
            <v>Ibotenic acid</v>
          </cell>
          <cell r="D804" t="str">
            <v>97-1-224</v>
          </cell>
          <cell r="E804" t="str">
            <v>및 이를 1% 이상 함유한 혼합물질</v>
          </cell>
          <cell r="F804">
            <v>1</v>
          </cell>
        </row>
        <row r="805">
          <cell r="B805" t="str">
            <v>42509-80-8</v>
          </cell>
          <cell r="C805" t="str">
            <v>Isazofos</v>
          </cell>
          <cell r="D805" t="str">
            <v>97-1-225</v>
          </cell>
          <cell r="E805" t="str">
            <v>및 이를 1% 이상 함유한 혼합물질</v>
          </cell>
          <cell r="F805">
            <v>1</v>
          </cell>
        </row>
        <row r="806">
          <cell r="B806" t="str">
            <v>297-78-9</v>
          </cell>
          <cell r="C806" t="str">
            <v>Isobenzan</v>
          </cell>
          <cell r="D806" t="str">
            <v>97-1-226</v>
          </cell>
          <cell r="E806" t="str">
            <v>및 이를 1% 이상 함유한 혼합물질</v>
          </cell>
          <cell r="F806">
            <v>1</v>
          </cell>
        </row>
        <row r="807">
          <cell r="B807" t="str">
            <v>78-81-9</v>
          </cell>
          <cell r="C807" t="str">
            <v>Isobutylamine</v>
          </cell>
          <cell r="D807" t="str">
            <v>97-1-227</v>
          </cell>
          <cell r="E807" t="str">
            <v>및 이를 25% 이상 함유한 혼합물질</v>
          </cell>
          <cell r="F807">
            <v>25</v>
          </cell>
        </row>
        <row r="808">
          <cell r="B808" t="str">
            <v>556-61-6</v>
          </cell>
          <cell r="C808" t="str">
            <v>Isothiocyanatomethane</v>
          </cell>
          <cell r="D808" t="str">
            <v>97-1-228</v>
          </cell>
          <cell r="E808" t="str">
            <v>및 이를 1% 이상 함유한 혼합물질</v>
          </cell>
          <cell r="F808">
            <v>1</v>
          </cell>
        </row>
        <row r="809">
          <cell r="B809" t="str">
            <v>36614-38-7</v>
          </cell>
          <cell r="C809" t="str">
            <v>Isothioate</v>
          </cell>
          <cell r="D809" t="str">
            <v>97-1-229</v>
          </cell>
          <cell r="E809" t="str">
            <v>및 이를 1% 이상 함유한 혼합물질</v>
          </cell>
          <cell r="F809">
            <v>1</v>
          </cell>
        </row>
        <row r="810">
          <cell r="B810" t="str">
            <v>973-21-7</v>
          </cell>
          <cell r="C810" t="str">
            <v>Dinobuton</v>
          </cell>
          <cell r="D810" t="str">
            <v>97-1-23</v>
          </cell>
          <cell r="E810" t="str">
            <v>및 이를 1% 이상 함유한 혼합물질</v>
          </cell>
          <cell r="F810">
            <v>1</v>
          </cell>
        </row>
        <row r="811">
          <cell r="B811" t="str">
            <v>25311-71-1</v>
          </cell>
          <cell r="C811" t="str">
            <v>2-[[Ethoxy[(1-methylethyl)amino]phosphinothioyl]oxy]benzoic acid 1-methylethyl ester ; Isofenphos</v>
          </cell>
          <cell r="D811" t="str">
            <v>97-1-230</v>
          </cell>
          <cell r="E811" t="str">
            <v>및 이를 1% 이상 함유한 혼합물질</v>
          </cell>
          <cell r="F811">
            <v>1</v>
          </cell>
        </row>
        <row r="812">
          <cell r="B812" t="str">
            <v>55-91-4</v>
          </cell>
          <cell r="C812" t="str">
            <v>Isofluorphate ; Phosphorofluoridic acid, bis(1-methylethyl) ester</v>
          </cell>
          <cell r="D812" t="str">
            <v>97-1-231</v>
          </cell>
          <cell r="E812" t="str">
            <v>및 이를 1% 이상 함유한 혼합물질</v>
          </cell>
          <cell r="F812">
            <v>1</v>
          </cell>
        </row>
        <row r="813">
          <cell r="B813" t="str">
            <v>18854-01-8</v>
          </cell>
          <cell r="C813" t="str">
            <v>O,O-Diethyl O-5-phenylisoxazol-3-ylphosphorothioate ; Isoxathion</v>
          </cell>
          <cell r="D813" t="str">
            <v>97-1-232</v>
          </cell>
          <cell r="E813" t="str">
            <v>및 이를 1% 이상 함유한 혼합물질</v>
          </cell>
          <cell r="F813">
            <v>1</v>
          </cell>
        </row>
        <row r="814">
          <cell r="B814" t="str">
            <v>119-38-0</v>
          </cell>
          <cell r="C814" t="str">
            <v>Isolan</v>
          </cell>
          <cell r="D814" t="str">
            <v>97-1-233</v>
          </cell>
          <cell r="E814" t="str">
            <v>및 이를 1% 이상 함유한 혼합물질</v>
          </cell>
          <cell r="F814">
            <v>1</v>
          </cell>
        </row>
        <row r="815">
          <cell r="B815" t="str">
            <v>163831-67-2</v>
          </cell>
          <cell r="C815" t="str">
            <v>1-[2-[Ethyl[4-[4-[4-[ethyl(2-pyridinoethyl)amino]-2-methylphenylazo]benzoylamino]phenylazo]-3-methylphenyl]amino]ethyl]pyridinium dichloride</v>
          </cell>
          <cell r="D815" t="str">
            <v>97-1-234</v>
          </cell>
          <cell r="E815" t="str">
            <v>및 이를 25% 이상 함유한 혼합물질</v>
          </cell>
          <cell r="F815">
            <v>25</v>
          </cell>
        </row>
        <row r="816">
          <cell r="B816" t="str">
            <v>1689-83-4</v>
          </cell>
          <cell r="C816" t="str">
            <v>Ioxynil</v>
          </cell>
          <cell r="D816" t="str">
            <v>97-1-235</v>
          </cell>
          <cell r="E816" t="str">
            <v>및 이를 3% 이상 함유한 혼합물질</v>
          </cell>
          <cell r="F816">
            <v>3</v>
          </cell>
        </row>
        <row r="817">
          <cell r="B817" t="str">
            <v>26087-47-8</v>
          </cell>
          <cell r="C817" t="str">
            <v>S-Benzyl-O,O-diisopropyl phosphorothioate ; Iprobenfos</v>
          </cell>
          <cell r="D817" t="str">
            <v>97-1-236</v>
          </cell>
          <cell r="E817" t="str">
            <v>및 이를 1% 이상 함유한 혼합물질</v>
          </cell>
          <cell r="F817">
            <v>1</v>
          </cell>
        </row>
        <row r="818">
          <cell r="B818" t="str">
            <v>1341-49-7</v>
          </cell>
          <cell r="C818" t="str">
            <v>Ammonium hydrogendifluoride</v>
          </cell>
          <cell r="D818" t="str">
            <v>97-1-237</v>
          </cell>
          <cell r="E818" t="str">
            <v>및 이를 1% 이상 함유한 혼합물질</v>
          </cell>
          <cell r="F818">
            <v>1</v>
          </cell>
        </row>
        <row r="819">
          <cell r="B819" t="str">
            <v>2104-64-5</v>
          </cell>
          <cell r="C819" t="str">
            <v>Phenylphosphonothioic acid O-ethyl O-(p-nitrophenyl) ester ; O-Ethyl O-(4-nitrophenyl) phenylphosphonothioate, EPN</v>
          </cell>
          <cell r="D819" t="str">
            <v>97-1-238</v>
          </cell>
          <cell r="E819" t="str">
            <v>및 이를 1% 이상 함유한 혼합물질</v>
          </cell>
          <cell r="F819">
            <v>1</v>
          </cell>
        </row>
        <row r="820">
          <cell r="B820" t="str">
            <v>75-15-0</v>
          </cell>
          <cell r="C820" t="str">
            <v>Carbon sulfide ; Carbon disulfide</v>
          </cell>
          <cell r="D820" t="str">
            <v>97-1-239</v>
          </cell>
          <cell r="E820" t="str">
            <v>및 이를 0.1% 이상 함유한 혼합물질</v>
          </cell>
          <cell r="F820">
            <v>0.1</v>
          </cell>
        </row>
        <row r="821">
          <cell r="B821" t="str">
            <v>88-85-7</v>
          </cell>
          <cell r="C821" t="str">
            <v>Dinoseb</v>
          </cell>
          <cell r="D821" t="str">
            <v>97-1-24</v>
          </cell>
          <cell r="E821" t="str">
            <v>및 이를 1% 이상 함유한 혼합물질</v>
          </cell>
          <cell r="F821">
            <v>1</v>
          </cell>
        </row>
        <row r="822">
          <cell r="B822" t="str">
            <v>12185-10-3</v>
          </cell>
          <cell r="C822" t="str">
            <v>White phosphorus</v>
          </cell>
          <cell r="D822" t="str">
            <v>97-1-240</v>
          </cell>
          <cell r="E822" t="str">
            <v>및 이를 1% 이상 함유한 혼합물질</v>
          </cell>
          <cell r="F822">
            <v>1</v>
          </cell>
        </row>
        <row r="823">
          <cell r="B823" t="str">
            <v>1314-84-7</v>
          </cell>
          <cell r="C823" t="str">
            <v>Zinc phosphide (Zn3P2) ; Trizinc diphosphide</v>
          </cell>
          <cell r="D823" t="str">
            <v>97-1-241</v>
          </cell>
          <cell r="E823" t="str">
            <v>및 이를 1% 이상 함유한 혼합물질</v>
          </cell>
          <cell r="F823">
            <v>1</v>
          </cell>
        </row>
        <row r="824">
          <cell r="B824" t="str">
            <v>20859-73-8</v>
          </cell>
          <cell r="C824" t="str">
            <v>Aluminium phosphide</v>
          </cell>
          <cell r="D824" t="str">
            <v>97-1-242</v>
          </cell>
          <cell r="E824" t="str">
            <v>및 그의 분해촉진제를 1% 이상 함유한 혼합물질</v>
          </cell>
          <cell r="F824">
            <v>1</v>
          </cell>
        </row>
        <row r="825">
          <cell r="B825" t="str">
            <v>52315-07-8</v>
          </cell>
          <cell r="C825" t="str">
            <v>α-Cyano-3-phenoxybenzyl 3-(2,2-dichlorovinyl)-2,2-dimethylcyclopropanecarboxylate</v>
          </cell>
          <cell r="D825" t="str">
            <v>97-1-243</v>
          </cell>
          <cell r="E825" t="str">
            <v>및 이를 25% 이상 함유한 혼합물질</v>
          </cell>
          <cell r="F825">
            <v>25</v>
          </cell>
        </row>
        <row r="826">
          <cell r="B826" t="str">
            <v>137-30-4</v>
          </cell>
          <cell r="C826" t="str">
            <v>Bis(dimethylcarbamodithioato-S,S')zinc ; Zinc dimethyldithiocarbamate</v>
          </cell>
          <cell r="D826" t="str">
            <v>97-1-244</v>
          </cell>
          <cell r="E826" t="str">
            <v>및 이를 1% 이상 함유한 혼합물질</v>
          </cell>
          <cell r="F826">
            <v>1</v>
          </cell>
        </row>
        <row r="827">
          <cell r="B827" t="str">
            <v>10102-45-1</v>
          </cell>
          <cell r="C827" t="str">
            <v>Thallium nitrate</v>
          </cell>
          <cell r="D827" t="str">
            <v>97-1-245</v>
          </cell>
          <cell r="E827" t="str">
            <v>및 이를 1% 이상 함유한 혼합물질</v>
          </cell>
          <cell r="F827">
            <v>1</v>
          </cell>
        </row>
        <row r="828">
          <cell r="B828" t="str">
            <v>13746-98-0</v>
          </cell>
          <cell r="C828" t="str">
            <v>Nitric acid thallium(3+) salt</v>
          </cell>
          <cell r="D828" t="str">
            <v>97-1-245</v>
          </cell>
          <cell r="E828" t="str">
            <v>및 이를 1% 이상 함유한 혼합물질</v>
          </cell>
          <cell r="F828">
            <v>1</v>
          </cell>
        </row>
        <row r="829">
          <cell r="B829" t="str">
            <v>7697-37-2</v>
          </cell>
          <cell r="C829" t="str">
            <v>Nitric acid ; Aqua fortis</v>
          </cell>
          <cell r="D829" t="str">
            <v>97-1-246</v>
          </cell>
          <cell r="E829" t="str">
            <v>및 이를 10% 이상 함유한 혼합물질</v>
          </cell>
          <cell r="F829">
            <v>10</v>
          </cell>
        </row>
        <row r="830">
          <cell r="B830" t="str">
            <v>2439-01-2</v>
          </cell>
          <cell r="C830" t="str">
            <v>Dithiocarbonic acid cyclic S,S-(6-methyl-2,3-quinoxalinediyl) ester ; 6-Methyl-1,3-dithiolo[4,5-b]quinoxalin-2-one, Chinomethionate</v>
          </cell>
          <cell r="D830" t="str">
            <v>97-1-247</v>
          </cell>
          <cell r="E830" t="str">
            <v>및 이를 25% 이상 함유한 혼합물질</v>
          </cell>
          <cell r="F830">
            <v>25</v>
          </cell>
        </row>
        <row r="831">
          <cell r="B831" t="str">
            <v>106870-78-4</v>
          </cell>
          <cell r="C831" t="str">
            <v>Cargurophos</v>
          </cell>
          <cell r="D831" t="str">
            <v>97-1-248</v>
          </cell>
          <cell r="E831" t="str">
            <v>및 이를 1% 이상 함유한 혼합물질</v>
          </cell>
          <cell r="F831">
            <v>1</v>
          </cell>
        </row>
        <row r="832">
          <cell r="B832" t="str">
            <v>95465-99-9</v>
          </cell>
          <cell r="C832" t="str">
            <v>Cadusafos</v>
          </cell>
          <cell r="D832" t="str">
            <v>97-1-249</v>
          </cell>
          <cell r="E832" t="str">
            <v>및 이를 1.0% 이상 함유한 혼합물질</v>
          </cell>
          <cell r="F832">
            <v>1</v>
          </cell>
        </row>
        <row r="833">
          <cell r="B833" t="str">
            <v>39300-45-3</v>
          </cell>
          <cell r="C833" t="str">
            <v>Dinocap</v>
          </cell>
          <cell r="D833" t="str">
            <v>97-1-25</v>
          </cell>
          <cell r="E833" t="str">
            <v>및 이를 1% 이상 함유한 혼합물질</v>
          </cell>
          <cell r="F833">
            <v>1</v>
          </cell>
        </row>
        <row r="834">
          <cell r="B834" t="str">
            <v>10022-68-1</v>
          </cell>
          <cell r="C834" t="str">
            <v>Cadmium nitrate tetrahydrate</v>
          </cell>
          <cell r="D834" t="str">
            <v>97-1-250</v>
          </cell>
          <cell r="E834" t="str">
            <v>및 이를 25% 이상 함유한 혼합물질. 다만, 염화카드뮴(Cadmium chloride), 탄산카드뮴(cadmium carbonate), 불화붕소산카드뮴(cadmium fluoroborate), 질산카드뮴(cadmium nitrate), 산화카드뮴(cadmium oxide), 황산카드뮴(cadmium sulfate), 황화카드뮴(cadmium sulfide)의 경우 그중 하나를 0.1% 이상 함유한 혼합물질</v>
          </cell>
          <cell r="F834">
            <v>0.1</v>
          </cell>
        </row>
        <row r="835">
          <cell r="B835" t="str">
            <v>10108-64-2</v>
          </cell>
          <cell r="C835" t="str">
            <v>Cadmium chloride</v>
          </cell>
          <cell r="D835" t="str">
            <v>97-1-250</v>
          </cell>
          <cell r="E835" t="str">
            <v>및 이를 25% 이상 함유한 혼합물질. 다만, 염화카드뮴(Cadmium chloride), 탄산카드뮴(cadmium carbonate), 불화붕소산카드뮴(cadmium fluoroborate), 질산카드뮴(cadmium nitrate), 산화카드뮴(cadmium oxide), 황산카드뮴(cadmium sulfate), 황화카드뮴(cadmium sulfide)의 경우 그중 하나를 0.1% 이상 함유한 혼합물질</v>
          </cell>
          <cell r="F835">
            <v>0.1</v>
          </cell>
        </row>
        <row r="836">
          <cell r="B836" t="str">
            <v>101356-99-4</v>
          </cell>
          <cell r="C836" t="str">
            <v>Cadmium oxide (CdO), solid soln. with calcium oxide and titanium oxide (TiO2), praseodymium-doped</v>
          </cell>
          <cell r="D836" t="str">
            <v>97-1-250</v>
          </cell>
          <cell r="E836" t="str">
            <v>및 이를 25% 이상 함유한 혼합물질. 다만, 염화카드뮴(Cadmium chloride), 탄산카드뮴(cadmium carbonate), 불화붕소산카드뮴(cadmium fluoroborate), 질산카드뮴(cadmium nitrate), 산화카드뮴(cadmium oxide), 황산카드뮴(cadmium sulfate), 황화카드뮴(cadmium sulfide)의 경우 그중 하나를 0.1% 이상 함유한 혼합물질</v>
          </cell>
          <cell r="F836">
            <v>0.1</v>
          </cell>
        </row>
        <row r="837">
          <cell r="B837" t="str">
            <v>102110-30-5</v>
          </cell>
          <cell r="C837" t="str">
            <v>Cadmium oxide (CdO), solid soln. with magnesium oxide, tungsten oxide (WO3) and zinc oxide</v>
          </cell>
          <cell r="D837" t="str">
            <v>97-1-250</v>
          </cell>
          <cell r="E837" t="str">
            <v>및 이를 25% 이상 함유한 혼합물질. 다만, 염화카드뮴(Cadmium chloride), 탄산카드뮴(cadmium carbonate), 불화붕소산카드뮴(cadmium fluoroborate), 질산카드뮴(cadmium nitrate), 산화카드뮴(cadmium oxide), 황산카드뮴(cadmium sulfate), 황화카드뮴(cadmium sulfide)의 경우 그중 하나를 0.1% 이상 함유한 혼합물질</v>
          </cell>
          <cell r="F837">
            <v>0.1</v>
          </cell>
        </row>
        <row r="838">
          <cell r="B838" t="str">
            <v>10325-94-7</v>
          </cell>
          <cell r="C838" t="str">
            <v>Cadmium nitrate</v>
          </cell>
          <cell r="D838" t="str">
            <v>97-1-250</v>
          </cell>
          <cell r="E838" t="str">
            <v>및 이를 25% 이상 함유한 혼합물질. 다만, 염화카드뮴(Cadmium chloride), 탄산카드뮴(cadmium carbonate), 불화붕소산카드뮴(cadmium fluoroborate), 질산카드뮴(cadmium nitrate), 산화카드뮴(cadmium oxide), 황산카드뮴(cadmium sulfate), 황화카드뮴(cadmium sulfide)의 경우 그중 하나를 0.1% 이상 함유한 혼합물질</v>
          </cell>
          <cell r="F838">
            <v>0.1</v>
          </cell>
        </row>
        <row r="839">
          <cell r="B839" t="str">
            <v>1306-19-0</v>
          </cell>
          <cell r="C839" t="str">
            <v>Cadmium oxide</v>
          </cell>
          <cell r="D839" t="str">
            <v>97-1-250</v>
          </cell>
          <cell r="E839" t="str">
            <v>및 이를 25% 이상 함유한 혼합물질. 다만, 염화카드뮴(Cadmium chloride), 탄산카드뮴(cadmium carbonate), 불화붕소산카드뮴(cadmium fluoroborate), 질산카드뮴(cadmium nitrate), 산화카드뮴(cadmium oxide), 황산카드뮴(cadmium sulfate), 황화카드뮴(cadmium sulfide)의 경우 그중 하나를 0.1% 이상 함유한 혼합물질</v>
          </cell>
          <cell r="F839">
            <v>0.1</v>
          </cell>
        </row>
        <row r="840">
          <cell r="B840" t="str">
            <v>13701-66-1</v>
          </cell>
          <cell r="C840" t="str">
            <v>Diboron tricadmium hexaoxide ; Cadmium borate</v>
          </cell>
          <cell r="D840" t="str">
            <v>97-1-250</v>
          </cell>
          <cell r="E840" t="str">
            <v>및 이를 25% 이상 함유한 혼합물질. 다만, 염화카드뮴(Cadmium chloride), 탄산카드뮴(cadmium carbonate), 불화붕소산카드뮴(cadmium fluoroborate), 질산카드뮴(cadmium nitrate), 산화카드뮴(cadmium oxide), 황산카드뮴(cadmium sulfate), 황화카드뮴(cadmium sulfide)의 경우 그중 하나를 0.1% 이상 함유한 혼합물질</v>
          </cell>
          <cell r="F840">
            <v>0.1</v>
          </cell>
        </row>
        <row r="841">
          <cell r="B841" t="str">
            <v>513-78-0</v>
          </cell>
          <cell r="C841" t="str">
            <v>Cadmium carbonate</v>
          </cell>
          <cell r="D841" t="str">
            <v>97-1-250</v>
          </cell>
          <cell r="E841" t="str">
            <v>및 이를 25% 이상 함유한 혼합물질. 다만, 염화카드뮴(Cadmium chloride), 탄산카드뮴(cadmium carbonate), 불화붕소산카드뮴(cadmium fluoroborate), 질산카드뮴(cadmium nitrate), 산화카드뮴(cadmium oxide), 황산카드뮴(cadmium sulfate), 황화카드뮴(cadmium sulfide)의 경우 그중 하나를 0.1% 이상 함유한 혼합물질</v>
          </cell>
          <cell r="F841">
            <v>0.1</v>
          </cell>
        </row>
        <row r="842">
          <cell r="B842" t="str">
            <v>68332-81-0</v>
          </cell>
          <cell r="C842" t="str">
            <v>Cadmium sulfide (CdS), solid soln. with zinc sulfide, copper and lead-doped</v>
          </cell>
          <cell r="D842" t="str">
            <v>97-1-250</v>
          </cell>
          <cell r="E842" t="str">
            <v>및 이를 25% 이상 함유한 혼합물질. 다만, 염화카드뮴(Cadmium chloride), 탄산카드뮴(cadmium carbonate), 불화붕소산카드뮴(cadmium fluoroborate), 질산카드뮴(cadmium nitrate), 산화카드뮴(cadmium oxide), 황산카드뮴(cadmium sulfate), 황화카드뮴(cadmium sulfide)의 경우 그중 하나를 0.1% 이상 함유한 혼합물질</v>
          </cell>
          <cell r="F842">
            <v>0.1</v>
          </cell>
        </row>
        <row r="843">
          <cell r="B843" t="str">
            <v>68512-49-2</v>
          </cell>
          <cell r="C843" t="str">
            <v>Cadmium sulfide (CdS), solid soln. with zinc sulfide, copper chloride-doped</v>
          </cell>
          <cell r="D843" t="str">
            <v>97-1-250</v>
          </cell>
          <cell r="E843" t="str">
            <v>및 이를 25% 이상 함유한 혼합물질. 다만, 염화카드뮴(Cadmium chloride), 탄산카드뮴(cadmium carbonate), 불화붕소산카드뮴(cadmium fluoroborate), 질산카드뮴(cadmium nitrate), 산화카드뮴(cadmium oxide), 황산카드뮴(cadmium sulfate), 황화카드뮴(cadmium sulfide)의 경우 그중 하나를 0.1% 이상 함유한 혼합물질</v>
          </cell>
          <cell r="F843">
            <v>0.1</v>
          </cell>
        </row>
        <row r="844">
          <cell r="B844" t="str">
            <v>68512-50-5</v>
          </cell>
          <cell r="C844" t="str">
            <v>Cadmium sulfide (CdS), solid soln. with zinc sulfide, copper and manganese-doped</v>
          </cell>
          <cell r="D844" t="str">
            <v>97-1-250</v>
          </cell>
          <cell r="E844" t="str">
            <v>및 이를 25% 이상 함유한 혼합물질. 다만, 염화카드뮴(Cadmium chloride), 탄산카드뮴(cadmium carbonate), 불화붕소산카드뮴(cadmium fluoroborate), 질산카드뮴(cadmium nitrate), 산화카드뮴(cadmium oxide), 황산카드뮴(cadmium sulfate), 황화카드뮴(cadmium sulfide)의 경우 그중 하나를 0.1% 이상 함유한 혼합물질</v>
          </cell>
          <cell r="F844">
            <v>0.1</v>
          </cell>
        </row>
        <row r="845">
          <cell r="B845" t="str">
            <v>68512-51-6</v>
          </cell>
          <cell r="C845" t="str">
            <v>Cadmium sulfide (CdS), solid soln. with zinc sulfide, aluminum and copper-doped</v>
          </cell>
          <cell r="D845" t="str">
            <v>97-1-250</v>
          </cell>
          <cell r="E845" t="str">
            <v>및 이를 25% 이상 함유한 혼합물질. 다만, 염화카드뮴(Cadmium chloride), 탄산카드뮴(cadmium carbonate), 불화붕소산카드뮴(cadmium fluoroborate), 질산카드뮴(cadmium nitrate), 산화카드뮴(cadmium oxide), 황산카드뮴(cadmium sulfate), 황화카드뮴(cadmium sulfide)의 경우 그중 하나를 0.1% 이상 함유한 혼합물질</v>
          </cell>
          <cell r="F845">
            <v>0.1</v>
          </cell>
        </row>
        <row r="846">
          <cell r="B846" t="str">
            <v>68784-10-1</v>
          </cell>
          <cell r="C846" t="str">
            <v>Cadmium sulfide (CdS), solid soln. with zinc sulfide, aluminum and cobalt and copper and silver-doped</v>
          </cell>
          <cell r="D846" t="str">
            <v>97-1-250</v>
          </cell>
          <cell r="E846" t="str">
            <v>및 이를 25% 이상 함유한 혼합물질. 다만, 염화카드뮴(Cadmium chloride), 탄산카드뮴(cadmium carbonate), 불화붕소산카드뮴(cadmium fluoroborate), 질산카드뮴(cadmium nitrate), 산화카드뮴(cadmium oxide), 황산카드뮴(cadmium sulfate), 황화카드뮴(cadmium sulfide)의 경우 그중 하나를 0.1% 이상 함유한 혼합물질</v>
          </cell>
          <cell r="F846">
            <v>0.1</v>
          </cell>
        </row>
        <row r="847">
          <cell r="B847" t="str">
            <v>68876-98-2</v>
          </cell>
          <cell r="C847" t="str">
            <v>Cadmium sulfide (CdS), aluminum and copper-doped</v>
          </cell>
          <cell r="D847" t="str">
            <v>97-1-250</v>
          </cell>
          <cell r="E847" t="str">
            <v>및 이를 25% 이상 함유한 혼합물질. 다만, 염화카드뮴(Cadmium chloride), 탄산카드뮴(cadmium carbonate), 불화붕소산카드뮴(cadmium fluoroborate), 질산카드뮴(cadmium nitrate), 산화카드뮴(cadmium oxide), 황산카드뮴(cadmium sulfate), 황화카드뮴(cadmium sulfide)의 경우 그중 하나를 0.1% 이상 함유한 혼합물질</v>
          </cell>
          <cell r="F847">
            <v>0.1</v>
          </cell>
        </row>
        <row r="848">
          <cell r="B848" t="str">
            <v>68876-99-3</v>
          </cell>
          <cell r="C848" t="str">
            <v>Cadmium sulfide (CdS), aluminum and silver-doped</v>
          </cell>
          <cell r="D848" t="str">
            <v>97-1-250</v>
          </cell>
          <cell r="E848" t="str">
            <v>및 이를 25% 이상 함유한 혼합물질. 다만, 염화카드뮴(Cadmium chloride), 탄산카드뮴(cadmium carbonate), 불화붕소산카드뮴(cadmium fluoroborate), 질산카드뮴(cadmium nitrate), 산화카드뮴(cadmium oxide), 황산카드뮴(cadmium sulfate), 황화카드뮴(cadmium sulfide)의 경우 그중 하나를 0.1% 이상 함유한 혼합물질</v>
          </cell>
          <cell r="F848">
            <v>0.1</v>
          </cell>
        </row>
        <row r="849">
          <cell r="B849" t="str">
            <v>68877-00-9</v>
          </cell>
          <cell r="C849" t="str">
            <v>Cadmium sulfide (CdS), copper chloride-dope</v>
          </cell>
          <cell r="D849" t="str">
            <v>97-1-250</v>
          </cell>
          <cell r="E849" t="str">
            <v>및 이를 25% 이상 함유한 혼합물질. 다만, 염화카드뮴(Cadmium chloride), 탄산카드뮴(cadmium carbonate), 불화붕소산카드뮴(cadmium fluoroborate), 질산카드뮴(cadmium nitrate), 산화카드뮴(cadmium oxide), 황산카드뮴(cadmium sulfate), 황화카드뮴(cadmium sulfide)의 경우 그중 하나를 0.1% 이상 함유한 혼합물질</v>
          </cell>
          <cell r="F849">
            <v>0.1</v>
          </cell>
        </row>
        <row r="850">
          <cell r="B850" t="str">
            <v>68877-01-0</v>
          </cell>
          <cell r="C850" t="str">
            <v>Cadmium sulfide (CdS), silver chloride-doped</v>
          </cell>
          <cell r="D850" t="str">
            <v>97-1-250</v>
          </cell>
          <cell r="E850" t="str">
            <v>및 이를 25% 이상 함유한 혼합물질. 다만, 염화카드뮴(Cadmium chloride), 탄산카드뮴(cadmium carbonate), 불화붕소산카드뮴(cadmium fluoroborate), 질산카드뮴(cadmium nitrate), 산화카드뮴(cadmium oxide), 황산카드뮴(cadmium sulfate), 황화카드뮴(cadmium sulfide)의 경우 그중 하나를 0.1% 이상 함유한 혼합물질</v>
          </cell>
          <cell r="F850">
            <v>0.1</v>
          </cell>
        </row>
        <row r="851">
          <cell r="B851" t="str">
            <v>68891-87-2</v>
          </cell>
          <cell r="C851" t="str">
            <v>Cadmium sulfide (CdS), copper and lead-doped</v>
          </cell>
          <cell r="D851" t="str">
            <v>97-1-250</v>
          </cell>
          <cell r="E851" t="str">
            <v>및 이를 25% 이상 함유한 혼합물질. 다만, 염화카드뮴(Cadmium chloride), 탄산카드뮴(cadmium carbonate), 불화붕소산카드뮴(cadmium fluoroborate), 질산카드뮴(cadmium nitrate), 산화카드뮴(cadmium oxide), 황산카드뮴(cadmium sulfate), 황화카드뮴(cadmium sulfide)의 경우 그중 하나를 0.1% 이상 함유한 혼합물질</v>
          </cell>
          <cell r="F851">
            <v>0.1</v>
          </cell>
        </row>
        <row r="852">
          <cell r="B852" t="str">
            <v>72869-26-2</v>
          </cell>
          <cell r="C852" t="str">
            <v>Cadmium sulfide (CdS), solid soln. with zinc sulfide, cobalt and copper-doped</v>
          </cell>
          <cell r="D852" t="str">
            <v>97-1-250</v>
          </cell>
          <cell r="E852" t="str">
            <v>및 이를 25% 이상 함유한 혼합물질. 다만, 염화카드뮴(Cadmium chloride), 탄산카드뮴(cadmium carbonate), 불화붕소산카드뮴(cadmium fluoroborate), 질산카드뮴(cadmium nitrate), 산화카드뮴(cadmium oxide), 황산카드뮴(cadmium sulfate), 황화카드뮴(cadmium sulfide)의 경우 그중 하나를 0.1% 이상 함유한 혼합물질</v>
          </cell>
          <cell r="F852">
            <v>0.1</v>
          </cell>
        </row>
        <row r="853">
          <cell r="B853" t="str">
            <v>7790-84-3</v>
          </cell>
          <cell r="C853" t="str">
            <v>Cadmium sulfate octahydrate</v>
          </cell>
          <cell r="D853" t="str">
            <v>97-1-250</v>
          </cell>
          <cell r="E853" t="str">
            <v>및 이를 25% 이상 함유한 혼합물질. 다만, 염화카드뮴(Cadmium chloride), 탄산카드뮴(cadmium carbonate), 불화붕소산카드뮴(cadmium fluoroborate), 질산카드뮴(cadmium nitrate), 산화카드뮴(cadmium oxide), 황산카드뮴(cadmium sulfate), 황화카드뮴(cadmium sulfide)의 경우 그중 하나를 0.1% 이상 함유한 혼합물질</v>
          </cell>
          <cell r="F853">
            <v>0.1</v>
          </cell>
        </row>
        <row r="854">
          <cell r="C854" t="str">
            <v>Cadmium compounds</v>
          </cell>
          <cell r="D854" t="str">
            <v>97-1-250</v>
          </cell>
          <cell r="E854" t="str">
            <v>및 이를 25% 이상 함유한 혼합물질. 다만, 염화카드뮴(Cadmium chloride), 탄산카드뮴(cadmium carbonate), 불화붕소산카드뮴(cadmium fluoroborate), 질산카드뮴(cadmium nitrate), 산화카드뮴(cadmium oxide), 황산카드뮴(cadmium sulfate), 황화카드뮴(cadmium sulfide)의 경우 그중 하나를 0.1% 이상 함유한 혼합물질</v>
          </cell>
          <cell r="F854">
            <v>25</v>
          </cell>
        </row>
        <row r="855">
          <cell r="B855" t="str">
            <v>100402-53-7</v>
          </cell>
          <cell r="C855" t="str">
            <v>Cadmium chloride phosphate (Cd5Cl(PO4)3), manganese-doped</v>
          </cell>
          <cell r="D855" t="str">
            <v>97-1-250</v>
          </cell>
          <cell r="E855" t="str">
            <v>및 이를 25% 이상 함유한 혼합물질. 다만, 염화카드뮴(Cadmium chloride), 탄산카드뮴(cadmium carbonate), 불화붕소산카드뮴(cadmium fluoroborate), 질산카드뮴(cadmium nitrate), 산화카드뮴(cadmium oxide), 황산카드뮴(cadmium sulfate), 황화카드뮴(cadmium sulfide)의 경우 그중 하나를 0.1% 이상 함유한 혼합물질</v>
          </cell>
          <cell r="F855">
            <v>25</v>
          </cell>
        </row>
        <row r="856">
          <cell r="B856" t="str">
            <v>10124-36-4</v>
          </cell>
          <cell r="C856" t="str">
            <v>Cadmium sulfate</v>
          </cell>
          <cell r="D856" t="str">
            <v>97-1-250</v>
          </cell>
          <cell r="E856" t="str">
            <v>및 이를 25% 이상 함유한 혼합물질. 다만, 염화카드뮴(Cadmium chloride), 탄산카드뮴(cadmium carbonate), 불화붕소산카드뮴(cadmium fluoroborate), 질산카드뮴(cadmium nitrate), 산화카드뮴(cadmium oxide), 황산카드뮴(cadmium sulfate), 황화카드뮴(cadmium sulfide)의 경우 그중 하나를 0.1% 이상 함유한 혼합물질</v>
          </cell>
          <cell r="F856">
            <v>25</v>
          </cell>
        </row>
        <row r="857">
          <cell r="B857" t="str">
            <v>102184-95-2</v>
          </cell>
          <cell r="C857" t="str">
            <v>Silicic acid zirconium salt, cadmium pigment-encapsulated</v>
          </cell>
          <cell r="D857" t="str">
            <v>97-1-250</v>
          </cell>
          <cell r="E857" t="str">
            <v>및 이를 25% 이상 함유한 혼합물질. 다만, 염화카드뮴(Cadmium chloride), 탄산카드뮴(cadmium carbonate), 불화붕소산카드뮴(cadmium fluoroborate), 질산카드뮴(cadmium nitrate), 산화카드뮴(cadmium oxide), 황산카드뮴(cadmium sulfate), 황화카드뮴(cadmium sulfide)의 경우 그중 하나를 0.1% 이상 함유한 혼합물질</v>
          </cell>
          <cell r="F857">
            <v>25</v>
          </cell>
        </row>
        <row r="858">
          <cell r="B858" t="str">
            <v>12014-14-1</v>
          </cell>
          <cell r="C858" t="str">
            <v>Cadmium titanium trioxide</v>
          </cell>
          <cell r="D858" t="str">
            <v>97-1-250</v>
          </cell>
          <cell r="E858" t="str">
            <v>및 이를 25% 이상 함유한 혼합물질. 다만, 염화카드뮴(Cadmium chloride), 탄산카드뮴(cadmium carbonate), 불화붕소산카드뮴(cadmium fluoroborate), 질산카드뮴(cadmium nitrate), 산화카드뮴(cadmium oxide), 황산카드뮴(cadmium sulfate), 황화카드뮴(cadmium sulfide)의 경우 그중 하나를 0.1% 이상 함유한 혼합물질</v>
          </cell>
          <cell r="F858">
            <v>25</v>
          </cell>
        </row>
        <row r="859">
          <cell r="B859" t="str">
            <v>12014-28-7</v>
          </cell>
          <cell r="C859" t="str">
            <v>Cadmium phosphide (Cd3P2)</v>
          </cell>
          <cell r="D859" t="str">
            <v>97-1-250</v>
          </cell>
          <cell r="E859" t="str">
            <v>및 이를 25% 이상 함유한 혼합물질. 다만, 염화카드뮴(Cadmium chloride), 탄산카드뮴(cadmium carbonate), 불화붕소산카드뮴(cadmium fluoroborate), 질산카드뮴(cadmium nitrate), 산화카드뮴(cadmium oxide), 황산카드뮴(cadmium sulfate), 황화카드뮴(cadmium sulfide)의 경우 그중 하나를 0.1% 이상 함유한 혼합물질</v>
          </cell>
          <cell r="F859">
            <v>25</v>
          </cell>
        </row>
        <row r="860">
          <cell r="B860" t="str">
            <v>12139-22-9</v>
          </cell>
          <cell r="C860" t="str">
            <v>Cadmium peroxide (Cd(O2))</v>
          </cell>
          <cell r="D860" t="str">
            <v>97-1-250</v>
          </cell>
          <cell r="E860" t="str">
            <v>및 이를 25% 이상 함유한 혼합물질. 다만, 염화카드뮴(Cadmium chloride), 탄산카드뮴(cadmium carbonate), 불화붕소산카드뮴(cadmium fluoroborate), 질산카드뮴(cadmium nitrate), 산화카드뮴(cadmium oxide), 황산카드뮴(cadmium sulfate), 황화카드뮴(cadmium sulfide)의 경우 그중 하나를 0.1% 이상 함유한 혼합물질</v>
          </cell>
          <cell r="F860">
            <v>25</v>
          </cell>
        </row>
        <row r="861">
          <cell r="B861" t="str">
            <v>12139-23-0</v>
          </cell>
          <cell r="C861" t="str">
            <v>Cadmium zirconium oxide</v>
          </cell>
          <cell r="D861" t="str">
            <v>97-1-250</v>
          </cell>
          <cell r="E861" t="str">
            <v>및 이를 25% 이상 함유한 혼합물질. 다만, 염화카드뮴(Cadmium chloride), 탄산카드뮴(cadmium carbonate), 불화붕소산카드뮴(cadmium fluoroborate), 질산카드뮴(cadmium nitrate), 산화카드뮴(cadmium oxide), 황산카드뮴(cadmium sulfate), 황화카드뮴(cadmium sulfide)의 경우 그중 하나를 0.1% 이상 함유한 혼합물질</v>
          </cell>
          <cell r="F861">
            <v>25</v>
          </cell>
        </row>
        <row r="862">
          <cell r="B862" t="str">
            <v>12185-64-7</v>
          </cell>
          <cell r="C862" t="str">
            <v>Cadmium chloride phosphate (Cd5Cl(PO4)3)</v>
          </cell>
          <cell r="D862" t="str">
            <v>97-1-250</v>
          </cell>
          <cell r="E862" t="str">
            <v>및 이를 25% 이상 함유한 혼합물질. 다만, 염화카드뮴(Cadmium chloride), 탄산카드뮴(cadmium carbonate), 불화붕소산카드뮴(cadmium fluoroborate), 질산카드뮴(cadmium nitrate), 산화카드뮴(cadmium oxide), 황산카드뮴(cadmium sulfate), 황화카드뮴(cadmium sulfide)의 경우 그중 하나를 0.1% 이상 함유한 혼합물질</v>
          </cell>
          <cell r="F862">
            <v>25</v>
          </cell>
        </row>
        <row r="863">
          <cell r="B863" t="str">
            <v>12187-14-3</v>
          </cell>
          <cell r="C863" t="str">
            <v>Cadmium niobium oxide (Cd2Nb2O7)</v>
          </cell>
          <cell r="D863" t="str">
            <v>97-1-250</v>
          </cell>
          <cell r="E863" t="str">
            <v>및 이를 25% 이상 함유한 혼합물질. 다만, 염화카드뮴(Cadmium chloride), 탄산카드뮴(cadmium carbonate), 불화붕소산카드뮴(cadmium fluoroborate), 질산카드뮴(cadmium nitrate), 산화카드뮴(cadmium oxide), 황산카드뮴(cadmium sulfate), 황화카드뮴(cadmium sulfide)의 경우 그중 하나를 0.1% 이상 함유한 혼합물질</v>
          </cell>
          <cell r="F863">
            <v>25</v>
          </cell>
        </row>
        <row r="864">
          <cell r="B864" t="str">
            <v>12292-07-8</v>
          </cell>
          <cell r="C864" t="str">
            <v>Cadmium tantalum oxide (CdTa2O6)</v>
          </cell>
          <cell r="D864" t="str">
            <v>97-1-250</v>
          </cell>
          <cell r="E864" t="str">
            <v>및 이를 25% 이상 함유한 혼합물질. 다만, 염화카드뮴(Cadmium chloride), 탄산카드뮴(cadmium carbonate), 불화붕소산카드뮴(cadmium fluoroborate), 질산카드뮴(cadmium nitrate), 산화카드뮴(cadmium oxide), 황산카드뮴(cadmium sulfate), 황화카드뮴(cadmium sulfide)의 경우 그중 하나를 0.1% 이상 함유한 혼합물질</v>
          </cell>
          <cell r="F864">
            <v>25</v>
          </cell>
        </row>
        <row r="865">
          <cell r="B865" t="str">
            <v>12442-27-2</v>
          </cell>
          <cell r="C865" t="str">
            <v>Cadmium zinc sulfide ((Cd,Zn)S)</v>
          </cell>
          <cell r="D865" t="str">
            <v>97-1-250</v>
          </cell>
          <cell r="E865" t="str">
            <v>및 이를 25% 이상 함유한 혼합물질. 다만, 염화카드뮴(Cadmium chloride), 탄산카드뮴(cadmium carbonate), 불화붕소산카드뮴(cadmium fluoroborate), 질산카드뮴(cadmium nitrate), 산화카드뮴(cadmium oxide), 황산카드뮴(cadmium sulfate), 황화카드뮴(cadmium sulfide)의 경우 그중 하나를 0.1% 이상 함유한 혼합물질</v>
          </cell>
          <cell r="F865">
            <v>25</v>
          </cell>
        </row>
        <row r="866">
          <cell r="B866" t="str">
            <v>1306-23-6</v>
          </cell>
          <cell r="C866" t="str">
            <v>Cadmium sulfide</v>
          </cell>
          <cell r="D866" t="str">
            <v>97-1-250</v>
          </cell>
          <cell r="E866" t="str">
            <v>및 이를 25% 이상 함유한 혼합물질. 다만, 염화카드뮴(Cadmium chloride), 탄산카드뮴(cadmium carbonate), 불화붕소산카드뮴(cadmium fluoroborate), 질산카드뮴(cadmium nitrate), 산화카드뮴(cadmium oxide), 황산카드뮴(cadmium sulfate), 황화카드뮴(cadmium sulfide)의 경우 그중 하나를 0.1% 이상 함유한 혼합물질</v>
          </cell>
          <cell r="F866">
            <v>25</v>
          </cell>
        </row>
        <row r="867">
          <cell r="B867" t="str">
            <v>1306-25-8</v>
          </cell>
          <cell r="C867" t="str">
            <v>Cadmium telluride</v>
          </cell>
          <cell r="D867" t="str">
            <v>97-1-250</v>
          </cell>
          <cell r="E867" t="str">
            <v>및 이를 25% 이상 함유한 혼합물질. 다만, 염화카드뮴(Cadmium chloride), 탄산카드뮴(cadmium carbonate), 불화붕소산카드뮴(cadmium fluoroborate), 질산카드뮴(cadmium nitrate), 산화카드뮴(cadmium oxide), 황산카드뮴(cadmium sulfate), 황화카드뮴(cadmium sulfide)의 경우 그중 하나를 0.1% 이상 함유한 혼합물질</v>
          </cell>
          <cell r="F867">
            <v>25</v>
          </cell>
        </row>
        <row r="868">
          <cell r="B868" t="str">
            <v>13477-17-3</v>
          </cell>
          <cell r="C868" t="str">
            <v>Tricadmium bis(phosphate)</v>
          </cell>
          <cell r="D868" t="str">
            <v>97-1-250</v>
          </cell>
          <cell r="E868" t="str">
            <v>및 이를 25% 이상 함유한 혼합물질. 다만, 염화카드뮴(Cadmium chloride), 탄산카드뮴(cadmium carbonate), 불화붕소산카드뮴(cadmium fluoroborate), 질산카드뮴(cadmium nitrate), 산화카드뮴(cadmium oxide), 황산카드뮴(cadmium sulfate), 황화카드뮴(cadmium sulfide)의 경우 그중 하나를 0.1% 이상 함유한 혼합물질</v>
          </cell>
          <cell r="F868">
            <v>25</v>
          </cell>
        </row>
        <row r="869">
          <cell r="B869" t="str">
            <v>13847-17-1</v>
          </cell>
          <cell r="C869" t="str">
            <v>Phosphoric acid, cadmium salt</v>
          </cell>
          <cell r="D869" t="str">
            <v>97-1-250</v>
          </cell>
          <cell r="E869" t="str">
            <v>및 이를 25% 이상 함유한 혼합물질. 다만, 염화카드뮴(Cadmium chloride), 탄산카드뮴(cadmium carbonate), 불화붕소산카드뮴(cadmium fluoroborate), 질산카드뮴(cadmium nitrate), 산화카드뮴(cadmium oxide), 황산카드뮴(cadmium sulfate), 황화카드뮴(cadmium sulfide)의 경우 그중 하나를 0.1% 이상 함유한 혼합물질</v>
          </cell>
          <cell r="F869">
            <v>25</v>
          </cell>
        </row>
        <row r="870">
          <cell r="B870" t="str">
            <v>13972-68-4</v>
          </cell>
          <cell r="C870" t="str">
            <v>Cadmium molybdenum oxide (CdMoO4)</v>
          </cell>
          <cell r="D870" t="str">
            <v>97-1-250</v>
          </cell>
          <cell r="E870" t="str">
            <v>및 이를 25% 이상 함유한 혼합물질. 다만, 염화카드뮴(Cadmium chloride), 탄산카드뮴(cadmium carbonate), 불화붕소산카드뮴(cadmium fluoroborate), 질산카드뮴(cadmium nitrate), 산화카드뮴(cadmium oxide), 황산카드뮴(cadmium sulfate), 황화카드뮴(cadmium sulfide)의 경우 그중 하나를 0.1% 이상 함유한 혼합물질</v>
          </cell>
          <cell r="F870">
            <v>25</v>
          </cell>
        </row>
        <row r="871">
          <cell r="B871" t="str">
            <v>14017-36-8</v>
          </cell>
          <cell r="C871" t="str">
            <v>Sulfamic acid cadmium salt (2:1)</v>
          </cell>
          <cell r="D871" t="str">
            <v>97-1-250</v>
          </cell>
          <cell r="E871" t="str">
            <v>및 이를 25% 이상 함유한 혼합물질. 다만, 염화카드뮴(Cadmium chloride), 탄산카드뮴(cadmium carbonate), 불화붕소산카드뮴(cadmium fluoroborate), 질산카드뮴(cadmium nitrate), 산화카드뮴(cadmium oxide), 황산카드뮴(cadmium sulfate), 황화카드뮴(cadmium sulfide)의 경우 그중 하나를 0.1% 이상 함유한 혼합물질</v>
          </cell>
          <cell r="F871">
            <v>25</v>
          </cell>
        </row>
        <row r="872">
          <cell r="B872" t="str">
            <v>14486-19-2</v>
          </cell>
          <cell r="C872" t="str">
            <v>Tetrafluoroborate(1-), cadmium (2:1)</v>
          </cell>
          <cell r="D872" t="str">
            <v>97-1-250</v>
          </cell>
          <cell r="E872" t="str">
            <v>및 이를 25% 이상 함유한 혼합물질. 다만, 염화카드뮴(Cadmium chloride), 탄산카드뮴(cadmium carbonate), 불화붕소산카드뮴(cadmium fluoroborate), 질산카드뮴(cadmium nitrate), 산화카드뮴(cadmium oxide), 황산카드뮴(cadmium sulfate), 황화카드뮴(cadmium sulfide)의 경우 그중 하나를 0.1% 이상 함유한 혼합물질</v>
          </cell>
          <cell r="F872">
            <v>25</v>
          </cell>
        </row>
        <row r="873">
          <cell r="B873" t="str">
            <v>14520-70-8</v>
          </cell>
          <cell r="C873" t="str">
            <v>Phosphoric acid, ammonium cadmium salt (1:1:1)</v>
          </cell>
          <cell r="D873" t="str">
            <v>97-1-250</v>
          </cell>
          <cell r="E873" t="str">
            <v>및 이를 25% 이상 함유한 혼합물질. 다만, 염화카드뮴(Cadmium chloride), 탄산카드뮴(cadmium carbonate), 불화붕소산카드뮴(cadmium fluoroborate), 질산카드뮴(cadmium nitrate), 산화카드뮴(cadmium oxide), 황산카드뮴(cadmium sulfate), 황화카드뮴(cadmium sulfide)의 경우 그중 하나를 0.1% 이상 함유한 혼합물질</v>
          </cell>
          <cell r="F873">
            <v>25</v>
          </cell>
        </row>
        <row r="874">
          <cell r="B874" t="str">
            <v>15600-62-1</v>
          </cell>
          <cell r="C874" t="str">
            <v>Diphosphoric acid cadmium salt (1:2)</v>
          </cell>
          <cell r="D874" t="str">
            <v>97-1-250</v>
          </cell>
          <cell r="E874" t="str">
            <v>및 이를 25% 이상 함유한 혼합물질. 다만, 염화카드뮴(Cadmium chloride), 탄산카드뮴(cadmium carbonate), 불화붕소산카드뮴(cadmium fluoroborate), 질산카드뮴(cadmium nitrate), 산화카드뮴(cadmium oxide), 황산카드뮴(cadmium sulfate), 황화카드뮴(cadmium sulfide)의 경우 그중 하나를 0.1% 이상 함유한 혼합물질</v>
          </cell>
          <cell r="F874">
            <v>25</v>
          </cell>
        </row>
        <row r="875">
          <cell r="B875" t="str">
            <v>15851-44-2</v>
          </cell>
          <cell r="C875" t="str">
            <v>Telluric acid (H2TeO3), cadmium salt (1:1)</v>
          </cell>
          <cell r="D875" t="str">
            <v>97-1-250</v>
          </cell>
          <cell r="E875" t="str">
            <v>및 이를 25% 이상 함유한 혼합물질. 다만, 염화카드뮴(Cadmium chloride), 탄산카드뮴(cadmium carbonate), 불화붕소산카드뮴(cadmium fluoroborate), 질산카드뮴(cadmium nitrate), 산화카드뮴(cadmium oxide), 황산카드뮴(cadmium sulfate), 황화카드뮴(cadmium sulfide)의 경우 그중 하나를 0.1% 이상 함유한 혼합물질</v>
          </cell>
          <cell r="F875">
            <v>25</v>
          </cell>
        </row>
        <row r="876">
          <cell r="B876" t="str">
            <v>15852-14-9</v>
          </cell>
          <cell r="C876" t="str">
            <v>Telluric acid (H2TeO4), cadmium salt (1:1)</v>
          </cell>
          <cell r="D876" t="str">
            <v>97-1-250</v>
          </cell>
          <cell r="E876" t="str">
            <v>및 이를 25% 이상 함유한 혼합물질. 다만, 염화카드뮴(Cadmium chloride), 탄산카드뮴(cadmium carbonate), 불화붕소산카드뮴(cadmium fluoroborate), 질산카드뮴(cadmium nitrate), 산화카드뮴(cadmium oxide), 황산카드뮴(cadmium sulfate), 황화카드뮴(cadmium sulfide)의 경우 그중 하나를 0.1% 이상 함유한 혼합물질</v>
          </cell>
          <cell r="F876">
            <v>25</v>
          </cell>
        </row>
        <row r="877">
          <cell r="B877" t="str">
            <v>21041-95-2</v>
          </cell>
          <cell r="C877" t="str">
            <v>Cadmium hydroxide</v>
          </cell>
          <cell r="D877" t="str">
            <v>97-1-250</v>
          </cell>
          <cell r="E877" t="str">
            <v>및 이를 25% 이상 함유한 혼합물질. 다만, 염화카드뮴(Cadmium chloride), 탄산카드뮴(cadmium carbonate), 불화붕소산카드뮴(cadmium fluoroborate), 질산카드뮴(cadmium nitrate), 산화카드뮴(cadmium oxide), 황산카드뮴(cadmium sulfate), 황화카드뮴(cadmium sulfide)의 경우 그중 하나를 0.1% 이상 함유한 혼합물질</v>
          </cell>
          <cell r="F877">
            <v>25</v>
          </cell>
        </row>
        <row r="878">
          <cell r="B878" t="str">
            <v>2191-10-8</v>
          </cell>
          <cell r="C878" t="str">
            <v>Cadmium octanoate ; Cadmium di(octanoate)</v>
          </cell>
          <cell r="D878" t="str">
            <v>97-1-250</v>
          </cell>
          <cell r="E878" t="str">
            <v>및 이를 25% 이상 함유한 혼합물질. 다만, 염화카드뮴(Cadmium chloride), 탄산카드뮴(cadmium carbonate), 불화붕소산카드뮴(cadmium fluoroborate), 질산카드뮴(cadmium nitrate), 산화카드뮴(cadmium oxide), 황산카드뮴(cadmium sulfate), 황화카드뮴(cadmium sulfide)의 경우 그중 하나를 0.1% 이상 함유한 혼합물질</v>
          </cell>
          <cell r="F878">
            <v>25</v>
          </cell>
        </row>
        <row r="879">
          <cell r="B879" t="str">
            <v>2223-93-0</v>
          </cell>
          <cell r="C879" t="str">
            <v>Octadecanoic acid cadmium salt</v>
          </cell>
          <cell r="D879" t="str">
            <v>97-1-250</v>
          </cell>
          <cell r="E879" t="str">
            <v>및 이를 25% 이상 함유한 혼합물질. 다만, 염화카드뮴(Cadmium chloride), 탄산카드뮴(cadmium carbonate), 불화붕소산카드뮴(cadmium fluoroborate), 질산카드뮴(cadmium nitrate), 산화카드뮴(cadmium oxide), 황산카드뮴(cadmium sulfate), 황화카드뮴(cadmium sulfide)의 경우 그중 하나를 0.1% 이상 함유한 혼합물질</v>
          </cell>
          <cell r="F879">
            <v>25</v>
          </cell>
        </row>
        <row r="880">
          <cell r="B880" t="str">
            <v>2420-98-6</v>
          </cell>
          <cell r="C880" t="str">
            <v>Cadmium 2-ethylhexanoate</v>
          </cell>
          <cell r="D880" t="str">
            <v>97-1-250</v>
          </cell>
          <cell r="E880" t="str">
            <v>및 이를 25% 이상 함유한 혼합물질. 다만, 염화카드뮴(Cadmium chloride), 탄산카드뮴(cadmium carbonate), 불화붕소산카드뮴(cadmium fluoroborate), 질산카드뮴(cadmium nitrate), 산화카드뮴(cadmium oxide), 황산카드뮴(cadmium sulfate), 황화카드뮴(cadmium sulfide)의 경우 그중 하나를 0.1% 이상 함유한 혼합물질</v>
          </cell>
          <cell r="F880">
            <v>25</v>
          </cell>
        </row>
        <row r="881">
          <cell r="B881" t="str">
            <v>2605-44-9</v>
          </cell>
          <cell r="C881" t="str">
            <v>Cadmium dilaurate</v>
          </cell>
          <cell r="D881" t="str">
            <v>97-1-250</v>
          </cell>
          <cell r="E881" t="str">
            <v>및 이를 25% 이상 함유한 혼합물질. 다만, 염화카드뮴(Cadmium chloride), 탄산카드뮴(cadmium carbonate), 불화붕소산카드뮴(cadmium fluoroborate), 질산카드뮴(cadmium nitrate), 산화카드뮴(cadmium oxide), 황산카드뮴(cadmium sulfate), 황화카드뮴(cadmium sulfide)의 경우 그중 하나를 0.1% 이상 함유한 혼합물질</v>
          </cell>
          <cell r="F881">
            <v>25</v>
          </cell>
        </row>
        <row r="882">
          <cell r="B882" t="str">
            <v>3026-22-0</v>
          </cell>
          <cell r="C882" t="str">
            <v>Benzoic acid cadmium salt</v>
          </cell>
          <cell r="D882" t="str">
            <v>97-1-250</v>
          </cell>
          <cell r="E882" t="str">
            <v>및 이를 25% 이상 함유한 혼합물질. 다만, 염화카드뮴(Cadmium chloride), 탄산카드뮴(cadmium carbonate), 불화붕소산카드뮴(cadmium fluoroborate), 질산카드뮴(cadmium nitrate), 산화카드뮴(cadmium oxide), 황산카드뮴(cadmium sulfate), 황화카드뮴(cadmium sulfide)의 경우 그중 하나를 0.1% 이상 함유한 혼합물질</v>
          </cell>
          <cell r="F882">
            <v>25</v>
          </cell>
        </row>
        <row r="883">
          <cell r="B883" t="str">
            <v>4167-05-9</v>
          </cell>
          <cell r="C883" t="str">
            <v>p-tert-Butylbenzoic acid cadmium salt</v>
          </cell>
          <cell r="D883" t="str">
            <v>97-1-250</v>
          </cell>
          <cell r="E883" t="str">
            <v>및 이를 25% 이상 함유한 혼합물질. 다만, 염화카드뮴(Cadmium chloride), 탄산카드뮴(cadmium carbonate), 불화붕소산카드뮴(cadmium fluoroborate), 질산카드뮴(cadmium nitrate), 산화카드뮴(cadmium oxide), 황산카드뮴(cadmium sulfate), 황화카드뮴(cadmium sulfide)의 경우 그중 하나를 0.1% 이상 함유한 혼합물질</v>
          </cell>
          <cell r="F883">
            <v>25</v>
          </cell>
        </row>
        <row r="884">
          <cell r="B884" t="str">
            <v>4464-23-7</v>
          </cell>
          <cell r="C884" t="str">
            <v>Cadmium diformate</v>
          </cell>
          <cell r="D884" t="str">
            <v>97-1-250</v>
          </cell>
          <cell r="E884" t="str">
            <v>및 이를 25% 이상 함유한 혼합물질. 다만, 염화카드뮴(Cadmium chloride), 탄산카드뮴(cadmium carbonate), 불화붕소산카드뮴(cadmium fluoroborate), 질산카드뮴(cadmium nitrate), 산화카드뮴(cadmium oxide), 황산카드뮴(cadmium sulfate), 황화카드뮴(cadmium sulfide)의 경우 그중 하나를 0.1% 이상 함유한 혼합물질</v>
          </cell>
          <cell r="F884">
            <v>25</v>
          </cell>
        </row>
        <row r="885">
          <cell r="B885" t="str">
            <v>51222-60-7</v>
          </cell>
          <cell r="C885" t="str">
            <v>Boric acid cadmium salt</v>
          </cell>
          <cell r="D885" t="str">
            <v>97-1-250</v>
          </cell>
          <cell r="E885" t="str">
            <v>및 이를 25% 이상 함유한 혼합물질. 다만, 염화카드뮴(Cadmium chloride), 탄산카드뮴(cadmium carbonate), 불화붕소산카드뮴(cadmium fluoroborate), 질산카드뮴(cadmium nitrate), 산화카드뮴(cadmium oxide), 황산카드뮴(cadmium sulfate), 황화카드뮴(cadmium sulfide)의 경우 그중 하나를 0.1% 이상 함유한 혼합물질</v>
          </cell>
          <cell r="F885">
            <v>25</v>
          </cell>
        </row>
        <row r="886">
          <cell r="B886" t="str">
            <v>543-90-8</v>
          </cell>
          <cell r="C886" t="str">
            <v>Cadmium acetate</v>
          </cell>
          <cell r="D886" t="str">
            <v>97-1-250</v>
          </cell>
          <cell r="E886" t="str">
            <v>및 이를 25% 이상 함유한 혼합물질. 다만, 염화카드뮴(Cadmium chloride), 탄산카드뮴(cadmium carbonate), 불화붕소산카드뮴(cadmium fluoroborate), 질산카드뮴(cadmium nitrate), 산화카드뮴(cadmium oxide), 황산카드뮴(cadmium sulfate), 황화카드뮴(cadmium sulfide)의 경우 그중 하나를 0.1% 이상 함유한 혼합물질</v>
          </cell>
          <cell r="F886">
            <v>25</v>
          </cell>
        </row>
        <row r="887">
          <cell r="B887" t="str">
            <v>5743-04-4</v>
          </cell>
          <cell r="C887" t="str">
            <v>Cadmium acetate dihydrate</v>
          </cell>
          <cell r="D887" t="str">
            <v>97-1-250</v>
          </cell>
          <cell r="E887" t="str">
            <v>및 이를 25% 이상 함유한 혼합물질. 다만, 염화카드뮴(Cadmium chloride), 탄산카드뮴(cadmium carbonate), 불화붕소산카드뮴(cadmium fluoroborate), 질산카드뮴(cadmium nitrate), 산화카드뮴(cadmium oxide), 황산카드뮴(cadmium sulfate), 황화카드뮴(cadmium sulfide)의 경우 그중 하나를 0.1% 이상 함유한 혼합물질</v>
          </cell>
          <cell r="F887">
            <v>25</v>
          </cell>
        </row>
        <row r="888">
          <cell r="B888" t="str">
            <v>592-02-9</v>
          </cell>
          <cell r="C888" t="str">
            <v>Diethylcadmium</v>
          </cell>
          <cell r="D888" t="str">
            <v>97-1-250</v>
          </cell>
          <cell r="E888" t="str">
            <v>및 이를 25% 이상 함유한 혼합물질. 다만, 염화카드뮴(Cadmium chloride), 탄산카드뮴(cadmium carbonate), 불화붕소산카드뮴(cadmium fluoroborate), 질산카드뮴(cadmium nitrate), 산화카드뮴(cadmium oxide), 황산카드뮴(cadmium sulfate), 황화카드뮴(cadmium sulfide)의 경우 그중 하나를 0.1% 이상 함유한 혼합물질</v>
          </cell>
          <cell r="F888">
            <v>25</v>
          </cell>
        </row>
        <row r="889">
          <cell r="B889" t="str">
            <v>61789-34-2</v>
          </cell>
          <cell r="C889" t="str">
            <v>Naphthenic acids cadmium salts</v>
          </cell>
          <cell r="D889" t="str">
            <v>97-1-250</v>
          </cell>
          <cell r="E889" t="str">
            <v>및 이를 25% 이상 함유한 혼합물질. 다만, 염화카드뮴(Cadmium chloride), 탄산카드뮴(cadmium carbonate), 불화붕소산카드뮴(cadmium fluoroborate), 질산카드뮴(cadmium nitrate), 산화카드뮴(cadmium oxide), 황산카드뮴(cadmium sulfate), 황화카드뮴(cadmium sulfide)의 경우 그중 하나를 0.1% 이상 함유한 혼합물질</v>
          </cell>
          <cell r="F889">
            <v>25</v>
          </cell>
        </row>
        <row r="890">
          <cell r="B890" t="str">
            <v>61951-96-0</v>
          </cell>
          <cell r="C890" t="str">
            <v>Neodecanoic acid cadmium salt ; Cadmium neodecanoate</v>
          </cell>
          <cell r="D890" t="str">
            <v>97-1-250</v>
          </cell>
          <cell r="E890" t="str">
            <v>및 이를 25% 이상 함유한 혼합물질. 다만, 염화카드뮴(Cadmium chloride), 탄산카드뮴(cadmium carbonate), 불화붕소산카드뮴(cadmium fluoroborate), 질산카드뮴(cadmium nitrate), 산화카드뮴(cadmium oxide), 황산카드뮴(cadmium sulfate), 황화카드뮴(cadmium sulfide)의 경우 그중 하나를 0.1% 이상 함유한 혼합물질</v>
          </cell>
          <cell r="F890">
            <v>25</v>
          </cell>
        </row>
        <row r="891">
          <cell r="B891" t="str">
            <v>68131-58-8</v>
          </cell>
          <cell r="C891" t="str">
            <v>Fatty acids, (C=10-18), cadmium salts</v>
          </cell>
          <cell r="D891" t="str">
            <v>97-1-250</v>
          </cell>
          <cell r="E891" t="str">
            <v>및 이를 25% 이상 함유한 혼합물질. 다만, 염화카드뮴(Cadmium chloride), 탄산카드뮴(cadmium carbonate), 불화붕소산카드뮴(cadmium fluoroborate), 질산카드뮴(cadmium nitrate), 산화카드뮴(cadmium oxide), 황산카드뮴(cadmium sulfate), 황화카드뮴(cadmium sulfide)의 경우 그중 하나를 0.1% 이상 함유한 혼합물질</v>
          </cell>
          <cell r="F891">
            <v>25</v>
          </cell>
        </row>
        <row r="892">
          <cell r="B892" t="str">
            <v>68131-59-9</v>
          </cell>
          <cell r="C892" t="str">
            <v>Fatty acids, (C=12-18), cadmium salts</v>
          </cell>
          <cell r="D892" t="str">
            <v>97-1-250</v>
          </cell>
          <cell r="E892" t="str">
            <v>및 이를 25% 이상 함유한 혼합물질. 다만, 염화카드뮴(Cadmium chloride), 탄산카드뮴(cadmium carbonate), 불화붕소산카드뮴(cadmium fluoroborate), 질산카드뮴(cadmium nitrate), 산화카드뮴(cadmium oxide), 황산카드뮴(cadmium sulfate), 황화카드뮴(cadmium sulfide)의 경우 그중 하나를 0.1% 이상 함유한 혼합물질</v>
          </cell>
          <cell r="F892">
            <v>25</v>
          </cell>
        </row>
        <row r="893">
          <cell r="B893" t="str">
            <v>68409-82-5</v>
          </cell>
          <cell r="C893" t="str">
            <v>Fatty acids, (C=14-18), cadmium salts</v>
          </cell>
          <cell r="D893" t="str">
            <v>97-1-250</v>
          </cell>
          <cell r="E893" t="str">
            <v>및 이를 25% 이상 함유한 혼합물질. 다만, 염화카드뮴(Cadmium chloride), 탄산카드뮴(cadmium carbonate), 불화붕소산카드뮴(cadmium fluoroborate), 질산카드뮴(cadmium nitrate), 산화카드뮴(cadmium oxide), 황산카드뮴(cadmium sulfate), 황화카드뮴(cadmium sulfide)의 경우 그중 하나를 0.1% 이상 함유한 혼합물질</v>
          </cell>
          <cell r="F893">
            <v>25</v>
          </cell>
        </row>
        <row r="894">
          <cell r="B894" t="str">
            <v>68784-55-4</v>
          </cell>
          <cell r="C894" t="str">
            <v>Barium cadmium calcium chloride fluoride phosphate, antimony and manganese-doped</v>
          </cell>
          <cell r="D894" t="str">
            <v>97-1-250</v>
          </cell>
          <cell r="E894" t="str">
            <v>및 이를 25% 이상 함유한 혼합물질. 다만, 염화카드뮴(Cadmium chloride), 탄산카드뮴(cadmium carbonate), 불화붕소산카드뮴(cadmium fluoroborate), 질산카드뮴(cadmium nitrate), 산화카드뮴(cadmium oxide), 황산카드뮴(cadmium sulfate), 황화카드뮴(cadmium sulfide)의 경우 그중 하나를 0.1% 이상 함유한 혼합물질</v>
          </cell>
          <cell r="F894">
            <v>25</v>
          </cell>
        </row>
        <row r="895">
          <cell r="B895" t="str">
            <v>68784-58-7</v>
          </cell>
          <cell r="C895" t="str">
            <v>Boric acid (H6B4O9) cadmium salt (1:3), manganese-doped</v>
          </cell>
          <cell r="D895" t="str">
            <v>97-1-250</v>
          </cell>
          <cell r="E895" t="str">
            <v>및 이를 25% 이상 함유한 혼합물질. 다만, 염화카드뮴(Cadmium chloride), 탄산카드뮴(cadmium carbonate), 불화붕소산카드뮴(cadmium fluoroborate), 질산카드뮴(cadmium nitrate), 산화카드뮴(cadmium oxide), 황산카드뮴(cadmium sulfate), 황화카드뮴(cadmium sulfide)의 경우 그중 하나를 0.1% 이상 함유한 혼합물질</v>
          </cell>
          <cell r="F895">
            <v>25</v>
          </cell>
        </row>
        <row r="896">
          <cell r="B896" t="str">
            <v>68855-80-1</v>
          </cell>
          <cell r="C896" t="str">
            <v>Fatty acids, tall oil, cadmium salts</v>
          </cell>
          <cell r="D896" t="str">
            <v>97-1-250</v>
          </cell>
          <cell r="E896" t="str">
            <v>및 이를 25% 이상 함유한 혼합물질. 다만, 염화카드뮴(Cadmium chloride), 탄산카드뮴(cadmium carbonate), 불화붕소산카드뮴(cadmium fluoroborate), 질산카드뮴(cadmium nitrate), 산화카드뮴(cadmium oxide), 황산카드뮴(cadmium sulfate), 황화카드뮴(cadmium sulfide)의 경우 그중 하나를 0.1% 이상 함유한 혼합물질</v>
          </cell>
          <cell r="F896">
            <v>25</v>
          </cell>
        </row>
        <row r="897">
          <cell r="B897" t="str">
            <v>68859-25-6</v>
          </cell>
          <cell r="C897" t="str">
            <v>C.I. pigment yellow 037</v>
          </cell>
          <cell r="D897" t="str">
            <v>97-1-250</v>
          </cell>
          <cell r="E897" t="str">
            <v>및 이를 25% 이상 함유한 혼합물질. 다만, 염화카드뮴(Cadmium chloride), 탄산카드뮴(cadmium carbonate), 불화붕소산카드뮴(cadmium fluoroborate), 질산카드뮴(cadmium nitrate), 산화카드뮴(cadmium oxide), 황산카드뮴(cadmium sulfate), 황화카드뮴(cadmium sulfide)의 경우 그중 하나를 0.1% 이상 함유한 혼합물질</v>
          </cell>
          <cell r="F897">
            <v>25</v>
          </cell>
        </row>
        <row r="898">
          <cell r="B898" t="str">
            <v>68876-84-6</v>
          </cell>
          <cell r="C898" t="str">
            <v>Fatty acids, (C=8-18) and (C=18)-unsatd., cadmium salts</v>
          </cell>
          <cell r="D898" t="str">
            <v>97-1-250</v>
          </cell>
          <cell r="E898" t="str">
            <v>및 이를 25% 이상 함유한 혼합물질. 다만, 염화카드뮴(Cadmium chloride), 탄산카드뮴(cadmium carbonate), 불화붕소산카드뮴(cadmium fluoroborate), 질산카드뮴(cadmium nitrate), 산화카드뮴(cadmium oxide), 황산카드뮴(cadmium sulfate), 황화카드뮴(cadmium sulfide)의 경우 그중 하나를 0.1% 이상 함유한 혼합물질</v>
          </cell>
          <cell r="F898">
            <v>25</v>
          </cell>
        </row>
        <row r="899">
          <cell r="B899" t="str">
            <v>68876-90-4</v>
          </cell>
          <cell r="C899" t="str">
            <v>Barium cadmium sulfide (Ba2CdS3), solid soln. with barium zinc sulfide (Ba2ZnS3), manganese-doped</v>
          </cell>
          <cell r="D899" t="str">
            <v>97-1-250</v>
          </cell>
          <cell r="E899" t="str">
            <v>및 이를 25% 이상 함유한 혼합물질. 다만, 염화카드뮴(Cadmium chloride), 탄산카드뮴(cadmium carbonate), 불화붕소산카드뮴(cadmium fluoroborate), 질산카드뮴(cadmium nitrate), 산화카드뮴(cadmium oxide), 황산카드뮴(cadmium sulfate), 황화카드뮴(cadmium sulfide)의 경우 그중 하나를 0.1% 이상 함유한 혼합물질</v>
          </cell>
          <cell r="F899">
            <v>25</v>
          </cell>
        </row>
        <row r="900">
          <cell r="B900" t="str">
            <v>68953-39-9</v>
          </cell>
          <cell r="C900" t="str">
            <v>Fatty acids, tallow, hydrogenated, cadmium salts</v>
          </cell>
          <cell r="D900" t="str">
            <v>97-1-250</v>
          </cell>
          <cell r="E900" t="str">
            <v>및 이를 25% 이상 함유한 혼합물질. 다만, 염화카드뮴(Cadmium chloride), 탄산카드뮴(cadmium carbonate), 불화붕소산카드뮴(cadmium fluoroborate), 질산카드뮴(cadmium nitrate), 산화카드뮴(cadmium oxide), 황산카드뮴(cadmium sulfate), 황화카드뮴(cadmium sulfide)의 경우 그중 하나를 0.1% 이상 함유한 혼합물질</v>
          </cell>
          <cell r="F900">
            <v>25</v>
          </cell>
        </row>
        <row r="901">
          <cell r="B901" t="str">
            <v>68954-18-7</v>
          </cell>
          <cell r="C901" t="str">
            <v>Cadmium, laurate palmitate stearate complexes</v>
          </cell>
          <cell r="D901" t="str">
            <v>97-1-250</v>
          </cell>
          <cell r="E901" t="str">
            <v>및 이를 25% 이상 함유한 혼합물질. 다만, 염화카드뮴(Cadmium chloride), 탄산카드뮴(cadmium carbonate), 불화붕소산카드뮴(cadmium fluoroborate), 질산카드뮴(cadmium nitrate), 산화카드뮴(cadmium oxide), 황산카드뮴(cadmium sulfate), 황화카드뮴(cadmium sulfide)의 경우 그중 하나를 0.1% 이상 함유한 혼합물질</v>
          </cell>
          <cell r="F901">
            <v>25</v>
          </cell>
        </row>
        <row r="902">
          <cell r="B902" t="str">
            <v>68956-81-0</v>
          </cell>
          <cell r="C902" t="str">
            <v>Resin acids and Rosin acids, cadmium salts</v>
          </cell>
          <cell r="D902" t="str">
            <v>97-1-250</v>
          </cell>
          <cell r="E902" t="str">
            <v>및 이를 25% 이상 함유한 혼합물질. 다만, 염화카드뮴(Cadmium chloride), 탄산카드뮴(cadmium carbonate), 불화붕소산카드뮴(cadmium fluoroborate), 질산카드뮴(cadmium nitrate), 산화카드뮴(cadmium oxide), 황산카드뮴(cadmium sulfate), 황화카드뮴(cadmium sulfide)의 경우 그중 하나를 0.1% 이상 함유한 혼합물질</v>
          </cell>
          <cell r="F902">
            <v>25</v>
          </cell>
        </row>
        <row r="903">
          <cell r="B903" t="str">
            <v>69011-69-4</v>
          </cell>
          <cell r="C903" t="str">
            <v>Cadmium, dross</v>
          </cell>
          <cell r="D903" t="str">
            <v>97-1-250</v>
          </cell>
          <cell r="E903" t="str">
            <v>및 이를 25% 이상 함유한 혼합물질. 다만, 염화카드뮴(Cadmium chloride), 탄산카드뮴(cadmium carbonate), 불화붕소산카드뮴(cadmium fluoroborate), 질산카드뮴(cadmium nitrate), 산화카드뮴(cadmium oxide), 황산카드뮴(cadmium sulfate), 황화카드뮴(cadmium sulfide)의 경우 그중 하나를 0.1% 이상 함유한 혼합물질</v>
          </cell>
          <cell r="F903">
            <v>25</v>
          </cell>
        </row>
        <row r="904">
          <cell r="B904" t="str">
            <v>69011-70-7</v>
          </cell>
          <cell r="C904" t="str">
            <v>Cadmium, sponge</v>
          </cell>
          <cell r="D904" t="str">
            <v>97-1-250</v>
          </cell>
          <cell r="E904" t="str">
            <v>및 이를 25% 이상 함유한 혼합물질. 다만, 염화카드뮴(Cadmium chloride), 탄산카드뮴(cadmium carbonate), 불화붕소산카드뮴(cadmium fluoroborate), 질산카드뮴(cadmium nitrate), 산화카드뮴(cadmium oxide), 황산카드뮴(cadmium sulfate), 황화카드뮴(cadmium sulfide)의 경우 그중 하나를 0.1% 이상 함유한 혼합물질</v>
          </cell>
          <cell r="F904">
            <v>25</v>
          </cell>
        </row>
        <row r="905">
          <cell r="B905" t="str">
            <v>69029-63-6</v>
          </cell>
          <cell r="C905" t="str">
            <v>Calcines, cadmium residue</v>
          </cell>
          <cell r="D905" t="str">
            <v>97-1-250</v>
          </cell>
          <cell r="E905" t="str">
            <v>및 이를 25% 이상 함유한 혼합물질. 다만, 염화카드뮴(Cadmium chloride), 탄산카드뮴(cadmium carbonate), 불화붕소산카드뮴(cadmium fluoroborate), 질산카드뮴(cadmium nitrate), 산화카드뮴(cadmium oxide), 황산카드뮴(cadmium sulfate), 황화카드뮴(cadmium sulfide)의 경우 그중 하나를 0.1% 이상 함유한 혼합물질</v>
          </cell>
          <cell r="F905">
            <v>25</v>
          </cell>
        </row>
        <row r="906">
          <cell r="B906" t="str">
            <v>70084-75-2</v>
          </cell>
          <cell r="C906" t="str">
            <v>Fatty acids, (C=12-18), barium cadmium salts</v>
          </cell>
          <cell r="D906" t="str">
            <v>97-1-250</v>
          </cell>
          <cell r="E906" t="str">
            <v>및 이를 25% 이상 함유한 혼합물질. 다만, 염화카드뮴(Cadmium chloride), 탄산카드뮴(cadmium carbonate), 불화붕소산카드뮴(cadmium fluoroborate), 질산카드뮴(cadmium nitrate), 산화카드뮴(cadmium oxide), 황산카드뮴(cadmium sulfate), 황화카드뮴(cadmium sulfide)의 경우 그중 하나를 0.1% 이상 함유한 혼합물질</v>
          </cell>
          <cell r="F906">
            <v>25</v>
          </cell>
        </row>
        <row r="907">
          <cell r="B907" t="str">
            <v>72869-63-7</v>
          </cell>
          <cell r="C907" t="str">
            <v>Fatty acids, coco, cadmium salts</v>
          </cell>
          <cell r="D907" t="str">
            <v>97-1-250</v>
          </cell>
          <cell r="E907" t="str">
            <v>및 이를 25% 이상 함유한 혼합물질. 다만, 염화카드뮴(Cadmium chloride), 탄산카드뮴(cadmium carbonate), 불화붕소산카드뮴(cadmium fluoroborate), 질산카드뮴(cadmium nitrate), 산화카드뮴(cadmium oxide), 황산카드뮴(cadmium sulfate), 황화카드뮴(cadmium sulfide)의 경우 그중 하나를 0.1% 이상 함유한 혼합물질</v>
          </cell>
          <cell r="F907">
            <v>25</v>
          </cell>
        </row>
        <row r="908">
          <cell r="B908" t="str">
            <v>7789-42-6</v>
          </cell>
          <cell r="C908" t="str">
            <v>Cadmium bromide</v>
          </cell>
          <cell r="D908" t="str">
            <v>97-1-250</v>
          </cell>
          <cell r="E908" t="str">
            <v>및 이를 25% 이상 함유한 혼합물질. 다만, 염화카드뮴(Cadmium chloride), 탄산카드뮴(cadmium carbonate), 불화붕소산카드뮴(cadmium fluoroborate), 질산카드뮴(cadmium nitrate), 산화카드뮴(cadmium oxide), 황산카드뮴(cadmium sulfate), 황화카드뮴(cadmium sulfide)의 경우 그중 하나를 0.1% 이상 함유한 혼합물질</v>
          </cell>
          <cell r="F908">
            <v>25</v>
          </cell>
        </row>
        <row r="909">
          <cell r="B909" t="str">
            <v>7790-79-6</v>
          </cell>
          <cell r="C909" t="str">
            <v>Cadmium fluoride</v>
          </cell>
          <cell r="D909" t="str">
            <v>97-1-250</v>
          </cell>
          <cell r="E909" t="str">
            <v>및 이를 25% 이상 함유한 혼합물질. 다만, 염화카드뮴(Cadmium chloride), 탄산카드뮴(cadmium carbonate), 불화붕소산카드뮴(cadmium fluoroborate), 질산카드뮴(cadmium nitrate), 산화카드뮴(cadmium oxide), 황산카드뮴(cadmium sulfate), 황화카드뮴(cadmium sulfide)의 경우 그중 하나를 0.1% 이상 함유한 혼합물질</v>
          </cell>
          <cell r="F909">
            <v>25</v>
          </cell>
        </row>
        <row r="910">
          <cell r="B910" t="str">
            <v>7790-80-9</v>
          </cell>
          <cell r="C910" t="str">
            <v>Cadmium iodide</v>
          </cell>
          <cell r="D910" t="str">
            <v>97-1-250</v>
          </cell>
          <cell r="E910" t="str">
            <v>및 이를 25% 이상 함유한 혼합물질. 다만, 염화카드뮴(Cadmium chloride), 탄산카드뮴(cadmium carbonate), 불화붕소산카드뮴(cadmium fluoroborate), 질산카드뮴(cadmium nitrate), 산화카드뮴(cadmium oxide), 황산카드뮴(cadmium sulfate), 황화카드뮴(cadmium sulfide)의 경우 그중 하나를 0.1% 이상 함유한 혼합물질</v>
          </cell>
          <cell r="F910">
            <v>25</v>
          </cell>
        </row>
        <row r="911">
          <cell r="B911" t="str">
            <v>7790-81-0</v>
          </cell>
          <cell r="C911" t="str">
            <v>Cadmium iodate</v>
          </cell>
          <cell r="D911" t="str">
            <v>97-1-250</v>
          </cell>
          <cell r="E911" t="str">
            <v>및 이를 25% 이상 함유한 혼합물질. 다만, 염화카드뮴(Cadmium chloride), 탄산카드뮴(cadmium carbonate), 불화붕소산카드뮴(cadmium fluoroborate), 질산카드뮴(cadmium nitrate), 산화카드뮴(cadmium oxide), 황산카드뮴(cadmium sulfate), 황화카드뮴(cadmium sulfide)의 경우 그중 하나를 0.1% 이상 함유한 혼합물질</v>
          </cell>
          <cell r="F911">
            <v>25</v>
          </cell>
        </row>
        <row r="912">
          <cell r="B912" t="str">
            <v>7790-85-4</v>
          </cell>
          <cell r="C912" t="str">
            <v>Cadmium wolframate</v>
          </cell>
          <cell r="D912" t="str">
            <v>97-1-250</v>
          </cell>
          <cell r="E912" t="str">
            <v>및 이를 25% 이상 함유한 혼합물질. 다만, 염화카드뮴(Cadmium chloride), 탄산카드뮴(cadmium carbonate), 불화붕소산카드뮴(cadmium fluoroborate), 질산카드뮴(cadmium nitrate), 산화카드뮴(cadmium oxide), 황산카드뮴(cadmium sulfate), 황화카드뮴(cadmium sulfide)의 경우 그중 하나를 0.1% 이상 함유한 혼합물질</v>
          </cell>
          <cell r="F912">
            <v>25</v>
          </cell>
        </row>
        <row r="913">
          <cell r="B913" t="str">
            <v>8048-07-5</v>
          </cell>
          <cell r="C913" t="str">
            <v>C.I. pigment yellow 035</v>
          </cell>
          <cell r="D913" t="str">
            <v>97-1-250</v>
          </cell>
          <cell r="E913" t="str">
            <v>및 이를 25% 이상 함유한 혼합물질. 다만, 염화카드뮴(Cadmium chloride), 탄산카드뮴(cadmium carbonate), 불화붕소산카드뮴(cadmium fluoroborate), 질산카드뮴(cadmium nitrate), 산화카드뮴(cadmium oxide), 황산카드뮴(cadmium sulfate), 황화카드뮴(cadmium sulfide)의 경우 그중 하나를 0.1% 이상 함유한 혼합물질</v>
          </cell>
          <cell r="F913">
            <v>25</v>
          </cell>
        </row>
        <row r="914">
          <cell r="B914" t="str">
            <v>90604-89-0</v>
          </cell>
          <cell r="C914" t="str">
            <v>Cadmium zinc lithopone yellow</v>
          </cell>
          <cell r="D914" t="str">
            <v>97-1-250</v>
          </cell>
          <cell r="E914" t="str">
            <v>및 이를 25% 이상 함유한 혼합물질. 다만, 염화카드뮴(Cadmium chloride), 탄산카드뮴(cadmium carbonate), 불화붕소산카드뮴(cadmium fluoroborate), 질산카드뮴(cadmium nitrate), 산화카드뮴(cadmium oxide), 황산카드뮴(cadmium sulfate), 황화카드뮴(cadmium sulfide)의 경우 그중 하나를 0.1% 이상 함유한 혼합물질</v>
          </cell>
          <cell r="F914">
            <v>25</v>
          </cell>
        </row>
        <row r="915">
          <cell r="B915" t="str">
            <v>90604-90-3</v>
          </cell>
          <cell r="C915" t="str">
            <v>Cadmium lithopone yellow</v>
          </cell>
          <cell r="D915" t="str">
            <v>97-1-250</v>
          </cell>
          <cell r="E915" t="str">
            <v>및 이를 25% 이상 함유한 혼합물질. 다만, 염화카드뮴(Cadmium chloride), 탄산카드뮴(cadmium carbonate), 불화붕소산카드뮴(cadmium fluoroborate), 질산카드뮴(cadmium nitrate), 산화카드뮴(cadmium oxide), 황산카드뮴(cadmium sulfate), 황화카드뮴(cadmium sulfide)의 경우 그중 하나를 0.1% 이상 함유한 혼합물질</v>
          </cell>
          <cell r="F915">
            <v>25</v>
          </cell>
        </row>
        <row r="916">
          <cell r="B916" t="str">
            <v>99587-10-7</v>
          </cell>
          <cell r="C916" t="str">
            <v>Barium tetrachlorocadmate(2-)</v>
          </cell>
          <cell r="D916" t="str">
            <v>97-1-250</v>
          </cell>
          <cell r="E916" t="str">
            <v>및 이를 25% 이상 함유한 혼합물질. 다만, 염화카드뮴(Cadmium chloride), 탄산카드뮴(cadmium carbonate), 불화붕소산카드뮴(cadmium fluoroborate), 질산카드뮴(cadmium nitrate), 산화카드뮴(cadmium oxide), 황산카드뮴(cadmium sulfate), 황화카드뮴(cadmium sulfide)의 경우 그중 하나를 0.1% 이상 함유한 혼합물질</v>
          </cell>
          <cell r="F916">
            <v>25</v>
          </cell>
        </row>
        <row r="917">
          <cell r="B917" t="str">
            <v>671-04-5</v>
          </cell>
          <cell r="C917" t="str">
            <v>Carbanolate</v>
          </cell>
          <cell r="D917" t="str">
            <v>97-1-251</v>
          </cell>
          <cell r="E917" t="str">
            <v>및 이를 1% 이상 함유한 혼합물질</v>
          </cell>
          <cell r="F917">
            <v>1</v>
          </cell>
        </row>
        <row r="918">
          <cell r="B918" t="str">
            <v>63-25-2</v>
          </cell>
          <cell r="C918" t="str">
            <v>1-Naphthyl methylcarbamate ; Carbaryl, 1-Naphthalenol, methylcarbamate</v>
          </cell>
          <cell r="D918" t="str">
            <v>97-1-252</v>
          </cell>
          <cell r="E918" t="str">
            <v>및 이를 5% 이상 함유한 혼합물질</v>
          </cell>
          <cell r="F918">
            <v>5</v>
          </cell>
        </row>
        <row r="919">
          <cell r="B919" t="str">
            <v>55285-14-8</v>
          </cell>
          <cell r="C919" t="str">
            <v>2,3-Dihydro-2,2-dimethylbenzofuran-7-yl [(dibutylanino)thio]methylcarbamate;2, 3-Dihydro-2,2-dimethyl-7-benzofuryl [(dibutylamino)thio]methylcarbamate</v>
          </cell>
          <cell r="D919" t="str">
            <v>97-1-253</v>
          </cell>
          <cell r="E919" t="str">
            <v>및 이를 1% 이상 함유한 혼합물질</v>
          </cell>
          <cell r="F919">
            <v>1</v>
          </cell>
        </row>
        <row r="920">
          <cell r="B920" t="str">
            <v>786-19-6</v>
          </cell>
          <cell r="C920" t="str">
            <v>Carbophenothion</v>
          </cell>
          <cell r="D920" t="str">
            <v>97-1-254</v>
          </cell>
          <cell r="E920" t="str">
            <v>및 이를 1% 이상 함유한 혼합물질</v>
          </cell>
          <cell r="F920">
            <v>1</v>
          </cell>
        </row>
        <row r="921">
          <cell r="B921" t="str">
            <v>1563-66-2</v>
          </cell>
          <cell r="C921" t="str">
            <v>Methylcarbamic acid 2,3-dihydro-2,2-dimethyl-7-benzofuranyl ester ; 2,3-Dihydro-2,2-dimethyl-7-benzofuranol methylcarbamate, Carbofuran, Furadan</v>
          </cell>
          <cell r="D921" t="str">
            <v>97-1-255</v>
          </cell>
          <cell r="E921" t="str">
            <v>및 이를 1% 이상 함유한 혼합물질</v>
          </cell>
          <cell r="F921">
            <v>1</v>
          </cell>
        </row>
        <row r="922">
          <cell r="B922" t="str">
            <v>7440-09-7</v>
          </cell>
          <cell r="C922" t="str">
            <v>Potassium</v>
          </cell>
          <cell r="D922" t="str">
            <v>97-1-256</v>
          </cell>
          <cell r="E922" t="str">
            <v>및 이를 25% 이상 함유한 혼합물질</v>
          </cell>
          <cell r="F922">
            <v>25</v>
          </cell>
        </row>
        <row r="923">
          <cell r="B923" t="str">
            <v>11135-81-2</v>
          </cell>
          <cell r="C923" t="str">
            <v>Alloy of potassium and sodium</v>
          </cell>
          <cell r="D923" t="str">
            <v>97-1-257</v>
          </cell>
          <cell r="E923" t="str">
            <v>및 이를 25% 이상 함유한 혼합물질</v>
          </cell>
          <cell r="F923">
            <v>25</v>
          </cell>
        </row>
        <row r="924">
          <cell r="B924" t="str">
            <v>15263-52-2</v>
          </cell>
          <cell r="C924" t="str">
            <v>Carbamothioic acid S,S'-[2-(dimethylamino)-1,3-propanediyl] ester, monohydrochloride</v>
          </cell>
          <cell r="D924" t="str">
            <v>97-1-258</v>
          </cell>
          <cell r="E924" t="str">
            <v>및 그 중 칼탑으로서 2% 이상 함유한 혼합물질</v>
          </cell>
          <cell r="F924">
            <v>2</v>
          </cell>
        </row>
        <row r="925">
          <cell r="B925" t="str">
            <v>15263-53-3</v>
          </cell>
          <cell r="C925" t="str">
            <v>S,S'-(2-Dimethylaminotrimethylene)bis(thiocarbamate) ; Cartap</v>
          </cell>
          <cell r="D925" t="str">
            <v>97-1-258</v>
          </cell>
          <cell r="E925" t="str">
            <v>및 그 중 칼탑으로서 2% 이상 함유한 혼합물질</v>
          </cell>
          <cell r="F925">
            <v>2</v>
          </cell>
        </row>
        <row r="926">
          <cell r="C926" t="str">
            <v>Cartap, salts</v>
          </cell>
          <cell r="D926" t="str">
            <v>97-1-258</v>
          </cell>
          <cell r="E926" t="str">
            <v>및 그 중 칼탑으로서 2% 이상 함유한 혼합물질</v>
          </cell>
          <cell r="F926">
            <v>2</v>
          </cell>
        </row>
        <row r="927">
          <cell r="B927" t="str">
            <v>8001-35-2</v>
          </cell>
          <cell r="C927" t="str">
            <v>Camphechlor</v>
          </cell>
          <cell r="D927" t="str">
            <v>97-1-259</v>
          </cell>
          <cell r="E927" t="str">
            <v>및 이를 1% 이상 함유한 혼합물질</v>
          </cell>
          <cell r="F927">
            <v>1</v>
          </cell>
        </row>
        <row r="928">
          <cell r="B928" t="str">
            <v>1420-07-1</v>
          </cell>
          <cell r="C928" t="str">
            <v>Dinoterb</v>
          </cell>
          <cell r="D928" t="str">
            <v>97-1-26</v>
          </cell>
          <cell r="E928" t="str">
            <v>및 이를 1% 이상 함유한 혼합물질</v>
          </cell>
          <cell r="F928">
            <v>1</v>
          </cell>
        </row>
        <row r="929">
          <cell r="B929" t="str">
            <v>2425-06-1</v>
          </cell>
          <cell r="C929" t="str">
            <v>Captafol</v>
          </cell>
          <cell r="D929" t="str">
            <v>97-1-260</v>
          </cell>
          <cell r="E929" t="str">
            <v>및 이를 0.1% 이상 함유한 혼합물질</v>
          </cell>
          <cell r="F929">
            <v>0.1</v>
          </cell>
        </row>
        <row r="930">
          <cell r="B930" t="str">
            <v>2939-80-2</v>
          </cell>
          <cell r="C930" t="str">
            <v>cis-Captafol</v>
          </cell>
          <cell r="D930" t="str">
            <v>97-1-260</v>
          </cell>
          <cell r="E930" t="str">
            <v>및 이를 0.1% 이상 함유한 혼합물질</v>
          </cell>
          <cell r="F930">
            <v>0.1</v>
          </cell>
        </row>
        <row r="931">
          <cell r="B931" t="str">
            <v>30017-05-1</v>
          </cell>
          <cell r="C931" t="str">
            <v>4-Cyclohexene-1,2-dicarboximide, N-[(1,1,2,2-tetrachloroethyl)thio]-, stereoisomer</v>
          </cell>
          <cell r="D931" t="str">
            <v>97-1-260</v>
          </cell>
          <cell r="E931" t="str">
            <v>및 이를 0.1% 이상 함유한 혼합물질</v>
          </cell>
          <cell r="F931">
            <v>0.1</v>
          </cell>
        </row>
        <row r="932">
          <cell r="B932" t="str">
            <v>133-06-2</v>
          </cell>
          <cell r="C932" t="str">
            <v>Captan</v>
          </cell>
          <cell r="D932" t="str">
            <v>97-1-261</v>
          </cell>
          <cell r="E932" t="str">
            <v>및 이를 0.1% 이상 함유한 혼합물질</v>
          </cell>
          <cell r="F932">
            <v>0.1</v>
          </cell>
        </row>
        <row r="933">
          <cell r="B933" t="str">
            <v>81-82-3</v>
          </cell>
          <cell r="C933" t="str">
            <v>Coumachlor</v>
          </cell>
          <cell r="D933" t="str">
            <v>97-1-262</v>
          </cell>
          <cell r="E933" t="str">
            <v>및 이를 1% 이상 함유한 혼합물질</v>
          </cell>
          <cell r="F933">
            <v>1</v>
          </cell>
        </row>
        <row r="934">
          <cell r="B934" t="str">
            <v>5836-29-3</v>
          </cell>
          <cell r="C934" t="str">
            <v>Coumatetralyl</v>
          </cell>
          <cell r="D934" t="str">
            <v>97-1-263</v>
          </cell>
          <cell r="E934" t="str">
            <v>및 이를 1% 이상 함유한 혼합물질</v>
          </cell>
          <cell r="F934">
            <v>1</v>
          </cell>
        </row>
        <row r="935">
          <cell r="B935" t="str">
            <v>117-52-2</v>
          </cell>
          <cell r="C935" t="str">
            <v>Coumafuryl</v>
          </cell>
          <cell r="D935" t="str">
            <v>97-1-264</v>
          </cell>
          <cell r="E935" t="str">
            <v>및 이를 1% 이상 함유한 혼합물질</v>
          </cell>
          <cell r="F935">
            <v>1</v>
          </cell>
        </row>
        <row r="936">
          <cell r="B936" t="str">
            <v>572-48-5</v>
          </cell>
          <cell r="C936" t="str">
            <v>Coumithoate</v>
          </cell>
          <cell r="D936" t="str">
            <v>97-1-265</v>
          </cell>
          <cell r="E936" t="str">
            <v>및 이를 1% 이상 함유한 혼합물질</v>
          </cell>
          <cell r="F936">
            <v>1</v>
          </cell>
        </row>
        <row r="937">
          <cell r="B937" t="str">
            <v>13593-03-8</v>
          </cell>
          <cell r="C937" t="str">
            <v>O,O-Diethyl O-quinoxalin-2-yl phosphorothioate ; Quinalphos</v>
          </cell>
          <cell r="D937" t="str">
            <v>97-1-266</v>
          </cell>
          <cell r="E937" t="str">
            <v>및 이를 1% 이상 함유한 혼합물질</v>
          </cell>
          <cell r="F937">
            <v>1</v>
          </cell>
        </row>
        <row r="938">
          <cell r="B938" t="str">
            <v>2797-51-5</v>
          </cell>
          <cell r="C938" t="str">
            <v>Quinoclamine</v>
          </cell>
          <cell r="D938" t="str">
            <v>97-1-267</v>
          </cell>
          <cell r="E938" t="str">
            <v>및 이를 1% 이상 함유한 혼합물질</v>
          </cell>
          <cell r="F938">
            <v>1</v>
          </cell>
        </row>
        <row r="939">
          <cell r="B939" t="str">
            <v>106-44-5</v>
          </cell>
          <cell r="C939" t="str">
            <v>4-Methylphenol</v>
          </cell>
          <cell r="D939" t="str">
            <v>97-1-268</v>
          </cell>
          <cell r="E939" t="str">
            <v>및 이를 5% 이상 함유한 혼합물질</v>
          </cell>
          <cell r="F939">
            <v>5</v>
          </cell>
        </row>
        <row r="940">
          <cell r="B940" t="str">
            <v>108-39-4</v>
          </cell>
          <cell r="C940" t="str">
            <v>m-Cresol</v>
          </cell>
          <cell r="D940" t="str">
            <v>97-1-268</v>
          </cell>
          <cell r="E940" t="str">
            <v>및 이를 5% 이상 함유한 혼합물질</v>
          </cell>
          <cell r="F940">
            <v>5</v>
          </cell>
        </row>
        <row r="941">
          <cell r="B941" t="str">
            <v>1319-77-3</v>
          </cell>
          <cell r="C941" t="str">
            <v>Methylphenol ; Cresol</v>
          </cell>
          <cell r="D941" t="str">
            <v>97-1-268</v>
          </cell>
          <cell r="E941" t="str">
            <v>및 이를 5% 이상 함유한 혼합물질</v>
          </cell>
          <cell r="F941">
            <v>5</v>
          </cell>
        </row>
        <row r="942">
          <cell r="B942" t="str">
            <v>95-48-7</v>
          </cell>
          <cell r="C942" t="str">
            <v>2-Methylphenol</v>
          </cell>
          <cell r="D942" t="str">
            <v>97-1-268</v>
          </cell>
          <cell r="E942" t="str">
            <v>및 이를 5% 이상 함유한 혼합물질</v>
          </cell>
          <cell r="F942">
            <v>5</v>
          </cell>
        </row>
        <row r="943">
          <cell r="B943" t="str">
            <v>7700-17-6</v>
          </cell>
          <cell r="C943" t="str">
            <v>Crotoxyphos</v>
          </cell>
          <cell r="D943" t="str">
            <v>97-1-269</v>
          </cell>
          <cell r="E943" t="str">
            <v>및 이를 1% 이상 함유한 혼합물질</v>
          </cell>
          <cell r="F943">
            <v>1</v>
          </cell>
        </row>
        <row r="944">
          <cell r="B944" t="str">
            <v>50-29-3</v>
          </cell>
          <cell r="C944" t="str">
            <v>DDT</v>
          </cell>
          <cell r="D944" t="str">
            <v>97-1-27</v>
          </cell>
          <cell r="E944" t="str">
            <v>및 이를 1% 이상 함유한 혼합물질</v>
          </cell>
          <cell r="F944">
            <v>1</v>
          </cell>
        </row>
        <row r="945">
          <cell r="B945" t="str">
            <v>123-73-9</v>
          </cell>
          <cell r="C945" t="str">
            <v>Crotonaldehyde</v>
          </cell>
          <cell r="D945" t="str">
            <v>97-1-270</v>
          </cell>
          <cell r="E945" t="str">
            <v>및 이를 1% 이상 함유한 혼합물질</v>
          </cell>
          <cell r="F945">
            <v>1</v>
          </cell>
        </row>
        <row r="946">
          <cell r="B946" t="str">
            <v>4170-30-3</v>
          </cell>
          <cell r="C946" t="str">
            <v>Crotonaldehyde ; 2-Butenal</v>
          </cell>
          <cell r="D946" t="str">
            <v>97-1-270</v>
          </cell>
          <cell r="E946" t="str">
            <v>및 이를 1% 이상 함유한 혼합물질</v>
          </cell>
          <cell r="F946">
            <v>1</v>
          </cell>
        </row>
        <row r="947">
          <cell r="B947" t="str">
            <v>10034-82-9</v>
          </cell>
          <cell r="C947" t="str">
            <v>Sodium chromate tetrahydrate</v>
          </cell>
          <cell r="D947" t="str">
            <v>97-1-271</v>
          </cell>
          <cell r="E947" t="str">
            <v>및 이를 0.1% 이상 함유한 혼합물질. 다만 크롬산 납을 70% 이하 함유한 것은 제외</v>
          </cell>
          <cell r="F947">
            <v>0.1</v>
          </cell>
        </row>
        <row r="948">
          <cell r="B948" t="str">
            <v>10294-40-3</v>
          </cell>
          <cell r="C948" t="str">
            <v>Barium chromate</v>
          </cell>
          <cell r="D948" t="str">
            <v>97-1-271</v>
          </cell>
          <cell r="E948" t="str">
            <v>및 이를 0.1% 이상 함유한 혼합물질. 다만 크롬산 납을 70% 이하 함유한 것은 제외</v>
          </cell>
          <cell r="F948">
            <v>0.1</v>
          </cell>
        </row>
        <row r="949">
          <cell r="B949" t="str">
            <v>10294-52-7</v>
          </cell>
          <cell r="C949" t="str">
            <v>Diiron tris(chromate)</v>
          </cell>
          <cell r="D949" t="str">
            <v>97-1-271</v>
          </cell>
          <cell r="E949" t="str">
            <v>및 이를 0.1% 이상 함유한 혼합물질. 다만 크롬산 납을 70% 이하 함유한 것은 제외</v>
          </cell>
          <cell r="F949">
            <v>0.1</v>
          </cell>
        </row>
        <row r="950">
          <cell r="B950" t="str">
            <v>11103-86-9</v>
          </cell>
          <cell r="C950" t="str">
            <v>Potassium hydroxyoctaoxodizincatedichromate(1-)</v>
          </cell>
          <cell r="D950" t="str">
            <v>97-1-271</v>
          </cell>
          <cell r="E950" t="str">
            <v>및 이를 0.1% 이상 함유한 혼합물질. 다만 크롬산 납을 70% 이하 함유한 것은 제외</v>
          </cell>
          <cell r="F950">
            <v>0.1</v>
          </cell>
        </row>
        <row r="951">
          <cell r="B951" t="str">
            <v>11118-57-3</v>
          </cell>
          <cell r="C951" t="str">
            <v>Chromium oxide</v>
          </cell>
          <cell r="D951" t="str">
            <v>97-1-271</v>
          </cell>
          <cell r="E951" t="str">
            <v>및 이를 0.1% 이상 함유한 혼합물질. 다만 크롬산 납을 70% 이하 함유한 것은 제외</v>
          </cell>
          <cell r="F951">
            <v>0.1</v>
          </cell>
        </row>
        <row r="952">
          <cell r="B952" t="str">
            <v>12433-50-0</v>
          </cell>
          <cell r="C952" t="str">
            <v>Dipotassium heptadecaoxotetrazincate tetrachromate(2-)</v>
          </cell>
          <cell r="D952" t="str">
            <v>97-1-271</v>
          </cell>
          <cell r="E952" t="str">
            <v>및 이를 0.1% 이상 함유한 혼합물질. 다만 크롬산 납을 70% 이하 함유한 것은 제외</v>
          </cell>
          <cell r="F952">
            <v>0.1</v>
          </cell>
        </row>
        <row r="953">
          <cell r="B953" t="str">
            <v>12737-27-8</v>
          </cell>
          <cell r="C953" t="str">
            <v>Chromium iron oxide</v>
          </cell>
          <cell r="D953" t="str">
            <v>97-1-271</v>
          </cell>
          <cell r="E953" t="str">
            <v>및 이를 0.1% 이상 함유한 혼합물질. 다만 크롬산 납을 70% 이하 함유한 것은 제외</v>
          </cell>
          <cell r="F953">
            <v>0.1</v>
          </cell>
        </row>
        <row r="954">
          <cell r="B954" t="str">
            <v>1336-14-7</v>
          </cell>
          <cell r="C954" t="str">
            <v>Chromium copper zinc oxide</v>
          </cell>
          <cell r="D954" t="str">
            <v>97-1-271</v>
          </cell>
          <cell r="E954" t="str">
            <v>및 이를 0.1% 이상 함유한 혼합물질. 다만 크롬산 납을 70% 이하 함유한 것은 제외</v>
          </cell>
          <cell r="F954">
            <v>0.1</v>
          </cell>
        </row>
        <row r="955">
          <cell r="B955" t="str">
            <v>13423-61-5</v>
          </cell>
          <cell r="C955" t="str">
            <v>Magnesium chromate</v>
          </cell>
          <cell r="D955" t="str">
            <v>97-1-271</v>
          </cell>
          <cell r="E955" t="str">
            <v>및 이를 0.1% 이상 함유한 혼합물질. 다만 크롬산 납을 70% 이하 함유한 것은 제외</v>
          </cell>
          <cell r="F955">
            <v>0.1</v>
          </cell>
        </row>
        <row r="956">
          <cell r="B956" t="str">
            <v>13454-78-9</v>
          </cell>
          <cell r="C956" t="str">
            <v>Dicesium chromate</v>
          </cell>
          <cell r="D956" t="str">
            <v>97-1-271</v>
          </cell>
          <cell r="E956" t="str">
            <v>및 이를 0.1% 이상 함유한 혼합물질. 다만 크롬산 납을 70% 이하 함유한 것은 제외</v>
          </cell>
          <cell r="F956">
            <v>0.1</v>
          </cell>
        </row>
        <row r="957">
          <cell r="B957" t="str">
            <v>13455-25-9</v>
          </cell>
          <cell r="C957" t="str">
            <v>Chromic acid (H2CrO4), cobalt(2+) salt (1:1)</v>
          </cell>
          <cell r="D957" t="str">
            <v>97-1-271</v>
          </cell>
          <cell r="E957" t="str">
            <v>및 이를 0.1% 이상 함유한 혼합물질. 다만 크롬산 납을 70% 이하 함유한 것은 제외</v>
          </cell>
          <cell r="F957">
            <v>0.1</v>
          </cell>
        </row>
        <row r="958">
          <cell r="B958" t="str">
            <v>13473-75-1</v>
          </cell>
          <cell r="C958" t="str">
            <v>Dithallium chromate</v>
          </cell>
          <cell r="D958" t="str">
            <v>97-1-271</v>
          </cell>
          <cell r="E958" t="str">
            <v>및 이를 0.1% 이상 함유한 혼합물질. 다만 크롬산 납을 70% 이하 함유한 것은 제외</v>
          </cell>
          <cell r="F958">
            <v>0.1</v>
          </cell>
        </row>
        <row r="959">
          <cell r="B959" t="str">
            <v>13530-65-9</v>
          </cell>
          <cell r="C959" t="str">
            <v>Zinc chromate</v>
          </cell>
          <cell r="D959" t="str">
            <v>97-1-271</v>
          </cell>
          <cell r="E959" t="str">
            <v>및 이를 0.1% 이상 함유한 혼합물질. 다만 크롬산 납을 70% 이하 함유한 것은 제외</v>
          </cell>
          <cell r="F959">
            <v>0.1</v>
          </cell>
        </row>
        <row r="960">
          <cell r="B960" t="str">
            <v>13548-42-0</v>
          </cell>
          <cell r="C960" t="str">
            <v>Copper chromate</v>
          </cell>
          <cell r="D960" t="str">
            <v>97-1-271</v>
          </cell>
          <cell r="E960" t="str">
            <v>및 이를 0.1% 이상 함유한 혼합물질. 다만 크롬산 납을 70% 이하 함유한 것은 제외</v>
          </cell>
          <cell r="F960">
            <v>0.1</v>
          </cell>
        </row>
        <row r="961">
          <cell r="B961" t="str">
            <v>13765-19-0</v>
          </cell>
          <cell r="C961" t="str">
            <v>Calcium chromate</v>
          </cell>
          <cell r="D961" t="str">
            <v>97-1-271</v>
          </cell>
          <cell r="E961" t="str">
            <v>및 이를 0.1% 이상 함유한 혼합물질. 다만 크롬산 납을 70% 이하 함유한 것은 제외</v>
          </cell>
          <cell r="F961">
            <v>0.1</v>
          </cell>
        </row>
        <row r="962">
          <cell r="B962" t="str">
            <v>14307-35-8</v>
          </cell>
          <cell r="C962" t="str">
            <v>Lithium chromate</v>
          </cell>
          <cell r="D962" t="str">
            <v>97-1-271</v>
          </cell>
          <cell r="E962" t="str">
            <v>및 이를 0.1% 이상 함유한 혼합물질. 다만 크롬산 납을 70% 이하 함유한 것은 제외</v>
          </cell>
          <cell r="F962">
            <v>0.1</v>
          </cell>
        </row>
        <row r="963">
          <cell r="B963" t="str">
            <v>14721-18-7</v>
          </cell>
          <cell r="C963" t="str">
            <v>Nickel chromate</v>
          </cell>
          <cell r="D963" t="str">
            <v>97-1-271</v>
          </cell>
          <cell r="E963" t="str">
            <v>및 이를 0.1% 이상 함유한 혼합물질. 다만 크롬산 납을 70% 이하 함유한 것은 제외</v>
          </cell>
          <cell r="F963">
            <v>0.1</v>
          </cell>
        </row>
        <row r="964">
          <cell r="B964" t="str">
            <v>24613-89-6</v>
          </cell>
          <cell r="C964" t="str">
            <v>Chromic acid (H2CrO4), chromium(3+) salt (3:2)</v>
          </cell>
          <cell r="D964" t="str">
            <v>97-1-271</v>
          </cell>
          <cell r="E964" t="str">
            <v>및 이를 0.1% 이상 함유한 혼합물질. 다만 크롬산 납을 70% 이하 함유한 것은 제외</v>
          </cell>
          <cell r="F964">
            <v>0.1</v>
          </cell>
        </row>
        <row r="965">
          <cell r="B965" t="str">
            <v>37300-23-5</v>
          </cell>
          <cell r="C965" t="str">
            <v>C.I. Pigment yellow 36</v>
          </cell>
          <cell r="D965" t="str">
            <v>97-1-271</v>
          </cell>
          <cell r="E965" t="str">
            <v>및 이를 0.1% 이상 함유한 혼합물질. 다만 크롬산 납을 70% 이하 함유한 것은 제외</v>
          </cell>
          <cell r="F965">
            <v>0.1</v>
          </cell>
        </row>
        <row r="966">
          <cell r="B966" t="str">
            <v>41189-36-0</v>
          </cell>
          <cell r="C966" t="str">
            <v>Chromic acid, potassium zinc salt ; Potassium zinc chromate</v>
          </cell>
          <cell r="D966" t="str">
            <v>97-1-271</v>
          </cell>
          <cell r="E966" t="str">
            <v>및 이를 0.1% 이상 함유한 혼합물질. 다만 크롬산 납을 70% 이하 함유한 것은 제외</v>
          </cell>
          <cell r="F966">
            <v>0.1</v>
          </cell>
        </row>
        <row r="967">
          <cell r="B967" t="str">
            <v>49663-84-5</v>
          </cell>
          <cell r="C967" t="str">
            <v>Zinc tetraoxychromate</v>
          </cell>
          <cell r="D967" t="str">
            <v>97-1-271</v>
          </cell>
          <cell r="E967" t="str">
            <v>및 이를 0.1% 이상 함유한 혼합물질. 다만 크롬산 납을 70% 이하 함유한 것은 제외</v>
          </cell>
          <cell r="F967">
            <v>0.1</v>
          </cell>
        </row>
        <row r="968">
          <cell r="B968" t="str">
            <v>7775-11-3</v>
          </cell>
          <cell r="C968" t="str">
            <v>Sodium chromate</v>
          </cell>
          <cell r="D968" t="str">
            <v>97-1-271</v>
          </cell>
          <cell r="E968" t="str">
            <v>및 이를 0.1% 이상 함유한 혼합물질. 다만 크롬산 납을 70% 이하 함유한 것은 제외</v>
          </cell>
          <cell r="F968">
            <v>0.1</v>
          </cell>
        </row>
        <row r="969">
          <cell r="B969" t="str">
            <v>7784-01-2</v>
          </cell>
          <cell r="C969" t="str">
            <v>Silver chromate</v>
          </cell>
          <cell r="D969" t="str">
            <v>97-1-271</v>
          </cell>
          <cell r="E969" t="str">
            <v>및 이를 0.1% 이상 함유한 혼합물질. 다만 크롬산 납을 70% 이하 함유한 것은 제외</v>
          </cell>
          <cell r="F969">
            <v>0.1</v>
          </cell>
        </row>
        <row r="970">
          <cell r="B970" t="str">
            <v>7788-98-9</v>
          </cell>
          <cell r="C970" t="str">
            <v>Ammonium chromate</v>
          </cell>
          <cell r="D970" t="str">
            <v>97-1-271</v>
          </cell>
          <cell r="E970" t="str">
            <v>및 이를 0.1% 이상 함유한 혼합물질. 다만 크롬산 납을 70% 이하 함유한 것은 제외</v>
          </cell>
          <cell r="F970">
            <v>0.1</v>
          </cell>
        </row>
        <row r="971">
          <cell r="B971" t="str">
            <v>7789-00-6</v>
          </cell>
          <cell r="C971" t="str">
            <v>Potassium chromate</v>
          </cell>
          <cell r="D971" t="str">
            <v>97-1-271</v>
          </cell>
          <cell r="E971" t="str">
            <v>및 이를 0.1% 이상 함유한 혼합물질. 다만 크롬산 납을 70% 이하 함유한 것은 제외</v>
          </cell>
          <cell r="F971">
            <v>0.1</v>
          </cell>
        </row>
        <row r="972">
          <cell r="B972" t="str">
            <v>7789-01-7</v>
          </cell>
          <cell r="C972" t="str">
            <v>Lithium chromate dihydrate</v>
          </cell>
          <cell r="D972" t="str">
            <v>97-1-271</v>
          </cell>
          <cell r="E972" t="str">
            <v>및 이를 0.1% 이상 함유한 혼합물질. 다만 크롬산 납을 70% 이하 함유한 것은 제외</v>
          </cell>
          <cell r="F972">
            <v>0.1</v>
          </cell>
        </row>
        <row r="973">
          <cell r="B973" t="str">
            <v>7789-06-2</v>
          </cell>
          <cell r="C973" t="str">
            <v>Strontium chromate</v>
          </cell>
          <cell r="D973" t="str">
            <v>97-1-271</v>
          </cell>
          <cell r="E973" t="str">
            <v>및 이를 0.1% 이상 함유한 혼합물질. 다만 크롬산 납을 70% 이하 함유한 것은 제외</v>
          </cell>
          <cell r="F973">
            <v>0.1</v>
          </cell>
        </row>
        <row r="974">
          <cell r="C974" t="str">
            <v>Chromic acid, salts</v>
          </cell>
          <cell r="D974" t="str">
            <v>97-1-271</v>
          </cell>
          <cell r="E974" t="str">
            <v>및 이를 0.1% 이상 함유한 혼합물질. 다만 크롬산 납을 70% 이하 함유한 것은 제외</v>
          </cell>
          <cell r="F974">
            <v>0.1</v>
          </cell>
        </row>
        <row r="975">
          <cell r="B975" t="str">
            <v>11119-70-3</v>
          </cell>
          <cell r="C975" t="str">
            <v>Lead chromate</v>
          </cell>
          <cell r="D975" t="str">
            <v>97-1-271</v>
          </cell>
          <cell r="E975" t="str">
            <v>및 이를 0.1% 이상 함유한 혼합물질. 다만 크롬산 납을 70% 이하 함유한 것은 제외</v>
          </cell>
          <cell r="F975">
            <v>70</v>
          </cell>
        </row>
        <row r="976">
          <cell r="B976" t="str">
            <v>18454-12-1</v>
          </cell>
          <cell r="C976" t="str">
            <v>Lead chromate oxide (Pb2(CrO4)O)</v>
          </cell>
          <cell r="D976" t="str">
            <v>97-1-271</v>
          </cell>
          <cell r="E976" t="str">
            <v>및 이를 0.1% 이상 함유한 혼합물질. 다만 크롬산 납을 70% 이하 함유한 것은 제외</v>
          </cell>
          <cell r="F976">
            <v>70</v>
          </cell>
        </row>
        <row r="977">
          <cell r="B977" t="str">
            <v>7758-97-6</v>
          </cell>
          <cell r="C977" t="str">
            <v>Lead chromate (PbCrO4)</v>
          </cell>
          <cell r="D977" t="str">
            <v>97-1-271</v>
          </cell>
          <cell r="E977" t="str">
            <v>및 이를 0.1% 이상 함유한 혼합물질. 다만 크롬산 납을 70% 이하 함유한 것은 제외</v>
          </cell>
          <cell r="F977">
            <v>70</v>
          </cell>
        </row>
        <row r="978">
          <cell r="B978" t="str">
            <v>535-89-7</v>
          </cell>
          <cell r="C978" t="str">
            <v>Crimidine</v>
          </cell>
          <cell r="D978" t="str">
            <v>97-1-272</v>
          </cell>
          <cell r="E978" t="str">
            <v>및 그 중 하나를 1% 이상 함유한 혼합물질</v>
          </cell>
          <cell r="F978">
            <v>1</v>
          </cell>
        </row>
        <row r="979">
          <cell r="C979" t="str">
            <v>Crimidine, salts</v>
          </cell>
          <cell r="D979" t="str">
            <v>97-1-272</v>
          </cell>
          <cell r="E979" t="str">
            <v>및 그 중 하나를 1% 이상 함유한 혼합물질</v>
          </cell>
          <cell r="F979">
            <v>1</v>
          </cell>
        </row>
        <row r="980">
          <cell r="B980" t="str">
            <v>15096-52-3</v>
          </cell>
          <cell r="C980" t="str">
            <v>Trisodium hexafluoroaluminate</v>
          </cell>
          <cell r="D980" t="str">
            <v>97-1-273</v>
          </cell>
          <cell r="E980" t="str">
            <v>및 이를 1% 이상 함유한 혼합물질</v>
          </cell>
          <cell r="F980">
            <v>1</v>
          </cell>
        </row>
        <row r="981">
          <cell r="B981" t="str">
            <v>105-67-9</v>
          </cell>
          <cell r="C981" t="str">
            <v>2,4-Dimethylphenol</v>
          </cell>
          <cell r="D981" t="str">
            <v>97-1-274</v>
          </cell>
          <cell r="E981" t="str">
            <v>및 이를 5% 이상 함유한 혼합물질</v>
          </cell>
          <cell r="F981">
            <v>5</v>
          </cell>
        </row>
        <row r="982">
          <cell r="B982" t="str">
            <v>108-68-9</v>
          </cell>
          <cell r="C982" t="str">
            <v>3,5-Dimethylphenol</v>
          </cell>
          <cell r="D982" t="str">
            <v>97-1-274</v>
          </cell>
          <cell r="E982" t="str">
            <v>및 이를 5% 이상 함유한 혼합물질</v>
          </cell>
          <cell r="F982">
            <v>5</v>
          </cell>
        </row>
        <row r="983">
          <cell r="B983" t="str">
            <v>1300-71-6</v>
          </cell>
          <cell r="C983" t="str">
            <v>Xylenol ; Dimethylphenol</v>
          </cell>
          <cell r="D983" t="str">
            <v>97-1-274</v>
          </cell>
          <cell r="E983" t="str">
            <v>및 이를 5% 이상 함유한 혼합물질</v>
          </cell>
          <cell r="F983">
            <v>5</v>
          </cell>
        </row>
        <row r="984">
          <cell r="B984" t="str">
            <v>526-75-0</v>
          </cell>
          <cell r="C984" t="str">
            <v>2,3-Dimethylphenol</v>
          </cell>
          <cell r="D984" t="str">
            <v>97-1-274</v>
          </cell>
          <cell r="E984" t="str">
            <v>및 이를 5% 이상 함유한 혼합물질</v>
          </cell>
          <cell r="F984">
            <v>5</v>
          </cell>
        </row>
        <row r="985">
          <cell r="B985" t="str">
            <v>576-26-1</v>
          </cell>
          <cell r="C985" t="str">
            <v>2,6-Xylenol</v>
          </cell>
          <cell r="D985" t="str">
            <v>97-1-274</v>
          </cell>
          <cell r="E985" t="str">
            <v>및 이를 5% 이상 함유한 혼합물질</v>
          </cell>
          <cell r="F985">
            <v>5</v>
          </cell>
        </row>
        <row r="986">
          <cell r="B986" t="str">
            <v>71975-58-1</v>
          </cell>
          <cell r="C986" t="str">
            <v>2,4(or 2,5)-Xylenol</v>
          </cell>
          <cell r="D986" t="str">
            <v>97-1-274</v>
          </cell>
          <cell r="E986" t="str">
            <v>및 이를 5% 이상 함유한 혼합물질</v>
          </cell>
          <cell r="F986">
            <v>5</v>
          </cell>
        </row>
        <row r="987">
          <cell r="B987" t="str">
            <v>95-65-8</v>
          </cell>
          <cell r="C987" t="str">
            <v>3,4-Dimethylphenol</v>
          </cell>
          <cell r="D987" t="str">
            <v>97-1-274</v>
          </cell>
          <cell r="E987" t="str">
            <v>및 이를 5% 이상 함유한 혼합물질</v>
          </cell>
          <cell r="F987">
            <v>5</v>
          </cell>
        </row>
        <row r="988">
          <cell r="B988" t="str">
            <v>95-87-4</v>
          </cell>
          <cell r="C988" t="str">
            <v>2,5-Dimethylphenol</v>
          </cell>
          <cell r="D988" t="str">
            <v>97-1-274</v>
          </cell>
          <cell r="E988" t="str">
            <v>및 이를 5% 이상 함유한 혼합물질</v>
          </cell>
          <cell r="F988">
            <v>5</v>
          </cell>
        </row>
        <row r="989">
          <cell r="B989" t="str">
            <v>106-42-3</v>
          </cell>
          <cell r="C989" t="str">
            <v>p-Xylene</v>
          </cell>
          <cell r="D989" t="str">
            <v>97-1-275</v>
          </cell>
          <cell r="E989" t="str">
            <v>및 이를 85% 이상 함유한 혼합물질</v>
          </cell>
          <cell r="F989">
            <v>85</v>
          </cell>
        </row>
        <row r="990">
          <cell r="B990" t="str">
            <v>108-38-3</v>
          </cell>
          <cell r="C990" t="str">
            <v>m-xylene</v>
          </cell>
          <cell r="D990" t="str">
            <v>97-1-275</v>
          </cell>
          <cell r="E990" t="str">
            <v>및 이를 85% 이상 함유한 혼합물질</v>
          </cell>
          <cell r="F990">
            <v>85</v>
          </cell>
        </row>
        <row r="991">
          <cell r="B991" t="str">
            <v>1330-20-7</v>
          </cell>
          <cell r="C991" t="str">
            <v>Xylene ; Dimethylbenzene</v>
          </cell>
          <cell r="D991" t="str">
            <v>97-1-275</v>
          </cell>
          <cell r="E991" t="str">
            <v>및 이를 85% 이상 함유한 혼합물질</v>
          </cell>
          <cell r="F991">
            <v>85</v>
          </cell>
        </row>
        <row r="992">
          <cell r="B992" t="str">
            <v>95-47-6</v>
          </cell>
          <cell r="C992" t="str">
            <v>o-Xylene</v>
          </cell>
          <cell r="D992" t="str">
            <v>97-1-275</v>
          </cell>
          <cell r="E992" t="str">
            <v>및 이를 85% 이상 함유한 혼합물질</v>
          </cell>
          <cell r="F992">
            <v>85</v>
          </cell>
        </row>
        <row r="993">
          <cell r="B993" t="str">
            <v>107-30-2</v>
          </cell>
          <cell r="C993" t="str">
            <v>Chloromethyl methyl ether</v>
          </cell>
          <cell r="D993" t="str">
            <v>97-1-276</v>
          </cell>
          <cell r="E993" t="str">
            <v>및 이를 0.1% 이상 함유한 혼합물질</v>
          </cell>
          <cell r="F993">
            <v>0.1</v>
          </cell>
        </row>
        <row r="994">
          <cell r="B994" t="str">
            <v>7790-94-5</v>
          </cell>
          <cell r="C994" t="str">
            <v>Chlorosulfuric acid</v>
          </cell>
          <cell r="D994" t="str">
            <v>97-1-277</v>
          </cell>
          <cell r="E994" t="str">
            <v>및 이를 25% 이상 함유한 혼합물질</v>
          </cell>
          <cell r="F994">
            <v>25</v>
          </cell>
        </row>
        <row r="995">
          <cell r="B995" t="str">
            <v>79-11-8</v>
          </cell>
          <cell r="C995" t="str">
            <v>Acetic acid, chloro-</v>
          </cell>
          <cell r="D995" t="str">
            <v>97-1-278</v>
          </cell>
          <cell r="E995" t="str">
            <v>및 이를 25% 이상 함유한 혼합물질</v>
          </cell>
          <cell r="F995">
            <v>25</v>
          </cell>
        </row>
        <row r="996">
          <cell r="B996" t="str">
            <v>1897-45-6</v>
          </cell>
          <cell r="C996" t="str">
            <v>2,4,5,6-Tetrachloro-1,3-benzenedicarbonitrile ; Chlorothalonil, Daconil,TPN</v>
          </cell>
          <cell r="D996" t="str">
            <v>97-1-279</v>
          </cell>
          <cell r="E996" t="str">
            <v>및 이를 0.1% 이상 함유한 혼합물질</v>
          </cell>
          <cell r="F996">
            <v>0.1</v>
          </cell>
        </row>
        <row r="997">
          <cell r="B997" t="str">
            <v>122-15-6</v>
          </cell>
          <cell r="C997" t="str">
            <v>Dimetan</v>
          </cell>
          <cell r="D997" t="str">
            <v>97-1-28</v>
          </cell>
          <cell r="E997" t="str">
            <v>및 이를 1% 이상 함유한 혼합물질</v>
          </cell>
          <cell r="F997">
            <v>1</v>
          </cell>
        </row>
        <row r="998">
          <cell r="B998" t="str">
            <v>3691-35-8</v>
          </cell>
          <cell r="C998" t="str">
            <v>Chlorophacinone</v>
          </cell>
          <cell r="D998" t="str">
            <v>97-1-280</v>
          </cell>
          <cell r="E998" t="str">
            <v>및 이를 0.025% 이상 함유한 혼합물</v>
          </cell>
          <cell r="F998">
            <v>2.5000000000000001E-2</v>
          </cell>
        </row>
        <row r="999">
          <cell r="B999" t="str">
            <v>67-66-3</v>
          </cell>
          <cell r="C999" t="str">
            <v>Trichloromethane ; Chloroform</v>
          </cell>
          <cell r="D999" t="str">
            <v>97-1-281</v>
          </cell>
          <cell r="E999" t="str">
            <v>및 이를 85% 이상 함유한 혼합물질</v>
          </cell>
          <cell r="F999">
            <v>85</v>
          </cell>
        </row>
        <row r="1000">
          <cell r="B1000" t="str">
            <v>5836-73-7</v>
          </cell>
          <cell r="C1000" t="str">
            <v>Chloropromurite</v>
          </cell>
          <cell r="D1000" t="str">
            <v>97-1-282</v>
          </cell>
          <cell r="E1000" t="str">
            <v>및 이를 1% 이상 함유한 혼합물질</v>
          </cell>
          <cell r="F1000">
            <v>1</v>
          </cell>
        </row>
        <row r="1001">
          <cell r="B1001" t="str">
            <v>76-06-2</v>
          </cell>
          <cell r="C1001" t="str">
            <v>Chloropicrin</v>
          </cell>
          <cell r="D1001" t="str">
            <v>97-1-283</v>
          </cell>
          <cell r="E1001" t="str">
            <v>및 이를 1% 이상 함유한 혼합물질</v>
          </cell>
          <cell r="F1001">
            <v>1</v>
          </cell>
        </row>
        <row r="1002">
          <cell r="B1002" t="str">
            <v>96-24-2</v>
          </cell>
          <cell r="C1002" t="str">
            <v>3-Chloro-1,2-propanediol ; α-Monochlorohydrin</v>
          </cell>
          <cell r="D1002" t="str">
            <v>97-1-284</v>
          </cell>
          <cell r="E1002" t="str">
            <v>및 이를 1% 이상 함유한 혼합물질</v>
          </cell>
          <cell r="F1002">
            <v>1</v>
          </cell>
        </row>
        <row r="1003">
          <cell r="B1003" t="str">
            <v>5103-71-9</v>
          </cell>
          <cell r="C1003" t="str">
            <v>(±)-cis-Chlordane</v>
          </cell>
          <cell r="D1003" t="str">
            <v>97-1-285</v>
          </cell>
          <cell r="E1003" t="str">
            <v>및 이를 1% 이상 함유한 혼합물질</v>
          </cell>
          <cell r="F1003">
            <v>1</v>
          </cell>
        </row>
        <row r="1004">
          <cell r="B1004" t="str">
            <v>5103-74-2</v>
          </cell>
          <cell r="C1004" t="str">
            <v>(±)-trans-Chlordane</v>
          </cell>
          <cell r="D1004" t="str">
            <v>97-1-285</v>
          </cell>
          <cell r="E1004" t="str">
            <v>및 이를 1% 이상 함유한 혼합물질</v>
          </cell>
          <cell r="F1004">
            <v>1</v>
          </cell>
        </row>
        <row r="1005">
          <cell r="B1005" t="str">
            <v>57-74-9</v>
          </cell>
          <cell r="C1005" t="str">
            <v>Chlordan</v>
          </cell>
          <cell r="D1005" t="str">
            <v>97-1-285</v>
          </cell>
          <cell r="E1005" t="str">
            <v>및 이를 1% 이상 함유한 혼합물질</v>
          </cell>
          <cell r="F1005">
            <v>1</v>
          </cell>
        </row>
        <row r="1006">
          <cell r="B1006" t="str">
            <v>6164-98-3</v>
          </cell>
          <cell r="C1006" t="str">
            <v>Chlordimeform</v>
          </cell>
          <cell r="D1006" t="str">
            <v>97-1-286</v>
          </cell>
          <cell r="E1006" t="str">
            <v>및 그 중 클로르디메폼으로서 3% 이상 함유한 혼합물질</v>
          </cell>
          <cell r="F1006">
            <v>3</v>
          </cell>
        </row>
        <row r="1007">
          <cell r="C1007" t="str">
            <v>Chlordimeform, salts</v>
          </cell>
          <cell r="D1007" t="str">
            <v>97-1-286</v>
          </cell>
          <cell r="E1007" t="str">
            <v>및 그 중 클로르디메폼으로서 3% 이상 함유한 혼합물질</v>
          </cell>
          <cell r="F1007">
            <v>3</v>
          </cell>
        </row>
        <row r="1008">
          <cell r="B1008" t="str">
            <v>24934-91-6</v>
          </cell>
          <cell r="C1008" t="str">
            <v>Chlormephos</v>
          </cell>
          <cell r="D1008" t="str">
            <v>97-1-287</v>
          </cell>
          <cell r="E1008" t="str">
            <v>및 이를 1% 이상 함유한 혼합물질</v>
          </cell>
          <cell r="F1008">
            <v>1</v>
          </cell>
        </row>
        <row r="1009">
          <cell r="B1009" t="str">
            <v>21923-23-9</v>
          </cell>
          <cell r="C1009" t="str">
            <v>Chlorthiophos</v>
          </cell>
          <cell r="D1009" t="str">
            <v>97-1-288</v>
          </cell>
          <cell r="E1009" t="str">
            <v>및 이를 1% 이상 함유한 혼합물질</v>
          </cell>
          <cell r="F1009">
            <v>1</v>
          </cell>
        </row>
        <row r="1010">
          <cell r="B1010" t="str">
            <v>470-90-6</v>
          </cell>
          <cell r="C1010" t="str">
            <v>2-Chloro-1-(2,4-dichlorophenyl)ethenyl diethyl phosphoate ; Chlorfenvinphos, Birlane, Dermaton</v>
          </cell>
          <cell r="D1010" t="str">
            <v>97-1-289</v>
          </cell>
          <cell r="E1010" t="str">
            <v>및 이를 1% 이상 함유한 혼합물질</v>
          </cell>
          <cell r="F1010">
            <v>1</v>
          </cell>
        </row>
        <row r="1011">
          <cell r="B1011" t="str">
            <v>60-51-5</v>
          </cell>
          <cell r="C1011" t="str">
            <v>Dimethoate</v>
          </cell>
          <cell r="D1011" t="str">
            <v>97-1-29</v>
          </cell>
          <cell r="E1011" t="str">
            <v>및 이를 1% 이상 함유한 혼합물질</v>
          </cell>
          <cell r="F1011">
            <v>1</v>
          </cell>
        </row>
        <row r="1012">
          <cell r="B1012" t="str">
            <v>2921-88-2</v>
          </cell>
          <cell r="C1012" t="str">
            <v>O,O-Diethyl-O-(3,5,6-trichloro-2-pyridyl)phosphorothioate ; Phosphorothioic acid O,O-diethyl O-(3,5,6-trichloro-2-pyridinyl) ester, Chloropyrifos, Dursban, Pyrinex</v>
          </cell>
          <cell r="D1012" t="str">
            <v>97-1-290</v>
          </cell>
          <cell r="E1012" t="str">
            <v>및 이를 1% 이상 함유한 혼합물질</v>
          </cell>
          <cell r="F1012">
            <v>1</v>
          </cell>
        </row>
        <row r="1013">
          <cell r="B1013" t="str">
            <v>51487-69-5</v>
          </cell>
          <cell r="C1013" t="str">
            <v>Cloethocarb</v>
          </cell>
          <cell r="D1013" t="str">
            <v>97-1-291</v>
          </cell>
          <cell r="E1013" t="str">
            <v>및 이를 1% 이상 함유한 혼합물질</v>
          </cell>
          <cell r="F1013">
            <v>1</v>
          </cell>
        </row>
        <row r="1014">
          <cell r="B1014" t="str">
            <v>13071-79-9</v>
          </cell>
          <cell r="C1014" t="str">
            <v>Terbufos</v>
          </cell>
          <cell r="D1014" t="str">
            <v>97-1-292</v>
          </cell>
          <cell r="E1014" t="str">
            <v>및 이를 1% 이상 함유한 혼합물질</v>
          </cell>
          <cell r="F1014">
            <v>1</v>
          </cell>
        </row>
        <row r="1015">
          <cell r="B1015" t="str">
            <v>96491-05-3</v>
          </cell>
          <cell r="C1015" t="str">
            <v>2-Chloro-N-(3-methoxy-2-thenyl)-2',6'-dimethylacetanilide ; Thenylchlor</v>
          </cell>
          <cell r="D1015" t="str">
            <v>97-1-293</v>
          </cell>
          <cell r="E1015" t="str">
            <v>및 이를 25% 이상 함유한 혼합물질</v>
          </cell>
          <cell r="F1015">
            <v>25</v>
          </cell>
        </row>
        <row r="1016">
          <cell r="B1016" t="str">
            <v>35996-61-3</v>
          </cell>
          <cell r="C1016" t="str">
            <v>Themivinphos</v>
          </cell>
          <cell r="D1016" t="str">
            <v>97-1-294</v>
          </cell>
          <cell r="E1016" t="str">
            <v>및 이를 1% 이상 함유한 혼합물질</v>
          </cell>
          <cell r="F1016">
            <v>1</v>
          </cell>
        </row>
        <row r="1017">
          <cell r="B1017" t="str">
            <v>119168-77-3</v>
          </cell>
          <cell r="C1017" t="str">
            <v>N-(4-tert-Butylbenzyl)-4-chloro-3-ethyl-1-methylpyrazole-5-carboxamide ; Tebufenpyrad</v>
          </cell>
          <cell r="D1017" t="str">
            <v>97-1-295</v>
          </cell>
          <cell r="E1017" t="str">
            <v>및 이를 25% 이상 함유한 혼합물질</v>
          </cell>
          <cell r="F1017">
            <v>25</v>
          </cell>
        </row>
        <row r="1018">
          <cell r="B1018" t="str">
            <v>75-74-1</v>
          </cell>
          <cell r="C1018" t="str">
            <v>Tetramethyl lead</v>
          </cell>
          <cell r="D1018" t="str">
            <v>97-1-296</v>
          </cell>
          <cell r="E1018" t="str">
            <v>및 이를 1% 이상 함유한 혼합물질</v>
          </cell>
          <cell r="F1018">
            <v>1</v>
          </cell>
        </row>
        <row r="1019">
          <cell r="B1019" t="str">
            <v>78-00-2</v>
          </cell>
          <cell r="C1019" t="str">
            <v>Tetraethyl lead</v>
          </cell>
          <cell r="D1019" t="str">
            <v>97-1-296</v>
          </cell>
          <cell r="E1019" t="str">
            <v>및 이를 1% 이상 함유한 혼합물질</v>
          </cell>
          <cell r="F1019">
            <v>1</v>
          </cell>
        </row>
        <row r="1020">
          <cell r="C1020" t="str">
            <v>Tetraalkyl lead</v>
          </cell>
          <cell r="D1020" t="str">
            <v>97-1-296</v>
          </cell>
          <cell r="E1020" t="str">
            <v>및 이를 1% 이상 함유한 혼합물질</v>
          </cell>
          <cell r="F1020">
            <v>1</v>
          </cell>
        </row>
        <row r="1021">
          <cell r="B1021" t="str">
            <v>127-18-4</v>
          </cell>
          <cell r="C1021" t="str">
            <v>Tetrachloroethene ; Tetrachloroethylene</v>
          </cell>
          <cell r="D1021" t="str">
            <v>97-1-297</v>
          </cell>
          <cell r="E1021" t="str">
            <v>및 이를 85% 이상 함유한 혼합물질</v>
          </cell>
          <cell r="F1021">
            <v>85</v>
          </cell>
        </row>
        <row r="1022">
          <cell r="B1022" t="str">
            <v>108-88-3</v>
          </cell>
          <cell r="C1022" t="str">
            <v>Toluene</v>
          </cell>
          <cell r="D1022" t="str">
            <v>97-1-298</v>
          </cell>
          <cell r="E1022" t="str">
            <v>및 이를 85% 이상 함유한 혼합물질</v>
          </cell>
          <cell r="F1022">
            <v>85</v>
          </cell>
        </row>
        <row r="1023">
          <cell r="C1023" t="str">
            <v>Toluene-2,4-diamine sulfate</v>
          </cell>
          <cell r="D1023" t="str">
            <v>97-1-299</v>
          </cell>
          <cell r="E1023" t="str">
            <v>과 그 염류 및 그중 하나를 25% 이상 함유한 혼합물질. 다만, 톨루엔-2,4-디아민(Toluene-2,4-diamine)과 이것의 황산염(Toluene-2,4-diamine sulfate)의 경우 이를 0.1% 이상 함유한 혼합물질</v>
          </cell>
          <cell r="F1023">
            <v>0.1</v>
          </cell>
        </row>
        <row r="1024">
          <cell r="C1024" t="str">
            <v>Toluenediamine</v>
          </cell>
          <cell r="D1024" t="str">
            <v>97-1-299</v>
          </cell>
          <cell r="E1024" t="str">
            <v>과 그 염류 및 그중 하나를 25% 이상 함유한 혼합물질. 다만, 톨루엔-2,4-디아민(Toluene-2,4-diamine)과 이것의 황산염(Toluene-2,4-diamine sulfate)의 경우 이를 0.1% 이상 함유한 혼합물질</v>
          </cell>
          <cell r="F1024">
            <v>0.1</v>
          </cell>
        </row>
        <row r="1025">
          <cell r="B1025" t="str">
            <v>25376-45-8</v>
          </cell>
          <cell r="C1025" t="str">
            <v>ar-Methylbenzenediamine ; Diaminotoluene</v>
          </cell>
          <cell r="D1025" t="str">
            <v>97-1-299</v>
          </cell>
          <cell r="E1025" t="str">
            <v>과 그 염류 및 그중 하나를 25% 이상 함유한 혼합물질. 다만, 톨루엔-2,4-디아민(Toluene-2,4-diamine)과 이것의 황산염(Toluene-2,4-diamine sulfate)의 경우 이를 0.1% 이상 함유한 혼합물질</v>
          </cell>
          <cell r="F1025">
            <v>25</v>
          </cell>
        </row>
        <row r="1026">
          <cell r="B1026" t="str">
            <v>2687-25-4</v>
          </cell>
          <cell r="C1026" t="str">
            <v>3-Methyl-1,2-benzenediamine</v>
          </cell>
          <cell r="D1026" t="str">
            <v>97-1-299</v>
          </cell>
          <cell r="E1026" t="str">
            <v>과 그 염류 및 그중 하나를 25% 이상 함유한 혼합물질. 다만, 톨루엔-2,4-디아민(Toluene-2,4-diamine)과 이것의 황산염(Toluene-2,4-diamine sulfate)의 경우 이를 0.1% 이상 함유한 혼합물질</v>
          </cell>
          <cell r="F1026">
            <v>25</v>
          </cell>
        </row>
        <row r="1027">
          <cell r="B1027" t="str">
            <v>26966-75-6</v>
          </cell>
          <cell r="C1027" t="str">
            <v>3(or 4)-Methylbenzene-1,2-diamine</v>
          </cell>
          <cell r="D1027" t="str">
            <v>97-1-299</v>
          </cell>
          <cell r="E1027" t="str">
            <v>과 그 염류 및 그중 하나를 25% 이상 함유한 혼합물질. 다만, 톨루엔-2,4-디아민(Toluene-2,4-diamine)과 이것의 황산염(Toluene-2,4-diamine sulfate)의 경우 이를 0.1% 이상 함유한 혼합물질</v>
          </cell>
          <cell r="F1027">
            <v>25</v>
          </cell>
        </row>
        <row r="1028">
          <cell r="B1028" t="str">
            <v>496-72-0</v>
          </cell>
          <cell r="C1028" t="str">
            <v>Toluene-3,4-diamine</v>
          </cell>
          <cell r="D1028" t="str">
            <v>97-1-299</v>
          </cell>
          <cell r="E1028" t="str">
            <v>과 그 염류 및 그중 하나를 25% 이상 함유한 혼합물질. 다만, 톨루엔-2,4-디아민(Toluene-2,4-diamine)과 이것의 황산염(Toluene-2,4-diamine sulfate)의 경우 이를 0.1% 이상 함유한 혼합물질</v>
          </cell>
          <cell r="F1028">
            <v>25</v>
          </cell>
        </row>
        <row r="1029">
          <cell r="B1029" t="str">
            <v>615-50-9</v>
          </cell>
          <cell r="C1029" t="str">
            <v>2-Methyl-p-phenylenediamine sulphate</v>
          </cell>
          <cell r="D1029" t="str">
            <v>97-1-299</v>
          </cell>
          <cell r="E1029" t="str">
            <v>과 그 염류 및 그중 하나를 25% 이상 함유한 혼합물질. 다만, 톨루엔-2,4-디아민(Toluene-2,4-diamine)과 이것의 황산염(Toluene-2,4-diamine sulfate)의 경우 이를 0.1% 이상 함유한 혼합물질</v>
          </cell>
          <cell r="F1029">
            <v>25</v>
          </cell>
        </row>
        <row r="1030">
          <cell r="B1030" t="str">
            <v>6369-59-1</v>
          </cell>
          <cell r="C1030" t="str">
            <v>2-Methyl-p-phenylenediamine sulphate</v>
          </cell>
          <cell r="D1030" t="str">
            <v>97-1-299</v>
          </cell>
          <cell r="E1030" t="str">
            <v>과 그 염류 및 그중 하나를 25% 이상 함유한 혼합물질. 다만, 톨루엔-2,4-디아민(Toluene-2,4-diamine)과 이것의 황산염(Toluene-2,4-diamine sulfate)의 경우 이를 0.1% 이상 함유한 혼합물질</v>
          </cell>
          <cell r="F1030">
            <v>25</v>
          </cell>
        </row>
        <row r="1031">
          <cell r="B1031" t="str">
            <v>823-40-5</v>
          </cell>
          <cell r="C1031" t="str">
            <v>2-Methyl-1,3-benzenediamine</v>
          </cell>
          <cell r="D1031" t="str">
            <v>97-1-299</v>
          </cell>
          <cell r="E1031" t="str">
            <v>과 그 염류 및 그중 하나를 25% 이상 함유한 혼합물질. 다만, 톨루엔-2,4-디아민(Toluene-2,4-diamine)과 이것의 황산염(Toluene-2,4-diamine sulfate)의 경우 이를 0.1% 이상 함유한 혼합물질</v>
          </cell>
          <cell r="F1031">
            <v>25</v>
          </cell>
        </row>
        <row r="1032">
          <cell r="B1032" t="str">
            <v>95-70-5</v>
          </cell>
          <cell r="C1032" t="str">
            <v>2-Methyl-1,4-benzenediamine</v>
          </cell>
          <cell r="D1032" t="str">
            <v>97-1-299</v>
          </cell>
          <cell r="E1032" t="str">
            <v>과 그 염류 및 그중 하나를 25% 이상 함유한 혼합물질. 다만, 톨루엔-2,4-디아민(Toluene-2,4-diamine)과 이것의 황산염(Toluene-2,4-diamine sulfate)의 경우 이를 0.1% 이상 함유한 혼합물질</v>
          </cell>
          <cell r="F1032">
            <v>25</v>
          </cell>
        </row>
        <row r="1033">
          <cell r="B1033" t="str">
            <v>95-80-7</v>
          </cell>
          <cell r="C1033" t="str">
            <v>4-Methyl-1,3-benzenediamine</v>
          </cell>
          <cell r="D1033" t="str">
            <v>97-1-299</v>
          </cell>
          <cell r="E1033" t="str">
            <v>과 그 염류 및 그중 하나를 25% 이상 함유한 혼합물질. 다만, 톨루엔-2,4-디아민(Toluene-2,4-diamine)과 이것의 황산염(Toluene-2,4-diamine sulfate)의 경우 이를 0.1% 이상 함유한 혼합물질</v>
          </cell>
          <cell r="F1033">
            <v>25</v>
          </cell>
        </row>
        <row r="1034">
          <cell r="B1034" t="str">
            <v>124-43-6</v>
          </cell>
          <cell r="C1034" t="str">
            <v>Urea peroxide</v>
          </cell>
          <cell r="D1034" t="str">
            <v>97-1-3</v>
          </cell>
          <cell r="E1034" t="str">
            <v>및 이를 17% 이상 함유한 혼합물질</v>
          </cell>
          <cell r="F1034">
            <v>17</v>
          </cell>
        </row>
        <row r="1035">
          <cell r="B1035" t="str">
            <v>17040-19-6</v>
          </cell>
          <cell r="C1035" t="str">
            <v>Demeton-S-methylsulfone</v>
          </cell>
          <cell r="D1035" t="str">
            <v>97-1-30</v>
          </cell>
          <cell r="E1035" t="str">
            <v>및 이를 1% 이상 함유한 혼합물질</v>
          </cell>
          <cell r="F1035">
            <v>1</v>
          </cell>
        </row>
        <row r="1036">
          <cell r="B1036" t="str">
            <v>95-53-4</v>
          </cell>
          <cell r="C1036" t="str">
            <v>o-Toluidine</v>
          </cell>
          <cell r="D1036" t="str">
            <v>97-1-300</v>
          </cell>
          <cell r="E1036" t="str">
            <v>과 그 염류 및 그중 하나를 25% 이상 함유한 혼합물질. 다만, o-톨루이딘(o-Toluidine)의 경우 이를 0.1% 이상 함유한 혼합물질</v>
          </cell>
          <cell r="F1036">
            <v>0.1</v>
          </cell>
        </row>
        <row r="1037">
          <cell r="B1037" t="str">
            <v>106-49-0</v>
          </cell>
          <cell r="C1037" t="str">
            <v>p-Toluidine</v>
          </cell>
          <cell r="D1037" t="str">
            <v>97-1-300</v>
          </cell>
          <cell r="E1037" t="str">
            <v>과 그 염류 및 그중 하나를 25% 이상 함유한 혼합물질. 다만, o-톨루이딘(o-Toluidine)의 경우 이를 0.1% 이상 함유한 혼합물질</v>
          </cell>
          <cell r="F1037">
            <v>25</v>
          </cell>
        </row>
        <row r="1038">
          <cell r="B1038" t="str">
            <v>108-44-1</v>
          </cell>
          <cell r="C1038" t="str">
            <v>m-Toluidine</v>
          </cell>
          <cell r="D1038" t="str">
            <v>97-1-300</v>
          </cell>
          <cell r="E1038" t="str">
            <v>과 그 염류 및 그중 하나를 25% 이상 함유한 혼합물질. 다만, o-톨루이딘(o-Toluidine)의 경우 이를 0.1% 이상 함유한 혼합물질</v>
          </cell>
          <cell r="F1038">
            <v>25</v>
          </cell>
        </row>
        <row r="1039">
          <cell r="B1039" t="str">
            <v>22006-17-3</v>
          </cell>
          <cell r="C1039" t="str">
            <v>o-Toluidine dihydrochloride</v>
          </cell>
          <cell r="D1039" t="str">
            <v>97-1-300</v>
          </cell>
          <cell r="E1039" t="str">
            <v>과 그 염류 및 그중 하나를 25% 이상 함유한 혼합물질. 다만, o-톨루이딘(o-Toluidine)의 경우 이를 0.1% 이상 함유한 혼합물질</v>
          </cell>
          <cell r="F1039">
            <v>25</v>
          </cell>
        </row>
        <row r="1040">
          <cell r="B1040" t="str">
            <v>26915-12-8</v>
          </cell>
          <cell r="C1040" t="str">
            <v>Toluidine</v>
          </cell>
          <cell r="D1040" t="str">
            <v>97-1-300</v>
          </cell>
          <cell r="E1040" t="str">
            <v>과 그 염류 및 그중 하나를 25% 이상 함유한 혼합물질. 다만, o-톨루이딘(o-Toluidine)의 경우 이를 0.1% 이상 함유한 혼합물질</v>
          </cell>
          <cell r="F1040">
            <v>25</v>
          </cell>
        </row>
        <row r="1041">
          <cell r="B1041" t="str">
            <v>540-23-8</v>
          </cell>
          <cell r="C1041" t="str">
            <v>Toluidinium chloride</v>
          </cell>
          <cell r="D1041" t="str">
            <v>97-1-300</v>
          </cell>
          <cell r="E1041" t="str">
            <v>과 그 염류 및 그중 하나를 25% 이상 함유한 혼합물질. 다만, o-톨루이딘(o-Toluidine)의 경우 이를 0.1% 이상 함유한 혼합물질</v>
          </cell>
          <cell r="F1041">
            <v>25</v>
          </cell>
        </row>
        <row r="1042">
          <cell r="B1042" t="str">
            <v>540-25-0</v>
          </cell>
          <cell r="C1042" t="str">
            <v>Toluidine sulphate(1:1)</v>
          </cell>
          <cell r="D1042" t="str">
            <v>97-1-300</v>
          </cell>
          <cell r="E1042" t="str">
            <v>과 그 염류 및 그중 하나를 25% 이상 함유한 혼합물질. 다만, o-톨루이딘(o-Toluidine)의 경우 이를 0.1% 이상 함유한 혼합물질</v>
          </cell>
          <cell r="F1042">
            <v>25</v>
          </cell>
        </row>
        <row r="1043">
          <cell r="B1043" t="str">
            <v>636-21-5</v>
          </cell>
          <cell r="C1043" t="str">
            <v>o-Toluidine chloride</v>
          </cell>
          <cell r="D1043" t="str">
            <v>97-1-300</v>
          </cell>
          <cell r="E1043" t="str">
            <v>과 그 염류 및 그중 하나를 25% 이상 함유한 혼합물질. 다만, o-톨루이딘(o-Toluidine)의 경우 이를 0.1% 이상 함유한 혼합물질</v>
          </cell>
          <cell r="F1043">
            <v>25</v>
          </cell>
        </row>
        <row r="1044">
          <cell r="B1044" t="str">
            <v>731-27-1</v>
          </cell>
          <cell r="C1044" t="str">
            <v>Dichloro-N-[(dimethylamino)sulfonyl]fluoro-N-(p-tolyl)methanesulfenamide ; Tolylfluanid</v>
          </cell>
          <cell r="D1044" t="str">
            <v>97-1-301</v>
          </cell>
          <cell r="E1044" t="str">
            <v>및 이를 25% 이상 함유한 혼합물질</v>
          </cell>
          <cell r="F1044">
            <v>25</v>
          </cell>
        </row>
        <row r="1045">
          <cell r="B1045" t="str">
            <v>66841-25-6</v>
          </cell>
          <cell r="C1045" t="str">
            <v>Tralomethrin</v>
          </cell>
          <cell r="D1045" t="str">
            <v>97-1-302</v>
          </cell>
          <cell r="E1045" t="str">
            <v>및 이를 25% 이상 함유한 혼합물질</v>
          </cell>
          <cell r="F1045">
            <v>25</v>
          </cell>
        </row>
        <row r="1046">
          <cell r="B1046" t="str">
            <v>99257-43-9</v>
          </cell>
          <cell r="C1046" t="str">
            <v>1,1'-Iminodi(octamethylene)diguanidinium tris(dodecylbenzenesulfonate)</v>
          </cell>
          <cell r="D1046" t="str">
            <v>97-1-303</v>
          </cell>
          <cell r="E1046" t="str">
            <v>및 이를 25% 이상 함유한 혼합물질</v>
          </cell>
          <cell r="F1046">
            <v>25</v>
          </cell>
        </row>
        <row r="1047">
          <cell r="B1047" t="str">
            <v>1031-47-6</v>
          </cell>
          <cell r="C1047" t="str">
            <v>Triamiphos</v>
          </cell>
          <cell r="D1047" t="str">
            <v>97-1-304</v>
          </cell>
          <cell r="E1047" t="str">
            <v>및 이를 1% 이상 함유한 혼합물질</v>
          </cell>
          <cell r="F1047">
            <v>1</v>
          </cell>
        </row>
        <row r="1048">
          <cell r="B1048" t="str">
            <v>112143-82-5</v>
          </cell>
          <cell r="C1048" t="str">
            <v>Triazamate</v>
          </cell>
          <cell r="D1048" t="str">
            <v>97-1-305</v>
          </cell>
          <cell r="E1048" t="str">
            <v>및 이를 25% 이상 함유한 혼합물질</v>
          </cell>
          <cell r="F1048">
            <v>25</v>
          </cell>
        </row>
        <row r="1049">
          <cell r="B1049" t="str">
            <v>24017-47-8</v>
          </cell>
          <cell r="C1049" t="str">
            <v>O,O-Diethyl-O-1-phenyl-1,2,4-triazol-3-yl phosphorothioate ; Triazophos</v>
          </cell>
          <cell r="D1049" t="str">
            <v>97-1-306</v>
          </cell>
          <cell r="E1049" t="str">
            <v>및 이를 1% 이상 함유한 혼합물질</v>
          </cell>
          <cell r="F1049">
            <v>1</v>
          </cell>
        </row>
        <row r="1050">
          <cell r="B1050" t="str">
            <v>327-98-0</v>
          </cell>
          <cell r="C1050" t="str">
            <v>Trichloronat</v>
          </cell>
          <cell r="D1050" t="str">
            <v>97-1-307</v>
          </cell>
          <cell r="E1050" t="str">
            <v>및 이를 1% 이상 함유한 혼합물질</v>
          </cell>
          <cell r="F1050">
            <v>1</v>
          </cell>
        </row>
        <row r="1051">
          <cell r="B1051" t="str">
            <v>76-03-9</v>
          </cell>
          <cell r="C1051" t="str">
            <v>Trichloroacetic acid</v>
          </cell>
          <cell r="D1051" t="str">
            <v>97-1-308</v>
          </cell>
          <cell r="E1051" t="str">
            <v>및 이를 25% 이상 함유한 혼합물질</v>
          </cell>
          <cell r="F1051">
            <v>25</v>
          </cell>
        </row>
        <row r="1052">
          <cell r="B1052" t="str">
            <v>79-01-6</v>
          </cell>
          <cell r="C1052" t="str">
            <v>Trichloroethylene</v>
          </cell>
          <cell r="D1052" t="str">
            <v>97-1-309</v>
          </cell>
          <cell r="E1052" t="str">
            <v>및 이를 85% 이상 함유한 혼합물질</v>
          </cell>
          <cell r="F1052">
            <v>85</v>
          </cell>
        </row>
        <row r="1053">
          <cell r="B1053" t="str">
            <v>8022-00-2</v>
          </cell>
          <cell r="C1053" t="str">
            <v>Demeton-methyl</v>
          </cell>
          <cell r="D1053" t="str">
            <v>97-1-31</v>
          </cell>
          <cell r="E1053" t="str">
            <v>및 이를 1% 이상 함유한 혼합물질</v>
          </cell>
          <cell r="F1053">
            <v>1</v>
          </cell>
        </row>
        <row r="1054">
          <cell r="B1054" t="str">
            <v>52-68-6</v>
          </cell>
          <cell r="C1054" t="str">
            <v>(2,2,2-Trichloro-1-hydroxyethyl)phosphoric acid dimethyl ester ; Trichlorofon, Chlorofos</v>
          </cell>
          <cell r="D1054" t="str">
            <v>97-1-310</v>
          </cell>
          <cell r="E1054" t="str">
            <v>및 이를 10% 이상 함유한 혼합물질</v>
          </cell>
          <cell r="F1054">
            <v>10</v>
          </cell>
        </row>
        <row r="1055">
          <cell r="B1055" t="str">
            <v>603-35-0</v>
          </cell>
          <cell r="C1055" t="str">
            <v>Triphenylphosphine</v>
          </cell>
          <cell r="D1055" t="str">
            <v>97-1-311</v>
          </cell>
          <cell r="E1055" t="str">
            <v>및 이를 25% 이상 함유한 혼합물질</v>
          </cell>
          <cell r="F1055">
            <v>25</v>
          </cell>
        </row>
        <row r="1056">
          <cell r="B1056" t="str">
            <v>1582-09-8</v>
          </cell>
          <cell r="C1056" t="str">
            <v>Trifluralin</v>
          </cell>
          <cell r="D1056" t="str">
            <v>97-1-312</v>
          </cell>
          <cell r="E1056" t="str">
            <v>및 이를 1% 이상 함유한 혼합물질</v>
          </cell>
          <cell r="F1056">
            <v>1</v>
          </cell>
        </row>
        <row r="1057">
          <cell r="B1057" t="str">
            <v>20654-88-0</v>
          </cell>
          <cell r="C1057" t="str">
            <v>[11B]boron trifluoride</v>
          </cell>
          <cell r="D1057" t="str">
            <v>97-1-313</v>
          </cell>
          <cell r="E1057" t="str">
            <v>및 이를 1.0% 이상 함유한 혼합물질</v>
          </cell>
          <cell r="F1057">
            <v>1</v>
          </cell>
        </row>
        <row r="1058">
          <cell r="B1058" t="str">
            <v>7637-07-2</v>
          </cell>
          <cell r="C1058" t="str">
            <v>Boron trifluoride</v>
          </cell>
          <cell r="D1058" t="str">
            <v>97-1-313</v>
          </cell>
          <cell r="E1058" t="str">
            <v>및 이를 1.0% 이상 함유한 혼합물질</v>
          </cell>
          <cell r="F1058">
            <v>1</v>
          </cell>
        </row>
        <row r="1059">
          <cell r="B1059" t="str">
            <v>1493-13-6</v>
          </cell>
          <cell r="C1059" t="str">
            <v>Trifluoromethanesulfonic acid</v>
          </cell>
          <cell r="D1059" t="str">
            <v>97-1-314</v>
          </cell>
          <cell r="E1059" t="str">
            <v>및 이를 1% 이상 함유한 혼합물질</v>
          </cell>
          <cell r="F1059">
            <v>1</v>
          </cell>
        </row>
        <row r="1060">
          <cell r="B1060" t="str">
            <v>137-26-8</v>
          </cell>
          <cell r="C1060" t="str">
            <v>Bis(dimethylthiocarbamyl)disulfide</v>
          </cell>
          <cell r="D1060" t="str">
            <v>97-1-315</v>
          </cell>
          <cell r="E1060" t="str">
            <v>및 이를 25% 이상 함유한 혼합물질</v>
          </cell>
          <cell r="F1060">
            <v>25</v>
          </cell>
        </row>
        <row r="1061">
          <cell r="B1061" t="str">
            <v>297-97-2</v>
          </cell>
          <cell r="C1061" t="str">
            <v>Thionazin</v>
          </cell>
          <cell r="D1061" t="str">
            <v>97-1-316</v>
          </cell>
          <cell r="E1061" t="str">
            <v>및 이를 1% 이상 함유한 혼합물질</v>
          </cell>
          <cell r="F1061">
            <v>1</v>
          </cell>
        </row>
        <row r="1062">
          <cell r="B1062" t="str">
            <v>59669-26-0</v>
          </cell>
          <cell r="C1062" t="str">
            <v>N,N'-[Thiobis[(methylimino)carbonyloxy]]bisethanimidothioic acid dimethyl ester ; Thiodicarb</v>
          </cell>
          <cell r="D1062" t="str">
            <v>97-1-317</v>
          </cell>
          <cell r="E1062" t="str">
            <v>및 이를 1% 이상 함유한 혼합물질</v>
          </cell>
          <cell r="F1062">
            <v>1</v>
          </cell>
        </row>
        <row r="1063">
          <cell r="B1063" t="str">
            <v>640-15-3</v>
          </cell>
          <cell r="C1063" t="str">
            <v>O,O-Dimethyl S-(2-(ethylthio)ethyl) phosphorodithioate ; Thiometon</v>
          </cell>
          <cell r="D1063" t="str">
            <v>97-1-318</v>
          </cell>
          <cell r="E1063" t="str">
            <v>및 이를 1% 이상 함유한 혼합물질</v>
          </cell>
          <cell r="F1063">
            <v>1</v>
          </cell>
        </row>
        <row r="1064">
          <cell r="B1064" t="str">
            <v>79-19-6</v>
          </cell>
          <cell r="C1064" t="str">
            <v>Hydrazine carbothioamide ; 2-Thiosemicarbazide, 1-Amino-2-thiourea</v>
          </cell>
          <cell r="D1064" t="str">
            <v>97-1-319</v>
          </cell>
          <cell r="E1064" t="str">
            <v>및 이를 1% 이상 함유한 혼합물질</v>
          </cell>
          <cell r="F1064">
            <v>1</v>
          </cell>
        </row>
        <row r="1065">
          <cell r="B1065" t="str">
            <v>8065-48-3</v>
          </cell>
          <cell r="C1065" t="str">
            <v>Demeton</v>
          </cell>
          <cell r="D1065" t="str">
            <v>97-1-32</v>
          </cell>
          <cell r="E1065" t="str">
            <v>및 이를 1% 이상 함유한 혼합물질</v>
          </cell>
          <cell r="F1065">
            <v>1</v>
          </cell>
        </row>
        <row r="1066">
          <cell r="B1066" t="str">
            <v>5349-28-0</v>
          </cell>
          <cell r="C1066" t="str">
            <v>Ethyl thiocyanoacetate</v>
          </cell>
          <cell r="D1066" t="str">
            <v>97-1-320</v>
          </cell>
          <cell r="E1066" t="str">
            <v>및 이를 1% 이상 함유한 혼합물질</v>
          </cell>
          <cell r="F1066">
            <v>1</v>
          </cell>
        </row>
        <row r="1067">
          <cell r="B1067" t="str">
            <v>31895-21-3</v>
          </cell>
          <cell r="C1067" t="str">
            <v>Thiocyclam</v>
          </cell>
          <cell r="D1067" t="str">
            <v>97-1-321</v>
          </cell>
          <cell r="E1067" t="str">
            <v>및 이를 3% 이상 함유한 혼합물질</v>
          </cell>
          <cell r="F1067">
            <v>3</v>
          </cell>
        </row>
        <row r="1068">
          <cell r="B1068" t="str">
            <v>39196-18-4</v>
          </cell>
          <cell r="C1068" t="str">
            <v>Thiofanox</v>
          </cell>
          <cell r="D1068" t="str">
            <v>97-1-322</v>
          </cell>
          <cell r="E1068" t="str">
            <v>및 이를 1.0% 이상 함유한 혼합물질</v>
          </cell>
          <cell r="F1068">
            <v>1</v>
          </cell>
        </row>
        <row r="1069">
          <cell r="B1069" t="str">
            <v>1910-42-5</v>
          </cell>
          <cell r="C1069" t="str">
            <v>1,1'-Dimethyl-4,4'-bipyridinium dichloride ; Paraquat dichloride</v>
          </cell>
          <cell r="D1069" t="str">
            <v>97-1-323</v>
          </cell>
          <cell r="E1069" t="str">
            <v>및 이를 1% 이상 함유한 혼합물질</v>
          </cell>
          <cell r="F1069">
            <v>1</v>
          </cell>
        </row>
        <row r="1070">
          <cell r="B1070" t="str">
            <v>2074-50-2</v>
          </cell>
          <cell r="C1070" t="str">
            <v>1,1`-Dimethyl-4,4`-dipyridinium</v>
          </cell>
          <cell r="D1070" t="str">
            <v>97-1-323</v>
          </cell>
          <cell r="E1070" t="str">
            <v>및 이를 1% 이상 함유한 혼합물질</v>
          </cell>
          <cell r="F1070">
            <v>1</v>
          </cell>
        </row>
        <row r="1071">
          <cell r="C1071" t="str">
            <v>Paraquat, salts</v>
          </cell>
          <cell r="D1071" t="str">
            <v>97-1-323</v>
          </cell>
          <cell r="E1071" t="str">
            <v>및 이를 1% 이상 함유한 혼합물질</v>
          </cell>
          <cell r="F1071">
            <v>1</v>
          </cell>
        </row>
        <row r="1072">
          <cell r="B1072" t="str">
            <v>298-00-0</v>
          </cell>
          <cell r="C1072" t="str">
            <v>Parathion-methyl</v>
          </cell>
          <cell r="D1072" t="str">
            <v>97-1-324</v>
          </cell>
          <cell r="E1072" t="str">
            <v>및 이를 1% 이상 함유한 혼합물질</v>
          </cell>
          <cell r="F1072">
            <v>1</v>
          </cell>
        </row>
        <row r="1073">
          <cell r="B1073" t="str">
            <v>56-38-2</v>
          </cell>
          <cell r="C1073" t="str">
            <v>Parathion</v>
          </cell>
          <cell r="D1073" t="str">
            <v>97-1-325</v>
          </cell>
          <cell r="E1073" t="str">
            <v>및 이를 1% 이상 함유한 혼합물질</v>
          </cell>
          <cell r="F1073">
            <v>1</v>
          </cell>
        </row>
        <row r="1074">
          <cell r="B1074" t="str">
            <v>52-85-7</v>
          </cell>
          <cell r="C1074" t="str">
            <v>O-[4-[(Dimethylamino)sulfonyl]phenyl] O,O-dimethyl thiophosphate ; Famphur</v>
          </cell>
          <cell r="D1074" t="str">
            <v>97-1-326</v>
          </cell>
          <cell r="E1074" t="str">
            <v>및 이를 1% 이상 함유한 혼합물질</v>
          </cell>
          <cell r="F1074">
            <v>1</v>
          </cell>
        </row>
        <row r="1075">
          <cell r="C1075" t="str">
            <v>Tetramethylammonium perfluorooctanenoate</v>
          </cell>
          <cell r="D1075" t="str">
            <v>97-1-327</v>
          </cell>
          <cell r="E1075" t="str">
            <v>및 이를 25% 이상 함유한 혼합물질</v>
          </cell>
          <cell r="F1075">
            <v>25</v>
          </cell>
        </row>
        <row r="1076">
          <cell r="B1076" t="str">
            <v>22224-92-6</v>
          </cell>
          <cell r="C1076" t="str">
            <v>Fenamiphos</v>
          </cell>
          <cell r="D1076" t="str">
            <v>97-1-328</v>
          </cell>
          <cell r="E1076" t="str">
            <v>및 이를 1% 이상 함유한 혼합물질</v>
          </cell>
          <cell r="F1076">
            <v>1</v>
          </cell>
        </row>
        <row r="1077">
          <cell r="B1077" t="str">
            <v>120928-09-8</v>
          </cell>
          <cell r="C1077" t="str">
            <v>Fenazaquin</v>
          </cell>
          <cell r="D1077" t="str">
            <v>97-1-329</v>
          </cell>
          <cell r="E1077" t="str">
            <v>및 이를 25% 이상 함유한 혼합물질</v>
          </cell>
          <cell r="F1077">
            <v>25</v>
          </cell>
        </row>
        <row r="1078">
          <cell r="B1078" t="str">
            <v>644-64-4</v>
          </cell>
          <cell r="C1078" t="str">
            <v>Dimetilan</v>
          </cell>
          <cell r="D1078" t="str">
            <v>97-1-33</v>
          </cell>
          <cell r="E1078" t="str">
            <v>및 이를 1% 이상 함유한 혼합물질</v>
          </cell>
          <cell r="F1078">
            <v>1</v>
          </cell>
        </row>
        <row r="1079">
          <cell r="B1079" t="str">
            <v>62850-32-2</v>
          </cell>
          <cell r="C1079" t="str">
            <v>(S)-4-Phenoxybutyl dimethylthiocarbamate ; Fenothiocarb</v>
          </cell>
          <cell r="D1079" t="str">
            <v>97-1-330</v>
          </cell>
          <cell r="E1079" t="str">
            <v>및 이를 25% 이상 함유한 혼합물질</v>
          </cell>
          <cell r="F1079">
            <v>25</v>
          </cell>
        </row>
        <row r="1080">
          <cell r="B1080" t="str">
            <v>71283-80-2</v>
          </cell>
          <cell r="C1080" t="str">
            <v>Fenoxaprop-p</v>
          </cell>
          <cell r="D1080" t="str">
            <v>97-1-331</v>
          </cell>
          <cell r="E1080" t="str">
            <v>및 이를 25% 이상 함유한 혼합물질</v>
          </cell>
          <cell r="F1080">
            <v>25</v>
          </cell>
        </row>
        <row r="1081">
          <cell r="B1081" t="str">
            <v>108-95-2</v>
          </cell>
          <cell r="C1081" t="str">
            <v>Phenol ; Hydroxybenzene</v>
          </cell>
          <cell r="D1081" t="str">
            <v>97-1-332</v>
          </cell>
          <cell r="E1081" t="str">
            <v>및 이를 5% 이상 함유한 혼합물질</v>
          </cell>
          <cell r="F1081">
            <v>5</v>
          </cell>
        </row>
        <row r="1082">
          <cell r="B1082" t="str">
            <v>122-14-5</v>
          </cell>
          <cell r="C1082" t="str">
            <v>Phosphorothioic acid O,O-dimethyl O-(3-methyl-4-nitrophenyl) ester ; Fenitrothion</v>
          </cell>
          <cell r="D1082" t="str">
            <v>97-1-333</v>
          </cell>
          <cell r="E1082" t="str">
            <v>및 이를 25% 이상 함유한 혼합물질</v>
          </cell>
          <cell r="F1082">
            <v>25</v>
          </cell>
        </row>
        <row r="1083">
          <cell r="B1083" t="str">
            <v>106-50-3</v>
          </cell>
          <cell r="C1083" t="str">
            <v>1,4-Benzenediamine</v>
          </cell>
          <cell r="D1083" t="str">
            <v>97-1-334</v>
          </cell>
          <cell r="E1083" t="str">
            <v>및 그 염류를 25% 이상 함유한 혼합물질</v>
          </cell>
          <cell r="F1083">
            <v>25</v>
          </cell>
        </row>
        <row r="1084">
          <cell r="B1084" t="str">
            <v>108-45-2</v>
          </cell>
          <cell r="C1084" t="str">
            <v>1,3-Benzenediamine</v>
          </cell>
          <cell r="D1084" t="str">
            <v>97-1-334</v>
          </cell>
          <cell r="E1084" t="str">
            <v>및 그 염류를 25% 이상 함유한 혼합물질</v>
          </cell>
          <cell r="F1084">
            <v>25</v>
          </cell>
        </row>
        <row r="1085">
          <cell r="B1085" t="str">
            <v>13652-74-9</v>
          </cell>
          <cell r="C1085" t="str">
            <v>m-Phenylenediamine hydrochloride</v>
          </cell>
          <cell r="D1085" t="str">
            <v>97-1-334</v>
          </cell>
          <cell r="E1085" t="str">
            <v>및 그 염류를 25% 이상 함유한 혼합물질</v>
          </cell>
          <cell r="F1085">
            <v>25</v>
          </cell>
        </row>
        <row r="1086">
          <cell r="B1086" t="str">
            <v>16245-77-5</v>
          </cell>
          <cell r="C1086" t="str">
            <v>1,4-Benzenediamine, sulfate (1:1)</v>
          </cell>
          <cell r="D1086" t="str">
            <v>97-1-334</v>
          </cell>
          <cell r="E1086" t="str">
            <v>및 그 염류를 25% 이상 함유한 혼합물질</v>
          </cell>
          <cell r="F1086">
            <v>25</v>
          </cell>
        </row>
        <row r="1087">
          <cell r="B1087" t="str">
            <v>25265-76-3</v>
          </cell>
          <cell r="C1087" t="str">
            <v>Phenylenediamine</v>
          </cell>
          <cell r="D1087" t="str">
            <v>97-1-334</v>
          </cell>
          <cell r="E1087" t="str">
            <v>및 그 염류를 25% 이상 함유한 혼합물질</v>
          </cell>
          <cell r="F1087">
            <v>25</v>
          </cell>
        </row>
        <row r="1088">
          <cell r="B1088" t="str">
            <v>541-69-5</v>
          </cell>
          <cell r="C1088" t="str">
            <v>m-Phenylenediamine</v>
          </cell>
          <cell r="D1088" t="str">
            <v>97-1-334</v>
          </cell>
          <cell r="E1088" t="str">
            <v>및 그 염류를 25% 이상 함유한 혼합물질</v>
          </cell>
          <cell r="F1088">
            <v>25</v>
          </cell>
        </row>
        <row r="1089">
          <cell r="B1089" t="str">
            <v>541-70-8</v>
          </cell>
          <cell r="C1089" t="str">
            <v>Benzene-1,3-diammonium sulfate</v>
          </cell>
          <cell r="D1089" t="str">
            <v>97-1-334</v>
          </cell>
          <cell r="E1089" t="str">
            <v>및 그 염류를 25% 이상 함유한 혼합물질</v>
          </cell>
          <cell r="F1089">
            <v>25</v>
          </cell>
        </row>
        <row r="1090">
          <cell r="B1090" t="str">
            <v>615-28-1</v>
          </cell>
          <cell r="C1090" t="str">
            <v>1,2-Benzenediamine dihydrochloride</v>
          </cell>
          <cell r="D1090" t="str">
            <v>97-1-334</v>
          </cell>
          <cell r="E1090" t="str">
            <v>및 그 염류를 25% 이상 함유한 혼합물질</v>
          </cell>
          <cell r="F1090">
            <v>25</v>
          </cell>
        </row>
        <row r="1091">
          <cell r="B1091" t="str">
            <v>624-18-0</v>
          </cell>
          <cell r="C1091" t="str">
            <v>1,4-Benzenediamine dihydrochloride</v>
          </cell>
          <cell r="D1091" t="str">
            <v>97-1-334</v>
          </cell>
          <cell r="E1091" t="str">
            <v>및 그 염류를 25% 이상 함유한 혼합물질</v>
          </cell>
          <cell r="F1091">
            <v>25</v>
          </cell>
        </row>
        <row r="1092">
          <cell r="B1092" t="str">
            <v>95-54-5</v>
          </cell>
          <cell r="C1092" t="str">
            <v>1,2-Benzenediamine</v>
          </cell>
          <cell r="D1092" t="str">
            <v>97-1-334</v>
          </cell>
          <cell r="E1092" t="str">
            <v>및 그 염류를 25% 이상 함유한 혼합물질</v>
          </cell>
          <cell r="F1092">
            <v>25</v>
          </cell>
        </row>
        <row r="1093">
          <cell r="C1093" t="str">
            <v>Phenylenediamine, salts</v>
          </cell>
          <cell r="D1093" t="str">
            <v>97-1-334</v>
          </cell>
          <cell r="E1093" t="str">
            <v>및 그 염류를 25% 이상 함유한 혼합물질</v>
          </cell>
          <cell r="F1093">
            <v>25</v>
          </cell>
        </row>
        <row r="1094">
          <cell r="B1094" t="str">
            <v>100-63-0</v>
          </cell>
          <cell r="C1094" t="str">
            <v>Phenylhydrazine ; Hydrazinobenzene</v>
          </cell>
          <cell r="D1094" t="str">
            <v>97-1-335</v>
          </cell>
          <cell r="E1094" t="str">
            <v>및 이를 1% 이상 함유한 혼합물질</v>
          </cell>
          <cell r="F1094">
            <v>1</v>
          </cell>
        </row>
        <row r="1095">
          <cell r="B1095" t="str">
            <v>51630-58-1</v>
          </cell>
          <cell r="C1095" t="str">
            <v>4-Chloro-α-(1-methylethyl)benzeneacetic acid cyano(3-phenoxyphenyl)methyl ester ; Fenvalerate</v>
          </cell>
          <cell r="D1095" t="str">
            <v>97-1-336</v>
          </cell>
          <cell r="E1095" t="str">
            <v>및 이를 1% 이상 함유한 혼합물질</v>
          </cell>
          <cell r="F1095">
            <v>1</v>
          </cell>
        </row>
        <row r="1096">
          <cell r="B1096" t="str">
            <v>115-90-2</v>
          </cell>
          <cell r="C1096" t="str">
            <v>Fensulfothion</v>
          </cell>
          <cell r="D1096" t="str">
            <v>97-1-337</v>
          </cell>
          <cell r="E1096" t="str">
            <v>및 이를 1% 이상 함유한 혼합물질</v>
          </cell>
          <cell r="F1096">
            <v>1</v>
          </cell>
        </row>
        <row r="1097">
          <cell r="B1097" t="str">
            <v>2275-14-1</v>
          </cell>
          <cell r="C1097" t="str">
            <v>Phencapton</v>
          </cell>
          <cell r="D1097" t="str">
            <v>97-1-338</v>
          </cell>
          <cell r="E1097" t="str">
            <v>및 이를 1.5% 이상 함유한 혼합물질</v>
          </cell>
          <cell r="F1097">
            <v>1.5</v>
          </cell>
        </row>
        <row r="1098">
          <cell r="B1098" t="str">
            <v>131-52-2</v>
          </cell>
          <cell r="C1098" t="str">
            <v>Sodium pentachlorophenolate</v>
          </cell>
          <cell r="D1098" t="str">
            <v>97-1-339</v>
          </cell>
          <cell r="E1098" t="str">
            <v>및 그 중 펜타클로로페놀로서 1% 이상 함유한 혼합물질</v>
          </cell>
          <cell r="F1098">
            <v>1</v>
          </cell>
        </row>
        <row r="1099">
          <cell r="B1099" t="str">
            <v>2917-31-9</v>
          </cell>
          <cell r="C1099" t="str">
            <v>Pentachlorophenol copper salt</v>
          </cell>
          <cell r="D1099" t="str">
            <v>97-1-339</v>
          </cell>
          <cell r="E1099" t="str">
            <v>및 그 중 펜타클로로페놀로서 1% 이상 함유한 혼합물질</v>
          </cell>
          <cell r="F1099">
            <v>1</v>
          </cell>
        </row>
        <row r="1100">
          <cell r="B1100" t="str">
            <v>2917-32-0</v>
          </cell>
          <cell r="C1100" t="str">
            <v>Zinc bis(pentachlorophenolate)</v>
          </cell>
          <cell r="D1100" t="str">
            <v>97-1-339</v>
          </cell>
          <cell r="E1100" t="str">
            <v>및 그 중 펜타클로로페놀로서 1% 이상 함유한 혼합물질</v>
          </cell>
          <cell r="F1100">
            <v>1</v>
          </cell>
        </row>
        <row r="1101">
          <cell r="B1101" t="str">
            <v>87-86-5</v>
          </cell>
          <cell r="C1101" t="str">
            <v>Pentachlorophenol</v>
          </cell>
          <cell r="D1101" t="str">
            <v>97-1-339</v>
          </cell>
          <cell r="E1101" t="str">
            <v>및 그 중 펜타클로로페놀로서 1% 이상 함유한 혼합물질</v>
          </cell>
          <cell r="F1101">
            <v>1</v>
          </cell>
        </row>
        <row r="1102">
          <cell r="C1102" t="str">
            <v>Pentachlorophenol, salts</v>
          </cell>
          <cell r="D1102" t="str">
            <v>97-1-339</v>
          </cell>
          <cell r="E1102" t="str">
            <v>및 그 중 펜타클로로페놀로서 1% 이상 함유한 혼합물질</v>
          </cell>
          <cell r="F1102">
            <v>1</v>
          </cell>
        </row>
        <row r="1103">
          <cell r="B1103" t="str">
            <v>2274-67-1</v>
          </cell>
          <cell r="C1103" t="str">
            <v>2-Chloro-1-(2,4-dichlorophenyl)vinyl dimethyl phosphate ; Dimethyl vinphos</v>
          </cell>
          <cell r="D1103" t="str">
            <v>97-1-34</v>
          </cell>
          <cell r="E1103" t="str">
            <v>및 이를 1% 이상 함유한 혼합물질</v>
          </cell>
          <cell r="F1103">
            <v>1</v>
          </cell>
        </row>
        <row r="1104">
          <cell r="B1104" t="str">
            <v>2597-03-7</v>
          </cell>
          <cell r="C1104" t="str">
            <v>S-α-(Ethoxycarbonyl)benzyl O,O-dimethyl phosphodithioate ; Phenthoate</v>
          </cell>
          <cell r="D1104" t="str">
            <v>97-1-340</v>
          </cell>
          <cell r="E1104" t="str">
            <v>및 이를 3% 이상 함유한 혼합물질</v>
          </cell>
          <cell r="F1104">
            <v>3</v>
          </cell>
        </row>
        <row r="1105">
          <cell r="B1105" t="str">
            <v>55-38-9</v>
          </cell>
          <cell r="C1105" t="str">
            <v>Phosphorothioic acid O,O-dimethyl O-[3-methyl-4-(methylthio)phenyl] ester ; Fenthion ; Baytex</v>
          </cell>
          <cell r="D1105" t="str">
            <v>97-1-341</v>
          </cell>
          <cell r="E1105" t="str">
            <v>및 이를 2% 이상 함유한 혼합물질</v>
          </cell>
          <cell r="F1105">
            <v>2</v>
          </cell>
        </row>
        <row r="1106">
          <cell r="B1106" t="str">
            <v>134098-61-6</v>
          </cell>
          <cell r="C1106" t="str">
            <v>Fenpyroximate</v>
          </cell>
          <cell r="D1106" t="str">
            <v>97-1-342</v>
          </cell>
          <cell r="E1106" t="str">
            <v>및 이를 25% 이상 함유한 혼합물질</v>
          </cell>
          <cell r="F1106">
            <v>25</v>
          </cell>
        </row>
        <row r="1107">
          <cell r="B1107" t="str">
            <v>944-22-9</v>
          </cell>
          <cell r="C1107" t="str">
            <v>Ethylphosphonodithioic acid O-ethyl S-phenyl ester ; Fonofos, Dyfonate</v>
          </cell>
          <cell r="D1107" t="str">
            <v>97-1-343</v>
          </cell>
          <cell r="E1107" t="str">
            <v>및 이를 1% 이상 함유한 혼합물질</v>
          </cell>
          <cell r="F1107">
            <v>1</v>
          </cell>
        </row>
        <row r="1108">
          <cell r="B1108" t="str">
            <v>298-02-2</v>
          </cell>
          <cell r="C1108" t="str">
            <v>Phorate</v>
          </cell>
          <cell r="D1108" t="str">
            <v>97-1-344</v>
          </cell>
          <cell r="E1108" t="str">
            <v>및 이를 1.0% 이상 함유한 혼합물질</v>
          </cell>
          <cell r="F1108">
            <v>1</v>
          </cell>
        </row>
        <row r="1109">
          <cell r="B1109" t="str">
            <v>30525-89-4</v>
          </cell>
          <cell r="C1109" t="str">
            <v>Paraformaldehyde</v>
          </cell>
          <cell r="D1109" t="str">
            <v>97-1-345</v>
          </cell>
          <cell r="E1109" t="str">
            <v>및 포름알데히드로서 1% 이상 함유한 혼합물질</v>
          </cell>
          <cell r="F1109">
            <v>1</v>
          </cell>
        </row>
        <row r="1110">
          <cell r="B1110" t="str">
            <v>50-00-0</v>
          </cell>
          <cell r="C1110" t="str">
            <v>Formaldehyde ; Formalin</v>
          </cell>
          <cell r="D1110" t="str">
            <v>97-1-345</v>
          </cell>
          <cell r="E1110" t="str">
            <v>및 포름알데히드로서 1% 이상 함유한 혼합물질</v>
          </cell>
          <cell r="F1110">
            <v>1</v>
          </cell>
        </row>
        <row r="1111">
          <cell r="B1111" t="str">
            <v>2540-82-1</v>
          </cell>
          <cell r="C1111" t="str">
            <v>Formothion</v>
          </cell>
          <cell r="D1111" t="str">
            <v>97-1-346</v>
          </cell>
          <cell r="E1111" t="str">
            <v>및 이를 25% 이상 함유한 혼합물질</v>
          </cell>
          <cell r="F1111">
            <v>25</v>
          </cell>
        </row>
        <row r="1112">
          <cell r="B1112" t="str">
            <v>22259-30-9</v>
          </cell>
          <cell r="C1112" t="str">
            <v>Formetanate</v>
          </cell>
          <cell r="D1112" t="str">
            <v>97-1-347</v>
          </cell>
          <cell r="E1112" t="str">
            <v>및 이를 1% 이상 함유한 혼합물질</v>
          </cell>
          <cell r="F1112">
            <v>1</v>
          </cell>
        </row>
        <row r="1113">
          <cell r="B1113" t="str">
            <v>2310-17-0</v>
          </cell>
          <cell r="C1113" t="str">
            <v>Phosphorodithioic acid S-[(6-chloro-2-oxo-3(2H)-benzoxazolyl)methyl] O,O-diethyl ester</v>
          </cell>
          <cell r="D1113" t="str">
            <v>97-1-348</v>
          </cell>
          <cell r="E1113" t="str">
            <v>및 이를 2.2% 이상 함유한 혼합물질</v>
          </cell>
          <cell r="F1113">
            <v>2.2000000000000002</v>
          </cell>
        </row>
        <row r="1114">
          <cell r="B1114" t="str">
            <v>75-44-5</v>
          </cell>
          <cell r="C1114" t="str">
            <v>Phosgene</v>
          </cell>
          <cell r="D1114" t="str">
            <v>97-1-349</v>
          </cell>
          <cell r="E1114" t="str">
            <v>및 이를 1.0% 이상 함유한 혼합물질</v>
          </cell>
          <cell r="F1114">
            <v>1</v>
          </cell>
        </row>
        <row r="1115">
          <cell r="B1115" t="str">
            <v>115-26-4</v>
          </cell>
          <cell r="C1115" t="str">
            <v>Dimefox</v>
          </cell>
          <cell r="D1115" t="str">
            <v>97-1-35</v>
          </cell>
          <cell r="E1115" t="str">
            <v>및 이를 1% 이상 함유한 혼합물질</v>
          </cell>
          <cell r="F1115">
            <v>1</v>
          </cell>
        </row>
        <row r="1116">
          <cell r="B1116" t="str">
            <v>732-11-6</v>
          </cell>
          <cell r="C1116" t="str">
            <v>Phosmet</v>
          </cell>
          <cell r="D1116" t="str">
            <v>97-1-350</v>
          </cell>
          <cell r="E1116" t="str">
            <v>및 이를 1% 이상 함유한 혼합물질</v>
          </cell>
          <cell r="F1116">
            <v>1</v>
          </cell>
        </row>
        <row r="1117">
          <cell r="B1117" t="str">
            <v>4104-14-7</v>
          </cell>
          <cell r="C1117" t="str">
            <v>Phosacetim</v>
          </cell>
          <cell r="D1117" t="str">
            <v>97-1-351</v>
          </cell>
          <cell r="E1117" t="str">
            <v>및 이를 1% 이상 함유한 혼합물질</v>
          </cell>
          <cell r="F1117">
            <v>1</v>
          </cell>
        </row>
        <row r="1118">
          <cell r="B1118" t="str">
            <v>98886-44-3</v>
          </cell>
          <cell r="C1118" t="str">
            <v>(R,S)-S-sec-butyl, O-ethyl 2-oxo-1,3-thiazolidin-3-ylphosphonothioate ; Fosthiazate</v>
          </cell>
          <cell r="D1118" t="str">
            <v>97-1-352</v>
          </cell>
          <cell r="E1118" t="str">
            <v>및 이를 25% 이상 함유한 혼합물질</v>
          </cell>
          <cell r="F1118">
            <v>25</v>
          </cell>
        </row>
        <row r="1119">
          <cell r="B1119" t="str">
            <v>21548-32-3</v>
          </cell>
          <cell r="C1119" t="str">
            <v>Fosthiethan</v>
          </cell>
          <cell r="D1119" t="str">
            <v>97-1-353</v>
          </cell>
          <cell r="E1119" t="str">
            <v>및 이를 1% 이상 함유한 혼합물질</v>
          </cell>
          <cell r="F1119">
            <v>1</v>
          </cell>
        </row>
        <row r="1120">
          <cell r="B1120" t="str">
            <v>13171-21-6</v>
          </cell>
          <cell r="C1120" t="str">
            <v>Phosphamidon</v>
          </cell>
          <cell r="D1120" t="str">
            <v>97-1-354</v>
          </cell>
          <cell r="E1120" t="str">
            <v>및 이를 1% 이상 함유한 혼합물질</v>
          </cell>
          <cell r="F1120">
            <v>1</v>
          </cell>
        </row>
        <row r="1121">
          <cell r="B1121" t="str">
            <v>947-02-4</v>
          </cell>
          <cell r="C1121" t="str">
            <v>Phosfolan</v>
          </cell>
          <cell r="D1121" t="str">
            <v>97-1-355</v>
          </cell>
          <cell r="E1121" t="str">
            <v>및 이를 1% 이상 함유한 혼합물질</v>
          </cell>
          <cell r="F1121">
            <v>1</v>
          </cell>
        </row>
        <row r="1122">
          <cell r="B1122" t="str">
            <v>7803-51-2</v>
          </cell>
          <cell r="C1122" t="str">
            <v>Phosphine ; Phosphorus hydride</v>
          </cell>
          <cell r="D1122" t="str">
            <v>97-1-356</v>
          </cell>
          <cell r="E1122" t="str">
            <v>및 이를 1% 이상 함유한 혼합물질</v>
          </cell>
          <cell r="F1122">
            <v>1</v>
          </cell>
        </row>
        <row r="1123">
          <cell r="B1123" t="str">
            <v>133-07-3</v>
          </cell>
          <cell r="C1123" t="str">
            <v>2-[(Trichloromethyl)thio]-1H-isoindole-1,3(2H)-dione ; Folpet, Phaltan</v>
          </cell>
          <cell r="D1123" t="str">
            <v>97-1-357</v>
          </cell>
          <cell r="E1123" t="str">
            <v>및 이를 0.1% 이상 함유한 혼합물질</v>
          </cell>
          <cell r="F1123">
            <v>0.1</v>
          </cell>
        </row>
        <row r="1124">
          <cell r="B1124" t="str">
            <v>65907-30-4</v>
          </cell>
          <cell r="C1124" t="str">
            <v>2,3-Dihydro-2,2-dimethyl-7-benzofuryl 2,4-dimethyl-6-oxa-5-oxo-3-thia-2,4-diazadecanoate ; Furathiocarb</v>
          </cell>
          <cell r="D1124" t="str">
            <v>97-1-358</v>
          </cell>
          <cell r="E1124" t="str">
            <v>및 이를 1% 이상 함유한 혼합물질</v>
          </cell>
          <cell r="F1124">
            <v>1</v>
          </cell>
        </row>
        <row r="1125">
          <cell r="B1125" t="str">
            <v>98-01-1</v>
          </cell>
          <cell r="C1125" t="str">
            <v>2-Furancarboxyaldehyde ; 2-Furaldehyde</v>
          </cell>
          <cell r="D1125" t="str">
            <v>97-1-359</v>
          </cell>
          <cell r="E1125" t="str">
            <v>및 이를 1% 이상 함유한 혼합물질</v>
          </cell>
          <cell r="F1125">
            <v>1</v>
          </cell>
        </row>
        <row r="1126">
          <cell r="B1126" t="str">
            <v>85-00-7</v>
          </cell>
          <cell r="C1126" t="str">
            <v>6,7-Dihydropyrido[1,2-a:2',1'-c]pyrazinedium dibromide ; Diquat dibromide, Reglone</v>
          </cell>
          <cell r="D1126" t="str">
            <v>97-1-36</v>
          </cell>
          <cell r="E1126" t="str">
            <v>및 이를 1% 이상 함유한 혼합물질</v>
          </cell>
          <cell r="F1126">
            <v>1</v>
          </cell>
        </row>
        <row r="1127">
          <cell r="B1127" t="str">
            <v>3309-87-3</v>
          </cell>
          <cell r="C1127" t="str">
            <v>Fujithion</v>
          </cell>
          <cell r="D1127" t="str">
            <v>97-1-360</v>
          </cell>
          <cell r="E1127" t="str">
            <v>및 이를 1% 이상 함유한 혼합물질</v>
          </cell>
          <cell r="F1127">
            <v>1</v>
          </cell>
        </row>
        <row r="1128">
          <cell r="B1128" t="str">
            <v>2631-37-0</v>
          </cell>
          <cell r="C1128" t="str">
            <v>Promecarb</v>
          </cell>
          <cell r="D1128" t="str">
            <v>97-1-361</v>
          </cell>
          <cell r="E1128" t="str">
            <v>및 이를 1% 이상 함유한 혼합물질</v>
          </cell>
          <cell r="F1128">
            <v>1</v>
          </cell>
        </row>
        <row r="1129">
          <cell r="B1129" t="str">
            <v>2275-18-5</v>
          </cell>
          <cell r="C1129" t="str">
            <v>Prothoate</v>
          </cell>
          <cell r="D1129" t="str">
            <v>97-1-362</v>
          </cell>
          <cell r="E1129" t="str">
            <v>및 이를 1% 이상 함유한 혼합물질</v>
          </cell>
          <cell r="F1129">
            <v>1</v>
          </cell>
        </row>
        <row r="1130">
          <cell r="B1130" t="str">
            <v>2312-35-8</v>
          </cell>
          <cell r="C1130" t="str">
            <v>2-(4-tert-Butylphenoxy)-cyclohexyl prop-2-ynyl sulfite ; Propargite</v>
          </cell>
          <cell r="D1130" t="str">
            <v>97-1-363</v>
          </cell>
          <cell r="E1130" t="str">
            <v>및 이를 1% 이상 함유한 혼합물질</v>
          </cell>
          <cell r="F1130">
            <v>1</v>
          </cell>
        </row>
        <row r="1131">
          <cell r="B1131" t="str">
            <v>111479-05-1</v>
          </cell>
          <cell r="C1131" t="str">
            <v>Propaquizafop</v>
          </cell>
          <cell r="D1131" t="str">
            <v>97-1-364</v>
          </cell>
          <cell r="E1131" t="str">
            <v>및 이를 25% 이상 함유한 혼합물질</v>
          </cell>
          <cell r="F1131">
            <v>25</v>
          </cell>
        </row>
        <row r="1132">
          <cell r="B1132" t="str">
            <v>7292-16-2</v>
          </cell>
          <cell r="C1132" t="str">
            <v>Propaphos</v>
          </cell>
          <cell r="D1132" t="str">
            <v>97-1-365</v>
          </cell>
          <cell r="E1132" t="str">
            <v>및 이를 1% 이상 함유한 혼합물질</v>
          </cell>
          <cell r="F1132">
            <v>1</v>
          </cell>
        </row>
        <row r="1133">
          <cell r="B1133" t="str">
            <v>41198-08-7</v>
          </cell>
          <cell r="C1133" t="str">
            <v>O-(4-Bromo-2-chlorophenyl) O-ethyl S-propyl phosphorothionate ; O-(4-Bromo-2-chloro-phenyl) O-ethyl S-propyl ester</v>
          </cell>
          <cell r="D1133" t="str">
            <v>97-1-366</v>
          </cell>
          <cell r="E1133" t="str">
            <v>및 이를 25% 이상 함유한 혼합물질</v>
          </cell>
          <cell r="F1133">
            <v>25</v>
          </cell>
        </row>
        <row r="1134">
          <cell r="B1134" t="str">
            <v>31218-83-4</v>
          </cell>
          <cell r="C1134" t="str">
            <v>(E)-O-2-Isopropoxycarbonyl-1-methylvinyl O-methyl ethylphosphoramidothioate ; Propetamphos</v>
          </cell>
          <cell r="D1134" t="str">
            <v>97-1-367</v>
          </cell>
          <cell r="E1134" t="str">
            <v>및 이를 1% 이상 함유한 혼합물질</v>
          </cell>
          <cell r="F1134">
            <v>1</v>
          </cell>
        </row>
        <row r="1135">
          <cell r="B1135" t="str">
            <v>114-26-1</v>
          </cell>
          <cell r="C1135" t="str">
            <v>2-Isopropoxyphenyl methylcarbamate ; Propoxur</v>
          </cell>
          <cell r="D1135" t="str">
            <v>97-1-368</v>
          </cell>
          <cell r="E1135" t="str">
            <v>및 이를 1% 이상 함유한 혼합물질</v>
          </cell>
          <cell r="F1135">
            <v>1</v>
          </cell>
        </row>
        <row r="1136">
          <cell r="B1136" t="str">
            <v>79723-02-7</v>
          </cell>
          <cell r="C1136" t="str">
            <v>Tetramethylammonium hydrogen phthalate</v>
          </cell>
          <cell r="D1136" t="str">
            <v>97-1-369</v>
          </cell>
          <cell r="E1136" t="str">
            <v>및 이를 1% 이상 함유한 혼합물질</v>
          </cell>
          <cell r="F1136">
            <v>1</v>
          </cell>
        </row>
        <row r="1137">
          <cell r="B1137" t="str">
            <v>298-04-4</v>
          </cell>
          <cell r="C1137" t="str">
            <v>Disulfoton</v>
          </cell>
          <cell r="D1137" t="str">
            <v>97-1-37</v>
          </cell>
          <cell r="E1137" t="str">
            <v>및 이를 1% 이상 함유한 혼합물질</v>
          </cell>
          <cell r="F1137">
            <v>1</v>
          </cell>
        </row>
        <row r="1138">
          <cell r="B1138" t="str">
            <v>90035-08-8</v>
          </cell>
          <cell r="C1138" t="str">
            <v>Flocoumafen</v>
          </cell>
          <cell r="D1138" t="str">
            <v>97-1-370</v>
          </cell>
          <cell r="E1138" t="str">
            <v>및 이를 1% 이상 함유한 혼합물질</v>
          </cell>
          <cell r="F1138">
            <v>1</v>
          </cell>
        </row>
        <row r="1139">
          <cell r="B1139" t="str">
            <v>131341-86-1</v>
          </cell>
          <cell r="C1139" t="str">
            <v>Fludioxonil</v>
          </cell>
          <cell r="D1139" t="str">
            <v>97-1-371</v>
          </cell>
          <cell r="E1139" t="str">
            <v>및 이를 25% 이상 함유한 혼합물질</v>
          </cell>
          <cell r="F1139">
            <v>25</v>
          </cell>
        </row>
        <row r="1140">
          <cell r="B1140" t="str">
            <v>69409-94-5</v>
          </cell>
          <cell r="C1140" t="str">
            <v>N-[2-Chloro-4-(trifluoromethyl)phenyl]-DL-valine cyano(3-phenoxyphenyl)methyl ester ; Fluvalinate, Mavrik</v>
          </cell>
          <cell r="D1140" t="str">
            <v>97-1-372</v>
          </cell>
          <cell r="E1140" t="str">
            <v>및 이를 25% 이상 함유한 혼합물질</v>
          </cell>
          <cell r="F1140">
            <v>25</v>
          </cell>
        </row>
        <row r="1141">
          <cell r="B1141" t="str">
            <v>106917-52-6</v>
          </cell>
          <cell r="C1141" t="str">
            <v>2',4-Dichloro-α,α,α-trifluoro-4'-nitro-m-toluenesulfonanilide ; Flusulfamide</v>
          </cell>
          <cell r="D1141" t="str">
            <v>97-1-373</v>
          </cell>
          <cell r="E1141" t="str">
            <v>및 이를 25% 이상 함유한 혼합물질</v>
          </cell>
          <cell r="F1141">
            <v>25</v>
          </cell>
        </row>
        <row r="1142">
          <cell r="B1142" t="str">
            <v>70124-77-5</v>
          </cell>
          <cell r="C1142" t="str">
            <v>Flucythrinate</v>
          </cell>
          <cell r="D1142" t="str">
            <v>97-1-374</v>
          </cell>
          <cell r="E1142" t="str">
            <v>및 이를 25% 이상 함유한 혼합물질</v>
          </cell>
          <cell r="F1142">
            <v>25</v>
          </cell>
        </row>
        <row r="1143">
          <cell r="B1143" t="str">
            <v>79622-59-6</v>
          </cell>
          <cell r="C1143" t="str">
            <v>Fluazinam</v>
          </cell>
          <cell r="D1143" t="str">
            <v>97-1-375</v>
          </cell>
          <cell r="E1143" t="str">
            <v>및 이를 25% 이상 함유한 혼합물질</v>
          </cell>
          <cell r="F1143">
            <v>25</v>
          </cell>
        </row>
        <row r="1144">
          <cell r="B1144" t="str">
            <v>12062-24-7</v>
          </cell>
          <cell r="C1144" t="str">
            <v>Hexafluorosilicate(2-) copper(2+) (1:1) ; Copper hexafluorosilicate</v>
          </cell>
          <cell r="D1144" t="str">
            <v>97-1-376</v>
          </cell>
          <cell r="E1144" t="str">
            <v>및 그 중 하나를 1% 이상 함유한 혼합물질</v>
          </cell>
          <cell r="F1144">
            <v>1</v>
          </cell>
        </row>
        <row r="1145">
          <cell r="B1145" t="str">
            <v>12062-26-9</v>
          </cell>
          <cell r="C1145" t="str">
            <v>Iron(3+) hexafluorosilicate(2-)</v>
          </cell>
          <cell r="D1145" t="str">
            <v>97-1-376</v>
          </cell>
          <cell r="E1145" t="str">
            <v>및 그 중 하나를 1% 이상 함유한 혼합물질</v>
          </cell>
          <cell r="F1145">
            <v>1</v>
          </cell>
        </row>
        <row r="1146">
          <cell r="B1146" t="str">
            <v>16871-71-9</v>
          </cell>
          <cell r="C1146" t="str">
            <v>Zinc hexafluorosilicate</v>
          </cell>
          <cell r="D1146" t="str">
            <v>97-1-376</v>
          </cell>
          <cell r="E1146" t="str">
            <v>및 그 중 하나를 1% 이상 함유한 혼합물질</v>
          </cell>
          <cell r="F1146">
            <v>1</v>
          </cell>
        </row>
        <row r="1147">
          <cell r="B1147" t="str">
            <v>16871-90-2</v>
          </cell>
          <cell r="C1147" t="str">
            <v>Dipotassium hexafluorosilicate</v>
          </cell>
          <cell r="D1147" t="str">
            <v>97-1-376</v>
          </cell>
          <cell r="E1147" t="str">
            <v>및 그 중 하나를 1% 이상 함유한 혼합물질</v>
          </cell>
          <cell r="F1147">
            <v>1</v>
          </cell>
        </row>
        <row r="1148">
          <cell r="B1148" t="str">
            <v>16893-85-9</v>
          </cell>
          <cell r="C1148" t="str">
            <v>Disodium hexafluorosilicate</v>
          </cell>
          <cell r="D1148" t="str">
            <v>97-1-376</v>
          </cell>
          <cell r="E1148" t="str">
            <v>및 그 중 하나를 1% 이상 함유한 혼합물질</v>
          </cell>
          <cell r="F1148">
            <v>1</v>
          </cell>
        </row>
        <row r="1149">
          <cell r="B1149" t="str">
            <v>16919-19-0</v>
          </cell>
          <cell r="C1149" t="str">
            <v>Ammonium hexafluorosilicate</v>
          </cell>
          <cell r="D1149" t="str">
            <v>97-1-376</v>
          </cell>
          <cell r="E1149" t="str">
            <v>및 그 중 하나를 1% 이상 함유한 혼합물질</v>
          </cell>
          <cell r="F1149">
            <v>1</v>
          </cell>
        </row>
        <row r="1150">
          <cell r="B1150" t="str">
            <v>16925-39-6</v>
          </cell>
          <cell r="C1150" t="str">
            <v>Calcium hexafluorosilicate</v>
          </cell>
          <cell r="D1150" t="str">
            <v>97-1-376</v>
          </cell>
          <cell r="E1150" t="str">
            <v>및 그 중 하나를 1% 이상 함유한 혼합물질</v>
          </cell>
          <cell r="F1150">
            <v>1</v>
          </cell>
        </row>
        <row r="1151">
          <cell r="B1151" t="str">
            <v>16949-65-8</v>
          </cell>
          <cell r="C1151" t="str">
            <v>Magnesium silicofluoride</v>
          </cell>
          <cell r="D1151" t="str">
            <v>97-1-376</v>
          </cell>
          <cell r="E1151" t="str">
            <v>및 그 중 하나를 1% 이상 함유한 혼합물질</v>
          </cell>
          <cell r="F1151">
            <v>1</v>
          </cell>
        </row>
        <row r="1152">
          <cell r="B1152" t="str">
            <v>16961-83-4</v>
          </cell>
          <cell r="C1152" t="str">
            <v>Hexafluorosilicic acid</v>
          </cell>
          <cell r="D1152" t="str">
            <v>97-1-376</v>
          </cell>
          <cell r="E1152" t="str">
            <v>및 그 중 하나를 1% 이상 함유한 혼합물질</v>
          </cell>
          <cell r="F1152">
            <v>1</v>
          </cell>
        </row>
        <row r="1153">
          <cell r="B1153" t="str">
            <v>17010-21-8</v>
          </cell>
          <cell r="C1153" t="str">
            <v>Cadmium hexafluorosilicate(2-) ; Cadmium fluorosilicate</v>
          </cell>
          <cell r="D1153" t="str">
            <v>97-1-376</v>
          </cell>
          <cell r="E1153" t="str">
            <v>및 그 중 하나를 1% 이상 함유한 혼합물질</v>
          </cell>
          <cell r="F1153">
            <v>1</v>
          </cell>
        </row>
        <row r="1154">
          <cell r="B1154" t="str">
            <v>17099-70-6</v>
          </cell>
          <cell r="C1154" t="str">
            <v>Aluminium hexafluorosilicate</v>
          </cell>
          <cell r="D1154" t="str">
            <v>97-1-376</v>
          </cell>
          <cell r="E1154" t="str">
            <v>및 그 중 하나를 1% 이상 함유한 혼합물질</v>
          </cell>
          <cell r="F1154">
            <v>1</v>
          </cell>
        </row>
        <row r="1155">
          <cell r="B1155" t="str">
            <v>17125-80-3</v>
          </cell>
          <cell r="C1155" t="str">
            <v>Barium hexafluorosilicate</v>
          </cell>
          <cell r="D1155" t="str">
            <v>97-1-376</v>
          </cell>
          <cell r="E1155" t="str">
            <v>및 그 중 하나를 1% 이상 함유한 혼합물질</v>
          </cell>
          <cell r="F1155">
            <v>1</v>
          </cell>
        </row>
        <row r="1156">
          <cell r="B1156" t="str">
            <v>17347-95-4</v>
          </cell>
          <cell r="C1156" t="str">
            <v>Lithium siliconfluoride ; Lithium hexafluorosilicate</v>
          </cell>
          <cell r="D1156" t="str">
            <v>97-1-376</v>
          </cell>
          <cell r="E1156" t="str">
            <v>및 그 중 하나를 1% 이상 함유한 혼합물질</v>
          </cell>
          <cell r="F1156">
            <v>1</v>
          </cell>
        </row>
        <row r="1157">
          <cell r="B1157" t="str">
            <v>18943-30-1</v>
          </cell>
          <cell r="C1157" t="str">
            <v>Strontium hexafluorosilicate(2-)</v>
          </cell>
          <cell r="D1157" t="str">
            <v>97-1-376</v>
          </cell>
          <cell r="E1157" t="str">
            <v>및 그 중 하나를 1% 이상 함유한 혼합물질</v>
          </cell>
          <cell r="F1157">
            <v>1</v>
          </cell>
        </row>
        <row r="1158">
          <cell r="B1158" t="str">
            <v>25808-74-6</v>
          </cell>
          <cell r="C1158" t="str">
            <v>Lead hexafluorosilicate</v>
          </cell>
          <cell r="D1158" t="str">
            <v>97-1-376</v>
          </cell>
          <cell r="E1158" t="str">
            <v>및 그 중 하나를 1% 이상 함유한 혼합물질</v>
          </cell>
          <cell r="F1158">
            <v>1</v>
          </cell>
        </row>
        <row r="1159">
          <cell r="B1159" t="str">
            <v>25808-75-7</v>
          </cell>
          <cell r="C1159" t="str">
            <v>Manganese fluorosilicate</v>
          </cell>
          <cell r="D1159" t="str">
            <v>97-1-376</v>
          </cell>
          <cell r="E1159" t="str">
            <v>및 그 중 하나를 1% 이상 함유한 혼합물질</v>
          </cell>
          <cell r="F1159">
            <v>1</v>
          </cell>
        </row>
        <row r="1160">
          <cell r="B1160" t="str">
            <v>26043-11-8</v>
          </cell>
          <cell r="C1160" t="str">
            <v>Nickel hexafluorosilicate</v>
          </cell>
          <cell r="D1160" t="str">
            <v>97-1-376</v>
          </cell>
          <cell r="E1160" t="str">
            <v>및 그 중 하나를 1% 이상 함유한 혼합물질</v>
          </cell>
          <cell r="F1160">
            <v>1</v>
          </cell>
        </row>
        <row r="1161">
          <cell r="B1161" t="str">
            <v>68239-51-0</v>
          </cell>
          <cell r="C1161" t="str">
            <v>Chromium(3+) hexafluorosilicate(2)</v>
          </cell>
          <cell r="D1161" t="str">
            <v>97-1-376</v>
          </cell>
          <cell r="E1161" t="str">
            <v>및 그 중 하나를 1% 이상 함유한 혼합물질</v>
          </cell>
          <cell r="F1161">
            <v>1</v>
          </cell>
        </row>
        <row r="1162">
          <cell r="B1162" t="str">
            <v>74925-56-7</v>
          </cell>
          <cell r="C1162" t="str">
            <v>Tin silicofluoride</v>
          </cell>
          <cell r="D1162" t="str">
            <v>97-1-376</v>
          </cell>
          <cell r="E1162" t="str">
            <v>및 그 중 하나를 1% 이상 함유한 혼합물질</v>
          </cell>
          <cell r="F1162">
            <v>1</v>
          </cell>
        </row>
        <row r="1163">
          <cell r="C1163" t="str">
            <v>Fluorosilicic acid, salts</v>
          </cell>
          <cell r="D1163" t="str">
            <v>97-1-376</v>
          </cell>
          <cell r="E1163" t="str">
            <v>및 그 중 하나를 1% 이상 함유한 혼합물질</v>
          </cell>
          <cell r="F1163">
            <v>1</v>
          </cell>
        </row>
        <row r="1164">
          <cell r="B1164" t="str">
            <v>13755-29-8</v>
          </cell>
          <cell r="C1164" t="str">
            <v>Tetrafluoroborate(1-), sodium</v>
          </cell>
          <cell r="D1164" t="str">
            <v>97-1-377</v>
          </cell>
          <cell r="E1164" t="str">
            <v>및 그 염류를 25% 이상 함유한 혼합물질, 다만, 플루오붕산 1-에틸-3-메틸-1H-이미다졸리움(CAS 143314-16-3)은 제외</v>
          </cell>
          <cell r="F1164">
            <v>25</v>
          </cell>
        </row>
        <row r="1165">
          <cell r="B1165" t="str">
            <v>13814-93-2</v>
          </cell>
          <cell r="C1165" t="str">
            <v>Calcium tetrafluoroborate(1-)</v>
          </cell>
          <cell r="D1165" t="str">
            <v>97-1-377</v>
          </cell>
          <cell r="E1165" t="str">
            <v>및 그 염류를 25% 이상 함유한 혼합물질, 다만, 플루오붕산 1-에틸-3-메틸-1H-이미다졸리움(CAS 143314-16-3)은 제외</v>
          </cell>
          <cell r="F1165">
            <v>25</v>
          </cell>
        </row>
        <row r="1166">
          <cell r="B1166" t="str">
            <v>13814-96-5</v>
          </cell>
          <cell r="C1166" t="str">
            <v>Lead bis(tetrafluoroborate)</v>
          </cell>
          <cell r="D1166" t="str">
            <v>97-1-377</v>
          </cell>
          <cell r="E1166" t="str">
            <v>및 그 염류를 25% 이상 함유한 혼합물질, 다만, 플루오붕산 1-에틸-3-메틸-1H-이미다졸리움(CAS 143314-16-3)은 제외</v>
          </cell>
          <cell r="F1166">
            <v>25</v>
          </cell>
        </row>
        <row r="1167">
          <cell r="B1167" t="str">
            <v>13814-97-6</v>
          </cell>
          <cell r="C1167" t="str">
            <v>Tin bis(tetrafluoroborate)</v>
          </cell>
          <cell r="D1167" t="str">
            <v>97-1-377</v>
          </cell>
          <cell r="E1167" t="str">
            <v>및 그 염류를 25% 이상 함유한 혼합물질, 다만, 플루오붕산 1-에틸-3-메틸-1H-이미다졸리움(CAS 143314-16-3)은 제외</v>
          </cell>
          <cell r="F1167">
            <v>25</v>
          </cell>
        </row>
        <row r="1168">
          <cell r="B1168" t="str">
            <v>13814-98-7</v>
          </cell>
          <cell r="C1168" t="str">
            <v>Strontium tetrafluoroborate(1-)</v>
          </cell>
          <cell r="D1168" t="str">
            <v>97-1-377</v>
          </cell>
          <cell r="E1168" t="str">
            <v>및 그 염류를 25% 이상 함유한 혼합물질, 다만, 플루오붕산 1-에틸-3-메틸-1H-이미다졸리움(CAS 143314-16-3)은 제외</v>
          </cell>
          <cell r="F1168">
            <v>25</v>
          </cell>
        </row>
        <row r="1169">
          <cell r="B1169" t="str">
            <v>13826-83-0</v>
          </cell>
          <cell r="C1169" t="str">
            <v>Ammonium tetrafluoroborate</v>
          </cell>
          <cell r="D1169" t="str">
            <v>97-1-377</v>
          </cell>
          <cell r="E1169" t="str">
            <v>및 그 염류를 25% 이상 함유한 혼합물질, 다만, 플루오붕산 1-에틸-3-메틸-1H-이미다졸리움(CAS 143314-16-3)은 제외</v>
          </cell>
          <cell r="F1169">
            <v>25</v>
          </cell>
        </row>
        <row r="1170">
          <cell r="B1170" t="str">
            <v>13826-88-5</v>
          </cell>
          <cell r="C1170" t="str">
            <v>Zinc bis(tetrafluoroborate)</v>
          </cell>
          <cell r="D1170" t="str">
            <v>97-1-377</v>
          </cell>
          <cell r="E1170" t="str">
            <v>및 그 염류를 25% 이상 함유한 혼합물질, 다만, 플루오붕산 1-에틸-3-메틸-1H-이미다졸리움(CAS 143314-16-3)은 제외</v>
          </cell>
          <cell r="F1170">
            <v>25</v>
          </cell>
        </row>
        <row r="1171">
          <cell r="B1171" t="str">
            <v>13862-62-9</v>
          </cell>
          <cell r="C1171" t="str">
            <v>Barium fluoroborate</v>
          </cell>
          <cell r="D1171" t="str">
            <v>97-1-377</v>
          </cell>
          <cell r="E1171" t="str">
            <v>및 그 염류를 25% 이상 함유한 혼합물질, 다만, 플루오붕산 1-에틸-3-메틸-1H-이미다졸리움(CAS 143314-16-3)은 제외</v>
          </cell>
          <cell r="F1171">
            <v>25</v>
          </cell>
        </row>
        <row r="1172">
          <cell r="B1172" t="str">
            <v>13877-20-8</v>
          </cell>
          <cell r="C1172" t="str">
            <v>Hexaamminenickel(2+) bis[tetrafluoroborate(1-)]</v>
          </cell>
          <cell r="D1172" t="str">
            <v>97-1-377</v>
          </cell>
          <cell r="E1172" t="str">
            <v>및 그 염류를 25% 이상 함유한 혼합물질, 다만, 플루오붕산 1-에틸-3-메틸-1H-이미다졸리움(CAS 143314-16-3)은 제외</v>
          </cell>
          <cell r="F1172">
            <v>25</v>
          </cell>
        </row>
        <row r="1173">
          <cell r="B1173" t="str">
            <v>14075-53-7</v>
          </cell>
          <cell r="C1173" t="str">
            <v>Potassium tetrafluoroborate</v>
          </cell>
          <cell r="D1173" t="str">
            <v>97-1-377</v>
          </cell>
          <cell r="E1173" t="str">
            <v>및 그 염류를 25% 이상 함유한 혼합물질, 다만, 플루오붕산 1-에틸-3-메틸-1H-이미다졸리움(CAS 143314-16-3)은 제외</v>
          </cell>
          <cell r="F1173">
            <v>25</v>
          </cell>
        </row>
        <row r="1174">
          <cell r="B1174" t="str">
            <v>14283-07-9</v>
          </cell>
          <cell r="C1174" t="str">
            <v>Lithium tetrafluoroborate, anhydrous</v>
          </cell>
          <cell r="D1174" t="str">
            <v>97-1-377</v>
          </cell>
          <cell r="E1174" t="str">
            <v>및 그 염류를 25% 이상 함유한 혼합물질, 다만, 플루오붕산 1-에틸-3-메틸-1H-이미다졸리움(CAS 143314-16-3)은 제외</v>
          </cell>
          <cell r="F1174">
            <v>25</v>
          </cell>
        </row>
        <row r="1175">
          <cell r="B1175" t="str">
            <v>14708-11-3</v>
          </cell>
          <cell r="C1175" t="str">
            <v>Tetrafluoroborate(1-), copper(1+)</v>
          </cell>
          <cell r="D1175" t="str">
            <v>97-1-377</v>
          </cell>
          <cell r="E1175" t="str">
            <v>및 그 염류를 25% 이상 함유한 혼합물질, 다만, 플루오붕산 1-에틸-3-메틸-1H-이미다졸리움(CAS 143314-16-3)은 제외</v>
          </cell>
          <cell r="F1175">
            <v>25</v>
          </cell>
        </row>
        <row r="1176">
          <cell r="B1176" t="str">
            <v>14708-13-5</v>
          </cell>
          <cell r="C1176" t="str">
            <v>Magnesium tetrafluoroborate(1-)</v>
          </cell>
          <cell r="D1176" t="str">
            <v>97-1-377</v>
          </cell>
          <cell r="E1176" t="str">
            <v>및 그 염류를 25% 이상 함유한 혼합물질, 다만, 플루오붕산 1-에틸-3-메틸-1H-이미다졸리움(CAS 143314-16-3)은 제외</v>
          </cell>
          <cell r="F1176">
            <v>25</v>
          </cell>
        </row>
        <row r="1177">
          <cell r="B1177" t="str">
            <v>14708-14-6</v>
          </cell>
          <cell r="C1177" t="str">
            <v>Nickel bis(tetrafluoroborate)</v>
          </cell>
          <cell r="D1177" t="str">
            <v>97-1-377</v>
          </cell>
          <cell r="E1177" t="str">
            <v>및 그 염류를 25% 이상 함유한 혼합물질, 다만, 플루오붕산 1-에틸-3-메틸-1H-이미다졸리움(CAS 143314-16-3)은 제외</v>
          </cell>
          <cell r="F1177">
            <v>25</v>
          </cell>
        </row>
        <row r="1178">
          <cell r="B1178" t="str">
            <v>15283-51-9</v>
          </cell>
          <cell r="C1178" t="str">
            <v>Iron(2+) tetrafluoroborate(1-)</v>
          </cell>
          <cell r="D1178" t="str">
            <v>97-1-377</v>
          </cell>
          <cell r="E1178" t="str">
            <v>및 그 염류를 25% 이상 함유한 혼합물질, 다만, 플루오붕산 1-에틸-3-메틸-1H-이미다졸리움(CAS 143314-16-3)은 제외</v>
          </cell>
          <cell r="F1178">
            <v>25</v>
          </cell>
        </row>
        <row r="1179">
          <cell r="B1179" t="str">
            <v>15689-07-3</v>
          </cell>
          <cell r="C1179" t="str">
            <v>Tetraaminezinc(2+) bis[tetrafluoroborate(1-)]</v>
          </cell>
          <cell r="D1179" t="str">
            <v>97-1-377</v>
          </cell>
          <cell r="E1179" t="str">
            <v>및 그 염류를 25% 이상 함유한 혼합물질, 다만, 플루오붕산 1-에틸-3-메틸-1H-이미다졸리움(CAS 143314-16-3)은 제외</v>
          </cell>
          <cell r="F1179">
            <v>25</v>
          </cell>
        </row>
        <row r="1180">
          <cell r="B1180" t="str">
            <v>16872-11-0</v>
          </cell>
          <cell r="C1180" t="str">
            <v>Tetrafluoroboric acid</v>
          </cell>
          <cell r="D1180" t="str">
            <v>97-1-377</v>
          </cell>
          <cell r="E1180" t="str">
            <v>및 그 염류를 25% 이상 함유한 혼합물질, 다만, 플루오붕산 1-에틸-3-메틸-1H-이미다졸리움(CAS 143314-16-3)은 제외</v>
          </cell>
          <cell r="F1180">
            <v>25</v>
          </cell>
        </row>
        <row r="1181">
          <cell r="B1181" t="str">
            <v>18909-68-7</v>
          </cell>
          <cell r="C1181" t="str">
            <v>Rubidium tetrafluoroborate(1-)</v>
          </cell>
          <cell r="D1181" t="str">
            <v>97-1-377</v>
          </cell>
          <cell r="E1181" t="str">
            <v>및 그 염류를 25% 이상 함유한 혼합물질, 다만, 플루오붕산 1-에틸-3-메틸-1H-이미다졸리움(CAS 143314-16-3)은 제외</v>
          </cell>
          <cell r="F1181">
            <v>25</v>
          </cell>
        </row>
        <row r="1182">
          <cell r="B1182" t="str">
            <v>26490-63-1</v>
          </cell>
          <cell r="C1182" t="str">
            <v>Cobalt(2+) tetrafluoroborate (1-)</v>
          </cell>
          <cell r="D1182" t="str">
            <v>97-1-377</v>
          </cell>
          <cell r="E1182" t="str">
            <v>및 그 염류를 25% 이상 함유한 혼합물질, 다만, 플루오붕산 1-에틸-3-메틸-1H-이미다졸리움(CAS 143314-16-3)은 제외</v>
          </cell>
          <cell r="F1182">
            <v>25</v>
          </cell>
        </row>
        <row r="1183">
          <cell r="B1183" t="str">
            <v>26522-24-7</v>
          </cell>
          <cell r="C1183" t="str">
            <v>Titanium borofluoride</v>
          </cell>
          <cell r="D1183" t="str">
            <v>97-1-377</v>
          </cell>
          <cell r="E1183" t="str">
            <v>및 그 염류를 25% 이상 함유한 혼합물질, 다만, 플루오붕산 1-에틸-3-메틸-1H-이미다졸리움(CAS 143314-16-3)은 제외</v>
          </cell>
          <cell r="F1183">
            <v>25</v>
          </cell>
        </row>
        <row r="1184">
          <cell r="B1184" t="str">
            <v>27765-48-6</v>
          </cell>
          <cell r="C1184" t="str">
            <v>Indium(3+) tetrafluoroborate(1-)</v>
          </cell>
          <cell r="D1184" t="str">
            <v>97-1-377</v>
          </cell>
          <cell r="E1184" t="str">
            <v>및 그 염류를 25% 이상 함유한 혼합물질, 다만, 플루오붕산 1-에틸-3-메틸-1H-이미다졸리움(CAS 143314-16-3)은 제외</v>
          </cell>
          <cell r="F1184">
            <v>25</v>
          </cell>
        </row>
        <row r="1185">
          <cell r="B1185" t="str">
            <v>30744-82-2</v>
          </cell>
          <cell r="C1185" t="str">
            <v>Manganese(2+) tetrafluoroborate(1-)</v>
          </cell>
          <cell r="D1185" t="str">
            <v>97-1-377</v>
          </cell>
          <cell r="E1185" t="str">
            <v>및 그 염류를 25% 이상 함유한 혼합물질, 다만, 플루오붕산 1-에틸-3-메틸-1H-이미다졸리움(CAS 143314-16-3)은 제외</v>
          </cell>
          <cell r="F1185">
            <v>25</v>
          </cell>
        </row>
        <row r="1186">
          <cell r="B1186" t="str">
            <v>38465-60-0</v>
          </cell>
          <cell r="C1186" t="str">
            <v>Copper(2+) tetrafluoroborate(1-)</v>
          </cell>
          <cell r="D1186" t="str">
            <v>97-1-377</v>
          </cell>
          <cell r="E1186" t="str">
            <v>및 그 염류를 25% 이상 함유한 혼합물질, 다만, 플루오붕산 1-에틸-3-메틸-1H-이미다졸리움(CAS 143314-16-3)은 제외</v>
          </cell>
          <cell r="F1186">
            <v>25</v>
          </cell>
        </row>
        <row r="1187">
          <cell r="B1187" t="str">
            <v>429-06-1</v>
          </cell>
          <cell r="C1187" t="str">
            <v>Tetraethylammonium tetrafluoroborate</v>
          </cell>
          <cell r="D1187" t="str">
            <v>97-1-377</v>
          </cell>
          <cell r="E1187" t="str">
            <v>및 그 염류를 25% 이상 함유한 혼합물질, 다만, 플루오붕산 1-에틸-3-메틸-1H-이미다졸리움(CAS 143314-16-3)은 제외</v>
          </cell>
          <cell r="F1187">
            <v>25</v>
          </cell>
        </row>
        <row r="1188">
          <cell r="B1188" t="str">
            <v>68309-92-2</v>
          </cell>
          <cell r="C1188" t="str">
            <v>Fluorcalcium(1+), tetrafluoroborate(1-)</v>
          </cell>
          <cell r="D1188" t="str">
            <v>97-1-377</v>
          </cell>
          <cell r="E1188" t="str">
            <v>및 그 염류를 25% 이상 함유한 혼합물질, 다만, 플루오붕산 1-에틸-3-메틸-1H-이미다졸리움(CAS 143314-16-3)은 제외</v>
          </cell>
          <cell r="F1188">
            <v>25</v>
          </cell>
        </row>
        <row r="1189">
          <cell r="B1189" t="str">
            <v>74912-23-5</v>
          </cell>
          <cell r="C1189" t="str">
            <v>Europium fluoroborate</v>
          </cell>
          <cell r="D1189" t="str">
            <v>97-1-377</v>
          </cell>
          <cell r="E1189" t="str">
            <v>및 그 염류를 25% 이상 함유한 혼합물질, 다만, 플루오붕산 1-에틸-3-메틸-1H-이미다졸리움(CAS 143314-16-3)은 제외</v>
          </cell>
          <cell r="F1189">
            <v>25</v>
          </cell>
        </row>
        <row r="1190">
          <cell r="C1190" t="str">
            <v>Fluoroboric acid, salts</v>
          </cell>
          <cell r="D1190" t="str">
            <v>97-1-377</v>
          </cell>
          <cell r="E1190" t="str">
            <v>및 그 염류를 25% 이상 함유한 혼합물질, 다만, 플루오붕산 1-에틸-3-메틸-1H-이미다졸리움(CAS 143314-16-3)은 제외</v>
          </cell>
          <cell r="F1190">
            <v>25</v>
          </cell>
        </row>
        <row r="1191">
          <cell r="B1191" t="str">
            <v>351-05-3</v>
          </cell>
          <cell r="C1191" t="str">
            <v>Fluoroaceto-p-bromo aniline</v>
          </cell>
          <cell r="D1191" t="str">
            <v>97-1-378</v>
          </cell>
          <cell r="E1191" t="str">
            <v>및 이를 1% 이상 함유한 혼합물질</v>
          </cell>
          <cell r="F1191">
            <v>1</v>
          </cell>
        </row>
        <row r="1192">
          <cell r="B1192" t="str">
            <v>144-49-0</v>
          </cell>
          <cell r="C1192" t="str">
            <v>Fluoroacetic acid</v>
          </cell>
          <cell r="D1192" t="str">
            <v>97-1-379</v>
          </cell>
          <cell r="E1192" t="str">
            <v>과 그 염류 및 그 중 하나를 1% 이상 함유한 혼합물질</v>
          </cell>
          <cell r="F1192">
            <v>1</v>
          </cell>
        </row>
        <row r="1193">
          <cell r="B1193" t="str">
            <v>62-74-8</v>
          </cell>
          <cell r="C1193" t="str">
            <v>Sodium fluoroacetate</v>
          </cell>
          <cell r="D1193" t="str">
            <v>97-1-379</v>
          </cell>
          <cell r="E1193" t="str">
            <v>과 그 염류 및 그 중 하나를 1% 이상 함유한 혼합물질</v>
          </cell>
          <cell r="F1193">
            <v>1</v>
          </cell>
        </row>
        <row r="1194">
          <cell r="C1194" t="str">
            <v>Fluoroacetic acid, salts</v>
          </cell>
          <cell r="D1194" t="str">
            <v>97-1-379</v>
          </cell>
          <cell r="E1194" t="str">
            <v>과 그 염류 및 그 중 하나를 1% 이상 함유한 혼합물질</v>
          </cell>
          <cell r="F1194">
            <v>1</v>
          </cell>
        </row>
        <row r="1195">
          <cell r="B1195" t="str">
            <v>3078-97-5</v>
          </cell>
          <cell r="C1195" t="str">
            <v>DSP</v>
          </cell>
          <cell r="D1195" t="str">
            <v>97-1-38</v>
          </cell>
          <cell r="E1195" t="str">
            <v>및 이를 1% 이상 함유한 혼합물질</v>
          </cell>
          <cell r="F1195">
            <v>1</v>
          </cell>
        </row>
        <row r="1196">
          <cell r="B1196" t="str">
            <v>640-19-7</v>
          </cell>
          <cell r="C1196" t="str">
            <v>Fluoroacetamide</v>
          </cell>
          <cell r="D1196" t="str">
            <v>97-1-380</v>
          </cell>
          <cell r="E1196" t="str">
            <v>및 이를 1% 이상 함유한 혼합물질</v>
          </cell>
          <cell r="F1196">
            <v>1</v>
          </cell>
        </row>
        <row r="1197">
          <cell r="B1197" t="str">
            <v>7681-49-4</v>
          </cell>
          <cell r="C1197" t="str">
            <v>Sodium monofluoride</v>
          </cell>
          <cell r="D1197" t="str">
            <v>97-1-381</v>
          </cell>
          <cell r="E1197" t="str">
            <v>및 이를 25% 이상 함유한 혼합물질</v>
          </cell>
          <cell r="F1197">
            <v>25</v>
          </cell>
        </row>
        <row r="1198">
          <cell r="B1198" t="str">
            <v>7664-39-3</v>
          </cell>
          <cell r="C1198" t="str">
            <v>Hydrogen fluoride ; Hydrofluoric acid</v>
          </cell>
          <cell r="D1198" t="str">
            <v>97-1-382</v>
          </cell>
          <cell r="E1198" t="str">
            <v>및 이를 1% 이상 함유한 혼합물질</v>
          </cell>
          <cell r="F1198">
            <v>1</v>
          </cell>
        </row>
        <row r="1199">
          <cell r="B1199" t="str">
            <v>2699-79-8</v>
          </cell>
          <cell r="C1199" t="str">
            <v>Sulfuryl difluoride</v>
          </cell>
          <cell r="D1199" t="str">
            <v>97-1-383</v>
          </cell>
          <cell r="E1199" t="str">
            <v>및 이를 1% 이상 함유한 혼합물질</v>
          </cell>
          <cell r="F1199">
            <v>1</v>
          </cell>
        </row>
        <row r="1200">
          <cell r="B1200" t="str">
            <v>7789-23-3</v>
          </cell>
          <cell r="C1200" t="str">
            <v>Potassium fluoride</v>
          </cell>
          <cell r="D1200" t="str">
            <v>97-1-384</v>
          </cell>
          <cell r="E1200" t="str">
            <v>및 이를 25% 이상 함유한 혼합물질</v>
          </cell>
          <cell r="F1200">
            <v>25</v>
          </cell>
        </row>
        <row r="1201">
          <cell r="B1201" t="str">
            <v>108-35-0</v>
          </cell>
          <cell r="C1201" t="str">
            <v>Pyrazothion</v>
          </cell>
          <cell r="D1201" t="str">
            <v>97-1-385</v>
          </cell>
          <cell r="E1201" t="str">
            <v>및 이를 1% 이상 함유한 혼합물질</v>
          </cell>
          <cell r="F1201">
            <v>1</v>
          </cell>
        </row>
        <row r="1202">
          <cell r="B1202" t="str">
            <v>108-34-9</v>
          </cell>
          <cell r="C1202" t="str">
            <v>Pyrazoxon</v>
          </cell>
          <cell r="D1202" t="str">
            <v>97-1-386</v>
          </cell>
          <cell r="E1202" t="str">
            <v>및 이를 1% 이상 함유한 혼합물질</v>
          </cell>
          <cell r="F1202">
            <v>1</v>
          </cell>
        </row>
        <row r="1203">
          <cell r="B1203" t="str">
            <v>89784-60-1</v>
          </cell>
          <cell r="C1203" t="str">
            <v>Pyraclofos</v>
          </cell>
          <cell r="D1203" t="str">
            <v>97-1-387</v>
          </cell>
          <cell r="E1203" t="str">
            <v>및 이를 25% 이상 함유한 혼합물질</v>
          </cell>
          <cell r="F1203">
            <v>25</v>
          </cell>
        </row>
        <row r="1204">
          <cell r="B1204" t="str">
            <v>107-49-3</v>
          </cell>
          <cell r="C1204" t="str">
            <v>Tetraethyl pyro-phosphate</v>
          </cell>
          <cell r="D1204" t="str">
            <v>97-1-388</v>
          </cell>
          <cell r="E1204" t="str">
            <v>및 이를 1% 이상 함유한 혼합물질</v>
          </cell>
          <cell r="F1204">
            <v>1</v>
          </cell>
        </row>
        <row r="1205">
          <cell r="B1205" t="str">
            <v>96489-71-3</v>
          </cell>
          <cell r="C1205" t="str">
            <v>2-tert-Butyl-5-(4-tert-butylbenzylthio)-4-chloropyridazin-3(2H)-one ; Pyridaben</v>
          </cell>
          <cell r="D1205" t="str">
            <v>97-1-389</v>
          </cell>
          <cell r="E1205" t="str">
            <v>및 이를 25% 이상 함유한 혼합물질</v>
          </cell>
          <cell r="F1205">
            <v>25</v>
          </cell>
        </row>
        <row r="1206">
          <cell r="B1206" t="str">
            <v>2312-76-7</v>
          </cell>
          <cell r="C1206" t="str">
            <v>4,6-Dinitro-o-cresol sodium salt</v>
          </cell>
          <cell r="D1206" t="str">
            <v>97-1-39</v>
          </cell>
          <cell r="E1206" t="str">
            <v>및 그 중 하나를 1% 이상 함유한 혼합물질</v>
          </cell>
          <cell r="F1206">
            <v>1</v>
          </cell>
        </row>
        <row r="1207">
          <cell r="B1207" t="str">
            <v>2980-64-5</v>
          </cell>
          <cell r="C1207" t="str">
            <v>Ammonium 4,6-dinitro-o-tolyl oxide</v>
          </cell>
          <cell r="D1207" t="str">
            <v>97-1-39</v>
          </cell>
          <cell r="E1207" t="str">
            <v>및 그 중 하나를 1% 이상 함유한 혼합물질</v>
          </cell>
          <cell r="F1207">
            <v>1</v>
          </cell>
        </row>
        <row r="1208">
          <cell r="B1208" t="str">
            <v>534-52-1</v>
          </cell>
          <cell r="C1208" t="str">
            <v>2-Methyl-4,6-dinitrophenol ; 4,6-Dinitro-o-cresol</v>
          </cell>
          <cell r="D1208" t="str">
            <v>97-1-39</v>
          </cell>
          <cell r="E1208" t="str">
            <v>및 그 중 하나를 1% 이상 함유한 혼합물질</v>
          </cell>
          <cell r="F1208">
            <v>1</v>
          </cell>
        </row>
        <row r="1209">
          <cell r="B1209" t="str">
            <v>5787-96-2</v>
          </cell>
          <cell r="C1209" t="str">
            <v>4,6-Dinitro-o-cresol potassium salt</v>
          </cell>
          <cell r="D1209" t="str">
            <v>97-1-39</v>
          </cell>
          <cell r="E1209" t="str">
            <v>및 그 중 하나를 1% 이상 함유한 혼합물질</v>
          </cell>
          <cell r="F1209">
            <v>1</v>
          </cell>
        </row>
        <row r="1210">
          <cell r="C1210" t="str">
            <v>DNOC, salts</v>
          </cell>
          <cell r="D1210" t="str">
            <v>97-1-39</v>
          </cell>
          <cell r="E1210" t="str">
            <v>및 그 중 하나를 1% 이상 함유한 혼합물질</v>
          </cell>
          <cell r="F1210">
            <v>1</v>
          </cell>
        </row>
        <row r="1211">
          <cell r="B1211" t="str">
            <v>53558-25-1</v>
          </cell>
          <cell r="C1211" t="str">
            <v>Pyriminil</v>
          </cell>
          <cell r="D1211" t="str">
            <v>97-1-390</v>
          </cell>
          <cell r="E1211" t="str">
            <v>및 이를 1% 이상 함유한 혼합물질</v>
          </cell>
          <cell r="F1211">
            <v>1</v>
          </cell>
        </row>
        <row r="1212">
          <cell r="B1212" t="str">
            <v>23103-98-2</v>
          </cell>
          <cell r="C1212" t="str">
            <v>Pirimicarb</v>
          </cell>
          <cell r="D1212" t="str">
            <v>97-1-391</v>
          </cell>
          <cell r="E1212" t="str">
            <v>및 이를 1% 이상 함유한 혼합물질</v>
          </cell>
          <cell r="F1212">
            <v>1</v>
          </cell>
        </row>
        <row r="1213">
          <cell r="B1213" t="str">
            <v>5221-49-8</v>
          </cell>
          <cell r="C1213" t="str">
            <v>Pyrimitate</v>
          </cell>
          <cell r="D1213" t="str">
            <v>97-1-392</v>
          </cell>
          <cell r="E1213" t="str">
            <v>및 이를 1% 이상 함유한 혼합물질</v>
          </cell>
          <cell r="F1213">
            <v>1</v>
          </cell>
        </row>
        <row r="1214">
          <cell r="B1214" t="str">
            <v>23505-41-1</v>
          </cell>
          <cell r="C1214" t="str">
            <v>Pirimiphos-ethyl</v>
          </cell>
          <cell r="D1214" t="str">
            <v>97-1-393</v>
          </cell>
          <cell r="E1214" t="str">
            <v>및 이를 1% 이상 함유한 혼합물질</v>
          </cell>
          <cell r="F1214">
            <v>1</v>
          </cell>
        </row>
        <row r="1215">
          <cell r="B1215" t="str">
            <v>1336-36-3</v>
          </cell>
          <cell r="C1215" t="str">
            <v>PCBs</v>
          </cell>
          <cell r="D1215" t="str">
            <v>97-1-394</v>
          </cell>
          <cell r="E1215" t="str">
            <v>및 이를 0.005% 이상 함유한 혼합물질</v>
          </cell>
          <cell r="F1215">
            <v>5.0000000000000001E-3</v>
          </cell>
        </row>
        <row r="1216">
          <cell r="B1216" t="str">
            <v>146-84-9</v>
          </cell>
          <cell r="C1216" t="str">
            <v>Phenol, 2,4,6-trinitro-, silver(1+) salt ; Silver picrate</v>
          </cell>
          <cell r="D1216" t="str">
            <v>97-1-395</v>
          </cell>
          <cell r="E1216" t="str">
            <v>및 그 염류를 25% 이상 함유한 혼합물질. 다만 폭발약은 제외</v>
          </cell>
          <cell r="F1216">
            <v>25</v>
          </cell>
        </row>
        <row r="1217">
          <cell r="B1217" t="str">
            <v>14866-25-2</v>
          </cell>
          <cell r="C1217" t="str">
            <v>Phenol, 2,4,6-trinitro-, iron(2+) salt ; Iron dipicrate</v>
          </cell>
          <cell r="D1217" t="str">
            <v>97-1-395</v>
          </cell>
          <cell r="E1217" t="str">
            <v>및 그 염류를 25% 이상 함유한 혼합물질. 다만 폭발약은 제외</v>
          </cell>
          <cell r="F1217">
            <v>25</v>
          </cell>
        </row>
        <row r="1218">
          <cell r="B1218" t="str">
            <v>16824-81-0</v>
          </cell>
          <cell r="C1218" t="str">
            <v>Phenol, 2,4,6-trinitro-, zinc salt ; Zinc dipicrate</v>
          </cell>
          <cell r="D1218" t="str">
            <v>97-1-395</v>
          </cell>
          <cell r="E1218" t="str">
            <v>및 그 염류를 25% 이상 함유한 혼합물질. 다만 폭발약은 제외</v>
          </cell>
          <cell r="F1218">
            <v>25</v>
          </cell>
        </row>
        <row r="1219">
          <cell r="B1219" t="str">
            <v>18390-55-1</v>
          </cell>
          <cell r="C1219" t="str">
            <v>Lithium picrate ; Phenol, 2,4,6-trinitro-, lithium salt</v>
          </cell>
          <cell r="D1219" t="str">
            <v>97-1-395</v>
          </cell>
          <cell r="E1219" t="str">
            <v>및 그 염류를 25% 이상 함유한 혼합물질. 다만 폭발약은 제외</v>
          </cell>
          <cell r="F1219">
            <v>25</v>
          </cell>
        </row>
        <row r="1220">
          <cell r="B1220" t="str">
            <v>3324-58-1</v>
          </cell>
          <cell r="C1220" t="str">
            <v>Sodium picrate ; Phenol, 2,4,6-trinitro-, sodium salt</v>
          </cell>
          <cell r="D1220" t="str">
            <v>97-1-395</v>
          </cell>
          <cell r="E1220" t="str">
            <v>및 그 염류를 25% 이상 함유한 혼합물질. 다만 폭발약은 제외</v>
          </cell>
          <cell r="F1220">
            <v>25</v>
          </cell>
        </row>
        <row r="1221">
          <cell r="B1221" t="str">
            <v>34069-88-0</v>
          </cell>
          <cell r="C1221" t="str">
            <v>Strontium picrate ; Phenol, 2,4,6-trinitro-, strontium salt</v>
          </cell>
          <cell r="D1221" t="str">
            <v>97-1-395</v>
          </cell>
          <cell r="E1221" t="str">
            <v>및 그 염류를 25% 이상 함유한 혼합물질. 다만 폭발약은 제외</v>
          </cell>
          <cell r="F1221">
            <v>25</v>
          </cell>
        </row>
        <row r="1222">
          <cell r="B1222" t="str">
            <v>6477-64-1</v>
          </cell>
          <cell r="C1222" t="str">
            <v>Lead dipicrate ; Phenol, 2,4,6-trinitro-, lead(2+) salt</v>
          </cell>
          <cell r="D1222" t="str">
            <v>97-1-395</v>
          </cell>
          <cell r="E1222" t="str">
            <v>및 그 염류를 25% 이상 함유한 혼합물질. 다만 폭발약은 제외</v>
          </cell>
          <cell r="F1222">
            <v>25</v>
          </cell>
        </row>
        <row r="1223">
          <cell r="B1223" t="str">
            <v>88-89-1</v>
          </cell>
          <cell r="C1223" t="str">
            <v>2,4,6-Trinitrophenol ; Picric acid</v>
          </cell>
          <cell r="D1223" t="str">
            <v>97-1-395</v>
          </cell>
          <cell r="E1223" t="str">
            <v>및 그 염류를 25% 이상 함유한 혼합물질. 다만 폭발약은 제외</v>
          </cell>
          <cell r="F1223">
            <v>25</v>
          </cell>
        </row>
        <row r="1224">
          <cell r="C1224" t="str">
            <v>Picric acid, salts</v>
          </cell>
          <cell r="D1224" t="str">
            <v>97-1-395</v>
          </cell>
          <cell r="E1224" t="str">
            <v>및 그 염류를 25% 이상 함유한 혼합물질. 다만 폭발약은 제외</v>
          </cell>
          <cell r="F1224">
            <v>25</v>
          </cell>
        </row>
        <row r="1225">
          <cell r="B1225" t="str">
            <v>120068-37-3</v>
          </cell>
          <cell r="C1225" t="str">
            <v>5-Amino-1-(2,6-dichloro-4-trifluoromethylphenyl)-4-trifluoromethylsulfinyl-1H-pyrazole-3-carbonitrile ; Fipronil</v>
          </cell>
          <cell r="D1225" t="str">
            <v>97-1-396</v>
          </cell>
          <cell r="E1225" t="str">
            <v>및 이를 25% 이상 함유한 혼합물질</v>
          </cell>
          <cell r="F1225">
            <v>25</v>
          </cell>
        </row>
        <row r="1226">
          <cell r="C1226" t="str">
            <v>Piproctanyl, salts</v>
          </cell>
          <cell r="D1226" t="str">
            <v>97-1-397</v>
          </cell>
          <cell r="E1226" t="str">
            <v>및 이를 1% 이상 함유한 혼합물질</v>
          </cell>
          <cell r="F1226">
            <v>1</v>
          </cell>
        </row>
        <row r="1227">
          <cell r="B1227" t="str">
            <v>83-26-1</v>
          </cell>
          <cell r="C1227" t="str">
            <v>Pindone</v>
          </cell>
          <cell r="D1227" t="str">
            <v>97-1-398</v>
          </cell>
          <cell r="E1227" t="str">
            <v>및 이를 1% 이상 함유한 혼합물질</v>
          </cell>
          <cell r="F1227">
            <v>1</v>
          </cell>
        </row>
        <row r="1228">
          <cell r="B1228" t="str">
            <v>16079-88-2</v>
          </cell>
          <cell r="C1228" t="str">
            <v>1-Bromo-3-chloro-5,5-dimethylhydantoin</v>
          </cell>
          <cell r="D1228" t="str">
            <v>97-1-399</v>
          </cell>
          <cell r="E1228" t="str">
            <v>및 이를 1% 이상 함유한 혼합물질</v>
          </cell>
          <cell r="F1228">
            <v>1</v>
          </cell>
        </row>
        <row r="1229">
          <cell r="B1229" t="str">
            <v>108173-90-6</v>
          </cell>
          <cell r="C1229" t="str">
            <v>Guazatine</v>
          </cell>
          <cell r="D1229" t="str">
            <v>97-1-4</v>
          </cell>
          <cell r="E1229" t="str">
            <v>및 그 중 하나를 구아자틴으로서 3.5% 이상 함유한 혼합물질</v>
          </cell>
          <cell r="F1229">
            <v>3.5</v>
          </cell>
        </row>
        <row r="1230">
          <cell r="B1230" t="str">
            <v>13516-27-3</v>
          </cell>
          <cell r="C1230" t="str">
            <v>Guazatine</v>
          </cell>
          <cell r="D1230" t="str">
            <v>97-1-4</v>
          </cell>
          <cell r="E1230" t="str">
            <v>및 그 중 하나를 구아자틴으로서 3.5% 이상 함유한 혼합물질</v>
          </cell>
          <cell r="F1230">
            <v>3.5</v>
          </cell>
        </row>
        <row r="1231">
          <cell r="B1231" t="str">
            <v>57520-17-9</v>
          </cell>
          <cell r="C1231" t="str">
            <v>1,1'-Iminodi(octamethylene)diguanidinum triacetate</v>
          </cell>
          <cell r="D1231" t="str">
            <v>97-1-4</v>
          </cell>
          <cell r="E1231" t="str">
            <v>및 그 중 하나를 구아자틴으로서 3.5% 이상 함유한 혼합물질</v>
          </cell>
          <cell r="F1231">
            <v>3.5</v>
          </cell>
        </row>
        <row r="1232">
          <cell r="C1232" t="str">
            <v>Guazatine, salts</v>
          </cell>
          <cell r="D1232" t="str">
            <v>97-1-4</v>
          </cell>
          <cell r="E1232" t="str">
            <v>및 그 중 하나를 구아자틴으로서 3.5% 이상 함유한 혼합물질</v>
          </cell>
          <cell r="F1232">
            <v>3.5</v>
          </cell>
        </row>
        <row r="1233">
          <cell r="B1233" t="str">
            <v>60-57-1</v>
          </cell>
          <cell r="C1233" t="str">
            <v>Dieldrin</v>
          </cell>
          <cell r="D1233" t="str">
            <v>97-1-40</v>
          </cell>
          <cell r="E1233" t="str">
            <v>및 이를 1% 이상 함유한 혼합물질</v>
          </cell>
          <cell r="F1233">
            <v>1</v>
          </cell>
        </row>
        <row r="1234">
          <cell r="B1234" t="str">
            <v>111872-58-3</v>
          </cell>
          <cell r="C1234" t="str">
            <v>Benzene, 1-[[2-[4-(bromodifluoromethoxy)phenyl]-2-methylpropoxy]methyl]-3-phenoxy- ; Halfenprox</v>
          </cell>
          <cell r="D1234" t="str">
            <v>97-1-400</v>
          </cell>
          <cell r="E1234" t="str">
            <v>및 이를 0.1% 이상 함유한 혼합물질</v>
          </cell>
          <cell r="F1234">
            <v>0.1</v>
          </cell>
        </row>
        <row r="1235">
          <cell r="B1235" t="str">
            <v>757-58-4</v>
          </cell>
          <cell r="C1235" t="str">
            <v>Hexaethyl tetraphos-phate</v>
          </cell>
          <cell r="D1235" t="str">
            <v>97-1-401</v>
          </cell>
          <cell r="E1235" t="str">
            <v>및 이를 1% 이상 함유한 혼합물질</v>
          </cell>
          <cell r="F1235">
            <v>1</v>
          </cell>
        </row>
        <row r="1236">
          <cell r="B1236" t="str">
            <v>77-47-4</v>
          </cell>
          <cell r="C1236" t="str">
            <v>Hexachlorocyclopentadiene</v>
          </cell>
          <cell r="D1236" t="str">
            <v>97-1-402</v>
          </cell>
          <cell r="E1236" t="str">
            <v>및 이를 25% 이상 함유한 혼합물질</v>
          </cell>
          <cell r="F1236">
            <v>25</v>
          </cell>
        </row>
        <row r="1237">
          <cell r="B1237" t="str">
            <v>76-44-8</v>
          </cell>
          <cell r="C1237" t="str">
            <v>Heptachlor</v>
          </cell>
          <cell r="D1237" t="str">
            <v>97-1-403</v>
          </cell>
          <cell r="E1237" t="str">
            <v>및 이를 1.0% 이상 함유한 혼합물질</v>
          </cell>
          <cell r="F1237">
            <v>1</v>
          </cell>
        </row>
        <row r="1238">
          <cell r="B1238" t="str">
            <v>23560-59-0</v>
          </cell>
          <cell r="C1238" t="str">
            <v>Heptenophos</v>
          </cell>
          <cell r="D1238" t="str">
            <v>97-1-404</v>
          </cell>
          <cell r="E1238" t="str">
            <v>및 이를 1% 이상 함유한 혼합물질</v>
          </cell>
          <cell r="F1238">
            <v>1</v>
          </cell>
        </row>
        <row r="1239">
          <cell r="B1239" t="str">
            <v>7664-93-9</v>
          </cell>
          <cell r="C1239" t="str">
            <v>Sulfuric acid</v>
          </cell>
          <cell r="D1239" t="str">
            <v>97-1-405</v>
          </cell>
          <cell r="E1239" t="str">
            <v>및 이를 10% 이상 함유한 혼합물질</v>
          </cell>
          <cell r="F1239">
            <v>10</v>
          </cell>
        </row>
        <row r="1240">
          <cell r="B1240" t="str">
            <v>77-78-1</v>
          </cell>
          <cell r="C1240" t="str">
            <v>Sulfuric acid dimethyl ester ; Dimethyl sulfate</v>
          </cell>
          <cell r="D1240" t="str">
            <v>97-1-406</v>
          </cell>
          <cell r="E1240" t="str">
            <v>및 이를 0.1% 이상 함유한 혼합물질</v>
          </cell>
          <cell r="F1240">
            <v>0.1</v>
          </cell>
        </row>
        <row r="1241">
          <cell r="B1241" t="str">
            <v>64-67-5</v>
          </cell>
          <cell r="C1241" t="str">
            <v>Diethylsulfate</v>
          </cell>
          <cell r="D1241" t="str">
            <v>97-1-407</v>
          </cell>
          <cell r="E1241" t="str">
            <v>및 이를 0.1% 이상 함유한 혼합물질</v>
          </cell>
          <cell r="F1241">
            <v>0.1</v>
          </cell>
        </row>
        <row r="1242">
          <cell r="B1242" t="str">
            <v>16222-66-5</v>
          </cell>
          <cell r="C1242" t="str">
            <v>Dithallium tris(sulfate)</v>
          </cell>
          <cell r="D1242" t="str">
            <v>97-1-408</v>
          </cell>
          <cell r="E1242" t="str">
            <v>및 이를 1% 이상 함유한 혼합물질</v>
          </cell>
          <cell r="F1242">
            <v>1</v>
          </cell>
        </row>
        <row r="1243">
          <cell r="B1243" t="str">
            <v>7446-18-6</v>
          </cell>
          <cell r="C1243" t="str">
            <v>Thallium sulfate</v>
          </cell>
          <cell r="D1243" t="str">
            <v>97-1-408</v>
          </cell>
          <cell r="E1243" t="str">
            <v>및 이를 1% 이상 함유한 혼합물질</v>
          </cell>
          <cell r="F1243">
            <v>1</v>
          </cell>
        </row>
        <row r="1244">
          <cell r="B1244" t="str">
            <v>302-01-2</v>
          </cell>
          <cell r="C1244" t="str">
            <v>Hydrazine</v>
          </cell>
          <cell r="D1244" t="str">
            <v>97-1-409</v>
          </cell>
          <cell r="E1244" t="str">
            <v>및 이를 0.1% 이상 함유한 혼합물질</v>
          </cell>
          <cell r="F1244">
            <v>0.1</v>
          </cell>
        </row>
        <row r="1245">
          <cell r="B1245" t="str">
            <v>74-94-2</v>
          </cell>
          <cell r="C1245" t="str">
            <v>Dimethylamine borane ; DMAB</v>
          </cell>
          <cell r="D1245" t="str">
            <v>97-1-41</v>
          </cell>
          <cell r="E1245" t="str">
            <v>및 이를 25% 이상 함유한 혼합물질</v>
          </cell>
          <cell r="F1245">
            <v>25</v>
          </cell>
        </row>
        <row r="1246">
          <cell r="B1246" t="str">
            <v>7803-57-8</v>
          </cell>
          <cell r="C1246" t="str">
            <v>Hydrazine hydrate</v>
          </cell>
          <cell r="D1246" t="str">
            <v>97-1-410</v>
          </cell>
          <cell r="E1246" t="str">
            <v>및 이를 25% 이상 함유한 혼합물질</v>
          </cell>
          <cell r="F1246">
            <v>25</v>
          </cell>
        </row>
        <row r="1247">
          <cell r="B1247" t="str">
            <v>10039-54-0</v>
          </cell>
          <cell r="C1247" t="str">
            <v>Bis(hydroxylammonium) sulfate</v>
          </cell>
          <cell r="D1247" t="str">
            <v>97-1-411</v>
          </cell>
          <cell r="E1247" t="str">
            <v>과 그 염류 및 그 중 하나를 1% 이상 함유한 혼합물질</v>
          </cell>
          <cell r="F1247">
            <v>1</v>
          </cell>
        </row>
        <row r="1248">
          <cell r="B1248" t="str">
            <v>10046-00-1</v>
          </cell>
          <cell r="C1248" t="str">
            <v>Hydroxylammonium hydrogen sulfate</v>
          </cell>
          <cell r="D1248" t="str">
            <v>97-1-411</v>
          </cell>
          <cell r="E1248" t="str">
            <v>과 그 염류 및 그 중 하나를 1% 이상 함유한 혼합물질</v>
          </cell>
          <cell r="F1248">
            <v>1</v>
          </cell>
        </row>
        <row r="1249">
          <cell r="B1249" t="str">
            <v>13465-08-2</v>
          </cell>
          <cell r="C1249" t="str">
            <v>Hydroxylammonium nitrate</v>
          </cell>
          <cell r="D1249" t="str">
            <v>97-1-411</v>
          </cell>
          <cell r="E1249" t="str">
            <v>과 그 염류 및 그 중 하나를 1% 이상 함유한 혼합물질</v>
          </cell>
          <cell r="F1249">
            <v>1</v>
          </cell>
        </row>
        <row r="1250">
          <cell r="B1250" t="str">
            <v>13973-61-0</v>
          </cell>
          <cell r="C1250" t="str">
            <v>Hydroxylamine sulfate (salt)</v>
          </cell>
          <cell r="D1250" t="str">
            <v>97-1-411</v>
          </cell>
          <cell r="E1250" t="str">
            <v>과 그 염류 및 그 중 하나를 1% 이상 함유한 혼합물질</v>
          </cell>
          <cell r="F1250">
            <v>1</v>
          </cell>
        </row>
        <row r="1251">
          <cell r="B1251" t="str">
            <v>17256-78-9</v>
          </cell>
          <cell r="C1251" t="str">
            <v>Hydroxylammonium fluoride</v>
          </cell>
          <cell r="D1251" t="str">
            <v>97-1-411</v>
          </cell>
          <cell r="E1251" t="str">
            <v>과 그 염류 및 그 중 하나를 1% 이상 함유한 혼합물질</v>
          </cell>
          <cell r="F1251">
            <v>1</v>
          </cell>
        </row>
        <row r="1252">
          <cell r="B1252" t="str">
            <v>19098-16-9</v>
          </cell>
          <cell r="C1252" t="str">
            <v>Hydroxylamine, phosphate (1:1) (salt)</v>
          </cell>
          <cell r="D1252" t="str">
            <v>97-1-411</v>
          </cell>
          <cell r="E1252" t="str">
            <v>과 그 염류 및 그 중 하나를 1% 이상 함유한 혼합물질</v>
          </cell>
          <cell r="F1252">
            <v>1</v>
          </cell>
        </row>
        <row r="1253">
          <cell r="B1253" t="str">
            <v>5470-11-1</v>
          </cell>
          <cell r="C1253" t="str">
            <v>Hydroxylammonium chloride</v>
          </cell>
          <cell r="D1253" t="str">
            <v>97-1-411</v>
          </cell>
          <cell r="E1253" t="str">
            <v>과 그 염류 및 그 중 하나를 1% 이상 함유한 혼합물질</v>
          </cell>
          <cell r="F1253">
            <v>1</v>
          </cell>
        </row>
        <row r="1254">
          <cell r="B1254" t="str">
            <v>58888-47-4</v>
          </cell>
          <cell r="C1254" t="str">
            <v>Hydroxylamine, phosphate (salt)</v>
          </cell>
          <cell r="D1254" t="str">
            <v>97-1-411</v>
          </cell>
          <cell r="E1254" t="str">
            <v>과 그 염류 및 그 중 하나를 1% 이상 함유한 혼합물질</v>
          </cell>
          <cell r="F1254">
            <v>1</v>
          </cell>
        </row>
        <row r="1255">
          <cell r="B1255" t="str">
            <v>7803-49-8</v>
          </cell>
          <cell r="C1255" t="str">
            <v>Hydroxylamine</v>
          </cell>
          <cell r="D1255" t="str">
            <v>97-1-411</v>
          </cell>
          <cell r="E1255" t="str">
            <v>과 그 염류 및 그 중 하나를 1% 이상 함유한 혼합물질</v>
          </cell>
          <cell r="F1255">
            <v>1</v>
          </cell>
        </row>
        <row r="1256">
          <cell r="C1256" t="str">
            <v>Hydroxylamine, salts</v>
          </cell>
          <cell r="D1256" t="str">
            <v>97-1-411</v>
          </cell>
          <cell r="E1256" t="str">
            <v>과 그 염류 및 그 중 하나를 1% 이상 함유한 혼합물질</v>
          </cell>
          <cell r="F1256">
            <v>1</v>
          </cell>
        </row>
        <row r="1257">
          <cell r="B1257" t="str">
            <v>612-52-2</v>
          </cell>
          <cell r="C1257" t="str">
            <v>2-Naphthylammonium chloride</v>
          </cell>
          <cell r="D1257" t="str">
            <v>97-1-412</v>
          </cell>
          <cell r="E1257" t="str">
            <v>및 그 중 하나를 0.1% 이상 함유한 혼합물질</v>
          </cell>
          <cell r="F1257">
            <v>0.1</v>
          </cell>
        </row>
        <row r="1258">
          <cell r="B1258" t="str">
            <v>91-59-8</v>
          </cell>
          <cell r="C1258" t="str">
            <v>2-Naphthylamine</v>
          </cell>
          <cell r="D1258" t="str">
            <v>97-1-412</v>
          </cell>
          <cell r="E1258" t="str">
            <v>및 그 중 하나를 0.1% 이상 함유한 혼합물질</v>
          </cell>
          <cell r="F1258">
            <v>0.1</v>
          </cell>
        </row>
        <row r="1259">
          <cell r="B1259" t="str">
            <v>94-75-7</v>
          </cell>
          <cell r="C1259" t="str">
            <v>Acetic acid, (2,4-dichlorophenoxy)- ; 2,4-D</v>
          </cell>
          <cell r="D1259" t="str">
            <v>97-1-413</v>
          </cell>
          <cell r="E1259" t="str">
            <v>및 이를 25% 이상 함유한 혼합물질</v>
          </cell>
          <cell r="F1259">
            <v>25</v>
          </cell>
        </row>
        <row r="1260">
          <cell r="B1260" t="str">
            <v>97-02-9</v>
          </cell>
          <cell r="C1260" t="str">
            <v>2,4-Dinitroaniline</v>
          </cell>
          <cell r="D1260" t="str">
            <v>97-1-414</v>
          </cell>
          <cell r="E1260" t="str">
            <v>및 이를 1.0% 이상 함유한 혼합물질</v>
          </cell>
          <cell r="F1260">
            <v>1</v>
          </cell>
        </row>
        <row r="1261">
          <cell r="B1261" t="str">
            <v>51-28-5</v>
          </cell>
          <cell r="C1261" t="str">
            <v>2,4-Dinitrophenol</v>
          </cell>
          <cell r="D1261" t="str">
            <v>97-1-415</v>
          </cell>
          <cell r="E1261" t="str">
            <v>및 이를 25% 이상 함유한 혼합물질</v>
          </cell>
          <cell r="F1261">
            <v>25</v>
          </cell>
        </row>
        <row r="1262">
          <cell r="B1262" t="str">
            <v>793-24-8</v>
          </cell>
          <cell r="C1262" t="str">
            <v>N-(1,3-Dimethylbutyl)-N´-phenyl-1,4-phenylendiamine</v>
          </cell>
          <cell r="D1262" t="str">
            <v>97-1-416</v>
          </cell>
          <cell r="E1262" t="str">
            <v>및 이를 25% 이상 함유한 혼합물질</v>
          </cell>
          <cell r="F1262">
            <v>25</v>
          </cell>
        </row>
        <row r="1263">
          <cell r="B1263" t="str">
            <v>150-70-9</v>
          </cell>
          <cell r="C1263" t="str">
            <v>p-Dimethylaminobenzenediazo sulfonate</v>
          </cell>
          <cell r="D1263" t="str">
            <v>97-1-417</v>
          </cell>
          <cell r="E1263" t="str">
            <v>및 그 중 하나를 1% 이상 함유한 혼합물질</v>
          </cell>
          <cell r="F1263">
            <v>1</v>
          </cell>
        </row>
        <row r="1264">
          <cell r="B1264" t="str">
            <v>106-93-4</v>
          </cell>
          <cell r="C1264" t="str">
            <v>1,2-Dibromoethane</v>
          </cell>
          <cell r="D1264" t="str">
            <v>97-1-418</v>
          </cell>
          <cell r="E1264" t="str">
            <v>및 이를 0.1% 이상 함유한 혼합물질</v>
          </cell>
          <cell r="F1264">
            <v>0.1</v>
          </cell>
        </row>
        <row r="1265">
          <cell r="B1265" t="str">
            <v>96-12-8</v>
          </cell>
          <cell r="C1265" t="str">
            <v>1,2-Dibromo-3-chloropropane</v>
          </cell>
          <cell r="D1265" t="str">
            <v>97-1-419</v>
          </cell>
          <cell r="E1265" t="str">
            <v>및 이를 0.1% 이상 함유한 혼합물질</v>
          </cell>
          <cell r="F1265">
            <v>0.1</v>
          </cell>
        </row>
        <row r="1266">
          <cell r="B1266" t="str">
            <v>3811-49-2</v>
          </cell>
          <cell r="C1266" t="str">
            <v>Dioxabenzofos</v>
          </cell>
          <cell r="D1266" t="str">
            <v>97-1-42</v>
          </cell>
          <cell r="E1266" t="str">
            <v>및 이를 1% 이상 함유한 혼합물질</v>
          </cell>
          <cell r="F1266">
            <v>1</v>
          </cell>
        </row>
        <row r="1267">
          <cell r="B1267" t="str">
            <v>4554-16-9</v>
          </cell>
          <cell r="C1267" t="str">
            <v>2,3-Dibromopropanenitrile</v>
          </cell>
          <cell r="D1267" t="str">
            <v>97-1-420</v>
          </cell>
          <cell r="E1267" t="str">
            <v>및 이를 1% 이상 함유한 혼합물질</v>
          </cell>
          <cell r="F1267">
            <v>1</v>
          </cell>
        </row>
        <row r="1268">
          <cell r="B1268" t="str">
            <v>869-29-4</v>
          </cell>
          <cell r="C1268" t="str">
            <v>3,3-Diacetoxy-1-pro-pene</v>
          </cell>
          <cell r="D1268" t="str">
            <v>97-1-421</v>
          </cell>
          <cell r="E1268" t="str">
            <v>및 이를 1% 이상 함유한 혼합물질</v>
          </cell>
          <cell r="F1268">
            <v>1</v>
          </cell>
        </row>
        <row r="1269">
          <cell r="B1269" t="str">
            <v>122431-24-7</v>
          </cell>
          <cell r="C1269" t="str">
            <v>O,O-Diethyl O-1-phenyl-3-trifluoromethylpyrazol-5-ylphosphorothioate</v>
          </cell>
          <cell r="D1269" t="str">
            <v>97-1-422</v>
          </cell>
          <cell r="E1269" t="str">
            <v>및 이를 25% 이상 함유한 혼합물질</v>
          </cell>
          <cell r="F1269">
            <v>25</v>
          </cell>
        </row>
        <row r="1270">
          <cell r="B1270" t="str">
            <v>101-68-8</v>
          </cell>
          <cell r="C1270" t="str">
            <v>Diphenyl methane diisocyanate ; 4,4'-Methylenediphenyldiisocyanate</v>
          </cell>
          <cell r="D1270" t="str">
            <v>97-1-423</v>
          </cell>
          <cell r="E1270" t="str">
            <v>및 이를 25% 이상 함유한 혼합물질</v>
          </cell>
          <cell r="F1270">
            <v>25</v>
          </cell>
        </row>
        <row r="1271">
          <cell r="B1271" t="str">
            <v>594-72-9</v>
          </cell>
          <cell r="C1271" t="str">
            <v>1,1-Dichloro-1-nitroethane</v>
          </cell>
          <cell r="D1271" t="str">
            <v>97-1-424</v>
          </cell>
          <cell r="E1271" t="str">
            <v>및 이를 1% 이상 함유한 혼합물질</v>
          </cell>
          <cell r="F1271">
            <v>1</v>
          </cell>
        </row>
        <row r="1272">
          <cell r="B1272" t="str">
            <v>609-89-2</v>
          </cell>
          <cell r="C1272" t="str">
            <v>2,4-Dichloro-6-nitrophenol</v>
          </cell>
          <cell r="D1272" t="str">
            <v>97-1-425</v>
          </cell>
          <cell r="E1272" t="str">
            <v>및 그 중 하나를 1% 이상 함유한 혼합물질</v>
          </cell>
          <cell r="F1272">
            <v>1</v>
          </cell>
        </row>
        <row r="1273">
          <cell r="C1273" t="str">
            <v>2,4-Dichloro-6-nitrophenol, salts</v>
          </cell>
          <cell r="D1273" t="str">
            <v>97-1-425</v>
          </cell>
          <cell r="E1273" t="str">
            <v>및 그 중 하나를 1% 이상 함유한 혼합물질</v>
          </cell>
          <cell r="F1273">
            <v>1</v>
          </cell>
        </row>
        <row r="1274">
          <cell r="B1274" t="str">
            <v>172343-40-7</v>
          </cell>
          <cell r="C1274" t="str">
            <v>Sodium 4-(2,4 -Dichloro-3-methylbenzoyl)-1,3-di-dimethyl-5-pyrazolate</v>
          </cell>
          <cell r="D1274" t="str">
            <v>97-1-426</v>
          </cell>
          <cell r="E1274" t="str">
            <v>및 이를 25% 이상 함유한 혼합물질</v>
          </cell>
          <cell r="F1274">
            <v>25</v>
          </cell>
        </row>
        <row r="1275">
          <cell r="B1275" t="str">
            <v>96-23-1</v>
          </cell>
          <cell r="C1275" t="str">
            <v>1,3-Dichloro-2-propanol</v>
          </cell>
          <cell r="D1275" t="str">
            <v>97-1-427</v>
          </cell>
          <cell r="E1275" t="str">
            <v>및 이를 0.1% 이상 함유한 혼합물질</v>
          </cell>
          <cell r="F1275">
            <v>0.1</v>
          </cell>
        </row>
        <row r="1276">
          <cell r="B1276" t="str">
            <v>10061-02-6</v>
          </cell>
          <cell r="C1276" t="str">
            <v>(E)-1,3-Dichloroprop-1-ene</v>
          </cell>
          <cell r="D1276" t="str">
            <v>97-1-428</v>
          </cell>
          <cell r="E1276" t="str">
            <v>및 이를 1.0% 이상 함유한 혼합물질</v>
          </cell>
          <cell r="F1276">
            <v>1</v>
          </cell>
        </row>
        <row r="1277">
          <cell r="B1277" t="str">
            <v>542-75-6</v>
          </cell>
          <cell r="C1277" t="str">
            <v>1,3-Dichloropropene</v>
          </cell>
          <cell r="D1277" t="str">
            <v>97-1-428</v>
          </cell>
          <cell r="E1277" t="str">
            <v>및 이를 1.0% 이상 함유한 혼합물질</v>
          </cell>
          <cell r="F1277">
            <v>1</v>
          </cell>
        </row>
        <row r="1278">
          <cell r="B1278" t="str">
            <v>6988-21-2</v>
          </cell>
          <cell r="C1278" t="str">
            <v>Dioxacarb</v>
          </cell>
          <cell r="D1278" t="str">
            <v>97-1-43</v>
          </cell>
          <cell r="E1278" t="str">
            <v>및 이를 1% 이상 함유한 혼합물질</v>
          </cell>
          <cell r="F1278">
            <v>1</v>
          </cell>
        </row>
        <row r="1279">
          <cell r="B1279" t="str">
            <v>553-26-4</v>
          </cell>
          <cell r="C1279" t="str">
            <v>4,4-Dipyridyl</v>
          </cell>
          <cell r="D1279" t="str">
            <v>97-1-430</v>
          </cell>
          <cell r="E1279" t="str">
            <v>및 이를 25% 이상 함유한 혼합물질</v>
          </cell>
          <cell r="F1279">
            <v>25</v>
          </cell>
        </row>
        <row r="1280">
          <cell r="B1280" t="str">
            <v>62262-84-4</v>
          </cell>
          <cell r="C1280" t="str">
            <v>4-Mercaptophenyl methane sulfonate</v>
          </cell>
          <cell r="D1280" t="str">
            <v>97-1-431</v>
          </cell>
          <cell r="E1280" t="str">
            <v>및 이를 25% 이상 함유한 혼합물질</v>
          </cell>
          <cell r="F1280">
            <v>25</v>
          </cell>
        </row>
        <row r="1281">
          <cell r="B1281" t="str">
            <v>5124-30-1</v>
          </cell>
          <cell r="C1281" t="str">
            <v>1,1'-Methylenebis[4-isocyanatocyclohexane] ; 4,4'-Methylenedicyclohexyl diisocyanate</v>
          </cell>
          <cell r="D1281" t="str">
            <v>97-1-432</v>
          </cell>
          <cell r="E1281" t="str">
            <v>및 이를 25% 이상 함유한 혼합물질</v>
          </cell>
          <cell r="F1281">
            <v>25</v>
          </cell>
        </row>
        <row r="1282">
          <cell r="B1282" t="str">
            <v>78-82-0</v>
          </cell>
          <cell r="C1282" t="str">
            <v>2-Methylpropanenitrile</v>
          </cell>
          <cell r="D1282" t="str">
            <v>97-1-433</v>
          </cell>
          <cell r="E1282" t="str">
            <v>및 이를 25% 이상 함유한 혼합물질</v>
          </cell>
          <cell r="F1282">
            <v>25</v>
          </cell>
        </row>
        <row r="1283">
          <cell r="B1283" t="str">
            <v>106-51-4</v>
          </cell>
          <cell r="C1283" t="str">
            <v>2,5-Cyclohexadiene-1,4-dione</v>
          </cell>
          <cell r="D1283" t="str">
            <v>97-1-434</v>
          </cell>
          <cell r="E1283" t="str">
            <v>및 이를 1% 이상 함유한 혼합물질</v>
          </cell>
          <cell r="F1283">
            <v>1</v>
          </cell>
        </row>
        <row r="1284">
          <cell r="B1284" t="str">
            <v>110-65-6</v>
          </cell>
          <cell r="C1284" t="str">
            <v>2-Butyne-1,4-diol</v>
          </cell>
          <cell r="D1284" t="str">
            <v>97-1-435</v>
          </cell>
          <cell r="E1284" t="str">
            <v>및 이를 25% 이상 함유한 혼합물질</v>
          </cell>
          <cell r="F1284">
            <v>25</v>
          </cell>
        </row>
        <row r="1285">
          <cell r="B1285" t="str">
            <v>4299-07-4</v>
          </cell>
          <cell r="C1285" t="str">
            <v>2-n-Butyl-benzo[d]isothiazol-3-one</v>
          </cell>
          <cell r="D1285" t="str">
            <v>97-1-436</v>
          </cell>
          <cell r="E1285" t="str">
            <v>및 이를 25% 이상 함유한 혼합물질</v>
          </cell>
          <cell r="F1285">
            <v>25</v>
          </cell>
        </row>
        <row r="1286">
          <cell r="B1286" t="str">
            <v>767-10-2</v>
          </cell>
          <cell r="C1286" t="str">
            <v>N-Butylpyrrolidine</v>
          </cell>
          <cell r="D1286" t="str">
            <v>97-1-437</v>
          </cell>
          <cell r="E1286" t="str">
            <v>및 이를 25% 이상 함유한 혼합물질</v>
          </cell>
          <cell r="F1286">
            <v>25</v>
          </cell>
        </row>
        <row r="1287">
          <cell r="B1287" t="str">
            <v>540-51-2</v>
          </cell>
          <cell r="C1287" t="str">
            <v>2-Bromoethanol</v>
          </cell>
          <cell r="D1287" t="str">
            <v>97-1-438</v>
          </cell>
          <cell r="E1287" t="str">
            <v>및 이를 25% 이상 함유한 혼합물질</v>
          </cell>
          <cell r="F1287">
            <v>25</v>
          </cell>
        </row>
        <row r="1288">
          <cell r="B1288" t="str">
            <v>107-04-0</v>
          </cell>
          <cell r="C1288" t="str">
            <v>1-Bromo-2-chloroethane</v>
          </cell>
          <cell r="D1288" t="str">
            <v>97-1-439</v>
          </cell>
          <cell r="E1288" t="str">
            <v>및 이를 25% 이상 함유한 혼합물질</v>
          </cell>
          <cell r="F1288">
            <v>25</v>
          </cell>
        </row>
        <row r="1289">
          <cell r="B1289" t="str">
            <v>78-34-2</v>
          </cell>
          <cell r="C1289" t="str">
            <v>Dioxathion</v>
          </cell>
          <cell r="D1289" t="str">
            <v>97-1-44</v>
          </cell>
          <cell r="E1289" t="str">
            <v>및 이를 1% 이상 함유한 혼합물질</v>
          </cell>
          <cell r="F1289">
            <v>1</v>
          </cell>
        </row>
        <row r="1290">
          <cell r="B1290" t="str">
            <v>122453-73-0</v>
          </cell>
          <cell r="C1290" t="str">
            <v>4-Bromo-2-(4-chloro phenyl)-1-(ethoxymethyl)-5-(trifluoromethyl)pyrrole-3-carbonitrile</v>
          </cell>
          <cell r="D1290" t="str">
            <v>97-1-440</v>
          </cell>
          <cell r="E1290" t="str">
            <v>및 이를 25% 이상 함유한 혼합물질</v>
          </cell>
          <cell r="F1290">
            <v>25</v>
          </cell>
        </row>
        <row r="1291">
          <cell r="B1291" t="str">
            <v>100-69-6</v>
          </cell>
          <cell r="C1291" t="str">
            <v>2-Vinylpyridine</v>
          </cell>
          <cell r="D1291" t="str">
            <v>97-1-441</v>
          </cell>
          <cell r="E1291" t="str">
            <v>및 이를 25% 이상 함유한 혼합물질</v>
          </cell>
          <cell r="F1291">
            <v>25</v>
          </cell>
        </row>
        <row r="1292">
          <cell r="B1292" t="str">
            <v>100-43-6</v>
          </cell>
          <cell r="C1292" t="str">
            <v>4-vinylpyridine</v>
          </cell>
          <cell r="D1292" t="str">
            <v>97-1-442</v>
          </cell>
          <cell r="E1292" t="str">
            <v>및 이를 25% 이상 함유한 혼합물질</v>
          </cell>
          <cell r="F1292">
            <v>25</v>
          </cell>
        </row>
        <row r="1293">
          <cell r="B1293" t="str">
            <v>10563-26-5</v>
          </cell>
          <cell r="C1293" t="str">
            <v>N,N'-Bis(3-aminopropyl)-1,2-ethane diamin</v>
          </cell>
          <cell r="D1293" t="str">
            <v>97-1-443</v>
          </cell>
          <cell r="E1293" t="str">
            <v>및 이를 25% 이상 함유한 혼합물질</v>
          </cell>
          <cell r="F1293">
            <v>25</v>
          </cell>
        </row>
        <row r="1294">
          <cell r="B1294" t="str">
            <v>91273-04-0</v>
          </cell>
          <cell r="C1294" t="str">
            <v>N,N-Bis(2-ethyl hexyl)-[(1,2,4-triazol-1-yl)methyl]amine</v>
          </cell>
          <cell r="D1294" t="str">
            <v>97-1-444</v>
          </cell>
          <cell r="E1294" t="str">
            <v>및 이를 1% 이상 함유한 혼합물질</v>
          </cell>
          <cell r="F1294">
            <v>1</v>
          </cell>
        </row>
        <row r="1295">
          <cell r="B1295" t="str">
            <v>92-67-1</v>
          </cell>
          <cell r="C1295" t="str">
            <v>4-Aminobiphenyl</v>
          </cell>
          <cell r="D1295" t="str">
            <v>97-1-445</v>
          </cell>
          <cell r="E1295" t="str">
            <v>및 이를 0.1% 이상 함유한 혼합물질</v>
          </cell>
          <cell r="F1295">
            <v>0.1</v>
          </cell>
        </row>
        <row r="1296">
          <cell r="B1296" t="str">
            <v>2113-61-3</v>
          </cell>
          <cell r="C1296" t="str">
            <v>4-Aminobiphenyl hydrochloride</v>
          </cell>
          <cell r="D1296" t="str">
            <v>97-1-446</v>
          </cell>
          <cell r="E1296" t="str">
            <v>및 이를 0.1% 이상 함유한 혼합물질</v>
          </cell>
          <cell r="F1296">
            <v>0.1</v>
          </cell>
        </row>
        <row r="1297">
          <cell r="B1297" t="str">
            <v>60-09-3</v>
          </cell>
          <cell r="C1297" t="str">
            <v>p-Aminoazobenzene</v>
          </cell>
          <cell r="D1297" t="str">
            <v>97-1-447</v>
          </cell>
          <cell r="E1297" t="str">
            <v>및 이를 0.1% 이상 함유한 혼합물질</v>
          </cell>
          <cell r="F1297">
            <v>0.1</v>
          </cell>
        </row>
        <row r="1298">
          <cell r="B1298" t="str">
            <v>108-42-9</v>
          </cell>
          <cell r="C1298" t="str">
            <v>m-Aminochlorobenzene</v>
          </cell>
          <cell r="D1298" t="str">
            <v>97-1-448</v>
          </cell>
          <cell r="E1298" t="str">
            <v>및 이를 25% 이상 함유한 혼합물질</v>
          </cell>
          <cell r="F1298">
            <v>25</v>
          </cell>
        </row>
        <row r="1299">
          <cell r="B1299" t="str">
            <v>504-24-5</v>
          </cell>
          <cell r="C1299" t="str">
            <v>4-Aminopyridine</v>
          </cell>
          <cell r="D1299" t="str">
            <v>97-1-449</v>
          </cell>
          <cell r="E1299" t="str">
            <v>및 이를 25% 이상 함유한 혼합물질</v>
          </cell>
          <cell r="F1299">
            <v>25</v>
          </cell>
        </row>
        <row r="1300">
          <cell r="B1300" t="str">
            <v>4098-71-9</v>
          </cell>
          <cell r="C1300" t="str">
            <v>3-Isocyanatomethyl-3,5,5-trimethylcyclohexylisocyanate ; Isophorone diisocyanate</v>
          </cell>
          <cell r="D1300" t="str">
            <v>97-1-45</v>
          </cell>
          <cell r="E1300" t="str">
            <v>및 이를 25% 이상 함유한 혼합물질</v>
          </cell>
          <cell r="F1300">
            <v>25</v>
          </cell>
        </row>
        <row r="1301">
          <cell r="C1301" t="str">
            <v>Amine,tert-alkyl(C=12-14),1-amino-9,10-dihydro-9,10-dioxo-4-(2,4,6-trimethylanilino)-anthracene-2-sulfonic acid</v>
          </cell>
          <cell r="D1301" t="str">
            <v>97-1-450</v>
          </cell>
          <cell r="E1301" t="str">
            <v>및 이를 25% 이상 함유한 혼합물질</v>
          </cell>
          <cell r="F1301">
            <v>25</v>
          </cell>
        </row>
        <row r="1302">
          <cell r="B1302" t="str">
            <v>609-72-3</v>
          </cell>
          <cell r="C1302" t="str">
            <v>N,N,2-Trimethylbenzenamine</v>
          </cell>
          <cell r="D1302" t="str">
            <v>97-1-451</v>
          </cell>
          <cell r="E1302" t="str">
            <v>및 그 염류를 25% 이상 함유한 혼합물질</v>
          </cell>
          <cell r="F1302">
            <v>25</v>
          </cell>
        </row>
        <row r="1303">
          <cell r="B1303" t="str">
            <v>611-21-2</v>
          </cell>
          <cell r="C1303" t="str">
            <v>N-Methyl-o-toluidine</v>
          </cell>
          <cell r="D1303" t="str">
            <v>97-1-451</v>
          </cell>
          <cell r="E1303" t="str">
            <v>및 그 염류를 25% 이상 함유한 혼합물질</v>
          </cell>
          <cell r="F1303">
            <v>25</v>
          </cell>
        </row>
        <row r="1304">
          <cell r="B1304" t="str">
            <v>613-48-9</v>
          </cell>
          <cell r="C1304" t="str">
            <v>N,N-Diethyl-4-methylbenzenamine</v>
          </cell>
          <cell r="D1304" t="str">
            <v>97-1-451</v>
          </cell>
          <cell r="E1304" t="str">
            <v>및 그 염류를 25% 이상 함유한 혼합물질</v>
          </cell>
          <cell r="F1304">
            <v>25</v>
          </cell>
        </row>
        <row r="1305">
          <cell r="B1305" t="str">
            <v>622-57-1</v>
          </cell>
          <cell r="C1305" t="str">
            <v>N-Ethyl-4-methylbenzeneamine ; N-Ethyl-p-toluidine</v>
          </cell>
          <cell r="D1305" t="str">
            <v>97-1-451</v>
          </cell>
          <cell r="E1305" t="str">
            <v>및 그 염류를 25% 이상 함유한 혼합물질</v>
          </cell>
          <cell r="F1305">
            <v>25</v>
          </cell>
        </row>
        <row r="1306">
          <cell r="B1306" t="str">
            <v>623-08-5</v>
          </cell>
          <cell r="C1306" t="str">
            <v>N-Methyl-p-toluidine</v>
          </cell>
          <cell r="D1306" t="str">
            <v>97-1-451</v>
          </cell>
          <cell r="E1306" t="str">
            <v>및 그 염류를 25% 이상 함유한 혼합물질</v>
          </cell>
          <cell r="F1306">
            <v>25</v>
          </cell>
        </row>
        <row r="1307">
          <cell r="B1307" t="str">
            <v>696-44-6</v>
          </cell>
          <cell r="C1307" t="str">
            <v>N-Methyl-m-toluidine</v>
          </cell>
          <cell r="D1307" t="str">
            <v>97-1-451</v>
          </cell>
          <cell r="E1307" t="str">
            <v>및 그 염류를 25% 이상 함유한 혼합물질</v>
          </cell>
          <cell r="F1307">
            <v>25</v>
          </cell>
        </row>
        <row r="1308">
          <cell r="B1308" t="str">
            <v>91-67-8</v>
          </cell>
          <cell r="C1308" t="str">
            <v>N,N-Diethyl-m-toluidine</v>
          </cell>
          <cell r="D1308" t="str">
            <v>97-1-451</v>
          </cell>
          <cell r="E1308" t="str">
            <v>및 그 염류를 25% 이상 함유한 혼합물질</v>
          </cell>
          <cell r="F1308">
            <v>25</v>
          </cell>
        </row>
        <row r="1309">
          <cell r="B1309" t="str">
            <v>99-97-8</v>
          </cell>
          <cell r="C1309" t="str">
            <v>N,N,4-Trimethylbenzenamine</v>
          </cell>
          <cell r="D1309" t="str">
            <v>97-1-451</v>
          </cell>
          <cell r="E1309" t="str">
            <v>및 그 염류를 25% 이상 함유한 혼합물질</v>
          </cell>
          <cell r="F1309">
            <v>25</v>
          </cell>
        </row>
        <row r="1310">
          <cell r="C1310" t="str">
            <v>N-Alkyl toluidine</v>
          </cell>
          <cell r="D1310" t="str">
            <v>97-1-451</v>
          </cell>
          <cell r="E1310" t="str">
            <v>및 그 염류를 25% 이상 함유한 혼합물질</v>
          </cell>
          <cell r="F1310">
            <v>25</v>
          </cell>
        </row>
        <row r="1311">
          <cell r="C1311" t="str">
            <v>N-Alkyl toluidine, salts</v>
          </cell>
          <cell r="D1311" t="str">
            <v>97-1-451</v>
          </cell>
          <cell r="E1311" t="str">
            <v>및 그 염류를 25% 이상 함유한 혼합물질</v>
          </cell>
          <cell r="F1311">
            <v>25</v>
          </cell>
        </row>
        <row r="1312">
          <cell r="B1312" t="str">
            <v>6291-85-6</v>
          </cell>
          <cell r="C1312" t="str">
            <v>3-Ethoxypropylamine</v>
          </cell>
          <cell r="D1312" t="str">
            <v>97-1-452</v>
          </cell>
          <cell r="E1312" t="str">
            <v>및 이를 25% 이상 함유한 혼합물질</v>
          </cell>
          <cell r="F1312">
            <v>25</v>
          </cell>
        </row>
        <row r="1313">
          <cell r="B1313" t="str">
            <v>2425-66-3</v>
          </cell>
          <cell r="C1313" t="str">
            <v>1-Chloro-2-nitropro-pane</v>
          </cell>
          <cell r="D1313" t="str">
            <v>97-1-453</v>
          </cell>
          <cell r="E1313" t="str">
            <v>및 이를 1% 이상 함유한 혼합물질</v>
          </cell>
          <cell r="F1313">
            <v>1</v>
          </cell>
        </row>
        <row r="1314">
          <cell r="B1314" t="str">
            <v>95-51-2</v>
          </cell>
          <cell r="C1314" t="str">
            <v>2-Chlorobenzeneamine</v>
          </cell>
          <cell r="D1314" t="str">
            <v>97-1-454</v>
          </cell>
          <cell r="E1314" t="str">
            <v>및 이를 25% 이상 함유한 혼합물질</v>
          </cell>
          <cell r="F1314">
            <v>25</v>
          </cell>
        </row>
        <row r="1315">
          <cell r="B1315" t="str">
            <v>107-07-3</v>
          </cell>
          <cell r="C1315" t="str">
            <v>2-Chloroethanol ; Ethylene chlorohydrin</v>
          </cell>
          <cell r="D1315" t="str">
            <v>97-1-455</v>
          </cell>
          <cell r="E1315" t="str">
            <v>및 이를 1% 이상 함유한 혼합물질</v>
          </cell>
          <cell r="F1315">
            <v>1</v>
          </cell>
        </row>
        <row r="1316">
          <cell r="B1316" t="str">
            <v>3647-69-6</v>
          </cell>
          <cell r="C1316" t="str">
            <v>4-(2-Chloroethyl)morpholine hydrochloride</v>
          </cell>
          <cell r="D1316" t="str">
            <v>97-1-456</v>
          </cell>
          <cell r="E1316" t="str">
            <v>및 이를 25% 이상 함유한 혼합물질</v>
          </cell>
          <cell r="F1316">
            <v>25</v>
          </cell>
        </row>
        <row r="1317">
          <cell r="B1317" t="str">
            <v>109-09-1</v>
          </cell>
          <cell r="C1317" t="str">
            <v>2-Chloropyridine</v>
          </cell>
          <cell r="D1317" t="str">
            <v>97-1-457</v>
          </cell>
          <cell r="E1317" t="str">
            <v>및 이를 25% 이상 함유한 혼합물질</v>
          </cell>
          <cell r="F1317">
            <v>25</v>
          </cell>
        </row>
        <row r="1318">
          <cell r="B1318" t="str">
            <v>135410-20-7</v>
          </cell>
          <cell r="C1318" t="str">
            <v>(E)-N-[(6-Chloro-3-pyridyl)methyl]-N-cyano-N-methylacetamidine</v>
          </cell>
          <cell r="D1318" t="str">
            <v>97-1-458</v>
          </cell>
          <cell r="E1318" t="str">
            <v>및 이를 25% 이상 함유한 혼합물질</v>
          </cell>
          <cell r="F1318">
            <v>25</v>
          </cell>
        </row>
        <row r="1319">
          <cell r="C1319" t="str">
            <v>2,2,6,6,-Tetramethyl-4-aminopiperidine reaction product with mixture of dodecyl acrylate and tetradecyl acrylate</v>
          </cell>
          <cell r="D1319" t="str">
            <v>97-1-459</v>
          </cell>
          <cell r="E1319" t="str">
            <v>및 이를 25% 이상 함유한 혼합물질</v>
          </cell>
          <cell r="F1319">
            <v>25</v>
          </cell>
        </row>
        <row r="1320">
          <cell r="B1320" t="str">
            <v>822-06-0</v>
          </cell>
          <cell r="C1320" t="str">
            <v>Hexamethylene Diisocyanate</v>
          </cell>
          <cell r="D1320" t="str">
            <v>97-1-46</v>
          </cell>
          <cell r="E1320" t="str">
            <v>및 이를 25% 이상 함유한 혼합물질</v>
          </cell>
          <cell r="F1320">
            <v>25</v>
          </cell>
        </row>
        <row r="1321">
          <cell r="B1321" t="str">
            <v>79-27-6</v>
          </cell>
          <cell r="C1321" t="str">
            <v>1,1,2,2-Tetrabromoethane ; sym-Tetrabromoethane</v>
          </cell>
          <cell r="D1321" t="str">
            <v>97-1-460</v>
          </cell>
          <cell r="E1321" t="str">
            <v>및 이를 1.0% 이상 함유한 혼합물질</v>
          </cell>
          <cell r="F1321">
            <v>1</v>
          </cell>
        </row>
        <row r="1322">
          <cell r="B1322" t="str">
            <v>20018-09-1</v>
          </cell>
          <cell r="C1322" t="str">
            <v>p-tolyl diiodomethyl sulfone</v>
          </cell>
          <cell r="D1322" t="str">
            <v>97-1-461</v>
          </cell>
          <cell r="E1322" t="str">
            <v>및 이를 1% 이상 함유한 혼합물질</v>
          </cell>
          <cell r="F1322">
            <v>1</v>
          </cell>
        </row>
        <row r="1323">
          <cell r="B1323" t="str">
            <v>78-48-8</v>
          </cell>
          <cell r="C1323" t="str">
            <v>S,S,S-Tributyl phosphorotrithioate</v>
          </cell>
          <cell r="D1323" t="str">
            <v>97-1-462</v>
          </cell>
          <cell r="E1323" t="str">
            <v>및 이를 1% 이상 함유한 혼합물질</v>
          </cell>
          <cell r="F1323">
            <v>1</v>
          </cell>
        </row>
        <row r="1324">
          <cell r="B1324" t="str">
            <v>93-76-5</v>
          </cell>
          <cell r="C1324" t="str">
            <v>2,4,5-T</v>
          </cell>
          <cell r="D1324" t="str">
            <v>97-1-463</v>
          </cell>
          <cell r="E1324" t="str">
            <v>및 이를 1% 이상 함유한 혼합물질</v>
          </cell>
          <cell r="F1324">
            <v>1</v>
          </cell>
        </row>
        <row r="1325">
          <cell r="B1325" t="str">
            <v>70750-20-8</v>
          </cell>
          <cell r="C1325" t="str">
            <v>2-Propenamide homopolymer reaction products with chloromethane, di-methylamine and formaldehyde</v>
          </cell>
          <cell r="D1325" t="str">
            <v>97-1-464</v>
          </cell>
          <cell r="E1325" t="str">
            <v>및 이를 1% 이상 함유한 혼합물질</v>
          </cell>
          <cell r="F1325">
            <v>1</v>
          </cell>
        </row>
        <row r="1326">
          <cell r="B1326" t="str">
            <v>124-02-7</v>
          </cell>
          <cell r="C1326" t="str">
            <v>N-2-Propenyl-2-pro-pen-1-amine</v>
          </cell>
          <cell r="D1326" t="str">
            <v>97-1-465</v>
          </cell>
          <cell r="E1326" t="str">
            <v>및 이를 25% 이상 함유한 혼합물질</v>
          </cell>
          <cell r="F1326">
            <v>25</v>
          </cell>
        </row>
        <row r="1327">
          <cell r="B1327" t="str">
            <v>107-19-7</v>
          </cell>
          <cell r="C1327" t="str">
            <v>2-Propyn-1-ol</v>
          </cell>
          <cell r="D1327" t="str">
            <v>97-1-466</v>
          </cell>
          <cell r="E1327" t="str">
            <v>및 이를 25% 이상 함유한 혼합물질</v>
          </cell>
          <cell r="F1327">
            <v>25</v>
          </cell>
        </row>
        <row r="1328">
          <cell r="B1328" t="str">
            <v>27083-27-8</v>
          </cell>
          <cell r="C1328" t="str">
            <v>Poly(hexamethylenebiguanide) hydrochloride; PHMB;</v>
          </cell>
          <cell r="D1328" t="str">
            <v>97-1-467</v>
          </cell>
          <cell r="E1328" t="str">
            <v>및 이를 1% 이상 함유한 혼합물질</v>
          </cell>
          <cell r="F1328">
            <v>1</v>
          </cell>
        </row>
        <row r="1329">
          <cell r="B1329" t="str">
            <v>32289-58-0</v>
          </cell>
          <cell r="C1329" t="str">
            <v>Poly(hexamethylenebiguanide) hydrochloride; PHMB;</v>
          </cell>
          <cell r="D1329" t="str">
            <v>97-1-467</v>
          </cell>
          <cell r="E1329" t="str">
            <v>및 이를 1% 이상 함유한 혼합물질</v>
          </cell>
          <cell r="F1329">
            <v>1</v>
          </cell>
        </row>
        <row r="1330">
          <cell r="B1330" t="str">
            <v>109-84-2</v>
          </cell>
          <cell r="C1330" t="str">
            <v>2-Hydrazinoethanol</v>
          </cell>
          <cell r="D1330" t="str">
            <v>97-1-468</v>
          </cell>
          <cell r="E1330" t="str">
            <v>및 그 중 하나를 1% 이상 함유한 혼합물질</v>
          </cell>
          <cell r="F1330">
            <v>1</v>
          </cell>
        </row>
        <row r="1331">
          <cell r="C1331" t="str">
            <v>2-Hydrazinoethanol, salts</v>
          </cell>
          <cell r="D1331" t="str">
            <v>97-1-468</v>
          </cell>
          <cell r="E1331" t="str">
            <v>및 그 중 하나를 1% 이상 함유한 혼합물질</v>
          </cell>
          <cell r="F1331">
            <v>1</v>
          </cell>
        </row>
        <row r="1332">
          <cell r="B1332" t="str">
            <v>30785-74-1</v>
          </cell>
          <cell r="C1332" t="str">
            <v>Disodium[3-hydroxy-4-[(2-hydroxy-1-naphthyl)azo]-1-naphthalenesulfonato(3-)[1-[[2-hydroxy-5-[(r-methoxyphenyl)azo]phenyl]azo]-2-naphtholato(2-)] chromate(2-)</v>
          </cell>
          <cell r="D1332" t="str">
            <v>97-1-469</v>
          </cell>
          <cell r="E1332" t="str">
            <v>및 이를 25% 이상 함유한 혼합물질</v>
          </cell>
          <cell r="F1332">
            <v>25</v>
          </cell>
        </row>
        <row r="1333">
          <cell r="B1333" t="str">
            <v>115-32-2</v>
          </cell>
          <cell r="C1333" t="str">
            <v>4-Chloro-α-(4-chlorophenyl)-α-(trichloromethyl)benzenemethanol ; Dicofol, Acarin, Kelthane</v>
          </cell>
          <cell r="D1333" t="str">
            <v>97-1-47</v>
          </cell>
          <cell r="E1333" t="str">
            <v>및 이를 25% 이상 함유한 혼합물질</v>
          </cell>
          <cell r="F1333">
            <v>25</v>
          </cell>
        </row>
        <row r="1334">
          <cell r="B1334" t="str">
            <v>2094-99-7</v>
          </cell>
          <cell r="C1334" t="str">
            <v>3-[(Prop-1-en-2-yl) phenyl]prop-2-yl isocyanate</v>
          </cell>
          <cell r="D1334" t="str">
            <v>97-1-470</v>
          </cell>
          <cell r="E1334" t="str">
            <v>및 이를 1% 이상 함유한 혼합물질</v>
          </cell>
          <cell r="F1334">
            <v>1</v>
          </cell>
        </row>
        <row r="1335">
          <cell r="B1335" t="str">
            <v>4759-48-2</v>
          </cell>
          <cell r="C1335" t="str">
            <v>13-cis-Retinoic acid</v>
          </cell>
          <cell r="D1335" t="str">
            <v>97-1-471</v>
          </cell>
          <cell r="E1335" t="str">
            <v>및 이를 0.1% 이상 함유한 혼합물질</v>
          </cell>
          <cell r="F1335">
            <v>0.1</v>
          </cell>
        </row>
        <row r="1336">
          <cell r="B1336" t="str">
            <v>131538-00-6</v>
          </cell>
          <cell r="C1336" t="str">
            <v>4-Mercaptomethyl-3,6-dithia-1,8-octane dithiol</v>
          </cell>
          <cell r="D1336" t="str">
            <v>97-1-472</v>
          </cell>
          <cell r="E1336" t="str">
            <v>및 이를 1% 이상 함유한 혼합물질</v>
          </cell>
          <cell r="F1336">
            <v>1</v>
          </cell>
        </row>
        <row r="1337">
          <cell r="B1337" t="str">
            <v>79538-32-2</v>
          </cell>
          <cell r="C1337" t="str">
            <v>Tefluthrin</v>
          </cell>
          <cell r="D1337" t="str">
            <v>97-1-473</v>
          </cell>
          <cell r="E1337" t="str">
            <v>및 이를 1% 이상 함유한 혼합물질</v>
          </cell>
          <cell r="F1337">
            <v>1</v>
          </cell>
        </row>
        <row r="1338">
          <cell r="B1338" t="str">
            <v>27610-48-6</v>
          </cell>
          <cell r="C1338" t="str">
            <v>1,6-Bis(2,3-epoxypropoxy)naphthalene</v>
          </cell>
          <cell r="D1338" t="str">
            <v>97-1-474</v>
          </cell>
          <cell r="E1338" t="str">
            <v>및 이를 1% 이상 함유한 혼합물질</v>
          </cell>
          <cell r="F1338">
            <v>1</v>
          </cell>
        </row>
        <row r="1339">
          <cell r="B1339" t="str">
            <v>644-97-3</v>
          </cell>
          <cell r="C1339" t="str">
            <v>Dichloro(phenyl)phosphine</v>
          </cell>
          <cell r="D1339" t="str">
            <v>97-1-475</v>
          </cell>
          <cell r="E1339" t="str">
            <v>및 이를 25% 이상 함유한 혼합물질</v>
          </cell>
          <cell r="F1339">
            <v>25</v>
          </cell>
        </row>
        <row r="1340">
          <cell r="B1340" t="str">
            <v>20893-30-5</v>
          </cell>
          <cell r="C1340" t="str">
            <v>2-Thienylacetonitrile</v>
          </cell>
          <cell r="D1340" t="str">
            <v>97-1-476</v>
          </cell>
          <cell r="E1340" t="str">
            <v>및 이를 25% 이상 함유한 혼합물질</v>
          </cell>
          <cell r="F1340">
            <v>25</v>
          </cell>
        </row>
        <row r="1341">
          <cell r="B1341" t="str">
            <v>141-66-2</v>
          </cell>
          <cell r="C1341" t="str">
            <v>Dicrotophos</v>
          </cell>
          <cell r="D1341" t="str">
            <v>97-1-48</v>
          </cell>
          <cell r="E1341" t="str">
            <v>및 이를 1% 이상 함유한 혼합물질</v>
          </cell>
          <cell r="F1341">
            <v>1</v>
          </cell>
        </row>
        <row r="1342">
          <cell r="B1342" t="str">
            <v>79-43-6</v>
          </cell>
          <cell r="C1342" t="str">
            <v>Dichloroacetic acid ; DCA</v>
          </cell>
          <cell r="D1342" t="str">
            <v>97-1-49</v>
          </cell>
          <cell r="E1342" t="str">
            <v>및 이를 25% 이상 함유한 혼합물질</v>
          </cell>
          <cell r="F1342">
            <v>25</v>
          </cell>
        </row>
        <row r="1343">
          <cell r="B1343" t="str">
            <v>111-30-8</v>
          </cell>
          <cell r="C1343" t="str">
            <v>Glutaraldehyde</v>
          </cell>
          <cell r="D1343" t="str">
            <v>97-1-5</v>
          </cell>
          <cell r="E1343" t="str">
            <v>및 이를 25% 이상 함유한 혼합물질</v>
          </cell>
          <cell r="F1343">
            <v>25</v>
          </cell>
        </row>
        <row r="1344">
          <cell r="B1344" t="str">
            <v>62-73-7</v>
          </cell>
          <cell r="C1344" t="str">
            <v>Phosphoric acid 2,2-dichloroethenyl dimethyl ester ; 2,2-Dichlorovinyl dimethyl phosphate, DDVP, Dichlorovos</v>
          </cell>
          <cell r="D1344" t="str">
            <v>97-1-50</v>
          </cell>
          <cell r="E1344" t="str">
            <v>및 이를 0.1% 이상 함유한 혼합물질</v>
          </cell>
          <cell r="F1344">
            <v>0.1</v>
          </cell>
        </row>
        <row r="1345">
          <cell r="B1345" t="str">
            <v>97-17-6</v>
          </cell>
          <cell r="C1345" t="str">
            <v>Dichlofenthion</v>
          </cell>
          <cell r="D1345" t="str">
            <v>97-1-51</v>
          </cell>
          <cell r="E1345" t="str">
            <v>및 이를 3% 이상 함유한 혼합물질</v>
          </cell>
          <cell r="F1345">
            <v>3</v>
          </cell>
        </row>
        <row r="1346">
          <cell r="B1346" t="str">
            <v>3347-22-6</v>
          </cell>
          <cell r="C1346" t="str">
            <v>5,10-Dihydro-5,10-dioxonaphtho[2,3-b]-1,4-dithiin-2,3-dicarbonitrile ; 2,3-Dicyano-1,4-dithiaanthraquinone, Dithianone</v>
          </cell>
          <cell r="D1346" t="str">
            <v>97-1-52</v>
          </cell>
          <cell r="E1346" t="str">
            <v>및 이를 25% 이상 함유한 혼합물질</v>
          </cell>
          <cell r="F1346">
            <v>25</v>
          </cell>
        </row>
        <row r="1347">
          <cell r="B1347" t="str">
            <v>97886-45-8</v>
          </cell>
          <cell r="C1347" t="str">
            <v>S,S'-Dimethyl 2-difluoromethyl-4-isobutyl-6-trifluoromethylpyridine-3,5-dicarbothioate ; Dithiopyr</v>
          </cell>
          <cell r="D1347" t="str">
            <v>97-1-53</v>
          </cell>
          <cell r="E1347" t="str">
            <v>및 이를 25% 이상 함유한 혼합물질</v>
          </cell>
          <cell r="F1347">
            <v>25</v>
          </cell>
        </row>
        <row r="1348">
          <cell r="B1348" t="str">
            <v>82-66-6</v>
          </cell>
          <cell r="C1348" t="str">
            <v>Diphacinone</v>
          </cell>
          <cell r="D1348" t="str">
            <v>97-1-54</v>
          </cell>
          <cell r="E1348" t="str">
            <v>및 이를 1% 이상 함유한 혼합물질</v>
          </cell>
          <cell r="F1348">
            <v>1</v>
          </cell>
        </row>
        <row r="1349">
          <cell r="B1349" t="str">
            <v>56073-07-5</v>
          </cell>
          <cell r="C1349" t="str">
            <v>Difenacoum</v>
          </cell>
          <cell r="D1349" t="str">
            <v>97-1-55</v>
          </cell>
          <cell r="E1349" t="str">
            <v>및 이를 1% 이상 함유한 혼합물질</v>
          </cell>
          <cell r="F1349">
            <v>1</v>
          </cell>
        </row>
        <row r="1350">
          <cell r="B1350" t="str">
            <v>119446-68-3</v>
          </cell>
          <cell r="C1350" t="str">
            <v>Difenoconazole ; cis,trans-3-Chloro-4-[4-methyl-2-(1H-1,2,4-triazol-1-ylmethyl)-1,3-dioxolan-2-yl]phenyl 4-chlorophenyl ether</v>
          </cell>
          <cell r="D1350" t="str">
            <v>97-1-56</v>
          </cell>
          <cell r="E1350" t="str">
            <v>및 이를 25% 이상 함유한 혼합물질</v>
          </cell>
          <cell r="F1350">
            <v>25</v>
          </cell>
        </row>
        <row r="1351">
          <cell r="B1351" t="str">
            <v>25999-31-9</v>
          </cell>
          <cell r="C1351" t="str">
            <v>Lasalocid</v>
          </cell>
          <cell r="D1351" t="str">
            <v>97-1-57</v>
          </cell>
          <cell r="E1351" t="str">
            <v>및 이를 2% 이상 함유한 혼합물질</v>
          </cell>
          <cell r="F1351">
            <v>2</v>
          </cell>
        </row>
        <row r="1352">
          <cell r="C1352" t="str">
            <v>Lasalocid, salts</v>
          </cell>
          <cell r="D1352" t="str">
            <v>97-1-57</v>
          </cell>
          <cell r="E1352" t="str">
            <v>및 이를 2% 이상 함유한 혼합물질</v>
          </cell>
          <cell r="F1352">
            <v>2</v>
          </cell>
        </row>
        <row r="1353">
          <cell r="B1353" t="str">
            <v>10453-86-8</v>
          </cell>
          <cell r="C1353" t="str">
            <v>2,2-Dimethyl-3-(2-methyl-1-propenyl)cyclopropanecarboxylic acid [5-(phenylmethyl)-3-furanyl]methyl ester</v>
          </cell>
          <cell r="D1353" t="str">
            <v>97-1-58</v>
          </cell>
          <cell r="E1353" t="str">
            <v>및 이를 1% 이상 함유한 혼합물질</v>
          </cell>
          <cell r="F1353">
            <v>1</v>
          </cell>
        </row>
        <row r="1354">
          <cell r="B1354" t="str">
            <v>21609-90-5</v>
          </cell>
          <cell r="C1354" t="str">
            <v>Leptophos</v>
          </cell>
          <cell r="D1354" t="str">
            <v>97-1-59</v>
          </cell>
          <cell r="E1354" t="str">
            <v>및 이를 1% 이상 함유한 혼합물질</v>
          </cell>
          <cell r="F1354">
            <v>1</v>
          </cell>
        </row>
        <row r="1355">
          <cell r="B1355" t="str">
            <v>106-90-1</v>
          </cell>
          <cell r="C1355" t="str">
            <v>Glycidyl acrylate</v>
          </cell>
          <cell r="D1355" t="str">
            <v>97-1-6</v>
          </cell>
          <cell r="E1355" t="str">
            <v>및 이를 25% 이상 함유한 혼합물질</v>
          </cell>
          <cell r="F1355">
            <v>25</v>
          </cell>
        </row>
        <row r="1356">
          <cell r="B1356" t="str">
            <v>83-79-4</v>
          </cell>
          <cell r="C1356" t="str">
            <v>Rotenone</v>
          </cell>
          <cell r="D1356" t="str">
            <v>97-1-60</v>
          </cell>
          <cell r="E1356" t="str">
            <v>및 이를 2% 이상 함유한 혼합물질</v>
          </cell>
          <cell r="F1356">
            <v>2</v>
          </cell>
        </row>
        <row r="1357">
          <cell r="B1357" t="str">
            <v>330-55-2</v>
          </cell>
          <cell r="C1357" t="str">
            <v>3-(3',4'-Dichlorophenyl)-1-methoxy-1-methylurea ; N""-(3,4-Dichlorophenyl)-N-methoxy-N-methylurea, Linuron, Afalon</v>
          </cell>
          <cell r="D1357" t="str">
            <v>97-1-61</v>
          </cell>
          <cell r="E1357" t="str">
            <v>및 이를 25% 이상 함유한 혼합물질</v>
          </cell>
          <cell r="F1357">
            <v>25</v>
          </cell>
        </row>
        <row r="1358">
          <cell r="B1358" t="str">
            <v>319-84-6</v>
          </cell>
          <cell r="C1358" t="str">
            <v>α-HCH</v>
          </cell>
          <cell r="D1358" t="str">
            <v>97-1-62</v>
          </cell>
          <cell r="E1358" t="str">
            <v>및 이를 1.5% 이상 함유한 혼합물질</v>
          </cell>
          <cell r="F1358">
            <v>1.5</v>
          </cell>
        </row>
        <row r="1359">
          <cell r="B1359" t="str">
            <v>319-85-7</v>
          </cell>
          <cell r="C1359" t="str">
            <v>β-HCH</v>
          </cell>
          <cell r="D1359" t="str">
            <v>97-1-62</v>
          </cell>
          <cell r="E1359" t="str">
            <v>및 이를 1.5% 이상 함유한 혼합물질</v>
          </cell>
          <cell r="F1359">
            <v>1.5</v>
          </cell>
        </row>
        <row r="1360">
          <cell r="B1360" t="str">
            <v>319-86-8</v>
          </cell>
          <cell r="C1360" t="str">
            <v>δ-HCH</v>
          </cell>
          <cell r="D1360" t="str">
            <v>97-1-62</v>
          </cell>
          <cell r="E1360" t="str">
            <v>및 이를 1.5% 이상 함유한 혼합물질</v>
          </cell>
          <cell r="F1360">
            <v>1.5</v>
          </cell>
        </row>
        <row r="1361">
          <cell r="B1361" t="str">
            <v>58-89-9</v>
          </cell>
          <cell r="C1361" t="str">
            <v>1,2,3,4,5,6-Hexachlorocyclohexane</v>
          </cell>
          <cell r="D1361" t="str">
            <v>97-1-62</v>
          </cell>
          <cell r="E1361" t="str">
            <v>및 이를 1.5% 이상 함유한 혼합물질</v>
          </cell>
          <cell r="F1361">
            <v>1.5</v>
          </cell>
        </row>
        <row r="1362">
          <cell r="B1362" t="str">
            <v>608-73-1</v>
          </cell>
          <cell r="C1362" t="str">
            <v>HCH</v>
          </cell>
          <cell r="D1362" t="str">
            <v>97-1-62</v>
          </cell>
          <cell r="E1362" t="str">
            <v>및 이를 1.5% 이상 함유한 혼합물질</v>
          </cell>
          <cell r="F1362">
            <v>1.5</v>
          </cell>
        </row>
        <row r="1363">
          <cell r="B1363" t="str">
            <v>6108-10-7</v>
          </cell>
          <cell r="C1363" t="str">
            <v>ε-HCH</v>
          </cell>
          <cell r="D1363" t="str">
            <v>97-1-62</v>
          </cell>
          <cell r="E1363" t="str">
            <v>및 이를 1.5% 이상 함유한 혼합물질</v>
          </cell>
          <cell r="F1363">
            <v>1.5</v>
          </cell>
        </row>
        <row r="1364">
          <cell r="B1364" t="str">
            <v>121-75-5</v>
          </cell>
          <cell r="C1364" t="str">
            <v>Diethyl(dimethoxyphosphinothioylthio) succinate ; Malathion</v>
          </cell>
          <cell r="D1364" t="str">
            <v>97-1-63</v>
          </cell>
          <cell r="E1364" t="str">
            <v>및 이를 1% 이상 함유한 혼합물질</v>
          </cell>
          <cell r="F1364">
            <v>1</v>
          </cell>
        </row>
        <row r="1365">
          <cell r="B1365" t="str">
            <v>123-33-1</v>
          </cell>
          <cell r="C1365" t="str">
            <v>Maleic hydrazide</v>
          </cell>
          <cell r="D1365" t="str">
            <v>97-1-64</v>
          </cell>
          <cell r="E1365" t="str">
            <v>및 이를 25% 이상 함유한 혼합물질</v>
          </cell>
          <cell r="F1365">
            <v>25</v>
          </cell>
        </row>
        <row r="1366">
          <cell r="B1366" t="str">
            <v>109-77-3</v>
          </cell>
          <cell r="C1366" t="str">
            <v>Dicyanomethane ; Malononitrile</v>
          </cell>
          <cell r="D1366" t="str">
            <v>97-1-65</v>
          </cell>
          <cell r="E1366" t="str">
            <v>및 이를 2% 이상 함유한 혼합물질</v>
          </cell>
          <cell r="F1366">
            <v>2</v>
          </cell>
        </row>
        <row r="1367">
          <cell r="B1367" t="str">
            <v>505-60-2</v>
          </cell>
          <cell r="C1367" t="str">
            <v>Mustard gas</v>
          </cell>
          <cell r="D1367" t="str">
            <v>97-1-66</v>
          </cell>
          <cell r="E1367" t="str">
            <v>및 이를 0.1% 이상 함유한 혼합물질</v>
          </cell>
          <cell r="F1367">
            <v>0.1</v>
          </cell>
        </row>
        <row r="1368">
          <cell r="B1368" t="str">
            <v>2487-01-6</v>
          </cell>
          <cell r="C1368" t="str">
            <v>Medinoterb acetate</v>
          </cell>
          <cell r="D1368" t="str">
            <v>97-1-67</v>
          </cell>
          <cell r="E1368" t="str">
            <v>및 이를 1% 이상 함유한 혼합물질</v>
          </cell>
          <cell r="F1368">
            <v>1</v>
          </cell>
        </row>
        <row r="1369">
          <cell r="B1369" t="str">
            <v>68-11-1</v>
          </cell>
          <cell r="C1369" t="str">
            <v>Mercaptoacetic acid</v>
          </cell>
          <cell r="D1369" t="str">
            <v>97-1-68</v>
          </cell>
          <cell r="E1369" t="str">
            <v>및 이를 25% 이상 함유한 혼합물질</v>
          </cell>
          <cell r="F1369">
            <v>25</v>
          </cell>
        </row>
        <row r="1370">
          <cell r="B1370" t="str">
            <v>2595-54-2</v>
          </cell>
          <cell r="C1370" t="str">
            <v>S-(N-Ethoxycarbonyl-N-methylcarbamoylmethyl)O,O-diethyl phosphorodithoate ; Mecarbam</v>
          </cell>
          <cell r="D1370" t="str">
            <v>97-1-69</v>
          </cell>
          <cell r="E1370" t="str">
            <v>및 이를 1% 이상 함유한 혼합물질</v>
          </cell>
          <cell r="F1370">
            <v>1</v>
          </cell>
        </row>
        <row r="1371">
          <cell r="B1371" t="str">
            <v>7440-23-5</v>
          </cell>
          <cell r="C1371" t="str">
            <v>Sodium</v>
          </cell>
          <cell r="D1371" t="str">
            <v>97-1-7</v>
          </cell>
          <cell r="E1371" t="str">
            <v>및 이를 25% 이상 함유한 혼합물질</v>
          </cell>
          <cell r="F1371">
            <v>25</v>
          </cell>
        </row>
        <row r="1372">
          <cell r="B1372" t="str">
            <v>51-75-2</v>
          </cell>
          <cell r="C1372" t="str">
            <v>Ethanamine, 2-chloro-N-(2-chloroethyl)-N-methyl- ; Chlormethine ; Mechlorethamine</v>
          </cell>
          <cell r="D1372" t="str">
            <v>97-1-70</v>
          </cell>
          <cell r="E1372" t="str">
            <v>및 그 중 하나를 0.1% 이상 함유한 혼합물질</v>
          </cell>
          <cell r="F1372">
            <v>0.1</v>
          </cell>
        </row>
        <row r="1373">
          <cell r="B1373" t="str">
            <v>66952-49-6</v>
          </cell>
          <cell r="C1373" t="str">
            <v>Methasulfocarb</v>
          </cell>
          <cell r="D1373" t="str">
            <v>97-1-71</v>
          </cell>
          <cell r="E1373" t="str">
            <v>및 이를 1% 이상 함유한 혼합물질</v>
          </cell>
          <cell r="F1373">
            <v>1</v>
          </cell>
        </row>
        <row r="1374">
          <cell r="B1374" t="str">
            <v>10265-92-6</v>
          </cell>
          <cell r="C1374" t="str">
            <v>Methamidophos</v>
          </cell>
          <cell r="D1374" t="str">
            <v>97-1-72</v>
          </cell>
          <cell r="E1374" t="str">
            <v>및 이를 1% 이상 함유한 혼합물질</v>
          </cell>
          <cell r="F1374">
            <v>1</v>
          </cell>
        </row>
        <row r="1375">
          <cell r="B1375" t="str">
            <v>126-98-7</v>
          </cell>
          <cell r="C1375" t="str">
            <v>Methyl Acrylonitrile</v>
          </cell>
          <cell r="D1375" t="str">
            <v>97-1-73</v>
          </cell>
          <cell r="E1375" t="str">
            <v>및 이를 25% 이상 함유한 혼합물질</v>
          </cell>
          <cell r="F1375">
            <v>25</v>
          </cell>
        </row>
        <row r="1376">
          <cell r="B1376" t="str">
            <v>108-62-3</v>
          </cell>
          <cell r="C1376" t="str">
            <v>Metaldehyde</v>
          </cell>
          <cell r="D1376" t="str">
            <v>97-1-74</v>
          </cell>
          <cell r="E1376" t="str">
            <v>및 이를 25% 이상 함유한 혼합물질</v>
          </cell>
          <cell r="F1376">
            <v>25</v>
          </cell>
        </row>
        <row r="1377">
          <cell r="B1377" t="str">
            <v>16752-77-5</v>
          </cell>
          <cell r="C1377" t="str">
            <v>Methomyl</v>
          </cell>
          <cell r="D1377" t="str">
            <v>97-1-75</v>
          </cell>
          <cell r="E1377" t="str">
            <v>및 이를 1% 이상 함유한 혼합물질</v>
          </cell>
          <cell r="F1377">
            <v>1</v>
          </cell>
        </row>
        <row r="1378">
          <cell r="B1378" t="str">
            <v>950-37-8</v>
          </cell>
          <cell r="C1378" t="str">
            <v>Dithiophosphoric acid O,O-dimethyl-S-[2-methoxy-1,3,4-thiadizol-5(4H)-one-4-yl)methyl] ester ; Methidathion, Supracide</v>
          </cell>
          <cell r="D1378" t="str">
            <v>97-1-76</v>
          </cell>
          <cell r="E1378" t="str">
            <v>및 이를 1% 이상 함유한 혼합물질</v>
          </cell>
          <cell r="F1378">
            <v>1</v>
          </cell>
        </row>
        <row r="1379">
          <cell r="B1379" t="str">
            <v>2032-65-7</v>
          </cell>
          <cell r="C1379" t="str">
            <v>Phenol, 3,5-dimethyl-4-(methylthio)-, methylcarbamate ; Mercaptodimethur ; Methiocarb</v>
          </cell>
          <cell r="D1379" t="str">
            <v>97-1-77</v>
          </cell>
          <cell r="E1379" t="str">
            <v>및 이를 1% 이상 함유한 혼합물질</v>
          </cell>
          <cell r="F1379">
            <v>1</v>
          </cell>
        </row>
        <row r="1380">
          <cell r="B1380" t="str">
            <v>78-94-4</v>
          </cell>
          <cell r="C1380" t="str">
            <v>Methyl vinyl ketone</v>
          </cell>
          <cell r="D1380" t="str">
            <v>97-1-78</v>
          </cell>
          <cell r="E1380" t="str">
            <v>및 이를 1% 이상 함유한 혼합물질</v>
          </cell>
          <cell r="F1380">
            <v>1</v>
          </cell>
        </row>
        <row r="1381">
          <cell r="B1381" t="str">
            <v>57-39-6</v>
          </cell>
          <cell r="C1381" t="str">
            <v>Methyl aphoxide</v>
          </cell>
          <cell r="D1381" t="str">
            <v>97-1-79</v>
          </cell>
          <cell r="E1381" t="str">
            <v>및 이를 1% 이상 함유한 혼합물질</v>
          </cell>
          <cell r="F1381">
            <v>1</v>
          </cell>
        </row>
        <row r="1382">
          <cell r="B1382" t="str">
            <v>300-76-5</v>
          </cell>
          <cell r="C1382" t="str">
            <v>Naled</v>
          </cell>
          <cell r="D1382" t="str">
            <v>97-1-8</v>
          </cell>
          <cell r="E1382" t="str">
            <v>및 이를 1% 이상 함유한 혼합물질</v>
          </cell>
          <cell r="F1382">
            <v>1</v>
          </cell>
        </row>
        <row r="1383">
          <cell r="B1383" t="str">
            <v>67-56-1</v>
          </cell>
          <cell r="C1383" t="str">
            <v>Methanol ; Methyl alcohol</v>
          </cell>
          <cell r="D1383" t="str">
            <v>97-1-80</v>
          </cell>
          <cell r="E1383" t="str">
            <v>및 이를 85% 이상 함유한 혼합물질</v>
          </cell>
          <cell r="F1383">
            <v>85</v>
          </cell>
        </row>
        <row r="1384">
          <cell r="B1384" t="str">
            <v>78-93-3</v>
          </cell>
          <cell r="C1384" t="str">
            <v>Methyl ethyl ketone ; MEK, 2-Butanone</v>
          </cell>
          <cell r="D1384" t="str">
            <v>97-1-81</v>
          </cell>
          <cell r="E1384" t="str">
            <v>및 이를 85% 이상 함유한 혼합물질</v>
          </cell>
          <cell r="F1384">
            <v>85</v>
          </cell>
        </row>
        <row r="1385">
          <cell r="B1385" t="str">
            <v>96-34-4</v>
          </cell>
          <cell r="C1385" t="str">
            <v>Methyl chloroacetate</v>
          </cell>
          <cell r="D1385" t="str">
            <v>97-1-82</v>
          </cell>
          <cell r="E1385" t="str">
            <v>및 이를 25% 이상 함유한 혼합물질</v>
          </cell>
          <cell r="F1385">
            <v>25</v>
          </cell>
        </row>
        <row r="1386">
          <cell r="B1386" t="str">
            <v>953-17-3</v>
          </cell>
          <cell r="C1386" t="str">
            <v>Methyl trithion</v>
          </cell>
          <cell r="D1386" t="str">
            <v>97-1-83</v>
          </cell>
          <cell r="E1386" t="str">
            <v>및 이를 1% 이상 함유한 혼합물질</v>
          </cell>
          <cell r="F1386">
            <v>1</v>
          </cell>
        </row>
        <row r="1387">
          <cell r="B1387" t="str">
            <v>60-34-4</v>
          </cell>
          <cell r="C1387" t="str">
            <v>Methyl hydrazine</v>
          </cell>
          <cell r="D1387" t="str">
            <v>97-1-84</v>
          </cell>
          <cell r="E1387" t="str">
            <v>및 이를 1% 이상 함유한 혼합물질</v>
          </cell>
          <cell r="F1387">
            <v>1</v>
          </cell>
        </row>
        <row r="1388">
          <cell r="B1388" t="str">
            <v>950-10-7</v>
          </cell>
          <cell r="C1388" t="str">
            <v>Mephosfolan</v>
          </cell>
          <cell r="D1388" t="str">
            <v>97-1-85</v>
          </cell>
          <cell r="E1388" t="str">
            <v>및 이를 1% 이상 함유한 혼합물질</v>
          </cell>
          <cell r="F1388">
            <v>1</v>
          </cell>
        </row>
        <row r="1389">
          <cell r="B1389" t="str">
            <v>315-18-4</v>
          </cell>
          <cell r="C1389" t="str">
            <v>Mexacarbate</v>
          </cell>
          <cell r="D1389" t="str">
            <v>97-1-86</v>
          </cell>
          <cell r="E1389" t="str">
            <v>및 이를 1% 이상 함유한 혼합물질</v>
          </cell>
          <cell r="F1389">
            <v>1</v>
          </cell>
        </row>
        <row r="1390">
          <cell r="B1390" t="str">
            <v>17090-79-8</v>
          </cell>
          <cell r="C1390" t="str">
            <v>Monensin</v>
          </cell>
          <cell r="D1390" t="str">
            <v>97-1-87</v>
          </cell>
          <cell r="E1390" t="str">
            <v>및 그 중 모넨신으로서 8% 이상 함유한 혼합물질</v>
          </cell>
          <cell r="F1390">
            <v>8</v>
          </cell>
        </row>
        <row r="1391">
          <cell r="C1391" t="str">
            <v>Monensin, salts</v>
          </cell>
          <cell r="D1391" t="str">
            <v>97-1-87</v>
          </cell>
          <cell r="E1391" t="str">
            <v>및 그 중 모넨신으로서 8% 이상 함유한 혼합물질</v>
          </cell>
          <cell r="F1391">
            <v>8</v>
          </cell>
        </row>
        <row r="1392">
          <cell r="B1392" t="str">
            <v>6923-22-4</v>
          </cell>
          <cell r="C1392" t="str">
            <v>Monocrotophos</v>
          </cell>
          <cell r="D1392" t="str">
            <v>97-1-88</v>
          </cell>
          <cell r="E1392" t="str">
            <v>및 이를 1% 이상 함유한 혼합물질</v>
          </cell>
          <cell r="F1392">
            <v>1</v>
          </cell>
        </row>
        <row r="1393">
          <cell r="B1393" t="str">
            <v>2212-67-1</v>
          </cell>
          <cell r="C1393" t="str">
            <v>Hexahydro-1H-azepin-1-carbothioic acid S-ethyl ester ; Molinate</v>
          </cell>
          <cell r="D1393" t="str">
            <v>97-1-89</v>
          </cell>
          <cell r="E1393" t="str">
            <v>및 이를 25% 이상 함유한 혼합물질</v>
          </cell>
          <cell r="F1393">
            <v>25</v>
          </cell>
        </row>
        <row r="1394">
          <cell r="B1394" t="str">
            <v>1335-32-6</v>
          </cell>
          <cell r="C1394" t="str">
            <v>Lead acetate</v>
          </cell>
          <cell r="D1394" t="str">
            <v>97-1-9</v>
          </cell>
          <cell r="E1394" t="str">
            <v>사산화납(Lead tetroxide), 황산납(Lead sulfate), 염기성탄산납(basic lead carbonate)을 제외한 납화합물질 및 이를 25% 이상 함유한 혼합물질. 다만, 초산납(lead acetate), 알킬화납(lead alkyls), 아지드화납(lead azide) 이초산납(lead di(acetate)), 메탄술폰산납(lead(III) methanesulfonate), 인산납(lead phosphate(3:2)), 스티핀산납(lead styphate)의 경우는 이를 0.5% 이상 함유한 혼합물질</v>
          </cell>
          <cell r="F1394">
            <v>0.5</v>
          </cell>
        </row>
        <row r="1395">
          <cell r="B1395" t="str">
            <v>13424-46-9</v>
          </cell>
          <cell r="C1395" t="str">
            <v>Lead diazide</v>
          </cell>
          <cell r="D1395" t="str">
            <v>97-1-9</v>
          </cell>
          <cell r="E1395" t="str">
            <v>사산화납(Lead tetroxide), 황산납(Lead sulfate), 염기성탄산납(basic lead carbonate)을 제외한 납화합물질 및 이를 25% 이상 함유한 혼합물질. 다만, 초산납(lead acetate), 알킬화납(lead alkyls), 아지드화납(lead azide) 이초산납(lead di(acetate)), 메탄술폰산납(lead(III) methanesulfonate), 인산납(lead phosphate(3:2)), 스티핀산납(lead styphate)의 경우는 이를 0.5% 이상 함유한 혼합물질</v>
          </cell>
          <cell r="F1395">
            <v>0.5</v>
          </cell>
        </row>
        <row r="1396">
          <cell r="B1396" t="str">
            <v>15347-57-6</v>
          </cell>
          <cell r="C1396" t="str">
            <v>Lead acetate</v>
          </cell>
          <cell r="D1396" t="str">
            <v>97-1-9</v>
          </cell>
          <cell r="E1396" t="str">
            <v>사산화납(Lead tetroxide), 황산납(Lead sulfate), 염기성탄산납(basic lead carbonate)을 제외한 납화합물질 및 이를 25% 이상 함유한 혼합물질. 다만, 초산납(lead acetate), 알킬화납(lead alkyls), 아지드화납(lead azide) 이초산납(lead di(acetate)), 메탄술폰산납(lead(III) methanesulfonate), 인산납(lead phosphate(3:2)), 스티핀산납(lead styphate)의 경우는 이를 0.5% 이상 함유한 혼합물질</v>
          </cell>
          <cell r="F1396">
            <v>0.5</v>
          </cell>
        </row>
        <row r="1397">
          <cell r="B1397" t="str">
            <v>301-04-2</v>
          </cell>
          <cell r="C1397" t="str">
            <v>Lead acetate</v>
          </cell>
          <cell r="D1397" t="str">
            <v>97-1-9</v>
          </cell>
          <cell r="E1397" t="str">
            <v>사산화납(Lead tetroxide), 황산납(Lead sulfate), 염기성탄산납(basic lead carbonate)을 제외한 납화합물질 및 이를 25% 이상 함유한 혼합물질. 다만, 초산납(lead acetate), 알킬화납(lead alkyls), 아지드화납(lead azide) 이초산납(lead di(acetate)), 메탄술폰산납(lead(III) methanesulfonate), 인산납(lead phosphate(3:2)), 스티핀산납(lead styphate)의 경우는 이를 0.5% 이상 함유한 혼합물질</v>
          </cell>
          <cell r="F1397">
            <v>0.5</v>
          </cell>
        </row>
        <row r="1398">
          <cell r="B1398" t="str">
            <v>6080-56-4</v>
          </cell>
          <cell r="C1398" t="str">
            <v>Lead diacetate trihydrate ; Lead acetate trihydrate</v>
          </cell>
          <cell r="D1398" t="str">
            <v>97-1-9</v>
          </cell>
          <cell r="E1398" t="str">
            <v>사산화납(Lead tetroxide), 황산납(Lead sulfate), 염기성탄산납(basic lead carbonate)을 제외한 납화합물질 및 이를 25% 이상 함유한 혼합물질. 다만, 초산납(lead acetate), 알킬화납(lead alkyls), 아지드화납(lead azide) 이초산납(lead di(acetate)), 메탄술폰산납(lead(III) methanesulfonate), 인산납(lead phosphate(3:2)), 스티핀산납(lead styphate)의 경우는 이를 0.5% 이상 함유한 혼합물질</v>
          </cell>
          <cell r="F1398">
            <v>0.5</v>
          </cell>
        </row>
        <row r="1399">
          <cell r="C1399" t="str">
            <v>Lead alkyls</v>
          </cell>
          <cell r="D1399" t="str">
            <v>97-1-9</v>
          </cell>
          <cell r="E1399" t="str">
            <v>사산화납(Lead tetroxide), 황산납(Lead sulfate), 염기성탄산납(basic lead carbonate)을 제외한 납화합물질 및 이를 25% 이상 함유한 혼합물질. 다만, 초산납(lead acetate), 알킬화납(lead alkyls), 아지드화납(lead azide) 이초산납(lead di(acetate)), 메탄술폰산납(lead(III) methanesulfonate), 인산납(lead phosphate(3:2)), 스티핀산납(lead styphate)의 경우는 이를 0.5% 이상 함유한 혼합물질</v>
          </cell>
          <cell r="F1399">
            <v>0.5</v>
          </cell>
        </row>
        <row r="1400">
          <cell r="C1400" t="str">
            <v>Lead compounds</v>
          </cell>
          <cell r="D1400" t="str">
            <v>97-1-9</v>
          </cell>
          <cell r="E1400" t="str">
            <v>사산화납(Lead tetroxide), 황산납(Lead sulfate), 염기성탄산납(basic lead carbonate)을 제외한 납화합물질 및 이를 25% 이상 함유한 혼합물질. 다만, 초산납(lead acetate), 알킬화납(lead alkyls), 아지드화납(lead azide) 이초산납(lead di(acetate)), 메탄술폰산납(lead(III) methanesulfonate), 인산납(lead phosphate(3:2)), 스티핀산납(lead styphate)의 경우는 이를 0.5% 이상 함유한 혼합물질</v>
          </cell>
          <cell r="F1400">
            <v>0.5</v>
          </cell>
        </row>
        <row r="1401">
          <cell r="B1401" t="str">
            <v>10031-22-8</v>
          </cell>
          <cell r="C1401" t="str">
            <v>Lead dibromide</v>
          </cell>
          <cell r="D1401" t="str">
            <v>97-1-9</v>
          </cell>
          <cell r="E1401" t="str">
            <v>사산화납(Lead tetroxide), 황산납(Lead sulfate), 염기성탄산납(basic lead carbonate)을 제외한 납화합물질 및 이를 25% 이상 함유한 혼합물질. 다만, 초산납(lead acetate), 알킬화납(lead alkyls), 아지드화납(lead azide) 이초산납(lead di(acetate)), 메탄술폰산납(lead(III) methanesulfonate), 인산납(lead phosphate(3:2)), 스티핀산납(lead styphate)의 경우는 이를 0.5% 이상 함유한 혼합물질</v>
          </cell>
          <cell r="F1401">
            <v>25</v>
          </cell>
        </row>
        <row r="1402">
          <cell r="B1402" t="str">
            <v>100656-49-3</v>
          </cell>
          <cell r="C1402" t="str">
            <v>Lead, dross, vanadium-zinc-contg.</v>
          </cell>
          <cell r="D1402" t="str">
            <v>97-1-9</v>
          </cell>
          <cell r="E1402" t="str">
            <v>사산화납(Lead tetroxide), 황산납(Lead sulfate), 염기성탄산납(basic lead carbonate)을 제외한 납화합물질 및 이를 25% 이상 함유한 혼합물질. 다만, 초산납(lead acetate), 알킬화납(lead alkyls), 아지드화납(lead azide) 이초산납(lead di(acetate)), 메탄술폰산납(lead(III) methanesulfonate), 인산납(lead phosphate(3:2)), 스티핀산납(lead styphate)의 경우는 이를 0.5% 이상 함유한 혼합물질</v>
          </cell>
          <cell r="F1402">
            <v>25</v>
          </cell>
        </row>
        <row r="1403">
          <cell r="B1403" t="str">
            <v>10099-74-8</v>
          </cell>
          <cell r="C1403" t="str">
            <v>Lead dinitrate</v>
          </cell>
          <cell r="D1403" t="str">
            <v>97-1-9</v>
          </cell>
          <cell r="E1403" t="str">
            <v>사산화납(Lead tetroxide), 황산납(Lead sulfate), 염기성탄산납(basic lead carbonate)을 제외한 납화합물질 및 이를 25% 이상 함유한 혼합물질. 다만, 초산납(lead acetate), 알킬화납(lead alkyls), 아지드화납(lead azide) 이초산납(lead di(acetate)), 메탄술폰산납(lead(III) methanesulfonate), 인산납(lead phosphate(3:2)), 스티핀산납(lead styphate)의 경우는 이를 0.5% 이상 함유한 혼합물질</v>
          </cell>
          <cell r="F1403">
            <v>25</v>
          </cell>
        </row>
        <row r="1404">
          <cell r="B1404" t="str">
            <v>10099-76-0</v>
          </cell>
          <cell r="C1404" t="str">
            <v>Lead(2+) silicate</v>
          </cell>
          <cell r="D1404" t="str">
            <v>97-1-9</v>
          </cell>
          <cell r="E1404" t="str">
            <v>사산화납(Lead tetroxide), 황산납(Lead sulfate), 염기성탄산납(basic lead carbonate)을 제외한 납화합물질 및 이를 25% 이상 함유한 혼합물질. 다만, 초산납(lead acetate), 알킬화납(lead alkyls), 아지드화납(lead azide) 이초산납(lead di(acetate)), 메탄술폰산납(lead(III) methanesulfonate), 인산납(lead phosphate(3:2)), 스티핀산납(lead styphate)의 경우는 이를 0.5% 이상 함유한 혼합물질</v>
          </cell>
          <cell r="F1404">
            <v>25</v>
          </cell>
        </row>
        <row r="1405">
          <cell r="B1405" t="str">
            <v>10099-79-3</v>
          </cell>
          <cell r="C1405" t="str">
            <v>Lead divanadium hexaoxide</v>
          </cell>
          <cell r="D1405" t="str">
            <v>97-1-9</v>
          </cell>
          <cell r="E1405" t="str">
            <v>사산화납(Lead tetroxide), 황산납(Lead sulfate), 염기성탄산납(basic lead carbonate)을 제외한 납화합물질 및 이를 25% 이상 함유한 혼합물질. 다만, 초산납(lead acetate), 알킬화납(lead alkyls), 아지드화납(lead azide) 이초산납(lead di(acetate)), 메탄술폰산납(lead(III) methanesulfonate), 인산납(lead phosphate(3:2)), 스티핀산납(lead styphate)의 경우는 이를 0.5% 이상 함유한 혼합물질</v>
          </cell>
          <cell r="F1405">
            <v>25</v>
          </cell>
        </row>
        <row r="1406">
          <cell r="B1406" t="str">
            <v>10101-63-0</v>
          </cell>
          <cell r="C1406" t="str">
            <v>Lead diiodide (PbI2)</v>
          </cell>
          <cell r="D1406" t="str">
            <v>97-1-9</v>
          </cell>
          <cell r="E1406" t="str">
            <v>사산화납(Lead tetroxide), 황산납(Lead sulfate), 염기성탄산납(basic lead carbonate)을 제외한 납화합물질 및 이를 25% 이상 함유한 혼합물질. 다만, 초산납(lead acetate), 알킬화납(lead alkyls), 아지드화납(lead azide) 이초산납(lead di(acetate)), 메탄술폰산납(lead(III) methanesulfonate), 인산납(lead phosphate(3:2)), 스티핀산납(lead styphate)의 경우는 이를 0.5% 이상 함유한 혼합물질</v>
          </cell>
          <cell r="F1406">
            <v>25</v>
          </cell>
        </row>
        <row r="1407">
          <cell r="B1407" t="str">
            <v>10190-55-3</v>
          </cell>
          <cell r="C1407" t="str">
            <v>Lead molybdate (PbMoO4)</v>
          </cell>
          <cell r="D1407" t="str">
            <v>97-1-9</v>
          </cell>
          <cell r="E1407" t="str">
            <v>사산화납(Lead tetroxide), 황산납(Lead sulfate), 염기성탄산납(basic lead carbonate)을 제외한 납화합물질 및 이를 25% 이상 함유한 혼합물질. 다만, 초산납(lead acetate), 알킬화납(lead alkyls), 아지드화납(lead azide) 이초산납(lead di(acetate)), 메탄술폰산납(lead(III) methanesulfonate), 인산납(lead phosphate(3:2)), 스티핀산납(lead styphate)의 경우는 이를 0.5% 이상 함유한 혼합물질</v>
          </cell>
          <cell r="F1407">
            <v>25</v>
          </cell>
        </row>
        <row r="1408">
          <cell r="B1408" t="str">
            <v>102110-24-7</v>
          </cell>
          <cell r="C1408" t="str">
            <v>Barium oxide (BaO), solid soln. with calcium oxide, strontium oxide and tungsten oxide (WO3), lead-doped</v>
          </cell>
          <cell r="D1408" t="str">
            <v>97-1-9</v>
          </cell>
          <cell r="E1408" t="str">
            <v>사산화납(Lead tetroxide), 황산납(Lead sulfate), 염기성탄산납(basic lead carbonate)을 제외한 납화합물질 및 이를 25% 이상 함유한 혼합물질. 다만, 초산납(lead acetate), 알킬화납(lead alkyls), 아지드화납(lead azide) 이초산납(lead di(acetate)), 메탄술폰산납(lead(III) methanesulfonate), 인산납(lead phosphate(3:2)), 스티핀산납(lead styphate)의 경우는 이를 0.5% 이상 함유한 혼합물질</v>
          </cell>
          <cell r="F1408">
            <v>25</v>
          </cell>
        </row>
        <row r="1409">
          <cell r="B1409" t="str">
            <v>102110-26-9</v>
          </cell>
          <cell r="C1409" t="str">
            <v>Boric acid (H3BO3), solid soln. with barium oxide, calcium oxide and strontium oxide, lead and manganese-doped</v>
          </cell>
          <cell r="D1409" t="str">
            <v>97-1-9</v>
          </cell>
          <cell r="E1409" t="str">
            <v>사산화납(Lead tetroxide), 황산납(Lead sulfate), 염기성탄산납(basic lead carbonate)을 제외한 납화합물질 및 이를 25% 이상 함유한 혼합물질. 다만, 초산납(lead acetate), 알킬화납(lead alkyls), 아지드화납(lead azide) 이초산납(lead di(acetate)), 메탄술폰산납(lead(III) methanesulfonate), 인산납(lead phosphate(3:2)), 스티핀산납(lead styphate)의 경우는 이를 0.5% 이상 함유한 혼합물질</v>
          </cell>
          <cell r="F1409">
            <v>25</v>
          </cell>
        </row>
        <row r="1410">
          <cell r="B1410" t="str">
            <v>102110-36-1</v>
          </cell>
          <cell r="C1410" t="str">
            <v>Silicic acid calcium salt, lead and manganese-doped</v>
          </cell>
          <cell r="D1410" t="str">
            <v>97-1-9</v>
          </cell>
          <cell r="E1410" t="str">
            <v>사산화납(Lead tetroxide), 황산납(Lead sulfate), 염기성탄산납(basic lead carbonate)을 제외한 납화합물질 및 이를 25% 이상 함유한 혼합물질. 다만, 초산납(lead acetate), 알킬화납(lead alkyls), 아지드화납(lead azide) 이초산납(lead di(acetate)), 메탄술폰산납(lead(III) methanesulfonate), 인산납(lead phosphate(3:2)), 스티핀산납(lead styphate)의 경우는 이를 0.5% 이상 함유한 혼합물질</v>
          </cell>
          <cell r="F1410">
            <v>25</v>
          </cell>
        </row>
        <row r="1411">
          <cell r="B1411" t="str">
            <v>1072-35-1</v>
          </cell>
          <cell r="C1411" t="str">
            <v>Octadecanoic acid lead(2+) salt</v>
          </cell>
          <cell r="D1411" t="str">
            <v>97-1-9</v>
          </cell>
          <cell r="E1411" t="str">
            <v>사산화납(Lead tetroxide), 황산납(Lead sulfate), 염기성탄산납(basic lead carbonate)을 제외한 납화합물질 및 이를 25% 이상 함유한 혼합물질. 다만, 초산납(lead acetate), 알킬화납(lead alkyls), 아지드화납(lead azide) 이초산납(lead di(acetate)), 메탄술폰산납(lead(III) methanesulfonate), 인산납(lead phosphate(3:2)), 스티핀산납(lead styphate)의 경우는 이를 0.5% 이상 함유한 혼합물질</v>
          </cell>
          <cell r="F1411">
            <v>25</v>
          </cell>
        </row>
        <row r="1412">
          <cell r="B1412" t="str">
            <v>11113-70-5</v>
          </cell>
          <cell r="C1412" t="str">
            <v>Lead silicochromate</v>
          </cell>
          <cell r="D1412" t="str">
            <v>97-1-9</v>
          </cell>
          <cell r="E1412" t="str">
            <v>사산화납(Lead tetroxide), 황산납(Lead sulfate), 염기성탄산납(basic lead carbonate)을 제외한 납화합물질 및 이를 25% 이상 함유한 혼합물질. 다만, 초산납(lead acetate), 알킬화납(lead alkyls), 아지드화납(lead azide) 이초산납(lead di(acetate)), 메탄술폰산납(lead(III) methanesulfonate), 인산납(lead phosphate(3:2)), 스티핀산납(lead styphate)의 경우는 이를 0.5% 이상 함유한 혼합물질</v>
          </cell>
          <cell r="F1412">
            <v>25</v>
          </cell>
        </row>
        <row r="1413">
          <cell r="B1413" t="str">
            <v>11116-83-9</v>
          </cell>
          <cell r="C1413" t="str">
            <v>Dibismuth dilead tetraruthenium tridecaoxide</v>
          </cell>
          <cell r="D1413" t="str">
            <v>97-1-9</v>
          </cell>
          <cell r="E1413" t="str">
            <v>사산화납(Lead tetroxide), 황산납(Lead sulfate), 염기성탄산납(basic lead carbonate)을 제외한 납화합물질 및 이를 25% 이상 함유한 혼합물질. 다만, 초산납(lead acetate), 알킬화납(lead alkyls), 아지드화납(lead azide) 이초산납(lead di(acetate)), 메탄술폰산납(lead(III) methanesulfonate), 인산납(lead phosphate(3:2)), 스티핀산납(lead styphate)의 경우는 이를 0.5% 이상 함유한 혼합물질</v>
          </cell>
          <cell r="F1413">
            <v>25</v>
          </cell>
        </row>
        <row r="1414">
          <cell r="B1414" t="str">
            <v>11120-22-2</v>
          </cell>
          <cell r="C1414" t="str">
            <v>Silicic acid lead salt</v>
          </cell>
          <cell r="D1414" t="str">
            <v>97-1-9</v>
          </cell>
          <cell r="E1414" t="str">
            <v>사산화납(Lead tetroxide), 황산납(Lead sulfate), 염기성탄산납(basic lead carbonate)을 제외한 납화합물질 및 이를 25% 이상 함유한 혼합물질. 다만, 초산납(lead acetate), 알킬화납(lead alkyls), 아지드화납(lead azide) 이초산납(lead di(acetate)), 메탄술폰산납(lead(III) methanesulfonate), 인산납(lead phosphate(3:2)), 스티핀산납(lead styphate)의 경우는 이를 0.5% 이상 함유한 혼합물질</v>
          </cell>
          <cell r="F1414">
            <v>25</v>
          </cell>
        </row>
        <row r="1415">
          <cell r="B1415" t="str">
            <v>1120-46-3</v>
          </cell>
          <cell r="C1415" t="str">
            <v>(Z)-9-Octadecenoic acid lead(2+) salt</v>
          </cell>
          <cell r="D1415" t="str">
            <v>97-1-9</v>
          </cell>
          <cell r="E1415" t="str">
            <v>사산화납(Lead tetroxide), 황산납(Lead sulfate), 염기성탄산납(basic lead carbonate)을 제외한 납화합물질 및 이를 25% 이상 함유한 혼합물질. 다만, 초산납(lead acetate), 알킬화납(lead alkyls), 아지드화납(lead azide) 이초산납(lead di(acetate)), 메탄술폰산납(lead(III) methanesulfonate), 인산납(lead phosphate(3:2)), 스티핀산납(lead styphate)의 경우는 이를 0.5% 이상 함유한 혼합물질</v>
          </cell>
          <cell r="F1415">
            <v>25</v>
          </cell>
        </row>
        <row r="1416">
          <cell r="B1416" t="str">
            <v>12023-90-4</v>
          </cell>
          <cell r="C1416" t="str">
            <v>Dodecairon lead nonadecaoxide</v>
          </cell>
          <cell r="D1416" t="str">
            <v>97-1-9</v>
          </cell>
          <cell r="E1416" t="str">
            <v>사산화납(Lead tetroxide), 황산납(Lead sulfate), 염기성탄산납(basic lead carbonate)을 제외한 납화합물질 및 이를 25% 이상 함유한 혼합물질. 다만, 초산납(lead acetate), 알킬화납(lead alkyls), 아지드화납(lead azide) 이초산납(lead di(acetate)), 메탄술폰산납(lead(III) methanesulfonate), 인산납(lead phosphate(3:2)), 스티핀산납(lead styphate)의 경우는 이를 0.5% 이상 함유한 혼합물질</v>
          </cell>
          <cell r="F1416">
            <v>25</v>
          </cell>
        </row>
        <row r="1417">
          <cell r="B1417" t="str">
            <v>12034-30-9</v>
          </cell>
          <cell r="C1417" t="str">
            <v>Lead disodium dioxide</v>
          </cell>
          <cell r="D1417" t="str">
            <v>97-1-9</v>
          </cell>
          <cell r="E1417" t="str">
            <v>사산화납(Lead tetroxide), 황산납(Lead sulfate), 염기성탄산납(basic lead carbonate)을 제외한 납화합물질 및 이를 25% 이상 함유한 혼합물질. 다만, 초산납(lead acetate), 알킬화납(lead alkyls), 아지드화납(lead azide) 이초산납(lead di(acetate)), 메탄술폰산납(lead(III) methanesulfonate), 인산납(lead phosphate(3:2)), 스티핀산납(lead styphate)의 경우는 이를 0.5% 이상 함유한 혼합물질</v>
          </cell>
          <cell r="F1417">
            <v>25</v>
          </cell>
        </row>
        <row r="1418">
          <cell r="B1418" t="str">
            <v>12034-88-7</v>
          </cell>
          <cell r="C1418" t="str">
            <v>Lead diniobium hexaoxide</v>
          </cell>
          <cell r="D1418" t="str">
            <v>97-1-9</v>
          </cell>
          <cell r="E1418" t="str">
            <v>사산화납(Lead tetroxide), 황산납(Lead sulfate), 염기성탄산납(basic lead carbonate)을 제외한 납화합물질 및 이를 25% 이상 함유한 혼합물질. 다만, 초산납(lead acetate), 알킬화납(lead alkyls), 아지드화납(lead azide) 이초산납(lead di(acetate)), 메탄술폰산납(lead(III) methanesulfonate), 인산납(lead phosphate(3:2)), 스티핀산납(lead styphate)의 경우는 이를 0.5% 이상 함유한 혼합물질</v>
          </cell>
          <cell r="F1418">
            <v>25</v>
          </cell>
        </row>
        <row r="1419">
          <cell r="B1419" t="str">
            <v>12036-31-6</v>
          </cell>
          <cell r="C1419" t="str">
            <v>Lead tin oxide (PbSnO3)</v>
          </cell>
          <cell r="D1419" t="str">
            <v>97-1-9</v>
          </cell>
          <cell r="E1419" t="str">
            <v>사산화납(Lead tetroxide), 황산납(Lead sulfate), 염기성탄산납(basic lead carbonate)을 제외한 납화합물질 및 이를 25% 이상 함유한 혼합물질. 다만, 초산납(lead acetate), 알킬화납(lead alkyls), 아지드화납(lead azide) 이초산납(lead di(acetate)), 메탄술폰산납(lead(III) methanesulfonate), 인산납(lead phosphate(3:2)), 스티핀산납(lead styphate)의 경우는 이를 0.5% 이상 함유한 혼합물질</v>
          </cell>
          <cell r="F1419">
            <v>25</v>
          </cell>
        </row>
        <row r="1420">
          <cell r="B1420" t="str">
            <v>12036-76-9</v>
          </cell>
          <cell r="C1420" t="str">
            <v>Lead sulfate, basic</v>
          </cell>
          <cell r="D1420" t="str">
            <v>97-1-9</v>
          </cell>
          <cell r="E1420" t="str">
            <v>사산화납(Lead tetroxide), 황산납(Lead sulfate), 염기성탄산납(basic lead carbonate)을 제외한 납화합물질 및 이를 25% 이상 함유한 혼합물질. 다만, 초산납(lead acetate), 알킬화납(lead alkyls), 아지드화납(lead azide) 이초산납(lead di(acetate)), 메탄술폰산납(lead(III) methanesulfonate), 인산납(lead phosphate(3:2)), 스티핀산납(lead styphate)의 경우는 이를 0.5% 이상 함유한 혼합물질</v>
          </cell>
          <cell r="F1420">
            <v>25</v>
          </cell>
        </row>
        <row r="1421">
          <cell r="B1421" t="str">
            <v>12048-28-1</v>
          </cell>
          <cell r="C1421" t="str">
            <v>Bismuth compound with lead (1:1)</v>
          </cell>
          <cell r="D1421" t="str">
            <v>97-1-9</v>
          </cell>
          <cell r="E1421" t="str">
            <v>사산화납(Lead tetroxide), 황산납(Lead sulfate), 염기성탄산납(basic lead carbonate)을 제외한 납화합물질 및 이를 25% 이상 함유한 혼합물질. 다만, 초산납(lead acetate), 알킬화납(lead alkyls), 아지드화납(lead azide) 이초산납(lead di(acetate)), 메탄술폰산납(lead(III) methanesulfonate), 인산납(lead phosphate(3:2)), 스티핀산납(lead styphate)의 경우는 이를 0.5% 이상 함유한 혼합물질</v>
          </cell>
          <cell r="F1421">
            <v>25</v>
          </cell>
        </row>
        <row r="1422">
          <cell r="B1422" t="str">
            <v>12059-89-1</v>
          </cell>
          <cell r="C1422" t="str">
            <v>Dilead oxide</v>
          </cell>
          <cell r="D1422" t="str">
            <v>97-1-9</v>
          </cell>
          <cell r="E1422" t="str">
            <v>사산화납(Lead tetroxide), 황산납(Lead sulfate), 염기성탄산납(basic lead carbonate)을 제외한 납화합물질 및 이를 25% 이상 함유한 혼합물질. 다만, 초산납(lead acetate), 알킬화납(lead alkyls), 아지드화납(lead azide) 이초산납(lead di(acetate)), 메탄술폰산납(lead(III) methanesulfonate), 인산납(lead phosphate(3:2)), 스티핀산납(lead styphate)의 경우는 이를 0.5% 이상 함유한 혼합물질</v>
          </cell>
          <cell r="F1422">
            <v>25</v>
          </cell>
        </row>
        <row r="1423">
          <cell r="B1423" t="str">
            <v>12060-00-3</v>
          </cell>
          <cell r="C1423" t="str">
            <v>Lead titanium trioxide</v>
          </cell>
          <cell r="D1423" t="str">
            <v>97-1-9</v>
          </cell>
          <cell r="E1423" t="str">
            <v>사산화납(Lead tetroxide), 황산납(Lead sulfate), 염기성탄산납(basic lead carbonate)을 제외한 납화합물질 및 이를 25% 이상 함유한 혼합물질. 다만, 초산납(lead acetate), 알킬화납(lead alkyls), 아지드화납(lead azide) 이초산납(lead di(acetate)), 메탄술폰산납(lead(III) methanesulfonate), 인산납(lead phosphate(3:2)), 스티핀산납(lead styphate)의 경우는 이를 0.5% 이상 함유한 혼합물질</v>
          </cell>
          <cell r="F1423">
            <v>25</v>
          </cell>
        </row>
        <row r="1424">
          <cell r="B1424" t="str">
            <v>12060-01-4</v>
          </cell>
          <cell r="C1424" t="str">
            <v>Lead zirconium trioxide</v>
          </cell>
          <cell r="D1424" t="str">
            <v>97-1-9</v>
          </cell>
          <cell r="E1424" t="str">
            <v>사산화납(Lead tetroxide), 황산납(Lead sulfate), 염기성탄산납(basic lead carbonate)을 제외한 납화합물질 및 이를 25% 이상 함유한 혼합물질. 다만, 초산납(lead acetate), 알킬화납(lead alkyls), 아지드화납(lead azide) 이초산납(lead di(acetate)), 메탄술폰산납(lead(III) methanesulfonate), 인산납(lead phosphate(3:2)), 스티핀산납(lead styphate)의 경우는 이를 0.5% 이상 함유한 혼합물질</v>
          </cell>
          <cell r="F1424">
            <v>25</v>
          </cell>
        </row>
        <row r="1425">
          <cell r="B1425" t="str">
            <v>12065-68-8</v>
          </cell>
          <cell r="C1425" t="str">
            <v>Lead ditantalum hexaoxide</v>
          </cell>
          <cell r="D1425" t="str">
            <v>97-1-9</v>
          </cell>
          <cell r="E1425" t="str">
            <v>사산화납(Lead tetroxide), 황산납(Lead sulfate), 염기성탄산납(basic lead carbonate)을 제외한 납화합물질 및 이를 25% 이상 함유한 혼합물질. 다만, 초산납(lead acetate), 알킬화납(lead alkyls), 아지드화납(lead azide) 이초산납(lead di(acetate)), 메탄술폰산납(lead(III) methanesulfonate), 인산납(lead phosphate(3:2)), 스티핀산납(lead styphate)의 경우는 이를 0.5% 이상 함유한 혼합물질</v>
          </cell>
          <cell r="F1425">
            <v>25</v>
          </cell>
        </row>
        <row r="1426">
          <cell r="B1426" t="str">
            <v>12065-90-6</v>
          </cell>
          <cell r="C1426" t="str">
            <v>Pentalead tetraoxide sulfate</v>
          </cell>
          <cell r="D1426" t="str">
            <v>97-1-9</v>
          </cell>
          <cell r="E1426" t="str">
            <v>사산화납(Lead tetroxide), 황산납(Lead sulfate), 염기성탄산납(basic lead carbonate)을 제외한 납화합물질 및 이를 25% 이상 함유한 혼합물질. 다만, 초산납(lead acetate), 알킬화납(lead alkyls), 아지드화납(lead azide) 이초산납(lead di(acetate)), 메탄술폰산납(lead(III) methanesulfonate), 인산납(lead phosphate(3:2)), 스티핀산납(lead styphate)의 경우는 이를 0.5% 이상 함유한 혼합물질</v>
          </cell>
          <cell r="F1426">
            <v>25</v>
          </cell>
        </row>
        <row r="1427">
          <cell r="B1427" t="str">
            <v>12137-74-5</v>
          </cell>
          <cell r="C1427" t="str">
            <v>Lead disulfide</v>
          </cell>
          <cell r="D1427" t="str">
            <v>97-1-9</v>
          </cell>
          <cell r="E1427" t="str">
            <v>사산화납(Lead tetroxide), 황산납(Lead sulfate), 염기성탄산납(basic lead carbonate)을 제외한 납화합물질 및 이를 25% 이상 함유한 혼합물질. 다만, 초산납(lead acetate), 알킬화납(lead alkyls), 아지드화납(lead azide) 이초산납(lead di(acetate)), 메탄술폰산납(lead(III) methanesulfonate), 인산납(lead phosphate(3:2)), 스티핀산납(lead styphate)의 경우는 이를 0.5% 이상 함유한 혼합물질</v>
          </cell>
          <cell r="F1427">
            <v>25</v>
          </cell>
        </row>
        <row r="1428">
          <cell r="B1428" t="str">
            <v>12141-20-7</v>
          </cell>
          <cell r="C1428" t="str">
            <v>Lead oxide phosphonate (Pb3O2(HPO3))</v>
          </cell>
          <cell r="D1428" t="str">
            <v>97-1-9</v>
          </cell>
          <cell r="E1428" t="str">
            <v>사산화납(Lead tetroxide), 황산납(Lead sulfate), 염기성탄산납(basic lead carbonate)을 제외한 납화합물질 및 이를 25% 이상 함유한 혼합물질. 다만, 초산납(lead acetate), 알킬화납(lead alkyls), 아지드화납(lead azide) 이초산납(lead di(acetate)), 메탄술폰산납(lead(III) methanesulfonate), 인산납(lead phosphate(3:2)), 스티핀산납(lead styphate)의 경우는 이를 0.5% 이상 함유한 혼합물질</v>
          </cell>
          <cell r="F1428">
            <v>25</v>
          </cell>
        </row>
        <row r="1429">
          <cell r="B1429" t="str">
            <v>12202-17-4</v>
          </cell>
          <cell r="C1429" t="str">
            <v>Lead oxide sulfate (Pb4O3(SO4))</v>
          </cell>
          <cell r="D1429" t="str">
            <v>97-1-9</v>
          </cell>
          <cell r="E1429" t="str">
            <v>사산화납(Lead tetroxide), 황산납(Lead sulfate), 염기성탄산납(basic lead carbonate)을 제외한 납화합물질 및 이를 25% 이상 함유한 혼합물질. 다만, 초산납(lead acetate), 알킬화납(lead alkyls), 아지드화납(lead azide) 이초산납(lead di(acetate)), 메탄술폰산납(lead(III) methanesulfonate), 인산납(lead phosphate(3:2)), 스티핀산납(lead styphate)의 경우는 이를 0.5% 이상 함유한 혼합물질</v>
          </cell>
          <cell r="F1429">
            <v>25</v>
          </cell>
        </row>
        <row r="1430">
          <cell r="B1430" t="str">
            <v>12205-72-0</v>
          </cell>
          <cell r="C1430" t="str">
            <v>Lead chloride oxide</v>
          </cell>
          <cell r="D1430" t="str">
            <v>97-1-9</v>
          </cell>
          <cell r="E1430" t="str">
            <v>사산화납(Lead tetroxide), 황산납(Lead sulfate), 염기성탄산납(basic lead carbonate)을 제외한 납화합물질 및 이를 25% 이상 함유한 혼합물질. 다만, 초산납(lead acetate), 알킬화납(lead alkyls), 아지드화납(lead azide) 이초산납(lead di(acetate)), 메탄술폰산납(lead(III) methanesulfonate), 인산납(lead phosphate(3:2)), 스티핀산납(lead styphate)의 경우는 이를 0.5% 이상 함유한 혼합물질</v>
          </cell>
          <cell r="F1430">
            <v>25</v>
          </cell>
        </row>
        <row r="1431">
          <cell r="B1431" t="str">
            <v>12268-84-7</v>
          </cell>
          <cell r="C1431" t="str">
            <v>Lead hydroxide nitrate</v>
          </cell>
          <cell r="D1431" t="str">
            <v>97-1-9</v>
          </cell>
          <cell r="E1431" t="str">
            <v>사산화납(Lead tetroxide), 황산납(Lead sulfate), 염기성탄산납(basic lead carbonate)을 제외한 납화합물질 및 이를 25% 이상 함유한 혼합물질. 다만, 초산납(lead acetate), 알킬화납(lead alkyls), 아지드화납(lead azide) 이초산납(lead di(acetate)), 메탄술폰산납(lead(III) methanesulfonate), 인산납(lead phosphate(3:2)), 스티핀산납(lead styphate)의 경우는 이를 0.5% 이상 함유한 혼합물질</v>
          </cell>
          <cell r="F1431">
            <v>25</v>
          </cell>
        </row>
        <row r="1432">
          <cell r="B1432" t="str">
            <v>12372-45-1</v>
          </cell>
          <cell r="C1432" t="str">
            <v>Potassium pentadecaoxodiplumbatepentaniobate(1-)</v>
          </cell>
          <cell r="D1432" t="str">
            <v>97-1-9</v>
          </cell>
          <cell r="E1432" t="str">
            <v>사산화납(Lead tetroxide), 황산납(Lead sulfate), 염기성탄산납(basic lead carbonate)을 제외한 납화합물질 및 이를 25% 이상 함유한 혼합물질. 다만, 초산납(lead acetate), 알킬화납(lead alkyls), 아지드화납(lead azide) 이초산납(lead di(acetate)), 메탄술폰산납(lead(III) methanesulfonate), 인산납(lead phosphate(3:2)), 스티핀산납(lead styphate)의 경우는 이를 0.5% 이상 함유한 혼합물질</v>
          </cell>
          <cell r="F1432">
            <v>25</v>
          </cell>
        </row>
        <row r="1433">
          <cell r="B1433" t="str">
            <v>12403-82-6</v>
          </cell>
          <cell r="C1433" t="str">
            <v>Basic lead styphnate</v>
          </cell>
          <cell r="D1433" t="str">
            <v>97-1-9</v>
          </cell>
          <cell r="E1433" t="str">
            <v>사산화납(Lead tetroxide), 황산납(Lead sulfate), 염기성탄산납(basic lead carbonate)을 제외한 납화합물질 및 이를 25% 이상 함유한 혼합물질. 다만, 초산납(lead acetate), 알킬화납(lead alkyls), 아지드화납(lead azide) 이초산납(lead di(acetate)), 메탄술폰산납(lead(III) methanesulfonate), 인산납(lead phosphate(3:2)), 스티핀산납(lead styphate)의 경우는 이를 0.5% 이상 함유한 혼합물질</v>
          </cell>
          <cell r="F1433">
            <v>25</v>
          </cell>
        </row>
        <row r="1434">
          <cell r="B1434" t="str">
            <v>12435-47-1</v>
          </cell>
          <cell r="C1434" t="str">
            <v>Lead germanate</v>
          </cell>
          <cell r="D1434" t="str">
            <v>97-1-9</v>
          </cell>
          <cell r="E1434" t="str">
            <v>사산화납(Lead tetroxide), 황산납(Lead sulfate), 염기성탄산납(basic lead carbonate)을 제외한 납화합물질 및 이를 25% 이상 함유한 혼합물질. 다만, 초산납(lead acetate), 알킬화납(lead alkyls), 아지드화납(lead azide) 이초산납(lead di(acetate)), 메탄술폰산납(lead(III) methanesulfonate), 인산납(lead phosphate(3:2)), 스티핀산납(lead styphate)의 경우는 이를 0.5% 이상 함유한 혼합물질</v>
          </cell>
          <cell r="F1434">
            <v>25</v>
          </cell>
        </row>
        <row r="1435">
          <cell r="B1435" t="str">
            <v>12578-12-0</v>
          </cell>
          <cell r="C1435" t="str">
            <v>Dioxobis(stearato)trilead ; Lead, bis(octadecanoato)dioxotri-</v>
          </cell>
          <cell r="D1435" t="str">
            <v>97-1-9</v>
          </cell>
          <cell r="E1435" t="str">
            <v>사산화납(Lead tetroxide), 황산납(Lead sulfate), 염기성탄산납(basic lead carbonate)을 제외한 납화합물질 및 이를 25% 이상 함유한 혼합물질. 다만, 초산납(lead acetate), 알킬화납(lead alkyls), 아지드화납(lead azide) 이초산납(lead di(acetate)), 메탄술폰산납(lead(III) methanesulfonate), 인산납(lead phosphate(3:2)), 스티핀산납(lead styphate)의 경우는 이를 0.5% 이상 함유한 혼합물질</v>
          </cell>
          <cell r="F1435">
            <v>25</v>
          </cell>
        </row>
        <row r="1436">
          <cell r="B1436" t="str">
            <v>12608-25-2</v>
          </cell>
          <cell r="C1436" t="str">
            <v>Basic lead sulfite</v>
          </cell>
          <cell r="D1436" t="str">
            <v>97-1-9</v>
          </cell>
          <cell r="E1436" t="str">
            <v>사산화납(Lead tetroxide), 황산납(Lead sulfate), 염기성탄산납(basic lead carbonate)을 제외한 납화합물질 및 이를 25% 이상 함유한 혼합물질. 다만, 초산납(lead acetate), 알킬화납(lead alkyls), 아지드화납(lead azide) 이초산납(lead di(acetate)), 메탄술폰산납(lead(III) methanesulfonate), 인산납(lead phosphate(3:2)), 스티핀산납(lead styphate)의 경우는 이를 0.5% 이상 함유한 혼합물질</v>
          </cell>
          <cell r="F1436">
            <v>25</v>
          </cell>
        </row>
        <row r="1437">
          <cell r="B1437" t="str">
            <v>12626-81-2</v>
          </cell>
          <cell r="C1437" t="str">
            <v>Lead titanium zirconium oxide</v>
          </cell>
          <cell r="D1437" t="str">
            <v>97-1-9</v>
          </cell>
          <cell r="E1437" t="str">
            <v>사산화납(Lead tetroxide), 황산납(Lead sulfate), 염기성탄산납(basic lead carbonate)을 제외한 납화합물질 및 이를 25% 이상 함유한 혼합물질. 다만, 초산납(lead acetate), 알킬화납(lead alkyls), 아지드화납(lead azide) 이초산납(lead di(acetate)), 메탄술폰산납(lead(III) methanesulfonate), 인산납(lead phosphate(3:2)), 스티핀산납(lead styphate)의 경우는 이를 0.5% 이상 함유한 혼합물질</v>
          </cell>
          <cell r="F1437">
            <v>25</v>
          </cell>
        </row>
        <row r="1438">
          <cell r="B1438" t="str">
            <v>12656-85-8</v>
          </cell>
          <cell r="C1438" t="str">
            <v>C.I. pigment red 104</v>
          </cell>
          <cell r="D1438" t="str">
            <v>97-1-9</v>
          </cell>
          <cell r="E1438" t="str">
            <v>사산화납(Lead tetroxide), 황산납(Lead sulfate), 염기성탄산납(basic lead carbonate)을 제외한 납화합물질 및 이를 25% 이상 함유한 혼합물질. 다만, 초산납(lead acetate), 알킬화납(lead alkyls), 아지드화납(lead azide) 이초산납(lead di(acetate)), 메탄술폰산납(lead(III) methanesulfonate), 인산납(lead phosphate(3:2)), 스티핀산납(lead styphate)의 경우는 이를 0.5% 이상 함유한 혼합물질</v>
          </cell>
          <cell r="F1438">
            <v>25</v>
          </cell>
        </row>
        <row r="1439">
          <cell r="B1439" t="str">
            <v>12737-98-3</v>
          </cell>
          <cell r="C1439" t="str">
            <v>Lead tungsten oxide</v>
          </cell>
          <cell r="D1439" t="str">
            <v>97-1-9</v>
          </cell>
          <cell r="E1439" t="str">
            <v>사산화납(Lead tetroxide), 황산납(Lead sulfate), 염기성탄산납(basic lead carbonate)을 제외한 납화합물질 및 이를 25% 이상 함유한 혼합물질. 다만, 초산납(lead acetate), 알킬화납(lead alkyls), 아지드화납(lead azide) 이초산납(lead di(acetate)), 메탄술폰산납(lead(III) methanesulfonate), 인산납(lead phosphate(3:2)), 스티핀산납(lead styphate)의 경우는 이를 0.5% 이상 함유한 혼합물질</v>
          </cell>
          <cell r="F1439">
            <v>25</v>
          </cell>
        </row>
        <row r="1440">
          <cell r="B1440" t="str">
            <v>12765-51-4</v>
          </cell>
          <cell r="C1440" t="str">
            <v>Lead oxide sulfate</v>
          </cell>
          <cell r="D1440" t="str">
            <v>97-1-9</v>
          </cell>
          <cell r="E1440" t="str">
            <v>사산화납(Lead tetroxide), 황산납(Lead sulfate), 염기성탄산납(basic lead carbonate)을 제외한 납화합물질 및 이를 25% 이상 함유한 혼합물질. 다만, 초산납(lead acetate), 알킬화납(lead alkyls), 아지드화납(lead azide) 이초산납(lead di(acetate)), 메탄술폰산납(lead(III) methanesulfonate), 인산납(lead phosphate(3:2)), 스티핀산납(lead styphate)의 경우는 이를 0.5% 이상 함유한 혼합물질</v>
          </cell>
          <cell r="F1440">
            <v>25</v>
          </cell>
        </row>
        <row r="1441">
          <cell r="B1441" t="str">
            <v>1309-60-0</v>
          </cell>
          <cell r="C1441" t="str">
            <v>Lead dioxide</v>
          </cell>
          <cell r="D1441" t="str">
            <v>97-1-9</v>
          </cell>
          <cell r="E1441" t="str">
            <v>사산화납(Lead tetroxide), 황산납(Lead sulfate), 염기성탄산납(basic lead carbonate)을 제외한 납화합물질 및 이를 25% 이상 함유한 혼합물질. 다만, 초산납(lead acetate), 알킬화납(lead alkyls), 아지드화납(lead azide) 이초산납(lead di(acetate)), 메탄술폰산납(lead(III) methanesulfonate), 인산납(lead phosphate(3:2)), 스티핀산납(lead styphate)의 경우는 이를 0.5% 이상 함유한 혼합물질</v>
          </cell>
          <cell r="F1441">
            <v>25</v>
          </cell>
        </row>
        <row r="1442">
          <cell r="B1442" t="str">
            <v>1314-27-8</v>
          </cell>
          <cell r="C1442" t="str">
            <v>Lead oxide (Pb2O3)</v>
          </cell>
          <cell r="D1442" t="str">
            <v>97-1-9</v>
          </cell>
          <cell r="E1442" t="str">
            <v>사산화납(Lead tetroxide), 황산납(Lead sulfate), 염기성탄산납(basic lead carbonate)을 제외한 납화합물질 및 이를 25% 이상 함유한 혼합물질. 다만, 초산납(lead acetate), 알킬화납(lead alkyls), 아지드화납(lead azide) 이초산납(lead di(acetate)), 메탄술폰산납(lead(III) methanesulfonate), 인산납(lead phosphate(3:2)), 스티핀산납(lead styphate)의 경우는 이를 0.5% 이상 함유한 혼합물질</v>
          </cell>
          <cell r="F1442">
            <v>25</v>
          </cell>
        </row>
        <row r="1443">
          <cell r="B1443" t="str">
            <v>1314-87-0</v>
          </cell>
          <cell r="C1443" t="str">
            <v>Lead sulfide</v>
          </cell>
          <cell r="D1443" t="str">
            <v>97-1-9</v>
          </cell>
          <cell r="E1443" t="str">
            <v>사산화납(Lead tetroxide), 황산납(Lead sulfate), 염기성탄산납(basic lead carbonate)을 제외한 납화합물질 및 이를 25% 이상 함유한 혼합물질. 다만, 초산납(lead acetate), 알킬화납(lead alkyls), 아지드화납(lead azide) 이초산납(lead di(acetate)), 메탄술폰산납(lead(III) methanesulfonate), 인산납(lead phosphate(3:2)), 스티핀산납(lead styphate)의 경우는 이를 0.5% 이상 함유한 혼합물질</v>
          </cell>
          <cell r="F1443">
            <v>25</v>
          </cell>
        </row>
        <row r="1444">
          <cell r="B1444" t="str">
            <v>1317-36-8</v>
          </cell>
          <cell r="C1444" t="str">
            <v>Lead monoxide</v>
          </cell>
          <cell r="D1444" t="str">
            <v>97-1-9</v>
          </cell>
          <cell r="E1444" t="str">
            <v>사산화납(Lead tetroxide), 황산납(Lead sulfate), 염기성탄산납(basic lead carbonate)을 제외한 납화합물질 및 이를 25% 이상 함유한 혼합물질. 다만, 초산납(lead acetate), 알킬화납(lead alkyls), 아지드화납(lead azide) 이초산납(lead di(acetate)), 메탄술폰산납(lead(III) methanesulfonate), 인산납(lead phosphate(3:2)), 스티핀산납(lead styphate)의 경우는 이를 0.5% 이상 함유한 혼합물질</v>
          </cell>
          <cell r="F1444">
            <v>25</v>
          </cell>
        </row>
        <row r="1445">
          <cell r="B1445" t="str">
            <v>1319-46-6</v>
          </cell>
          <cell r="C1445" t="str">
            <v>Trilead bis(carbonate) dihydroxide</v>
          </cell>
          <cell r="D1445" t="str">
            <v>97-1-9</v>
          </cell>
          <cell r="E1445" t="str">
            <v>사산화납(Lead tetroxide), 황산납(Lead sulfate), 염기성탄산납(basic lead carbonate)을 제외한 납화합물질 및 이를 25% 이상 함유한 혼합물질. 다만, 초산납(lead acetate), 알킬화납(lead alkyls), 아지드화납(lead azide) 이초산납(lead di(acetate)), 메탄술폰산납(lead(III) methanesulfonate), 인산납(lead phosphate(3:2)), 스티핀산납(lead styphate)의 경우는 이를 0.5% 이상 함유한 혼합물질</v>
          </cell>
          <cell r="F1445">
            <v>25</v>
          </cell>
        </row>
        <row r="1446">
          <cell r="B1446" t="str">
            <v>1344-37-2</v>
          </cell>
          <cell r="C1446" t="str">
            <v>pigment yellow 34</v>
          </cell>
          <cell r="D1446" t="str">
            <v>97-1-9</v>
          </cell>
          <cell r="E1446" t="str">
            <v>사산화납(Lead tetroxide), 황산납(Lead sulfate), 염기성탄산납(basic lead carbonate)을 제외한 납화합물질 및 이를 25% 이상 함유한 혼합물질. 다만, 초산납(lead acetate), 알킬화납(lead alkyls), 아지드화납(lead azide) 이초산납(lead di(acetate)), 메탄술폰산납(lead(III) methanesulfonate), 인산납(lead phosphate(3:2)), 스티핀산납(lead styphate)의 경우는 이를 0.5% 이상 함유한 혼합물질</v>
          </cell>
          <cell r="F1446">
            <v>25</v>
          </cell>
        </row>
        <row r="1447">
          <cell r="B1447" t="str">
            <v>1344-40-7</v>
          </cell>
          <cell r="C1447" t="str">
            <v>Lead oxide phosphonate (Pb3O2(HPO3)), hemihydrate</v>
          </cell>
          <cell r="D1447" t="str">
            <v>97-1-9</v>
          </cell>
          <cell r="E1447" t="str">
            <v>사산화납(Lead tetroxide), 황산납(Lead sulfate), 염기성탄산납(basic lead carbonate)을 제외한 납화합물질 및 이를 25% 이상 함유한 혼합물질. 다만, 초산납(lead acetate), 알킬화납(lead alkyls), 아지드화납(lead azide) 이초산납(lead di(acetate)), 메탄술폰산납(lead(III) methanesulfonate), 인산납(lead phosphate(3:2)), 스티핀산납(lead styphate)의 경우는 이를 0.5% 이상 함유한 혼합물질</v>
          </cell>
          <cell r="F1447">
            <v>25</v>
          </cell>
        </row>
        <row r="1448">
          <cell r="B1448" t="str">
            <v>13453-66-2</v>
          </cell>
          <cell r="C1448" t="str">
            <v>Dilead pyrophosphate</v>
          </cell>
          <cell r="D1448" t="str">
            <v>97-1-9</v>
          </cell>
          <cell r="E1448" t="str">
            <v>사산화납(Lead tetroxide), 황산납(Lead sulfate), 염기성탄산납(basic lead carbonate)을 제외한 납화합물질 및 이를 25% 이상 함유한 혼합물질. 다만, 초산납(lead acetate), 알킬화납(lead alkyls), 아지드화납(lead azide) 이초산납(lead di(acetate)), 메탄술폰산납(lead(III) methanesulfonate), 인산납(lead phosphate(3:2)), 스티핀산납(lead styphate)의 경우는 이를 0.5% 이상 함유한 혼합물질</v>
          </cell>
          <cell r="F1448">
            <v>25</v>
          </cell>
        </row>
        <row r="1449">
          <cell r="B1449" t="str">
            <v>13478-50-7</v>
          </cell>
          <cell r="C1449" t="str">
            <v>Lead thiosulfate</v>
          </cell>
          <cell r="D1449" t="str">
            <v>97-1-9</v>
          </cell>
          <cell r="E1449" t="str">
            <v>사산화납(Lead tetroxide), 황산납(Lead sulfate), 염기성탄산납(basic lead carbonate)을 제외한 납화합물질 및 이를 25% 이상 함유한 혼합물질. 다만, 초산납(lead acetate), 알킬화납(lead alkyls), 아지드화납(lead azide) 이초산납(lead di(acetate)), 메탄술폰산납(lead(III) methanesulfonate), 인산납(lead phosphate(3:2)), 스티핀산납(lead styphate)의 경우는 이를 0.5% 이상 함유한 혼합물질</v>
          </cell>
          <cell r="F1449">
            <v>25</v>
          </cell>
        </row>
        <row r="1450">
          <cell r="B1450" t="str">
            <v>13845-35-7</v>
          </cell>
          <cell r="C1450" t="str">
            <v>Telluric acid (H2TeO4), lead(2+) salt (1:1)</v>
          </cell>
          <cell r="D1450" t="str">
            <v>97-1-9</v>
          </cell>
          <cell r="E1450" t="str">
            <v>사산화납(Lead tetroxide), 황산납(Lead sulfate), 염기성탄산납(basic lead carbonate)을 제외한 납화합물질 및 이를 25% 이상 함유한 혼합물질. 다만, 초산납(lead acetate), 알킬화납(lead alkyls), 아지드화납(lead azide) 이초산납(lead di(acetate)), 메탄술폰산납(lead(III) methanesulfonate), 인산납(lead phosphate(3:2)), 스티핀산납(lead styphate)의 경우는 이를 0.5% 이상 함유한 혼합물질</v>
          </cell>
          <cell r="F1450">
            <v>25</v>
          </cell>
        </row>
        <row r="1451">
          <cell r="B1451" t="str">
            <v>14720-53-7</v>
          </cell>
          <cell r="C1451" t="str">
            <v>Lead metaborate</v>
          </cell>
          <cell r="D1451" t="str">
            <v>97-1-9</v>
          </cell>
          <cell r="E1451" t="str">
            <v>사산화납(Lead tetroxide), 황산납(Lead sulfate), 염기성탄산납(basic lead carbonate)을 제외한 납화합물질 및 이를 25% 이상 함유한 혼합물질. 다만, 초산납(lead acetate), 알킬화납(lead alkyls), 아지드화납(lead azide) 이초산납(lead di(acetate)), 메탄술폰산납(lead(III) methanesulfonate), 인산납(lead phosphate(3:2)), 스티핀산납(lead styphate)의 경우는 이를 0.5% 이상 함유한 혼합물질</v>
          </cell>
          <cell r="F1451">
            <v>25</v>
          </cell>
        </row>
        <row r="1452">
          <cell r="B1452" t="str">
            <v>15245-44-0</v>
          </cell>
          <cell r="C1452" t="str">
            <v>Lead styphnate</v>
          </cell>
          <cell r="D1452" t="str">
            <v>97-1-9</v>
          </cell>
          <cell r="E1452" t="str">
            <v>사산화납(Lead tetroxide), 황산납(Lead sulfate), 염기성탄산납(basic lead carbonate)을 제외한 납화합물질 및 이를 25% 이상 함유한 혼합물질. 다만, 초산납(lead acetate), 알킬화납(lead alkyls), 아지드화납(lead azide) 이초산납(lead di(acetate)), 메탄술폰산납(lead(III) methanesulfonate), 인산납(lead phosphate(3:2)), 스티핀산납(lead styphate)의 경우는 이를 0.5% 이상 함유한 혼합물질</v>
          </cell>
          <cell r="F1452">
            <v>25</v>
          </cell>
        </row>
        <row r="1453">
          <cell r="B1453" t="str">
            <v>15696-43-2</v>
          </cell>
          <cell r="C1453" t="str">
            <v>Lead octoate</v>
          </cell>
          <cell r="D1453" t="str">
            <v>97-1-9</v>
          </cell>
          <cell r="E1453" t="str">
            <v>사산화납(Lead tetroxide), 황산납(Lead sulfate), 염기성탄산납(basic lead carbonate)을 제외한 납화합물질 및 이를 25% 이상 함유한 혼합물질. 다만, 초산납(lead acetate), 알킬화납(lead alkyls), 아지드화납(lead azide) 이초산납(lead di(acetate)), 메탄술폰산납(lead(III) methanesulfonate), 인산납(lead phosphate(3:2)), 스티핀산납(lead styphate)의 경우는 이를 0.5% 이상 함유한 혼합물질</v>
          </cell>
          <cell r="F1453">
            <v>25</v>
          </cell>
        </row>
        <row r="1454">
          <cell r="B1454" t="str">
            <v>15845-52-0</v>
          </cell>
          <cell r="C1454" t="str">
            <v>Phosphoric acid, lead(2+) salt (1:1)</v>
          </cell>
          <cell r="D1454" t="str">
            <v>97-1-9</v>
          </cell>
          <cell r="E1454" t="str">
            <v>사산화납(Lead tetroxide), 황산납(Lead sulfate), 염기성탄산납(basic lead carbonate)을 제외한 납화합물질 및 이를 25% 이상 함유한 혼합물질. 다만, 초산납(lead acetate), 알킬화납(lead alkyls), 아지드화납(lead azide) 이초산납(lead di(acetate)), 메탄술폰산납(lead(III) methanesulfonate), 인산납(lead phosphate(3:2)), 스티핀산납(lead styphate)의 경우는 이를 0.5% 이상 함유한 혼합물질</v>
          </cell>
          <cell r="F1454">
            <v>25</v>
          </cell>
        </row>
        <row r="1455">
          <cell r="B1455" t="str">
            <v>15851-47-5</v>
          </cell>
          <cell r="C1455" t="str">
            <v>Telluric acid (H2TeO3), lead(2+) salt (1:1)</v>
          </cell>
          <cell r="D1455" t="str">
            <v>97-1-9</v>
          </cell>
          <cell r="E1455" t="str">
            <v>사산화납(Lead tetroxide), 황산납(Lead sulfate), 염기성탄산납(basic lead carbonate)을 제외한 납화합물질 및 이를 25% 이상 함유한 혼합물질. 다만, 초산납(lead acetate), 알킬화납(lead alkyls), 아지드화납(lead azide) 이초산납(lead di(acetate)), 메탄술폰산납(lead(III) methanesulfonate), 인산납(lead phosphate(3:2)), 스티핀산납(lead styphate)의 경우는 이를 0.5% 이상 함유한 혼합물질</v>
          </cell>
          <cell r="F1455">
            <v>25</v>
          </cell>
        </row>
        <row r="1456">
          <cell r="B1456" t="str">
            <v>15907-04-7</v>
          </cell>
          <cell r="C1456" t="str">
            <v>Benzoic acid lead salt</v>
          </cell>
          <cell r="D1456" t="str">
            <v>97-1-9</v>
          </cell>
          <cell r="E1456" t="str">
            <v>사산화납(Lead tetroxide), 황산납(Lead sulfate), 염기성탄산납(basic lead carbonate)을 제외한 납화합물질 및 이를 25% 이상 함유한 혼합물질. 다만, 초산납(lead acetate), 알킬화납(lead alkyls), 아지드화납(lead azide) 이초산납(lead di(acetate)), 메탄술폰산납(lead(III) methanesulfonate), 인산납(lead phosphate(3:2)), 스티핀산납(lead styphate)의 경우는 이를 0.5% 이상 함유한 혼합물질</v>
          </cell>
          <cell r="F1456">
            <v>25</v>
          </cell>
        </row>
        <row r="1457">
          <cell r="B1457" t="str">
            <v>16038-76-9</v>
          </cell>
          <cell r="C1457" t="str">
            <v>Lead phosphite</v>
          </cell>
          <cell r="D1457" t="str">
            <v>97-1-9</v>
          </cell>
          <cell r="E1457" t="str">
            <v>사산화납(Lead tetroxide), 황산납(Lead sulfate), 염기성탄산납(basic lead carbonate)을 제외한 납화합물질 및 이를 25% 이상 함유한 혼합물질. 다만, 초산납(lead acetate), 알킬화납(lead alkyls), 아지드화납(lead azide) 이초산납(lead di(acetate)), 메탄술폰산납(lead(III) methanesulfonate), 인산납(lead phosphate(3:2)), 스티핀산납(lead styphate)의 경우는 이를 0.5% 이상 함유한 혼합물질</v>
          </cell>
          <cell r="F1457">
            <v>25</v>
          </cell>
        </row>
        <row r="1458">
          <cell r="B1458" t="str">
            <v>16996-40-0</v>
          </cell>
          <cell r="C1458" t="str">
            <v>2-Ethylhexanoic acid, lead salt ; Hexanoic acid, 2-ethyl-, lead salt</v>
          </cell>
          <cell r="D1458" t="str">
            <v>97-1-9</v>
          </cell>
          <cell r="E1458" t="str">
            <v>사산화납(Lead tetroxide), 황산납(Lead sulfate), 염기성탄산납(basic lead carbonate)을 제외한 납화합물질 및 이를 25% 이상 함유한 혼합물질. 다만, 초산납(lead acetate), 알킬화납(lead alkyls), 아지드화납(lead azide) 이초산납(lead di(acetate)), 메탄술폰산납(lead(III) methanesulfonate), 인산납(lead phosphate(3:2)), 스티핀산납(lead styphate)의 경우는 이를 0.5% 이상 함유한 혼합물질</v>
          </cell>
          <cell r="F1458">
            <v>25</v>
          </cell>
        </row>
        <row r="1459">
          <cell r="B1459" t="str">
            <v>17570-76-2</v>
          </cell>
          <cell r="C1459" t="str">
            <v>Lead methane sulfonate</v>
          </cell>
          <cell r="D1459" t="str">
            <v>97-1-9</v>
          </cell>
          <cell r="E1459" t="str">
            <v>사산화납(Lead tetroxide), 황산납(Lead sulfate), 염기성탄산납(basic lead carbonate)을 제외한 납화합물질 및 이를 25% 이상 함유한 혼합물질. 다만, 초산납(lead acetate), 알킬화납(lead alkyls), 아지드화납(lead azide) 이초산납(lead di(acetate)), 메탄술폰산납(lead(III) methanesulfonate), 인산납(lead phosphate(3:2)), 스티핀산납(lead styphate)의 경우는 이를 0.5% 이상 함유한 혼합물질</v>
          </cell>
          <cell r="F1459">
            <v>25</v>
          </cell>
        </row>
        <row r="1460">
          <cell r="B1460" t="str">
            <v>19010-66-3</v>
          </cell>
          <cell r="C1460" t="str">
            <v>Lead bis(dimethyldithiocarbamate) ; Lead, bis(dimethylcarbamodithioato-kS,kS')-, (T-4)-</v>
          </cell>
          <cell r="D1460" t="str">
            <v>97-1-9</v>
          </cell>
          <cell r="E1460" t="str">
            <v>사산화납(Lead tetroxide), 황산납(Lead sulfate), 염기성탄산납(basic lead carbonate)을 제외한 납화합물질 및 이를 25% 이상 함유한 혼합물질. 다만, 초산납(lead acetate), 알킬화납(lead alkyls), 아지드화납(lead azide) 이초산납(lead di(acetate)), 메탄술폰산납(lead(III) methanesulfonate), 인산납(lead phosphate(3:2)), 스티핀산납(lead styphate)의 경우는 이를 0.5% 이상 함유한 혼합물질</v>
          </cell>
          <cell r="F1460">
            <v>25</v>
          </cell>
        </row>
        <row r="1461">
          <cell r="B1461" t="str">
            <v>19783-14-3</v>
          </cell>
          <cell r="C1461" t="str">
            <v>Lead hydroxide (Pb(OH)2)</v>
          </cell>
          <cell r="D1461" t="str">
            <v>97-1-9</v>
          </cell>
          <cell r="E1461" t="str">
            <v>사산화납(Lead tetroxide), 황산납(Lead sulfate), 염기성탄산납(basic lead carbonate)을 제외한 납화합물질 및 이를 25% 이상 함유한 혼합물질. 다만, 초산납(lead acetate), 알킬화납(lead alkyls), 아지드화납(lead azide) 이초산납(lead di(acetate)), 메탄술폰산납(lead(III) methanesulfonate), 인산납(lead phosphate(3:2)), 스티핀산납(lead styphate)의 경우는 이를 0.5% 이상 함유한 혼합물질</v>
          </cell>
          <cell r="F1461">
            <v>25</v>
          </cell>
        </row>
        <row r="1462">
          <cell r="B1462" t="str">
            <v>20837-86-9</v>
          </cell>
          <cell r="C1462" t="str">
            <v>Lead cyanamidate (PbNH2(CN))</v>
          </cell>
          <cell r="D1462" t="str">
            <v>97-1-9</v>
          </cell>
          <cell r="E1462" t="str">
            <v>사산화납(Lead tetroxide), 황산납(Lead sulfate), 염기성탄산납(basic lead carbonate)을 제외한 납화합물질 및 이를 25% 이상 함유한 혼합물질. 다만, 초산납(lead acetate), 알킬화납(lead alkyls), 아지드화납(lead azide) 이초산납(lead di(acetate)), 메탄술폰산납(lead(III) methanesulfonate), 인산납(lead phosphate(3:2)), 스티핀산납(lead styphate)의 경우는 이를 0.5% 이상 함유한 혼합물질</v>
          </cell>
          <cell r="F1462">
            <v>25</v>
          </cell>
        </row>
        <row r="1463">
          <cell r="B1463" t="str">
            <v>20890-10-2</v>
          </cell>
          <cell r="C1463" t="str">
            <v>Lead cyanamidate</v>
          </cell>
          <cell r="D1463" t="str">
            <v>97-1-9</v>
          </cell>
          <cell r="E1463" t="str">
            <v>사산화납(Lead tetroxide), 황산납(Lead sulfate), 염기성탄산납(basic lead carbonate)을 제외한 납화합물질 및 이를 25% 이상 함유한 혼합물질. 다만, 초산납(lead acetate), 알킬화납(lead alkyls), 아지드화납(lead azide) 이초산납(lead di(acetate)), 메탄술폰산납(lead(III) methanesulfonate), 인산납(lead phosphate(3:2)), 스티핀산납(lead styphate)의 경우는 이를 0.5% 이상 함유한 혼합물질</v>
          </cell>
          <cell r="F1463">
            <v>25</v>
          </cell>
        </row>
        <row r="1464">
          <cell r="B1464" t="str">
            <v>22569-74-0</v>
          </cell>
          <cell r="C1464" t="str">
            <v>Lead silicate</v>
          </cell>
          <cell r="D1464" t="str">
            <v>97-1-9</v>
          </cell>
          <cell r="E1464" t="str">
            <v>사산화납(Lead tetroxide), 황산납(Lead sulfate), 염기성탄산납(basic lead carbonate)을 제외한 납화합물질 및 이를 25% 이상 함유한 혼합물질. 다만, 초산납(lead acetate), 알킬화납(lead alkyls), 아지드화납(lead azide) 이초산납(lead di(acetate)), 메탄술폰산납(lead(III) methanesulfonate), 인산납(lead phosphate(3:2)), 스티핀산납(lead styphate)의 경우는 이를 0.5% 이상 함유한 혼합물질</v>
          </cell>
          <cell r="F1464">
            <v>25</v>
          </cell>
        </row>
        <row r="1465">
          <cell r="B1465" t="str">
            <v>25659-31-8</v>
          </cell>
          <cell r="C1465" t="str">
            <v>Lead diiodate</v>
          </cell>
          <cell r="D1465" t="str">
            <v>97-1-9</v>
          </cell>
          <cell r="E1465" t="str">
            <v>사산화납(Lead tetroxide), 황산납(Lead sulfate), 염기성탄산납(basic lead carbonate)을 제외한 납화합물질 및 이를 25% 이상 함유한 혼합물질. 다만, 초산납(lead acetate), 알킬화납(lead alkyls), 아지드화납(lead azide) 이초산납(lead di(acetate)), 메탄술폰산납(lead(III) methanesulfonate), 인산납(lead phosphate(3:2)), 스티핀산납(lead styphate)의 경우는 이를 0.5% 이상 함유한 혼합물질</v>
          </cell>
          <cell r="F1465">
            <v>25</v>
          </cell>
        </row>
        <row r="1466">
          <cell r="B1466" t="str">
            <v>25666-92-6</v>
          </cell>
          <cell r="C1466" t="str">
            <v>Lead sulfite</v>
          </cell>
          <cell r="D1466" t="str">
            <v>97-1-9</v>
          </cell>
          <cell r="E1466" t="str">
            <v>사산화납(Lead tetroxide), 황산납(Lead sulfate), 염기성탄산납(basic lead carbonate)을 제외한 납화합물질 및 이를 25% 이상 함유한 혼합물질. 다만, 초산납(lead acetate), 알킬화납(lead alkyls), 아지드화납(lead azide) 이초산납(lead di(acetate)), 메탄술폰산납(lead(III) methanesulfonate), 인산납(lead phosphate(3:2)), 스티핀산납(lead styphate)의 경우는 이를 0.5% 이상 함유한 혼합물질</v>
          </cell>
          <cell r="F1466">
            <v>25</v>
          </cell>
        </row>
        <row r="1467">
          <cell r="B1467" t="str">
            <v>27253-28-7</v>
          </cell>
          <cell r="C1467" t="str">
            <v>Neodecanoic acid lead salt ; Lead neodecanoate</v>
          </cell>
          <cell r="D1467" t="str">
            <v>97-1-9</v>
          </cell>
          <cell r="E1467" t="str">
            <v>사산화납(Lead tetroxide), 황산납(Lead sulfate), 염기성탄산납(basic lead carbonate)을 제외한 납화합물질 및 이를 25% 이상 함유한 혼합물질. 다만, 초산납(lead acetate), 알킬화납(lead alkyls), 아지드화납(lead azide) 이초산납(lead di(acetate)), 메탄술폰산납(lead(III) methanesulfonate), 인산납(lead phosphate(3:2)), 스티핀산납(lead styphate)의 경우는 이를 0.5% 이상 함유한 혼합물질</v>
          </cell>
          <cell r="F1467">
            <v>25</v>
          </cell>
        </row>
        <row r="1468">
          <cell r="B1468" t="str">
            <v>301-08-6</v>
          </cell>
          <cell r="C1468" t="str">
            <v>Lead 2-ethylhexanoate</v>
          </cell>
          <cell r="D1468" t="str">
            <v>97-1-9</v>
          </cell>
          <cell r="E1468" t="str">
            <v>사산화납(Lead tetroxide), 황산납(Lead sulfate), 염기성탄산납(basic lead carbonate)을 제외한 납화합물질 및 이를 25% 이상 함유한 혼합물질. 다만, 초산납(lead acetate), 알킬화납(lead alkyls), 아지드화납(lead azide) 이초산납(lead di(acetate)), 메탄술폰산납(lead(III) methanesulfonate), 인산납(lead phosphate(3:2)), 스티핀산납(lead styphate)의 경우는 이를 0.5% 이상 함유한 혼합물질</v>
          </cell>
          <cell r="F1468">
            <v>25</v>
          </cell>
        </row>
        <row r="1469">
          <cell r="B1469" t="str">
            <v>3249-60-3</v>
          </cell>
          <cell r="C1469" t="str">
            <v>p-tert-Butylbenzoic acid lead salt</v>
          </cell>
          <cell r="D1469" t="str">
            <v>97-1-9</v>
          </cell>
          <cell r="E1469" t="str">
            <v>사산화납(Lead tetroxide), 황산납(Lead sulfate), 염기성탄산납(basic lead carbonate)을 제외한 납화합물질 및 이를 25% 이상 함유한 혼합물질. 다만, 초산납(lead acetate), 알킬화납(lead alkyls), 아지드화납(lead azide) 이초산납(lead di(acetate)), 메탄술폰산납(lead(III) methanesulfonate), 인산납(lead phosphate(3:2)), 스티핀산납(lead styphate)의 경우는 이를 0.5% 이상 함유한 혼합물질</v>
          </cell>
          <cell r="F1469">
            <v>25</v>
          </cell>
        </row>
        <row r="1470">
          <cell r="B1470" t="str">
            <v>35112-70-0</v>
          </cell>
          <cell r="C1470" t="str">
            <v>Lead cyanamide</v>
          </cell>
          <cell r="D1470" t="str">
            <v>97-1-9</v>
          </cell>
          <cell r="E1470" t="str">
            <v>사산화납(Lead tetroxide), 황산납(Lead sulfate), 염기성탄산납(basic lead carbonate)을 제외한 납화합물질 및 이를 25% 이상 함유한 혼합물질. 다만, 초산납(lead acetate), 알킬화납(lead alkyls), 아지드화납(lead azide) 이초산납(lead di(acetate)), 메탄술폰산납(lead(III) methanesulfonate), 인산납(lead phosphate(3:2)), 스티핀산납(lead styphate)의 경우는 이를 0.5% 이상 함유한 혼합물질</v>
          </cell>
          <cell r="F1470">
            <v>25</v>
          </cell>
        </row>
        <row r="1471">
          <cell r="B1471" t="str">
            <v>35498-15-8</v>
          </cell>
          <cell r="C1471" t="str">
            <v>Orthoboric acid lead(2+) salt</v>
          </cell>
          <cell r="D1471" t="str">
            <v>97-1-9</v>
          </cell>
          <cell r="E1471" t="str">
            <v>사산화납(Lead tetroxide), 황산납(Lead sulfate), 염기성탄산납(basic lead carbonate)을 제외한 납화합물질 및 이를 25% 이상 함유한 혼합물질. 다만, 초산납(lead acetate), 알킬화납(lead alkyls), 아지드화납(lead azide) 이초산납(lead di(acetate)), 메탄술폰산납(lead(III) methanesulfonate), 인산납(lead phosphate(3:2)), 스티핀산납(lead styphate)의 경우는 이를 0.5% 이상 함유한 혼합물질</v>
          </cell>
          <cell r="F1471">
            <v>25</v>
          </cell>
        </row>
        <row r="1472">
          <cell r="B1472" t="str">
            <v>36501-84-5</v>
          </cell>
          <cell r="C1472" t="str">
            <v>Lead bis(dipentyldithiocarbamate)</v>
          </cell>
          <cell r="D1472" t="str">
            <v>97-1-9</v>
          </cell>
          <cell r="E1472" t="str">
            <v>사산화납(Lead tetroxide), 황산납(Lead sulfate), 염기성탄산납(basic lead carbonate)을 제외한 납화합물질 및 이를 25% 이상 함유한 혼합물질. 다만, 초산납(lead acetate), 알킬화납(lead alkyls), 아지드화납(lead azide) 이초산납(lead di(acetate)), 메탄술폰산납(lead(III) methanesulfonate), 인산납(lead phosphate(3:2)), 스티핀산납(lead styphate)의 경우는 이를 0.5% 이상 함유한 혼합물질</v>
          </cell>
          <cell r="F1472">
            <v>25</v>
          </cell>
        </row>
        <row r="1473">
          <cell r="B1473" t="str">
            <v>37194-88-0</v>
          </cell>
          <cell r="C1473" t="str">
            <v>Lead ruthenium oxide (PbRuO3)</v>
          </cell>
          <cell r="D1473" t="str">
            <v>97-1-9</v>
          </cell>
          <cell r="E1473" t="str">
            <v>사산화납(Lead tetroxide), 황산납(Lead sulfate), 염기성탄산납(basic lead carbonate)을 제외한 납화합물질 및 이를 25% 이상 함유한 혼합물질. 다만, 초산납(lead acetate), 알킬화납(lead alkyls), 아지드화납(lead azide) 이초산납(lead di(acetate)), 메탄술폰산납(lead(III) methanesulfonate), 인산납(lead phosphate(3:2)), 스티핀산납(lead styphate)의 경우는 이를 0.5% 이상 함유한 혼합물질</v>
          </cell>
          <cell r="F1473">
            <v>25</v>
          </cell>
        </row>
        <row r="1474">
          <cell r="B1474" t="str">
            <v>39390-00-6</v>
          </cell>
          <cell r="C1474" t="str">
            <v>Lead chloride silicate</v>
          </cell>
          <cell r="D1474" t="str">
            <v>97-1-9</v>
          </cell>
          <cell r="E1474" t="str">
            <v>사산화납(Lead tetroxide), 황산납(Lead sulfate), 염기성탄산납(basic lead carbonate)을 제외한 납화합물질 및 이를 25% 이상 함유한 혼합물질. 다만, 초산납(lead acetate), 알킬화납(lead alkyls), 아지드화납(lead azide) 이초산납(lead di(acetate)), 메탄술폰산납(lead(III) methanesulfonate), 인산납(lead phosphate(3:2)), 스티핀산납(lead styphate)의 경우는 이를 0.5% 이상 함유한 혼합물질</v>
          </cell>
          <cell r="F1474">
            <v>25</v>
          </cell>
        </row>
        <row r="1475">
          <cell r="B1475" t="str">
            <v>42579-89-5</v>
          </cell>
          <cell r="C1475" t="str">
            <v>Sulfuric acid barium lead salt</v>
          </cell>
          <cell r="D1475" t="str">
            <v>97-1-9</v>
          </cell>
          <cell r="E1475" t="str">
            <v>사산화납(Lead tetroxide), 황산납(Lead sulfate), 염기성탄산납(basic lead carbonate)을 제외한 납화합물질 및 이를 25% 이상 함유한 혼합물질. 다만, 초산납(lead acetate), 알킬화납(lead alkyls), 아지드화납(lead azide) 이초산납(lead di(acetate)), 메탄술폰산납(lead(III) methanesulfonate), 인산납(lead phosphate(3:2)), 스티핀산납(lead styphate)의 경우는 이를 0.5% 이상 함유한 혼합물질</v>
          </cell>
          <cell r="F1475">
            <v>25</v>
          </cell>
        </row>
        <row r="1476">
          <cell r="B1476" t="str">
            <v>51868-24-7</v>
          </cell>
          <cell r="C1476" t="str">
            <v>C.I. pigment red 090</v>
          </cell>
          <cell r="D1476" t="str">
            <v>97-1-9</v>
          </cell>
          <cell r="E1476" t="str">
            <v>사산화납(Lead tetroxide), 황산납(Lead sulfate), 염기성탄산납(basic lead carbonate)을 제외한 납화합물질 및 이를 25% 이상 함유한 혼합물질. 다만, 초산납(lead acetate), 알킬화납(lead alkyls), 아지드화납(lead azide) 이초산납(lead di(acetate)), 메탄술폰산납(lead(III) methanesulfonate), 인산납(lead phosphate(3:2)), 스티핀산납(lead styphate)의 경우는 이를 0.5% 이상 함유한 혼합물질</v>
          </cell>
          <cell r="F1476">
            <v>25</v>
          </cell>
        </row>
        <row r="1477">
          <cell r="B1477" t="str">
            <v>52080-60-1</v>
          </cell>
          <cell r="C1477" t="str">
            <v>Octadecanoic acid, lead(2+) salt, tribasic ; Tribasic lead stearate</v>
          </cell>
          <cell r="D1477" t="str">
            <v>97-1-9</v>
          </cell>
          <cell r="E1477" t="str">
            <v>사산화납(Lead tetroxide), 황산납(Lead sulfate), 염기성탄산납(basic lead carbonate)을 제외한 납화합물질 및 이를 25% 이상 함유한 혼합물질. 다만, 초산납(lead acetate), 알킬화납(lead alkyls), 아지드화납(lead azide) 이초산납(lead di(acetate)), 메탄술폰산납(lead(III) methanesulfonate), 인산납(lead phosphate(3:2)), 스티핀산납(lead styphate)의 경우는 이를 0.5% 이상 함유한 혼합물질</v>
          </cell>
          <cell r="F1477">
            <v>25</v>
          </cell>
        </row>
        <row r="1478">
          <cell r="B1478" t="str">
            <v>52231-92-2</v>
          </cell>
          <cell r="C1478" t="str">
            <v>Sulfurous acid, lead salt, basic</v>
          </cell>
          <cell r="D1478" t="str">
            <v>97-1-9</v>
          </cell>
          <cell r="E1478" t="str">
            <v>사산화납(Lead tetroxide), 황산납(Lead sulfate), 염기성탄산납(basic lead carbonate)을 제외한 납화합물질 및 이를 25% 이상 함유한 혼합물질. 다만, 초산납(lead acetate), 알킬화납(lead alkyls), 아지드화납(lead azide) 이초산납(lead di(acetate)), 메탄술폰산납(lead(III) methanesulfonate), 인산납(lead phosphate(3:2)), 스티핀산납(lead styphate)의 경우는 이를 0.5% 이상 함유한 혼합물질</v>
          </cell>
          <cell r="F1478">
            <v>25</v>
          </cell>
        </row>
        <row r="1479">
          <cell r="B1479" t="str">
            <v>52732-72-6</v>
          </cell>
          <cell r="C1479" t="str">
            <v>Sulfuric acid lead salt, tetrabasic</v>
          </cell>
          <cell r="D1479" t="str">
            <v>97-1-9</v>
          </cell>
          <cell r="E1479" t="str">
            <v>사산화납(Lead tetroxide), 황산납(Lead sulfate), 염기성탄산납(basic lead carbonate)을 제외한 납화합물질 및 이를 25% 이상 함유한 혼합물질. 다만, 초산납(lead acetate), 알킬화납(lead alkyls), 아지드화납(lead azide) 이초산납(lead di(acetate)), 메탄술폰산납(lead(III) methanesulfonate), 인산납(lead phosphate(3:2)), 스티핀산납(lead styphate)의 경우는 이를 0.5% 이상 함유한 혼합물질</v>
          </cell>
          <cell r="F1479">
            <v>25</v>
          </cell>
        </row>
        <row r="1480">
          <cell r="B1480" t="str">
            <v>546-67-8</v>
          </cell>
          <cell r="C1480" t="str">
            <v>Lead tetraacetate</v>
          </cell>
          <cell r="D1480" t="str">
            <v>97-1-9</v>
          </cell>
          <cell r="E1480" t="str">
            <v>사산화납(Lead tetroxide), 황산납(Lead sulfate), 염기성탄산납(basic lead carbonate)을 제외한 납화합물질 및 이를 25% 이상 함유한 혼합물질. 다만, 초산납(lead acetate), 알킬화납(lead alkyls), 아지드화납(lead azide) 이초산납(lead di(acetate)), 메탄술폰산납(lead(III) methanesulfonate), 인산납(lead phosphate(3:2)), 스티핀산납(lead styphate)의 경우는 이를 0.5% 이상 함유한 혼합물질</v>
          </cell>
          <cell r="F1480">
            <v>25</v>
          </cell>
        </row>
        <row r="1481">
          <cell r="B1481" t="str">
            <v>56189-09-4</v>
          </cell>
          <cell r="C1481" t="str">
            <v>Dibasic lead stearate</v>
          </cell>
          <cell r="D1481" t="str">
            <v>97-1-9</v>
          </cell>
          <cell r="E1481" t="str">
            <v>사산화납(Lead tetroxide), 황산납(Lead sulfate), 염기성탄산납(basic lead carbonate)을 제외한 납화합물질 및 이를 25% 이상 함유한 혼합물질. 다만, 초산납(lead acetate), 알킬화납(lead alkyls), 아지드화납(lead azide) 이초산납(lead di(acetate)), 메탄술폰산납(lead(III) methanesulfonate), 인산납(lead phosphate(3:2)), 스티핀산납(lead styphate)의 경우는 이를 0.5% 이상 함유한 혼합물질</v>
          </cell>
          <cell r="F1481">
            <v>25</v>
          </cell>
        </row>
        <row r="1482">
          <cell r="B1482" t="str">
            <v>592-87-0</v>
          </cell>
          <cell r="C1482" t="str">
            <v>Lead dithiocyanate</v>
          </cell>
          <cell r="D1482" t="str">
            <v>97-1-9</v>
          </cell>
          <cell r="E1482" t="str">
            <v>사산화납(Lead tetroxide), 황산납(Lead sulfate), 염기성탄산납(basic lead carbonate)을 제외한 납화합물질 및 이를 25% 이상 함유한 혼합물질. 다만, 초산납(lead acetate), 알킬화납(lead alkyls), 아지드화납(lead azide) 이초산납(lead di(acetate)), 메탄술폰산납(lead(III) methanesulfonate), 인산납(lead phosphate(3:2)), 스티핀산납(lead styphate)의 경우는 이를 0.5% 이상 함유한 혼합물질</v>
          </cell>
          <cell r="F1482">
            <v>25</v>
          </cell>
        </row>
        <row r="1483">
          <cell r="B1483" t="str">
            <v>61788-53-2</v>
          </cell>
          <cell r="C1483" t="str">
            <v>Fatty acids, tall oil, lead manganese salts</v>
          </cell>
          <cell r="D1483" t="str">
            <v>97-1-9</v>
          </cell>
          <cell r="E1483" t="str">
            <v>사산화납(Lead tetroxide), 황산납(Lead sulfate), 염기성탄산납(basic lead carbonate)을 제외한 납화합물질 및 이를 25% 이상 함유한 혼합물질. 다만, 초산납(lead acetate), 알킬화납(lead alkyls), 아지드화납(lead azide) 이초산납(lead di(acetate)), 메탄술폰산납(lead(III) methanesulfonate), 인산납(lead phosphate(3:2)), 스티핀산납(lead styphate)의 경우는 이를 0.5% 이상 함유한 혼합물질</v>
          </cell>
          <cell r="F1483">
            <v>25</v>
          </cell>
        </row>
        <row r="1484">
          <cell r="B1484" t="str">
            <v>61788-54-3</v>
          </cell>
          <cell r="C1484" t="str">
            <v>Fatty acids, tall oil, lead salts</v>
          </cell>
          <cell r="D1484" t="str">
            <v>97-1-9</v>
          </cell>
          <cell r="E1484" t="str">
            <v>사산화납(Lead tetroxide), 황산납(Lead sulfate), 염기성탄산납(basic lead carbonate)을 제외한 납화합물질 및 이를 25% 이상 함유한 혼합물질. 다만, 초산납(lead acetate), 알킬화납(lead alkyls), 아지드화납(lead azide) 이초산납(lead di(acetate)), 메탄술폰산납(lead(III) methanesulfonate), 인산납(lead phosphate(3:2)), 스티핀산납(lead styphate)의 경우는 이를 0.5% 이상 함유한 혼합물질</v>
          </cell>
          <cell r="F1484">
            <v>25</v>
          </cell>
        </row>
        <row r="1485">
          <cell r="B1485" t="str">
            <v>61790-14-5</v>
          </cell>
          <cell r="C1485" t="str">
            <v>Naphthenic acids lead salts</v>
          </cell>
          <cell r="D1485" t="str">
            <v>97-1-9</v>
          </cell>
          <cell r="E1485" t="str">
            <v>사산화납(Lead tetroxide), 황산납(Lead sulfate), 염기성탄산납(basic lead carbonate)을 제외한 납화합물질 및 이를 25% 이상 함유한 혼합물질. 다만, 초산납(lead acetate), 알킬화납(lead alkyls), 아지드화납(lead azide) 이초산납(lead di(acetate)), 메탄술폰산납(lead(III) methanesulfonate), 인산납(lead phosphate(3:2)), 스티핀산납(lead styphate)의 경우는 이를 0.5% 이상 함유한 혼합물질</v>
          </cell>
          <cell r="F1485">
            <v>25</v>
          </cell>
        </row>
        <row r="1486">
          <cell r="B1486" t="str">
            <v>67711-86-8</v>
          </cell>
          <cell r="C1486" t="str">
            <v>Lead silicate sulfate (Pb2(SiO3)(SO4))</v>
          </cell>
          <cell r="D1486" t="str">
            <v>97-1-9</v>
          </cell>
          <cell r="E1486" t="str">
            <v>사산화납(Lead tetroxide), 황산납(Lead sulfate), 염기성탄산납(basic lead carbonate)을 제외한 납화합물질 및 이를 25% 이상 함유한 혼합물질. 다만, 초산납(lead acetate), 알킬화납(lead alkyls), 아지드화납(lead azide) 이초산납(lead di(acetate)), 메탄술폰산납(lead(III) methanesulfonate), 인산납(lead phosphate(3:2)), 스티핀산납(lead styphate)의 경우는 이를 0.5% 이상 함유한 혼합물질</v>
          </cell>
          <cell r="F1486">
            <v>25</v>
          </cell>
        </row>
        <row r="1487">
          <cell r="B1487" t="str">
            <v>68131-60-2</v>
          </cell>
          <cell r="C1487" t="str">
            <v>Fatty acids, (C=12-18), lead salts</v>
          </cell>
          <cell r="D1487" t="str">
            <v>97-1-9</v>
          </cell>
          <cell r="E1487" t="str">
            <v>사산화납(Lead tetroxide), 황산납(Lead sulfate), 염기성탄산납(basic lead carbonate)을 제외한 납화합물질 및 이를 25% 이상 함유한 혼합물질. 다만, 초산납(lead acetate), 알킬화납(lead alkyls), 아지드화납(lead azide) 이초산납(lead di(acetate)), 메탄술폰산납(lead(III) methanesulfonate), 인산납(lead phosphate(3:2)), 스티핀산납(lead styphate)의 경우는 이를 0.5% 이상 함유한 혼합물질</v>
          </cell>
          <cell r="F1487">
            <v>25</v>
          </cell>
        </row>
        <row r="1488">
          <cell r="B1488" t="str">
            <v>68152-99-8</v>
          </cell>
          <cell r="C1488" t="str">
            <v>Linseed oil, reaction products with lead oxide (Pb3O4) and mastic</v>
          </cell>
          <cell r="D1488" t="str">
            <v>97-1-9</v>
          </cell>
          <cell r="E1488" t="str">
            <v>사산화납(Lead tetroxide), 황산납(Lead sulfate), 염기성탄산납(basic lead carbonate)을 제외한 납화합물질 및 이를 25% 이상 함유한 혼합물질. 다만, 초산납(lead acetate), 알킬화납(lead alkyls), 아지드화납(lead azide) 이초산납(lead di(acetate)), 메탄술폰산납(lead(III) methanesulfonate), 인산납(lead phosphate(3:2)), 스티핀산납(lead styphate)의 경우는 이를 0.5% 이상 함유한 혼합물질</v>
          </cell>
          <cell r="F1488">
            <v>25</v>
          </cell>
        </row>
        <row r="1489">
          <cell r="B1489" t="str">
            <v>68155-47-5</v>
          </cell>
          <cell r="C1489" t="str">
            <v>2-Propenoic acid, 2-methyl-, methyl ester, polymer with ethenylbenzene, lead(2+) bis(2-methyl-2-propenoate) and α-(2-methyl-1-oxo-2-propenyl)-ω-[(2-methyl-1-oxo-2-propenyl)oxy]poly(oxy-1,2-ethanediyl) ; Methyl methacrylate-styrene-polyethylene glycol-dimethacrylic acid-methacrylic acid lead salt copolymer</v>
          </cell>
          <cell r="D1489" t="str">
            <v>97-1-9</v>
          </cell>
          <cell r="E1489" t="str">
            <v>사산화납(Lead tetroxide), 황산납(Lead sulfate), 염기성탄산납(basic lead carbonate)을 제외한 납화합물질 및 이를 25% 이상 함유한 혼합물질. 다만, 초산납(lead acetate), 알킬화납(lead alkyls), 아지드화납(lead azide) 이초산납(lead di(acetate)), 메탄술폰산납(lead(III) methanesulfonate), 인산납(lead phosphate(3:2)), 스티핀산납(lead styphate)의 경우는 이를 0.5% 이상 함유한 혼합물질</v>
          </cell>
          <cell r="F1489">
            <v>25</v>
          </cell>
        </row>
        <row r="1490">
          <cell r="B1490" t="str">
            <v>6838-85-3</v>
          </cell>
          <cell r="C1490" t="str">
            <v>Dibasic lead phthalate</v>
          </cell>
          <cell r="D1490" t="str">
            <v>97-1-9</v>
          </cell>
          <cell r="E1490" t="str">
            <v>사산화납(Lead tetroxide), 황산납(Lead sulfate), 염기성탄산납(basic lead carbonate)을 제외한 납화합물질 및 이를 25% 이상 함유한 혼합물질. 다만, 초산납(lead acetate), 알킬화납(lead alkyls), 아지드화납(lead azide) 이초산납(lead di(acetate)), 메탄술폰산납(lead(III) methanesulfonate), 인산납(lead phosphate(3:2)), 스티핀산납(lead styphate)의 경우는 이를 0.5% 이상 함유한 혼합물질</v>
          </cell>
          <cell r="F1490">
            <v>25</v>
          </cell>
        </row>
        <row r="1491">
          <cell r="B1491" t="str">
            <v>68409-79-0</v>
          </cell>
          <cell r="C1491" t="str">
            <v>Fatty acids, (C=8-10)-branched, lead salts, basic</v>
          </cell>
          <cell r="D1491" t="str">
            <v>97-1-9</v>
          </cell>
          <cell r="E1491" t="str">
            <v>사산화납(Lead tetroxide), 황산납(Lead sulfate), 염기성탄산납(basic lead carbonate)을 제외한 납화합물질 및 이를 25% 이상 함유한 혼합물질. 다만, 초산납(lead acetate), 알킬화납(lead alkyls), 아지드화납(lead azide) 이초산납(lead di(acetate)), 메탄술폰산납(lead(III) methanesulfonate), 인산납(lead phosphate(3:2)), 스티핀산납(lead styphate)의 경우는 이를 0.5% 이상 함유한 혼합물질</v>
          </cell>
          <cell r="F1491">
            <v>25</v>
          </cell>
        </row>
        <row r="1492">
          <cell r="B1492" t="str">
            <v>68411-78-9</v>
          </cell>
          <cell r="C1492" t="str">
            <v>Lead oxide (PbO), lead-contg.</v>
          </cell>
          <cell r="D1492" t="str">
            <v>97-1-9</v>
          </cell>
          <cell r="E1492" t="str">
            <v>사산화납(Lead tetroxide), 황산납(Lead sulfate), 염기성탄산납(basic lead carbonate)을 제외한 납화합물질 및 이를 25% 이상 함유한 혼합물질. 다만, 초산납(lead acetate), 알킬화납(lead alkyls), 아지드화납(lead azide) 이초산납(lead di(acetate)), 메탄술폰산납(lead(III) methanesulfonate), 인산납(lead phosphate(3:2)), 스티핀산납(lead styphate)의 경우는 이를 0.5% 이상 함유한 혼합물질</v>
          </cell>
          <cell r="F1492">
            <v>25</v>
          </cell>
        </row>
        <row r="1493">
          <cell r="B1493" t="str">
            <v>68424-76-0</v>
          </cell>
          <cell r="C1493" t="str">
            <v>Oils, menhaden, lead salts</v>
          </cell>
          <cell r="D1493" t="str">
            <v>97-1-9</v>
          </cell>
          <cell r="E1493" t="str">
            <v>사산화납(Lead tetroxide), 황산납(Lead sulfate), 염기성탄산납(basic lead carbonate)을 제외한 납화합물질 및 이를 25% 이상 함유한 혼합물질. 다만, 초산납(lead acetate), 알킬화납(lead alkyls), 아지드화납(lead azide) 이초산납(lead di(acetate)), 메탄술폰산납(lead(III) methanesulfonate), 인산납(lead phosphate(3:2)), 스티핀산납(lead styphate)의 경우는 이를 0.5% 이상 함유한 혼합물질</v>
          </cell>
          <cell r="F1493">
            <v>25</v>
          </cell>
        </row>
        <row r="1494">
          <cell r="B1494" t="str">
            <v>68553-17-3</v>
          </cell>
          <cell r="C1494" t="str">
            <v>Linseed oil, lead manganese salt</v>
          </cell>
          <cell r="D1494" t="str">
            <v>97-1-9</v>
          </cell>
          <cell r="E1494" t="str">
            <v>사산화납(Lead tetroxide), 황산납(Lead sulfate), 염기성탄산납(basic lead carbonate)을 제외한 납화합물질 및 이를 25% 이상 함유한 혼합물질. 다만, 초산납(lead acetate), 알킬화납(lead alkyls), 아지드화납(lead azide) 이초산납(lead di(acetate)), 메탄술폰산납(lead(III) methanesulfonate), 인산납(lead phosphate(3:2)), 스티핀산납(lead styphate)의 경우는 이를 0.5% 이상 함유한 혼합물질</v>
          </cell>
          <cell r="F1494">
            <v>25</v>
          </cell>
        </row>
        <row r="1495">
          <cell r="B1495" t="str">
            <v>68553-63-9</v>
          </cell>
          <cell r="C1495" t="str">
            <v>Oils, fish, lead salts</v>
          </cell>
          <cell r="D1495" t="str">
            <v>97-1-9</v>
          </cell>
          <cell r="E1495" t="str">
            <v>사산화납(Lead tetroxide), 황산납(Lead sulfate), 염기성탄산납(basic lead carbonate)을 제외한 납화합물질 및 이를 25% 이상 함유한 혼합물질. 다만, 초산납(lead acetate), 알킬화납(lead alkyls), 아지드화납(lead azide) 이초산납(lead di(acetate)), 메탄술폰산납(lead(III) methanesulfonate), 인산납(lead phosphate(3:2)), 스티핀산납(lead styphate)의 경우는 이를 0.5% 이상 함유한 혼합물질</v>
          </cell>
          <cell r="F1495">
            <v>25</v>
          </cell>
        </row>
        <row r="1496">
          <cell r="B1496" t="str">
            <v>68555-05-5</v>
          </cell>
          <cell r="C1496" t="str">
            <v>Spinels, boron calcium lead silicon white</v>
          </cell>
          <cell r="D1496" t="str">
            <v>97-1-9</v>
          </cell>
          <cell r="E1496" t="str">
            <v>사산화납(Lead tetroxide), 황산납(Lead sulfate), 염기성탄산납(basic lead carbonate)을 제외한 납화합물질 및 이를 25% 이상 함유한 혼합물질. 다만, 초산납(lead acetate), 알킬화납(lead alkyls), 아지드화납(lead azide) 이초산납(lead di(acetate)), 메탄술폰산납(lead(III) methanesulfonate), 인산납(lead phosphate(3:2)), 스티핀산납(lead styphate)의 경우는 이를 0.5% 이상 함유한 혼합물질</v>
          </cell>
          <cell r="F1496">
            <v>25</v>
          </cell>
        </row>
        <row r="1497">
          <cell r="B1497" t="str">
            <v>68555-07-7</v>
          </cell>
          <cell r="C1497" t="str">
            <v>Spinels, lead silicon tin zinc white</v>
          </cell>
          <cell r="D1497" t="str">
            <v>97-1-9</v>
          </cell>
          <cell r="E1497" t="str">
            <v>사산화납(Lead tetroxide), 황산납(Lead sulfate), 염기성탄산납(basic lead carbonate)을 제외한 납화합물질 및 이를 25% 이상 함유한 혼합물질. 다만, 초산납(lead acetate), 알킬화납(lead alkyls), 아지드화납(lead azide) 이초산납(lead di(acetate)), 메탄술폰산납(lead(III) methanesulfonate), 인산납(lead phosphate(3:2)), 스티핀산납(lead styphate)의 경우는 이를 0.5% 이상 함유한 혼합물질</v>
          </cell>
          <cell r="F1497">
            <v>25</v>
          </cell>
        </row>
        <row r="1498">
          <cell r="B1498" t="str">
            <v>68585-90-0</v>
          </cell>
          <cell r="C1498" t="str">
            <v>Zinc sulfide (ZnS), copper and lead-doped</v>
          </cell>
          <cell r="D1498" t="str">
            <v>97-1-9</v>
          </cell>
          <cell r="E1498" t="str">
            <v>사산화납(Lead tetroxide), 황산납(Lead sulfate), 염기성탄산납(basic lead carbonate)을 제외한 납화합물질 및 이를 25% 이상 함유한 혼합물질. 다만, 초산납(lead acetate), 알킬화납(lead alkyls), 아지드화납(lead azide) 이초산납(lead di(acetate)), 메탄술폰산납(lead(III) methanesulfonate), 인산납(lead phosphate(3:2)), 스티핀산납(lead styphate)의 경우는 이를 0.5% 이상 함유한 혼합물질</v>
          </cell>
          <cell r="F1498">
            <v>25</v>
          </cell>
        </row>
        <row r="1499">
          <cell r="B1499" t="str">
            <v>68603-83-8</v>
          </cell>
          <cell r="C1499" t="str">
            <v>Fatty acids, (C=6-19)-branched, lead salts, basic</v>
          </cell>
          <cell r="D1499" t="str">
            <v>97-1-9</v>
          </cell>
          <cell r="E1499" t="str">
            <v>사산화납(Lead tetroxide), 황산납(Lead sulfate), 염기성탄산납(basic lead carbonate)을 제외한 납화합물질 및 이를 25% 이상 함유한 혼합물질. 다만, 초산납(lead acetate), 알킬화납(lead alkyls), 아지드화납(lead azide) 이초산납(lead di(acetate)), 메탄술폰산납(lead(III) methanesulfonate), 인산납(lead phosphate(3:2)), 스티핀산납(lead styphate)의 경우는 이를 0.5% 이상 함유한 혼합물질</v>
          </cell>
          <cell r="F1499">
            <v>25</v>
          </cell>
        </row>
        <row r="1500">
          <cell r="B1500" t="str">
            <v>68603-93-0</v>
          </cell>
          <cell r="C1500" t="str">
            <v>Carboxylic acids, tall oil, lead salts, basic</v>
          </cell>
          <cell r="D1500" t="str">
            <v>97-1-9</v>
          </cell>
          <cell r="E1500" t="str">
            <v>사산화납(Lead tetroxide), 황산납(Lead sulfate), 염기성탄산납(basic lead carbonate)을 제외한 납화합물질 및 이를 25% 이상 함유한 혼합물질. 다만, 초산납(lead acetate), 알킬화납(lead alkyls), 아지드화납(lead azide) 이초산납(lead di(acetate)), 메탄술폰산납(lead(III) methanesulfonate), 인산납(lead phosphate(3:2)), 스티핀산납(lead styphate)의 경우는 이를 0.5% 이상 함유한 혼합물질</v>
          </cell>
          <cell r="F1500">
            <v>25</v>
          </cell>
        </row>
        <row r="1501">
          <cell r="B1501" t="str">
            <v>68604-05-7</v>
          </cell>
          <cell r="C1501" t="str">
            <v>Castor oil, dehydrated polymer with rosin, calcium lead zinc salt</v>
          </cell>
          <cell r="D1501" t="str">
            <v>97-1-9</v>
          </cell>
          <cell r="E1501" t="str">
            <v>사산화납(Lead tetroxide), 황산납(Lead sulfate), 염기성탄산납(basic lead carbonate)을 제외한 납화합물질 및 이를 25% 이상 함유한 혼합물질. 다만, 초산납(lead acetate), 알킬화납(lead alkyls), 아지드화납(lead azide) 이초산납(lead di(acetate)), 메탄술폰산납(lead(III) methanesulfonate), 인산납(lead phosphate(3:2)), 스티핀산납(lead styphate)의 경우는 이를 0.5% 이상 함유한 혼합물질</v>
          </cell>
          <cell r="F1501">
            <v>25</v>
          </cell>
        </row>
        <row r="1502">
          <cell r="B1502" t="str">
            <v>68605-98-1</v>
          </cell>
          <cell r="C1502" t="str">
            <v>Fatty acids, tallow, hydrogenated, lead salts</v>
          </cell>
          <cell r="D1502" t="str">
            <v>97-1-9</v>
          </cell>
          <cell r="E1502" t="str">
            <v>사산화납(Lead tetroxide), 황산납(Lead sulfate), 염기성탄산납(basic lead carbonate)을 제외한 납화합물질 및 이를 25% 이상 함유한 혼합물질. 다만, 초산납(lead acetate), 알킬화납(lead alkyls), 아지드화납(lead azide) 이초산납(lead di(acetate)), 메탄술폰산납(lead(III) methanesulfonate), 인산납(lead phosphate(3:2)), 스티핀산납(lead styphate)의 경우는 이를 0.5% 이상 함유한 혼합물질</v>
          </cell>
          <cell r="F1502">
            <v>25</v>
          </cell>
        </row>
        <row r="1503">
          <cell r="B1503" t="str">
            <v>68784-59-8</v>
          </cell>
          <cell r="C1503" t="str">
            <v>Calcium, acetate coco fatty acids decanoate hydrogenated tallow fatty acids octanoate lead complex</v>
          </cell>
          <cell r="D1503" t="str">
            <v>97-1-9</v>
          </cell>
          <cell r="E1503" t="str">
            <v>사산화납(Lead tetroxide), 황산납(Lead sulfate), 염기성탄산납(basic lead carbonate)을 제외한 납화합물질 및 이를 25% 이상 함유한 혼합물질. 다만, 초산납(lead acetate), 알킬화납(lead alkyls), 아지드화납(lead azide) 이초산납(lead di(acetate)), 메탄술폰산납(lead(III) methanesulfonate), 인산납(lead phosphate(3:2)), 스티핀산납(lead styphate)의 경우는 이를 0.5% 이상 함유한 혼합물질</v>
          </cell>
          <cell r="F1503">
            <v>25</v>
          </cell>
        </row>
        <row r="1504">
          <cell r="B1504" t="str">
            <v>68952-91-0</v>
          </cell>
          <cell r="C1504" t="str">
            <v>Resin acids and Rosin acids, calcium lead salts</v>
          </cell>
          <cell r="D1504" t="str">
            <v>97-1-9</v>
          </cell>
          <cell r="E1504" t="str">
            <v>사산화납(Lead tetroxide), 황산납(Lead sulfate), 염기성탄산납(basic lead carbonate)을 제외한 납화합물질 및 이를 25% 이상 함유한 혼합물질. 다만, 초산납(lead acetate), 알킬화납(lead alkyls), 아지드화납(lead azide) 이초산납(lead di(acetate)), 메탄술폰산납(lead(III) methanesulfonate), 인산납(lead phosphate(3:2)), 스티핀산납(lead styphate)의 경우는 이를 0.5% 이상 함유한 혼합물질</v>
          </cell>
          <cell r="F1504">
            <v>25</v>
          </cell>
        </row>
        <row r="1505">
          <cell r="B1505" t="str">
            <v>68987-33-7</v>
          </cell>
          <cell r="C1505" t="str">
            <v>Barium bismuth lead niobium titanium oxide</v>
          </cell>
          <cell r="D1505" t="str">
            <v>97-1-9</v>
          </cell>
          <cell r="E1505" t="str">
            <v>사산화납(Lead tetroxide), 황산납(Lead sulfate), 염기성탄산납(basic lead carbonate)을 제외한 납화합물질 및 이를 25% 이상 함유한 혼합물질. 다만, 초산납(lead acetate), 알킬화납(lead alkyls), 아지드화납(lead azide) 이초산납(lead di(acetate)), 메탄술폰산납(lead(III) methanesulfonate), 인산납(lead phosphate(3:2)), 스티핀산납(lead styphate)의 경우는 이를 0.5% 이상 함유한 혼합물질</v>
          </cell>
          <cell r="F1505">
            <v>25</v>
          </cell>
        </row>
        <row r="1506">
          <cell r="B1506" t="str">
            <v>68990-75-0</v>
          </cell>
          <cell r="C1506" t="str">
            <v>Linseed oil polymer with tung oil, lead salt</v>
          </cell>
          <cell r="D1506" t="str">
            <v>97-1-9</v>
          </cell>
          <cell r="E1506" t="str">
            <v>사산화납(Lead tetroxide), 황산납(Lead sulfate), 염기성탄산납(basic lead carbonate)을 제외한 납화합물질 및 이를 25% 이상 함유한 혼합물질. 다만, 초산납(lead acetate), 알킬화납(lead alkyls), 아지드화납(lead azide) 이초산납(lead di(acetate)), 메탄술폰산납(lead(III) methanesulfonate), 인산납(lead phosphate(3:2)), 스티핀산납(lead styphate)의 경우는 이를 0.5% 이상 함유한 혼합물질</v>
          </cell>
          <cell r="F1506">
            <v>25</v>
          </cell>
        </row>
        <row r="1507">
          <cell r="B1507" t="str">
            <v>69011-07-0</v>
          </cell>
          <cell r="C1507" t="str">
            <v>Lead chromate silicate (Pb3(CrO4)(SiO4))</v>
          </cell>
          <cell r="D1507" t="str">
            <v>97-1-9</v>
          </cell>
          <cell r="E1507" t="str">
            <v>사산화납(Lead tetroxide), 황산납(Lead sulfate), 염기성탄산납(basic lead carbonate)을 제외한 납화합물질 및 이를 25% 이상 함유한 혼합물질. 다만, 초산납(lead acetate), 알킬화납(lead alkyls), 아지드화납(lead azide) 이초산납(lead di(acetate)), 메탄술폰산납(lead(III) methanesulfonate), 인산납(lead phosphate(3:2)), 스티핀산납(lead styphate)의 경우는 이를 0.5% 이상 함유한 혼합물질</v>
          </cell>
          <cell r="F1507">
            <v>25</v>
          </cell>
        </row>
        <row r="1508">
          <cell r="B1508" t="str">
            <v>69029-52-3</v>
          </cell>
          <cell r="C1508" t="str">
            <v>Lead, dross</v>
          </cell>
          <cell r="D1508" t="str">
            <v>97-1-9</v>
          </cell>
          <cell r="E1508" t="str">
            <v>사산화납(Lead tetroxide), 황산납(Lead sulfate), 염기성탄산납(basic lead carbonate)을 제외한 납화합물질 및 이를 25% 이상 함유한 혼합물질. 다만, 초산납(lead acetate), 알킬화납(lead alkyls), 아지드화납(lead azide) 이초산납(lead di(acetate)), 메탄술폰산납(lead(III) methanesulfonate), 인산납(lead phosphate(3:2)), 스티핀산납(lead styphate)의 경우는 이를 0.5% 이상 함유한 혼합물질</v>
          </cell>
          <cell r="F1508">
            <v>25</v>
          </cell>
        </row>
        <row r="1509">
          <cell r="B1509" t="str">
            <v>69029-74-9</v>
          </cell>
          <cell r="C1509" t="str">
            <v>Lead ores, sintered</v>
          </cell>
          <cell r="D1509" t="str">
            <v>97-1-9</v>
          </cell>
          <cell r="E1509" t="str">
            <v>사산화납(Lead tetroxide), 황산납(Lead sulfate), 염기성탄산납(basic lead carbonate)을 제외한 납화합물질 및 이를 25% 이상 함유한 혼합물질. 다만, 초산납(lead acetate), 알킬화납(lead alkyls), 아지드화납(lead azide) 이초산납(lead di(acetate)), 메탄술폰산납(lead(III) methanesulfonate), 인산납(lead phosphate(3:2)), 스티핀산납(lead styphate)의 경우는 이를 0.5% 이상 함유한 혼합물질</v>
          </cell>
          <cell r="F1509">
            <v>25</v>
          </cell>
        </row>
        <row r="1510">
          <cell r="B1510" t="str">
            <v>69103-04-4</v>
          </cell>
          <cell r="C1510" t="str">
            <v>Fatty acids, tallow, hydrogenated, mixed with acetic acid, coconut oil, decanoic acid and octanoic acid, calcium lead salts</v>
          </cell>
          <cell r="D1510" t="str">
            <v>97-1-9</v>
          </cell>
          <cell r="E1510" t="str">
            <v>사산화납(Lead tetroxide), 황산납(Lead sulfate), 염기성탄산납(basic lead carbonate)을 제외한 납화합물질 및 이를 25% 이상 함유한 혼합물질. 다만, 초산납(lead acetate), 알킬화납(lead alkyls), 아지드화납(lead azide) 이초산납(lead di(acetate)), 메탄술폰산납(lead(III) methanesulfonate), 인산납(lead phosphate(3:2)), 스티핀산납(lead styphate)의 경우는 이를 0.5% 이상 함유한 혼합물질</v>
          </cell>
          <cell r="F1510">
            <v>25</v>
          </cell>
        </row>
        <row r="1511">
          <cell r="B1511" t="str">
            <v>70879-91-3</v>
          </cell>
          <cell r="C1511" t="str">
            <v>Fatty acids, (C=18)-unsatd., dimers polymers with dehydrated castor oil fatty acids and glycerol, lead salts</v>
          </cell>
          <cell r="D1511" t="str">
            <v>97-1-9</v>
          </cell>
          <cell r="E1511" t="str">
            <v>사산화납(Lead tetroxide), 황산납(Lead sulfate), 염기성탄산납(basic lead carbonate)을 제외한 납화합물질 및 이를 25% 이상 함유한 혼합물질. 다만, 초산납(lead acetate), 알킬화납(lead alkyls), 아지드화납(lead azide) 이초산납(lead di(acetate)), 메탄술폰산납(lead(III) methanesulfonate), 인산납(lead phosphate(3:2)), 스티핀산납(lead styphate)의 경우는 이를 0.5% 이상 함유한 혼합물질</v>
          </cell>
          <cell r="F1511">
            <v>25</v>
          </cell>
        </row>
        <row r="1512">
          <cell r="B1512" t="str">
            <v>7428-48-0</v>
          </cell>
          <cell r="C1512" t="str">
            <v>Octadecanoic acid lead salt ; Stearic acid lead salt</v>
          </cell>
          <cell r="D1512" t="str">
            <v>97-1-9</v>
          </cell>
          <cell r="E1512" t="str">
            <v>사산화납(Lead tetroxide), 황산납(Lead sulfate), 염기성탄산납(basic lead carbonate)을 제외한 납화합물질 및 이를 25% 이상 함유한 혼합물질. 다만, 초산납(lead acetate), 알킬화납(lead alkyls), 아지드화납(lead azide) 이초산납(lead di(acetate)), 메탄술폰산납(lead(III) methanesulfonate), 인산납(lead phosphate(3:2)), 스티핀산납(lead styphate)의 경우는 이를 0.5% 이상 함유한 혼합물질</v>
          </cell>
          <cell r="F1512">
            <v>25</v>
          </cell>
        </row>
        <row r="1513">
          <cell r="B1513" t="str">
            <v>7446-10-8</v>
          </cell>
          <cell r="C1513" t="str">
            <v>Lead sulfite (PbSO3)</v>
          </cell>
          <cell r="D1513" t="str">
            <v>97-1-9</v>
          </cell>
          <cell r="E1513" t="str">
            <v>사산화납(Lead tetroxide), 황산납(Lead sulfate), 염기성탄산납(basic lead carbonate)을 제외한 납화합물질 및 이를 25% 이상 함유한 혼합물질. 다만, 초산납(lead acetate), 알킬화납(lead alkyls), 아지드화납(lead azide) 이초산납(lead di(acetate)), 메탄술폰산납(lead(III) methanesulfonate), 인산납(lead phosphate(3:2)), 스티핀산납(lead styphate)의 경우는 이를 0.5% 이상 함유한 혼합물질</v>
          </cell>
          <cell r="F1513">
            <v>25</v>
          </cell>
        </row>
        <row r="1514">
          <cell r="B1514" t="str">
            <v>7446-27-7</v>
          </cell>
          <cell r="C1514" t="str">
            <v>Trilead bis(orthophosphate)</v>
          </cell>
          <cell r="D1514" t="str">
            <v>97-1-9</v>
          </cell>
          <cell r="E1514" t="str">
            <v>사산화납(Lead tetroxide), 황산납(Lead sulfate), 염기성탄산납(basic lead carbonate)을 제외한 납화합물질 및 이를 25% 이상 함유한 혼합물질. 다만, 초산납(lead acetate), 알킬화납(lead alkyls), 아지드화납(lead azide) 이초산납(lead di(acetate)), 메탄술폰산납(lead(III) methanesulfonate), 인산납(lead phosphate(3:2)), 스티핀산납(lead styphate)의 경우는 이를 0.5% 이상 함유한 혼합물질</v>
          </cell>
          <cell r="F1514">
            <v>25</v>
          </cell>
        </row>
        <row r="1515">
          <cell r="B1515" t="str">
            <v>7758-95-4</v>
          </cell>
          <cell r="C1515" t="str">
            <v>Lead dichloride</v>
          </cell>
          <cell r="D1515" t="str">
            <v>97-1-9</v>
          </cell>
          <cell r="E1515" t="str">
            <v>사산화납(Lead tetroxide), 황산납(Lead sulfate), 염기성탄산납(basic lead carbonate)을 제외한 납화합물질 및 이를 25% 이상 함유한 혼합물질. 다만, 초산납(lead acetate), 알킬화납(lead alkyls), 아지드화납(lead azide) 이초산납(lead di(acetate)), 메탄술폰산납(lead(III) methanesulfonate), 인산납(lead phosphate(3:2)), 스티핀산납(lead styphate)의 경우는 이를 0.5% 이상 함유한 혼합물질</v>
          </cell>
          <cell r="F1515">
            <v>25</v>
          </cell>
        </row>
        <row r="1516">
          <cell r="B1516" t="str">
            <v>7759-01-5</v>
          </cell>
          <cell r="C1516" t="str">
            <v>Lead tungsten tetraoxide</v>
          </cell>
          <cell r="D1516" t="str">
            <v>97-1-9</v>
          </cell>
          <cell r="E1516" t="str">
            <v>사산화납(Lead tetroxide), 황산납(Lead sulfate), 염기성탄산납(basic lead carbonate)을 제외한 납화합물질 및 이를 25% 이상 함유한 혼합물질. 다만, 초산납(lead acetate), 알킬화납(lead alkyls), 아지드화납(lead azide) 이초산납(lead di(acetate)), 메탄술폰산납(lead(III) methanesulfonate), 인산납(lead phosphate(3:2)), 스티핀산납(lead styphate)의 경우는 이를 0.5% 이상 함유한 혼합물질</v>
          </cell>
          <cell r="F1516">
            <v>25</v>
          </cell>
        </row>
        <row r="1517">
          <cell r="B1517" t="str">
            <v>7783-46-2</v>
          </cell>
          <cell r="C1517" t="str">
            <v>Lead difluoride</v>
          </cell>
          <cell r="D1517" t="str">
            <v>97-1-9</v>
          </cell>
          <cell r="E1517" t="str">
            <v>사산화납(Lead tetroxide), 황산납(Lead sulfate), 염기성탄산납(basic lead carbonate)을 제외한 납화합물질 및 이를 25% 이상 함유한 혼합물질. 다만, 초산납(lead acetate), 알킬화납(lead alkyls), 아지드화납(lead azide) 이초산납(lead di(acetate)), 메탄술폰산납(lead(III) methanesulfonate), 인산납(lead phosphate(3:2)), 스티핀산납(lead styphate)의 경우는 이를 0.5% 이상 함유한 혼합물질</v>
          </cell>
          <cell r="F1517">
            <v>25</v>
          </cell>
        </row>
        <row r="1518">
          <cell r="B1518" t="str">
            <v>7783-59-7</v>
          </cell>
          <cell r="C1518" t="str">
            <v>Lead(4+) fluoride</v>
          </cell>
          <cell r="D1518" t="str">
            <v>97-1-9</v>
          </cell>
          <cell r="E1518" t="str">
            <v>사산화납(Lead tetroxide), 황산납(Lead sulfate), 염기성탄산납(basic lead carbonate)을 제외한 납화합물질 및 이를 25% 이상 함유한 혼합물질. 다만, 초산납(lead acetate), 알킬화납(lead alkyls), 아지드화납(lead azide) 이초산납(lead di(acetate)), 메탄술폰산납(lead(III) methanesulfonate), 인산납(lead phosphate(3:2)), 스티핀산납(lead styphate)의 경우는 이를 0.5% 이상 함유한 혼합물질</v>
          </cell>
          <cell r="F1518">
            <v>25</v>
          </cell>
        </row>
        <row r="1519">
          <cell r="B1519" t="str">
            <v>9008-26-8</v>
          </cell>
          <cell r="C1519" t="str">
            <v>Resin acids and Rosin acids, lead salts</v>
          </cell>
          <cell r="D1519" t="str">
            <v>97-1-9</v>
          </cell>
          <cell r="E1519" t="str">
            <v>사산화납(Lead tetroxide), 황산납(Lead sulfate), 염기성탄산납(basic lead carbonate)을 제외한 납화합물질 및 이를 25% 이상 함유한 혼합물질. 다만, 초산납(lead acetate), 알킬화납(lead alkyls), 아지드화납(lead azide) 이초산납(lead di(acetate)), 메탄술폰산납(lead(III) methanesulfonate), 인산납(lead phosphate(3:2)), 스티핀산납(lead styphate)의 경우는 이를 0.5% 이상 함유한 혼합물질</v>
          </cell>
          <cell r="F1519">
            <v>25</v>
          </cell>
        </row>
        <row r="1520">
          <cell r="B1520" t="str">
            <v>94551-62-9</v>
          </cell>
          <cell r="C1520" t="str">
            <v>Calcines, lead-zinc ore conc.</v>
          </cell>
          <cell r="D1520" t="str">
            <v>97-1-9</v>
          </cell>
          <cell r="E1520" t="str">
            <v>사산화납(Lead tetroxide), 황산납(Lead sulfate), 염기성탄산납(basic lead carbonate)을 제외한 납화합물질 및 이를 25% 이상 함유한 혼합물질. 다만, 초산납(lead acetate), 알킬화납(lead alkyls), 아지드화납(lead azide) 이초산납(lead di(acetate)), 메탄술폰산납(lead(III) methanesulfonate), 인산납(lead phosphate(3:2)), 스티핀산납(lead styphate)의 경우는 이를 0.5% 이상 함유한 혼합물질</v>
          </cell>
          <cell r="F1520">
            <v>25</v>
          </cell>
        </row>
        <row r="1521">
          <cell r="B1521" t="str">
            <v>95860-12-1</v>
          </cell>
          <cell r="C1521" t="str">
            <v>Methanesulfonic acid, lead salt</v>
          </cell>
          <cell r="D1521" t="str">
            <v>97-1-9</v>
          </cell>
          <cell r="E1521" t="str">
            <v>사산화납(Lead tetroxide), 황산납(Lead sulfate), 염기성탄산납(basic lead carbonate)을 제외한 납화합물질 및 이를 25% 이상 함유한 혼합물질. 다만, 초산납(lead acetate), 알킬화납(lead alkyls), 아지드화납(lead azide) 이초산납(lead di(acetate)), 메탄술폰산납(lead(III) methanesulfonate), 인산납(lead phosphate(3:2)), 스티핀산납(lead styphate)의 경우는 이를 0.5% 이상 함유한 혼합물질</v>
          </cell>
          <cell r="F1521">
            <v>25</v>
          </cell>
        </row>
        <row r="1522">
          <cell r="B1522" t="str">
            <v>99328-54-8</v>
          </cell>
          <cell r="C1522" t="str">
            <v>Sulfuric acid barium salt (1:1), lead-doped</v>
          </cell>
          <cell r="D1522" t="str">
            <v>97-1-9</v>
          </cell>
          <cell r="E1522" t="str">
            <v>사산화납(Lead tetroxide), 황산납(Lead sulfate), 염기성탄산납(basic lead carbonate)을 제외한 납화합물질 및 이를 25% 이상 함유한 혼합물질. 다만, 초산납(lead acetate), 알킬화납(lead alkyls), 아지드화납(lead azide) 이초산납(lead di(acetate)), 메탄술폰산납(lead(III) methanesulfonate), 인산납(lead phosphate(3:2)), 스티핀산납(lead styphate)의 경우는 이를 0.5% 이상 함유한 혼합물질</v>
          </cell>
          <cell r="F1522">
            <v>25</v>
          </cell>
        </row>
        <row r="1523">
          <cell r="C1523" t="str">
            <v>Inorganic lead compounds</v>
          </cell>
          <cell r="D1523" t="str">
            <v>97-1-9</v>
          </cell>
          <cell r="E1523" t="str">
            <v>사산화납(Lead tetroxide), 황산납(Lead sulfate), 염기성탄산납(basic lead carbonate)을 제외한 납화합물질 및 이를 25% 이상 함유한 혼합물질. 다만, 초산납(lead acetate), 알킬화납(lead alkyls), 아지드화납(lead azide) 이초산납(lead di(acetate)), 메탄술폰산납(lead(III) methanesulfonate), 인산납(lead phosphate(3:2)), 스티핀산납(lead styphate)의 경우는 이를 0.5% 이상 함유한 혼합물질</v>
          </cell>
          <cell r="F1523">
            <v>25</v>
          </cell>
        </row>
        <row r="1524">
          <cell r="B1524" t="str">
            <v>1335-31-5</v>
          </cell>
          <cell r="C1524" t="str">
            <v>Dimercury dicyanide oxide</v>
          </cell>
          <cell r="D1524" t="str">
            <v>97-1-90</v>
          </cell>
          <cell r="E1524" t="str">
            <v>무기시안 화합물질[Inorganic cyanide compounds] 및 이를 1% 이상 함유한 혼합물질. 다만, 베를린청(Ferric ferrocyanide), 페로시안염(Ferrocyanide, salts), 페리시안염(Ferricyanide, salts) 및 그 중 하나를 함유한 혼합물질은 제외</v>
          </cell>
          <cell r="F1524">
            <v>1</v>
          </cell>
        </row>
        <row r="1525">
          <cell r="B1525" t="str">
            <v>13682-73-0</v>
          </cell>
          <cell r="C1525" t="str">
            <v>Potassium dicyanocuprate ; Cuprate(1-), bis(cyano-kC)-, potassium</v>
          </cell>
          <cell r="D1525" t="str">
            <v>97-1-90</v>
          </cell>
          <cell r="E1525" t="str">
            <v>무기시안 화합물질[Inorganic cyanide compounds] 및 이를 1% 이상 함유한 혼합물질. 다만, 베를린청(Ferric ferrocyanide), 페로시안염(Ferrocyanide, salts), 페리시안염(Ferricyanide, salts) 및 그 중 하나를 함유한 혼합물질은 제외</v>
          </cell>
          <cell r="F1525">
            <v>1</v>
          </cell>
        </row>
        <row r="1526">
          <cell r="B1526" t="str">
            <v>13715-19-0</v>
          </cell>
          <cell r="C1526" t="str">
            <v>Sodium dicyanocuprate ; Cuprate(1-), bis(cyano-kC)-, sodium</v>
          </cell>
          <cell r="D1526" t="str">
            <v>97-1-90</v>
          </cell>
          <cell r="E1526" t="str">
            <v>무기시안 화합물질[Inorganic cyanide compounds] 및 이를 1% 이상 함유한 혼합물질. 다만, 베를린청(Ferric ferrocyanide), 페로시안염(Ferrocyanide, salts), 페리시안염(Ferricyanide, salts) 및 그 중 하나를 함유한 혼합물질은 제외</v>
          </cell>
          <cell r="F1526">
            <v>1</v>
          </cell>
        </row>
        <row r="1527">
          <cell r="B1527" t="str">
            <v>13963-58-1</v>
          </cell>
          <cell r="C1527" t="str">
            <v>Tripotassium hexacyanocobaltate</v>
          </cell>
          <cell r="D1527" t="str">
            <v>97-1-90</v>
          </cell>
          <cell r="E1527" t="str">
            <v>무기시안 화합물질[Inorganic cyanide compounds] 및 이를 1% 이상 함유한 혼합물질. 다만, 베를린청(Ferric ferrocyanide), 페로시안염(Ferrocyanide, salts), 페리시안염(Ferricyanide, salts) 및 그 중 하나를 함유한 혼합물질은 제외</v>
          </cell>
          <cell r="F1527">
            <v>1</v>
          </cell>
        </row>
        <row r="1528">
          <cell r="B1528" t="str">
            <v>13967-50-5</v>
          </cell>
          <cell r="C1528" t="str">
            <v>Potassium dicyanoaurate</v>
          </cell>
          <cell r="D1528" t="str">
            <v>97-1-90</v>
          </cell>
          <cell r="E1528" t="str">
            <v>무기시안 화합물질[Inorganic cyanide compounds] 및 이를 1% 이상 함유한 혼합물질. 다만, 베를린청(Ferric ferrocyanide), 페로시안염(Ferrocyanide, salts), 페리시안염(Ferricyanide, salts) 및 그 중 하나를 함유한 혼합물질은 제외</v>
          </cell>
          <cell r="F1528">
            <v>1</v>
          </cell>
        </row>
        <row r="1529">
          <cell r="B1529" t="str">
            <v>14038-85-8</v>
          </cell>
          <cell r="C1529" t="str">
            <v>Disodium tetracyanonickelate(2-)</v>
          </cell>
          <cell r="D1529" t="str">
            <v>97-1-90</v>
          </cell>
          <cell r="E1529" t="str">
            <v>무기시안 화합물질[Inorganic cyanide compounds] 및 이를 1% 이상 함유한 혼합물질. 다만, 베를린청(Ferric ferrocyanide), 페로시안염(Ferrocyanide, salts), 페리시안염(Ferricyanide, salts) 및 그 중 하나를 함유한 혼합물질은 제외</v>
          </cell>
          <cell r="F1529">
            <v>1</v>
          </cell>
        </row>
        <row r="1530">
          <cell r="B1530" t="str">
            <v>14039-23-7</v>
          </cell>
          <cell r="C1530" t="str">
            <v>Trisodium hexacyanocobaltate</v>
          </cell>
          <cell r="D1530" t="str">
            <v>97-1-90</v>
          </cell>
          <cell r="E1530" t="str">
            <v>무기시안 화합물질[Inorganic cyanide compounds] 및 이를 1% 이상 함유한 혼합물질. 다만, 베를린청(Ferric ferrocyanide), 페로시안염(Ferrocyanide, salts), 페리시안염(Ferricyanide, salts) 및 그 중 하나를 함유한 혼합물질은 제외</v>
          </cell>
          <cell r="F1530">
            <v>1</v>
          </cell>
        </row>
        <row r="1531">
          <cell r="B1531" t="str">
            <v>14217-00-6</v>
          </cell>
          <cell r="C1531" t="str">
            <v>Tetrasodium hexa(cyano-C)cobaltate(4-)</v>
          </cell>
          <cell r="D1531" t="str">
            <v>97-1-90</v>
          </cell>
          <cell r="E1531" t="str">
            <v>무기시안 화합물질[Inorganic cyanide compounds] 및 이를 1% 이상 함유한 혼합물질. 다만, 베를린청(Ferric ferrocyanide), 페로시안염(Ferrocyanide, salts), 페리시안염(Ferricyanide, salts) 및 그 중 하나를 함유한 혼합물질은 제외</v>
          </cell>
          <cell r="F1531">
            <v>1</v>
          </cell>
        </row>
        <row r="1532">
          <cell r="B1532" t="str">
            <v>14220-17-8</v>
          </cell>
          <cell r="C1532" t="str">
            <v>Dipotassium tetracyanoniccolate</v>
          </cell>
          <cell r="D1532" t="str">
            <v>97-1-90</v>
          </cell>
          <cell r="E1532" t="str">
            <v>무기시안 화합물질[Inorganic cyanide compounds] 및 이를 1% 이상 함유한 혼합물질. 다만, 베를린청(Ferric ferrocyanide), 페로시안염(Ferrocyanide, salts), 페리시안염(Ferricyanide, salts) 및 그 중 하나를 함유한 혼합물질은 제외</v>
          </cell>
          <cell r="F1532">
            <v>1</v>
          </cell>
        </row>
        <row r="1533">
          <cell r="B1533" t="str">
            <v>14263-59-3</v>
          </cell>
          <cell r="C1533" t="str">
            <v>Potassium tetrakis(cyano-C)aurate ; Potassium gold(III) cyanide</v>
          </cell>
          <cell r="D1533" t="str">
            <v>97-1-90</v>
          </cell>
          <cell r="E1533" t="str">
            <v>무기시안 화합물질[Inorganic cyanide compounds] 및 이를 1% 이상 함유한 혼합물질. 다만, 베를린청(Ferric ferrocyanide), 페로시안염(Ferrocyanide, salts), 페리시안염(Ferricyanide, salts) 및 그 중 하나를 함유한 혼합물질은 제외</v>
          </cell>
          <cell r="F1533">
            <v>1</v>
          </cell>
        </row>
        <row r="1534">
          <cell r="B1534" t="str">
            <v>14263-73-1</v>
          </cell>
          <cell r="C1534" t="str">
            <v>Tripotassium tetra(cyano-C)cuprate(3-)</v>
          </cell>
          <cell r="D1534" t="str">
            <v>97-1-90</v>
          </cell>
          <cell r="E1534" t="str">
            <v>무기시안 화합물질[Inorganic cyanide compounds] 및 이를 1% 이상 함유한 혼합물질. 다만, 베를린청(Ferric ferrocyanide), 페로시안염(Ferrocyanide, salts), 페리시안염(Ferricyanide, salts) 및 그 중 하나를 함유한 혼합물질은 제외</v>
          </cell>
          <cell r="F1534">
            <v>1</v>
          </cell>
        </row>
        <row r="1535">
          <cell r="B1535" t="str">
            <v>14264-31-4</v>
          </cell>
          <cell r="C1535" t="str">
            <v>Disodium tri(cyano-C)cuprate(2-)</v>
          </cell>
          <cell r="D1535" t="str">
            <v>97-1-90</v>
          </cell>
          <cell r="E1535" t="str">
            <v>무기시안 화합물질[Inorganic cyanide compounds] 및 이를 1% 이상 함유한 혼합물질. 다만, 베를린청(Ferric ferrocyanide), 페로시안염(Ferrocyanide, salts), 페리시안염(Ferricyanide, salts) 및 그 중 하나를 함유한 혼합물질은 제외</v>
          </cell>
          <cell r="F1535">
            <v>1</v>
          </cell>
        </row>
        <row r="1536">
          <cell r="B1536" t="str">
            <v>143-33-9</v>
          </cell>
          <cell r="C1536" t="str">
            <v>Sodium cyanide</v>
          </cell>
          <cell r="D1536" t="str">
            <v>97-1-90</v>
          </cell>
          <cell r="E1536" t="str">
            <v>무기시안 화합물질[Inorganic cyanide compounds] 및 이를 1% 이상 함유한 혼합물질. 다만, 베를린청(Ferric ferrocyanide), 페로시안염(Ferrocyanide, salts), 페리시안염(Ferricyanide, salts) 및 그 중 하나를 함유한 혼합물질은 제외</v>
          </cell>
          <cell r="F1536">
            <v>1</v>
          </cell>
        </row>
        <row r="1537">
          <cell r="B1537" t="str">
            <v>14402-75-6</v>
          </cell>
          <cell r="C1537" t="str">
            <v>Cadmium dipotassium tetracyanide</v>
          </cell>
          <cell r="D1537" t="str">
            <v>97-1-90</v>
          </cell>
          <cell r="E1537" t="str">
            <v>무기시안 화합물질[Inorganic cyanide compounds] 및 이를 1% 이상 함유한 혼합물질. 다만, 베를린청(Ferric ferrocyanide), 페로시안염(Ferrocyanide, salts), 페리시안염(Ferricyanide, salts) 및 그 중 하나를 함유한 혼합물질은 제외</v>
          </cell>
          <cell r="F1537">
            <v>1</v>
          </cell>
        </row>
        <row r="1538">
          <cell r="B1538" t="str">
            <v>14402-89-2</v>
          </cell>
          <cell r="C1538" t="str">
            <v>Disodium pentakis(cyano-C)nitrosylferrate</v>
          </cell>
          <cell r="D1538" t="str">
            <v>97-1-90</v>
          </cell>
          <cell r="E1538" t="str">
            <v>무기시안 화합물질[Inorganic cyanide compounds] 및 이를 1% 이상 함유한 혼합물질. 다만, 베를린청(Ferric ferrocyanide), 페로시안염(Ferrocyanide, salts), 페리시안염(Ferricyanide, salts) 및 그 중 하나를 함유한 혼합물질은 제외</v>
          </cell>
          <cell r="F1538">
            <v>1</v>
          </cell>
        </row>
        <row r="1539">
          <cell r="B1539" t="str">
            <v>14763-77-0</v>
          </cell>
          <cell r="C1539" t="str">
            <v>Copper dicyanide</v>
          </cell>
          <cell r="D1539" t="str">
            <v>97-1-90</v>
          </cell>
          <cell r="E1539" t="str">
            <v>무기시안 화합물질[Inorganic cyanide compounds] 및 이를 1% 이상 함유한 혼합물질. 다만, 베를린청(Ferric ferrocyanide), 페로시안염(Ferrocyanide, salts), 페리시안염(Ferricyanide, salts) 및 그 중 하나를 함유한 혼합물질은 제외</v>
          </cell>
          <cell r="F1539">
            <v>1</v>
          </cell>
        </row>
        <row r="1540">
          <cell r="B1540" t="str">
            <v>151-50-8</v>
          </cell>
          <cell r="C1540" t="str">
            <v>Potassium cyanide</v>
          </cell>
          <cell r="D1540" t="str">
            <v>97-1-90</v>
          </cell>
          <cell r="E1540" t="str">
            <v>무기시안 화합물질[Inorganic cyanide compounds] 및 이를 1% 이상 함유한 혼합물질. 다만, 베를린청(Ferric ferrocyanide), 페로시안염(Ferrocyanide, salts), 페리시안염(Ferricyanide, salts) 및 그 중 하나를 함유한 혼합물질은 제외</v>
          </cell>
          <cell r="F1540">
            <v>1</v>
          </cell>
        </row>
        <row r="1541">
          <cell r="B1541" t="str">
            <v>15280-09-8</v>
          </cell>
          <cell r="C1541" t="str">
            <v>Sodium dicyanoaurate</v>
          </cell>
          <cell r="D1541" t="str">
            <v>97-1-90</v>
          </cell>
          <cell r="E1541" t="str">
            <v>무기시안 화합물질[Inorganic cyanide compounds] 및 이를 1% 이상 함유한 혼합물질. 다만, 베를린청(Ferric ferrocyanide), 페로시안염(Ferrocyanide, salts), 페리시안염(Ferricyanide, salts) 및 그 중 하나를 함유한 혼합물질은 제외</v>
          </cell>
          <cell r="F1541">
            <v>1</v>
          </cell>
        </row>
        <row r="1542">
          <cell r="B1542" t="str">
            <v>15333-24-1</v>
          </cell>
          <cell r="C1542" t="str">
            <v>Sodium zinc cyanide</v>
          </cell>
          <cell r="D1542" t="str">
            <v>97-1-90</v>
          </cell>
          <cell r="E1542" t="str">
            <v>무기시안 화합물질[Inorganic cyanide compounds] 및 이를 1% 이상 함유한 혼합물질. 다만, 베를린청(Ferric ferrocyanide), 페로시안염(Ferrocyanide, salts), 페리시안염(Ferricyanide, salts) 및 그 중 하나를 함유한 혼합물질은 제외</v>
          </cell>
          <cell r="F1542">
            <v>1</v>
          </cell>
        </row>
        <row r="1543">
          <cell r="B1543" t="str">
            <v>25895-60-7</v>
          </cell>
          <cell r="C1543" t="str">
            <v>Sodium cyanotrihydroborate</v>
          </cell>
          <cell r="D1543" t="str">
            <v>97-1-90</v>
          </cell>
          <cell r="E1543" t="str">
            <v>무기시안 화합물질[Inorganic cyanide compounds] 및 이를 1% 이상 함유한 혼합물질. 다만, 베를린청(Ferric ferrocyanide), 페로시안염(Ferrocyanide, salts), 페리시안염(Ferricyanide, salts) 및 그 중 하나를 함유한 혼합물질은 제외</v>
          </cell>
          <cell r="F1543">
            <v>1</v>
          </cell>
        </row>
        <row r="1544">
          <cell r="B1544" t="str">
            <v>31096-40-9</v>
          </cell>
          <cell r="C1544" t="str">
            <v>Ammonium bis(cyano-C)aurate</v>
          </cell>
          <cell r="D1544" t="str">
            <v>97-1-90</v>
          </cell>
          <cell r="E1544" t="str">
            <v>무기시안 화합물질[Inorganic cyanide compounds] 및 이를 1% 이상 함유한 혼합물질. 다만, 베를린청(Ferric ferrocyanide), 페로시안염(Ferrocyanide, salts), 페리시안염(Ferricyanide, salts) 및 그 중 하나를 함유한 혼합물질은 제외</v>
          </cell>
          <cell r="F1544">
            <v>1</v>
          </cell>
        </row>
        <row r="1545">
          <cell r="B1545" t="str">
            <v>31395-95-6</v>
          </cell>
          <cell r="C1545" t="str">
            <v>Sodium tetrakis(cyano-C)aurate</v>
          </cell>
          <cell r="D1545" t="str">
            <v>97-1-90</v>
          </cell>
          <cell r="E1545" t="str">
            <v>무기시안 화합물질[Inorganic cyanide compounds] 및 이를 1% 이상 함유한 혼합물질. 다만, 베를린청(Ferric ferrocyanide), 페로시안염(Ferrocyanide, salts), 페리시안염(Ferricyanide, salts) 및 그 중 하나를 함유한 혼합물질은 제외</v>
          </cell>
          <cell r="F1545">
            <v>1</v>
          </cell>
        </row>
        <row r="1546">
          <cell r="B1546" t="str">
            <v>4367-08-2</v>
          </cell>
          <cell r="C1546" t="str">
            <v>Copper(II) cyanide</v>
          </cell>
          <cell r="D1546" t="str">
            <v>97-1-90</v>
          </cell>
          <cell r="E1546" t="str">
            <v>무기시안 화합물질[Inorganic cyanide compounds] 및 이를 1% 이상 함유한 혼합물질. 다만, 베를린청(Ferric ferrocyanide), 페로시안염(Ferrocyanide, salts), 페리시안염(Ferricyanide, salts) 및 그 중 하나를 함유한 혼합물질은 제외</v>
          </cell>
          <cell r="F1546">
            <v>1</v>
          </cell>
        </row>
        <row r="1547">
          <cell r="B1547" t="str">
            <v>506-61-6</v>
          </cell>
          <cell r="C1547" t="str">
            <v>Potassium dicyanoargentate</v>
          </cell>
          <cell r="D1547" t="str">
            <v>97-1-90</v>
          </cell>
          <cell r="E1547" t="str">
            <v>무기시안 화합물질[Inorganic cyanide compounds] 및 이를 1% 이상 함유한 혼합물질. 다만, 베를린청(Ferric ferrocyanide), 페로시안염(Ferrocyanide, salts), 페리시안염(Ferricyanide, salts) 및 그 중 하나를 함유한 혼합물질은 제외</v>
          </cell>
          <cell r="F1547">
            <v>1</v>
          </cell>
        </row>
        <row r="1548">
          <cell r="B1548" t="str">
            <v>506-64-9</v>
          </cell>
          <cell r="C1548" t="str">
            <v>Silver cyanide</v>
          </cell>
          <cell r="D1548" t="str">
            <v>97-1-90</v>
          </cell>
          <cell r="E1548" t="str">
            <v>무기시안 화합물질[Inorganic cyanide compounds] 및 이를 1% 이상 함유한 혼합물질. 다만, 베를린청(Ferric ferrocyanide), 페로시안염(Ferrocyanide, salts), 페리시안염(Ferricyanide, salts) 및 그 중 하나를 함유한 혼합물질은 제외</v>
          </cell>
          <cell r="F1548">
            <v>1</v>
          </cell>
        </row>
        <row r="1549">
          <cell r="B1549" t="str">
            <v>506-65-0</v>
          </cell>
          <cell r="C1549" t="str">
            <v>Gold monocyanide</v>
          </cell>
          <cell r="D1549" t="str">
            <v>97-1-90</v>
          </cell>
          <cell r="E1549" t="str">
            <v>무기시안 화합물질[Inorganic cyanide compounds] 및 이를 1% 이상 함유한 혼합물질. 다만, 베를린청(Ferric ferrocyanide), 페로시안염(Ferrocyanide, salts), 페리시안염(Ferricyanide, salts) 및 그 중 하나를 함유한 혼합물질은 제외</v>
          </cell>
          <cell r="F1549">
            <v>1</v>
          </cell>
        </row>
        <row r="1550">
          <cell r="B1550" t="str">
            <v>542-62-1</v>
          </cell>
          <cell r="C1550" t="str">
            <v>Barium cyanide (Ba(CN)2)</v>
          </cell>
          <cell r="D1550" t="str">
            <v>97-1-90</v>
          </cell>
          <cell r="E1550" t="str">
            <v>무기시안 화합물질[Inorganic cyanide compounds] 및 이를 1% 이상 함유한 혼합물질. 다만, 베를린청(Ferric ferrocyanide), 페로시안염(Ferrocyanide, salts), 페리시안염(Ferricyanide, salts) 및 그 중 하나를 함유한 혼합물질은 제외</v>
          </cell>
          <cell r="F1550">
            <v>1</v>
          </cell>
        </row>
        <row r="1551">
          <cell r="B1551" t="str">
            <v>542-83-6</v>
          </cell>
          <cell r="C1551" t="str">
            <v>Cadmium cyanide</v>
          </cell>
          <cell r="D1551" t="str">
            <v>97-1-90</v>
          </cell>
          <cell r="E1551" t="str">
            <v>무기시안 화합물질[Inorganic cyanide compounds] 및 이를 1% 이상 함유한 혼합물질. 다만, 베를린청(Ferric ferrocyanide), 페로시안염(Ferrocyanide, salts), 페리시안염(Ferricyanide, salts) 및 그 중 하나를 함유한 혼합물질은 제외</v>
          </cell>
          <cell r="F1551">
            <v>1</v>
          </cell>
        </row>
        <row r="1552">
          <cell r="B1552" t="str">
            <v>542-84-7</v>
          </cell>
          <cell r="C1552" t="str">
            <v>Cobalt cyanide (Co(CN)2)</v>
          </cell>
          <cell r="D1552" t="str">
            <v>97-1-90</v>
          </cell>
          <cell r="E1552" t="str">
            <v>무기시안 화합물질[Inorganic cyanide compounds] 및 이를 1% 이상 함유한 혼합물질. 다만, 베를린청(Ferric ferrocyanide), 페로시안염(Ferrocyanide, salts), 페리시안염(Ferricyanide, salts) 및 그 중 하나를 함유한 혼합물질은 제외</v>
          </cell>
          <cell r="F1552">
            <v>1</v>
          </cell>
        </row>
        <row r="1553">
          <cell r="B1553" t="str">
            <v>544-92-3</v>
          </cell>
          <cell r="C1553" t="str">
            <v>Copper cyanide</v>
          </cell>
          <cell r="D1553" t="str">
            <v>97-1-90</v>
          </cell>
          <cell r="E1553" t="str">
            <v>무기시안 화합물질[Inorganic cyanide compounds] 및 이를 1% 이상 함유한 혼합물질. 다만, 베를린청(Ferric ferrocyanide), 페로시안염(Ferrocyanide, salts), 페리시안염(Ferricyanide, salts) 및 그 중 하나를 함유한 혼합물질은 제외</v>
          </cell>
          <cell r="F1553">
            <v>1</v>
          </cell>
        </row>
        <row r="1554">
          <cell r="B1554" t="str">
            <v>557-19-7</v>
          </cell>
          <cell r="C1554" t="str">
            <v>Nickel dicyanide</v>
          </cell>
          <cell r="D1554" t="str">
            <v>97-1-90</v>
          </cell>
          <cell r="E1554" t="str">
            <v>무기시안 화합물질[Inorganic cyanide compounds] 및 이를 1% 이상 함유한 혼합물질. 다만, 베를린청(Ferric ferrocyanide), 페로시안염(Ferrocyanide, salts), 페리시안염(Ferricyanide, salts) 및 그 중 하나를 함유한 혼합물질은 제외</v>
          </cell>
          <cell r="F1554">
            <v>1</v>
          </cell>
        </row>
        <row r="1555">
          <cell r="B1555" t="str">
            <v>557-21-1</v>
          </cell>
          <cell r="C1555" t="str">
            <v>Zinc cyanide</v>
          </cell>
          <cell r="D1555" t="str">
            <v>97-1-90</v>
          </cell>
          <cell r="E1555" t="str">
            <v>무기시안 화합물질[Inorganic cyanide compounds] 및 이를 1% 이상 함유한 혼합물질. 다만, 베를린청(Ferric ferrocyanide), 페로시안염(Ferrocyanide, salts), 페리시안염(Ferricyanide, salts) 및 그 중 하나를 함유한 혼합물질은 제외</v>
          </cell>
          <cell r="F1555">
            <v>1</v>
          </cell>
        </row>
        <row r="1556">
          <cell r="B1556" t="str">
            <v>562-76-5</v>
          </cell>
          <cell r="C1556" t="str">
            <v>Dipotassium tetracyanoplatinate</v>
          </cell>
          <cell r="D1556" t="str">
            <v>97-1-90</v>
          </cell>
          <cell r="E1556" t="str">
            <v>무기시안 화합물질[Inorganic cyanide compounds] 및 이를 1% 이상 함유한 혼합물질. 다만, 베를린청(Ferric ferrocyanide), 페로시안염(Ferrocyanide, salts), 페리시안염(Ferricyanide, salts) 및 그 중 하나를 함유한 혼합물질은 제외</v>
          </cell>
          <cell r="F1556">
            <v>1</v>
          </cell>
        </row>
        <row r="1557">
          <cell r="B1557" t="str">
            <v>562-79-8</v>
          </cell>
          <cell r="C1557" t="str">
            <v>Diammonium tetracyanoplatinate</v>
          </cell>
          <cell r="D1557" t="str">
            <v>97-1-90</v>
          </cell>
          <cell r="E1557" t="str">
            <v>무기시안 화합물질[Inorganic cyanide compounds] 및 이를 1% 이상 함유한 혼합물질. 다만, 베를린청(Ferric ferrocyanide), 페로시안염(Ferrocyanide, salts), 페리시안염(Ferricyanide, salts) 및 그 중 하나를 함유한 혼합물질은 제외</v>
          </cell>
          <cell r="F1557">
            <v>1</v>
          </cell>
        </row>
        <row r="1558">
          <cell r="B1558" t="str">
            <v>562-81-2</v>
          </cell>
          <cell r="C1558" t="str">
            <v>Barium tetracyanoplatinate</v>
          </cell>
          <cell r="D1558" t="str">
            <v>97-1-90</v>
          </cell>
          <cell r="E1558" t="str">
            <v>무기시안 화합물질[Inorganic cyanide compounds] 및 이를 1% 이상 함유한 혼합물질. 다만, 베를린청(Ferric ferrocyanide), 페로시안염(Ferrocyanide, salts), 페리시안염(Ferricyanide, salts) 및 그 중 하나를 함유한 혼합물질은 제외</v>
          </cell>
          <cell r="F1558">
            <v>1</v>
          </cell>
        </row>
        <row r="1559">
          <cell r="B1559" t="str">
            <v>592-01-8</v>
          </cell>
          <cell r="C1559" t="str">
            <v>Calcium cyanide</v>
          </cell>
          <cell r="D1559" t="str">
            <v>97-1-90</v>
          </cell>
          <cell r="E1559" t="str">
            <v>무기시안 화합물질[Inorganic cyanide compounds] 및 이를 1% 이상 함유한 혼합물질. 다만, 베를린청(Ferric ferrocyanide), 페로시안염(Ferrocyanide, salts), 페리시안염(Ferricyanide, salts) 및 그 중 하나를 함유한 혼합물질은 제외</v>
          </cell>
          <cell r="F1559">
            <v>1</v>
          </cell>
        </row>
        <row r="1560">
          <cell r="B1560" t="str">
            <v>592-05-2</v>
          </cell>
          <cell r="C1560" t="str">
            <v>Lead dicyanide</v>
          </cell>
          <cell r="D1560" t="str">
            <v>97-1-90</v>
          </cell>
          <cell r="E1560" t="str">
            <v>무기시안 화합물질[Inorganic cyanide compounds] 및 이를 1% 이상 함유한 혼합물질. 다만, 베를린청(Ferric ferrocyanide), 페로시안염(Ferrocyanide, salts), 페리시안염(Ferricyanide, salts) 및 그 중 하나를 함유한 혼합물질은 제외</v>
          </cell>
          <cell r="F1560">
            <v>1</v>
          </cell>
        </row>
        <row r="1561">
          <cell r="B1561" t="str">
            <v>592-06-3</v>
          </cell>
          <cell r="C1561" t="str">
            <v>Platinum dicyanide</v>
          </cell>
          <cell r="D1561" t="str">
            <v>97-1-90</v>
          </cell>
          <cell r="E1561" t="str">
            <v>무기시안 화합물질[Inorganic cyanide compounds] 및 이를 1% 이상 함유한 혼합물질. 다만, 베를린청(Ferric ferrocyanide), 페로시안염(Ferrocyanide, salts), 페리시안염(Ferricyanide, salts) 및 그 중 하나를 함유한 혼합물질은 제외</v>
          </cell>
          <cell r="F1561">
            <v>1</v>
          </cell>
        </row>
        <row r="1562">
          <cell r="B1562" t="str">
            <v>66004-32-8</v>
          </cell>
          <cell r="C1562" t="str">
            <v>Iodine isocyanide</v>
          </cell>
          <cell r="D1562" t="str">
            <v>97-1-90</v>
          </cell>
          <cell r="E1562" t="str">
            <v>무기시안 화합물질[Inorganic cyanide compounds] 및 이를 1% 이상 함유한 혼합물질. 다만, 베를린청(Ferric ferrocyanide), 페로시안염(Ferrocyanide, salts), 페리시안염(Ferricyanide, salts) 및 그 중 하나를 함유한 혼합물질은 제외</v>
          </cell>
          <cell r="F1562">
            <v>1</v>
          </cell>
        </row>
        <row r="1563">
          <cell r="B1563" t="str">
            <v>74-90-8</v>
          </cell>
          <cell r="C1563" t="str">
            <v>Hydrogen cyanide</v>
          </cell>
          <cell r="D1563" t="str">
            <v>97-1-90</v>
          </cell>
          <cell r="E1563" t="str">
            <v>무기시안 화합물질[Inorganic cyanide compounds] 및 이를 1% 이상 함유한 혼합물질. 다만, 베를린청(Ferric ferrocyanide), 페로시안염(Ferrocyanide, salts), 페리시안염(Ferricyanide, salts) 및 그 중 하나를 함유한 혼합물질은 제외</v>
          </cell>
          <cell r="F1563">
            <v>1</v>
          </cell>
        </row>
        <row r="1564">
          <cell r="C1564" t="str">
            <v>Inorganic cyanide compounds</v>
          </cell>
          <cell r="D1564" t="str">
            <v>97-1-90</v>
          </cell>
          <cell r="E1564" t="str">
            <v>무기시안 화합물질[Inorganic cyanide compounds] 및 이를 1% 이상 함유한 혼합물질. 다만, 베를린청(Ferric ferrocyanide), 페로시안염(Ferrocyanide, salts), 페리시안염(Ferricyanide, salts) 및 그 중 하나를 함유한 혼합물질은 제외</v>
          </cell>
          <cell r="F1564">
            <v>1</v>
          </cell>
        </row>
        <row r="1565">
          <cell r="B1565" t="str">
            <v>10139-47-6</v>
          </cell>
          <cell r="C1565" t="str">
            <v>Zinc iodide</v>
          </cell>
          <cell r="D1565" t="str">
            <v>97-1-91</v>
          </cell>
          <cell r="E1565" t="str">
            <v>및 이를 25% 이상 함유한 혼합물질. 탄산 아연(Zinc carbonate) 및 뇌산 아연(Zinc fulminate)은 제외</v>
          </cell>
          <cell r="F1565">
            <v>25</v>
          </cell>
        </row>
        <row r="1566">
          <cell r="B1566" t="str">
            <v>10192-46-8</v>
          </cell>
          <cell r="C1566" t="str">
            <v>Diboron trizinc hexaoxide</v>
          </cell>
          <cell r="D1566" t="str">
            <v>97-1-91</v>
          </cell>
          <cell r="E1566" t="str">
            <v>및 이를 25% 이상 함유한 혼합물질. 탄산 아연(Zinc carbonate) 및 뇌산 아연(Zinc fulminate)은 제외</v>
          </cell>
          <cell r="F1566">
            <v>25</v>
          </cell>
        </row>
        <row r="1567">
          <cell r="B1567" t="str">
            <v>10196-18-6</v>
          </cell>
          <cell r="C1567" t="str">
            <v>Nitric acid, zinc salt, hexahydrate</v>
          </cell>
          <cell r="D1567" t="str">
            <v>97-1-91</v>
          </cell>
          <cell r="E1567" t="str">
            <v>및 이를 25% 이상 함유한 혼합물질. 탄산 아연(Zinc carbonate) 및 뇌산 아연(Zinc fulminate)은 제외</v>
          </cell>
          <cell r="F1567">
            <v>25</v>
          </cell>
        </row>
        <row r="1568">
          <cell r="B1568" t="str">
            <v>10361-94-1</v>
          </cell>
          <cell r="C1568" t="str">
            <v>Orthoboric acid zinc salt</v>
          </cell>
          <cell r="D1568" t="str">
            <v>97-1-91</v>
          </cell>
          <cell r="E1568" t="str">
            <v>및 이를 25% 이상 함유한 혼합물질. 탄산 아연(Zinc carbonate) 및 뇌산 아연(Zinc fulminate)은 제외</v>
          </cell>
          <cell r="F1568">
            <v>25</v>
          </cell>
        </row>
        <row r="1569">
          <cell r="B1569" t="str">
            <v>10380-06-0</v>
          </cell>
          <cell r="C1569" t="str">
            <v>Zinc diperoxometaborate</v>
          </cell>
          <cell r="D1569" t="str">
            <v>97-1-91</v>
          </cell>
          <cell r="E1569" t="str">
            <v>및 이를 25% 이상 함유한 혼합물질. 탄산 아연(Zinc carbonate) 및 뇌산 아연(Zinc fulminate)은 제외</v>
          </cell>
          <cell r="F1569">
            <v>25</v>
          </cell>
        </row>
        <row r="1570">
          <cell r="B1570" t="str">
            <v>11126-29-7</v>
          </cell>
          <cell r="C1570" t="str">
            <v>Silicic acid zinc salt</v>
          </cell>
          <cell r="D1570" t="str">
            <v>97-1-91</v>
          </cell>
          <cell r="E1570" t="str">
            <v>및 이를 25% 이상 함유한 혼합물질. 탄산 아연(Zinc carbonate) 및 뇌산 아연(Zinc fulminate)은 제외</v>
          </cell>
          <cell r="F1570">
            <v>25</v>
          </cell>
        </row>
        <row r="1571">
          <cell r="B1571" t="str">
            <v>12007-67-9</v>
          </cell>
          <cell r="C1571" t="str">
            <v>Zinc tetraborate</v>
          </cell>
          <cell r="D1571" t="str">
            <v>97-1-91</v>
          </cell>
          <cell r="E1571" t="str">
            <v>및 이를 25% 이상 함유한 혼합물질. 탄산 아연(Zinc carbonate) 및 뇌산 아연(Zinc fulminate)은 제외</v>
          </cell>
          <cell r="F1571">
            <v>25</v>
          </cell>
        </row>
        <row r="1572">
          <cell r="B1572" t="str">
            <v>1313-49-1</v>
          </cell>
          <cell r="C1572" t="str">
            <v>Trizinc dinitride</v>
          </cell>
          <cell r="D1572" t="str">
            <v>97-1-91</v>
          </cell>
          <cell r="E1572" t="str">
            <v>및 이를 25% 이상 함유한 혼합물질. 탄산 아연(Zinc carbonate) 및 뇌산 아연(Zinc fulminate)은 제외</v>
          </cell>
          <cell r="F1572">
            <v>25</v>
          </cell>
        </row>
        <row r="1573">
          <cell r="B1573" t="str">
            <v>1315-11-3</v>
          </cell>
          <cell r="C1573" t="str">
            <v>Zinc telluride</v>
          </cell>
          <cell r="D1573" t="str">
            <v>97-1-91</v>
          </cell>
          <cell r="E1573" t="str">
            <v>및 이를 25% 이상 함유한 혼합물질. 탄산 아연(Zinc carbonate) 및 뇌산 아연(Zinc fulminate)은 제외</v>
          </cell>
          <cell r="F1573">
            <v>25</v>
          </cell>
        </row>
        <row r="1574">
          <cell r="B1574" t="str">
            <v>1332-07-6</v>
          </cell>
          <cell r="C1574" t="str">
            <v>Boric acid zinc salt</v>
          </cell>
          <cell r="D1574" t="str">
            <v>97-1-91</v>
          </cell>
          <cell r="E1574" t="str">
            <v>및 이를 25% 이상 함유한 혼합물질. 탄산 아연(Zinc carbonate) 및 뇌산 아연(Zinc fulminate)은 제외</v>
          </cell>
          <cell r="F1574">
            <v>25</v>
          </cell>
        </row>
        <row r="1575">
          <cell r="B1575" t="str">
            <v>13566-15-9</v>
          </cell>
          <cell r="C1575" t="str">
            <v>Zinc dimetaphosphate</v>
          </cell>
          <cell r="D1575" t="str">
            <v>97-1-91</v>
          </cell>
          <cell r="E1575" t="str">
            <v>및 이를 25% 이상 함유한 혼합물질. 탄산 아연(Zinc carbonate) 및 뇌산 아연(Zinc fulminate)은 제외</v>
          </cell>
          <cell r="F1575">
            <v>25</v>
          </cell>
        </row>
        <row r="1576">
          <cell r="B1576" t="str">
            <v>13597-44-9</v>
          </cell>
          <cell r="C1576" t="str">
            <v>Zinc sulfite</v>
          </cell>
          <cell r="D1576" t="str">
            <v>97-1-91</v>
          </cell>
          <cell r="E1576" t="str">
            <v>및 이를 25% 이상 함유한 혼합물질. 탄산 아연(Zinc carbonate) 및 뇌산 아연(Zinc fulminate)은 제외</v>
          </cell>
          <cell r="F1576">
            <v>25</v>
          </cell>
        </row>
        <row r="1577">
          <cell r="B1577" t="str">
            <v>13597-65-4</v>
          </cell>
          <cell r="C1577" t="str">
            <v>Dizinc orthosilicate</v>
          </cell>
          <cell r="D1577" t="str">
            <v>97-1-91</v>
          </cell>
          <cell r="E1577" t="str">
            <v>및 이를 25% 이상 함유한 혼합물질. 탄산 아연(Zinc carbonate) 및 뇌산 아연(Zinc fulminate)은 제외</v>
          </cell>
          <cell r="F1577">
            <v>25</v>
          </cell>
        </row>
        <row r="1578">
          <cell r="B1578" t="str">
            <v>13598-37-3</v>
          </cell>
          <cell r="C1578" t="str">
            <v>Zinc bis(dihydrogen phosphate)</v>
          </cell>
          <cell r="D1578" t="str">
            <v>97-1-91</v>
          </cell>
          <cell r="E1578" t="str">
            <v>및 이를 25% 이상 함유한 혼합물질. 탄산 아연(Zinc carbonate) 및 뇌산 아연(Zinc fulminate)은 제외</v>
          </cell>
          <cell r="F1578">
            <v>25</v>
          </cell>
        </row>
        <row r="1579">
          <cell r="B1579" t="str">
            <v>13637-61-1</v>
          </cell>
          <cell r="C1579" t="str">
            <v>Zinc perchlorate</v>
          </cell>
          <cell r="D1579" t="str">
            <v>97-1-91</v>
          </cell>
          <cell r="E1579" t="str">
            <v>및 이를 25% 이상 함유한 혼합물질. 탄산 아연(Zinc carbonate) 및 뇌산 아연(Zinc fulminate)은 제외</v>
          </cell>
          <cell r="F1579">
            <v>25</v>
          </cell>
        </row>
        <row r="1580">
          <cell r="B1580" t="str">
            <v>13770-90-6</v>
          </cell>
          <cell r="C1580" t="str">
            <v>Zinc disulfamate</v>
          </cell>
          <cell r="D1580" t="str">
            <v>97-1-91</v>
          </cell>
          <cell r="E1580" t="str">
            <v>및 이를 25% 이상 함유한 혼합물질. 탄산 아연(Zinc carbonate) 및 뇌산 아연(Zinc fulminate)은 제외</v>
          </cell>
          <cell r="F1580">
            <v>25</v>
          </cell>
        </row>
        <row r="1581">
          <cell r="B1581" t="str">
            <v>13814-87-4</v>
          </cell>
          <cell r="C1581" t="str">
            <v>Diammonium zinc disulfate</v>
          </cell>
          <cell r="D1581" t="str">
            <v>97-1-91</v>
          </cell>
          <cell r="E1581" t="str">
            <v>및 이를 25% 이상 함유한 혼합물질. 탄산 아연(Zinc carbonate) 및 뇌산 아연(Zinc fulminate)은 제외</v>
          </cell>
          <cell r="F1581">
            <v>25</v>
          </cell>
        </row>
        <row r="1582">
          <cell r="B1582" t="str">
            <v>13826-55-6</v>
          </cell>
          <cell r="C1582" t="str">
            <v>Potassium zinc phosphate</v>
          </cell>
          <cell r="D1582" t="str">
            <v>97-1-91</v>
          </cell>
          <cell r="E1582" t="str">
            <v>및 이를 25% 이상 함유한 혼합물질. 탄산 아연(Zinc carbonate) 및 뇌산 아연(Zinc fulminate)은 제외</v>
          </cell>
          <cell r="F1582">
            <v>25</v>
          </cell>
        </row>
        <row r="1583">
          <cell r="B1583" t="str">
            <v>13827-02-6</v>
          </cell>
          <cell r="C1583" t="str">
            <v>Potassium trifluorozincate</v>
          </cell>
          <cell r="D1583" t="str">
            <v>97-1-91</v>
          </cell>
          <cell r="E1583" t="str">
            <v>및 이를 25% 이상 함유한 혼합물질. 탄산 아연(Zinc carbonate) 및 뇌산 아연(Zinc fulminate)은 제외</v>
          </cell>
          <cell r="F1583">
            <v>25</v>
          </cell>
        </row>
        <row r="1584">
          <cell r="B1584" t="str">
            <v>13847-22-8</v>
          </cell>
          <cell r="C1584" t="str">
            <v>Phosphoric acid zinc salt</v>
          </cell>
          <cell r="D1584" t="str">
            <v>97-1-91</v>
          </cell>
          <cell r="E1584" t="str">
            <v>및 이를 25% 이상 함유한 혼합물질. 탄산 아연(Zinc carbonate) 및 뇌산 아연(Zinc fulminate)은 제외</v>
          </cell>
          <cell r="F1584">
            <v>25</v>
          </cell>
        </row>
        <row r="1585">
          <cell r="B1585" t="str">
            <v>13932-17-7</v>
          </cell>
          <cell r="C1585" t="str">
            <v>Dipotassium zinc bis(sulfate)</v>
          </cell>
          <cell r="D1585" t="str">
            <v>97-1-91</v>
          </cell>
          <cell r="E1585" t="str">
            <v>및 이를 25% 이상 함유한 혼합물질. 탄산 아연(Zinc carbonate) 및 뇌산 아연(Zinc fulminate)은 제외</v>
          </cell>
          <cell r="F1585">
            <v>25</v>
          </cell>
        </row>
        <row r="1586">
          <cell r="B1586" t="str">
            <v>14244-62-3</v>
          </cell>
          <cell r="C1586" t="str">
            <v>Dipotassium tetracyanozincate</v>
          </cell>
          <cell r="D1586" t="str">
            <v>97-1-91</v>
          </cell>
          <cell r="E1586" t="str">
            <v>및 이를 25% 이상 함유한 혼합물질. 탄산 아연(Zinc carbonate) 및 뇌산 아연(Zinc fulminate)은 제외</v>
          </cell>
          <cell r="F1586">
            <v>25</v>
          </cell>
        </row>
        <row r="1587">
          <cell r="B1587" t="str">
            <v>14332-59-3</v>
          </cell>
          <cell r="C1587" t="str">
            <v>Zinc phosphonate</v>
          </cell>
          <cell r="D1587" t="str">
            <v>97-1-91</v>
          </cell>
          <cell r="E1587" t="str">
            <v>및 이를 25% 이상 함유한 혼합물질. 탄산 아연(Zinc carbonate) 및 뇌산 아연(Zinc fulminate)은 제외</v>
          </cell>
          <cell r="F1587">
            <v>25</v>
          </cell>
        </row>
        <row r="1588">
          <cell r="B1588" t="str">
            <v>14332-60-6</v>
          </cell>
          <cell r="C1588" t="str">
            <v>Zinc hydrogen phosphate</v>
          </cell>
          <cell r="D1588" t="str">
            <v>97-1-91</v>
          </cell>
          <cell r="E1588" t="str">
            <v>및 이를 25% 이상 함유한 혼합물질. 탄산 아연(Zinc carbonate) 및 뇌산 아연(Zinc fulminate)은 제외</v>
          </cell>
          <cell r="F1588">
            <v>25</v>
          </cell>
        </row>
        <row r="1589">
          <cell r="B1589" t="str">
            <v>14519-07-4</v>
          </cell>
          <cell r="C1589" t="str">
            <v>Zinc bromate</v>
          </cell>
          <cell r="D1589" t="str">
            <v>97-1-91</v>
          </cell>
          <cell r="E1589" t="str">
            <v>및 이를 25% 이상 함유한 혼합물질. 탄산 아연(Zinc carbonate) 및 뇌산 아연(Zinc fulminate)은 제외</v>
          </cell>
          <cell r="F1589">
            <v>25</v>
          </cell>
        </row>
        <row r="1590">
          <cell r="B1590" t="str">
            <v>14639-98-6</v>
          </cell>
          <cell r="C1590" t="str">
            <v>Triammonium pentachlorozincate(3-)</v>
          </cell>
          <cell r="D1590" t="str">
            <v>97-1-91</v>
          </cell>
          <cell r="E1590" t="str">
            <v>및 이를 25% 이상 함유한 혼합물질. 탄산 아연(Zinc carbonate) 및 뇌산 아연(Zinc fulminate)은 제외</v>
          </cell>
          <cell r="F1590">
            <v>25</v>
          </cell>
        </row>
        <row r="1591">
          <cell r="B1591" t="str">
            <v>14720-55-9</v>
          </cell>
          <cell r="C1591" t="str">
            <v>Diboron zinc tetraoxide</v>
          </cell>
          <cell r="D1591" t="str">
            <v>97-1-91</v>
          </cell>
          <cell r="E1591" t="str">
            <v>및 이를 25% 이상 함유한 혼합물질. 탄산 아연(Zinc carbonate) 및 뇌산 아연(Zinc fulminate)은 제외</v>
          </cell>
          <cell r="F1591">
            <v>25</v>
          </cell>
        </row>
        <row r="1592">
          <cell r="B1592" t="str">
            <v>14883-46-6</v>
          </cell>
          <cell r="C1592" t="str">
            <v>Dizinc hexacyanoferrate</v>
          </cell>
          <cell r="D1592" t="str">
            <v>97-1-91</v>
          </cell>
          <cell r="E1592" t="str">
            <v>및 이를 25% 이상 함유한 혼합물질. 탄산 아연(Zinc carbonate) 및 뇌산 아연(Zinc fulminate)은 제외</v>
          </cell>
          <cell r="F1592">
            <v>25</v>
          </cell>
        </row>
        <row r="1593">
          <cell r="B1593" t="str">
            <v>15060-64-7</v>
          </cell>
          <cell r="C1593" t="str">
            <v>Zinc phosphinate</v>
          </cell>
          <cell r="D1593" t="str">
            <v>97-1-91</v>
          </cell>
          <cell r="E1593" t="str">
            <v>및 이를 25% 이상 함유한 혼합물질. 탄산 아연(Zinc carbonate) 및 뇌산 아연(Zinc fulminate)은 제외</v>
          </cell>
          <cell r="F1593">
            <v>25</v>
          </cell>
        </row>
        <row r="1594">
          <cell r="B1594" t="str">
            <v>18428-70-1</v>
          </cell>
          <cell r="C1594" t="str">
            <v>Triphosphoric acid zinc salt</v>
          </cell>
          <cell r="D1594" t="str">
            <v>97-1-91</v>
          </cell>
          <cell r="E1594" t="str">
            <v>및 이를 25% 이상 함유한 혼합물질. 탄산 아연(Zinc carbonate) 및 뇌산 아연(Zinc fulminate)은 제외</v>
          </cell>
          <cell r="F1594">
            <v>25</v>
          </cell>
        </row>
        <row r="1595">
          <cell r="B1595" t="str">
            <v>19210-06-1</v>
          </cell>
          <cell r="C1595" t="str">
            <v>Phosphorodithioic acid zinc salt</v>
          </cell>
          <cell r="D1595" t="str">
            <v>97-1-91</v>
          </cell>
          <cell r="E1595" t="str">
            <v>및 이를 25% 이상 함유한 혼합물질. 탄산 아연(Zinc carbonate) 및 뇌산 아연(Zinc fulminate)은 제외</v>
          </cell>
          <cell r="F1595">
            <v>25</v>
          </cell>
        </row>
        <row r="1596">
          <cell r="B1596" t="str">
            <v>19262-92-1</v>
          </cell>
          <cell r="C1596" t="str">
            <v>Diphosphoric acid zinc salt</v>
          </cell>
          <cell r="D1596" t="str">
            <v>97-1-91</v>
          </cell>
          <cell r="E1596" t="str">
            <v>및 이를 25% 이상 함유한 혼합물질. 탄산 아연(Zinc carbonate) 및 뇌산 아연(Zinc fulminate)은 제외</v>
          </cell>
          <cell r="F1596">
            <v>25</v>
          </cell>
        </row>
        <row r="1597">
          <cell r="B1597" t="str">
            <v>23414-72-4</v>
          </cell>
          <cell r="C1597" t="str">
            <v>Zinc permanganate</v>
          </cell>
          <cell r="D1597" t="str">
            <v>97-1-91</v>
          </cell>
          <cell r="E1597" t="str">
            <v>및 이를 25% 이상 함유한 혼합물질. 탄산 아연(Zinc carbonate) 및 뇌산 아연(Zinc fulminate)은 제외</v>
          </cell>
          <cell r="F1597">
            <v>25</v>
          </cell>
        </row>
        <row r="1598">
          <cell r="B1598" t="str">
            <v>24012-08-6</v>
          </cell>
          <cell r="C1598" t="str">
            <v>Carbonic acid ammonium zinc salt</v>
          </cell>
          <cell r="D1598" t="str">
            <v>97-1-91</v>
          </cell>
          <cell r="E1598" t="str">
            <v>및 이를 25% 이상 함유한 혼합물질. 탄산 아연(Zinc carbonate) 및 뇌산 아연(Zinc fulminate)은 제외</v>
          </cell>
          <cell r="F1598">
            <v>25</v>
          </cell>
        </row>
        <row r="1599">
          <cell r="B1599" t="str">
            <v>24606-42-6</v>
          </cell>
          <cell r="C1599" t="str">
            <v>Dipotassium zinc diphosphate</v>
          </cell>
          <cell r="D1599" t="str">
            <v>97-1-91</v>
          </cell>
          <cell r="E1599" t="str">
            <v>및 이를 25% 이상 함유한 혼합물질. 탄산 아연(Zinc carbonate) 및 뇌산 아연(Zinc fulminate)은 제외</v>
          </cell>
          <cell r="F1599">
            <v>25</v>
          </cell>
        </row>
        <row r="1600">
          <cell r="B1600" t="str">
            <v>25638-88-4</v>
          </cell>
          <cell r="C1600" t="str">
            <v>Beryllium zinc silicate</v>
          </cell>
          <cell r="D1600" t="str">
            <v>97-1-91</v>
          </cell>
          <cell r="E1600" t="str">
            <v>및 이를 25% 이상 함유한 혼합물질. 탄산 아연(Zinc carbonate) 및 뇌산 아연(Zinc fulminate)은 제외</v>
          </cell>
          <cell r="F1600">
            <v>25</v>
          </cell>
        </row>
        <row r="1601">
          <cell r="B1601" t="str">
            <v>30848-25-0</v>
          </cell>
          <cell r="C1601" t="str">
            <v>Barium zinc orthosilicate (1:2:1)</v>
          </cell>
          <cell r="D1601" t="str">
            <v>97-1-91</v>
          </cell>
          <cell r="E1601" t="str">
            <v>및 이를 25% 이상 함유한 혼합물질. 탄산 아연(Zinc carbonate) 및 뇌산 아연(Zinc fulminate)은 제외</v>
          </cell>
          <cell r="F1601">
            <v>25</v>
          </cell>
        </row>
        <row r="1602">
          <cell r="B1602" t="str">
            <v>40861-29-8</v>
          </cell>
          <cell r="C1602" t="str">
            <v>Carbonic acid ammonium zinc salt (2:2:1)</v>
          </cell>
          <cell r="D1602" t="str">
            <v>97-1-91</v>
          </cell>
          <cell r="E1602" t="str">
            <v>및 이를 25% 이상 함유한 혼합물질. 탄산 아연(Zinc carbonate) 및 뇌산 아연(Zinc fulminate)은 제외</v>
          </cell>
          <cell r="F1602">
            <v>25</v>
          </cell>
        </row>
        <row r="1603">
          <cell r="B1603" t="str">
            <v>51839-25-9</v>
          </cell>
          <cell r="C1603" t="str">
            <v>Carbonic acid zinc salt, basic</v>
          </cell>
          <cell r="D1603" t="str">
            <v>97-1-91</v>
          </cell>
          <cell r="E1603" t="str">
            <v>및 이를 25% 이상 함유한 혼합물질. 탄산 아연(Zinc carbonate) 및 뇌산 아연(Zinc fulminate)은 제외</v>
          </cell>
          <cell r="F1603">
            <v>25</v>
          </cell>
        </row>
        <row r="1604">
          <cell r="B1604" t="str">
            <v>52488-90-1</v>
          </cell>
          <cell r="C1604" t="str">
            <v>Silicic acid aluminium zinc salt</v>
          </cell>
          <cell r="D1604" t="str">
            <v>97-1-91</v>
          </cell>
          <cell r="E1604" t="str">
            <v>및 이를 25% 이상 함유한 혼합물질. 탄산 아연(Zinc carbonate) 및 뇌산 아연(Zinc fulminate)은 제외</v>
          </cell>
          <cell r="F1604">
            <v>25</v>
          </cell>
        </row>
        <row r="1605">
          <cell r="B1605" t="str">
            <v>52628-25-8</v>
          </cell>
          <cell r="C1605" t="str">
            <v>Ammonium zinc chloride</v>
          </cell>
          <cell r="D1605" t="str">
            <v>97-1-91</v>
          </cell>
          <cell r="E1605" t="str">
            <v>및 이를 25% 이상 함유한 혼합물질. 탄산 아연(Zinc carbonate) 및 뇌산 아연(Zinc fulminate)은 제외</v>
          </cell>
          <cell r="F1605">
            <v>25</v>
          </cell>
        </row>
        <row r="1606">
          <cell r="B1606" t="str">
            <v>54389-17-2</v>
          </cell>
          <cell r="C1606" t="str">
            <v>Zinc dihydrogen diphosphate</v>
          </cell>
          <cell r="D1606" t="str">
            <v>97-1-91</v>
          </cell>
          <cell r="E1606" t="str">
            <v>및 이를 25% 이상 함유한 혼합물질. 탄산 아연(Zinc carbonate) 및 뇌산 아연(Zinc fulminate)은 제외</v>
          </cell>
          <cell r="F1606">
            <v>25</v>
          </cell>
        </row>
        <row r="1607">
          <cell r="B1607" t="str">
            <v>557-42-6</v>
          </cell>
          <cell r="C1607" t="str">
            <v>Zinc thiocyanate</v>
          </cell>
          <cell r="D1607" t="str">
            <v>97-1-91</v>
          </cell>
          <cell r="E1607" t="str">
            <v>및 이를 25% 이상 함유한 혼합물질. 탄산 아연(Zinc carbonate) 및 뇌산 아연(Zinc fulminate)은 제외</v>
          </cell>
          <cell r="F1607">
            <v>25</v>
          </cell>
        </row>
        <row r="1608">
          <cell r="B1608" t="str">
            <v>56902-79-5</v>
          </cell>
          <cell r="C1608" t="str">
            <v>Silicic acid zinc zirconium salt</v>
          </cell>
          <cell r="D1608" t="str">
            <v>97-1-91</v>
          </cell>
          <cell r="E1608" t="str">
            <v>및 이를 25% 이상 함유한 혼합물질. 탄산 아연(Zinc carbonate) 및 뇌산 아연(Zinc fulminate)은 제외</v>
          </cell>
          <cell r="F1608">
            <v>25</v>
          </cell>
        </row>
        <row r="1609">
          <cell r="B1609" t="str">
            <v>7446-19-7</v>
          </cell>
          <cell r="C1609" t="str">
            <v>Sulfuric acid, zinc salt (1:1), monohydrate</v>
          </cell>
          <cell r="D1609" t="str">
            <v>97-1-91</v>
          </cell>
          <cell r="E1609" t="str">
            <v>및 이를 25% 이상 함유한 혼합물질. 탄산 아연(Zinc carbonate) 및 뇌산 아연(Zinc fulminate)은 제외</v>
          </cell>
          <cell r="F1609">
            <v>25</v>
          </cell>
        </row>
        <row r="1610">
          <cell r="B1610" t="str">
            <v>7446-26-6</v>
          </cell>
          <cell r="C1610" t="str">
            <v>Dizinc pyrophosphate</v>
          </cell>
          <cell r="D1610" t="str">
            <v>97-1-91</v>
          </cell>
          <cell r="E1610" t="str">
            <v>및 이를 25% 이상 함유한 혼합물질. 탄산 아연(Zinc carbonate) 및 뇌산 아연(Zinc fulminate)은 제외</v>
          </cell>
          <cell r="F1610">
            <v>25</v>
          </cell>
        </row>
        <row r="1611">
          <cell r="B1611" t="str">
            <v>7646-85-7</v>
          </cell>
          <cell r="C1611" t="str">
            <v>Zinc chloride</v>
          </cell>
          <cell r="D1611" t="str">
            <v>97-1-91</v>
          </cell>
          <cell r="E1611" t="str">
            <v>및 이를 25% 이상 함유한 혼합물질. 탄산 아연(Zinc carbonate) 및 뇌산 아연(Zinc fulminate)은 제외</v>
          </cell>
          <cell r="F1611">
            <v>25</v>
          </cell>
        </row>
        <row r="1612">
          <cell r="B1612" t="str">
            <v>7699-45-8</v>
          </cell>
          <cell r="C1612" t="str">
            <v>Zinc bromide</v>
          </cell>
          <cell r="D1612" t="str">
            <v>97-1-91</v>
          </cell>
          <cell r="E1612" t="str">
            <v>및 이를 25% 이상 함유한 혼합물질. 탄산 아연(Zinc carbonate) 및 뇌산 아연(Zinc fulminate)은 제외</v>
          </cell>
          <cell r="F1612">
            <v>25</v>
          </cell>
        </row>
        <row r="1613">
          <cell r="B1613" t="str">
            <v>7733-02-0</v>
          </cell>
          <cell r="C1613" t="str">
            <v>Zinc sulfate</v>
          </cell>
          <cell r="D1613" t="str">
            <v>97-1-91</v>
          </cell>
          <cell r="E1613" t="str">
            <v>및 이를 25% 이상 함유한 혼합물질. 탄산 아연(Zinc carbonate) 및 뇌산 아연(Zinc fulminate)은 제외</v>
          </cell>
          <cell r="F1613">
            <v>25</v>
          </cell>
        </row>
        <row r="1614">
          <cell r="B1614" t="str">
            <v>7779-86-4</v>
          </cell>
          <cell r="C1614" t="str">
            <v>Zinc dithionite</v>
          </cell>
          <cell r="D1614" t="str">
            <v>97-1-91</v>
          </cell>
          <cell r="E1614" t="str">
            <v>및 이를 25% 이상 함유한 혼합물질. 탄산 아연(Zinc carbonate) 및 뇌산 아연(Zinc fulminate)은 제외</v>
          </cell>
          <cell r="F1614">
            <v>25</v>
          </cell>
        </row>
        <row r="1615">
          <cell r="B1615" t="str">
            <v>7779-88-6</v>
          </cell>
          <cell r="C1615" t="str">
            <v>Zinc nitrate</v>
          </cell>
          <cell r="D1615" t="str">
            <v>97-1-91</v>
          </cell>
          <cell r="E1615" t="str">
            <v>및 이를 25% 이상 함유한 혼합물질. 탄산 아연(Zinc carbonate) 및 뇌산 아연(Zinc fulminate)은 제외</v>
          </cell>
          <cell r="F1615">
            <v>25</v>
          </cell>
        </row>
        <row r="1616">
          <cell r="B1616" t="str">
            <v>7779-90-0</v>
          </cell>
          <cell r="C1616" t="str">
            <v>Trizinc bis(orthophosphate</v>
          </cell>
          <cell r="D1616" t="str">
            <v>97-1-91</v>
          </cell>
          <cell r="E1616" t="str">
            <v>및 이를 25% 이상 함유한 혼합물질. 탄산 아연(Zinc carbonate) 및 뇌산 아연(Zinc fulminate)은 제외</v>
          </cell>
          <cell r="F1616">
            <v>25</v>
          </cell>
        </row>
        <row r="1617">
          <cell r="B1617" t="str">
            <v>7783-49-5</v>
          </cell>
          <cell r="C1617" t="str">
            <v>Zinc fluoride</v>
          </cell>
          <cell r="D1617" t="str">
            <v>97-1-91</v>
          </cell>
          <cell r="E1617" t="str">
            <v>및 이를 25% 이상 함유한 혼합물질. 탄산 아연(Zinc carbonate) 및 뇌산 아연(Zinc fulminate)은 제외</v>
          </cell>
          <cell r="F1617">
            <v>25</v>
          </cell>
        </row>
        <row r="1618">
          <cell r="B1618" t="str">
            <v>7790-37-6</v>
          </cell>
          <cell r="C1618" t="str">
            <v>Zinc iodate</v>
          </cell>
          <cell r="D1618" t="str">
            <v>97-1-91</v>
          </cell>
          <cell r="E1618" t="str">
            <v>및 이를 25% 이상 함유한 혼합물질. 탄산 아연(Zinc carbonate) 및 뇌산 아연(Zinc fulminate)은 제외</v>
          </cell>
          <cell r="F1618">
            <v>25</v>
          </cell>
        </row>
        <row r="1619">
          <cell r="B1619" t="str">
            <v>88103-06-4</v>
          </cell>
          <cell r="C1619" t="str">
            <v>Zinc chlorite</v>
          </cell>
          <cell r="D1619" t="str">
            <v>97-1-91</v>
          </cell>
          <cell r="E1619" t="str">
            <v>및 이를 25% 이상 함유한 혼합물질. 탄산 아연(Zinc carbonate) 및 뇌산 아연(Zinc fulminate)은 제외</v>
          </cell>
          <cell r="F1619">
            <v>25</v>
          </cell>
        </row>
        <row r="1620">
          <cell r="C1620" t="str">
            <v>Inorganic zinc, salts</v>
          </cell>
          <cell r="D1620" t="str">
            <v>97-1-91</v>
          </cell>
          <cell r="E1620" t="str">
            <v>및 이를 25% 이상 함유한 혼합물질. 탄산 아연(Zinc carbonate) 및 뇌산 아연(Zinc fulminate)은 제외</v>
          </cell>
          <cell r="F1620">
            <v>25</v>
          </cell>
        </row>
        <row r="1621">
          <cell r="B1621" t="str">
            <v>10294-26-5</v>
          </cell>
          <cell r="C1621" t="str">
            <v>Disilver(1+) sulfate</v>
          </cell>
          <cell r="D1621" t="str">
            <v>97-1-92</v>
          </cell>
          <cell r="E1621" t="str">
            <v>및 이를 25% 이상 함유한 혼합물질. 염화 은(Silver chloride) 및 뇌산 은(Silver fulminate)은 제외</v>
          </cell>
          <cell r="F1621">
            <v>25</v>
          </cell>
        </row>
        <row r="1622">
          <cell r="B1622" t="str">
            <v>12271-95-3</v>
          </cell>
          <cell r="C1622" t="str">
            <v>Disilver tetraborate</v>
          </cell>
          <cell r="D1622" t="str">
            <v>97-1-92</v>
          </cell>
          <cell r="E1622" t="str">
            <v>및 이를 25% 이상 함유한 혼합물질. 염화 은(Silver chloride) 및 뇌산 은(Silver fulminate)은 제외</v>
          </cell>
          <cell r="F1622">
            <v>25</v>
          </cell>
        </row>
        <row r="1623">
          <cell r="B1623" t="str">
            <v>13465-88-8</v>
          </cell>
          <cell r="C1623" t="str">
            <v>Silver metaborate</v>
          </cell>
          <cell r="D1623" t="str">
            <v>97-1-92</v>
          </cell>
          <cell r="E1623" t="str">
            <v>및 이를 25% 이상 함유한 혼합물질. 염화 은(Silver chloride) 및 뇌산 은(Silver fulminate)은 제외</v>
          </cell>
          <cell r="F1623">
            <v>25</v>
          </cell>
        </row>
        <row r="1624">
          <cell r="B1624" t="str">
            <v>13465-96-8</v>
          </cell>
          <cell r="C1624" t="str">
            <v>Silver metaphosphate</v>
          </cell>
          <cell r="D1624" t="str">
            <v>97-1-92</v>
          </cell>
          <cell r="E1624" t="str">
            <v>및 이를 25% 이상 함유한 혼합물질. 염화 은(Silver chloride) 및 뇌산 은(Silver fulminate)은 제외</v>
          </cell>
          <cell r="F1624">
            <v>25</v>
          </cell>
        </row>
        <row r="1625">
          <cell r="B1625" t="str">
            <v>13465-97-9</v>
          </cell>
          <cell r="C1625" t="str">
            <v>Tetrasilver pyrophosphate</v>
          </cell>
          <cell r="D1625" t="str">
            <v>97-1-92</v>
          </cell>
          <cell r="E1625" t="str">
            <v>및 이를 25% 이상 함유한 혼합물질. 염화 은(Silver chloride) 및 뇌산 은(Silver fulminate)은 제외</v>
          </cell>
          <cell r="F1625">
            <v>25</v>
          </cell>
        </row>
        <row r="1626">
          <cell r="B1626" t="str">
            <v>13465-98-0</v>
          </cell>
          <cell r="C1626" t="str">
            <v>Disilver(1+) sulfite</v>
          </cell>
          <cell r="D1626" t="str">
            <v>97-1-92</v>
          </cell>
          <cell r="E1626" t="str">
            <v>및 이를 25% 이상 함유한 혼합물질. 염화 은(Silver chloride) 및 뇌산 은(Silver fulminate)은 제외</v>
          </cell>
          <cell r="F1626">
            <v>25</v>
          </cell>
        </row>
        <row r="1627">
          <cell r="B1627" t="str">
            <v>14038-75-6</v>
          </cell>
          <cell r="C1627" t="str">
            <v>Tetrasilver hexacyanoferrate</v>
          </cell>
          <cell r="D1627" t="str">
            <v>97-1-92</v>
          </cell>
          <cell r="E1627" t="str">
            <v>및 이를 25% 이상 함유한 혼합물질. 염화 은(Silver chloride) 및 뇌산 은(Silver fulminate)은 제외</v>
          </cell>
          <cell r="F1627">
            <v>25</v>
          </cell>
        </row>
        <row r="1628">
          <cell r="B1628" t="str">
            <v>14104-20-2</v>
          </cell>
          <cell r="C1628" t="str">
            <v>Silver(I) tetrafluoroborate</v>
          </cell>
          <cell r="D1628" t="str">
            <v>97-1-92</v>
          </cell>
          <cell r="E1628" t="str">
            <v>및 이를 25% 이상 함유한 혼합물질. 염화 은(Silver chloride) 및 뇌산 은(Silver fulminate)은 제외</v>
          </cell>
          <cell r="F1628">
            <v>25</v>
          </cell>
        </row>
        <row r="1629">
          <cell r="B1629" t="str">
            <v>16920-45-9</v>
          </cell>
          <cell r="C1629" t="str">
            <v>Carbonic acid silver salt</v>
          </cell>
          <cell r="D1629" t="str">
            <v>97-1-92</v>
          </cell>
          <cell r="E1629" t="str">
            <v>및 이를 25% 이상 함유한 혼합물질. 염화 은(Silver chloride) 및 뇌산 은(Silver fulminate)은 제외</v>
          </cell>
          <cell r="F1629">
            <v>25</v>
          </cell>
        </row>
        <row r="1630">
          <cell r="B1630" t="str">
            <v>1701-93-5</v>
          </cell>
          <cell r="C1630" t="str">
            <v>Silver thiocyanate</v>
          </cell>
          <cell r="D1630" t="str">
            <v>97-1-92</v>
          </cell>
          <cell r="E1630" t="str">
            <v>및 이를 25% 이상 함유한 혼합물질. 염화 은(Silver chloride) 및 뇌산 은(Silver fulminate)은 제외</v>
          </cell>
          <cell r="F1630">
            <v>25</v>
          </cell>
        </row>
        <row r="1631">
          <cell r="B1631" t="str">
            <v>19287-89-9</v>
          </cell>
          <cell r="C1631" t="str">
            <v>Sulfuric acid silver salt</v>
          </cell>
          <cell r="D1631" t="str">
            <v>97-1-92</v>
          </cell>
          <cell r="E1631" t="str">
            <v>및 이를 25% 이상 함유한 혼합물질. 염화 은(Silver chloride) 및 뇌산 은(Silver fulminate)은 제외</v>
          </cell>
          <cell r="F1631">
            <v>25</v>
          </cell>
        </row>
        <row r="1632">
          <cell r="B1632" t="str">
            <v>21548-73-2</v>
          </cell>
          <cell r="C1632" t="str">
            <v>Disilver sulfide</v>
          </cell>
          <cell r="D1632" t="str">
            <v>97-1-92</v>
          </cell>
          <cell r="E1632" t="str">
            <v>및 이를 25% 이상 함유한 혼합물질. 염화 은(Silver chloride) 및 뇌산 은(Silver fulminate)은 제외</v>
          </cell>
          <cell r="F1632">
            <v>25</v>
          </cell>
        </row>
        <row r="1633">
          <cell r="B1633" t="str">
            <v>23149-52-2</v>
          </cell>
          <cell r="C1633" t="str">
            <v>Thiosulfuric acid (H2S2O3), disilver(1+) salt</v>
          </cell>
          <cell r="D1633" t="str">
            <v>97-1-92</v>
          </cell>
          <cell r="E1633" t="str">
            <v>및 이를 25% 이상 함유한 혼합물질. 염화 은(Silver chloride) 및 뇌산 은(Silver fulminate)은 제외</v>
          </cell>
          <cell r="F1633">
            <v>25</v>
          </cell>
        </row>
        <row r="1634">
          <cell r="B1634" t="str">
            <v>23606-32-8</v>
          </cell>
          <cell r="C1634" t="str">
            <v>Diammine silver(1+) nitrate</v>
          </cell>
          <cell r="D1634" t="str">
            <v>97-1-92</v>
          </cell>
          <cell r="E1634" t="str">
            <v>및 이를 25% 이상 함유한 혼합물질. 염화 은(Silver chloride) 및 뇌산 은(Silver fulminate)은 제외</v>
          </cell>
          <cell r="F1634">
            <v>25</v>
          </cell>
        </row>
        <row r="1635">
          <cell r="B1635" t="str">
            <v>26042-63-7</v>
          </cell>
          <cell r="C1635" t="str">
            <v>Silver(I) hexafluorophosphate</v>
          </cell>
          <cell r="D1635" t="str">
            <v>97-1-92</v>
          </cell>
          <cell r="E1635" t="str">
            <v>및 이를 25% 이상 함유한 혼합물질. 염화 은(Silver chloride) 및 뇌산 은(Silver fulminate)은 제외</v>
          </cell>
          <cell r="F1635">
            <v>25</v>
          </cell>
        </row>
        <row r="1636">
          <cell r="B1636" t="str">
            <v>26042-64-8</v>
          </cell>
          <cell r="C1636" t="str">
            <v>Silver hexafluoroantimonate(1-)</v>
          </cell>
          <cell r="D1636" t="str">
            <v>97-1-92</v>
          </cell>
          <cell r="E1636" t="str">
            <v>및 이를 25% 이상 함유한 혼합물질. 염화 은(Silver chloride) 및 뇌산 은(Silver fulminate)은 제외</v>
          </cell>
          <cell r="F1636">
            <v>25</v>
          </cell>
        </row>
        <row r="1637">
          <cell r="B1637" t="str">
            <v>42613-24-1</v>
          </cell>
          <cell r="C1637" t="str">
            <v>Silicic acid silver salt</v>
          </cell>
          <cell r="D1637" t="str">
            <v>97-1-92</v>
          </cell>
          <cell r="E1637" t="str">
            <v>및 이를 25% 이상 함유한 혼합물질. 염화 은(Silver chloride) 및 뇌산 은(Silver fulminate)은 제외</v>
          </cell>
          <cell r="F1637">
            <v>25</v>
          </cell>
        </row>
        <row r="1638">
          <cell r="B1638" t="str">
            <v>534-16-7</v>
          </cell>
          <cell r="C1638" t="str">
            <v>Silver carbonate</v>
          </cell>
          <cell r="D1638" t="str">
            <v>97-1-92</v>
          </cell>
          <cell r="E1638" t="str">
            <v>및 이를 25% 이상 함유한 혼합물질. 염화 은(Silver chloride) 및 뇌산 은(Silver fulminate)은 제외</v>
          </cell>
          <cell r="F1638">
            <v>25</v>
          </cell>
        </row>
        <row r="1639">
          <cell r="B1639" t="str">
            <v>60347-66-2</v>
          </cell>
          <cell r="C1639" t="str">
            <v>Ammonium silver dinitrate</v>
          </cell>
          <cell r="D1639" t="str">
            <v>97-1-92</v>
          </cell>
          <cell r="E1639" t="str">
            <v>및 이를 25% 이상 함유한 혼합물질. 염화 은(Silver chloride) 및 뇌산 은(Silver fulminate)은 제외</v>
          </cell>
          <cell r="F1639">
            <v>25</v>
          </cell>
        </row>
        <row r="1640">
          <cell r="B1640" t="str">
            <v>67372-98-9</v>
          </cell>
          <cell r="C1640" t="str">
            <v>Trisilver(1+) imidodisulfate</v>
          </cell>
          <cell r="D1640" t="str">
            <v>97-1-92</v>
          </cell>
          <cell r="E1640" t="str">
            <v>및 이를 25% 이상 함유한 혼합물질. 염화 은(Silver chloride) 및 뇌산 은(Silver fulminate)은 제외</v>
          </cell>
          <cell r="F1640">
            <v>25</v>
          </cell>
        </row>
        <row r="1641">
          <cell r="B1641" t="str">
            <v>67859-68-1</v>
          </cell>
          <cell r="C1641" t="str">
            <v>Potassium silver(1+) sulfite</v>
          </cell>
          <cell r="D1641" t="str">
            <v>97-1-92</v>
          </cell>
          <cell r="E1641" t="str">
            <v>및 이를 25% 이상 함유한 혼합물질. 염화 은(Silver chloride) 및 뇌산 은(Silver fulminate)은 제외</v>
          </cell>
          <cell r="F1641">
            <v>25</v>
          </cell>
        </row>
        <row r="1642">
          <cell r="B1642" t="str">
            <v>7761-88-8</v>
          </cell>
          <cell r="C1642" t="str">
            <v>Silver nitrate</v>
          </cell>
          <cell r="D1642" t="str">
            <v>97-1-92</v>
          </cell>
          <cell r="E1642" t="str">
            <v>및 이를 25% 이상 함유한 혼합물질. 염화 은(Silver chloride) 및 뇌산 은(Silver fulminate)은 제외</v>
          </cell>
          <cell r="F1642">
            <v>25</v>
          </cell>
        </row>
        <row r="1643">
          <cell r="B1643" t="str">
            <v>7775-41-9</v>
          </cell>
          <cell r="C1643" t="str">
            <v>Silver fluoride</v>
          </cell>
          <cell r="D1643" t="str">
            <v>97-1-92</v>
          </cell>
          <cell r="E1643" t="str">
            <v>및 이를 25% 이상 함유한 혼합물질. 염화 은(Silver chloride) 및 뇌산 은(Silver fulminate)은 제외</v>
          </cell>
          <cell r="F1643">
            <v>25</v>
          </cell>
        </row>
        <row r="1644">
          <cell r="B1644" t="str">
            <v>7783-89-3</v>
          </cell>
          <cell r="C1644" t="str">
            <v>Silver bromate</v>
          </cell>
          <cell r="D1644" t="str">
            <v>97-1-92</v>
          </cell>
          <cell r="E1644" t="str">
            <v>및 이를 25% 이상 함유한 혼합물질. 염화 은(Silver chloride) 및 뇌산 은(Silver fulminate)은 제외</v>
          </cell>
          <cell r="F1644">
            <v>25</v>
          </cell>
        </row>
        <row r="1645">
          <cell r="B1645" t="str">
            <v>7783-93-9</v>
          </cell>
          <cell r="C1645" t="str">
            <v>Silver perchlorate</v>
          </cell>
          <cell r="D1645" t="str">
            <v>97-1-92</v>
          </cell>
          <cell r="E1645" t="str">
            <v>및 이를 25% 이상 함유한 혼합물질. 염화 은(Silver chloride) 및 뇌산 은(Silver fulminate)은 제외</v>
          </cell>
          <cell r="F1645">
            <v>25</v>
          </cell>
        </row>
        <row r="1646">
          <cell r="B1646" t="str">
            <v>7783-95-1</v>
          </cell>
          <cell r="C1646" t="str">
            <v>Silver(2+) fluoride</v>
          </cell>
          <cell r="D1646" t="str">
            <v>97-1-92</v>
          </cell>
          <cell r="E1646" t="str">
            <v>및 이를 25% 이상 함유한 혼합물질. 염화 은(Silver chloride) 및 뇌산 은(Silver fulminate)은 제외</v>
          </cell>
          <cell r="F1646">
            <v>25</v>
          </cell>
        </row>
        <row r="1647">
          <cell r="B1647" t="str">
            <v>7783-96-2</v>
          </cell>
          <cell r="C1647" t="str">
            <v>Silver iodide</v>
          </cell>
          <cell r="D1647" t="str">
            <v>97-1-92</v>
          </cell>
          <cell r="E1647" t="str">
            <v>및 이를 25% 이상 함유한 혼합물질. 염화 은(Silver chloride) 및 뇌산 은(Silver fulminate)은 제외</v>
          </cell>
          <cell r="F1647">
            <v>25</v>
          </cell>
        </row>
        <row r="1648">
          <cell r="B1648" t="str">
            <v>7783-98-4</v>
          </cell>
          <cell r="C1648" t="str">
            <v>Silver permanganate</v>
          </cell>
          <cell r="D1648" t="str">
            <v>97-1-92</v>
          </cell>
          <cell r="E1648" t="str">
            <v>및 이를 25% 이상 함유한 혼합물질. 염화 은(Silver chloride) 및 뇌산 은(Silver fulminate)은 제외</v>
          </cell>
          <cell r="F1648">
            <v>25</v>
          </cell>
        </row>
        <row r="1649">
          <cell r="B1649" t="str">
            <v>7784-09-0</v>
          </cell>
          <cell r="C1649" t="str">
            <v>Trisilver orthophosphate</v>
          </cell>
          <cell r="D1649" t="str">
            <v>97-1-92</v>
          </cell>
          <cell r="E1649" t="str">
            <v>및 이를 25% 이상 함유한 혼합물질. 염화 은(Silver chloride) 및 뇌산 은(Silver fulminate)은 제외</v>
          </cell>
          <cell r="F1649">
            <v>25</v>
          </cell>
        </row>
        <row r="1650">
          <cell r="B1650" t="str">
            <v>7785-23-1</v>
          </cell>
          <cell r="C1650" t="str">
            <v>Silver bromide</v>
          </cell>
          <cell r="D1650" t="str">
            <v>97-1-92</v>
          </cell>
          <cell r="E1650" t="str">
            <v>및 이를 25% 이상 함유한 혼합물질. 염화 은(Silver chloride) 및 뇌산 은(Silver fulminate)은 제외</v>
          </cell>
          <cell r="F1650">
            <v>25</v>
          </cell>
        </row>
        <row r="1651">
          <cell r="B1651" t="str">
            <v>99573-82-7</v>
          </cell>
          <cell r="C1651" t="str">
            <v>Disilver tetrasodium tris(thiosulfate)</v>
          </cell>
          <cell r="D1651" t="str">
            <v>97-1-92</v>
          </cell>
          <cell r="E1651" t="str">
            <v>및 이를 25% 이상 함유한 혼합물질. 염화 은(Silver chloride) 및 뇌산 은(Silver fulminate)은 제외</v>
          </cell>
          <cell r="F1651">
            <v>25</v>
          </cell>
        </row>
        <row r="1652">
          <cell r="C1652" t="str">
            <v>Inorganic silver,salts</v>
          </cell>
          <cell r="D1652" t="str">
            <v>97-1-92</v>
          </cell>
          <cell r="E1652" t="str">
            <v>및 이를 25% 이상 함유한 혼합물질. 염화 은(Silver chloride) 및 뇌산 은(Silver fulminate)은 제외</v>
          </cell>
          <cell r="F1652">
            <v>25</v>
          </cell>
        </row>
        <row r="1653">
          <cell r="B1653" t="str">
            <v>10025-69-1</v>
          </cell>
          <cell r="C1653" t="str">
            <v>Tin chloride dihydrate ; Stannous dichloride dihydrate</v>
          </cell>
          <cell r="D1653" t="str">
            <v>97-1-93</v>
          </cell>
          <cell r="E1653" t="str">
            <v>및 이를 25% 이상 함유한 혼합물질</v>
          </cell>
          <cell r="F1653">
            <v>25</v>
          </cell>
        </row>
        <row r="1654">
          <cell r="B1654" t="str">
            <v>10026-06-9</v>
          </cell>
          <cell r="C1654" t="str">
            <v>Stannane, tetrachloro-, pentahydrate</v>
          </cell>
          <cell r="D1654" t="str">
            <v>97-1-93</v>
          </cell>
          <cell r="E1654" t="str">
            <v>및 이를 25% 이상 함유한 혼합물질</v>
          </cell>
          <cell r="F1654">
            <v>25</v>
          </cell>
        </row>
        <row r="1655">
          <cell r="B1655" t="str">
            <v>10031-24-0</v>
          </cell>
          <cell r="C1655" t="str">
            <v>Tin dibromide</v>
          </cell>
          <cell r="D1655" t="str">
            <v>97-1-93</v>
          </cell>
          <cell r="E1655" t="str">
            <v>및 이를 25% 이상 함유한 혼합물질</v>
          </cell>
          <cell r="F1655">
            <v>25</v>
          </cell>
        </row>
        <row r="1656">
          <cell r="B1656" t="str">
            <v>10294-70-9</v>
          </cell>
          <cell r="C1656" t="str">
            <v>Tin diiodide</v>
          </cell>
          <cell r="D1656" t="str">
            <v>97-1-93</v>
          </cell>
          <cell r="E1656" t="str">
            <v>및 이를 25% 이상 함유한 혼합물질</v>
          </cell>
          <cell r="F1656">
            <v>25</v>
          </cell>
        </row>
        <row r="1657">
          <cell r="B1657" t="str">
            <v>1344-13-4</v>
          </cell>
          <cell r="C1657" t="str">
            <v>Tin chloride</v>
          </cell>
          <cell r="D1657" t="str">
            <v>97-1-93</v>
          </cell>
          <cell r="E1657" t="str">
            <v>및 이를 25% 이상 함유한 혼합물질</v>
          </cell>
          <cell r="F1657">
            <v>25</v>
          </cell>
        </row>
        <row r="1658">
          <cell r="B1658" t="str">
            <v>15142-98-0</v>
          </cell>
          <cell r="C1658" t="str">
            <v>Phosphoric acid, tin(4+) salt</v>
          </cell>
          <cell r="D1658" t="str">
            <v>97-1-93</v>
          </cell>
          <cell r="E1658" t="str">
            <v>및 이를 25% 이상 함유한 혼합물질</v>
          </cell>
          <cell r="F1658">
            <v>25</v>
          </cell>
        </row>
        <row r="1659">
          <cell r="B1659" t="str">
            <v>15578-26-4</v>
          </cell>
          <cell r="C1659" t="str">
            <v>Diphosphoric acid tin(2+) salt (1:2) ; Ditin pyrophosphate</v>
          </cell>
          <cell r="D1659" t="str">
            <v>97-1-93</v>
          </cell>
          <cell r="E1659" t="str">
            <v>및 이를 25% 이상 함유한 혼합물질</v>
          </cell>
          <cell r="F1659">
            <v>25</v>
          </cell>
        </row>
        <row r="1660">
          <cell r="B1660" t="str">
            <v>15578-32-2</v>
          </cell>
          <cell r="C1660" t="str">
            <v>Tin phosphate (Sn3(PO4)2) ; Tritin bis(orthophosphate)</v>
          </cell>
          <cell r="D1660" t="str">
            <v>97-1-93</v>
          </cell>
          <cell r="E1660" t="str">
            <v>및 이를 25% 이상 함유한 혼합물질</v>
          </cell>
          <cell r="F1660">
            <v>25</v>
          </cell>
        </row>
        <row r="1661">
          <cell r="B1661" t="str">
            <v>18472-93-0</v>
          </cell>
          <cell r="C1661" t="str">
            <v>Tin diphosphate</v>
          </cell>
          <cell r="D1661" t="str">
            <v>97-1-93</v>
          </cell>
          <cell r="E1661" t="str">
            <v>및 이를 25% 이상 함유한 혼합물질</v>
          </cell>
          <cell r="F1661">
            <v>25</v>
          </cell>
        </row>
        <row r="1662">
          <cell r="B1662" t="str">
            <v>18653-83-3</v>
          </cell>
          <cell r="C1662" t="str">
            <v>Tin(2+) disulfamate</v>
          </cell>
          <cell r="D1662" t="str">
            <v>97-1-93</v>
          </cell>
          <cell r="E1662" t="str">
            <v>및 이를 25% 이상 함유한 혼합물질</v>
          </cell>
          <cell r="F1662">
            <v>25</v>
          </cell>
        </row>
        <row r="1663">
          <cell r="B1663" t="str">
            <v>19307-28-9</v>
          </cell>
          <cell r="C1663" t="str">
            <v>Tin bis(sulfate)</v>
          </cell>
          <cell r="D1663" t="str">
            <v>97-1-93</v>
          </cell>
          <cell r="E1663" t="str">
            <v>및 이를 25% 이상 함유한 혼합물질</v>
          </cell>
          <cell r="F1663">
            <v>25</v>
          </cell>
        </row>
        <row r="1664">
          <cell r="B1664" t="str">
            <v>27790-37-0</v>
          </cell>
          <cell r="C1664" t="str">
            <v>Sulfuric acid potassium tin(2+) salt (2:2:1)</v>
          </cell>
          <cell r="D1664" t="str">
            <v>97-1-93</v>
          </cell>
          <cell r="E1664" t="str">
            <v>및 이를 25% 이상 함유한 혼합물질</v>
          </cell>
          <cell r="F1664">
            <v>25</v>
          </cell>
        </row>
        <row r="1665">
          <cell r="B1665" t="str">
            <v>37349-59-0</v>
          </cell>
          <cell r="C1665" t="str">
            <v>Tin iodide</v>
          </cell>
          <cell r="D1665" t="str">
            <v>97-1-93</v>
          </cell>
          <cell r="E1665" t="str">
            <v>및 이를 25% 이상 함유한 혼합물질</v>
          </cell>
          <cell r="F1665">
            <v>25</v>
          </cell>
        </row>
        <row r="1666">
          <cell r="B1666" t="str">
            <v>40609-56-1</v>
          </cell>
          <cell r="C1666" t="str">
            <v>Sulfamic acid tin salt</v>
          </cell>
          <cell r="D1666" t="str">
            <v>97-1-93</v>
          </cell>
          <cell r="E1666" t="str">
            <v>및 이를 25% 이상 함유한 혼합물질</v>
          </cell>
          <cell r="F1666">
            <v>25</v>
          </cell>
        </row>
        <row r="1667">
          <cell r="B1667" t="str">
            <v>52262-58-5</v>
          </cell>
          <cell r="C1667" t="str">
            <v>Tin fluorophosphate</v>
          </cell>
          <cell r="D1667" t="str">
            <v>97-1-93</v>
          </cell>
          <cell r="E1667" t="str">
            <v>및 이를 25% 이상 함유한 혼합물질</v>
          </cell>
          <cell r="F1667">
            <v>25</v>
          </cell>
        </row>
        <row r="1668">
          <cell r="B1668" t="str">
            <v>7488-55-3</v>
          </cell>
          <cell r="C1668" t="str">
            <v>Tin sulfate</v>
          </cell>
          <cell r="D1668" t="str">
            <v>97-1-93</v>
          </cell>
          <cell r="E1668" t="str">
            <v>및 이를 25% 이상 함유한 혼합물질</v>
          </cell>
          <cell r="F1668">
            <v>25</v>
          </cell>
        </row>
        <row r="1669">
          <cell r="B1669" t="str">
            <v>7646-78-8</v>
          </cell>
          <cell r="C1669" t="str">
            <v>Tin tetrachloride</v>
          </cell>
          <cell r="D1669" t="str">
            <v>97-1-93</v>
          </cell>
          <cell r="E1669" t="str">
            <v>및 이를 25% 이상 함유한 혼합물질</v>
          </cell>
          <cell r="F1669">
            <v>25</v>
          </cell>
        </row>
        <row r="1670">
          <cell r="B1670" t="str">
            <v>7772-99-8</v>
          </cell>
          <cell r="C1670" t="str">
            <v>Tin dichloride</v>
          </cell>
          <cell r="D1670" t="str">
            <v>97-1-93</v>
          </cell>
          <cell r="E1670" t="str">
            <v>및 이를 25% 이상 함유한 혼합물질</v>
          </cell>
          <cell r="F1670">
            <v>25</v>
          </cell>
        </row>
        <row r="1671">
          <cell r="B1671" t="str">
            <v>7783-47-3</v>
          </cell>
          <cell r="C1671" t="str">
            <v>Tin difluoride</v>
          </cell>
          <cell r="D1671" t="str">
            <v>97-1-93</v>
          </cell>
          <cell r="E1671" t="str">
            <v>및 이를 25% 이상 함유한 혼합물질</v>
          </cell>
          <cell r="F1671">
            <v>25</v>
          </cell>
        </row>
        <row r="1672">
          <cell r="B1672" t="str">
            <v>7783-62-2</v>
          </cell>
          <cell r="C1672" t="str">
            <v>Tetrafluorostannane</v>
          </cell>
          <cell r="D1672" t="str">
            <v>97-1-93</v>
          </cell>
          <cell r="E1672" t="str">
            <v>및 이를 25% 이상 함유한 혼합물질</v>
          </cell>
          <cell r="F1672">
            <v>25</v>
          </cell>
        </row>
        <row r="1673">
          <cell r="B1673" t="str">
            <v>7789-67-5</v>
          </cell>
          <cell r="C1673" t="str">
            <v>Tin tetrabromide</v>
          </cell>
          <cell r="D1673" t="str">
            <v>97-1-93</v>
          </cell>
          <cell r="E1673" t="str">
            <v>및 이를 25% 이상 함유한 혼합물질</v>
          </cell>
          <cell r="F1673">
            <v>25</v>
          </cell>
        </row>
        <row r="1674">
          <cell r="B1674" t="str">
            <v>7790-47-8</v>
          </cell>
          <cell r="C1674" t="str">
            <v>Tin iodide (SnI4)</v>
          </cell>
          <cell r="D1674" t="str">
            <v>97-1-93</v>
          </cell>
          <cell r="E1674" t="str">
            <v>및 이를 25% 이상 함유한 혼합물질</v>
          </cell>
          <cell r="F1674">
            <v>25</v>
          </cell>
        </row>
        <row r="1675">
          <cell r="C1675" t="str">
            <v>Inorganic tin, salts</v>
          </cell>
          <cell r="D1675" t="str">
            <v>97-1-93</v>
          </cell>
          <cell r="E1675" t="str">
            <v>및 이를 25% 이상 함유한 혼합물질</v>
          </cell>
          <cell r="F1675">
            <v>25</v>
          </cell>
        </row>
        <row r="1676">
          <cell r="B1676" t="str">
            <v>1333-82-0</v>
          </cell>
          <cell r="C1676" t="str">
            <v>Chromic anhydride</v>
          </cell>
          <cell r="D1676" t="str">
            <v>97-1-94</v>
          </cell>
          <cell r="E1676" t="str">
            <v>및 이를 0.1% 이상 함유한 혼합물질</v>
          </cell>
          <cell r="F1676">
            <v>0.1</v>
          </cell>
        </row>
        <row r="1677">
          <cell r="B1677" t="str">
            <v>2275-23-2</v>
          </cell>
          <cell r="C1677" t="str">
            <v>O,O-Dimethyl S-[2-(1-methylcarbamoylethylthio)ethyl]phosphorothioate ; Vamidothion</v>
          </cell>
          <cell r="D1677" t="str">
            <v>97-1-95</v>
          </cell>
          <cell r="E1677" t="str">
            <v>및 이를 1% 이상 함유한 혼합물질</v>
          </cell>
          <cell r="F1677">
            <v>1</v>
          </cell>
        </row>
        <row r="1678">
          <cell r="B1678" t="str">
            <v>8014-95-7</v>
          </cell>
          <cell r="C1678" t="str">
            <v>Fuming sulphuric acid</v>
          </cell>
          <cell r="D1678" t="str">
            <v>97-1-96</v>
          </cell>
          <cell r="E1678" t="str">
            <v>및 이를 25% 이상 함유한 혼합물질</v>
          </cell>
          <cell r="F1678">
            <v>25</v>
          </cell>
        </row>
        <row r="1679">
          <cell r="B1679" t="str">
            <v>22781-23-3</v>
          </cell>
          <cell r="C1679" t="str">
            <v>Bendiocarb ; 2,2-Dimethyl-1,3-benzodioxol-4-yl methylcarbamate</v>
          </cell>
          <cell r="D1679" t="str">
            <v>97-1-97</v>
          </cell>
          <cell r="E1679" t="str">
            <v>및 이를 1% 이상 함유한 혼합물질</v>
          </cell>
          <cell r="F1679">
            <v>1</v>
          </cell>
        </row>
        <row r="1680">
          <cell r="B1680" t="str">
            <v>741-58-2</v>
          </cell>
          <cell r="C1680" t="str">
            <v>Bensulide</v>
          </cell>
          <cell r="D1680" t="str">
            <v>97-1-98</v>
          </cell>
          <cell r="E1680" t="str">
            <v>및 이를 25% 이상 함유한 혼합물질</v>
          </cell>
          <cell r="F1680">
            <v>25</v>
          </cell>
        </row>
        <row r="1681">
          <cell r="B1681" t="str">
            <v>71-43-2</v>
          </cell>
          <cell r="C1681" t="str">
            <v>Benzene</v>
          </cell>
          <cell r="D1681" t="str">
            <v>97-1-99</v>
          </cell>
          <cell r="E1681" t="str">
            <v>및 이를 85% 이상 함유한 혼합물질</v>
          </cell>
          <cell r="F1681">
            <v>85</v>
          </cell>
        </row>
        <row r="1682">
          <cell r="B1682" t="str">
            <v>13531-52-7</v>
          </cell>
          <cell r="C1682" t="str">
            <v>N-(2-Aminoethyl)-1,3-propanediamine</v>
          </cell>
          <cell r="D1682" t="str">
            <v>98-1-477</v>
          </cell>
          <cell r="E1682" t="str">
            <v>및 이를 10% 이상 함유한 혼합물질</v>
          </cell>
          <cell r="F1682">
            <v>10</v>
          </cell>
        </row>
        <row r="1683">
          <cell r="B1683" t="str">
            <v>1752-30-3</v>
          </cell>
          <cell r="C1683" t="str">
            <v>Acetone thiosemicar-bazone</v>
          </cell>
          <cell r="D1683" t="str">
            <v>98-1-478</v>
          </cell>
          <cell r="E1683" t="str">
            <v>및 이를 1% 이상 함유한 혼합물질</v>
          </cell>
          <cell r="F1683">
            <v>1</v>
          </cell>
        </row>
        <row r="1684">
          <cell r="B1684" t="str">
            <v>101-14-4</v>
          </cell>
          <cell r="C1684" t="str">
            <v>4,4‘-Methylene bis[2-chloroaniline]</v>
          </cell>
          <cell r="D1684" t="str">
            <v>98-1-479</v>
          </cell>
          <cell r="E1684" t="str">
            <v>및 이를 0.1% 이상 함유한 혼합물질</v>
          </cell>
          <cell r="F1684">
            <v>0.1</v>
          </cell>
        </row>
        <row r="1685">
          <cell r="B1685" t="str">
            <v>102-82-9</v>
          </cell>
          <cell r="C1685" t="str">
            <v>Tributylamine</v>
          </cell>
          <cell r="D1685" t="str">
            <v>98-1-480</v>
          </cell>
          <cell r="E1685" t="str">
            <v>및 이를 25% 이상 함유한 혼합물질</v>
          </cell>
          <cell r="F1685">
            <v>25</v>
          </cell>
        </row>
        <row r="1686">
          <cell r="B1686" t="str">
            <v>96-09-3</v>
          </cell>
          <cell r="C1686" t="str">
            <v>(Epoxithyl)benzene</v>
          </cell>
          <cell r="D1686" t="str">
            <v>98-1-481</v>
          </cell>
          <cell r="E1686" t="str">
            <v>및 이를 0.1% 이상 함유한 혼합 물질</v>
          </cell>
          <cell r="F1686">
            <v>0.1</v>
          </cell>
        </row>
        <row r="1687">
          <cell r="B1687" t="str">
            <v>1836-75-5</v>
          </cell>
          <cell r="C1687" t="str">
            <v>2,4-Diclorophenyl p-nitrophenyl ether</v>
          </cell>
          <cell r="D1687" t="str">
            <v>98-1-482</v>
          </cell>
          <cell r="E1687" t="str">
            <v>및 이를 0.1% 이상 함유한 혼합물질</v>
          </cell>
          <cell r="F1687">
            <v>0.1</v>
          </cell>
        </row>
        <row r="1688">
          <cell r="B1688" t="str">
            <v>869-24-9</v>
          </cell>
          <cell r="C1688" t="str">
            <v>2-Chloroethyldiethylammonium chloride</v>
          </cell>
          <cell r="D1688" t="str">
            <v>98-1-483</v>
          </cell>
          <cell r="E1688" t="str">
            <v>및 이를 25% 이상 함유한 혼합물질</v>
          </cell>
          <cell r="F1688">
            <v>25</v>
          </cell>
        </row>
        <row r="1689">
          <cell r="B1689" t="str">
            <v>136426-54-5</v>
          </cell>
          <cell r="C1689" t="str">
            <v>Fluquinconazole</v>
          </cell>
          <cell r="D1689" t="str">
            <v>98-1-484</v>
          </cell>
          <cell r="E1689" t="str">
            <v>및 이를 25% 이상 함유한 혼합물질</v>
          </cell>
          <cell r="F1689">
            <v>25</v>
          </cell>
        </row>
        <row r="1690">
          <cell r="B1690" t="str">
            <v>96182-53-5</v>
          </cell>
          <cell r="C1690" t="str">
            <v>Tebupirimfos</v>
          </cell>
          <cell r="D1690" t="str">
            <v>98-1-485</v>
          </cell>
          <cell r="E1690" t="str">
            <v>및 이를 1% 이상 함유한 혼합물질</v>
          </cell>
          <cell r="F1690">
            <v>1</v>
          </cell>
        </row>
        <row r="1691">
          <cell r="B1691" t="str">
            <v>173584-44-6</v>
          </cell>
          <cell r="C1691" t="str">
            <v>Indoxacarb</v>
          </cell>
          <cell r="D1691" t="str">
            <v>98-1-486</v>
          </cell>
          <cell r="E1691" t="str">
            <v>다만, 이를 함유한 혼합물질은 제외</v>
          </cell>
        </row>
        <row r="1692">
          <cell r="B1692" t="str">
            <v>131807-57-3</v>
          </cell>
          <cell r="C1692" t="str">
            <v>Famoxadone</v>
          </cell>
          <cell r="D1692" t="str">
            <v>98-1-487</v>
          </cell>
          <cell r="E1692" t="str">
            <v>다만, 이를 함유한 혼합물질은 제외</v>
          </cell>
        </row>
        <row r="1693">
          <cell r="B1693" t="str">
            <v>7652-64-4</v>
          </cell>
          <cell r="C1693" t="str">
            <v>1,1'-(1,3-Phenylenedicarbonyl)bis(methylaziridine)</v>
          </cell>
          <cell r="D1693" t="str">
            <v>98-1-488</v>
          </cell>
          <cell r="E1693" t="str">
            <v>및 이를 1% 이상 함유한 혼합물질</v>
          </cell>
          <cell r="F1693">
            <v>1</v>
          </cell>
        </row>
        <row r="1694">
          <cell r="B1694" t="str">
            <v>163520-33-0</v>
          </cell>
          <cell r="C1694" t="str">
            <v>Ethyl 5,5-diphenyl-2-isoxazoline-3-carboxylate</v>
          </cell>
          <cell r="D1694" t="str">
            <v>98-1-489</v>
          </cell>
          <cell r="E1694" t="str">
            <v>다만, 이를 함유한 혼합물질은 제외</v>
          </cell>
        </row>
        <row r="1695">
          <cell r="B1695" t="str">
            <v>13952-84-6</v>
          </cell>
          <cell r="C1695" t="str">
            <v>1-Methylpropylamine</v>
          </cell>
          <cell r="D1695" t="str">
            <v>99-1-490</v>
          </cell>
          <cell r="E1695" t="str">
            <v>및 이를 10% 이상 함유한 혼합물질</v>
          </cell>
          <cell r="F1695">
            <v>10</v>
          </cell>
        </row>
        <row r="1696">
          <cell r="B1696" t="str">
            <v>88-73-3</v>
          </cell>
          <cell r="C1696" t="str">
            <v>1-Chloro-2-nitrobenzene</v>
          </cell>
          <cell r="D1696" t="str">
            <v>99-1-491</v>
          </cell>
          <cell r="E1696" t="str">
            <v>및 이를 25% 이상 함유한 혼합물질</v>
          </cell>
          <cell r="F1696">
            <v>25</v>
          </cell>
        </row>
        <row r="1697">
          <cell r="B1697" t="str">
            <v>98-00-0</v>
          </cell>
          <cell r="C1697" t="str">
            <v>2-Furanmethanol</v>
          </cell>
          <cell r="D1697" t="str">
            <v>99-1-492</v>
          </cell>
          <cell r="E1697" t="str">
            <v>및 이를 25% 이상 함유한 혼합물질</v>
          </cell>
          <cell r="F1697">
            <v>25</v>
          </cell>
        </row>
        <row r="1698">
          <cell r="B1698" t="str">
            <v>122-19-0</v>
          </cell>
          <cell r="C1698" t="str">
            <v>Benzyldimethyloctadecyl ammonium chloride</v>
          </cell>
          <cell r="D1698" t="str">
            <v>99-1-493</v>
          </cell>
          <cell r="E1698" t="str">
            <v>및 이를 25% 이상 함유한 혼합물질</v>
          </cell>
          <cell r="F1698">
            <v>25</v>
          </cell>
        </row>
        <row r="1699">
          <cell r="B1699" t="str">
            <v>126-97-6</v>
          </cell>
          <cell r="C1699" t="str">
            <v>(2-hydroxyethyl)ammonium mercaptoacetate</v>
          </cell>
          <cell r="D1699" t="str">
            <v>99-1-494</v>
          </cell>
          <cell r="E1699" t="str">
            <v>및 이를 25% 이상 함유한 혼합물질</v>
          </cell>
          <cell r="F1699">
            <v>25</v>
          </cell>
        </row>
        <row r="1700">
          <cell r="B1700" t="str">
            <v>3737-41-5</v>
          </cell>
          <cell r="C1700" t="str">
            <v>3,3,4,4-Tetrachlorotetrahydrothiophene 1,1-dioxide</v>
          </cell>
          <cell r="D1700" t="str">
            <v>99-1-495</v>
          </cell>
          <cell r="E1700" t="str">
            <v>및 이를 25% 이상 함유한 혼합물질</v>
          </cell>
          <cell r="F1700">
            <v>25</v>
          </cell>
        </row>
        <row r="1701">
          <cell r="B1701" t="str">
            <v>66230-04-4</v>
          </cell>
          <cell r="C1701" t="str">
            <v>Esfenvalerate</v>
          </cell>
          <cell r="D1701" t="str">
            <v>99-1-496</v>
          </cell>
          <cell r="E1701" t="str">
            <v>및 이를 25% 이상 함유한 혼합물질</v>
          </cell>
          <cell r="F1701">
            <v>25</v>
          </cell>
        </row>
        <row r="1702">
          <cell r="B1702" t="str">
            <v>510-15-6</v>
          </cell>
          <cell r="C1702" t="str">
            <v>Chlorobenzilate</v>
          </cell>
          <cell r="D1702" t="str">
            <v>99-1-497</v>
          </cell>
          <cell r="E1702" t="str">
            <v>및 이를 1% 이상 함유한 혼합물질</v>
          </cell>
          <cell r="F1702">
            <v>1</v>
          </cell>
        </row>
        <row r="1703">
          <cell r="B1703" t="str">
            <v>126-72-7</v>
          </cell>
          <cell r="C1703" t="str">
            <v>Tris(2,3-dibromopropyl)phosphate</v>
          </cell>
          <cell r="D1703" t="str">
            <v>99-1-498</v>
          </cell>
          <cell r="E1703" t="str">
            <v>및 이를 0.1% 이상 함유한 혼합물질</v>
          </cell>
          <cell r="F1703">
            <v>0.1</v>
          </cell>
        </row>
        <row r="1704">
          <cell r="B1704" t="str">
            <v>52645-53-1</v>
          </cell>
          <cell r="C1704" t="str">
            <v>3-(2,2-Dichloroethenyl)-2,2-dimethyl-cyclopropanecarboxylic acid (3-phenoxyphenyl)methyl ester ; m-Phenoxylbenzyl 3-(2,2-dichlorovinyl)-2,2-dimethylcyclopropanecarboxylate, Permethrin</v>
          </cell>
          <cell r="D1704" t="str">
            <v>99-1-499</v>
          </cell>
          <cell r="E1704" t="str">
            <v>다만, 이를 함유한 혼합물질은 제외</v>
          </cell>
        </row>
        <row r="1705">
          <cell r="B1705" t="str">
            <v>99-99-0</v>
          </cell>
          <cell r="C1705" t="str">
            <v>1-Methyl-4-nitrobenzene ; p-Nitrotoluene</v>
          </cell>
          <cell r="D1705" t="str">
            <v>99-1-500</v>
          </cell>
          <cell r="E1705" t="str">
            <v>및 이를 25% 이상 함유한 혼합물질</v>
          </cell>
          <cell r="F1705">
            <v>25</v>
          </cell>
        </row>
        <row r="1706">
          <cell r="B1706" t="str">
            <v>61-82-5</v>
          </cell>
          <cell r="C1706" t="str">
            <v>1H-1,2,4-Triazol-3-amine ; 3-Amino-1H-1,2,4-triazole, Amitrole</v>
          </cell>
          <cell r="D1706" t="str">
            <v>99-1-501</v>
          </cell>
          <cell r="E1706" t="str">
            <v>및 이를 0.1% 이상 함유한 혼합물질</v>
          </cell>
          <cell r="F1706">
            <v>0.1</v>
          </cell>
        </row>
        <row r="1707">
          <cell r="B1707" t="str">
            <v>13654-09-6</v>
          </cell>
          <cell r="C1707" t="str">
            <v>PBBs</v>
          </cell>
          <cell r="D1707" t="str">
            <v>99-1-502</v>
          </cell>
          <cell r="E1707" t="str">
            <v>및 이를 0.1% 이상 함유한 혼합물질</v>
          </cell>
          <cell r="F1707">
            <v>0.1</v>
          </cell>
        </row>
        <row r="1708">
          <cell r="B1708" t="str">
            <v>59536-65-1</v>
          </cell>
          <cell r="C1708" t="str">
            <v>PBBs</v>
          </cell>
          <cell r="D1708" t="str">
            <v>99-1-502</v>
          </cell>
          <cell r="E1708" t="str">
            <v>및 이를 0.1% 이상 함유한 혼합물질</v>
          </cell>
          <cell r="F1708">
            <v>0.1</v>
          </cell>
        </row>
        <row r="1709">
          <cell r="B1709" t="str">
            <v>79720-19-7</v>
          </cell>
          <cell r="C1709" t="str">
            <v>3-Dodecyl-1-(2,2,6,6-tetramethyl-4-piperidinyl)-2,5-pyrrolidinedione</v>
          </cell>
          <cell r="D1709" t="str">
            <v>99-1-503</v>
          </cell>
          <cell r="E1709" t="str">
            <v>및 이를 10% 이상 함유한 혼합물질</v>
          </cell>
          <cell r="F1709">
            <v>10</v>
          </cell>
        </row>
        <row r="1710">
          <cell r="B1710" t="str">
            <v>814-49-3</v>
          </cell>
          <cell r="C1710" t="str">
            <v>Phosphorochloridic acid diethyl ester</v>
          </cell>
          <cell r="D1710" t="str">
            <v>99-1-504</v>
          </cell>
          <cell r="E1710" t="str">
            <v>및 이를 1% 이상 함유한 혼합물질</v>
          </cell>
          <cell r="F1710">
            <v>1</v>
          </cell>
        </row>
        <row r="1711">
          <cell r="B1711" t="str">
            <v>559-40-0</v>
          </cell>
          <cell r="C1711" t="str">
            <v>Perfluorocyclopentene</v>
          </cell>
          <cell r="D1711" t="str">
            <v>99-1-505</v>
          </cell>
          <cell r="E1711" t="str">
            <v>및 이를 20% 이상 함유한 혼합물질</v>
          </cell>
          <cell r="F1711">
            <v>20</v>
          </cell>
        </row>
        <row r="1712">
          <cell r="B1712" t="str">
            <v>10588-01-9</v>
          </cell>
          <cell r="C1712" t="str">
            <v>Sodium dichromate</v>
          </cell>
          <cell r="D1712" t="str">
            <v>99-1-506</v>
          </cell>
          <cell r="E1712" t="str">
            <v>또는 그 염류 및 중크롬산 염류를 0.1% 이상 함유한 혼합물질</v>
          </cell>
          <cell r="F1712">
            <v>0.1</v>
          </cell>
        </row>
        <row r="1713">
          <cell r="B1713" t="str">
            <v>13446-73-6</v>
          </cell>
          <cell r="C1713" t="str">
            <v>Dirubidium dichromate</v>
          </cell>
          <cell r="D1713" t="str">
            <v>99-1-506</v>
          </cell>
          <cell r="E1713" t="str">
            <v>또는 그 염류 및 중크롬산 염류를 0.1% 이상 함유한 혼합물질</v>
          </cell>
          <cell r="F1713">
            <v>0.1</v>
          </cell>
        </row>
        <row r="1714">
          <cell r="B1714" t="str">
            <v>13453-35-5</v>
          </cell>
          <cell r="C1714" t="str">
            <v>Dithallium dichromate</v>
          </cell>
          <cell r="D1714" t="str">
            <v>99-1-506</v>
          </cell>
          <cell r="E1714" t="str">
            <v>또는 그 염류 및 중크롬산 염류를 0.1% 이상 함유한 혼합물질</v>
          </cell>
          <cell r="F1714">
            <v>0.1</v>
          </cell>
        </row>
        <row r="1715">
          <cell r="B1715" t="str">
            <v>13530-68-2</v>
          </cell>
          <cell r="C1715" t="str">
            <v>Dichromic acid</v>
          </cell>
          <cell r="D1715" t="str">
            <v>99-1-506</v>
          </cell>
          <cell r="E1715" t="str">
            <v>또는 그 염류 및 중크롬산 염류를 0.1% 이상 함유한 혼합물질</v>
          </cell>
          <cell r="F1715">
            <v>0.1</v>
          </cell>
        </row>
        <row r="1716">
          <cell r="B1716" t="str">
            <v>14018-95-2</v>
          </cell>
          <cell r="C1716" t="str">
            <v>Zinc dichromate</v>
          </cell>
          <cell r="D1716" t="str">
            <v>99-1-506</v>
          </cell>
          <cell r="E1716" t="str">
            <v>또는 그 염류 및 중크롬산 염류를 0.1% 이상 함유한 혼합물질</v>
          </cell>
          <cell r="F1716">
            <v>0.1</v>
          </cell>
        </row>
        <row r="1717">
          <cell r="B1717" t="str">
            <v>14307-33-6</v>
          </cell>
          <cell r="C1717" t="str">
            <v>Calcium dichromate</v>
          </cell>
          <cell r="D1717" t="str">
            <v>99-1-506</v>
          </cell>
          <cell r="E1717" t="str">
            <v>또는 그 염류 및 중크롬산 염류를 0.1% 이상 함유한 혼합물질</v>
          </cell>
          <cell r="F1717">
            <v>0.1</v>
          </cell>
        </row>
        <row r="1718">
          <cell r="B1718" t="str">
            <v>15586-38-6</v>
          </cell>
          <cell r="C1718" t="str">
            <v>Nickel dichromate</v>
          </cell>
          <cell r="D1718" t="str">
            <v>99-1-506</v>
          </cell>
          <cell r="E1718" t="str">
            <v>또는 그 염류 및 중크롬산 염류를 0.1% 이상 함유한 혼합물질</v>
          </cell>
          <cell r="F1718">
            <v>0.1</v>
          </cell>
        </row>
        <row r="1719">
          <cell r="B1719" t="str">
            <v>20039-37-6</v>
          </cell>
          <cell r="C1719" t="str">
            <v>Chromic acid (H2Cr2O7) compd. with pyridine (1:2)</v>
          </cell>
          <cell r="D1719" t="str">
            <v>99-1-506</v>
          </cell>
          <cell r="E1719" t="str">
            <v>또는 그 염류 및 중크롬산 염류를 0.1% 이상 함유한 혼합물질</v>
          </cell>
          <cell r="F1719">
            <v>0.1</v>
          </cell>
        </row>
        <row r="1720">
          <cell r="B1720" t="str">
            <v>34493-01-1</v>
          </cell>
          <cell r="C1720" t="str">
            <v>Dichromic acid sodium salt</v>
          </cell>
          <cell r="D1720" t="str">
            <v>99-1-506</v>
          </cell>
          <cell r="E1720" t="str">
            <v>또는 그 염류 및 중크롬산 염류를 0.1% 이상 함유한 혼합물질</v>
          </cell>
          <cell r="F1720">
            <v>0.1</v>
          </cell>
        </row>
        <row r="1721">
          <cell r="B1721" t="str">
            <v>7778-50-9</v>
          </cell>
          <cell r="C1721" t="str">
            <v>Potassium dichromate (K2Cr2O7)</v>
          </cell>
          <cell r="D1721" t="str">
            <v>99-1-506</v>
          </cell>
          <cell r="E1721" t="str">
            <v>또는 그 염류 및 중크롬산 염류를 0.1% 이상 함유한 혼합물질</v>
          </cell>
          <cell r="F1721">
            <v>0.1</v>
          </cell>
        </row>
        <row r="1722">
          <cell r="B1722" t="str">
            <v>7784-02-3</v>
          </cell>
          <cell r="C1722" t="str">
            <v>Silver dichromate</v>
          </cell>
          <cell r="D1722" t="str">
            <v>99-1-506</v>
          </cell>
          <cell r="E1722" t="str">
            <v>또는 그 염류 및 중크롬산 염류를 0.1% 이상 함유한 혼합물질</v>
          </cell>
          <cell r="F1722">
            <v>0.1</v>
          </cell>
        </row>
        <row r="1723">
          <cell r="B1723" t="str">
            <v>7789-09-5</v>
          </cell>
          <cell r="C1723" t="str">
            <v>Ammonium dichromate</v>
          </cell>
          <cell r="D1723" t="str">
            <v>99-1-506</v>
          </cell>
          <cell r="E1723" t="str">
            <v>또는 그 염류 및 중크롬산 염류를 0.1% 이상 함유한 혼합물질</v>
          </cell>
          <cell r="F1723">
            <v>0.1</v>
          </cell>
        </row>
        <row r="1724">
          <cell r="B1724" t="str">
            <v>7789-10-8</v>
          </cell>
          <cell r="C1724" t="str">
            <v>Mercury dichromate</v>
          </cell>
          <cell r="D1724" t="str">
            <v>99-1-506</v>
          </cell>
          <cell r="E1724" t="str">
            <v>또는 그 염류 및 중크롬산 염류를 0.1% 이상 함유한 혼합물질</v>
          </cell>
          <cell r="F1724">
            <v>0.1</v>
          </cell>
        </row>
        <row r="1725">
          <cell r="B1725" t="str">
            <v>7789-12-0</v>
          </cell>
          <cell r="C1725" t="str">
            <v>Sodium dichromate dihydrate</v>
          </cell>
          <cell r="D1725" t="str">
            <v>99-1-506</v>
          </cell>
          <cell r="E1725" t="str">
            <v>또는 그 염류 및 중크롬산 염류를 0.1% 이상 함유한 혼합물질</v>
          </cell>
          <cell r="F1725">
            <v>0.1</v>
          </cell>
        </row>
        <row r="1726">
          <cell r="C1726" t="str">
            <v>Dichromic acid, salts</v>
          </cell>
          <cell r="D1726" t="str">
            <v>99-1-506</v>
          </cell>
          <cell r="E1726" t="str">
            <v>또는 그 염류 및 중크롬산 염류를 0.1% 이상 함유한 혼합물질</v>
          </cell>
          <cell r="F1726">
            <v>0.1</v>
          </cell>
        </row>
        <row r="1727">
          <cell r="B1727" t="str">
            <v>106-99-0</v>
          </cell>
          <cell r="C1727" t="str">
            <v>1,3-Butadiene</v>
          </cell>
          <cell r="D1727" t="str">
            <v>2014-1-693</v>
          </cell>
          <cell r="E1727" t="str">
            <v>및 이를 0.1% 이상 함유한 혼합물질</v>
          </cell>
          <cell r="F1727">
            <v>0.1</v>
          </cell>
        </row>
        <row r="1728">
          <cell r="B1728" t="str">
            <v>68-12-2</v>
          </cell>
          <cell r="C1728" t="str">
            <v>N,N-Dimethylformamide</v>
          </cell>
          <cell r="D1728" t="str">
            <v>2014-1-694</v>
          </cell>
          <cell r="E1728" t="str">
            <v>및 이를 0.3% 이상 함유한 혼합물질</v>
          </cell>
          <cell r="F1728">
            <v>0.3</v>
          </cell>
        </row>
        <row r="1729">
          <cell r="B1729" t="str">
            <v>121-14-2</v>
          </cell>
          <cell r="C1729" t="str">
            <v>2,4-Dinitrotoluene</v>
          </cell>
          <cell r="D1729" t="str">
            <v>2014-1-695</v>
          </cell>
          <cell r="E1729" t="str">
            <v>및 이를 0.1% 이상 함유한 혼합물질</v>
          </cell>
          <cell r="F1729">
            <v>0.1</v>
          </cell>
        </row>
        <row r="1730">
          <cell r="B1730" t="str">
            <v>110-80-5</v>
          </cell>
          <cell r="C1730" t="str">
            <v>2-Ethoxyethanol</v>
          </cell>
          <cell r="D1730" t="str">
            <v>2014-1-696</v>
          </cell>
          <cell r="E1730" t="str">
            <v>및 이를 0.3% 이상 함유한 혼합물질</v>
          </cell>
          <cell r="F1730">
            <v>0.3</v>
          </cell>
        </row>
        <row r="1731">
          <cell r="B1731" t="str">
            <v>96-45-7</v>
          </cell>
          <cell r="C1731" t="str">
            <v>2-Imidazolidinethione</v>
          </cell>
          <cell r="D1731" t="str">
            <v>2014-1-697</v>
          </cell>
          <cell r="E1731" t="str">
            <v>및 이를 0.3% 이상 함유한 혼합물질</v>
          </cell>
          <cell r="F1731">
            <v>0.3</v>
          </cell>
        </row>
        <row r="1732">
          <cell r="B1732" t="str">
            <v>109-86-4</v>
          </cell>
          <cell r="C1732" t="str">
            <v>2-Methoxyethanol</v>
          </cell>
          <cell r="D1732" t="str">
            <v>2014-1-698</v>
          </cell>
          <cell r="E1732" t="str">
            <v>및 이를 0.3% 이상 함유한 혼합물질</v>
          </cell>
          <cell r="F1732">
            <v>0.3</v>
          </cell>
        </row>
        <row r="1733">
          <cell r="B1733" t="str">
            <v>101-77-9</v>
          </cell>
          <cell r="C1733" t="str">
            <v>4,4'-Methylenedianiline</v>
          </cell>
          <cell r="D1733" t="str">
            <v>2014-1-699</v>
          </cell>
          <cell r="E1733" t="str">
            <v>및 이를 0.1% 이상 함유한 혼합물질</v>
          </cell>
          <cell r="F1733">
            <v>0.1</v>
          </cell>
        </row>
        <row r="1734">
          <cell r="B1734" t="str">
            <v>872-50-4</v>
          </cell>
          <cell r="C1734" t="str">
            <v>1-Methyl-2-pyrrolidinone</v>
          </cell>
          <cell r="D1734" t="str">
            <v>2014-1-700</v>
          </cell>
          <cell r="E1734" t="str">
            <v>및 이를 0.3% 이상 함유한 혼합물질</v>
          </cell>
          <cell r="F1734">
            <v>0.3</v>
          </cell>
        </row>
        <row r="1735">
          <cell r="B1735" t="str">
            <v>91-21-4</v>
          </cell>
          <cell r="C1735" t="str">
            <v>1,2,3,4-Tetrahydroisoquinoline</v>
          </cell>
          <cell r="D1735" t="str">
            <v>2014-1-701</v>
          </cell>
          <cell r="E1735" t="str">
            <v>및 이를 25% 이상 함유한 혼합물질</v>
          </cell>
          <cell r="F1735">
            <v>25</v>
          </cell>
        </row>
        <row r="1736">
          <cell r="B1736" t="str">
            <v>107-32-4</v>
          </cell>
          <cell r="C1736" t="str">
            <v>Performic acid</v>
          </cell>
          <cell r="D1736" t="str">
            <v>2014-1-702</v>
          </cell>
          <cell r="E1736" t="str">
            <v>및 이를 1% 이상 함유한 혼합물질</v>
          </cell>
          <cell r="F1736">
            <v>1</v>
          </cell>
        </row>
        <row r="1737">
          <cell r="B1737" t="str">
            <v>697-83-6</v>
          </cell>
          <cell r="C1737" t="str">
            <v>5-Chloro-2,4,6-trifluoropyrimidine</v>
          </cell>
          <cell r="D1737" t="str">
            <v>2014-1-703</v>
          </cell>
          <cell r="E1737" t="str">
            <v>및 이를 25% 이상 함유한 혼합물질</v>
          </cell>
          <cell r="F1737">
            <v>25</v>
          </cell>
        </row>
        <row r="1738">
          <cell r="B1738" t="str">
            <v>236408-49-4</v>
          </cell>
          <cell r="C1738" t="str">
            <v>[[4-(1,1-Dimethylethyl) phenyl]triphenylphosphonium chloride</v>
          </cell>
          <cell r="D1738" t="str">
            <v>2014-1-704</v>
          </cell>
          <cell r="E1738" t="str">
            <v>및 이를 25% 이상 함유한 혼합물질</v>
          </cell>
          <cell r="F1738">
            <v>25</v>
          </cell>
        </row>
        <row r="1739">
          <cell r="B1739" t="str">
            <v>13763-19-4</v>
          </cell>
          <cell r="C1739" t="str">
            <v>Decachlorotetra silane</v>
          </cell>
          <cell r="D1739" t="str">
            <v>2014-1-705</v>
          </cell>
          <cell r="E1739" t="str">
            <v>및 이를 25% 이상 함유한 혼합물질</v>
          </cell>
          <cell r="F1739">
            <v>25</v>
          </cell>
        </row>
        <row r="1740">
          <cell r="B1740" t="str">
            <v>33027-66-6</v>
          </cell>
          <cell r="C1740" t="str">
            <v>2-Ethoxy-2,4,4,6,6-pentafluoro-2λ5,4λ5, 6λ5-1,3,5,2,4,6-triazatriphosphorine</v>
          </cell>
          <cell r="D1740" t="str">
            <v>2014-1-706</v>
          </cell>
          <cell r="E1740" t="str">
            <v>및 이를 1% 이상 함유한 혼합물질</v>
          </cell>
          <cell r="F1740">
            <v>1</v>
          </cell>
        </row>
        <row r="1741">
          <cell r="B1741" t="str">
            <v>56-18-8</v>
          </cell>
          <cell r="C1741" t="str">
            <v>3,3'-Imino di(propylamine)</v>
          </cell>
          <cell r="D1741" t="str">
            <v>2014-1-707</v>
          </cell>
          <cell r="E1741" t="str">
            <v>및 이를 1% 이상 함유한 혼합물질</v>
          </cell>
          <cell r="F1741">
            <v>1</v>
          </cell>
        </row>
        <row r="1742">
          <cell r="B1742" t="str">
            <v>7378-99-6</v>
          </cell>
          <cell r="C1742" t="str">
            <v>Dimethyl(octyl)amine</v>
          </cell>
          <cell r="D1742" t="str">
            <v>2014-1-708</v>
          </cell>
          <cell r="E1742" t="str">
            <v>및 이를 25%이상 함유한 혼합물질</v>
          </cell>
          <cell r="F1742">
            <v>25</v>
          </cell>
        </row>
        <row r="1743">
          <cell r="B1743" t="str">
            <v>959974-09-5</v>
          </cell>
          <cell r="C1743" t="str">
            <v>[[(1,2,3,4,5-η)-1-Methyl-2,4-cyclopentadien-1-yl]tris(N-methylmethanaminato)zirconium</v>
          </cell>
          <cell r="D1743" t="str">
            <v>2014-1-709</v>
          </cell>
          <cell r="E1743" t="str">
            <v>및 이를 5% 이상 함유한 혼합물질</v>
          </cell>
          <cell r="F1743">
            <v>5</v>
          </cell>
        </row>
        <row r="1744">
          <cell r="B1744" t="str">
            <v>917924-18-6</v>
          </cell>
          <cell r="C1744" t="str">
            <v>[[1.1’-Biphenyl]-2-ol polymer with oxirane</v>
          </cell>
          <cell r="D1744" t="str">
            <v>2014-1-710</v>
          </cell>
          <cell r="E1744" t="str">
            <v>및 이를 25% 이상 함유한 혼합물질</v>
          </cell>
          <cell r="F1744">
            <v>25</v>
          </cell>
        </row>
        <row r="1745">
          <cell r="B1745" t="str">
            <v>373-68-2</v>
          </cell>
          <cell r="C1745" t="str">
            <v>Tetramethylammonium fluoride</v>
          </cell>
          <cell r="D1745" t="str">
            <v>2014-1-711</v>
          </cell>
          <cell r="E1745" t="str">
            <v>및 이를 1% 이상 함유한 혼합물질</v>
          </cell>
          <cell r="F1745">
            <v>1</v>
          </cell>
        </row>
        <row r="1746">
          <cell r="B1746" t="str">
            <v>1953-99-7</v>
          </cell>
          <cell r="C1746" t="str">
            <v>3,4,5,6-Tetrachloro-1,2-benzenedicarbonitrile</v>
          </cell>
          <cell r="D1746" t="str">
            <v>2014-1-712</v>
          </cell>
          <cell r="E1746" t="str">
            <v xml:space="preserve">및 이를 25% 이상 함유한 혼합물질 </v>
          </cell>
          <cell r="F1746">
            <v>25</v>
          </cell>
        </row>
        <row r="1747">
          <cell r="B1747" t="str">
            <v>13453-75-3</v>
          </cell>
          <cell r="C1747" t="str">
            <v>Lithium fluoro sulfate</v>
          </cell>
          <cell r="D1747" t="str">
            <v>2014-1-713</v>
          </cell>
          <cell r="E1747" t="str">
            <v>및 이를 25% 이상 함유한 혼합물질</v>
          </cell>
          <cell r="F1747">
            <v>25</v>
          </cell>
        </row>
        <row r="1748">
          <cell r="B1748" t="str">
            <v>16499-88-0</v>
          </cell>
          <cell r="C1748" t="str">
            <v>3-Butoxypropylamine</v>
          </cell>
          <cell r="D1748" t="str">
            <v>2014-1-714</v>
          </cell>
          <cell r="E1748" t="str">
            <v>및 이를 5% 이상 함유한 혼합물질</v>
          </cell>
          <cell r="F1748">
            <v>5</v>
          </cell>
        </row>
        <row r="1749">
          <cell r="C1749" t="str">
            <v>Manganese potassium silicon fluoride</v>
          </cell>
          <cell r="D1749" t="str">
            <v>2014-1-715</v>
          </cell>
          <cell r="E1749" t="str">
            <v>및 이를 25% 이상 함유한 혼합물질</v>
          </cell>
          <cell r="F1749">
            <v>25</v>
          </cell>
        </row>
        <row r="1750">
          <cell r="B1750" t="str">
            <v>1039756-60-9</v>
          </cell>
          <cell r="C1750" t="str">
            <v>Strontium. chloro hydroxy hydrogenated resin acids [29H,31H- phthalocyaninato (2-)-kN29,kN30, kN31,kN32]copper sulfo derivs. complexes;</v>
          </cell>
          <cell r="D1750" t="str">
            <v>2014-1-716</v>
          </cell>
          <cell r="E1750" t="str">
            <v>및 이를 25% 이상 함유한 혼합물질</v>
          </cell>
          <cell r="F1750">
            <v>25</v>
          </cell>
        </row>
        <row r="1751">
          <cell r="B1751" t="str">
            <v>120-94-5</v>
          </cell>
          <cell r="C1751" t="str">
            <v>1-Methylpyrrolidine</v>
          </cell>
          <cell r="D1751" t="str">
            <v>2014-1-717</v>
          </cell>
          <cell r="E1751" t="str">
            <v xml:space="preserve">및 이를 25% 이상 함유한 혼합물질 </v>
          </cell>
          <cell r="F1751">
            <v>25</v>
          </cell>
        </row>
        <row r="1752">
          <cell r="B1752" t="str">
            <v>182442-95-1</v>
          </cell>
          <cell r="C1752" t="str">
            <v>Cobalt lithium manganese nickel oxide</v>
          </cell>
          <cell r="D1752" t="str">
            <v>2014-1-718</v>
          </cell>
          <cell r="E1752" t="str">
            <v xml:space="preserve">및 이를 1% 이상 함유한 혼합물질 </v>
          </cell>
          <cell r="F1752">
            <v>1</v>
          </cell>
        </row>
        <row r="1753">
          <cell r="B1753" t="str">
            <v>28178-42-9</v>
          </cell>
          <cell r="C1753" t="str">
            <v>2,6-Diisopropylphenyl isocyanate</v>
          </cell>
          <cell r="D1753" t="str">
            <v>2014-1-719</v>
          </cell>
          <cell r="E1753" t="str">
            <v>및 이를 1% 이상 함유한 혼합물질</v>
          </cell>
          <cell r="F1753">
            <v>1</v>
          </cell>
        </row>
        <row r="1754">
          <cell r="B1754" t="str">
            <v>52980-20-8</v>
          </cell>
          <cell r="C1754" t="str">
            <v>4,4'-[1,3-Propanediylbis(oxy)] bisbenzenamine</v>
          </cell>
          <cell r="D1754" t="str">
            <v>2014-1-720</v>
          </cell>
          <cell r="E1754" t="str">
            <v xml:space="preserve">및 이를 1% 이상 함유한 혼합물질 </v>
          </cell>
          <cell r="F1754">
            <v>1</v>
          </cell>
        </row>
        <row r="1755">
          <cell r="B1755" t="str">
            <v>2391-56-2</v>
          </cell>
          <cell r="C1755" t="str">
            <v>4,4'-[1,5-Pentanediylbis(oxy)] bisbenzenamine</v>
          </cell>
          <cell r="D1755" t="str">
            <v>2014-1-721</v>
          </cell>
          <cell r="E1755" t="str">
            <v xml:space="preserve">및 이를 1% 이상 함유한 혼합물질 </v>
          </cell>
          <cell r="F1755">
            <v>1</v>
          </cell>
        </row>
        <row r="1756">
          <cell r="B1756" t="str">
            <v>20407-84-5</v>
          </cell>
          <cell r="C1756" t="str">
            <v>(E)-2-Dodecenal</v>
          </cell>
          <cell r="D1756" t="str">
            <v>2014-1-722</v>
          </cell>
          <cell r="E1756" t="str">
            <v xml:space="preserve">및 이를 25% 이상 함유한 혼합물질 </v>
          </cell>
          <cell r="F1756">
            <v>25</v>
          </cell>
        </row>
        <row r="1757">
          <cell r="B1757" t="str">
            <v>505-86-2</v>
          </cell>
          <cell r="C1757" t="str">
            <v>Cetrimonium hydroxide</v>
          </cell>
          <cell r="D1757" t="str">
            <v>2000-1-509</v>
          </cell>
          <cell r="E1757" t="str">
            <v>수산화 세트리모늄[Cetrimonium hydroxide; 505-86-2]과 세트리모늄 염류[Cetrimonium salts; 112-02-7, 57-09-0, 124-23-2 등] 및 이를 25%이상 함유한 혼합물질</v>
          </cell>
          <cell r="F1757">
            <v>25</v>
          </cell>
        </row>
        <row r="1758">
          <cell r="B1758" t="str">
            <v>57-09-0</v>
          </cell>
          <cell r="C1758" t="str">
            <v>Cetrimonium salts</v>
          </cell>
          <cell r="D1758" t="str">
            <v>2000-1-509</v>
          </cell>
          <cell r="E1758" t="str">
            <v>수산화 세트리모늄[Cetrimonium hydroxide; 505-86-2]과 세트리모늄 염류[Cetrimonium salts; 112-02-7, 57-09-0, 124-23-2 등] 및 이를 25%이상 함유한 혼합물질</v>
          </cell>
          <cell r="F1758">
            <v>25</v>
          </cell>
        </row>
        <row r="1759">
          <cell r="B1759" t="str">
            <v>124-23-2</v>
          </cell>
          <cell r="C1759" t="str">
            <v>Cetrimonium salts</v>
          </cell>
          <cell r="D1759" t="str">
            <v>2000-1-509</v>
          </cell>
          <cell r="E1759" t="str">
            <v>수산화 세트리모늄[Cetrimonium hydroxide; 505-86-2]과 세트리모늄 염류[Cetrimonium salts; 112-02-7, 57-09-0, 124-23-2 등] 및 이를 25%이상 함유한 혼합물질</v>
          </cell>
          <cell r="F1759">
            <v>25</v>
          </cell>
        </row>
        <row r="1760">
          <cell r="B1760" t="str">
            <v>12767-90-7</v>
          </cell>
          <cell r="C1760" t="str">
            <v>Hexaboron dizinc undecaoxide</v>
          </cell>
          <cell r="D1760" t="str">
            <v>97-1-91</v>
          </cell>
          <cell r="E1760" t="str">
            <v>및 이를 25% 이상 함유한 혼합물질. 탄산 아연(Zinc carbonate) 및 뇌산 아연(Zinc fulminate)은 제외</v>
          </cell>
          <cell r="F1760">
            <v>25</v>
          </cell>
        </row>
        <row r="1761">
          <cell r="B1761" t="str">
            <v>68910-05-4</v>
          </cell>
          <cell r="C1761" t="str">
            <v>2-Aminoethanol reaction products with ammonia by-products from</v>
          </cell>
          <cell r="D1761" t="str">
            <v>2014-1-723</v>
          </cell>
          <cell r="E1761" t="str">
            <v>및 이를 0.3% 이상 함유한 혼합물</v>
          </cell>
          <cell r="F1761">
            <v>0.3</v>
          </cell>
        </row>
      </sheetData>
      <sheetData sheetId="29" refreshError="1">
        <row r="1">
          <cell r="B1" t="str">
            <v>CAS No</v>
          </cell>
          <cell r="C1" t="str">
            <v>화학물질명</v>
          </cell>
          <cell r="D1" t="str">
            <v>규제번호</v>
          </cell>
          <cell r="E1" t="str">
            <v>함량기준설명</v>
          </cell>
          <cell r="F1" t="str">
            <v>함량기준수치</v>
          </cell>
          <cell r="G1" t="str">
            <v>금지내용</v>
          </cell>
        </row>
        <row r="2">
          <cell r="B2" t="str">
            <v>1836-75-5</v>
          </cell>
          <cell r="C2" t="str">
            <v>Nitrofen</v>
          </cell>
          <cell r="D2" t="str">
            <v>06-4-1</v>
          </cell>
          <cell r="E2" t="str">
            <v>및 이를 0.1% 이상 함유한 혼합물질</v>
          </cell>
          <cell r="F2">
            <v>0.1</v>
          </cell>
          <cell r="G2" t="str">
            <v>제조, 수입, 판매, 보관/저장, 운반, 사용을 금지</v>
          </cell>
        </row>
        <row r="3">
          <cell r="B3" t="str">
            <v>7784-40-9</v>
          </cell>
          <cell r="C3" t="str">
            <v>Arsenic acid (H3AsO4), lead(2+) salt (1:1)</v>
          </cell>
          <cell r="D3" t="str">
            <v>06-4-10</v>
          </cell>
          <cell r="E3" t="str">
            <v>및 이를 0.1% 이상 함유한 혼합물질</v>
          </cell>
          <cell r="F3">
            <v>0.1</v>
          </cell>
          <cell r="G3" t="str">
            <v>제조, 수입, 판매, 보관/저장, 운반, 사용을 금지</v>
          </cell>
        </row>
        <row r="4">
          <cell r="B4" t="str">
            <v>111-44-4</v>
          </cell>
          <cell r="C4" t="str">
            <v>Bis(2-chloroethyl) ether</v>
          </cell>
          <cell r="D4" t="str">
            <v>06-4-11</v>
          </cell>
          <cell r="E4" t="str">
            <v>및 이를 0.1% 이상 함유한 혼합물질</v>
          </cell>
          <cell r="F4">
            <v>0.1</v>
          </cell>
          <cell r="G4" t="str">
            <v>제조, 수입, 판매, 보관/저장, 운반, 사용을 금지</v>
          </cell>
        </row>
        <row r="5">
          <cell r="B5" t="str">
            <v>542-88-1</v>
          </cell>
          <cell r="C5" t="str">
            <v>Bis(chloromethyl) ether</v>
          </cell>
          <cell r="D5" t="str">
            <v>06-4-12</v>
          </cell>
          <cell r="E5" t="str">
            <v>및 이를 0.1% 이상 함유한 혼합물질</v>
          </cell>
          <cell r="F5">
            <v>0.1</v>
          </cell>
          <cell r="G5" t="str">
            <v>제조, 수입, 판매, 보관/저장, 운반, 사용을 금지</v>
          </cell>
        </row>
        <row r="6">
          <cell r="B6" t="str">
            <v>14414-68-7</v>
          </cell>
          <cell r="C6" t="str">
            <v>Benzidine hydrochloride</v>
          </cell>
          <cell r="D6" t="str">
            <v>06-4-13</v>
          </cell>
          <cell r="E6" t="str">
            <v>과 그 염류 및 그 중 하나를 0.1%이상 함유한 혼합물질</v>
          </cell>
          <cell r="F6">
            <v>0.1</v>
          </cell>
          <cell r="G6" t="str">
            <v>제조, 수입, 판매, 보관/저장, 운반, 사용을 금지</v>
          </cell>
        </row>
        <row r="7">
          <cell r="B7" t="str">
            <v>21136-70-9</v>
          </cell>
          <cell r="C7" t="str">
            <v>Benzidine sulphate</v>
          </cell>
          <cell r="D7" t="str">
            <v>06-4-13</v>
          </cell>
          <cell r="E7" t="str">
            <v>과 그 염류 및 그 중 하나를 0.1%이상 함유한 혼합물질</v>
          </cell>
          <cell r="F7">
            <v>0.1</v>
          </cell>
          <cell r="G7" t="str">
            <v>제조, 수입, 판매, 보관/저장, 운반, 사용을 금지</v>
          </cell>
        </row>
        <row r="8">
          <cell r="B8" t="str">
            <v>531-85-1</v>
          </cell>
          <cell r="C8" t="str">
            <v>Benzidine dihydrochloride</v>
          </cell>
          <cell r="D8" t="str">
            <v>06-4-13</v>
          </cell>
          <cell r="E8" t="str">
            <v>과 그 염류 및 그 중 하나를 0.1%이상 함유한 혼합물질</v>
          </cell>
          <cell r="F8">
            <v>0.1</v>
          </cell>
          <cell r="G8" t="str">
            <v>제조, 수입, 판매, 보관/저장, 운반, 사용을 금지</v>
          </cell>
        </row>
        <row r="9">
          <cell r="B9" t="str">
            <v>531-86-2</v>
          </cell>
          <cell r="C9" t="str">
            <v>Benzidine sulfate</v>
          </cell>
          <cell r="D9" t="str">
            <v>06-4-13</v>
          </cell>
          <cell r="E9" t="str">
            <v>과 그 염류 및 그 중 하나를 0.1%이상 함유한 혼합물질</v>
          </cell>
          <cell r="F9">
            <v>0.1</v>
          </cell>
          <cell r="G9" t="str">
            <v>제조, 수입, 판매, 보관/저장, 운반, 사용을 금지</v>
          </cell>
        </row>
        <row r="10">
          <cell r="B10" t="str">
            <v>92-87-5</v>
          </cell>
          <cell r="C10" t="str">
            <v>Benzidine</v>
          </cell>
          <cell r="D10" t="str">
            <v>06-4-13</v>
          </cell>
          <cell r="E10" t="str">
            <v>과 그 염류 및 그 중 하나를 0.1%이상 함유한 혼합물질</v>
          </cell>
          <cell r="F10">
            <v>0.1</v>
          </cell>
          <cell r="G10" t="str">
            <v>제조, 수입, 판매, 보관/저장, 운반, 사용을 금지</v>
          </cell>
        </row>
        <row r="11">
          <cell r="B11" t="str">
            <v>10476-82-1</v>
          </cell>
          <cell r="C11" t="str">
            <v>Strychnine arsenate</v>
          </cell>
          <cell r="D11" t="str">
            <v>06-4-14</v>
          </cell>
          <cell r="E11" t="str">
            <v>과 그 염류 및 그 중 하나를 1%이상 함유한 혼합물질</v>
          </cell>
          <cell r="F11">
            <v>1</v>
          </cell>
          <cell r="G11" t="str">
            <v>제조, 수입, 판매, 보관/저장, 운반, 사용을 금지</v>
          </cell>
        </row>
        <row r="12">
          <cell r="B12" t="str">
            <v>10476-87-6</v>
          </cell>
          <cell r="C12" t="str">
            <v>Strychnine dimethylarsinate</v>
          </cell>
          <cell r="D12" t="str">
            <v>06-4-14</v>
          </cell>
          <cell r="E12" t="str">
            <v>과 그 염류 및 그 중 하나를 1%이상 함유한 혼합물질</v>
          </cell>
          <cell r="F12">
            <v>1</v>
          </cell>
          <cell r="G12" t="str">
            <v>제조, 수입, 판매, 보관/저장, 운반, 사용을 금지</v>
          </cell>
        </row>
        <row r="13">
          <cell r="B13" t="str">
            <v>1323-31-5</v>
          </cell>
          <cell r="C13" t="str">
            <v>Strychnine glycerophosphate</v>
          </cell>
          <cell r="D13" t="str">
            <v>06-4-14</v>
          </cell>
          <cell r="E13" t="str">
            <v>과 그 염류 및 그 중 하나를 1%이상 함유한 혼합물질</v>
          </cell>
          <cell r="F13">
            <v>1</v>
          </cell>
          <cell r="G13" t="str">
            <v>제조, 수입, 판매, 보관/저장, 운반, 사용을 금지</v>
          </cell>
        </row>
        <row r="14">
          <cell r="B14" t="str">
            <v>1421-86-9</v>
          </cell>
          <cell r="C14" t="str">
            <v>Strychnine hydrochloride</v>
          </cell>
          <cell r="D14" t="str">
            <v>06-4-14</v>
          </cell>
          <cell r="E14" t="str">
            <v>과 그 염류 및 그 중 하나를 1%이상 함유한 혼합물질</v>
          </cell>
          <cell r="F14">
            <v>1</v>
          </cell>
          <cell r="G14" t="str">
            <v>제조, 수입, 판매, 보관/저장, 운반, 사용을 금지</v>
          </cell>
        </row>
        <row r="15">
          <cell r="B15" t="str">
            <v>509-42-2</v>
          </cell>
          <cell r="C15" t="str">
            <v>Strychnine phosphate</v>
          </cell>
          <cell r="D15" t="str">
            <v>06-4-14</v>
          </cell>
          <cell r="E15" t="str">
            <v>과 그 염류 및 그 중 하나를 1%이상 함유한 혼합물질</v>
          </cell>
          <cell r="F15">
            <v>1</v>
          </cell>
          <cell r="G15" t="str">
            <v>제조, 수입, 판매, 보관/저장, 운반, 사용을 금지</v>
          </cell>
        </row>
        <row r="16">
          <cell r="B16" t="str">
            <v>57-24-9</v>
          </cell>
          <cell r="C16" t="str">
            <v>Strychnine</v>
          </cell>
          <cell r="D16" t="str">
            <v>06-4-14</v>
          </cell>
          <cell r="E16" t="str">
            <v>과 그 염류 및 그 중 하나를 1%이상 함유한 혼합물질</v>
          </cell>
          <cell r="F16">
            <v>1</v>
          </cell>
          <cell r="G16" t="str">
            <v>제조, 수입, 판매, 보관/저장, 운반, 사용을 금지</v>
          </cell>
        </row>
        <row r="17">
          <cell r="B17" t="str">
            <v>60-41-3</v>
          </cell>
          <cell r="C17" t="str">
            <v>Strychnine, sulfate</v>
          </cell>
          <cell r="D17" t="str">
            <v>06-4-14</v>
          </cell>
          <cell r="E17" t="str">
            <v>과 그 염류 및 그 중 하나를 1%이상 함유한 혼합물질</v>
          </cell>
          <cell r="F17">
            <v>1</v>
          </cell>
          <cell r="G17" t="str">
            <v>제조, 수입, 판매, 보관/저장, 운반, 사용을 금지</v>
          </cell>
        </row>
        <row r="18">
          <cell r="B18" t="str">
            <v>60491-10-3</v>
          </cell>
          <cell r="C18" t="str">
            <v>Strychnine sulfate pentahydrate</v>
          </cell>
          <cell r="D18" t="str">
            <v>06-4-14</v>
          </cell>
          <cell r="E18" t="str">
            <v>과 그 염류 및 그 중 하나를 1%이상 함유한 혼합물질</v>
          </cell>
          <cell r="F18">
            <v>1</v>
          </cell>
          <cell r="G18" t="str">
            <v>제조, 수입, 판매, 보관/저장, 운반, 사용을 금지</v>
          </cell>
        </row>
        <row r="19">
          <cell r="B19" t="str">
            <v>563-68-8</v>
          </cell>
          <cell r="C19" t="str">
            <v>Thallium(I) acetate</v>
          </cell>
          <cell r="D19" t="str">
            <v>06-4-15</v>
          </cell>
          <cell r="E19" t="str">
            <v>및 이를 1%이상 함유한 혼합물질</v>
          </cell>
          <cell r="F19">
            <v>1</v>
          </cell>
          <cell r="G19" t="str">
            <v>제조, 수입, 판매, 보관/저장, 운반, 사용을 금지</v>
          </cell>
        </row>
        <row r="20">
          <cell r="B20" t="str">
            <v>62-38-4</v>
          </cell>
          <cell r="C20" t="str">
            <v>Phenylmercuric acetate</v>
          </cell>
          <cell r="D20" t="str">
            <v>06-4-16</v>
          </cell>
          <cell r="E20" t="str">
            <v>및 이를 1%이상 함유한 혼합물질</v>
          </cell>
          <cell r="F20">
            <v>1</v>
          </cell>
          <cell r="G20" t="str">
            <v>제조, 수입, 판매, 보관/저장, 운반, 사용을 금지</v>
          </cell>
        </row>
        <row r="21">
          <cell r="B21" t="str">
            <v>101007-06-1</v>
          </cell>
          <cell r="C21" t="str">
            <v>Acrinathrin</v>
          </cell>
          <cell r="D21" t="str">
            <v>06-4-17</v>
          </cell>
          <cell r="E21" t="str">
            <v>및 이를 25%이상 함유한 혼합물질</v>
          </cell>
          <cell r="F21">
            <v>25</v>
          </cell>
          <cell r="G21" t="str">
            <v>제조, 수입, 판매, 보관/저장, 운반, 사용을 금지</v>
          </cell>
        </row>
        <row r="22">
          <cell r="B22" t="str">
            <v>86-88-4</v>
          </cell>
          <cell r="C22" t="str">
            <v>ANTU</v>
          </cell>
          <cell r="D22" t="str">
            <v>06-4-18</v>
          </cell>
          <cell r="E22" t="str">
            <v>및 이를 1%이상 함유한 혼합물질</v>
          </cell>
          <cell r="F22">
            <v>1</v>
          </cell>
          <cell r="G22" t="str">
            <v>제조, 수입, 판매, 보관/저장, 운반, 사용을 금지</v>
          </cell>
        </row>
        <row r="23">
          <cell r="B23" t="str">
            <v>309-00-2</v>
          </cell>
          <cell r="C23" t="str">
            <v>Aldrin</v>
          </cell>
          <cell r="D23" t="str">
            <v>06-4-19</v>
          </cell>
          <cell r="E23" t="str">
            <v>및 이를 0.1%이상 함유한 혼합물질</v>
          </cell>
          <cell r="F23">
            <v>0.1</v>
          </cell>
          <cell r="G23" t="str">
            <v>제조, 수입, 판매, 보관/저장, 운반, 사용을 금지</v>
          </cell>
        </row>
        <row r="24">
          <cell r="B24" t="str">
            <v>10311-84-9</v>
          </cell>
          <cell r="C24" t="str">
            <v>Dialifos</v>
          </cell>
          <cell r="D24" t="str">
            <v>06-4-2</v>
          </cell>
          <cell r="E24" t="str">
            <v>및 이를 1% 이상 함유한 혼합물질</v>
          </cell>
          <cell r="F24">
            <v>1</v>
          </cell>
          <cell r="G24" t="str">
            <v>제조, 수입, 판매, 보관/저장, 운반, 사용을 금지</v>
          </cell>
        </row>
        <row r="25">
          <cell r="B25" t="str">
            <v>116-06-3</v>
          </cell>
          <cell r="C25" t="str">
            <v>Aldicarb</v>
          </cell>
          <cell r="D25" t="str">
            <v>06-4-20</v>
          </cell>
          <cell r="E25" t="str">
            <v>및 이를 1% 이상 함유한 혼합물질</v>
          </cell>
          <cell r="F25">
            <v>1</v>
          </cell>
          <cell r="G25" t="str">
            <v>제조, 수입, 판매, 보관/저장, 운반, 사용을 금지</v>
          </cell>
        </row>
        <row r="26">
          <cell r="B26" t="str">
            <v>32536-52-0</v>
          </cell>
          <cell r="C26" t="str">
            <v>Octabromodiphenyl ether</v>
          </cell>
          <cell r="D26" t="str">
            <v>06-4-21</v>
          </cell>
          <cell r="E26" t="str">
            <v>및 이를 0.1%이상 함유한 혼합물질</v>
          </cell>
          <cell r="F26">
            <v>0.1</v>
          </cell>
          <cell r="G26" t="str">
            <v>제조, 수입, 판매, 보관/저장, 운반, 사용을 금지</v>
          </cell>
        </row>
        <row r="27">
          <cell r="B27" t="str">
            <v>297-78-9</v>
          </cell>
          <cell r="C27" t="str">
            <v>Isobenzan</v>
          </cell>
          <cell r="D27" t="str">
            <v>06-4-22</v>
          </cell>
          <cell r="E27" t="str">
            <v>및 이를 1%이상 함유한 혼합물질</v>
          </cell>
          <cell r="F27">
            <v>1</v>
          </cell>
          <cell r="G27" t="str">
            <v>제조, 수입, 판매, 보관/저장, 운반, 사용을 금지</v>
          </cell>
        </row>
        <row r="28">
          <cell r="B28" t="str">
            <v>20859-73-8</v>
          </cell>
          <cell r="C28" t="str">
            <v>Aluminum phosphide</v>
          </cell>
          <cell r="D28" t="str">
            <v>06-4-23</v>
          </cell>
          <cell r="E28" t="str">
            <v>및 그의 분해촉진제를 1%이상 함유한 혼합물질</v>
          </cell>
          <cell r="F28">
            <v>1</v>
          </cell>
          <cell r="G28" t="str">
            <v>제조, 수입, 판매, 보관/저장, 운반, 사용을 금지,  (containing its decomposition accelerant)</v>
          </cell>
        </row>
        <row r="29">
          <cell r="B29" t="str">
            <v>115-29-7</v>
          </cell>
          <cell r="C29" t="str">
            <v>Endosulfan</v>
          </cell>
          <cell r="D29" t="str">
            <v>06-4-24</v>
          </cell>
          <cell r="E29" t="str">
            <v>및 이를 1%이상 함유한 혼합물질</v>
          </cell>
          <cell r="F29">
            <v>1</v>
          </cell>
          <cell r="G29" t="str">
            <v>제조, 수입, 판매, 보관/저장, 운반, 사용을 금지</v>
          </cell>
        </row>
        <row r="30">
          <cell r="B30" t="str">
            <v>72-20-8</v>
          </cell>
          <cell r="C30" t="str">
            <v>Endrin</v>
          </cell>
          <cell r="D30" t="str">
            <v>06-4-25</v>
          </cell>
          <cell r="E30" t="str">
            <v>및 이를 1%이상 함유한 혼합물질</v>
          </cell>
          <cell r="F30">
            <v>1</v>
          </cell>
          <cell r="G30" t="str">
            <v>제조, 수입, 판매, 보관/저장, 운반, 사용을 금지</v>
          </cell>
        </row>
        <row r="31">
          <cell r="B31" t="str">
            <v>10102-45-1</v>
          </cell>
          <cell r="C31" t="str">
            <v>Thallium(I) nitrate</v>
          </cell>
          <cell r="D31" t="str">
            <v>06-4-26</v>
          </cell>
          <cell r="E31" t="str">
            <v>이를 1%이상 함유한 혼합물질</v>
          </cell>
          <cell r="F31">
            <v>1</v>
          </cell>
          <cell r="G31" t="str">
            <v>제조, 수입, 판매, 보관/저장, 운반, 사용을 금지</v>
          </cell>
        </row>
        <row r="32">
          <cell r="B32" t="str">
            <v>12001-28-4</v>
          </cell>
          <cell r="C32" t="str">
            <v>Asbestos, crocidolite</v>
          </cell>
          <cell r="D32" t="str">
            <v>06-4-27</v>
          </cell>
          <cell r="E32" t="str">
            <v>및 이를 1%이상 함유한 혼합물질</v>
          </cell>
          <cell r="F32">
            <v>1</v>
          </cell>
          <cell r="G32" t="str">
            <v>동 물질 및 이를 1%이상 함유한 제품은 제조, 수입, 판매, 보관/저장, 운반, 사용을 금지</v>
          </cell>
        </row>
        <row r="33">
          <cell r="B33" t="str">
            <v>12172-73-5</v>
          </cell>
          <cell r="C33" t="str">
            <v>Asbestos, amosite</v>
          </cell>
          <cell r="D33" t="str">
            <v>06-4-27</v>
          </cell>
          <cell r="E33" t="str">
            <v>및 이를 1%이상 함유한 혼합물질</v>
          </cell>
          <cell r="F33">
            <v>1</v>
          </cell>
          <cell r="G33" t="str">
            <v>동 물질 및 이를 1%이상 함유한 제품은 제조, 수입, 판매, 보관/저장, 운반, 사용을 금지</v>
          </cell>
        </row>
        <row r="34">
          <cell r="B34" t="str">
            <v>77536-66-4</v>
          </cell>
          <cell r="C34" t="str">
            <v>Asbestos, actinolite</v>
          </cell>
          <cell r="D34" t="str">
            <v>06-4-27</v>
          </cell>
          <cell r="E34" t="str">
            <v>및 이를 1%이상 함유한 혼합물질</v>
          </cell>
          <cell r="F34">
            <v>1</v>
          </cell>
          <cell r="G34" t="str">
            <v>동 물질 및 이를 1%이상 함유한 제품은 제조, 수입, 판매, 보관/저장, 운반, 사용을 금지</v>
          </cell>
        </row>
        <row r="35">
          <cell r="B35" t="str">
            <v>77536-67-5</v>
          </cell>
          <cell r="C35" t="str">
            <v>Anthophyllite, asbestiform</v>
          </cell>
          <cell r="D35" t="str">
            <v>06-4-27</v>
          </cell>
          <cell r="E35" t="str">
            <v>및 이를 1%이상 함유한 혼합물질</v>
          </cell>
          <cell r="F35">
            <v>1</v>
          </cell>
          <cell r="G35" t="str">
            <v>동 물질 및 이를 1%이상 함유한 제품은 제조, 수입, 판매, 보관/저장, 운반, 사용을 금지</v>
          </cell>
        </row>
        <row r="36">
          <cell r="B36" t="str">
            <v>77536-68-6</v>
          </cell>
          <cell r="C36" t="str">
            <v>Tremolite</v>
          </cell>
          <cell r="D36" t="str">
            <v>06-4-27</v>
          </cell>
          <cell r="E36" t="str">
            <v>및 이를 1%이상 함유한 혼합물질</v>
          </cell>
          <cell r="F36">
            <v>1</v>
          </cell>
          <cell r="G36" t="str">
            <v>동 물질 및 이를 1%이상 함유한 제품은 제조, 수입, 판매, 보관/저장, 운반, 사용을 금지</v>
          </cell>
        </row>
        <row r="37">
          <cell r="B37" t="str">
            <v>8001-35-2</v>
          </cell>
          <cell r="C37" t="str">
            <v>Toxaphene</v>
          </cell>
          <cell r="D37" t="str">
            <v>06-4-28</v>
          </cell>
          <cell r="E37" t="str">
            <v>및 이를 1%이상 함유한 혼합물질</v>
          </cell>
          <cell r="F37">
            <v>1</v>
          </cell>
          <cell r="G37" t="str">
            <v>제조, 수입, 판매, 보관/저장, 운반, 사용을 금지</v>
          </cell>
        </row>
        <row r="38">
          <cell r="B38" t="str">
            <v>510-15-6</v>
          </cell>
          <cell r="C38" t="str">
            <v>Chlorobenzilate</v>
          </cell>
          <cell r="D38" t="str">
            <v>06-4-29</v>
          </cell>
          <cell r="E38" t="str">
            <v>및 이를 1%이상 함유한 혼합물질</v>
          </cell>
          <cell r="F38">
            <v>1</v>
          </cell>
          <cell r="G38" t="str">
            <v>제조, 수입, 판매, 보관/저장, 운반, 사용을 금지</v>
          </cell>
        </row>
        <row r="39">
          <cell r="B39" t="str">
            <v>50-29-3</v>
          </cell>
          <cell r="C39" t="str">
            <v>DDT</v>
          </cell>
          <cell r="D39" t="str">
            <v>06-4-3</v>
          </cell>
          <cell r="E39" t="str">
            <v>및 이를 1% 이상 함유한 혼합물질</v>
          </cell>
          <cell r="F39">
            <v>1</v>
          </cell>
          <cell r="G39" t="str">
            <v>제조, 수입, 판매, 보관/저장, 운반, 사용을 금지</v>
          </cell>
        </row>
        <row r="40">
          <cell r="B40" t="str">
            <v>76-06-2</v>
          </cell>
          <cell r="C40" t="str">
            <v>Chloropicrin</v>
          </cell>
          <cell r="D40" t="str">
            <v>06-4-30</v>
          </cell>
          <cell r="E40" t="str">
            <v>및 이를 1%이상 함유한 혼합물질</v>
          </cell>
          <cell r="F40">
            <v>1</v>
          </cell>
          <cell r="G40" t="str">
            <v>제조, 수입, 판매, 보관/저장, 운반, 사용을 금지</v>
          </cell>
        </row>
        <row r="41">
          <cell r="B41" t="str">
            <v>57-74-9</v>
          </cell>
          <cell r="C41" t="str">
            <v>Chlordane</v>
          </cell>
          <cell r="D41" t="str">
            <v>06-4-31</v>
          </cell>
          <cell r="E41" t="str">
            <v>및 이를 1%이상 함유한 혼합물질</v>
          </cell>
          <cell r="F41">
            <v>1</v>
          </cell>
          <cell r="G41" t="str">
            <v>제조, 수입, 판매, 보관/저장, 운반, 사용을 금지</v>
          </cell>
        </row>
        <row r="42">
          <cell r="B42" t="str">
            <v>19750-95-9</v>
          </cell>
          <cell r="C42" t="str">
            <v>N'-(4-Chloro-o-tolyl)-N,N-dimethylformamidine monohydrochloride</v>
          </cell>
          <cell r="D42" t="str">
            <v>06-4-32</v>
          </cell>
          <cell r="E42" t="str">
            <v>과 그 염류 및 그 중 클로르디메폼으로서 3%이상 함유한 혼합물질</v>
          </cell>
          <cell r="F42">
            <v>3</v>
          </cell>
          <cell r="G42" t="str">
            <v>제조, 수입, 판매, 보관/저장, 운반, 사용을 금지</v>
          </cell>
        </row>
        <row r="43">
          <cell r="B43" t="str">
            <v>6164-98-3</v>
          </cell>
          <cell r="C43" t="str">
            <v>Chlordimeform</v>
          </cell>
          <cell r="D43" t="str">
            <v>06-4-32</v>
          </cell>
          <cell r="E43" t="str">
            <v>과 그 염류 및 그 중 클로르디메폼으로서 3%이상 함유한 혼합물질</v>
          </cell>
          <cell r="F43">
            <v>3</v>
          </cell>
          <cell r="G43" t="str">
            <v>제조, 수입, 판매, 보관/저장, 운반, 사용을 금지</v>
          </cell>
        </row>
        <row r="44">
          <cell r="B44" t="str">
            <v>2425-06-1</v>
          </cell>
          <cell r="C44" t="str">
            <v>Captafol</v>
          </cell>
          <cell r="D44" t="str">
            <v>06-4-33</v>
          </cell>
          <cell r="E44" t="str">
            <v>및 이를 0.1%이상 함유한 혼합물질</v>
          </cell>
          <cell r="F44">
            <v>0.1</v>
          </cell>
          <cell r="G44" t="str">
            <v>제조, 수입, 판매, 보관/저장, 운반, 사용을 금지</v>
          </cell>
        </row>
        <row r="45">
          <cell r="B45" t="str">
            <v>133-06-2</v>
          </cell>
          <cell r="C45" t="str">
            <v>Captan</v>
          </cell>
          <cell r="D45" t="str">
            <v>06-4-34</v>
          </cell>
          <cell r="E45" t="str">
            <v>및 이를 0.1%이상 함유한 혼합물질</v>
          </cell>
          <cell r="F45">
            <v>0.1</v>
          </cell>
          <cell r="G45" t="str">
            <v>제조, 수입, 판매, 보관/저장, 운반, 사용을 금지</v>
          </cell>
        </row>
        <row r="46">
          <cell r="B46" t="str">
            <v>126-72-7</v>
          </cell>
          <cell r="C46" t="str">
            <v>Tris(2,3-dibromopropyl) phosphate</v>
          </cell>
          <cell r="D46" t="str">
            <v>06-4-35</v>
          </cell>
          <cell r="E46" t="str">
            <v>및 이를 0.1%이상 함유한 혼합물질</v>
          </cell>
          <cell r="F46">
            <v>0.1</v>
          </cell>
          <cell r="G46" t="str">
            <v>제조, 수입, 판매, 보관/저장, 운반, 사용을 금지</v>
          </cell>
        </row>
        <row r="47">
          <cell r="B47" t="str">
            <v>1582-09-8</v>
          </cell>
          <cell r="C47" t="str">
            <v>Trifluralin</v>
          </cell>
          <cell r="D47" t="str">
            <v>06-4-36</v>
          </cell>
          <cell r="E47" t="str">
            <v>및 이를 1%이상 함유한 혼합물질</v>
          </cell>
          <cell r="F47">
            <v>1</v>
          </cell>
          <cell r="G47" t="str">
            <v>제조, 수입, 판매, 보관/저장, 운반, 사용을 금지</v>
          </cell>
        </row>
        <row r="48">
          <cell r="B48" t="str">
            <v>1910-42-5</v>
          </cell>
          <cell r="C48" t="str">
            <v>Paraquat dichloride</v>
          </cell>
          <cell r="D48" t="str">
            <v>06-4-37</v>
          </cell>
          <cell r="E48" t="str">
            <v>및 이를 1%이상 함유한 혼합물질</v>
          </cell>
          <cell r="F48">
            <v>1</v>
          </cell>
          <cell r="G48" t="str">
            <v>제조, 수입, 판매, 보관/저장, 운반, 사용을 금지</v>
          </cell>
        </row>
        <row r="49">
          <cell r="B49" t="str">
            <v>2074-50-2</v>
          </cell>
          <cell r="C49" t="str">
            <v>Paraquat methosulfate</v>
          </cell>
          <cell r="D49" t="str">
            <v>06-4-37</v>
          </cell>
          <cell r="E49" t="str">
            <v>및 이를 1%이상 함유한 혼합물질</v>
          </cell>
          <cell r="F49">
            <v>1</v>
          </cell>
          <cell r="G49" t="str">
            <v>제조, 수입, 판매, 보관/저장, 운반, 사용을 금지</v>
          </cell>
        </row>
        <row r="50">
          <cell r="B50" t="str">
            <v>298-00-0</v>
          </cell>
          <cell r="C50" t="str">
            <v>Methyl parathion</v>
          </cell>
          <cell r="D50" t="str">
            <v>06-4-38</v>
          </cell>
          <cell r="E50" t="str">
            <v>및 이를 1%이상 함유한 혼합물질</v>
          </cell>
          <cell r="F50">
            <v>1</v>
          </cell>
          <cell r="G50" t="str">
            <v>제조, 수입, 판매, 보관/저장, 운반, 사용을 금지</v>
          </cell>
        </row>
        <row r="51">
          <cell r="B51" t="str">
            <v>56-38-2</v>
          </cell>
          <cell r="C51" t="str">
            <v>Parathion</v>
          </cell>
          <cell r="D51" t="str">
            <v>06-4-39</v>
          </cell>
          <cell r="E51" t="str">
            <v>및 이를 1%이상 함유한 혼합물질</v>
          </cell>
          <cell r="F51">
            <v>1</v>
          </cell>
          <cell r="G51" t="str">
            <v>제조, 수입, 판매, 보관/저장, 운반, 사용을 금지</v>
          </cell>
        </row>
        <row r="52">
          <cell r="B52" t="str">
            <v>60-51-5</v>
          </cell>
          <cell r="C52" t="str">
            <v>Dimethoate</v>
          </cell>
          <cell r="D52" t="str">
            <v>06-4-4</v>
          </cell>
          <cell r="E52" t="str">
            <v>및 이를 1% 이상 함유한 혼합물질</v>
          </cell>
          <cell r="F52">
            <v>1</v>
          </cell>
          <cell r="G52" t="str">
            <v>제조, 수입, 판매, 보관/저장, 운반, 사용을 금지</v>
          </cell>
        </row>
        <row r="53">
          <cell r="B53" t="str">
            <v>13171-21-6</v>
          </cell>
          <cell r="C53" t="str">
            <v>Phosphamidon</v>
          </cell>
          <cell r="D53" t="str">
            <v>06-4-40</v>
          </cell>
          <cell r="E53" t="str">
            <v>및 이를 1%이상 함유한 혼합물질</v>
          </cell>
          <cell r="F53">
            <v>1</v>
          </cell>
          <cell r="G53" t="str">
            <v>제조, 수입, 판매, 보관/저장, 운반, 사용을 금지</v>
          </cell>
        </row>
        <row r="54">
          <cell r="B54" t="str">
            <v>79622-59-6</v>
          </cell>
          <cell r="C54" t="str">
            <v>3-Chloro-N-(3-chloro-5-trifluoromethyl-2-pyridyl)-.alpha.,.alpha.,.alpha.-trifluoro-2,6-dinitro-p-toluidine</v>
          </cell>
          <cell r="D54" t="str">
            <v>06-4-41</v>
          </cell>
          <cell r="E54" t="str">
            <v>및 이를 25%이상 함유한 혼합물질</v>
          </cell>
          <cell r="F54">
            <v>25</v>
          </cell>
          <cell r="G54" t="str">
            <v>제조, 수입, 판매, 보관/저장, 운반, 사용을 금지</v>
          </cell>
        </row>
        <row r="55">
          <cell r="B55" t="str">
            <v>640-19-7</v>
          </cell>
          <cell r="C55" t="str">
            <v>Fluoroacetamide</v>
          </cell>
          <cell r="D55" t="str">
            <v>06-4-42</v>
          </cell>
          <cell r="E55" t="str">
            <v>이를 1%이상 함유한 혼합물질</v>
          </cell>
          <cell r="F55">
            <v>1</v>
          </cell>
          <cell r="G55" t="str">
            <v>제조, 수입, 판매, 보관/저장, 운반, 사용을 금지</v>
          </cell>
        </row>
        <row r="56">
          <cell r="B56" t="str">
            <v>89784-60-1</v>
          </cell>
          <cell r="C56" t="str">
            <v>(RS)-[O-1-(4-Chlorophenyl)pyrazol-4-yl] O-ethyl S-propyl phosphorothioate</v>
          </cell>
          <cell r="D56" t="str">
            <v>06-4-43</v>
          </cell>
          <cell r="E56" t="str">
            <v>및 이를 25%이상 함유한 혼합물질</v>
          </cell>
          <cell r="F56">
            <v>25</v>
          </cell>
          <cell r="G56" t="str">
            <v>제조, 수입, 판매, 보관/저장, 운반, 사용을 금지</v>
          </cell>
        </row>
        <row r="57">
          <cell r="B57" t="str">
            <v>53558-25-1</v>
          </cell>
          <cell r="C57" t="str">
            <v>Pyriminil</v>
          </cell>
          <cell r="D57" t="str">
            <v>06-4-44</v>
          </cell>
          <cell r="E57" t="str">
            <v>및 이를 1%이상 함유한 혼합물질</v>
          </cell>
          <cell r="F57">
            <v>1</v>
          </cell>
          <cell r="G57" t="str">
            <v>제조, 수입, 판매, 보관/저장, 운반, 사용을 금지</v>
          </cell>
        </row>
        <row r="58">
          <cell r="B58" t="str">
            <v>13654-09-6</v>
          </cell>
          <cell r="C58" t="str">
            <v>Decabromobiphenyl</v>
          </cell>
          <cell r="D58" t="str">
            <v>06-4-45</v>
          </cell>
          <cell r="E58" t="str">
            <v>및 이를 0.1%이상 함유한 혼합물질</v>
          </cell>
          <cell r="F58">
            <v>0.1</v>
          </cell>
          <cell r="G58" t="str">
            <v>제조, 수입, 판매, 보관/저장, 운반, 사용을 금지</v>
          </cell>
        </row>
        <row r="59">
          <cell r="B59" t="str">
            <v>59536-65-1</v>
          </cell>
          <cell r="C59" t="str">
            <v>Firemaster BP-6</v>
          </cell>
          <cell r="D59" t="str">
            <v>06-4-45</v>
          </cell>
          <cell r="E59" t="str">
            <v>및 이를 0.1%이상 함유한 혼합물질</v>
          </cell>
          <cell r="F59">
            <v>0.1</v>
          </cell>
          <cell r="G59" t="str">
            <v>제조, 수입, 판매, 보관/저장, 운반, 사용을 금지</v>
          </cell>
        </row>
        <row r="60">
          <cell r="B60" t="str">
            <v>1336-36-3</v>
          </cell>
          <cell r="C60" t="str">
            <v>1,1'-Biphenyl, chloro derivatives</v>
          </cell>
          <cell r="D60" t="str">
            <v>06-4-46</v>
          </cell>
          <cell r="E60" t="str">
            <v>및 이를 0.005%이상 함유한 혼합물질. 다만, 치환된 염소수가 3개미만인 경우는 제외</v>
          </cell>
          <cell r="F60">
            <v>5.0000000000000001E-3</v>
          </cell>
          <cell r="G60" t="str">
            <v>제조, 수입, 판매, 보관/저장, 운반, 사용을 금지, (except the case where the number of substituted chlorine is &lt;3)</v>
          </cell>
        </row>
        <row r="61">
          <cell r="C61" t="str">
            <v>Phenylmercuric triethanol ammonium borate</v>
          </cell>
          <cell r="D61" t="str">
            <v>06-4-47</v>
          </cell>
          <cell r="E61" t="str">
            <v>및 이를 1%이상 함유한 혼합물질</v>
          </cell>
          <cell r="F61">
            <v>1</v>
          </cell>
          <cell r="G61" t="str">
            <v>제조, 수입, 판매, 보관/저장, 운반, 사용을 금지</v>
          </cell>
        </row>
        <row r="62">
          <cell r="B62" t="str">
            <v>32534-81-9</v>
          </cell>
          <cell r="C62" t="str">
            <v>Benzene, 1,1'-oxybis-, pentabromo derivative</v>
          </cell>
          <cell r="D62" t="str">
            <v>06-4-48</v>
          </cell>
          <cell r="E62" t="str">
            <v>및 이를 0.1%이상 함유한 혼합물</v>
          </cell>
          <cell r="F62">
            <v>0.1</v>
          </cell>
          <cell r="G62" t="str">
            <v>제조, 수입, 판매, 보관/저장, 운반, 사용을 금지</v>
          </cell>
        </row>
        <row r="63">
          <cell r="B63" t="str">
            <v>131-52-2</v>
          </cell>
          <cell r="C63" t="str">
            <v>Sodium pentachlorophenate</v>
          </cell>
          <cell r="D63" t="str">
            <v>06-4-49</v>
          </cell>
          <cell r="E63" t="str">
            <v>과 그 염류 및 그 중 펜타클로로페놀로서 1%이상 함유한 혼합물질</v>
          </cell>
          <cell r="F63">
            <v>1</v>
          </cell>
          <cell r="G63" t="str">
            <v>제조, 수입, 판매, 보관/저장, 운반, 사용을 금지</v>
          </cell>
        </row>
        <row r="64">
          <cell r="B64" t="str">
            <v>2917-31-9</v>
          </cell>
          <cell r="C64" t="str">
            <v>Pentachlorophenol copper salt</v>
          </cell>
          <cell r="D64" t="str">
            <v>06-4-49</v>
          </cell>
          <cell r="E64" t="str">
            <v>과 그 염류 및 그 중 펜타클로로페놀로서 1%이상 함유한 혼합물질</v>
          </cell>
          <cell r="F64">
            <v>1</v>
          </cell>
          <cell r="G64" t="str">
            <v>제조, 수입, 판매, 보관/저장, 운반, 사용을 금지</v>
          </cell>
        </row>
        <row r="65">
          <cell r="B65" t="str">
            <v>2917-32-0</v>
          </cell>
          <cell r="C65" t="str">
            <v>Zinc bis(pentachlorophenolate)</v>
          </cell>
          <cell r="D65" t="str">
            <v>06-4-49</v>
          </cell>
          <cell r="E65" t="str">
            <v>과 그 염류 및 그 중 펜타클로로페놀로서 1%이상 함유한 혼합물질</v>
          </cell>
          <cell r="F65">
            <v>1</v>
          </cell>
          <cell r="G65" t="str">
            <v>제조, 수입, 판매, 보관/저장, 운반, 사용을 금지</v>
          </cell>
        </row>
        <row r="66">
          <cell r="B66" t="str">
            <v>3644-38-0</v>
          </cell>
          <cell r="C66" t="str">
            <v>Tributyl(pentachlorophenoxy)stannane</v>
          </cell>
          <cell r="D66" t="str">
            <v>06-4-49</v>
          </cell>
          <cell r="E66" t="str">
            <v>과 그 염류 및 그 중 펜타클로로페놀로서 1%이상 함유한 혼합물질</v>
          </cell>
          <cell r="F66">
            <v>1</v>
          </cell>
          <cell r="G66" t="str">
            <v>제조, 수입, 판매, 보관/저장, 운반, 사용을 금지</v>
          </cell>
        </row>
        <row r="67">
          <cell r="B67" t="str">
            <v>7778-73-6</v>
          </cell>
          <cell r="C67" t="str">
            <v>Potassium pentachlorophenate</v>
          </cell>
          <cell r="D67" t="str">
            <v>06-4-49</v>
          </cell>
          <cell r="E67" t="str">
            <v>과 그 염류 및 그 중 펜타클로로페놀로서 1%이상 함유한 혼합물질</v>
          </cell>
          <cell r="F67">
            <v>1</v>
          </cell>
          <cell r="G67" t="str">
            <v>제조, 수입, 판매, 보관/저장, 운반, 사용을 금지</v>
          </cell>
        </row>
        <row r="68">
          <cell r="B68" t="str">
            <v>87-86-5</v>
          </cell>
          <cell r="C68" t="str">
            <v>Pentachlorophenol</v>
          </cell>
          <cell r="D68" t="str">
            <v>06-4-49</v>
          </cell>
          <cell r="E68" t="str">
            <v>과 그 염류 및 그 중 펜타클로로페놀로서 1%이상 함유한 혼합물질</v>
          </cell>
          <cell r="F68">
            <v>1</v>
          </cell>
          <cell r="G68" t="str">
            <v>제조, 수입, 판매, 보관/저장, 운반, 사용을 금지</v>
          </cell>
        </row>
        <row r="69">
          <cell r="B69" t="str">
            <v>298-04-4</v>
          </cell>
          <cell r="C69" t="str">
            <v>Disulfoton</v>
          </cell>
          <cell r="D69" t="str">
            <v>06-4-5</v>
          </cell>
          <cell r="E69" t="str">
            <v>및 이를 5% 이상 함유한 혼합물질</v>
          </cell>
          <cell r="F69">
            <v>5</v>
          </cell>
          <cell r="G69" t="str">
            <v>제조, 수입, 판매, 보관/저장, 운반, 사용을 금지</v>
          </cell>
        </row>
        <row r="70">
          <cell r="B70" t="str">
            <v>134098-61-6</v>
          </cell>
          <cell r="C70" t="str">
            <v>tert-Butyl(E)-4-[(1,3-dimethyl-5-phenoxypyrazol-4-yl)methyleneaminooxymethyl]benzoate</v>
          </cell>
          <cell r="D70" t="str">
            <v>06-4-50</v>
          </cell>
          <cell r="E70" t="str">
            <v>및 이를 25%이상 함유한 혼합물질</v>
          </cell>
          <cell r="F70">
            <v>25</v>
          </cell>
          <cell r="G70" t="str">
            <v>제조, 수입, 판매, 보관/저장, 운반, 사용을 금지</v>
          </cell>
        </row>
        <row r="71">
          <cell r="B71" t="str">
            <v>608-73-1</v>
          </cell>
          <cell r="C71" t="str">
            <v>1,2,3,4,5,6-Hexachlorocyclohexane</v>
          </cell>
          <cell r="D71" t="str">
            <v>06-4-51</v>
          </cell>
          <cell r="E71" t="str">
            <v>및 이를 1.5%이상 함유한 혼합물질</v>
          </cell>
          <cell r="F71">
            <v>1.5</v>
          </cell>
          <cell r="G71" t="str">
            <v>제조, 수입, 판매, 보관/저장, 운반, 사용을 금지</v>
          </cell>
        </row>
        <row r="72">
          <cell r="B72" t="str">
            <v>76-44-8</v>
          </cell>
          <cell r="C72" t="str">
            <v>Heptachlor</v>
          </cell>
          <cell r="D72" t="str">
            <v>06-4-52</v>
          </cell>
          <cell r="E72" t="str">
            <v>및 이를 6%이상 함유한 혼합물질</v>
          </cell>
          <cell r="F72">
            <v>6</v>
          </cell>
          <cell r="G72" t="str">
            <v>제조, 수입, 판매, 보관/저장, 운반, 사용을 금지</v>
          </cell>
        </row>
        <row r="73">
          <cell r="B73" t="str">
            <v>7446-18-6</v>
          </cell>
          <cell r="C73" t="str">
            <v>Thallous sulfate</v>
          </cell>
          <cell r="D73" t="str">
            <v>06-4-53</v>
          </cell>
          <cell r="E73" t="str">
            <v>및 이를 1%이상 함유한 혼합물질</v>
          </cell>
          <cell r="F73">
            <v>1</v>
          </cell>
          <cell r="G73" t="str">
            <v>제조, 수입, 판매, 보관/저장, 운반, 사용을 금지</v>
          </cell>
        </row>
        <row r="74">
          <cell r="B74" t="str">
            <v>612-52-2</v>
          </cell>
          <cell r="C74" t="str">
            <v>2-Naphthylammonium chloride</v>
          </cell>
          <cell r="D74" t="str">
            <v>06-4-54</v>
          </cell>
          <cell r="E74" t="str">
            <v>과 그 염산염 및 그 중 하나를 0.1%이상 함유한 혼합물질</v>
          </cell>
          <cell r="F74">
            <v>0.1</v>
          </cell>
          <cell r="G74" t="str">
            <v>제조, 수입, 판매, 보관/저장, 운반, 사용을 금지</v>
          </cell>
        </row>
        <row r="75">
          <cell r="B75" t="str">
            <v>91-59-8</v>
          </cell>
          <cell r="C75" t="str">
            <v>2-Naphthylamine</v>
          </cell>
          <cell r="D75" t="str">
            <v>06-4-54</v>
          </cell>
          <cell r="E75" t="str">
            <v>과 그 염산염 및 그 중 하나를 0.1%이상 함유한 혼합물질</v>
          </cell>
          <cell r="F75">
            <v>0.1</v>
          </cell>
          <cell r="G75" t="str">
            <v>제조, 수입, 판매, 보관/저장, 운반, 사용을 금지</v>
          </cell>
        </row>
        <row r="76">
          <cell r="B76" t="str">
            <v>106-93-4</v>
          </cell>
          <cell r="C76" t="str">
            <v>1,2-Dibromoethane</v>
          </cell>
          <cell r="D76" t="str">
            <v>06-4-55</v>
          </cell>
          <cell r="E76" t="str">
            <v>이를 50%이상 함유한 혼합물질</v>
          </cell>
          <cell r="F76">
            <v>50</v>
          </cell>
          <cell r="G76" t="str">
            <v>제조, 수입, 판매, 보관/저장, 운반, 사용을 금지</v>
          </cell>
        </row>
        <row r="77">
          <cell r="B77" t="str">
            <v>96-12-8</v>
          </cell>
          <cell r="C77" t="str">
            <v>1,2-Dibromo-3-chloropropane</v>
          </cell>
          <cell r="D77" t="str">
            <v>06-4-56</v>
          </cell>
          <cell r="E77" t="str">
            <v>및 이를 0.1%이상 함유한 혼합물질</v>
          </cell>
          <cell r="F77">
            <v>0.1</v>
          </cell>
          <cell r="G77" t="str">
            <v>제조, 수입, 판매, 보관/저장, 운반, 사용을 금지</v>
          </cell>
        </row>
        <row r="78">
          <cell r="B78" t="str">
            <v>2113-61-3</v>
          </cell>
          <cell r="C78" t="str">
            <v>4-Aminobiphenyl hydrochloride</v>
          </cell>
          <cell r="D78" t="str">
            <v>06-4-57</v>
          </cell>
          <cell r="E78" t="str">
            <v>과 그 염산염 및 그 중 하나를 0.1%이상 함유한 혼합물질</v>
          </cell>
          <cell r="F78">
            <v>0.1</v>
          </cell>
          <cell r="G78" t="str">
            <v>제조, 수입, 판매, 보관/저장, 운반, 사용을 금지</v>
          </cell>
        </row>
        <row r="79">
          <cell r="B79" t="str">
            <v>92-67-1</v>
          </cell>
          <cell r="C79" t="str">
            <v>4-Aminobiphenyl</v>
          </cell>
          <cell r="D79" t="str">
            <v>06-4-57</v>
          </cell>
          <cell r="E79" t="str">
            <v>과 그 염산염 및 그 중 하나를 0.1%이상 함유한 혼합물질</v>
          </cell>
          <cell r="F79">
            <v>0.1</v>
          </cell>
          <cell r="G79" t="str">
            <v>제조, 수입, 판매, 보관/저장, 운반, 사용을 금지</v>
          </cell>
        </row>
        <row r="80">
          <cell r="B80" t="str">
            <v>93-76-5</v>
          </cell>
          <cell r="C80" t="str">
            <v>2,4,5-T</v>
          </cell>
          <cell r="D80" t="str">
            <v>06-4-58</v>
          </cell>
          <cell r="E80" t="str">
            <v>및 이를 1%이상 함유한 혼합물질</v>
          </cell>
          <cell r="F80">
            <v>1</v>
          </cell>
          <cell r="G80" t="str">
            <v>제조, 수입, 판매, 보관/저장, 운반, 사용을 금지</v>
          </cell>
        </row>
        <row r="81">
          <cell r="B81" t="str">
            <v>1303-28-2</v>
          </cell>
          <cell r="C81" t="str">
            <v>Arsenic pentoxide</v>
          </cell>
          <cell r="D81" t="str">
            <v>06-4-59</v>
          </cell>
          <cell r="E81" t="str">
            <v>및 이를 0.1% 이상 함유한 혼합물질</v>
          </cell>
          <cell r="F81">
            <v>0.1</v>
          </cell>
          <cell r="G81" t="str">
            <v>동 물질과 이를 0.1% 이상 함유한 혼합물질 및 그 중 하나를 처리한 목제품 등 모든 용도로 제조, 수입, 판매, 보관/저장, 운반, 사용을 금지</v>
          </cell>
        </row>
        <row r="82">
          <cell r="B82" t="str">
            <v>60-57-1</v>
          </cell>
          <cell r="C82" t="str">
            <v>Dieldrin</v>
          </cell>
          <cell r="D82" t="str">
            <v>06-4-6</v>
          </cell>
          <cell r="E82" t="str">
            <v>및 이를 1% 이상 함유한 혼합물질</v>
          </cell>
          <cell r="F82">
            <v>1</v>
          </cell>
          <cell r="G82" t="str">
            <v>제조, 수입, 판매, 보관/저장, 운반, 사용을 금지</v>
          </cell>
        </row>
        <row r="83">
          <cell r="B83" t="str">
            <v>14807-96-6</v>
          </cell>
          <cell r="C83" t="str">
            <v>Talc</v>
          </cell>
          <cell r="D83" t="str">
            <v>06-4-60</v>
          </cell>
          <cell r="E83" t="str">
            <v>석면이 1% 이상 함유된 탈크</v>
          </cell>
          <cell r="F83">
            <v>1</v>
          </cell>
          <cell r="G83" t="str">
            <v>제조, 수입, 판매, 보관/저장, 운반, 사용을 금지,  (contains 1.0 or more of asbestos in Talc)</v>
          </cell>
        </row>
        <row r="84">
          <cell r="B84" t="str">
            <v>21609-90-5</v>
          </cell>
          <cell r="C84" t="str">
            <v>Leptophos</v>
          </cell>
          <cell r="D84" t="str">
            <v>06-4-7</v>
          </cell>
          <cell r="E84" t="str">
            <v>및 이를 1% 이상 함유한 혼합물질</v>
          </cell>
          <cell r="F84">
            <v>1</v>
          </cell>
          <cell r="G84" t="str">
            <v>제조, 수입, 판매, 보관/저장, 운반, 사용을 금지</v>
          </cell>
        </row>
        <row r="85">
          <cell r="B85" t="str">
            <v>6923-22-4</v>
          </cell>
          <cell r="C85" t="str">
            <v>Monocrotophos</v>
          </cell>
          <cell r="D85" t="str">
            <v>06-4-8</v>
          </cell>
          <cell r="E85" t="str">
            <v>및 이를 1% 이상 함유한 혼합물질</v>
          </cell>
          <cell r="F85">
            <v>1</v>
          </cell>
          <cell r="G85" t="str">
            <v>제조, 수입, 판매, 보관/저장, 운반, 사용을 금지</v>
          </cell>
        </row>
        <row r="86">
          <cell r="B86" t="str">
            <v>10265-92-6</v>
          </cell>
          <cell r="C86" t="str">
            <v>Methamidophos</v>
          </cell>
          <cell r="D86" t="str">
            <v>06-4-9</v>
          </cell>
          <cell r="E86" t="str">
            <v>및 이를 1% 이상 함유한 혼합물질</v>
          </cell>
          <cell r="F86">
            <v>1</v>
          </cell>
          <cell r="G86" t="str">
            <v>제조, 수입, 판매, 보관/저장, 운반, 사용을 금지</v>
          </cell>
        </row>
        <row r="87">
          <cell r="B87" t="str">
            <v>17140-57-7</v>
          </cell>
          <cell r="C87" t="str">
            <v>Strychnidin-10-one, compd. with 2,3-dihydroxypropyl dihydrogen phosphate (1:1)</v>
          </cell>
          <cell r="D87" t="str">
            <v>06-4-14</v>
          </cell>
          <cell r="E87" t="str">
            <v>과 그 염류 및 그 중 하나를 1%이상 함유한 혼합물질</v>
          </cell>
          <cell r="F87">
            <v>1</v>
          </cell>
          <cell r="G87" t="str">
            <v>제조, 수입, 판매, 보관/저장, 운반, 사용을 금지</v>
          </cell>
        </row>
        <row r="88">
          <cell r="B88" t="str">
            <v>66-32-0</v>
          </cell>
          <cell r="C88" t="str">
            <v>Strychnidin-10-one mononitrate </v>
          </cell>
          <cell r="D88" t="str">
            <v>06-4-14</v>
          </cell>
          <cell r="E88" t="str">
            <v>과 그 염류 및 그 중 하나를 1%이상 함유한 혼합물질</v>
          </cell>
          <cell r="F88">
            <v>1</v>
          </cell>
          <cell r="G88" t="str">
            <v>제조, 수입, 판매, 보관/저장, 운반, 사용을 금지</v>
          </cell>
        </row>
        <row r="89">
          <cell r="C89" t="str">
            <v>Paraquat, salts </v>
          </cell>
          <cell r="D89" t="str">
            <v>06-4-37</v>
          </cell>
          <cell r="E89" t="str">
            <v>및 이를 1%이상 함유한 혼합물질</v>
          </cell>
          <cell r="F89">
            <v>1</v>
          </cell>
          <cell r="G89" t="str">
            <v>제조, 수입, 판매, 보관/저장, 운반, 사용을 금지</v>
          </cell>
        </row>
      </sheetData>
      <sheetData sheetId="30" refreshError="1">
        <row r="1">
          <cell r="B1" t="str">
            <v>CAS No</v>
          </cell>
          <cell r="C1" t="str">
            <v>화학물질명</v>
          </cell>
          <cell r="D1" t="str">
            <v>규제번호</v>
          </cell>
          <cell r="E1" t="str">
            <v>함량기준설명</v>
          </cell>
          <cell r="F1" t="str">
            <v>함량기준수치</v>
          </cell>
          <cell r="G1" t="str">
            <v>제한내용</v>
          </cell>
        </row>
        <row r="2">
          <cell r="B2" t="str">
            <v>10309-95-2</v>
          </cell>
          <cell r="C2" t="str">
            <v>Methanaminium, N-[4-[[4-(dimethylamino)phenyl]phenylmethylene]-2,5-cyclohexadie n-1-ylidene]-N-methyl-</v>
          </cell>
          <cell r="D2" t="str">
            <v>06-5-1</v>
          </cell>
          <cell r="E2" t="str">
            <v>말라카이트 그린[Malachite green]의 염류 및 그 중 하나를 0.1% 이상 함유한 혼합물질</v>
          </cell>
          <cell r="F2">
            <v>0.1</v>
          </cell>
          <cell r="G2" t="str">
            <v>조경용 및 섬유염색용 염료를 제외한 용으로는 제조, 수입, 판매, 보관, 저장, 운반, 사용을 금지</v>
          </cell>
        </row>
        <row r="3">
          <cell r="B3" t="str">
            <v>18015-76-4</v>
          </cell>
          <cell r="C3" t="str">
            <v>C.I. Basic Green 4, oxalate</v>
          </cell>
          <cell r="D3" t="str">
            <v>06-5-1</v>
          </cell>
          <cell r="E3" t="str">
            <v>말라카이트 그린[Malachite green]의 염류 및 그 중 하나를 0.1% 이상 함유한 혼합물질</v>
          </cell>
          <cell r="F3">
            <v>0.1</v>
          </cell>
          <cell r="G3" t="str">
            <v>조경용 및 섬유염색용 염료를 제외한 용으로는 제조, 수입, 판매, 보관, 저장, 운반, 사용을 금지</v>
          </cell>
        </row>
        <row r="4">
          <cell r="B4" t="str">
            <v>2437-29-8</v>
          </cell>
          <cell r="C4" t="str">
            <v>Ammonium, (4-(p-(dimethylamino)-.alpha.-phenylbenzylidene)-2,5-cyclohexadien-1-ylidene)- dimethyl-, oxalate (2:1), oxalate (1:1)</v>
          </cell>
          <cell r="D4" t="str">
            <v>06-5-1</v>
          </cell>
          <cell r="E4" t="str">
            <v>말라카이트 그린[Malachite green]의 염류 및 그 중 하나를 0.1% 이상 함유한 혼합물질</v>
          </cell>
          <cell r="F4">
            <v>0.1</v>
          </cell>
          <cell r="G4" t="str">
            <v>조경용 및 섬유염색용 염료를 제외한 용으로는 제조, 수입, 판매, 보관, 저장, 운반, 사용을 금지</v>
          </cell>
        </row>
        <row r="5">
          <cell r="B5" t="str">
            <v>569-64-2</v>
          </cell>
          <cell r="C5" t="str">
            <v>C.I. Basic Green 4</v>
          </cell>
          <cell r="D5" t="str">
            <v>06-5-1</v>
          </cell>
          <cell r="E5" t="str">
            <v>말라카이트 그린[Malachite green]의 염류 및 그 중 하나를 0.1% 이상 함유한 혼합물질</v>
          </cell>
          <cell r="F5">
            <v>0.1</v>
          </cell>
          <cell r="G5" t="str">
            <v>조경용 및 섬유염색용 염료를 제외한 용으로는 제조, 수입, 판매, 보관, 저장, 운반, 사용을 금지</v>
          </cell>
        </row>
        <row r="6">
          <cell r="B6" t="str">
            <v>61725-50-6</v>
          </cell>
          <cell r="C6" t="str">
            <v>Methanaminium, N-[4-[[4-(dimethylamino)phenyl]phenylmethylene]-2,5-cyclohexadien-1-ylidene]-N-methyl-, molybdatetungstatephosphate</v>
          </cell>
          <cell r="D6" t="str">
            <v>06-5-1</v>
          </cell>
          <cell r="E6" t="str">
            <v>말라카이트 그린[Malachite green]의 염류 및 그 중 하나를 0.1% 이상 함유한 혼합물질</v>
          </cell>
          <cell r="F6">
            <v>0.1</v>
          </cell>
          <cell r="G6" t="str">
            <v>조경용 및 섬유염색용 염료를 제외한 용으로는 제조, 수입, 판매, 보관, 저장, 운반, 사용을 금지</v>
          </cell>
        </row>
        <row r="7">
          <cell r="B7" t="str">
            <v>68083-41-0</v>
          </cell>
          <cell r="C7" t="str">
            <v>Methanaminium, N-[4-[[4-(dimethylamino)phenyl]phenylmethylene]-2,5-cyclohexadien-1-ylidene]-N-methyl-, tetracosa-.mu.-oxododecaoxo[.mu.12-[phosphato(3-)-O:O:O:O':O':O':O'':O'':O'':O''':O''':O''']]dodecamolybdate(3-) (3:1)</v>
          </cell>
          <cell r="D7" t="str">
            <v>06-5-1</v>
          </cell>
          <cell r="E7" t="str">
            <v>말라카이트 그린[Malachite green]의 염류 및 그 중 하나를 0.1% 이상 함유한 혼합물질</v>
          </cell>
          <cell r="F7">
            <v>0.1</v>
          </cell>
          <cell r="G7" t="str">
            <v>조경용 및 섬유염색용 염료를 제외한 용으로는 제조, 수입, 판매, 보관, 저장, 운반, 사용을 금지</v>
          </cell>
        </row>
        <row r="8">
          <cell r="B8" t="str">
            <v>10034-82-9</v>
          </cell>
          <cell r="C8" t="str">
            <v>Sodium chromate tetrahydrate</v>
          </cell>
          <cell r="D8" t="str">
            <v>06-5-10</v>
          </cell>
          <cell r="E8" t="str">
            <v>크로뮴(6+)화합물[Chromium(6+) compounds] 및 이를 0.1% 이상 함유한 혼합물질</v>
          </cell>
          <cell r="F8">
            <v>0.1</v>
          </cell>
          <cell r="G8" t="str">
            <v>물탱크 방청도료 용도로 제조, 수입, 판매, 보관·저장, 운반, 사용을 금지【시행일 : 2011.6.1】</v>
          </cell>
        </row>
        <row r="9">
          <cell r="B9" t="str">
            <v>10294-40-3</v>
          </cell>
          <cell r="C9" t="str">
            <v>Barium chromate</v>
          </cell>
          <cell r="D9" t="str">
            <v>06-5-10</v>
          </cell>
          <cell r="E9" t="str">
            <v>크로뮴(6+)화합물[Chromium(6+) compounds] 및 이를 0.1% 이상 함유한 혼합물질</v>
          </cell>
          <cell r="F9">
            <v>0.1</v>
          </cell>
          <cell r="G9" t="str">
            <v>물탱크 방청도료 용도로 제조, 수입, 판매, 보관·저장, 운반, 사용을 금지【시행일 : 2011.6.1】</v>
          </cell>
        </row>
        <row r="10">
          <cell r="B10" t="str">
            <v>10294-52-7</v>
          </cell>
          <cell r="C10" t="str">
            <v>Diiron tris(chromate)</v>
          </cell>
          <cell r="D10" t="str">
            <v>06-5-10</v>
          </cell>
          <cell r="E10" t="str">
            <v>크로뮴(6+)화합물[Chromium(6+) compounds] 및 이를 0.1% 이상 함유한 혼합물질</v>
          </cell>
          <cell r="F10">
            <v>0.1</v>
          </cell>
          <cell r="G10" t="str">
            <v>물탱크 방청도료 용도로 제조, 수입, 판매, 보관·저장, 운반, 사용을 금지【시행일 : 2011.6.1】</v>
          </cell>
        </row>
        <row r="11">
          <cell r="B11" t="str">
            <v>10588-01-9</v>
          </cell>
          <cell r="C11" t="str">
            <v>Sodium dichromate</v>
          </cell>
          <cell r="D11" t="str">
            <v>06-5-10</v>
          </cell>
          <cell r="E11" t="str">
            <v>크로뮴(6+)화합물[Chromium(6+) compounds] 및 이를 0.1% 이상 함유한 혼합물질</v>
          </cell>
          <cell r="F11">
            <v>0.1</v>
          </cell>
          <cell r="G11" t="str">
            <v>물탱크 방청도료 용도로 제조, 수입, 판매, 보관·저장, 운반, 사용을 금지【시행일 : 2011.6.1】</v>
          </cell>
        </row>
        <row r="12">
          <cell r="B12" t="str">
            <v>11103-86-9</v>
          </cell>
          <cell r="C12" t="str">
            <v>Potassium hydroxyoctaoxodizincatedichromate(1-) </v>
          </cell>
          <cell r="D12" t="str">
            <v>06-5-10</v>
          </cell>
          <cell r="E12" t="str">
            <v>크로뮴(6+)화합물[Chromium(6+) compounds] 및 이를 0.1% 이상 함유한 혼합물질</v>
          </cell>
          <cell r="F12">
            <v>0.1</v>
          </cell>
          <cell r="G12" t="str">
            <v>물탱크 방청도료 용도로 제조, 수입, 판매, 보관·저장, 운반, 사용을 금지【시행일 : 2011.6.1】</v>
          </cell>
        </row>
        <row r="13">
          <cell r="B13" t="str">
            <v>11118-57-3</v>
          </cell>
          <cell r="C13" t="str">
            <v>Chromium oxide </v>
          </cell>
          <cell r="D13" t="str">
            <v>06-5-10</v>
          </cell>
          <cell r="E13" t="str">
            <v>크로뮴(6+)화합물[Chromium(6+) compounds] 및 이를 0.1% 이상 함유한 혼합물질</v>
          </cell>
          <cell r="F13">
            <v>0.1</v>
          </cell>
          <cell r="G13" t="str">
            <v>물탱크 방청도료 용도로 제조, 수입, 판매, 보관·저장, 운반, 사용을 금지【시행일 : 2011.6.1】</v>
          </cell>
        </row>
        <row r="14">
          <cell r="B14" t="str">
            <v>11119-70-3</v>
          </cell>
          <cell r="C14" t="str">
            <v>Lead chromate </v>
          </cell>
          <cell r="D14" t="str">
            <v>06-5-10</v>
          </cell>
          <cell r="E14" t="str">
            <v>크로뮴(6+)화합물[Chromium(6+) compounds] 및 이를 0.1% 이상 함유한 혼합물질</v>
          </cell>
          <cell r="F14">
            <v>0.1</v>
          </cell>
          <cell r="G14" t="str">
            <v>물탱크 방청도료 용도로 제조, 수입, 판매, 보관·저장, 운반, 사용을 금지【시행일 : 2011.6.1】</v>
          </cell>
        </row>
        <row r="15">
          <cell r="B15" t="str">
            <v>12433-50-0</v>
          </cell>
          <cell r="C15" t="str">
            <v>Dipotassium heptadecaoxotetrazincate tetrachromate(2-) </v>
          </cell>
          <cell r="D15" t="str">
            <v>06-5-10</v>
          </cell>
          <cell r="E15" t="str">
            <v>크로뮴(6+)화합물[Chromium(6+) compounds] 및 이를 0.1% 이상 함유한 혼합물질</v>
          </cell>
          <cell r="F15">
            <v>0.1</v>
          </cell>
          <cell r="G15" t="str">
            <v>물탱크 방청도료 용도로 제조, 수입, 판매, 보관·저장, 운반, 사용을 금지【시행일 : 2011.6.1】</v>
          </cell>
        </row>
        <row r="16">
          <cell r="B16" t="str">
            <v>12656-85-8</v>
          </cell>
          <cell r="C16" t="str">
            <v>C.I. pigment red 104 </v>
          </cell>
          <cell r="D16" t="str">
            <v>06-5-10</v>
          </cell>
          <cell r="E16" t="str">
            <v>크로뮴(6+)화합물[Chromium(6+) compounds] 및 이를 0.1% 이상 함유한 혼합물질</v>
          </cell>
          <cell r="F16">
            <v>0.1</v>
          </cell>
          <cell r="G16" t="str">
            <v>물탱크 방청도료 용도로 제조, 수입, 판매, 보관·저장, 운반, 사용을 금지【시행일 : 2011.6.1】</v>
          </cell>
        </row>
        <row r="17">
          <cell r="B17" t="str">
            <v>12737-27-8</v>
          </cell>
          <cell r="C17" t="str">
            <v>Chromium iron oxide </v>
          </cell>
          <cell r="D17" t="str">
            <v>06-5-10</v>
          </cell>
          <cell r="E17" t="str">
            <v>크로뮴(6+)화합물[Chromium(6+) compounds] 및 이를 0.1% 이상 함유한 혼합물질</v>
          </cell>
          <cell r="F17">
            <v>0.1</v>
          </cell>
          <cell r="G17" t="str">
            <v>물탱크 방청도료 용도로 제조, 수입, 판매, 보관·저장, 운반, 사용을 금지【시행일 : 2011.6.1】</v>
          </cell>
        </row>
        <row r="18">
          <cell r="B18" t="str">
            <v>1333-82-0</v>
          </cell>
          <cell r="C18" t="str">
            <v>Chromium trioxide</v>
          </cell>
          <cell r="D18" t="str">
            <v>06-5-10</v>
          </cell>
          <cell r="E18" t="str">
            <v>크로뮴(6+)화합물[Chromium(6+) compounds] 및 이를 0.1% 이상 함유한 혼합물질</v>
          </cell>
          <cell r="F18">
            <v>0.1</v>
          </cell>
          <cell r="G18" t="str">
            <v>물탱크 방청도료 용도로 제조, 수입, 판매, 보관·저장, 운반, 사용을 금지【시행일 : 2011.6.1】</v>
          </cell>
        </row>
        <row r="19">
          <cell r="B19" t="str">
            <v>1336-14-7</v>
          </cell>
          <cell r="C19" t="str">
            <v>Chromium copper zinc oxide </v>
          </cell>
          <cell r="D19" t="str">
            <v>06-5-10</v>
          </cell>
          <cell r="E19" t="str">
            <v>크로뮴(6+)화합물[Chromium(6+) compounds] 및 이를 0.1% 이상 함유한 혼합물질</v>
          </cell>
          <cell r="F19">
            <v>0.1</v>
          </cell>
          <cell r="G19" t="str">
            <v>물탱크 방청도료 용도로 제조, 수입, 판매, 보관·저장, 운반, 사용을 금지【시행일 : 2011.6.1】</v>
          </cell>
        </row>
        <row r="20">
          <cell r="B20" t="str">
            <v>13423-61-5</v>
          </cell>
          <cell r="C20" t="str">
            <v>Chromic acid (H2CrO4), magnesium salt (1:1)</v>
          </cell>
          <cell r="D20" t="str">
            <v>06-5-10</v>
          </cell>
          <cell r="E20" t="str">
            <v>크로뮴(6+)화합물[Chromium(6+) compounds] 및 이를 0.1% 이상 함유한 혼합물질</v>
          </cell>
          <cell r="F20">
            <v>0.1</v>
          </cell>
          <cell r="G20" t="str">
            <v>물탱크 방청도료 용도로 제조, 수입, 판매, 보관·저장, 운반, 사용을 금지【시행일 : 2011.6.1】</v>
          </cell>
        </row>
        <row r="21">
          <cell r="B21" t="str">
            <v>1344-37-2</v>
          </cell>
          <cell r="C21" t="str">
            <v>pigment yellow 34 </v>
          </cell>
          <cell r="D21" t="str">
            <v>06-5-10</v>
          </cell>
          <cell r="E21" t="str">
            <v>크로뮴(6+)화합물[Chromium(6+) compounds] 및 이를 0.1% 이상 함유한 혼합물질</v>
          </cell>
          <cell r="F21">
            <v>0.1</v>
          </cell>
          <cell r="G21" t="str">
            <v>물탱크 방청도료 용도로 제조, 수입, 판매, 보관·저장, 운반, 사용을 금지【시행일 : 2011.6.1】</v>
          </cell>
        </row>
        <row r="22">
          <cell r="B22" t="str">
            <v>13446-73-6</v>
          </cell>
          <cell r="C22" t="str">
            <v>Dirubidium dichromate</v>
          </cell>
          <cell r="D22" t="str">
            <v>06-5-10</v>
          </cell>
          <cell r="E22" t="str">
            <v>크로뮴(6+)화합물[Chromium(6+) compounds] 및 이를 0.1% 이상 함유한 혼합물질</v>
          </cell>
          <cell r="F22">
            <v>0.1</v>
          </cell>
          <cell r="G22" t="str">
            <v>물탱크 방청도료 용도로 제조, 수입, 판매, 보관·저장, 운반, 사용을 금지【시행일 : 2011.6.1】</v>
          </cell>
        </row>
        <row r="23">
          <cell r="B23" t="str">
            <v>13453-35-5</v>
          </cell>
          <cell r="C23" t="str">
            <v>Dithallium dichromate</v>
          </cell>
          <cell r="D23" t="str">
            <v>06-5-10</v>
          </cell>
          <cell r="E23" t="str">
            <v>크로뮴(6+)화합물[Chromium(6+) compounds] 및 이를 0.1% 이상 함유한 혼합물질</v>
          </cell>
          <cell r="F23">
            <v>0.1</v>
          </cell>
          <cell r="G23" t="str">
            <v>물탱크 방청도료 용도로 제조, 수입, 판매, 보관·저장, 운반, 사용을 금지【시행일 : 2011.6.1】</v>
          </cell>
        </row>
        <row r="24">
          <cell r="B24" t="str">
            <v>13454-78-9</v>
          </cell>
          <cell r="C24" t="str">
            <v>Dicesium chromate </v>
          </cell>
          <cell r="D24" t="str">
            <v>06-5-10</v>
          </cell>
          <cell r="E24" t="str">
            <v>크로뮴(6+)화합물[Chromium(6+) compounds] 및 이를 0.1% 이상 함유한 혼합물질</v>
          </cell>
          <cell r="F24">
            <v>0.1</v>
          </cell>
          <cell r="G24" t="str">
            <v>물탱크 방청도료 용도로 제조, 수입, 판매, 보관·저장, 운반, 사용을 금지【시행일 : 2011.6.1】</v>
          </cell>
        </row>
        <row r="25">
          <cell r="B25" t="str">
            <v>13455-25-9</v>
          </cell>
          <cell r="C25" t="str">
            <v>Chromic acid (H2CrO4), cobalt(2+) salt (1:1) </v>
          </cell>
          <cell r="D25" t="str">
            <v>06-5-10</v>
          </cell>
          <cell r="E25" t="str">
            <v>크로뮴(6+)화합물[Chromium(6+) compounds] 및 이를 0.1% 이상 함유한 혼합물질</v>
          </cell>
          <cell r="F25">
            <v>0.1</v>
          </cell>
          <cell r="G25" t="str">
            <v>물탱크 방청도료 용도로 제조, 수입, 판매, 보관·저장, 운반, 사용을 금지【시행일 : 2011.6.1】</v>
          </cell>
        </row>
        <row r="26">
          <cell r="B26" t="str">
            <v>13473-75-1</v>
          </cell>
          <cell r="C26" t="str">
            <v>Dithallium chromate</v>
          </cell>
          <cell r="D26" t="str">
            <v>06-5-10</v>
          </cell>
          <cell r="E26" t="str">
            <v>크로뮴(6+)화합물[Chromium(6+) compounds] 및 이를 0.1% 이상 함유한 혼합물질</v>
          </cell>
          <cell r="F26">
            <v>0.1</v>
          </cell>
          <cell r="G26" t="str">
            <v>물탱크 방청도료 용도로 제조, 수입, 판매, 보관·저장, 운반, 사용을 금지【시행일 : 2011.6.1】</v>
          </cell>
        </row>
        <row r="27">
          <cell r="B27" t="str">
            <v>13530-65-9</v>
          </cell>
          <cell r="C27" t="str">
            <v>Zinc chromate</v>
          </cell>
          <cell r="D27" t="str">
            <v>06-5-10</v>
          </cell>
          <cell r="E27" t="str">
            <v>크로뮴(6+)화합물[Chromium(6+) compounds] 및 이를 0.1% 이상 함유한 혼합물질</v>
          </cell>
          <cell r="F27">
            <v>0.1</v>
          </cell>
          <cell r="G27" t="str">
            <v>물탱크 방청도료 용도로 제조, 수입, 판매, 보관·저장, 운반, 사용을 금지【시행일 : 2011.6.1】</v>
          </cell>
        </row>
        <row r="28">
          <cell r="B28" t="str">
            <v>13530-68-2</v>
          </cell>
          <cell r="C28" t="str">
            <v>Chromic acid (H2Cr2O7)</v>
          </cell>
          <cell r="D28" t="str">
            <v>06-5-10</v>
          </cell>
          <cell r="E28" t="str">
            <v>크로뮴(6+)화합물[Chromium(6+) compounds] 및 이를 0.1% 이상 함유한 혼합물질</v>
          </cell>
          <cell r="F28">
            <v>0.1</v>
          </cell>
          <cell r="G28" t="str">
            <v>물탱크 방청도료 용도로 제조, 수입, 판매, 보관·저장, 운반, 사용을 금지【시행일 : 2011.6.1】</v>
          </cell>
        </row>
        <row r="29">
          <cell r="B29" t="str">
            <v>13548-42-0</v>
          </cell>
          <cell r="C29" t="str">
            <v>Copper chromate</v>
          </cell>
          <cell r="D29" t="str">
            <v>06-5-10</v>
          </cell>
          <cell r="E29" t="str">
            <v>크로뮴(6+)화합물[Chromium(6+) compounds] 및 이를 0.1% 이상 함유한 혼합물질</v>
          </cell>
          <cell r="F29">
            <v>0.1</v>
          </cell>
          <cell r="G29" t="str">
            <v>물탱크 방청도료 용도로 제조, 수입, 판매, 보관·저장, 운반, 사용을 금지【시행일 : 2011.6.1】</v>
          </cell>
        </row>
        <row r="30">
          <cell r="B30" t="str">
            <v>13765-19-0</v>
          </cell>
          <cell r="C30" t="str">
            <v>Calcium chromate</v>
          </cell>
          <cell r="D30" t="str">
            <v>06-5-10</v>
          </cell>
          <cell r="E30" t="str">
            <v>크로뮴(6+)화합물[Chromium(6+) compounds] 및 이를 0.1% 이상 함유한 혼합물질</v>
          </cell>
          <cell r="F30">
            <v>0.1</v>
          </cell>
          <cell r="G30" t="str">
            <v>물탱크 방청도료 용도로 제조, 수입, 판매, 보관·저장, 운반, 사용을 금지【시행일 : 2011.6.1】</v>
          </cell>
        </row>
        <row r="31">
          <cell r="B31" t="str">
            <v>14018-95-2</v>
          </cell>
          <cell r="C31" t="str">
            <v>Zinc dichromate</v>
          </cell>
          <cell r="D31" t="str">
            <v>06-5-10</v>
          </cell>
          <cell r="E31" t="str">
            <v>크로뮴(6+)화합물[Chromium(6+) compounds] 및 이를 0.1% 이상 함유한 혼합물질</v>
          </cell>
          <cell r="F31">
            <v>0.1</v>
          </cell>
          <cell r="G31" t="str">
            <v>물탱크 방청도료 용도로 제조, 수입, 판매, 보관·저장, 운반, 사용을 금지【시행일 : 2011.6.1】</v>
          </cell>
        </row>
        <row r="32">
          <cell r="B32" t="str">
            <v>14307-33-6</v>
          </cell>
          <cell r="C32" t="str">
            <v>Chromic acid (H2Cr2O7), calcium salt (1:1)</v>
          </cell>
          <cell r="D32" t="str">
            <v>06-5-10</v>
          </cell>
          <cell r="E32" t="str">
            <v>크로뮴(6+)화합물[Chromium(6+) compounds] 및 이를 0.1% 이상 함유한 혼합물질</v>
          </cell>
          <cell r="F32">
            <v>0.1</v>
          </cell>
          <cell r="G32" t="str">
            <v>물탱크 방청도료 용도로 제조, 수입, 판매, 보관·저장, 운반, 사용을 금지【시행일 : 2011.6.1】</v>
          </cell>
        </row>
        <row r="33">
          <cell r="B33" t="str">
            <v>14307-35-8</v>
          </cell>
          <cell r="C33" t="str">
            <v>Lithium chromate</v>
          </cell>
          <cell r="D33" t="str">
            <v>06-5-10</v>
          </cell>
          <cell r="E33" t="str">
            <v>크로뮴(6+)화합물[Chromium(6+) compounds] 및 이를 0.1% 이상 함유한 혼합물질</v>
          </cell>
          <cell r="F33">
            <v>0.1</v>
          </cell>
          <cell r="G33" t="str">
            <v>물탱크 방청도료 용도로 제조, 수입, 판매, 보관·저장, 운반, 사용을 금지【시행일 : 2011.6.1】</v>
          </cell>
        </row>
        <row r="34">
          <cell r="B34" t="str">
            <v>14721-18-7</v>
          </cell>
          <cell r="C34" t="str">
            <v>Nickel chromate</v>
          </cell>
          <cell r="D34" t="str">
            <v>06-5-10</v>
          </cell>
          <cell r="E34" t="str">
            <v>크로뮴(6+)화합물[Chromium(6+) compounds] 및 이를 0.1% 이상 함유한 혼합물질</v>
          </cell>
          <cell r="F34">
            <v>0.1</v>
          </cell>
          <cell r="G34" t="str">
            <v>물탱크 방청도료 용도로 제조, 수입, 판매, 보관·저장, 운반, 사용을 금지【시행일 : 2011.6.1】</v>
          </cell>
        </row>
        <row r="35">
          <cell r="B35" t="str">
            <v>148092-61-9</v>
          </cell>
          <cell r="C35" t="str">
            <v>C.I. pigment green 13</v>
          </cell>
          <cell r="D35" t="str">
            <v>06-5-10</v>
          </cell>
          <cell r="E35" t="str">
            <v>크로뮴(6+)화합물[Chromium(6+) compounds] 및 이를 0.1% 이상 함유한 혼합물질</v>
          </cell>
          <cell r="F35">
            <v>0.1</v>
          </cell>
          <cell r="G35" t="str">
            <v>물탱크 방청도료 용도로 제조, 수입, 판매, 보관·저장, 운반, 사용을 금지【시행일 : 2011.6.1】</v>
          </cell>
        </row>
        <row r="36">
          <cell r="B36" t="str">
            <v>14977-61-8</v>
          </cell>
          <cell r="C36" t="str">
            <v>Chromyl chloride</v>
          </cell>
          <cell r="D36" t="str">
            <v>06-5-10</v>
          </cell>
          <cell r="E36" t="str">
            <v>크로뮴(6+)화합물[Chromium(6+) compounds] 및 이를 0.1% 이상 함유한 혼합물질</v>
          </cell>
          <cell r="F36">
            <v>0.1</v>
          </cell>
          <cell r="G36" t="str">
            <v>물탱크 방청도료 용도로 제조, 수입, 판매, 보관·저장, 운반, 사용을 금지【시행일 : 2011.6.1】</v>
          </cell>
        </row>
        <row r="37">
          <cell r="B37" t="str">
            <v>15586-38-6</v>
          </cell>
          <cell r="C37" t="str">
            <v>Nickel dichromate </v>
          </cell>
          <cell r="D37" t="str">
            <v>06-5-10</v>
          </cell>
          <cell r="E37" t="str">
            <v>크로뮴(6+)화합물[Chromium(6+) compounds] 및 이를 0.1% 이상 함유한 혼합물질</v>
          </cell>
          <cell r="F37">
            <v>0.1</v>
          </cell>
          <cell r="G37" t="str">
            <v>물탱크 방청도료 용도로 제조, 수입, 판매, 보관·저장, 운반, 사용을 금지【시행일 : 2011.6.1】</v>
          </cell>
        </row>
        <row r="38">
          <cell r="B38" t="str">
            <v>16037-50-6</v>
          </cell>
          <cell r="C38" t="str">
            <v>Chromate(1-), chlorotrioxo-, potassium, (T-4)-</v>
          </cell>
          <cell r="D38" t="str">
            <v>06-5-10</v>
          </cell>
          <cell r="E38" t="str">
            <v>크로뮴(6+)화합물[Chromium(6+) compounds] 및 이를 0.1% 이상 함유한 혼합물질</v>
          </cell>
          <cell r="F38">
            <v>0.1</v>
          </cell>
          <cell r="G38" t="str">
            <v>물탱크 방청도료 용도로 제조, 수입, 판매, 보관·저장, 운반, 사용을 금지【시행일 : 2011.6.1】</v>
          </cell>
        </row>
        <row r="39">
          <cell r="B39" t="str">
            <v>1624-02-8</v>
          </cell>
          <cell r="C39" t="str">
            <v>Chromic acid (H2CrO4) bis(triphenylsilyl) ester ; Bis(triphenylsilyl) chromate</v>
          </cell>
          <cell r="D39" t="str">
            <v>06-5-10</v>
          </cell>
          <cell r="E39" t="str">
            <v>크로뮴(6+)화합물[Chromium(6+) compounds] 및 이를 0.1% 이상 함유한 혼합물질</v>
          </cell>
          <cell r="F39">
            <v>0.1</v>
          </cell>
          <cell r="G39" t="str">
            <v>물탱크 방청도료 용도로 제조, 수입, 판매, 보관·저장, 운반, 사용을 금지【시행일 : 2011.6.1】</v>
          </cell>
        </row>
        <row r="40">
          <cell r="B40" t="str">
            <v>18454-12-1</v>
          </cell>
          <cell r="C40" t="str">
            <v>Lead chromate oxide (Pb2(CrO4)O) </v>
          </cell>
          <cell r="D40" t="str">
            <v>06-5-10</v>
          </cell>
          <cell r="E40" t="str">
            <v>크로뮴(6+)화합물[Chromium(6+) compounds] 및 이를 0.1% 이상 함유한 혼합물질</v>
          </cell>
          <cell r="F40">
            <v>0.1</v>
          </cell>
          <cell r="G40" t="str">
            <v>물탱크 방청도료 용도로 제조, 수입, 판매, 보관·저장, 운반, 사용을 금지【시행일 : 2011.6.1】</v>
          </cell>
        </row>
        <row r="41">
          <cell r="B41" t="str">
            <v>18540-29-9</v>
          </cell>
          <cell r="C41" t="str">
            <v>Chromium, ion (Cr 6+)</v>
          </cell>
          <cell r="D41" t="str">
            <v>06-5-10</v>
          </cell>
          <cell r="E41" t="str">
            <v>크로뮴(6+)화합물[Chromium(6+) compounds] 및 이를 0.1% 이상 함유한 혼합물질</v>
          </cell>
          <cell r="F41">
            <v>0.1</v>
          </cell>
          <cell r="G41" t="str">
            <v>물탱크 방청도료 용도로 제조, 수입, 판매, 보관·저장, 운반, 사용을 금지【시행일 : 2011.6.1】</v>
          </cell>
        </row>
        <row r="42">
          <cell r="B42" t="str">
            <v>20039-37-6</v>
          </cell>
          <cell r="C42" t="str">
            <v>Chromic acid (H2Cr2O7) compd. with pyridine (1:2)</v>
          </cell>
          <cell r="D42" t="str">
            <v>06-5-10</v>
          </cell>
          <cell r="E42" t="str">
            <v>크로뮴(6+)화합물[Chromium(6+) compounds] 및 이를 0.1% 이상 함유한 혼합물질</v>
          </cell>
          <cell r="F42">
            <v>0.1</v>
          </cell>
          <cell r="G42" t="str">
            <v>물탱크 방청도료 용도로 제조, 수입, 판매, 보관·저장, 운반, 사용을 금지【시행일 : 2011.6.1】</v>
          </cell>
        </row>
        <row r="43">
          <cell r="B43" t="str">
            <v>24613-89-6</v>
          </cell>
          <cell r="C43" t="str">
            <v>Chromium(III) chromate</v>
          </cell>
          <cell r="D43" t="str">
            <v>06-5-10</v>
          </cell>
          <cell r="E43" t="str">
            <v>크로뮴(6+)화합물[Chromium(6+) compounds] 및 이를 0.1% 이상 함유한 혼합물질</v>
          </cell>
          <cell r="F43">
            <v>0.1</v>
          </cell>
          <cell r="G43" t="str">
            <v>물탱크 방청도료 용도로 제조, 수입, 판매, 보관·저장, 운반, 사용을 금지【시행일 : 2011.6.1】</v>
          </cell>
        </row>
        <row r="44">
          <cell r="B44" t="str">
            <v>34493-01-1</v>
          </cell>
          <cell r="C44" t="str">
            <v>Dichromic acid sodium salt</v>
          </cell>
          <cell r="D44" t="str">
            <v>06-5-10</v>
          </cell>
          <cell r="E44" t="str">
            <v>크로뮴(6+)화합물[Chromium(6+) compounds] 및 이를 0.1% 이상 함유한 혼합물질</v>
          </cell>
          <cell r="F44">
            <v>0.1</v>
          </cell>
          <cell r="G44" t="str">
            <v>물탱크 방청도료 용도로 제조, 수입, 판매, 보관·저장, 운반, 사용을 금지【시행일 : 2011.6.1】</v>
          </cell>
        </row>
        <row r="45">
          <cell r="B45" t="str">
            <v>37300-23-5</v>
          </cell>
          <cell r="C45" t="str">
            <v>C.I. Pigment yellow 36 </v>
          </cell>
          <cell r="D45" t="str">
            <v>06-5-10</v>
          </cell>
          <cell r="E45" t="str">
            <v>크로뮴(6+)화합물[Chromium(6+) compounds] 및 이를 0.1% 이상 함유한 혼합물질</v>
          </cell>
          <cell r="F45">
            <v>0.1</v>
          </cell>
          <cell r="G45" t="str">
            <v>물탱크 방청도료 용도로 제조, 수입, 판매, 보관·저장, 운반, 사용을 금지【시행일 : 2011.6.1】</v>
          </cell>
        </row>
        <row r="46">
          <cell r="B46" t="str">
            <v>41189-36-0</v>
          </cell>
          <cell r="C46" t="str">
            <v>Chromic acid, potassium zinc salt ; Potassium zinc chromate</v>
          </cell>
          <cell r="D46" t="str">
            <v>06-5-10</v>
          </cell>
          <cell r="E46" t="str">
            <v>크로뮴(6+)화합물[Chromium(6+) compounds] 및 이를 0.1% 이상 함유한 혼합물질</v>
          </cell>
          <cell r="F46">
            <v>0.1</v>
          </cell>
          <cell r="G46" t="str">
            <v>물탱크 방청도료 용도로 제조, 수입, 판매, 보관·저장, 운반, 사용을 금지【시행일 : 2011.6.1】</v>
          </cell>
        </row>
        <row r="47">
          <cell r="B47" t="str">
            <v>49663-84-5</v>
          </cell>
          <cell r="C47" t="str">
            <v>Zinc tetraoxychromate </v>
          </cell>
          <cell r="D47" t="str">
            <v>06-5-10</v>
          </cell>
          <cell r="E47" t="str">
            <v>크로뮴(6+)화합물[Chromium(6+) compounds] 및 이를 0.1% 이상 함유한 혼합물질</v>
          </cell>
          <cell r="F47">
            <v>0.1</v>
          </cell>
          <cell r="G47" t="str">
            <v>물탱크 방청도료 용도로 제조, 수입, 판매, 보관·저장, 운반, 사용을 금지【시행일 : 2011.6.1】</v>
          </cell>
        </row>
        <row r="48">
          <cell r="B48" t="str">
            <v>7738-94-5</v>
          </cell>
          <cell r="C48" t="str">
            <v>Chromic acid (H2CrO4)</v>
          </cell>
          <cell r="D48" t="str">
            <v>06-5-10</v>
          </cell>
          <cell r="E48" t="str">
            <v>크로뮴(6+)화합물[Chromium(6+) compounds] 및 이를 0.1% 이상 함유한 혼합물질</v>
          </cell>
          <cell r="F48">
            <v>0.1</v>
          </cell>
          <cell r="G48" t="str">
            <v>물탱크 방청도료 용도로 제조, 수입, 판매, 보관·저장, 운반, 사용을 금지【시행일 : 2011.6.1】</v>
          </cell>
        </row>
        <row r="49">
          <cell r="B49" t="str">
            <v>7758-97-6</v>
          </cell>
          <cell r="C49" t="str">
            <v>Lead chromate</v>
          </cell>
          <cell r="D49" t="str">
            <v>06-5-10</v>
          </cell>
          <cell r="E49" t="str">
            <v>크로뮴(6+)화합물[Chromium(6+) compounds] 및 이를 0.1% 이상 함유한 혼합물질</v>
          </cell>
          <cell r="F49">
            <v>0.1</v>
          </cell>
          <cell r="G49" t="str">
            <v>물탱크 방청도료 용도로 제조, 수입, 판매, 보관·저장, 운반, 사용을 금지【시행일 : 2011.6.1】</v>
          </cell>
        </row>
        <row r="50">
          <cell r="B50" t="str">
            <v>7775-11-3</v>
          </cell>
          <cell r="C50" t="str">
            <v>Sodium chromate</v>
          </cell>
          <cell r="D50" t="str">
            <v>06-5-10</v>
          </cell>
          <cell r="E50" t="str">
            <v>크로뮴(6+)화합물[Chromium(6+) compounds] 및 이를 0.1% 이상 함유한 혼합물질</v>
          </cell>
          <cell r="F50">
            <v>0.1</v>
          </cell>
          <cell r="G50" t="str">
            <v>물탱크 방청도료 용도로 제조, 수입, 판매, 보관·저장, 운반, 사용을 금지【시행일 : 2011.6.1】</v>
          </cell>
        </row>
        <row r="51">
          <cell r="B51" t="str">
            <v>7778-50-9</v>
          </cell>
          <cell r="C51" t="str">
            <v>Potassium dichromate</v>
          </cell>
          <cell r="D51" t="str">
            <v>06-5-10</v>
          </cell>
          <cell r="E51" t="str">
            <v>크로뮴(6+)화합물[Chromium(6+) compounds] 및 이를 0.1% 이상 함유한 혼합물질</v>
          </cell>
          <cell r="F51">
            <v>0.1</v>
          </cell>
          <cell r="G51" t="str">
            <v>물탱크 방청도료 용도로 제조, 수입, 판매, 보관·저장, 운반, 사용을 금지【시행일 : 2011.6.1】</v>
          </cell>
        </row>
        <row r="52">
          <cell r="B52" t="str">
            <v>7784-01-2</v>
          </cell>
          <cell r="C52" t="str">
            <v>Silver chromate </v>
          </cell>
          <cell r="D52" t="str">
            <v>06-5-10</v>
          </cell>
          <cell r="E52" t="str">
            <v>크로뮴(6+)화합물[Chromium(6+) compounds] 및 이를 0.1% 이상 함유한 혼합물질</v>
          </cell>
          <cell r="F52">
            <v>0.1</v>
          </cell>
          <cell r="G52" t="str">
            <v>물탱크 방청도료 용도로 제조, 수입, 판매, 보관·저장, 운반, 사용을 금지【시행일 : 2011.6.1】</v>
          </cell>
        </row>
        <row r="53">
          <cell r="B53" t="str">
            <v>7784-02-3</v>
          </cell>
          <cell r="C53" t="str">
            <v>Silver dichromate</v>
          </cell>
          <cell r="D53" t="str">
            <v>06-5-10</v>
          </cell>
          <cell r="E53" t="str">
            <v>크로뮴(6+)화합물[Chromium(6+) compounds] 및 이를 0.1% 이상 함유한 혼합물질</v>
          </cell>
          <cell r="F53">
            <v>0.1</v>
          </cell>
          <cell r="G53" t="str">
            <v>물탱크 방청도료 용도로 제조, 수입, 판매, 보관·저장, 운반, 사용을 금지【시행일 : 2011.6.1】</v>
          </cell>
        </row>
        <row r="54">
          <cell r="B54" t="str">
            <v>7788-98-9</v>
          </cell>
          <cell r="C54" t="str">
            <v>Ammonium chromate</v>
          </cell>
          <cell r="D54" t="str">
            <v>06-5-10</v>
          </cell>
          <cell r="E54" t="str">
            <v>크로뮴(6+)화합물[Chromium(6+) compounds] 및 이를 0.1% 이상 함유한 혼합물질</v>
          </cell>
          <cell r="F54">
            <v>0.1</v>
          </cell>
          <cell r="G54" t="str">
            <v>물탱크 방청도료 용도로 제조, 수입, 판매, 보관·저장, 운반, 사용을 금지【시행일 : 2011.6.1】</v>
          </cell>
        </row>
        <row r="55">
          <cell r="B55" t="str">
            <v>7789-00-6</v>
          </cell>
          <cell r="C55" t="str">
            <v>Chromic acid (H2CrO4), dipotassium salt</v>
          </cell>
          <cell r="D55" t="str">
            <v>06-5-10</v>
          </cell>
          <cell r="E55" t="str">
            <v>크로뮴(6+)화합물[Chromium(6+) compounds] 및 이를 0.1% 이상 함유한 혼합물질</v>
          </cell>
          <cell r="F55">
            <v>0.1</v>
          </cell>
          <cell r="G55" t="str">
            <v>물탱크 방청도료 용도로 제조, 수입, 판매, 보관·저장, 운반, 사용을 금지【시행일 : 2011.6.1】</v>
          </cell>
        </row>
        <row r="56">
          <cell r="B56" t="str">
            <v>7789-01-7</v>
          </cell>
          <cell r="C56" t="str">
            <v>Lithium chromate dihydrate</v>
          </cell>
          <cell r="D56" t="str">
            <v>06-5-10</v>
          </cell>
          <cell r="E56" t="str">
            <v>크로뮴(6+)화합물[Chromium(6+) compounds] 및 이를 0.1% 이상 함유한 혼합물질</v>
          </cell>
          <cell r="F56">
            <v>0.1</v>
          </cell>
          <cell r="G56" t="str">
            <v>물탱크 방청도료 용도로 제조, 수입, 판매, 보관·저장, 운반, 사용을 금지【시행일 : 2011.6.1】</v>
          </cell>
        </row>
        <row r="57">
          <cell r="B57" t="str">
            <v>7789-06-2</v>
          </cell>
          <cell r="C57" t="str">
            <v>Strontium chromate</v>
          </cell>
          <cell r="D57" t="str">
            <v>06-5-10</v>
          </cell>
          <cell r="E57" t="str">
            <v>크로뮴(6+)화합물[Chromium(6+) compounds] 및 이를 0.1% 이상 함유한 혼합물질</v>
          </cell>
          <cell r="F57">
            <v>0.1</v>
          </cell>
          <cell r="G57" t="str">
            <v>물탱크 방청도료 용도로 제조, 수입, 판매, 보관·저장, 운반, 사용을 금지【시행일 : 2011.6.1】</v>
          </cell>
        </row>
        <row r="58">
          <cell r="B58" t="str">
            <v>7789-09-5</v>
          </cell>
          <cell r="C58" t="str">
            <v>Ammonium dichromate</v>
          </cell>
          <cell r="D58" t="str">
            <v>06-5-10</v>
          </cell>
          <cell r="E58" t="str">
            <v>크로뮴(6+)화합물[Chromium(6+) compounds] 및 이를 0.1% 이상 함유한 혼합물질</v>
          </cell>
          <cell r="F58">
            <v>0.1</v>
          </cell>
          <cell r="G58" t="str">
            <v>물탱크 방청도료 용도로 제조, 수입, 판매, 보관·저장, 운반, 사용을 금지【시행일 : 2011.6.1】</v>
          </cell>
        </row>
        <row r="59">
          <cell r="B59" t="str">
            <v>7789-10-8</v>
          </cell>
          <cell r="C59" t="str">
            <v>Mercury dichromate</v>
          </cell>
          <cell r="D59" t="str">
            <v>06-5-10</v>
          </cell>
          <cell r="E59" t="str">
            <v>크로뮴(6+)화합물[Chromium(6+) compounds] 및 이를 0.1% 이상 함유한 혼합물질</v>
          </cell>
          <cell r="F59">
            <v>0.1</v>
          </cell>
          <cell r="G59" t="str">
            <v>물탱크 방청도료 용도로 제조, 수입, 판매, 보관·저장, 운반, 사용을 금지【시행일 : 2011.6.1】</v>
          </cell>
        </row>
        <row r="60">
          <cell r="B60" t="str">
            <v>7789-12-0</v>
          </cell>
          <cell r="C60" t="str">
            <v>Sodium dichromate dihydrate</v>
          </cell>
          <cell r="D60" t="str">
            <v>06-5-10</v>
          </cell>
          <cell r="E60" t="str">
            <v>크로뮴(6+)화합물[Chromium(6+) compounds] 및 이를 0.1% 이상 함유한 혼합물질</v>
          </cell>
          <cell r="F60">
            <v>0.1</v>
          </cell>
          <cell r="G60" t="str">
            <v>물탱크 방청도료 용도로 제조, 수입, 판매, 보관·저장, 운반, 사용을 금지【시행일 : 2011.6.1】</v>
          </cell>
        </row>
        <row r="61">
          <cell r="C61" t="str">
            <v>Chromic acid, salts</v>
          </cell>
          <cell r="D61" t="str">
            <v>06-5-10</v>
          </cell>
          <cell r="E61" t="str">
            <v>크로뮴(6+)화합물[Chromium(6+) compounds] 및 이를 0.1% 이상 함유한 혼합물질</v>
          </cell>
          <cell r="F61">
            <v>0.1</v>
          </cell>
          <cell r="G61" t="str">
            <v>물탱크 방청도료 용도로 제조, 수입, 판매, 보관·저장, 운반, 사용을 금지【시행일 : 2011.6.1】</v>
          </cell>
        </row>
        <row r="62">
          <cell r="B62" t="str">
            <v>79-01-6</v>
          </cell>
          <cell r="C62" t="str">
            <v>Trichloroethylene</v>
          </cell>
          <cell r="D62" t="str">
            <v>06-5-11</v>
          </cell>
          <cell r="E62" t="str">
            <v>및 이를 0.1%이상 함유한 혼합물질</v>
          </cell>
          <cell r="F62">
            <v>0.1</v>
          </cell>
          <cell r="G62" t="str">
            <v>가정용 세정제 및 에어러졸 용도로 제조, 수입, 판매, 보관 저장, 운반, 사용을 금지</v>
          </cell>
        </row>
        <row r="63">
          <cell r="B63" t="str">
            <v>127-18-4</v>
          </cell>
          <cell r="C63" t="str">
            <v>Tetrachloroethylene</v>
          </cell>
          <cell r="D63" t="str">
            <v>06-5-12</v>
          </cell>
          <cell r="E63" t="str">
            <v>및 이를 0.1% 이상 함유한 혼합물질</v>
          </cell>
          <cell r="F63">
            <v>0.1</v>
          </cell>
          <cell r="G63" t="str">
            <v>가정용 세정제 및 에어러졸 용도로 제조, 수입, 판매, 보관?저장, 운반, 사용을 금지</v>
          </cell>
        </row>
        <row r="64">
          <cell r="B64" t="str">
            <v>74-83-9</v>
          </cell>
          <cell r="C64" t="str">
            <v>Bromomethane</v>
          </cell>
          <cell r="D64" t="str">
            <v>06-5-2</v>
          </cell>
          <cell r="E64" t="str">
            <v>및 이를 1% 이상 함유한 혼합물질</v>
          </cell>
          <cell r="F64">
            <v>1</v>
          </cell>
          <cell r="G64" t="str">
            <v>검역법에 의한 소독기준에서 정해진 검역용을 제외한 용도로는 제조, 수입, 판매, 보관?저장, 운반, 사용을 금지</v>
          </cell>
        </row>
        <row r="65">
          <cell r="B65" t="str">
            <v>56-23-5</v>
          </cell>
          <cell r="C65" t="str">
            <v>Tetrachloromethane</v>
          </cell>
          <cell r="D65" t="str">
            <v>06-5-3</v>
          </cell>
          <cell r="E65" t="str">
            <v>및 이를 1% 이상 함유한 혼합물질</v>
          </cell>
          <cell r="F65">
            <v>1</v>
          </cell>
          <cell r="G65" t="str">
            <v>옥외살충제용으로는 제조, 수입, 판매, 보관?저장, 운반, 사용을 금지</v>
          </cell>
        </row>
        <row r="66">
          <cell r="B66" t="str">
            <v>1067-97-6</v>
          </cell>
          <cell r="C66" t="str">
            <v>Tributyltin hydroxide</v>
          </cell>
          <cell r="D66" t="str">
            <v>06-5-4</v>
          </cell>
          <cell r="E66" t="str">
            <v>과 그 염류(산화 트리알킬주석을 포함한다) 및 트리부틸주석화합물(tributyltin compound), 또는 그 중 하나를 0.1% 이상 함유한 혼합물질</v>
          </cell>
          <cell r="F66">
            <v>0.1</v>
          </cell>
          <cell r="G66" t="str">
            <v>1. 다음 각호의 1에 해당하는 용도로는 제조, 수입, 판매, 보관/저장, 운반, 사용을 금지한다.
가. 선박법 제2조의 규정에 의한 한국선박(단, 군함/경찰용선박은 제외한다) 및 어선법 제2조 규정에 의한 어선의 방오도료용
나. 해양오염방지법에 의한 해양시설과 항만법에 의한 항만시설중 일부 또는 전부가 해수와 접촉하거나 접촉할 수 있는 구조물 또는 시설물, 어망, 어구의 방오도료용
다. 산림법에 의한 목재방부처리용
라. 냉각수살균제용</v>
          </cell>
        </row>
        <row r="67">
          <cell r="B67" t="str">
            <v>1461-22-9</v>
          </cell>
          <cell r="C67" t="str">
            <v>Tributyltin chloride</v>
          </cell>
          <cell r="D67" t="str">
            <v>06-5-4</v>
          </cell>
          <cell r="E67" t="str">
            <v>과 그 염류(산화 트리알킬주석을 포함한다) 및 트리부틸주석화합물(tributyltin compound), 또는 그 중 하나를 0.1% 이상 함유한 혼합물질</v>
          </cell>
          <cell r="F67">
            <v>0.1</v>
          </cell>
          <cell r="G67" t="str">
            <v>1. 다음 각호의 1에 해당하는 용도로는 제조, 수입, 판매, 보관/저장, 운반, 사용을 금지한다.
가. 선박법 제2조의 규정에 의한 한국선박(단, 군함/경찰용선박은 제외한다) 및 어선법 제2조 규정에 의한 어선의 방오도료용
나. 해양오염방지법에 의한 해양시설과 항만법에 의한 항만시설중 일부 또는 전부가 해수와 접촉하거나 접촉할 수 있는 구조물 또는 시설물, 어망, 어구의 방오도료용
다. 산림법에 의한 목재방부처리용
라. 냉각수살균제용</v>
          </cell>
        </row>
        <row r="68">
          <cell r="B68" t="str">
            <v>1983-10-4</v>
          </cell>
          <cell r="C68" t="str">
            <v>Stannane, tributylfluoro-</v>
          </cell>
          <cell r="D68" t="str">
            <v>06-5-4</v>
          </cell>
          <cell r="E68" t="str">
            <v>과 그 염류(산화 트리알킬주석을 포함한다) 및 트리부틸주석화합물(tributyltin compound), 또는 그 중 하나를 0.1% 이상 함유한 혼합물질</v>
          </cell>
          <cell r="F68">
            <v>0.1</v>
          </cell>
          <cell r="G68" t="str">
            <v>1. 다음 각호의 1에 해당하는 용도로는 제조, 수입, 판매, 보관/저장, 운반, 사용을 금지한다.
가. 선박법 제2조의 규정에 의한 한국선박(단, 군함/경찰용선박은 제외한다) 및 어선법 제2조 규정에 의한 어선의 방오도료용
나. 해양오염방지법에 의한 해양시설과 항만법에 의한 항만시설중 일부 또는 전부가 해수와 접촉하거나 접촉할 수 있는 구조물 또는 시설물, 어망, 어구의 방오도료용
다. 산림법에 의한 목재방부처리용
라. 냉각수살균제용</v>
          </cell>
        </row>
        <row r="69">
          <cell r="B69" t="str">
            <v>2155-70-6</v>
          </cell>
          <cell r="C69" t="str">
            <v>Tributyltin methacrylate</v>
          </cell>
          <cell r="D69" t="str">
            <v>06-5-4</v>
          </cell>
          <cell r="E69" t="str">
            <v>과 그 염류(산화 트리알킬주석을 포함한다) 및 트리부틸주석화합물(tributyltin compound), 또는 그 중 하나를 0.1% 이상 함유한 혼합물질</v>
          </cell>
          <cell r="F69">
            <v>0.1</v>
          </cell>
          <cell r="G69" t="str">
            <v>1. 다음 각호의 1에 해당하는 용도로는 제조, 수입, 판매, 보관/저장, 운반, 사용을 금지한다.
가. 선박법 제2조의 규정에 의한 한국선박(단, 군함/경찰용선박은 제외한다) 및 어선법 제2조 규정에 의한 어선의 방오도료용
나. 해양오염방지법에 의한 해양시설과 항만법에 의한 항만시설중 일부 또는 전부가 해수와 접촉하거나 접촉할 수 있는 구조물 또는 시설물, 어망, 어구의 방오도료용
다. 산림법에 의한 목재방부처리용
라. 냉각수살균제용</v>
          </cell>
        </row>
        <row r="70">
          <cell r="B70" t="str">
            <v>28089-34-1</v>
          </cell>
          <cell r="C70" t="str">
            <v>Tributyltin phosphate?</v>
          </cell>
          <cell r="D70" t="str">
            <v>06-5-4</v>
          </cell>
          <cell r="E70" t="str">
            <v>과 그 염류(산화 트리알킬주석을 포함한다) 및 트리부틸주석화합물(tributyltin compound), 또는 그 중 하나를 0.1% 이상 함유한 혼합물질</v>
          </cell>
          <cell r="F70">
            <v>0.1</v>
          </cell>
          <cell r="G70" t="str">
            <v>1. 다음 각호의 1에 해당하는 용도로는 제조, 수입, 판매, 보관/저장, 운반, 사용을 금지한다.
가. 선박법 제2조의 규정에 의한 한국선박(단, 군함/경찰용선박은 제외한다) 및 어선법 제2조 규정에 의한 어선의 방오도료용
나. 해양오염방지법에 의한 해양시설과 항만법에 의한 항만시설중 일부 또는 전부가 해수와 접촉하거나 접촉할 수 있는 구조물 또는 시설물, 어망, 어구의 방오도료용
다. 산림법에 의한 목재방부처리용
라. 냉각수살균제용</v>
          </cell>
        </row>
        <row r="71">
          <cell r="B71" t="str">
            <v>3090-36-6</v>
          </cell>
          <cell r="C71" t="str">
            <v>Tributyl(lauroyloxy)stannane</v>
          </cell>
          <cell r="D71" t="str">
            <v>06-5-4</v>
          </cell>
          <cell r="E71" t="str">
            <v>과 그 염류(산화 트리알킬주석을 포함한다) 및 트리부틸주석화합물(tributyltin compound), 또는 그 중 하나를 0.1% 이상 함유한 혼합물질</v>
          </cell>
          <cell r="F71">
            <v>0.1</v>
          </cell>
          <cell r="G71" t="str">
            <v>1. 다음 각호의 1에 해당하는 용도로는 제조, 수입, 판매, 보관/저장, 운반, 사용을 금지한다.
가. 선박법 제2조의 규정에 의한 한국선박(단, 군함/경찰용선박은 제외한다) 및 어선법 제2조 규정에 의한 어선의 방오도료용
나. 해양오염방지법에 의한 해양시설과 항만법에 의한 항만시설중 일부 또는 전부가 해수와 접촉하거나 접촉할 수 있는 구조물 또는 시설물, 어망, 어구의 방오도료용
다. 산림법에 의한 목재방부처리용
라. 냉각수살균제용</v>
          </cell>
        </row>
        <row r="72">
          <cell r="B72" t="str">
            <v>31732-71-5</v>
          </cell>
          <cell r="C72" t="str">
            <v>6,11-Dioxa-5,12-distannahexadecane, 8,9-dibromo-5,5,12,12-tetrabutyl-7,10-dioxo-, (R*,S*)-</v>
          </cell>
          <cell r="D72" t="str">
            <v>06-5-4</v>
          </cell>
          <cell r="E72" t="str">
            <v>과 그 염류(산화 트리알킬주석을 포함한다) 및 트리부틸주석화합물(tributyltin compound), 또는 그 중 하나를 0.1% 이상 함유한 혼합물질</v>
          </cell>
          <cell r="F72">
            <v>0.1</v>
          </cell>
          <cell r="G72" t="str">
            <v>1. 다음 각호의 1에 해당하는 용도로는 제조, 수입, 판매, 보관/저장, 운반, 사용을 금지한다.
가. 선박법 제2조의 규정에 의한 한국선박(단, 군함/경찰용선박은 제외한다) 및 어선법 제2조 규정에 의한 어선의 방오도료용
나. 해양오염방지법에 의한 해양시설과 항만법에 의한 항만시설중 일부 또는 전부가 해수와 접촉하거나 접촉할 수 있는 구조물 또는 시설물, 어망, 어구의 방오도료용
다. 산림법에 의한 목재방부처리용
라. 냉각수살균제용</v>
          </cell>
        </row>
        <row r="73">
          <cell r="B73" t="str">
            <v>4027-18-3</v>
          </cell>
          <cell r="C73" t="str">
            <v>4-Oxo-4-[(tributylstannyl)oxy]but-2-enoic acid</v>
          </cell>
          <cell r="D73" t="str">
            <v>06-5-4</v>
          </cell>
          <cell r="E73" t="str">
            <v>과 그 염류(산화 트리알킬주석을 포함한다) 및 트리부틸주석화합물(tributyltin compound), 또는 그 중 하나를 0.1% 이상 함유한 혼합물질</v>
          </cell>
          <cell r="F73">
            <v>0.1</v>
          </cell>
          <cell r="G73" t="str">
            <v>1. 다음 각호의 1에 해당하는 용도로는 제조, 수입, 판매, 보관/저장, 운반, 사용을 금지한다.
가. 선박법 제2조의 규정에 의한 한국선박(단, 군함/경찰용선박은 제외한다) 및 어선법 제2조 규정에 의한 어선의 방오도료용
나. 해양오염방지법에 의한 해양시설과 항만법에 의한 항만시설중 일부 또는 전부가 해수와 접촉하거나 접촉할 수 있는 구조물 또는 시설물, 어망, 어구의 방오도료용
다. 산림법에 의한 목재방부처리용
라. 냉각수살균제용</v>
          </cell>
        </row>
        <row r="74">
          <cell r="B74" t="str">
            <v>4342-30-7</v>
          </cell>
          <cell r="C74" t="str">
            <v>Tri-n-butyl tin salicylate</v>
          </cell>
          <cell r="D74" t="str">
            <v>06-5-4</v>
          </cell>
          <cell r="E74" t="str">
            <v>과 그 염류(산화 트리알킬주석을 포함한다) 및 트리부틸주석화합물(tributyltin compound), 또는 그 중 하나를 0.1% 이상 함유한 혼합물질</v>
          </cell>
          <cell r="F74">
            <v>0.1</v>
          </cell>
          <cell r="G74" t="str">
            <v>1. 다음 각호의 1에 해당하는 용도로는 제조, 수입, 판매, 보관/저장, 운반, 사용을 금지한다.
가. 선박법 제2조의 규정에 의한 한국선박(단, 군함/경찰용선박은 제외한다) 및 어선법 제2조 규정에 의한 어선의 방오도료용
나. 해양오염방지법에 의한 해양시설과 항만법에 의한 항만시설중 일부 또는 전부가 해수와 접촉하거나 접촉할 수 있는 구조물 또는 시설물, 어망, 어구의 방오도료용
다. 산림법에 의한 목재방부처리용
라. 냉각수살균제용</v>
          </cell>
        </row>
        <row r="75">
          <cell r="B75" t="str">
            <v>4782-29-0</v>
          </cell>
          <cell r="C75" t="str">
            <v>[(Phthaloylbis(oxy)]bis(tributylstannane)</v>
          </cell>
          <cell r="D75" t="str">
            <v>06-5-4</v>
          </cell>
          <cell r="E75" t="str">
            <v>과 그 염류(산화 트리알킬주석을 포함한다) 및 트리부틸주석화합물(tributyltin compound), 또는 그 중 하나를 0.1% 이상 함유한 혼합물질</v>
          </cell>
          <cell r="F75">
            <v>0.1</v>
          </cell>
          <cell r="G75" t="str">
            <v>1. 다음 각호의 1에 해당하는 용도로는 제조, 수입, 판매, 보관/저장, 운반, 사용을 금지한다.
가. 선박법 제2조의 규정에 의한 한국선박(단, 군함/경찰용선박은 제외한다) 및 어선법 제2조 규정에 의한 어선의 방오도료용
나. 해양오염방지법에 의한 해양시설과 항만법에 의한 항만시설중 일부 또는 전부가 해수와 접촉하거나 접촉할 수 있는 구조물 또는 시설물, 어망, 어구의 방오도료용
다. 산림법에 의한 목재방부처리용
라. 냉각수살균제용</v>
          </cell>
        </row>
        <row r="76">
          <cell r="B76" t="str">
            <v>56-35-9</v>
          </cell>
          <cell r="C76" t="str">
            <v>Bis(tributyltin)oxide</v>
          </cell>
          <cell r="D76" t="str">
            <v>06-5-4</v>
          </cell>
          <cell r="E76" t="str">
            <v>과 그 염류(산화 트리알킬주석을 포함한다) 및 트리부틸주석화합물(tributyltin compound), 또는 그 중 하나를 0.1% 이상 함유한 혼합물질</v>
          </cell>
          <cell r="F76">
            <v>0.1</v>
          </cell>
          <cell r="G76" t="str">
            <v>1. 다음 각호의 1에 해당하는 용도로는 제조, 수입, 판매, 보관/저장, 운반, 사용을 금지한다.
가. 선박법 제2조의 규정에 의한 한국선박(단, 군함/경찰용선박은 제외한다) 및 어선법 제2조 규정에 의한 어선의 방오도료용
나. 해양오염방지법에 의한 해양시설과 항만법에 의한 항만시설중 일부 또는 전부가 해수와 접촉하거나 접촉할 수 있는 구조물 또는 시설물, 어망, 어구의 방오도료용
다. 산림법에 의한 목재방부처리용
라. 냉각수살균제용</v>
          </cell>
        </row>
        <row r="77">
          <cell r="B77" t="str">
            <v>67772-01-4</v>
          </cell>
          <cell r="C77" t="str">
            <v>Octyl acrylate-methyl methacrylate-tributyltin methacrylate copolymer</v>
          </cell>
          <cell r="D77" t="str">
            <v>06-5-4</v>
          </cell>
          <cell r="E77" t="str">
            <v>과 그 염류(산화 트리알킬주석을 포함한다) 및 트리부틸주석화합물(tributyltin compound), 또는 그 중 하나를 0.1% 이상 함유한 혼합물질</v>
          </cell>
          <cell r="F77">
            <v>0.1</v>
          </cell>
          <cell r="G77" t="str">
            <v>1. 다음 각호의 1에 해당하는 용도로는 제조, 수입, 판매, 보관/저장, 운반, 사용을 금지한다.
가. 선박법 제2조의 규정에 의한 한국선박(단, 군함/경찰용선박은 제외한다) 및 어선법 제2조 규정에 의한 어선의 방오도료용
나. 해양오염방지법에 의한 해양시설과 항만법에 의한 항만시설중 일부 또는 전부가 해수와 접촉하거나 접촉할 수 있는 구조물 또는 시설물, 어망, 어구의 방오도료용
다. 산림법에 의한 목재방부처리용
라. 냉각수살균제용</v>
          </cell>
        </row>
        <row r="78">
          <cell r="B78" t="str">
            <v>688-73-3</v>
          </cell>
          <cell r="C78" t="str">
            <v>Tri-n-butyltin hydride</v>
          </cell>
          <cell r="D78" t="str">
            <v>06-5-4</v>
          </cell>
          <cell r="E78" t="str">
            <v>과 그 염류(산화 트리알킬주석을 포함한다) 및 트리부틸주석화합물(tributyltin compound), 또는 그 중 하나를 0.1% 이상 함유한 혼합물질</v>
          </cell>
          <cell r="F78">
            <v>0.1</v>
          </cell>
          <cell r="G78" t="str">
            <v>1. 다음 각호의 1에 해당하는 용도로는 제조, 수입, 판매, 보관/저장, 운반, 사용을 금지한다.
가. 선박법 제2조의 규정에 의한 한국선박(단, 군함/경찰용선박은 제외한다) 및 어선법 제2조 규정에 의한 어선의 방오도료용
나. 해양오염방지법에 의한 해양시설과 항만법에 의한 항만시설중 일부 또는 전부가 해수와 접촉하거나 접촉할 수 있는 구조물 또는 시설물, 어망, 어구의 방오도료용
다. 산림법에 의한 목재방부처리용
라. 냉각수살균제용</v>
          </cell>
        </row>
        <row r="79">
          <cell r="B79" t="str">
            <v>50-00-0</v>
          </cell>
          <cell r="C79" t="str">
            <v>Formaldehyde</v>
          </cell>
          <cell r="D79" t="str">
            <v>06-5-5</v>
          </cell>
          <cell r="E79" t="str">
            <v>및 이를 1% 이상 함유한 혼합물질</v>
          </cell>
          <cell r="F79">
            <v>1</v>
          </cell>
          <cell r="G79" t="str">
            <v>가구용 무늬목, 직물, 3세이하 유아용제품, 도배용 풀, 피혁가공 유연제의 용도로 제조, 수입, 판매, 보관/저장, 운반, 사용을 금지</v>
          </cell>
        </row>
        <row r="80">
          <cell r="B80" t="str">
            <v>104-40-5</v>
          </cell>
          <cell r="C80" t="str">
            <v>4-Nonylphenol</v>
          </cell>
          <cell r="D80" t="str">
            <v>06-5-6</v>
          </cell>
          <cell r="E80" t="str">
            <v>노닐페놀[Nonylphenols, Nonylphenol ethoxylates] 및 이를 0.1% 이상 함유한 혼합물질</v>
          </cell>
          <cell r="F80">
            <v>0.1</v>
          </cell>
          <cell r="G80" t="str">
            <v>가정용 세척제, 잉크, 페인트의 용도로 제조, 수입, 판매, 보관/저장, 운반, 사용을 금지</v>
          </cell>
        </row>
        <row r="81">
          <cell r="B81" t="str">
            <v>136-83-4</v>
          </cell>
          <cell r="C81" t="str">
            <v>o-Nonylphenol</v>
          </cell>
          <cell r="D81" t="str">
            <v>06-5-6</v>
          </cell>
          <cell r="E81" t="str">
            <v>노닐페놀[Nonylphenols, Nonylphenol ethoxylates] 및 이를 0.1% 이상 함유한 혼합물질</v>
          </cell>
          <cell r="F81">
            <v>0.1</v>
          </cell>
          <cell r="G81" t="str">
            <v>가정용 세척제, 잉크, 페인트의 용도로 제조, 수입, 판매, 보관/저장, 운반, 사용을 금지</v>
          </cell>
        </row>
        <row r="82">
          <cell r="B82" t="str">
            <v>139-84-4</v>
          </cell>
          <cell r="C82" t="str">
            <v>m-Nonylphenol</v>
          </cell>
          <cell r="D82" t="str">
            <v>06-5-6</v>
          </cell>
          <cell r="E82" t="str">
            <v>노닐페놀[Nonylphenols, Nonylphenol ethoxylates] 및 이를 0.1% 이상 함유한 혼합물질</v>
          </cell>
          <cell r="F82">
            <v>0.1</v>
          </cell>
          <cell r="G82" t="str">
            <v>가정용 세척제, 잉크, 페인트의 용도로 제조, 수입, 판매, 보관/저장, 운반, 사용을 금지</v>
          </cell>
        </row>
        <row r="83">
          <cell r="B83" t="str">
            <v>25154-52-3</v>
          </cell>
          <cell r="C83" t="str">
            <v>Nonylphenols</v>
          </cell>
          <cell r="D83" t="str">
            <v>06-5-6</v>
          </cell>
          <cell r="E83" t="str">
            <v>노닐페놀[Nonylphenols, Nonylphenol ethoxylates] 및 이를 0.1% 이상 함유한 혼합물질</v>
          </cell>
          <cell r="F83">
            <v>0.1</v>
          </cell>
          <cell r="G83" t="str">
            <v>가정용 세척제, 잉크, 페인트의 용도로 제조, 수입, 판매, 보관/저장, 운반, 사용을 금지</v>
          </cell>
        </row>
        <row r="84">
          <cell r="B84" t="str">
            <v>84852-15-3</v>
          </cell>
          <cell r="C84" t="str">
            <v>Phenol, 4-nonyl-, branched</v>
          </cell>
          <cell r="D84" t="str">
            <v>06-5-6</v>
          </cell>
          <cell r="E84" t="str">
            <v>노닐페놀[Nonylphenols, Nonylphenol ethoxylates] 및 이를 0.1% 이상 함유한 혼합물질</v>
          </cell>
          <cell r="F84">
            <v>0.1</v>
          </cell>
          <cell r="G84" t="str">
            <v>가정용 세척제, 잉크, 페인트의 용도로 제조, 수입, 판매, 보관/저장, 운반, 사용을 금지</v>
          </cell>
        </row>
        <row r="85">
          <cell r="B85" t="str">
            <v>9016-45-9</v>
          </cell>
          <cell r="C85" t="str">
            <v>Nonylphenol ethoxylates</v>
          </cell>
          <cell r="D85" t="str">
            <v>06-5-6</v>
          </cell>
          <cell r="E85" t="str">
            <v>노닐페놀[Nonylphenols, Nonylphenol ethoxylates] 및 이를 0.1% 이상 함유한 혼합물질</v>
          </cell>
          <cell r="F85">
            <v>0.1</v>
          </cell>
          <cell r="G85" t="str">
            <v>가정용 세척제, 잉크, 페인트의 용도로 제조, 수입, 판매, 보관/저장, 운반, 사용을 금지</v>
          </cell>
        </row>
        <row r="86">
          <cell r="B86" t="str">
            <v>12001-29-5</v>
          </cell>
          <cell r="C86" t="str">
            <v>Asbestos, chrysotile</v>
          </cell>
          <cell r="D86" t="str">
            <v>06-5-7</v>
          </cell>
          <cell r="E86" t="str">
            <v>및 이를 1% 이상 함유한 혼합물질</v>
          </cell>
          <cell r="F86">
            <v>0.1</v>
          </cell>
          <cell r="G86" t="str">
            <v>석면시멘트제품(지붕/천장/벽 및 바닥재용) 및 석면마찰제품(「자동차관리법」상의 자동차용)의 용도로 제조, 수입, 판매, 보관/저장, 운반, 사용을 금지</v>
          </cell>
        </row>
        <row r="87">
          <cell r="B87" t="str">
            <v>7439-92-1</v>
          </cell>
          <cell r="C87" t="str">
            <v>Lead</v>
          </cell>
          <cell r="D87" t="str">
            <v>06-5-8</v>
          </cell>
          <cell r="E87" t="str">
            <v>및 이를 0.06% 이상 함유한 혼합물질</v>
          </cell>
          <cell r="F87">
            <v>0.06</v>
          </cell>
          <cell r="G87" t="str">
            <v>13세 이하 어린이가 장식에 사용할 용도로 고안된 장신구의 용도로 제조, 수입(장신구포함), 사용 등을 금지 13세 이하 어린이 목재장난감의 페인트 용도로 제조, 수입, 판매, 보관?저장, 운반, 사용을 금지 금속 장신구 용도로 제조, 수입, 판매, 보관?저장, 운반, 사용을 금지 【시행일 : 2011.6.1】</v>
          </cell>
        </row>
        <row r="88">
          <cell r="B88" t="str">
            <v>7440-43-9</v>
          </cell>
          <cell r="C88" t="str">
            <v>Cadmium</v>
          </cell>
          <cell r="D88" t="str">
            <v>06-5-9</v>
          </cell>
          <cell r="E88" t="str">
            <v>및 이를 0.1 % 이상 함유한 혼합물질</v>
          </cell>
          <cell r="F88">
            <v>0.1</v>
          </cell>
          <cell r="G88" t="str">
            <v>금속 장신구 용도로 제조, 수입, 판매, 보관?저장, 운반, 사용을 금지 【시행일 : 2011.6.1】</v>
          </cell>
        </row>
      </sheetData>
      <sheetData sheetId="31" refreshError="1">
        <row r="1">
          <cell r="B1" t="str">
            <v>CAS No</v>
          </cell>
          <cell r="C1" t="str">
            <v>화학물질명</v>
          </cell>
          <cell r="D1" t="str">
            <v>함량기준설명</v>
          </cell>
          <cell r="E1" t="str">
            <v>함량기준수치</v>
          </cell>
          <cell r="F1" t="str">
            <v>저장량_kg</v>
          </cell>
          <cell r="G1" t="str">
            <v>사용량_kg/yr</v>
          </cell>
          <cell r="H1" t="str">
            <v>호흡보호구</v>
          </cell>
          <cell r="I1" t="str">
            <v>보호복</v>
          </cell>
          <cell r="J1" t="str">
            <v>보호장갑</v>
          </cell>
        </row>
        <row r="2">
          <cell r="B2" t="str">
            <v>10025-87-3</v>
          </cell>
          <cell r="C2" t="str">
            <v>Phosphorus oxychloride</v>
          </cell>
          <cell r="D2" t="str">
            <v>옥시염화인 및 이를 25% 이상 함유한 혼합물질</v>
          </cell>
          <cell r="E2">
            <v>25</v>
          </cell>
          <cell r="F2">
            <v>20000</v>
          </cell>
          <cell r="G2">
            <v>750000</v>
          </cell>
          <cell r="H2" t="str">
            <v>전면형 아황산가스용 방독마스크 이상</v>
          </cell>
          <cell r="I2" t="str">
            <v>화학물질용보호복 3&amp;4 형식</v>
          </cell>
          <cell r="J2" t="str">
            <v>화학물질용 안전장갑</v>
          </cell>
        </row>
        <row r="3">
          <cell r="B3" t="str">
            <v>100-44-7</v>
          </cell>
          <cell r="C3" t="str">
            <v>Benzyl chloride</v>
          </cell>
          <cell r="D3" t="str">
            <v>염화벤질 및 이를 25% 이상 함유한 혼합물질</v>
          </cell>
          <cell r="E3">
            <v>25</v>
          </cell>
          <cell r="F3">
            <v>10000</v>
          </cell>
          <cell r="G3">
            <v>300000</v>
          </cell>
          <cell r="H3" t="str">
            <v>전면형 유기화합물용 방독마스크 이상</v>
          </cell>
          <cell r="I3" t="str">
            <v>화학물질용보호복 3&amp;4 형식</v>
          </cell>
          <cell r="J3" t="str">
            <v>화학물질용 안전장갑</v>
          </cell>
        </row>
        <row r="4">
          <cell r="B4" t="str">
            <v>10049-04-4</v>
          </cell>
          <cell r="C4" t="str">
            <v>Chlorine dioxide</v>
          </cell>
          <cell r="D4" t="str">
            <v>이산화염소 및 이를 25% 이상 함유한 혼합물질</v>
          </cell>
          <cell r="E4">
            <v>25</v>
          </cell>
          <cell r="F4">
            <v>20000</v>
          </cell>
          <cell r="G4">
            <v>150000</v>
          </cell>
          <cell r="H4" t="str">
            <v>전면형 아황산가스용 방독마스크 이상</v>
          </cell>
          <cell r="I4" t="str">
            <v>화학물질용보호복 1 형식</v>
          </cell>
          <cell r="J4" t="str">
            <v>화학물질용 안전장갑</v>
          </cell>
        </row>
        <row r="5">
          <cell r="B5" t="str">
            <v>100-97-0</v>
          </cell>
          <cell r="C5" t="str">
            <v>1,3,5,7-Tetraazatricyclo[3.3.1.13,7]decane</v>
          </cell>
          <cell r="D5" t="str">
            <v>헥사민 및 이를 25% 이상 함유한 혼합물질</v>
          </cell>
          <cell r="E5">
            <v>25</v>
          </cell>
          <cell r="F5">
            <v>30000</v>
          </cell>
          <cell r="G5">
            <v>90000</v>
          </cell>
          <cell r="H5" t="str">
            <v>전면형 특급방진마스크</v>
          </cell>
          <cell r="I5" t="str">
            <v>화학물질용보호복 5&amp;6 형식</v>
          </cell>
          <cell r="J5" t="str">
            <v>화학물질용 안전장갑</v>
          </cell>
        </row>
        <row r="6">
          <cell r="B6" t="str">
            <v>10102-43-9</v>
          </cell>
          <cell r="C6" t="str">
            <v>Nitric oxide</v>
          </cell>
          <cell r="D6" t="str">
            <v>산화질소 및 이를 1% 이상 함유한 혼합물질</v>
          </cell>
          <cell r="E6">
            <v>1</v>
          </cell>
          <cell r="F6">
            <v>750</v>
          </cell>
          <cell r="G6">
            <v>75000</v>
          </cell>
          <cell r="H6" t="str">
            <v>전면형 송기마스크 이상</v>
          </cell>
          <cell r="I6" t="str">
            <v>화학물질용보호복 1 형식</v>
          </cell>
          <cell r="J6" t="str">
            <v>화학물질용 안전장갑</v>
          </cell>
        </row>
        <row r="7">
          <cell r="B7" t="str">
            <v>107-02-8</v>
          </cell>
          <cell r="C7" t="str">
            <v>Acrolein</v>
          </cell>
          <cell r="D7" t="str">
            <v>아크롤레인 및 이를 1.0% 이상 함유한 혼합물질</v>
          </cell>
          <cell r="E7">
            <v>1</v>
          </cell>
          <cell r="F7">
            <v>10000</v>
          </cell>
          <cell r="G7">
            <v>300000</v>
          </cell>
          <cell r="H7" t="str">
            <v>전면형 유기화합물용 방독마스크 이상</v>
          </cell>
          <cell r="I7" t="str">
            <v>화학물질용보호복 3&amp;4 형식</v>
          </cell>
          <cell r="J7" t="str">
            <v>화학물질용 안전장갑</v>
          </cell>
        </row>
        <row r="8">
          <cell r="B8" t="str">
            <v>107-05-1</v>
          </cell>
          <cell r="C8" t="str">
            <v>3-Chloropropene</v>
          </cell>
          <cell r="D8" t="str">
            <v>알릴클로라이드 및 이를 25% 이상 함유한 혼합물질</v>
          </cell>
          <cell r="E8">
            <v>25</v>
          </cell>
          <cell r="F8">
            <v>10000</v>
          </cell>
          <cell r="G8">
            <v>300000</v>
          </cell>
          <cell r="H8" t="str">
            <v>전면형 유기화합물용 방독마스크 이상</v>
          </cell>
          <cell r="I8" t="str">
            <v>화학물질용보호복 3&amp;4 형식</v>
          </cell>
          <cell r="J8" t="str">
            <v>화학물질용 안전장갑</v>
          </cell>
        </row>
        <row r="9">
          <cell r="B9" t="str">
            <v>107-13-1</v>
          </cell>
          <cell r="C9" t="str">
            <v>Acrylonitrile</v>
          </cell>
          <cell r="D9" t="str">
            <v>아크릴로니트릴 및 이를 0.1% 이상 함유한 혼합물질</v>
          </cell>
          <cell r="E9">
            <v>0.1</v>
          </cell>
          <cell r="F9">
            <v>10000</v>
          </cell>
          <cell r="G9">
            <v>1500000</v>
          </cell>
          <cell r="H9" t="str">
            <v>전면형 유기화합물용 방독마스크 이상</v>
          </cell>
          <cell r="I9" t="str">
            <v>화학물질용보호복 3&amp;4 형식</v>
          </cell>
          <cell r="J9" t="str">
            <v>화학물질용 안전장갑</v>
          </cell>
        </row>
        <row r="10">
          <cell r="B10" t="str">
            <v>107-15-3</v>
          </cell>
          <cell r="C10" t="str">
            <v>Ethylenediamine</v>
          </cell>
          <cell r="D10" t="str">
            <v>에틸렌디아민 및 이를 25% 이상 함유한 혼합물질</v>
          </cell>
          <cell r="E10">
            <v>25</v>
          </cell>
          <cell r="F10">
            <v>10000</v>
          </cell>
          <cell r="G10">
            <v>300000</v>
          </cell>
          <cell r="H10" t="str">
            <v>전면형 유기화합물용 방독마스크 이상</v>
          </cell>
          <cell r="I10" t="str">
            <v>화학물질용보호복 3&amp;4 형식</v>
          </cell>
          <cell r="J10" t="str">
            <v>화학물질용 안전장갑</v>
          </cell>
        </row>
        <row r="11">
          <cell r="B11" t="str">
            <v>107-18-6</v>
          </cell>
          <cell r="C11" t="str">
            <v>Allyl alcohol</v>
          </cell>
          <cell r="D11" t="str">
            <v>알릴알코올 및 이를 25% 이상 함유한 혼합물질</v>
          </cell>
          <cell r="E11">
            <v>25</v>
          </cell>
          <cell r="F11">
            <v>20000</v>
          </cell>
          <cell r="G11">
            <v>1500000</v>
          </cell>
          <cell r="H11" t="str">
            <v>전면형 유기화합물용 방독마스크 이상</v>
          </cell>
          <cell r="I11" t="str">
            <v>화학물질용보호복 3&amp;4 형식</v>
          </cell>
          <cell r="J11" t="str">
            <v>화학물질용 안전장갑</v>
          </cell>
        </row>
        <row r="12">
          <cell r="B12" t="str">
            <v>107-44-8</v>
          </cell>
          <cell r="C12" t="str">
            <v>Sarin</v>
          </cell>
          <cell r="D12" t="str">
            <v>사린 및 이를 1% 이상 함유한 혼합물질</v>
          </cell>
          <cell r="E12">
            <v>1</v>
          </cell>
          <cell r="F12">
            <v>500</v>
          </cell>
          <cell r="G12">
            <v>15000</v>
          </cell>
          <cell r="H12" t="str">
            <v>전면형 송기마스크 이상</v>
          </cell>
          <cell r="I12" t="str">
            <v>화학물질용보호복 1 형식</v>
          </cell>
          <cell r="J12" t="str">
            <v>화학물질용 안전장갑</v>
          </cell>
        </row>
        <row r="13">
          <cell r="B13" t="str">
            <v>108-39-4</v>
          </cell>
          <cell r="C13" t="str">
            <v>m-Cresol</v>
          </cell>
          <cell r="D13" t="str">
            <v>메타-크레졸 및 이를 5% 이상 함유한 혼합물질</v>
          </cell>
          <cell r="E13">
            <v>5</v>
          </cell>
          <cell r="F13">
            <v>20000</v>
          </cell>
          <cell r="G13">
            <v>1500000</v>
          </cell>
          <cell r="H13" t="str">
            <v>전면형 유기화합물용 방독/</v>
          </cell>
          <cell r="I13" t="str">
            <v>화학물질용보호복 3&amp;4 형식</v>
          </cell>
          <cell r="J13" t="str">
            <v>화학물질용 안전장갑</v>
          </cell>
        </row>
        <row r="14">
          <cell r="B14" t="str">
            <v>108-88-3</v>
          </cell>
          <cell r="C14" t="str">
            <v>Toluene</v>
          </cell>
          <cell r="D14" t="str">
            <v>톨루엔 및 이를 85% 이상 함유한 혼합물질</v>
          </cell>
          <cell r="E14">
            <v>85</v>
          </cell>
          <cell r="F14">
            <v>200000</v>
          </cell>
          <cell r="G14">
            <v>1500000</v>
          </cell>
          <cell r="H14" t="str">
            <v>전면형 유기화합물용 방독마스크 이상</v>
          </cell>
          <cell r="I14" t="str">
            <v>화학물질용보호복 3&amp;4 형식</v>
          </cell>
          <cell r="J14" t="str">
            <v>화학물질용 안전장갑</v>
          </cell>
        </row>
        <row r="15">
          <cell r="B15" t="str">
            <v>108-95-2</v>
          </cell>
          <cell r="C15" t="str">
            <v>Phenol</v>
          </cell>
          <cell r="D15" t="str">
            <v>페놀 및 이를 5% 이상 함유한 혼합물질</v>
          </cell>
          <cell r="E15">
            <v>5</v>
          </cell>
          <cell r="F15">
            <v>20000</v>
          </cell>
          <cell r="G15">
            <v>1500000</v>
          </cell>
          <cell r="H15" t="str">
            <v>전면형 유기화합물용 방독/</v>
          </cell>
          <cell r="I15" t="str">
            <v>화학물질용보호복 3&amp;4 형식</v>
          </cell>
          <cell r="J15" t="str">
            <v>화학물질용 안전장갑</v>
          </cell>
        </row>
        <row r="16">
          <cell r="B16" t="str">
            <v>109-73-9</v>
          </cell>
          <cell r="C16" t="str">
            <v>n-Butylamine</v>
          </cell>
          <cell r="D16" t="str">
            <v>노말-부틸아민 및 이를 25% 이상 함유한 혼합물질</v>
          </cell>
          <cell r="E16">
            <v>25</v>
          </cell>
          <cell r="F16">
            <v>200000</v>
          </cell>
          <cell r="G16">
            <v>1500000</v>
          </cell>
          <cell r="H16" t="str">
            <v>전면형 암모니아용 방독마스크 이상</v>
          </cell>
          <cell r="I16" t="str">
            <v>화학물질용보호복 3&amp;4 형식</v>
          </cell>
          <cell r="J16" t="str">
            <v>화학물질용 안전장갑</v>
          </cell>
        </row>
        <row r="17">
          <cell r="B17" t="str">
            <v>121-44-8</v>
          </cell>
          <cell r="C17" t="str">
            <v>Triethylamine</v>
          </cell>
          <cell r="D17" t="str">
            <v>트리에틸아민 및 이를 25% 이상 함유한 혼합물질</v>
          </cell>
          <cell r="E17">
            <v>25</v>
          </cell>
          <cell r="F17">
            <v>10000</v>
          </cell>
          <cell r="G17">
            <v>300000</v>
          </cell>
          <cell r="H17" t="str">
            <v>전면형 암모니아용 방독마스크 이상</v>
          </cell>
          <cell r="I17" t="str">
            <v>화학물질용보호복 3&amp;4 형식</v>
          </cell>
          <cell r="J17" t="str">
            <v>화학물질용 안전장갑</v>
          </cell>
        </row>
        <row r="18">
          <cell r="B18" t="str">
            <v>1314-84-7</v>
          </cell>
          <cell r="C18" t="str">
            <v>Zinc phosphide</v>
          </cell>
          <cell r="D18" t="str">
            <v>인화아연 및 이를 1% 이상 함유한 혼합물질</v>
          </cell>
          <cell r="E18">
            <v>1</v>
          </cell>
          <cell r="F18">
            <v>10000</v>
          </cell>
          <cell r="G18">
            <v>300000</v>
          </cell>
          <cell r="H18" t="str">
            <v>전면형 특급방진마스크 이상</v>
          </cell>
          <cell r="I18" t="str">
            <v>화학물질용보호복</v>
          </cell>
          <cell r="J18" t="str">
            <v>화학물질용 안전장갑</v>
          </cell>
        </row>
        <row r="19">
          <cell r="B19" t="str">
            <v>1338-23-4</v>
          </cell>
          <cell r="C19" t="str">
            <v>Methyl ethyl ketone peroxide</v>
          </cell>
          <cell r="D19" t="str">
            <v>메틸에틸케톤과산화물 및 이를 25% 이상 함유한 혼합물질</v>
          </cell>
          <cell r="E19">
            <v>25</v>
          </cell>
          <cell r="F19">
            <v>10000</v>
          </cell>
          <cell r="G19">
            <v>750000</v>
          </cell>
          <cell r="H19" t="str">
            <v>전면형 유기화합물용 방독마스크 이상</v>
          </cell>
          <cell r="I19" t="str">
            <v>화학물질용보호복 3&amp;4 형식</v>
          </cell>
          <cell r="J19" t="str">
            <v>화학물질용 안전장갑</v>
          </cell>
        </row>
        <row r="20">
          <cell r="B20" t="str">
            <v>141-78-6</v>
          </cell>
          <cell r="C20" t="str">
            <v>Ethyl acetate</v>
          </cell>
          <cell r="D20" t="str">
            <v>아세트산에틸 및 이를 25% 이상 함유한 혼합물질</v>
          </cell>
          <cell r="E20">
            <v>25</v>
          </cell>
          <cell r="F20">
            <v>20000</v>
          </cell>
          <cell r="G20">
            <v>1500000</v>
          </cell>
          <cell r="H20" t="str">
            <v>전면형 유기화합물용 방독마스크 이상</v>
          </cell>
          <cell r="I20" t="str">
            <v>화학물질용보호복 3&amp;4 형식</v>
          </cell>
          <cell r="J20" t="str">
            <v>화학물질용 안전장갑</v>
          </cell>
        </row>
        <row r="21">
          <cell r="B21" t="str">
            <v>143-33-9</v>
          </cell>
          <cell r="C21" t="str">
            <v>Sodium cyanide</v>
          </cell>
          <cell r="D21" t="str">
            <v>시안화나트륨 및 이를 1% 이상 함유한 혼합물질. 다만, 베를린청(Ferricferrocyanide)·황혈염(Potassiumferrocyanide)·적혈염(Potassiumferri-cyanide) 및 그 중 하나를 함유한 혼합물질은 제외</v>
          </cell>
          <cell r="E21">
            <v>1</v>
          </cell>
          <cell r="F21">
            <v>10000</v>
          </cell>
          <cell r="G21">
            <v>300000</v>
          </cell>
          <cell r="H21" t="str">
            <v>전면형 송기마스크 이상</v>
          </cell>
          <cell r="I21" t="str">
            <v>화학물질용보호복 3&amp;4 형식</v>
          </cell>
          <cell r="J21" t="str">
            <v>화학물질용 안전장갑</v>
          </cell>
        </row>
        <row r="22">
          <cell r="B22" t="str">
            <v>151-56-4</v>
          </cell>
          <cell r="C22" t="str">
            <v>Ethyleneimine</v>
          </cell>
          <cell r="D22" t="str">
            <v xml:space="preserve"> 에틸렌이민 및 이를 25% 이상 함유한 혼합물질</v>
          </cell>
          <cell r="E22">
            <v>25</v>
          </cell>
          <cell r="F22">
            <v>20000</v>
          </cell>
          <cell r="G22">
            <v>1500000</v>
          </cell>
          <cell r="H22" t="str">
            <v>전면형 복합가스용 방독마스크 이상 (유기화합물용+암모니아용)</v>
          </cell>
          <cell r="I22" t="str">
            <v>화학물질용보호복 3&amp;4 형식</v>
          </cell>
          <cell r="J22" t="str">
            <v>화학물질용 안전장갑</v>
          </cell>
        </row>
        <row r="23">
          <cell r="B23" t="str">
            <v>19287-45-7</v>
          </cell>
          <cell r="C23" t="str">
            <v>Diborane</v>
          </cell>
          <cell r="D23" t="str">
            <v>디보란 및 이를 25% 이상 함유한 혼합물질</v>
          </cell>
          <cell r="E23">
            <v>25</v>
          </cell>
          <cell r="F23">
            <v>750</v>
          </cell>
          <cell r="G23">
            <v>750000</v>
          </cell>
          <cell r="H23" t="str">
            <v>전면형 송기마스크 이상</v>
          </cell>
          <cell r="I23" t="str">
            <v>화학물질용보호복 1 형식</v>
          </cell>
          <cell r="J23" t="str">
            <v>화학물질용 안전장갑</v>
          </cell>
        </row>
        <row r="24">
          <cell r="B24" t="str">
            <v>3811-04-9</v>
          </cell>
          <cell r="C24" t="str">
            <v>Potassium chlorate</v>
          </cell>
          <cell r="D24" t="str">
            <v>염소산칼륨 및 이를 98% 이상 함유한 혼합물질</v>
          </cell>
          <cell r="E24">
            <v>98</v>
          </cell>
          <cell r="F24">
            <v>5000</v>
          </cell>
          <cell r="G24">
            <v>15000</v>
          </cell>
          <cell r="H24" t="str">
            <v>전면형 특급방진마스크</v>
          </cell>
          <cell r="I24" t="str">
            <v>화학물질용보호복 5&amp;6 형식</v>
          </cell>
          <cell r="J24" t="str">
            <v>화학물질용 안전장갑</v>
          </cell>
        </row>
        <row r="25">
          <cell r="B25" t="str">
            <v>4098-71-9</v>
          </cell>
          <cell r="C25" t="str">
            <v>Isophorone diisocyanate</v>
          </cell>
          <cell r="D25" t="str">
            <v>디이소시안산이소포론 및 이를 25% 이상 함유한 혼합물질</v>
          </cell>
          <cell r="E25">
            <v>25</v>
          </cell>
          <cell r="F25">
            <v>10000</v>
          </cell>
          <cell r="G25">
            <v>300000</v>
          </cell>
          <cell r="H25" t="str">
            <v>전면형 유기화합물용 방독/1급 이상 방진 겸용 마스크</v>
          </cell>
          <cell r="I25" t="str">
            <v>화학물질용보호복 3&amp;4 형식</v>
          </cell>
          <cell r="J25" t="str">
            <v>화학물질용 안전장갑</v>
          </cell>
        </row>
        <row r="26">
          <cell r="B26" t="str">
            <v>50-00-0</v>
          </cell>
          <cell r="C26" t="str">
            <v>Formaldehyde</v>
          </cell>
          <cell r="D26" t="str">
            <v>포름알데하이드 및 이를 1% 이상 함유한 혼합물질</v>
          </cell>
          <cell r="E26">
            <v>1</v>
          </cell>
          <cell r="F26">
            <v>200000</v>
          </cell>
          <cell r="G26">
            <v>1500000</v>
          </cell>
          <cell r="H26" t="str">
            <v>전면형 유기화합물용 방독마스크 이상</v>
          </cell>
          <cell r="I26" t="str">
            <v>화학물질용보호복 3&amp;4 형식</v>
          </cell>
          <cell r="J26" t="str">
            <v>화학물질용 안전장갑</v>
          </cell>
        </row>
        <row r="27">
          <cell r="B27" t="str">
            <v>506-77-4</v>
          </cell>
          <cell r="C27" t="str">
            <v>Cyanogen chloride</v>
          </cell>
          <cell r="D27" t="str">
            <v>염화시 안 및 이를 1% 이상 함유한 혼합물질</v>
          </cell>
          <cell r="E27">
            <v>1</v>
          </cell>
          <cell r="F27">
            <v>750</v>
          </cell>
          <cell r="G27">
            <v>75000</v>
          </cell>
          <cell r="H27" t="str">
            <v>전면형 송기마스크 이상</v>
          </cell>
          <cell r="I27" t="str">
            <v>화학물질용보호복 1 형식</v>
          </cell>
          <cell r="J27" t="str">
            <v>화학물질용 안전장갑</v>
          </cell>
        </row>
        <row r="28">
          <cell r="B28" t="str">
            <v>584-84-9</v>
          </cell>
          <cell r="C28" t="str">
            <v>Toluene-2,4-diisocyanate</v>
          </cell>
          <cell r="D28" t="str">
            <v>톨루엔-2,4-디이소시아네이트 및 이를 25% 이상 함유한 혼합물질</v>
          </cell>
          <cell r="E28">
            <v>25</v>
          </cell>
          <cell r="F28">
            <v>20000</v>
          </cell>
          <cell r="G28">
            <v>1500000</v>
          </cell>
          <cell r="H28" t="str">
            <v>전면형 유기화합물용 방독/1급 이상 방진 겸용 마스크</v>
          </cell>
          <cell r="I28" t="str">
            <v>화학물질용보호복 3&amp;4 형식</v>
          </cell>
          <cell r="J28" t="str">
            <v>화학물질용 안전장갑</v>
          </cell>
        </row>
        <row r="29">
          <cell r="B29" t="str">
            <v>60-34-4</v>
          </cell>
          <cell r="C29" t="str">
            <v>Methylhydrazine</v>
          </cell>
          <cell r="D29" t="str">
            <v>메틸하이드라진 및 이를 1% 이상 함유한 혼합물질</v>
          </cell>
          <cell r="E29">
            <v>1</v>
          </cell>
          <cell r="F29">
            <v>10000</v>
          </cell>
          <cell r="G29">
            <v>300000</v>
          </cell>
          <cell r="H29" t="str">
            <v>전면형 송기마스크 이상</v>
          </cell>
          <cell r="I29" t="str">
            <v>화학물질용보호복 3&amp;4 형식</v>
          </cell>
          <cell r="J29" t="str">
            <v>화학물질용 안전장갑</v>
          </cell>
        </row>
        <row r="30">
          <cell r="B30" t="str">
            <v>630-08-0</v>
          </cell>
          <cell r="C30" t="str">
            <v>Carbon monoxide</v>
          </cell>
          <cell r="D30" t="str">
            <v>일산화탄소 및 이를 25% 이상 함유한 혼합물질</v>
          </cell>
          <cell r="E30">
            <v>25</v>
          </cell>
          <cell r="F30">
            <v>10000</v>
          </cell>
          <cell r="G30">
            <v>300000</v>
          </cell>
          <cell r="H30" t="str">
            <v>전면형 송기마스크 이상</v>
          </cell>
          <cell r="I30" t="str">
            <v>화학물질용보호복 1 형식</v>
          </cell>
          <cell r="J30" t="str">
            <v>화학물질용 안전장갑</v>
          </cell>
        </row>
        <row r="31">
          <cell r="B31" t="str">
            <v>64-18-6</v>
          </cell>
          <cell r="C31" t="str">
            <v>Formic acid</v>
          </cell>
          <cell r="D31" t="str">
            <v>포름산 및 이를 25% 이상 함유한 혼합물질</v>
          </cell>
          <cell r="E31">
            <v>25</v>
          </cell>
          <cell r="F31">
            <v>20000</v>
          </cell>
          <cell r="G31">
            <v>1500000</v>
          </cell>
          <cell r="H31" t="str">
            <v>전면형 유기화합물용 방독마스크 이상</v>
          </cell>
          <cell r="I31" t="str">
            <v>화학물질용보호복 3&amp;4 형식</v>
          </cell>
          <cell r="J31" t="str">
            <v>화학물질용 안전장갑</v>
          </cell>
        </row>
        <row r="32">
          <cell r="B32" t="str">
            <v>6484-52-2</v>
          </cell>
          <cell r="C32" t="str">
            <v>Ammonium nitrate</v>
          </cell>
          <cell r="D32" t="str">
            <v>질산암모늄 및 이를 33% 이상 함유한 혼합물질</v>
          </cell>
          <cell r="E32">
            <v>33</v>
          </cell>
          <cell r="F32">
            <v>30000</v>
          </cell>
          <cell r="G32">
            <v>90000</v>
          </cell>
          <cell r="H32" t="str">
            <v>전면형 특급방진마스크</v>
          </cell>
          <cell r="I32" t="str">
            <v>화학물질용보호복 5&amp;6 형식</v>
          </cell>
          <cell r="J32" t="str">
            <v>화학물질용 안전장갑</v>
          </cell>
        </row>
        <row r="33">
          <cell r="B33" t="str">
            <v>67-56-1</v>
          </cell>
          <cell r="C33" t="str">
            <v>Methyl alcohol</v>
          </cell>
          <cell r="D33" t="str">
            <v>메탄올 및 이를 85% 이상 함유한 혼합물질</v>
          </cell>
          <cell r="E33">
            <v>85</v>
          </cell>
          <cell r="F33">
            <v>200000</v>
          </cell>
          <cell r="G33">
            <v>1500000</v>
          </cell>
          <cell r="H33" t="str">
            <v>전면형 송기마스크 이상</v>
          </cell>
          <cell r="I33" t="str">
            <v>화학물질용보호복 3&amp;4 형식</v>
          </cell>
          <cell r="J33" t="str">
            <v>화학물질용 안전장갑</v>
          </cell>
        </row>
        <row r="34">
          <cell r="B34" t="str">
            <v>71-43-2</v>
          </cell>
          <cell r="C34" t="str">
            <v>Benzene</v>
          </cell>
          <cell r="D34" t="str">
            <v>벤젠 및 이를 85% 이상 함유한 혼합물질</v>
          </cell>
          <cell r="E34">
            <v>85</v>
          </cell>
          <cell r="F34">
            <v>10000</v>
          </cell>
          <cell r="G34">
            <v>1500000</v>
          </cell>
          <cell r="H34" t="str">
            <v>전면형 유기화합물용 방독마스크 이상</v>
          </cell>
          <cell r="I34" t="str">
            <v>화학물질용보호복 3&amp;4 형식</v>
          </cell>
          <cell r="J34" t="str">
            <v>화학물질용 안전장갑</v>
          </cell>
        </row>
        <row r="35">
          <cell r="B35" t="str">
            <v>7440-23-5</v>
          </cell>
          <cell r="C35" t="str">
            <v>Sodium</v>
          </cell>
          <cell r="D35" t="str">
            <v>나트륨 및 이를 25% 이상 함유한 혼합물질</v>
          </cell>
          <cell r="E35">
            <v>25</v>
          </cell>
          <cell r="F35">
            <v>1000</v>
          </cell>
          <cell r="G35">
            <v>30000</v>
          </cell>
          <cell r="H35" t="str">
            <v>전면형 특급 방진마스크 이상</v>
          </cell>
          <cell r="I35" t="str">
            <v>화학물질용보호복 3&amp;4 형식</v>
          </cell>
          <cell r="J35" t="str">
            <v>화학물질용 안전장갑</v>
          </cell>
        </row>
        <row r="36">
          <cell r="B36" t="str">
            <v>74-87-3</v>
          </cell>
          <cell r="C36" t="str">
            <v>Methyl chloride</v>
          </cell>
          <cell r="D36" t="str">
            <v>염화메틸 및 이를 1% 이상 함유한 혼합물질</v>
          </cell>
          <cell r="E36">
            <v>1</v>
          </cell>
          <cell r="F36">
            <v>10000</v>
          </cell>
          <cell r="G36">
            <v>300000</v>
          </cell>
          <cell r="H36" t="str">
            <v>전면형 송기마스크 이상</v>
          </cell>
          <cell r="I36" t="str">
            <v>화학물질용보호복 3&amp;4 형식</v>
          </cell>
          <cell r="J36" t="str">
            <v>화학물질용 안전장갑</v>
          </cell>
        </row>
        <row r="37">
          <cell r="B37" t="str">
            <v>74-89-5</v>
          </cell>
          <cell r="C37" t="str">
            <v>Methylamine</v>
          </cell>
          <cell r="D37" t="str">
            <v>메틸아민 및 이를 25% 이상 함유한 혼합물질</v>
          </cell>
          <cell r="E37">
            <v>25</v>
          </cell>
          <cell r="F37">
            <v>10000</v>
          </cell>
          <cell r="G37">
            <v>300000</v>
          </cell>
          <cell r="H37" t="str">
            <v>전면형 암모니아용 방독마스크 이상</v>
          </cell>
          <cell r="I37" t="str">
            <v>화학물질용보호복 3&amp;4 형식</v>
          </cell>
          <cell r="J37" t="str">
            <v>화학물질용 안전장갑</v>
          </cell>
        </row>
        <row r="38">
          <cell r="B38" t="str">
            <v>74-90-8</v>
          </cell>
          <cell r="C38" t="str">
            <v>Hydrogen cyanide</v>
          </cell>
          <cell r="D38" t="str">
            <v>시안화수소 및 이를 1% 이상 함유한 혼합물질</v>
          </cell>
          <cell r="E38">
            <v>1</v>
          </cell>
          <cell r="F38">
            <v>1500</v>
          </cell>
          <cell r="G38">
            <v>300000</v>
          </cell>
          <cell r="H38" t="str">
            <v>전면형 송기마스크 이상</v>
          </cell>
          <cell r="I38" t="str">
            <v>화학물질용보호복 3&amp;4 형식</v>
          </cell>
          <cell r="J38" t="str">
            <v>화학물질용 안전장갑</v>
          </cell>
        </row>
        <row r="39">
          <cell r="B39" t="str">
            <v>75-01-4</v>
          </cell>
          <cell r="C39" t="str">
            <v>Vinyl chloride</v>
          </cell>
          <cell r="D39" t="str">
            <v>염화비닐 및 이를 0.1% 이상 함유한 혼합물질</v>
          </cell>
          <cell r="E39">
            <v>0.1</v>
          </cell>
          <cell r="F39">
            <v>200000</v>
          </cell>
          <cell r="G39">
            <v>1500000</v>
          </cell>
          <cell r="H39" t="str">
            <v>전면형 유기화합물용 방독마스크 이상</v>
          </cell>
          <cell r="I39" t="str">
            <v>화학물질용보호복 3&amp;4 형식</v>
          </cell>
          <cell r="J39" t="str">
            <v>화학물질용 안전장갑</v>
          </cell>
        </row>
        <row r="40">
          <cell r="B40" t="str">
            <v>75-15-0</v>
          </cell>
          <cell r="C40" t="str">
            <v>Carbon disulfide</v>
          </cell>
          <cell r="D40" t="str">
            <v>이황화탄소 및 이를 0.1% 이상 함유한 혼합물질</v>
          </cell>
          <cell r="E40">
            <v>0.1</v>
          </cell>
          <cell r="F40">
            <v>10000</v>
          </cell>
          <cell r="G40">
            <v>300000</v>
          </cell>
          <cell r="H40" t="str">
            <v>전면형 유기화합물용 방독마스크 이상</v>
          </cell>
          <cell r="I40" t="str">
            <v>화학물질용보호복 1 형식</v>
          </cell>
          <cell r="J40" t="str">
            <v>화학물질용 안전장갑</v>
          </cell>
        </row>
        <row r="41">
          <cell r="B41" t="str">
            <v>75-21-8</v>
          </cell>
          <cell r="C41" t="str">
            <v>Ethylene oxide</v>
          </cell>
          <cell r="D41" t="str">
            <v>산화에틸렌 및 이를 0.1% 이상 함유한 혼합물질</v>
          </cell>
          <cell r="E41">
            <v>0.1</v>
          </cell>
          <cell r="F41">
            <v>10000</v>
          </cell>
          <cell r="G41">
            <v>1500000</v>
          </cell>
          <cell r="H41" t="str">
            <v>전면형 유기화합물용 방독마스크 이상</v>
          </cell>
          <cell r="I41" t="str">
            <v>화학물질용보호복 3&amp;4 형식</v>
          </cell>
          <cell r="J41" t="str">
            <v>화학물질용 안전장갑</v>
          </cell>
        </row>
        <row r="42">
          <cell r="B42" t="str">
            <v>75-44-5</v>
          </cell>
          <cell r="C42" t="str">
            <v>Phosgene</v>
          </cell>
          <cell r="D42" t="str">
            <v>포스겐 및 이를 1% 이상 함유한 혼합물질</v>
          </cell>
          <cell r="E42">
            <v>1</v>
          </cell>
          <cell r="F42">
            <v>750</v>
          </cell>
          <cell r="G42">
            <v>75000</v>
          </cell>
          <cell r="H42" t="str">
            <v>전면형 송기마스크 이상</v>
          </cell>
          <cell r="I42" t="str">
            <v>화학물질용보호복 3&amp;4 형식</v>
          </cell>
          <cell r="J42" t="str">
            <v>화학물질용 안전장갑</v>
          </cell>
        </row>
        <row r="43">
          <cell r="B43" t="str">
            <v>75-50-3</v>
          </cell>
          <cell r="C43" t="str">
            <v>Trimethylamine</v>
          </cell>
          <cell r="D43" t="str">
            <v>트리메틸아민 및 이를 25% 이상 함유한 혼합물질</v>
          </cell>
          <cell r="E43">
            <v>25</v>
          </cell>
          <cell r="F43">
            <v>10000</v>
          </cell>
          <cell r="G43">
            <v>300000</v>
          </cell>
          <cell r="H43" t="str">
            <v>전면형 암모니아용 방독마스크 이상</v>
          </cell>
          <cell r="I43" t="str">
            <v>화학물질용보호복 3&amp;4 형식</v>
          </cell>
          <cell r="J43" t="str">
            <v>화학물질용 안전장갑</v>
          </cell>
        </row>
        <row r="44">
          <cell r="B44" t="str">
            <v>75-52-5</v>
          </cell>
          <cell r="C44" t="str">
            <v>Nitromethane</v>
          </cell>
          <cell r="D44" t="str">
            <v>니트로메탄 및 이를 25% 이상 함유한 혼합물질</v>
          </cell>
          <cell r="E44">
            <v>25</v>
          </cell>
          <cell r="F44">
            <v>20000</v>
          </cell>
          <cell r="G44">
            <v>60000</v>
          </cell>
          <cell r="H44" t="str">
            <v>전면형 유기화합물용 방독마스크 이상</v>
          </cell>
          <cell r="I44" t="str">
            <v>화학물질용보호복 3&amp;4 형식</v>
          </cell>
          <cell r="J44" t="str">
            <v>화학물질용 안전장갑</v>
          </cell>
        </row>
        <row r="45">
          <cell r="B45" t="str">
            <v>75-56-9</v>
          </cell>
          <cell r="C45" t="str">
            <v>Propylene oxide</v>
          </cell>
          <cell r="D45" t="str">
            <v>산화프로필렌 및 이를 0.1% 이상 함유한 혼합물질</v>
          </cell>
          <cell r="E45">
            <v>0.1</v>
          </cell>
          <cell r="F45">
            <v>10000</v>
          </cell>
          <cell r="G45">
            <v>1500000</v>
          </cell>
          <cell r="H45" t="str">
            <v>전면형 유기화합물용 방독마스크 이상</v>
          </cell>
          <cell r="I45" t="str">
            <v>화학물질용보호복 1 형식</v>
          </cell>
          <cell r="J45" t="str">
            <v>화학물질용 안전장갑</v>
          </cell>
        </row>
        <row r="46">
          <cell r="B46" t="str">
            <v>7631-99-4</v>
          </cell>
          <cell r="C46" t="str">
            <v>Sodium nitrate</v>
          </cell>
          <cell r="D46" t="str">
            <v>질산나트륨 및 이를 98% 이상 함유한 혼합물질</v>
          </cell>
          <cell r="E46">
            <v>98</v>
          </cell>
          <cell r="F46">
            <v>30000</v>
          </cell>
          <cell r="G46">
            <v>90000</v>
          </cell>
          <cell r="H46" t="str">
            <v>전면형 특급방진마스크</v>
          </cell>
          <cell r="I46" t="str">
            <v>화학물질용보호복 5&amp;6 형식</v>
          </cell>
          <cell r="J46" t="str">
            <v>화학물질용 안전장갑</v>
          </cell>
        </row>
        <row r="47">
          <cell r="B47" t="str">
            <v>7647-01-0</v>
          </cell>
          <cell r="C47" t="str">
            <v>Hydrogen chloride</v>
          </cell>
          <cell r="D47" t="str">
            <v>염화수소 및 이를 10% 이상 함유한 혼합물질</v>
          </cell>
          <cell r="E47">
            <v>10</v>
          </cell>
          <cell r="F47">
            <v>20000</v>
          </cell>
          <cell r="G47">
            <v>1500000</v>
          </cell>
          <cell r="H47" t="str">
            <v>전면형 아황산가스용 방독마스크 이상</v>
          </cell>
          <cell r="I47" t="str">
            <v>화학물질용보호복 3&amp;4 형식</v>
          </cell>
          <cell r="J47" t="str">
            <v>화학물질용 안전장갑</v>
          </cell>
        </row>
        <row r="48">
          <cell r="B48" t="str">
            <v>7664-39-3</v>
          </cell>
          <cell r="C48" t="str">
            <v>Hydrofluoric acid</v>
          </cell>
          <cell r="D48" t="str">
            <v>플루오르화수소 및 이를 1% 이상 함유한 혼합물질</v>
          </cell>
          <cell r="E48">
            <v>1</v>
          </cell>
          <cell r="F48">
            <v>1000</v>
          </cell>
          <cell r="G48">
            <v>150000</v>
          </cell>
          <cell r="H48" t="str">
            <v>전면형 아황산가스용 방독마스크 이상</v>
          </cell>
          <cell r="I48" t="str">
            <v>화학물질용보호복 3&amp;4 형식</v>
          </cell>
          <cell r="J48" t="str">
            <v>화학물질용 안전장갑</v>
          </cell>
        </row>
        <row r="49">
          <cell r="B49" t="str">
            <v>7664-41-7</v>
          </cell>
          <cell r="C49" t="str">
            <v>Ammonia</v>
          </cell>
          <cell r="D49" t="str">
            <v>암모니아 및 이를 10% 이상 함유한 혼합물질</v>
          </cell>
          <cell r="E49">
            <v>10</v>
          </cell>
          <cell r="F49">
            <v>20000</v>
          </cell>
          <cell r="G49">
            <v>1500000</v>
          </cell>
          <cell r="H49" t="str">
            <v>전면형 암모니아용 방독마스크 이상</v>
          </cell>
          <cell r="I49" t="str">
            <v>화학물질용보호복 3&amp;4 형식</v>
          </cell>
          <cell r="J49" t="str">
            <v>화학물질용 안전장갑</v>
          </cell>
        </row>
        <row r="50">
          <cell r="B50" t="str">
            <v>7664-93-9</v>
          </cell>
          <cell r="C50" t="str">
            <v>Sulfuric acid</v>
          </cell>
          <cell r="D50" t="str">
            <v>황산 및 이를 10% 이상 함유한 혼합물질</v>
          </cell>
          <cell r="E50">
            <v>10</v>
          </cell>
          <cell r="F50">
            <v>20000</v>
          </cell>
          <cell r="G50">
            <v>1500000</v>
          </cell>
          <cell r="H50" t="str">
            <v>전면형 아황산가스용 방독/1급 이상 방진 겸용 마스크</v>
          </cell>
          <cell r="I50" t="str">
            <v>화학물질용보호복 3&amp;4 형식</v>
          </cell>
          <cell r="J50" t="str">
            <v>화학물질용 안전장갑</v>
          </cell>
        </row>
        <row r="51">
          <cell r="B51" t="str">
            <v>7697-37-2</v>
          </cell>
          <cell r="C51" t="str">
            <v>Nitric acid</v>
          </cell>
          <cell r="D51" t="str">
            <v>질산 및 이를 10% 이상 함유한 혼합물질</v>
          </cell>
          <cell r="E51">
            <v>10</v>
          </cell>
          <cell r="F51">
            <v>300000</v>
          </cell>
          <cell r="G51">
            <v>2250000</v>
          </cell>
          <cell r="H51" t="str">
            <v>전면형 송기마스크 이상</v>
          </cell>
          <cell r="I51" t="str">
            <v>화학물질용보호복 3&amp;4 형식</v>
          </cell>
          <cell r="J51" t="str">
            <v>화학물질용 안전장갑</v>
          </cell>
        </row>
        <row r="52">
          <cell r="B52" t="str">
            <v>7719-12-2</v>
          </cell>
          <cell r="C52" t="str">
            <v>Phosphorus trichloride</v>
          </cell>
          <cell r="D52" t="str">
            <v>삼염화인 및 이를 25% 이상 함유한 혼합물질</v>
          </cell>
          <cell r="E52">
            <v>25</v>
          </cell>
          <cell r="F52">
            <v>10000</v>
          </cell>
          <cell r="G52">
            <v>300000</v>
          </cell>
          <cell r="H52" t="str">
            <v>전면형 아황산가스용 방독마스크 이상</v>
          </cell>
          <cell r="I52" t="str">
            <v>화학물질용보호복 3&amp;4 형식</v>
          </cell>
          <cell r="J52" t="str">
            <v>화학물질용 안전장갑</v>
          </cell>
        </row>
        <row r="53">
          <cell r="B53" t="str">
            <v>7722-64-7</v>
          </cell>
          <cell r="C53" t="str">
            <v>Potassium permanganate</v>
          </cell>
          <cell r="D53" t="str">
            <v>과망간산칼륨 및 이를 98% 이상 함유한 혼합물질</v>
          </cell>
          <cell r="E53">
            <v>98</v>
          </cell>
          <cell r="F53">
            <v>100000</v>
          </cell>
          <cell r="G53">
            <v>300000</v>
          </cell>
          <cell r="H53" t="str">
            <v>전면형 특급방진마스크</v>
          </cell>
          <cell r="I53" t="str">
            <v>화학물질용보호복 5&amp;6 형식</v>
          </cell>
          <cell r="J53" t="str">
            <v>화학물질용 안전장갑</v>
          </cell>
        </row>
        <row r="54">
          <cell r="B54" t="str">
            <v>7722-84-1</v>
          </cell>
          <cell r="C54" t="str">
            <v>Hydrogen peroxide</v>
          </cell>
          <cell r="D54" t="str">
            <v>과산화수소 및 이를 35% 이상 함유한 혼합물질</v>
          </cell>
          <cell r="E54">
            <v>35</v>
          </cell>
          <cell r="F54">
            <v>30000</v>
          </cell>
          <cell r="G54">
            <v>90000</v>
          </cell>
          <cell r="H54" t="str">
            <v>전면형 유기화합물용 방독마스크 이상</v>
          </cell>
          <cell r="I54" t="str">
            <v>화학물질용보호복 3&amp;4 형식</v>
          </cell>
          <cell r="J54" t="str">
            <v>화학물질용 안전장갑</v>
          </cell>
        </row>
        <row r="55">
          <cell r="B55" t="str">
            <v>7757-79-1</v>
          </cell>
          <cell r="C55" t="str">
            <v>Potassium nitrate</v>
          </cell>
          <cell r="D55" t="str">
            <v>질산칼륨 및 이를 98% 이상 함유한 혼합물질</v>
          </cell>
          <cell r="E55">
            <v>98</v>
          </cell>
          <cell r="F55">
            <v>30000</v>
          </cell>
          <cell r="G55">
            <v>90000</v>
          </cell>
          <cell r="H55" t="str">
            <v>전면형 특급방진마스크</v>
          </cell>
          <cell r="I55" t="str">
            <v>화학물질용보호복 5&amp;6 형식</v>
          </cell>
          <cell r="J55" t="str">
            <v>화학물질용 안전장갑</v>
          </cell>
        </row>
        <row r="56">
          <cell r="B56" t="str">
            <v>7775-09-9</v>
          </cell>
          <cell r="C56" t="str">
            <v>Sodium chlorate</v>
          </cell>
          <cell r="D56" t="str">
            <v>염소산나트륨 및 이를 98% 이상 함유한 혼합물질</v>
          </cell>
          <cell r="E56">
            <v>98</v>
          </cell>
          <cell r="F56">
            <v>5000</v>
          </cell>
          <cell r="G56">
            <v>15000</v>
          </cell>
          <cell r="H56" t="str">
            <v>전면형 특급방진마스크</v>
          </cell>
          <cell r="I56" t="str">
            <v>화학물질용보호복 5&amp;6 형식</v>
          </cell>
          <cell r="J56" t="str">
            <v>화학물질용 안전장갑</v>
          </cell>
        </row>
        <row r="57">
          <cell r="B57" t="str">
            <v>7778-74-7</v>
          </cell>
          <cell r="C57" t="str">
            <v>Potassium perchlorate</v>
          </cell>
          <cell r="D57" t="str">
            <v>과염소산칼륨 및 이를 98% 이상 함유한 혼합물질</v>
          </cell>
          <cell r="E57">
            <v>98</v>
          </cell>
          <cell r="F57">
            <v>5000</v>
          </cell>
          <cell r="G57">
            <v>15000</v>
          </cell>
          <cell r="H57" t="str">
            <v>전면형 특급방진마스크</v>
          </cell>
          <cell r="I57" t="str">
            <v>화학물질용보호복 5&amp;6 형식</v>
          </cell>
          <cell r="J57" t="str">
            <v>화학물질용 안전장갑</v>
          </cell>
        </row>
        <row r="58">
          <cell r="B58" t="str">
            <v>7782-41-4</v>
          </cell>
          <cell r="C58" t="str">
            <v>Fluorine</v>
          </cell>
          <cell r="D58" t="str">
            <v>플루오린 및 이를 25% 이상 함유한 혼합물질</v>
          </cell>
          <cell r="E58">
            <v>25</v>
          </cell>
          <cell r="F58">
            <v>1000</v>
          </cell>
          <cell r="G58">
            <v>150000</v>
          </cell>
          <cell r="H58" t="str">
            <v>전면형 송기마스크 이상</v>
          </cell>
          <cell r="I58" t="str">
            <v>화학물질용보호복 1 형식</v>
          </cell>
          <cell r="J58" t="str">
            <v>화학물질용 안전장갑</v>
          </cell>
        </row>
        <row r="59">
          <cell r="B59" t="str">
            <v>7782-50-5</v>
          </cell>
          <cell r="C59" t="str">
            <v>Chlorine</v>
          </cell>
          <cell r="D59" t="str">
            <v>염소 및 이를 25% 이상 함유한 혼합물질</v>
          </cell>
          <cell r="E59">
            <v>25</v>
          </cell>
          <cell r="F59">
            <v>10000</v>
          </cell>
          <cell r="G59">
            <v>450000</v>
          </cell>
          <cell r="H59" t="str">
            <v>전면형 할로겐용 방독마스크 이상</v>
          </cell>
          <cell r="I59" t="str">
            <v>화학물질용보호복 3&amp;4 형식</v>
          </cell>
          <cell r="J59" t="str">
            <v>화학물질용 안전장갑</v>
          </cell>
        </row>
        <row r="60">
          <cell r="B60" t="str">
            <v>7783-06-4</v>
          </cell>
          <cell r="C60" t="str">
            <v>Hydrogen sulfide</v>
          </cell>
          <cell r="D60" t="str">
            <v>황화수소 및 이를 25% 이상 함유한 혼합물질</v>
          </cell>
          <cell r="E60">
            <v>25</v>
          </cell>
          <cell r="F60">
            <v>1000</v>
          </cell>
          <cell r="G60">
            <v>150000</v>
          </cell>
          <cell r="H60" t="str">
            <v>전면형 황화수소용 방독마스크 이상</v>
          </cell>
          <cell r="I60" t="str">
            <v>화학물질용보호복 3&amp;4 형식</v>
          </cell>
          <cell r="J60" t="str">
            <v>화학물질용 안전장갑</v>
          </cell>
        </row>
        <row r="61">
          <cell r="B61" t="str">
            <v>7784-42-1</v>
          </cell>
          <cell r="C61" t="str">
            <v>Arsine</v>
          </cell>
          <cell r="D61" t="str">
            <v>아르신 및 이를 0.1% 이상 함유한 혼합물질</v>
          </cell>
          <cell r="E61">
            <v>0.1</v>
          </cell>
          <cell r="F61">
            <v>500</v>
          </cell>
          <cell r="G61">
            <v>15000</v>
          </cell>
          <cell r="H61" t="str">
            <v>전면형 송기마스크 이상</v>
          </cell>
          <cell r="I61" t="str">
            <v>화학물질용보호복 1 형식</v>
          </cell>
          <cell r="J61" t="str">
            <v>화학물질용 안전장갑</v>
          </cell>
        </row>
        <row r="62">
          <cell r="B62" t="str">
            <v>7790-94-5</v>
          </cell>
          <cell r="C62" t="str">
            <v>Chlorosulfonic acid</v>
          </cell>
          <cell r="D62" t="str">
            <v>클로로술폰산 및 이를 25% 이상 함유한 혼합물질</v>
          </cell>
          <cell r="E62">
            <v>25</v>
          </cell>
          <cell r="F62">
            <v>10000</v>
          </cell>
          <cell r="G62">
            <v>300000</v>
          </cell>
          <cell r="H62" t="str">
            <v>전면형 송기마스크 이상</v>
          </cell>
          <cell r="I62" t="str">
            <v>화학물질용보호복 3&amp;4 형식</v>
          </cell>
          <cell r="J62" t="str">
            <v>화학물질용 안전장갑</v>
          </cell>
        </row>
        <row r="63">
          <cell r="B63" t="str">
            <v>7803-51-2</v>
          </cell>
          <cell r="C63" t="str">
            <v>Phosphine</v>
          </cell>
          <cell r="D63" t="str">
            <v>포스핀 및 이를 1% 이상 함유한 혼합물질</v>
          </cell>
          <cell r="E63">
            <v>1</v>
          </cell>
          <cell r="F63">
            <v>500</v>
          </cell>
          <cell r="G63">
            <v>15000</v>
          </cell>
          <cell r="H63" t="str">
            <v>전면형 송기마스크 이상</v>
          </cell>
          <cell r="I63" t="str">
            <v>화학물질용보호복 1 형식</v>
          </cell>
          <cell r="J63" t="str">
            <v>화학물질용 안전장갑</v>
          </cell>
        </row>
        <row r="64">
          <cell r="B64" t="str">
            <v>78-93-3</v>
          </cell>
          <cell r="C64" t="str">
            <v>Methyl ethyl ketone</v>
          </cell>
          <cell r="D64" t="str">
            <v>메틸에틸케톤 및 이를 25% 이상 함유한 혼합물질</v>
          </cell>
          <cell r="E64">
            <v>25</v>
          </cell>
          <cell r="F64">
            <v>200000</v>
          </cell>
          <cell r="G64">
            <v>1500000</v>
          </cell>
          <cell r="H64" t="str">
            <v>전면형 유기화합물용 방독마스크 이상</v>
          </cell>
          <cell r="I64" t="str">
            <v>화학물질용보호복 3&amp;4 형식</v>
          </cell>
          <cell r="J64" t="str">
            <v>화학물질용 안전장갑</v>
          </cell>
        </row>
        <row r="65">
          <cell r="B65" t="str">
            <v>78-94-4</v>
          </cell>
          <cell r="C65" t="str">
            <v>Methyl vinyl ketone</v>
          </cell>
          <cell r="D65" t="str">
            <v>메틸비닐케톤 및 이를 1% 이상 함유한 혼합물질</v>
          </cell>
          <cell r="E65">
            <v>1</v>
          </cell>
          <cell r="F65">
            <v>200000</v>
          </cell>
          <cell r="G65">
            <v>1500000</v>
          </cell>
          <cell r="H65" t="str">
            <v>전면형 유기화합물용 방독마스크 이상</v>
          </cell>
          <cell r="I65" t="str">
            <v>화학물질용보호복 3&amp;4 형식</v>
          </cell>
          <cell r="J65" t="str">
            <v>화학물질용 안전장갑</v>
          </cell>
        </row>
        <row r="66">
          <cell r="B66" t="str">
            <v>79-10-7</v>
          </cell>
          <cell r="C66" t="str">
            <v>Acrylic acid</v>
          </cell>
          <cell r="D66" t="str">
            <v>아크릴산 및 이를 25% 이상 함유한 혼합물질</v>
          </cell>
          <cell r="E66">
            <v>25</v>
          </cell>
          <cell r="F66">
            <v>20000</v>
          </cell>
          <cell r="G66">
            <v>1500000</v>
          </cell>
          <cell r="H66" t="str">
            <v>전면형 유기화합물용 방독마스크 이상</v>
          </cell>
          <cell r="I66" t="str">
            <v>화학물질용보호복 3&amp;4 형식</v>
          </cell>
          <cell r="J66" t="str">
            <v>화학물질용 안전장갑</v>
          </cell>
        </row>
        <row r="67">
          <cell r="B67" t="str">
            <v>814-68-6</v>
          </cell>
          <cell r="C67" t="str">
            <v>Acrylic acid chloride</v>
          </cell>
          <cell r="D67" t="str">
            <v xml:space="preserve"> 아크릴일클로라이드 및 이를 25% 이상 함유한 혼합물질</v>
          </cell>
          <cell r="E67">
            <v>25</v>
          </cell>
          <cell r="F67">
            <v>20000</v>
          </cell>
          <cell r="G67">
            <v>750000</v>
          </cell>
          <cell r="H67" t="str">
            <v>전면형 송기마스크 이상</v>
          </cell>
          <cell r="I67" t="str">
            <v>화학물질용보호복 3&amp;4 형식</v>
          </cell>
          <cell r="J67" t="str">
            <v>화학물질용 안전장갑</v>
          </cell>
        </row>
        <row r="68">
          <cell r="B68" t="str">
            <v>96-33-3</v>
          </cell>
          <cell r="C68" t="str">
            <v>Methyl acrylate</v>
          </cell>
          <cell r="D68" t="str">
            <v>메틸아크릴레이트 및 이를 25% 이상 함유한 혼합물질</v>
          </cell>
          <cell r="E68">
            <v>25</v>
          </cell>
          <cell r="F68">
            <v>200000</v>
          </cell>
          <cell r="G68">
            <v>1500000</v>
          </cell>
          <cell r="H68" t="str">
            <v>전면형 유기화합물용 방독마스크 이상</v>
          </cell>
          <cell r="I68" t="str">
            <v>화학물질용보호복 3&amp;4 형식</v>
          </cell>
          <cell r="J68" t="str">
            <v>화학물질용 안전장갑</v>
          </cell>
        </row>
        <row r="69">
          <cell r="B69" t="str">
            <v>98-95-3</v>
          </cell>
          <cell r="C69" t="str">
            <v>Nitrobenzene</v>
          </cell>
          <cell r="D69" t="str">
            <v>니트로벤젠 및 이를 25% 이상 함유한 혼합물질</v>
          </cell>
          <cell r="E69">
            <v>25</v>
          </cell>
          <cell r="F69">
            <v>20000</v>
          </cell>
          <cell r="G69">
            <v>1500000</v>
          </cell>
          <cell r="H69" t="str">
            <v>전면형 유기화합물용 방독마스크 이상</v>
          </cell>
          <cell r="I69" t="str">
            <v>화학물질용보호복 3&amp;4 형식</v>
          </cell>
          <cell r="J69" t="str">
            <v>화학물질용 안전장갑</v>
          </cell>
        </row>
        <row r="70">
          <cell r="B70" t="str">
            <v>99-99-0</v>
          </cell>
          <cell r="C70" t="str">
            <v>p-Nitrotoluene</v>
          </cell>
          <cell r="D70" t="str">
            <v>파라-니트로톨루엔 및 이를 25% 이상 함유한 혼합물질</v>
          </cell>
          <cell r="E70">
            <v>25</v>
          </cell>
          <cell r="F70">
            <v>20000</v>
          </cell>
          <cell r="G70">
            <v>1500000</v>
          </cell>
          <cell r="H70" t="str">
            <v>전면형 유기화합물용 방독/</v>
          </cell>
          <cell r="I70" t="str">
            <v>화학물질용보호복 3&amp;4 형식</v>
          </cell>
          <cell r="J70" t="str">
            <v>화학물질용 안전장갑</v>
          </cell>
        </row>
      </sheetData>
      <sheetData sheetId="32" refreshError="1">
        <row r="1">
          <cell r="B1" t="str">
            <v>CAS No</v>
          </cell>
          <cell r="C1" t="str">
            <v>화학물질명</v>
          </cell>
          <cell r="D1" t="str">
            <v>함량기준수치</v>
          </cell>
        </row>
        <row r="2">
          <cell r="B2" t="str">
            <v>10099-76-0</v>
          </cell>
          <cell r="C2" t="str">
            <v>Lead(2+) silicate</v>
          </cell>
          <cell r="D2">
            <v>0.1</v>
          </cell>
        </row>
        <row r="3">
          <cell r="B3" t="str">
            <v>10101-53-8</v>
          </cell>
          <cell r="C3" t="str">
            <v>Dichromium tris(sulfate)</v>
          </cell>
          <cell r="D3">
            <v>0.1</v>
          </cell>
        </row>
        <row r="4">
          <cell r="B4" t="str">
            <v>10468-30-1</v>
          </cell>
          <cell r="C4" t="str">
            <v>Cadmium oleate</v>
          </cell>
          <cell r="D4">
            <v>0.1</v>
          </cell>
        </row>
        <row r="5">
          <cell r="B5" t="str">
            <v>10588-01-9</v>
          </cell>
          <cell r="C5" t="str">
            <v>Sodium dichromate</v>
          </cell>
          <cell r="D5">
            <v>0.1</v>
          </cell>
        </row>
        <row r="6">
          <cell r="B6" t="str">
            <v>1072-35-1</v>
          </cell>
          <cell r="C6" t="str">
            <v>Octadecanoic acid lead(2+) salt ; Lead stearate</v>
          </cell>
          <cell r="D6">
            <v>0.1</v>
          </cell>
        </row>
        <row r="7">
          <cell r="B7" t="str">
            <v>107-30-2</v>
          </cell>
          <cell r="C7" t="str">
            <v>Chloromethyl methyl ether</v>
          </cell>
          <cell r="D7">
            <v>0.1</v>
          </cell>
        </row>
        <row r="8">
          <cell r="B8" t="str">
            <v>11099-02-8</v>
          </cell>
          <cell r="C8" t="str">
            <v>Nickel oxide</v>
          </cell>
          <cell r="D8">
            <v>0.1</v>
          </cell>
        </row>
        <row r="9">
          <cell r="B9" t="str">
            <v>11103-86-9</v>
          </cell>
          <cell r="C9" t="str">
            <v>Potassium hydroxyoctaoxodizincatedichromate(1-)</v>
          </cell>
          <cell r="D9">
            <v>0.1</v>
          </cell>
        </row>
        <row r="10">
          <cell r="B10" t="str">
            <v>11118-57-3</v>
          </cell>
          <cell r="C10" t="str">
            <v>Chromium oxide</v>
          </cell>
          <cell r="D10">
            <v>0.1</v>
          </cell>
        </row>
        <row r="11">
          <cell r="B11" t="str">
            <v>11120-22-2</v>
          </cell>
          <cell r="C11" t="str">
            <v>Silicic acid lead salt</v>
          </cell>
          <cell r="D11">
            <v>0.1</v>
          </cell>
        </row>
        <row r="12">
          <cell r="B12" t="str">
            <v>12018-01-8</v>
          </cell>
          <cell r="C12" t="str">
            <v>Chromium dioxide</v>
          </cell>
          <cell r="D12">
            <v>0.1</v>
          </cell>
        </row>
        <row r="13">
          <cell r="B13" t="str">
            <v>12036-76-9</v>
          </cell>
          <cell r="C13" t="str">
            <v>Lead sulfate, basic</v>
          </cell>
          <cell r="D13">
            <v>0.1</v>
          </cell>
        </row>
        <row r="14">
          <cell r="B14" t="str">
            <v>12060-00-3</v>
          </cell>
          <cell r="C14" t="str">
            <v>Lead titanium trioxide</v>
          </cell>
          <cell r="D14">
            <v>0.1</v>
          </cell>
        </row>
        <row r="15">
          <cell r="B15" t="str">
            <v>12141-20-7</v>
          </cell>
          <cell r="C15" t="str">
            <v>Lead oxide phosphonate (Pb3O2(HPO3))</v>
          </cell>
          <cell r="D15">
            <v>0.1</v>
          </cell>
        </row>
        <row r="16">
          <cell r="B16" t="str">
            <v>12202-17-4</v>
          </cell>
          <cell r="C16" t="str">
            <v>Lead oxide sulfate (Pb4O3(SO4))</v>
          </cell>
          <cell r="D16">
            <v>0.1</v>
          </cell>
        </row>
        <row r="17">
          <cell r="B17" t="str">
            <v>12336-95-7</v>
          </cell>
          <cell r="C17" t="str">
            <v>Chromium hydroxide sulfate</v>
          </cell>
          <cell r="D17">
            <v>0.1</v>
          </cell>
        </row>
        <row r="18">
          <cell r="B18" t="str">
            <v>12645-50-0</v>
          </cell>
          <cell r="C18" t="str">
            <v>Iron nickel zinc oxide</v>
          </cell>
          <cell r="D18">
            <v>0.1</v>
          </cell>
        </row>
        <row r="19">
          <cell r="B19" t="str">
            <v>12737-27-8</v>
          </cell>
          <cell r="C19" t="str">
            <v>Iron chromium oxide</v>
          </cell>
          <cell r="D19">
            <v>0.1</v>
          </cell>
        </row>
        <row r="20">
          <cell r="B20" t="str">
            <v>1306-19-0</v>
          </cell>
          <cell r="C20" t="str">
            <v>Cadmium oxide</v>
          </cell>
          <cell r="D20">
            <v>0.1</v>
          </cell>
        </row>
        <row r="21">
          <cell r="B21" t="str">
            <v>1306-23-6</v>
          </cell>
          <cell r="C21" t="str">
            <v>Cadmium sulfide</v>
          </cell>
          <cell r="D21">
            <v>0.1</v>
          </cell>
        </row>
        <row r="22">
          <cell r="B22" t="str">
            <v>1308-38-9</v>
          </cell>
          <cell r="C22" t="str">
            <v>Dichromium trioxide</v>
          </cell>
          <cell r="D22">
            <v>0.1</v>
          </cell>
        </row>
        <row r="23">
          <cell r="B23" t="str">
            <v>1309-60-0</v>
          </cell>
          <cell r="C23" t="str">
            <v>Lead dioxide</v>
          </cell>
          <cell r="D23">
            <v>0.1</v>
          </cell>
        </row>
        <row r="24">
          <cell r="B24" t="str">
            <v>13138-45-9</v>
          </cell>
          <cell r="C24" t="str">
            <v>Nickel dinitrate</v>
          </cell>
          <cell r="D24">
            <v>0.1</v>
          </cell>
        </row>
        <row r="25">
          <cell r="B25" t="str">
            <v>1313-99-1</v>
          </cell>
          <cell r="C25" t="str">
            <v>Nickel monoxide</v>
          </cell>
          <cell r="D25">
            <v>0.1</v>
          </cell>
        </row>
        <row r="26">
          <cell r="B26" t="str">
            <v>1314-41-6</v>
          </cell>
          <cell r="C26" t="str">
            <v>Orange lead</v>
          </cell>
          <cell r="D26">
            <v>0.1</v>
          </cell>
        </row>
        <row r="27">
          <cell r="B27" t="str">
            <v>1317-36-8</v>
          </cell>
          <cell r="C27" t="str">
            <v>Lead monoxide</v>
          </cell>
          <cell r="D27">
            <v>0.1</v>
          </cell>
        </row>
        <row r="28">
          <cell r="B28" t="str">
            <v>1327-53-3</v>
          </cell>
          <cell r="C28" t="str">
            <v>Diarsenic trioxide</v>
          </cell>
          <cell r="D28">
            <v>0.1</v>
          </cell>
        </row>
        <row r="29">
          <cell r="B29" t="str">
            <v>1332-21-4</v>
          </cell>
          <cell r="C29" t="str">
            <v>Asbestos</v>
          </cell>
          <cell r="D29">
            <v>0.1</v>
          </cell>
        </row>
        <row r="30">
          <cell r="B30" t="str">
            <v>1333-82-0</v>
          </cell>
          <cell r="C30" t="str">
            <v>Chromium trioxide</v>
          </cell>
          <cell r="D30">
            <v>0.1</v>
          </cell>
        </row>
        <row r="31">
          <cell r="B31" t="str">
            <v>13423-61-5</v>
          </cell>
          <cell r="C31" t="str">
            <v>Magnesium chromate</v>
          </cell>
          <cell r="D31">
            <v>0.1</v>
          </cell>
        </row>
        <row r="32">
          <cell r="B32" t="str">
            <v>13478-00-7</v>
          </cell>
          <cell r="C32" t="str">
            <v>Nickel dinitrate hexahydrate</v>
          </cell>
          <cell r="D32">
            <v>0.1</v>
          </cell>
        </row>
        <row r="33">
          <cell r="B33" t="str">
            <v>13530-65-9</v>
          </cell>
          <cell r="C33" t="str">
            <v>Zinc chromate</v>
          </cell>
          <cell r="D33">
            <v>0.1</v>
          </cell>
        </row>
        <row r="34">
          <cell r="B34" t="str">
            <v>13530-68-2</v>
          </cell>
          <cell r="C34" t="str">
            <v>Dichromic acid</v>
          </cell>
          <cell r="D34">
            <v>0.1</v>
          </cell>
        </row>
        <row r="35">
          <cell r="B35" t="str">
            <v>13770-89-3</v>
          </cell>
          <cell r="C35" t="str">
            <v>Nickel bis(sulfamidate)</v>
          </cell>
          <cell r="D35">
            <v>0.1</v>
          </cell>
        </row>
        <row r="36">
          <cell r="B36" t="str">
            <v>14307-33-6</v>
          </cell>
          <cell r="C36" t="str">
            <v>Calcium dichromate</v>
          </cell>
          <cell r="D36">
            <v>0.1</v>
          </cell>
        </row>
        <row r="37">
          <cell r="B37" t="str">
            <v>17570-76-2</v>
          </cell>
          <cell r="C37" t="str">
            <v>Lead methane sulfonate</v>
          </cell>
          <cell r="D37">
            <v>0.1</v>
          </cell>
        </row>
        <row r="38">
          <cell r="B38" t="str">
            <v>193-39-5</v>
          </cell>
          <cell r="C38" t="str">
            <v>Indeno[1,2,3-cd]pyrene</v>
          </cell>
          <cell r="D38">
            <v>0.1</v>
          </cell>
        </row>
        <row r="39">
          <cell r="B39" t="str">
            <v>2223-93-0</v>
          </cell>
          <cell r="C39" t="str">
            <v>Octadecanoic acid cadmium salt ; Cadmium stearate</v>
          </cell>
          <cell r="D39">
            <v>0.1</v>
          </cell>
        </row>
        <row r="40">
          <cell r="B40" t="str">
            <v>22569-74-0</v>
          </cell>
          <cell r="C40" t="str">
            <v>Lead silicate</v>
          </cell>
          <cell r="D40">
            <v>0.1</v>
          </cell>
        </row>
        <row r="41">
          <cell r="B41" t="str">
            <v>26545-49-3</v>
          </cell>
          <cell r="C41" t="str">
            <v>(Neodecanoato-O)phenylmercury</v>
          </cell>
          <cell r="D41">
            <v>1</v>
          </cell>
        </row>
        <row r="42">
          <cell r="B42" t="str">
            <v>298-81-7</v>
          </cell>
          <cell r="C42" t="str">
            <v>8-Methoxy-6,7-furanocoumarin</v>
          </cell>
          <cell r="D42">
            <v>0.1</v>
          </cell>
        </row>
        <row r="43">
          <cell r="B43" t="str">
            <v>301-08-6</v>
          </cell>
          <cell r="C43" t="str">
            <v>Lead 2-ethylhexanoate ; 2-Ethylhexanoic acid lead(2+) salt</v>
          </cell>
          <cell r="D43">
            <v>0.1</v>
          </cell>
        </row>
        <row r="44">
          <cell r="B44" t="str">
            <v>3333-67-3</v>
          </cell>
          <cell r="C44" t="str">
            <v>Nickel carbonate</v>
          </cell>
          <cell r="D44">
            <v>0.1</v>
          </cell>
        </row>
        <row r="45">
          <cell r="B45" t="str">
            <v>34415-65-1</v>
          </cell>
          <cell r="C45" t="str">
            <v>Sulfuric acid chromium sodium salt</v>
          </cell>
          <cell r="D45">
            <v>0.1</v>
          </cell>
        </row>
        <row r="46">
          <cell r="B46" t="str">
            <v>37211-05-5</v>
          </cell>
          <cell r="C46" t="str">
            <v>Nickel chloride</v>
          </cell>
          <cell r="D46">
            <v>0.1</v>
          </cell>
        </row>
        <row r="47">
          <cell r="B47" t="str">
            <v>50-00-0</v>
          </cell>
          <cell r="C47" t="str">
            <v>Formaldehyde</v>
          </cell>
          <cell r="D47">
            <v>0.1</v>
          </cell>
        </row>
        <row r="48">
          <cell r="B48" t="str">
            <v>52080-60-1</v>
          </cell>
          <cell r="C48" t="str">
            <v>Octadecanoic acid, lead(2+) salt, tribasic ; Tribasic lead stearate</v>
          </cell>
          <cell r="D48">
            <v>0.1</v>
          </cell>
        </row>
        <row r="49">
          <cell r="B49" t="str">
            <v>56189-09-4</v>
          </cell>
          <cell r="C49" t="str">
            <v>Dibasic lead stearate</v>
          </cell>
          <cell r="D49">
            <v>0.1</v>
          </cell>
        </row>
        <row r="50">
          <cell r="B50" t="str">
            <v>56-53-1</v>
          </cell>
          <cell r="C50" t="str">
            <v>Diethylstilbesterol</v>
          </cell>
          <cell r="D50">
            <v>0.1</v>
          </cell>
        </row>
        <row r="51">
          <cell r="B51" t="str">
            <v>61790-14-5</v>
          </cell>
          <cell r="C51" t="str">
            <v>Naphthenic acids lead salts</v>
          </cell>
          <cell r="D51">
            <v>0.1</v>
          </cell>
        </row>
        <row r="52">
          <cell r="B52" t="str">
            <v>68411-78-9</v>
          </cell>
          <cell r="C52" t="str">
            <v>Lead oxide (PbO), lead-contg.</v>
          </cell>
          <cell r="D52">
            <v>0.1</v>
          </cell>
        </row>
        <row r="53">
          <cell r="B53" t="str">
            <v>71-43-2</v>
          </cell>
          <cell r="C53" t="str">
            <v>Benzene</v>
          </cell>
          <cell r="D53">
            <v>0.1</v>
          </cell>
        </row>
        <row r="54">
          <cell r="B54" t="str">
            <v>7428-48-0</v>
          </cell>
          <cell r="C54" t="str">
            <v>Octadecanoic acid lead salt ; Stearic acid lead salt</v>
          </cell>
          <cell r="D54">
            <v>0.1</v>
          </cell>
        </row>
        <row r="55">
          <cell r="B55" t="str">
            <v>7439-92-1</v>
          </cell>
          <cell r="C55" t="str">
            <v>Lead</v>
          </cell>
          <cell r="D55">
            <v>0.1</v>
          </cell>
        </row>
        <row r="56">
          <cell r="B56" t="str">
            <v>7439-97-6</v>
          </cell>
          <cell r="C56" t="str">
            <v>Mercury</v>
          </cell>
          <cell r="D56">
            <v>1</v>
          </cell>
        </row>
        <row r="57">
          <cell r="B57" t="str">
            <v>7440-02-0</v>
          </cell>
          <cell r="C57" t="str">
            <v>Nickel ; Raney nickel</v>
          </cell>
          <cell r="D57">
            <v>0.1</v>
          </cell>
        </row>
        <row r="58">
          <cell r="B58" t="str">
            <v>7440-38-2</v>
          </cell>
          <cell r="C58" t="str">
            <v>Arsenic</v>
          </cell>
          <cell r="D58">
            <v>0.1</v>
          </cell>
        </row>
        <row r="59">
          <cell r="B59" t="str">
            <v>7440-41-7</v>
          </cell>
          <cell r="C59" t="str">
            <v>Beryllium</v>
          </cell>
          <cell r="D59">
            <v>0.1</v>
          </cell>
        </row>
        <row r="60">
          <cell r="B60" t="str">
            <v>7440-43-9</v>
          </cell>
          <cell r="C60" t="str">
            <v>Cadmium</v>
          </cell>
          <cell r="D60">
            <v>0.1</v>
          </cell>
        </row>
        <row r="61">
          <cell r="B61" t="str">
            <v>7440-47-3</v>
          </cell>
          <cell r="C61" t="str">
            <v>Chromium</v>
          </cell>
          <cell r="D61">
            <v>0.1</v>
          </cell>
        </row>
        <row r="62">
          <cell r="B62" t="str">
            <v>7446-14-2</v>
          </cell>
          <cell r="C62" t="str">
            <v>Lead sulfate (PbSO4)</v>
          </cell>
          <cell r="D62">
            <v>0.1</v>
          </cell>
        </row>
        <row r="63">
          <cell r="B63" t="str">
            <v>75-01-4</v>
          </cell>
          <cell r="C63" t="str">
            <v>Vinyl chloride</v>
          </cell>
          <cell r="D63">
            <v>0.1</v>
          </cell>
        </row>
        <row r="64">
          <cell r="B64" t="str">
            <v>75-21-8</v>
          </cell>
          <cell r="C64" t="str">
            <v>Ethylene oxide</v>
          </cell>
          <cell r="D64">
            <v>0.1</v>
          </cell>
        </row>
        <row r="65">
          <cell r="B65" t="str">
            <v>7718-54-9</v>
          </cell>
          <cell r="C65" t="str">
            <v>Nickel dichloride</v>
          </cell>
          <cell r="D65">
            <v>0.1</v>
          </cell>
        </row>
        <row r="66">
          <cell r="B66" t="str">
            <v>7758-97-6</v>
          </cell>
          <cell r="C66" t="str">
            <v>Lead chromate (PbC2O4)</v>
          </cell>
          <cell r="D66">
            <v>0.1</v>
          </cell>
        </row>
        <row r="67">
          <cell r="B67" t="str">
            <v>7778-39-4</v>
          </cell>
          <cell r="C67" t="str">
            <v>Arsenic acid</v>
          </cell>
          <cell r="D67">
            <v>0.1</v>
          </cell>
        </row>
        <row r="68">
          <cell r="B68" t="str">
            <v>7783-36-0</v>
          </cell>
          <cell r="C68" t="str">
            <v>Dimercury sulfate</v>
          </cell>
          <cell r="D68">
            <v>1</v>
          </cell>
        </row>
        <row r="69">
          <cell r="B69" t="str">
            <v>7783-46-2</v>
          </cell>
          <cell r="C69" t="str">
            <v>Lead fluoride</v>
          </cell>
          <cell r="D69">
            <v>0.1</v>
          </cell>
        </row>
        <row r="70">
          <cell r="B70" t="str">
            <v>7784-46-5</v>
          </cell>
          <cell r="C70" t="str">
            <v>Sodium arsenite</v>
          </cell>
          <cell r="D70">
            <v>0.1</v>
          </cell>
        </row>
        <row r="71">
          <cell r="B71" t="str">
            <v>7786-81-4</v>
          </cell>
          <cell r="C71" t="str">
            <v>Nickel sulfate</v>
          </cell>
          <cell r="D71">
            <v>0.1</v>
          </cell>
        </row>
        <row r="72">
          <cell r="B72" t="str">
            <v>7789-06-2</v>
          </cell>
          <cell r="C72" t="str">
            <v>Strontium chromate</v>
          </cell>
          <cell r="D72">
            <v>0.1</v>
          </cell>
        </row>
        <row r="73">
          <cell r="B73" t="str">
            <v>301-04-2</v>
          </cell>
          <cell r="C73" t="str">
            <v>Lead acetate</v>
          </cell>
          <cell r="D73">
            <v>0.1</v>
          </cell>
        </row>
        <row r="74">
          <cell r="B74" t="str">
            <v>546-67-8</v>
          </cell>
          <cell r="C74" t="str">
            <v>Lead tetraacetate</v>
          </cell>
          <cell r="D74">
            <v>0.1</v>
          </cell>
        </row>
        <row r="75">
          <cell r="B75" t="str">
            <v>592-05-2</v>
          </cell>
          <cell r="C75" t="str">
            <v>Lead dicyanide</v>
          </cell>
          <cell r="D75">
            <v>0.1</v>
          </cell>
        </row>
        <row r="76">
          <cell r="B76" t="str">
            <v>592-87-0</v>
          </cell>
          <cell r="C76" t="str">
            <v>Lead dithiocyanate</v>
          </cell>
          <cell r="D76">
            <v>0.1</v>
          </cell>
        </row>
        <row r="77">
          <cell r="B77" t="str">
            <v>598-63-0</v>
          </cell>
          <cell r="C77" t="str">
            <v>Lead carbonate (PbC2O4)</v>
          </cell>
          <cell r="D77">
            <v>0.1</v>
          </cell>
        </row>
        <row r="78">
          <cell r="B78" t="str">
            <v>1314-27-8</v>
          </cell>
          <cell r="C78" t="str">
            <v>Lead oxide (Pb2O3)</v>
          </cell>
          <cell r="D78">
            <v>0.1</v>
          </cell>
        </row>
        <row r="79">
          <cell r="B79" t="str">
            <v>1314-87-0</v>
          </cell>
          <cell r="C79" t="str">
            <v>Lead sulfide</v>
          </cell>
          <cell r="D79">
            <v>0.1</v>
          </cell>
        </row>
        <row r="80">
          <cell r="B80" t="str">
            <v>1319-46-6</v>
          </cell>
          <cell r="C80" t="str">
            <v>Trilead bis(carbonate) dihydroxide</v>
          </cell>
          <cell r="D80">
            <v>0.1</v>
          </cell>
        </row>
        <row r="81">
          <cell r="B81" t="str">
            <v>1344-36-1</v>
          </cell>
          <cell r="C81" t="str">
            <v>Lead subcarbonate</v>
          </cell>
          <cell r="D81">
            <v>0.1</v>
          </cell>
        </row>
        <row r="82">
          <cell r="B82" t="str">
            <v>1344-40-7</v>
          </cell>
          <cell r="C82" t="str">
            <v>Lead oxide phosphonate (Pb3O2(HPO3)), hemihydrate</v>
          </cell>
          <cell r="D82">
            <v>0.1</v>
          </cell>
        </row>
        <row r="83">
          <cell r="B83" t="str">
            <v>6080-56-4</v>
          </cell>
          <cell r="C83" t="str">
            <v>Lead diacetate trihydrate ; Lead acetate trihydrate</v>
          </cell>
          <cell r="D83">
            <v>0.1</v>
          </cell>
        </row>
        <row r="84">
          <cell r="B84" t="str">
            <v>6838-85-3</v>
          </cell>
          <cell r="C84" t="str">
            <v>Dibasic lead phthalate</v>
          </cell>
          <cell r="D84">
            <v>0.1</v>
          </cell>
        </row>
        <row r="85">
          <cell r="B85" t="str">
            <v>7446-10-8</v>
          </cell>
          <cell r="C85" t="str">
            <v>Lead sulfite (PbSO3)</v>
          </cell>
          <cell r="D85">
            <v>0.1</v>
          </cell>
        </row>
        <row r="86">
          <cell r="B86" t="str">
            <v>7758-95-4</v>
          </cell>
          <cell r="C86" t="str">
            <v>Lead dichloride</v>
          </cell>
          <cell r="D86">
            <v>0.1</v>
          </cell>
        </row>
        <row r="87">
          <cell r="B87" t="str">
            <v>10099-74-8</v>
          </cell>
          <cell r="C87" t="str">
            <v>Lead dinitrate</v>
          </cell>
          <cell r="D87">
            <v>0.1</v>
          </cell>
        </row>
        <row r="88">
          <cell r="B88" t="str">
            <v>10190-55-3</v>
          </cell>
          <cell r="C88" t="str">
            <v>Lead molybdate (PbMoO4)</v>
          </cell>
          <cell r="D88">
            <v>0.1</v>
          </cell>
        </row>
        <row r="89">
          <cell r="B89" t="str">
            <v>11119-70-3</v>
          </cell>
          <cell r="C89" t="str">
            <v>Lead chromate</v>
          </cell>
          <cell r="D89">
            <v>0.1</v>
          </cell>
        </row>
        <row r="90">
          <cell r="B90" t="str">
            <v>12036-31-6</v>
          </cell>
          <cell r="C90" t="str">
            <v>Lead tin oxide (PbSnO3)</v>
          </cell>
          <cell r="D90">
            <v>0.1</v>
          </cell>
        </row>
        <row r="91">
          <cell r="B91" t="str">
            <v>12059-89-1</v>
          </cell>
          <cell r="C91" t="str">
            <v>Dilead oxide</v>
          </cell>
          <cell r="D91">
            <v>0.1</v>
          </cell>
        </row>
        <row r="92">
          <cell r="B92" t="str">
            <v>12608-25-2</v>
          </cell>
          <cell r="C92" t="str">
            <v>Basic lead sulfite</v>
          </cell>
          <cell r="D92">
            <v>0.1</v>
          </cell>
        </row>
        <row r="93">
          <cell r="B93" t="str">
            <v>12765-51-4</v>
          </cell>
          <cell r="C93" t="str">
            <v>Lead oxide sulfate</v>
          </cell>
          <cell r="D93">
            <v>0.1</v>
          </cell>
        </row>
        <row r="94">
          <cell r="B94" t="str">
            <v>13814-96-5</v>
          </cell>
          <cell r="C94" t="str">
            <v>Lead bis(tetrafluoroborate)</v>
          </cell>
          <cell r="D94">
            <v>0.1</v>
          </cell>
        </row>
        <row r="95">
          <cell r="B95" t="str">
            <v>15347-57-6</v>
          </cell>
          <cell r="C95" t="str">
            <v>Lead acetate</v>
          </cell>
          <cell r="D95">
            <v>0.1</v>
          </cell>
        </row>
        <row r="96">
          <cell r="B96" t="str">
            <v>15696-43-2</v>
          </cell>
          <cell r="C96" t="str">
            <v>Lead octoate</v>
          </cell>
          <cell r="D96">
            <v>0.1</v>
          </cell>
        </row>
        <row r="97">
          <cell r="B97" t="str">
            <v>15739-80-7</v>
          </cell>
          <cell r="C97" t="str">
            <v>sulphuric acid, lead salt</v>
          </cell>
          <cell r="D97">
            <v>0.1</v>
          </cell>
        </row>
        <row r="98">
          <cell r="B98" t="str">
            <v>16038-76-9</v>
          </cell>
          <cell r="C98" t="str">
            <v>Lead phosphite</v>
          </cell>
          <cell r="D98">
            <v>0.1</v>
          </cell>
        </row>
        <row r="99">
          <cell r="B99" t="str">
            <v>16996-40-0</v>
          </cell>
          <cell r="C99" t="str">
            <v>2-Ethylhexanoic acid, lead salt ; Hexanoic acid, 2-ethyl-, lead salt</v>
          </cell>
          <cell r="D99">
            <v>0.1</v>
          </cell>
        </row>
        <row r="100">
          <cell r="B100" t="str">
            <v>18454-12-1</v>
          </cell>
          <cell r="C100" t="str">
            <v>Lead chromate oxide (Pb2(CrO4)O)</v>
          </cell>
          <cell r="D100">
            <v>0.1</v>
          </cell>
        </row>
        <row r="101">
          <cell r="B101" t="str">
            <v>19783-14-3</v>
          </cell>
          <cell r="C101" t="str">
            <v>Lead hydroxide (Pb(OH)2)</v>
          </cell>
          <cell r="D101">
            <v>0.1</v>
          </cell>
        </row>
        <row r="102">
          <cell r="B102" t="str">
            <v>20837-86-9</v>
          </cell>
          <cell r="C102" t="str">
            <v>Lead cyanamidate (PbNH2(CN))</v>
          </cell>
          <cell r="D102">
            <v>0.1</v>
          </cell>
        </row>
        <row r="103">
          <cell r="B103" t="str">
            <v>27253-28-7</v>
          </cell>
          <cell r="C103" t="str">
            <v>Neodecanoic acid lead salt ; Lead neodecanoate</v>
          </cell>
          <cell r="D103">
            <v>0.1</v>
          </cell>
        </row>
        <row r="104">
          <cell r="B104" t="str">
            <v>37194-88-0</v>
          </cell>
          <cell r="C104" t="str">
            <v>Lead ruthenium oxide (PbRuO3)</v>
          </cell>
          <cell r="D104">
            <v>0.1</v>
          </cell>
        </row>
        <row r="105">
          <cell r="B105" t="str">
            <v>51899-02-6</v>
          </cell>
          <cell r="C105" t="str">
            <v>Lead chromate sulfate (Pb9(CrO4)5(SO4)4)</v>
          </cell>
          <cell r="D105">
            <v>0.1</v>
          </cell>
        </row>
        <row r="106">
          <cell r="B106" t="str">
            <v>68152-99-8</v>
          </cell>
          <cell r="C106" t="str">
            <v>Linseed oil, reaction products with lead oxide (Pb3O4) and mastic</v>
          </cell>
          <cell r="D106">
            <v>0.1</v>
          </cell>
        </row>
        <row r="107">
          <cell r="B107" t="str">
            <v>68155-47-5</v>
          </cell>
          <cell r="C107" t="str">
            <v>2-Propenoic acid, 2-methyl-, methyl ester, polymer with ethenylbenzene, lead(2+) bis(2-methyl-2-propenoate) and α-(2-methyl-1-oxo-2-propenyl)-ω-[(2-methyl-1-oxo-2-propenyl)oxy]poly(oxy-1,2-ethanediyl) ; Methyl methacrylate-styrene-polyethylene glycol-dime</v>
          </cell>
          <cell r="D107">
            <v>0.1</v>
          </cell>
        </row>
        <row r="108">
          <cell r="B108" t="str">
            <v>68515-76-4</v>
          </cell>
          <cell r="C108" t="str">
            <v>Hexanoic acid, 2-ethyl-, lead(2+) salt, basic</v>
          </cell>
          <cell r="D108">
            <v>0.1</v>
          </cell>
        </row>
        <row r="109">
          <cell r="B109" t="str">
            <v>68553-63-9</v>
          </cell>
          <cell r="C109" t="str">
            <v>Oils, fish, lead salts</v>
          </cell>
          <cell r="D109">
            <v>0.1</v>
          </cell>
        </row>
        <row r="110">
          <cell r="B110" t="str">
            <v>68603-83-8</v>
          </cell>
          <cell r="C110" t="str">
            <v>Fatty acids, (C=6-19)-branched, lead salts, basic</v>
          </cell>
          <cell r="D110">
            <v>0.1</v>
          </cell>
        </row>
        <row r="111">
          <cell r="B111" t="str">
            <v>69011-60-5</v>
          </cell>
          <cell r="C111" t="str">
            <v>Lead alloy, Pb,Sn, dross</v>
          </cell>
          <cell r="D111">
            <v>0.1</v>
          </cell>
        </row>
        <row r="112">
          <cell r="B112" t="str">
            <v>95860-12-1</v>
          </cell>
          <cell r="C112" t="str">
            <v>Methanesulfonic acid, lead salt</v>
          </cell>
          <cell r="D112">
            <v>0.1</v>
          </cell>
        </row>
        <row r="113">
          <cell r="B113" t="str">
            <v>102110-24-7</v>
          </cell>
          <cell r="C113" t="str">
            <v>Barium oxide (BaO), solid soln. with calcium oxide, strontium oxide and tungsten oxide (WO3), lead-doped</v>
          </cell>
          <cell r="D113">
            <v>0.1</v>
          </cell>
        </row>
        <row r="114">
          <cell r="B114" t="str">
            <v>116565-74-3</v>
          </cell>
          <cell r="C114" t="str">
            <v>Chromium lead oxide sulfate, silica-modified</v>
          </cell>
          <cell r="D114">
            <v>0.1</v>
          </cell>
        </row>
        <row r="115">
          <cell r="B115" t="str">
            <v>7487-94-7</v>
          </cell>
          <cell r="C115" t="str">
            <v>Mercury dichloride</v>
          </cell>
          <cell r="D115">
            <v>1</v>
          </cell>
        </row>
        <row r="116">
          <cell r="B116" t="str">
            <v>7783-35-9</v>
          </cell>
          <cell r="C116" t="str">
            <v>Mercury sulfate</v>
          </cell>
          <cell r="D116">
            <v>1</v>
          </cell>
        </row>
        <row r="117">
          <cell r="B117" t="str">
            <v>13222-52-1</v>
          </cell>
          <cell r="C117" t="str">
            <v>Acetophenone, hydrazone, compd. with mercury chloride (HgCl2) (1:1)</v>
          </cell>
          <cell r="D117">
            <v>1</v>
          </cell>
        </row>
        <row r="118">
          <cell r="B118" t="str">
            <v>373-02-4</v>
          </cell>
          <cell r="C118" t="str">
            <v>Nickel acetate ; Acetic acid nickel(2+) salt</v>
          </cell>
          <cell r="D118">
            <v>0.1</v>
          </cell>
        </row>
        <row r="119">
          <cell r="B119" t="str">
            <v>1314-06-3</v>
          </cell>
          <cell r="C119" t="str">
            <v>Dinickel trioxide</v>
          </cell>
          <cell r="D119">
            <v>0.1</v>
          </cell>
        </row>
        <row r="120">
          <cell r="B120" t="str">
            <v>6018-89-9</v>
          </cell>
          <cell r="C120" t="str">
            <v>Diacetatonickel tetrahydrate</v>
          </cell>
          <cell r="D120">
            <v>0.1</v>
          </cell>
        </row>
        <row r="121">
          <cell r="B121" t="str">
            <v>7580-31-6</v>
          </cell>
          <cell r="C121" t="str">
            <v>2-Ethylhexanoic acid nickel salt</v>
          </cell>
          <cell r="D121">
            <v>0.1</v>
          </cell>
        </row>
        <row r="122">
          <cell r="B122" t="str">
            <v>7785-20-8</v>
          </cell>
          <cell r="C122" t="str">
            <v>Nickel diammonium disulfate hexahydrate</v>
          </cell>
          <cell r="D122">
            <v>0.1</v>
          </cell>
        </row>
        <row r="123">
          <cell r="B123" t="str">
            <v>7791-20-0</v>
          </cell>
          <cell r="C123" t="str">
            <v>Nickel dichloride hexahydrate</v>
          </cell>
          <cell r="D123">
            <v>0.1</v>
          </cell>
        </row>
        <row r="124">
          <cell r="B124" t="str">
            <v>10028-18-9</v>
          </cell>
          <cell r="C124" t="str">
            <v>Nickel difluoride</v>
          </cell>
          <cell r="D124">
            <v>0.1</v>
          </cell>
        </row>
        <row r="125">
          <cell r="B125" t="str">
            <v>10101-96-9</v>
          </cell>
          <cell r="C125" t="str">
            <v>Nickel(2+) selenite</v>
          </cell>
          <cell r="D125">
            <v>0.1</v>
          </cell>
        </row>
        <row r="126">
          <cell r="B126" t="str">
            <v>10101-97-0</v>
          </cell>
          <cell r="C126" t="str">
            <v>Nickel monosulfate hexahydrate</v>
          </cell>
          <cell r="D126">
            <v>0.1</v>
          </cell>
        </row>
        <row r="127">
          <cell r="B127" t="str">
            <v>10381-36-9</v>
          </cell>
          <cell r="C127" t="str">
            <v>Trinickel bis(orthophosphate)</v>
          </cell>
          <cell r="D127">
            <v>0.1</v>
          </cell>
        </row>
        <row r="128">
          <cell r="B128" t="str">
            <v>11113-74-9</v>
          </cell>
          <cell r="C128" t="str">
            <v>Nickel hydroxide</v>
          </cell>
          <cell r="D128">
            <v>0.1</v>
          </cell>
        </row>
        <row r="129">
          <cell r="B129" t="str">
            <v>11113-75-0</v>
          </cell>
          <cell r="C129" t="str">
            <v>Nickel sulfide</v>
          </cell>
          <cell r="D129">
            <v>0.1</v>
          </cell>
        </row>
        <row r="130">
          <cell r="B130" t="str">
            <v>11133-76-9</v>
          </cell>
          <cell r="C130" t="str">
            <v>Ferronickel</v>
          </cell>
          <cell r="D130">
            <v>0.1</v>
          </cell>
        </row>
        <row r="131">
          <cell r="B131" t="str">
            <v>12003-78-0</v>
          </cell>
          <cell r="C131" t="str">
            <v>Aluminium compound with nickel (1:1)</v>
          </cell>
          <cell r="D131">
            <v>0.1</v>
          </cell>
        </row>
        <row r="132">
          <cell r="B132" t="str">
            <v>12031-65-1</v>
          </cell>
          <cell r="C132" t="str">
            <v>Lithium nickelate</v>
          </cell>
          <cell r="D132">
            <v>0.1</v>
          </cell>
        </row>
        <row r="133">
          <cell r="B133" t="str">
            <v>12035-36-8</v>
          </cell>
          <cell r="C133" t="str">
            <v>Nickel dioxide</v>
          </cell>
          <cell r="D133">
            <v>0.1</v>
          </cell>
        </row>
        <row r="134">
          <cell r="B134" t="str">
            <v>12035-72-2</v>
          </cell>
          <cell r="C134" t="str">
            <v>Trinickel disulfide</v>
          </cell>
          <cell r="D134">
            <v>0.1</v>
          </cell>
        </row>
        <row r="135">
          <cell r="B135" t="str">
            <v>12054-48-7</v>
          </cell>
          <cell r="C135" t="str">
            <v>Nickel dihydroxide</v>
          </cell>
          <cell r="D135">
            <v>0.1</v>
          </cell>
        </row>
        <row r="136">
          <cell r="B136" t="str">
            <v>12325-84-7</v>
          </cell>
          <cell r="C136" t="str">
            <v>Lithium Nickel Oxide</v>
          </cell>
          <cell r="D136">
            <v>0.1</v>
          </cell>
        </row>
        <row r="137">
          <cell r="B137" t="str">
            <v>13462-88-9</v>
          </cell>
          <cell r="C137" t="str">
            <v>Nickel dibromide</v>
          </cell>
          <cell r="D137">
            <v>0.1</v>
          </cell>
        </row>
        <row r="138">
          <cell r="B138" t="str">
            <v>13927-77-0</v>
          </cell>
          <cell r="C138" t="str">
            <v>Bis(dibutylcarbamodithioato-S,S')nickel ; Nickel dibutyldithiocarbamate</v>
          </cell>
          <cell r="D138">
            <v>0.1</v>
          </cell>
        </row>
        <row r="139">
          <cell r="B139" t="str">
            <v>13940-83-5</v>
          </cell>
          <cell r="C139" t="str">
            <v>Nickel difluoride tetrahydrate</v>
          </cell>
          <cell r="D139">
            <v>0.1</v>
          </cell>
        </row>
        <row r="140">
          <cell r="B140" t="str">
            <v>14216-75-2</v>
          </cell>
          <cell r="C140" t="str">
            <v>Nitric acid nickel salt</v>
          </cell>
          <cell r="D140">
            <v>0.1</v>
          </cell>
        </row>
        <row r="141">
          <cell r="B141" t="str">
            <v>15699-18-0</v>
          </cell>
          <cell r="C141" t="str">
            <v>Ammonium nickel sulfate</v>
          </cell>
          <cell r="D141">
            <v>0.1</v>
          </cell>
        </row>
        <row r="142">
          <cell r="B142" t="str">
            <v>16812-54-7</v>
          </cell>
          <cell r="C142" t="str">
            <v>Nickel monosulfide</v>
          </cell>
          <cell r="D142">
            <v>0.1</v>
          </cell>
        </row>
        <row r="143">
          <cell r="B143" t="str">
            <v>18718-11-1</v>
          </cell>
          <cell r="C143" t="str">
            <v>Nickel bis(dihydrogen phosphate)</v>
          </cell>
          <cell r="D143">
            <v>0.1</v>
          </cell>
        </row>
        <row r="144">
          <cell r="B144" t="str">
            <v>36026-88-7</v>
          </cell>
          <cell r="C144" t="str">
            <v>Nickel hypophosphite</v>
          </cell>
          <cell r="D144">
            <v>0.1</v>
          </cell>
        </row>
        <row r="145">
          <cell r="B145" t="str">
            <v>39430-27-8</v>
          </cell>
          <cell r="C145" t="str">
            <v>Basic nickel carbonate</v>
          </cell>
          <cell r="D145">
            <v>0.1</v>
          </cell>
        </row>
        <row r="146">
          <cell r="B146" t="str">
            <v>61788-71-4</v>
          </cell>
          <cell r="C146" t="str">
            <v>Naphthenic acids nickel salts</v>
          </cell>
          <cell r="D146">
            <v>0.1</v>
          </cell>
        </row>
        <row r="147">
          <cell r="B147" t="str">
            <v>64696-98-6</v>
          </cell>
          <cell r="C147" t="str">
            <v>2,3'-Bis[[2-hydroxyphenyl)methylene]amino]-2-butenedinitrilato(2-)-N2,N3,O2,O3]nickel</v>
          </cell>
          <cell r="D147">
            <v>0.1</v>
          </cell>
        </row>
        <row r="148">
          <cell r="B148" t="str">
            <v>67952-43-6</v>
          </cell>
          <cell r="C148" t="str">
            <v>Nickel chlorate ; Chloric acid, nickel(2+) salt</v>
          </cell>
          <cell r="D148">
            <v>0.1</v>
          </cell>
        </row>
        <row r="149">
          <cell r="B149" t="str">
            <v>68511-62-6</v>
          </cell>
          <cell r="C149" t="str">
            <v>Nickel, 5,5'-azobis-2,4,6(1H,3H,5H)-pyrimidinetrione complexes</v>
          </cell>
          <cell r="D149">
            <v>0.1</v>
          </cell>
        </row>
        <row r="150">
          <cell r="B150" t="str">
            <v>69012-50-6</v>
          </cell>
          <cell r="C150" t="str">
            <v>Matte, nickel</v>
          </cell>
          <cell r="D150">
            <v>0.1</v>
          </cell>
        </row>
        <row r="151">
          <cell r="B151" t="str">
            <v>91845-72-6</v>
          </cell>
          <cell r="C151" t="str">
            <v>Fatty acids, (C=3-22), nickel salts, basic</v>
          </cell>
          <cell r="D151">
            <v>0.1</v>
          </cell>
        </row>
        <row r="152">
          <cell r="B152" t="str">
            <v>124594-15-6</v>
          </cell>
          <cell r="C152" t="str">
            <v>Nickel(Ⅱ) Sulfamate, 4H2O</v>
          </cell>
          <cell r="D152">
            <v>0.1</v>
          </cell>
        </row>
        <row r="153">
          <cell r="B153" t="str">
            <v>182442-95-1</v>
          </cell>
          <cell r="C153" t="str">
            <v>LITHIUM COBALT MANGANESE NICKEL OXIDE</v>
          </cell>
          <cell r="D153">
            <v>0.1</v>
          </cell>
        </row>
        <row r="154">
          <cell r="B154" t="str">
            <v>1303-28-2</v>
          </cell>
          <cell r="C154" t="str">
            <v>Diarsenic pentoxide</v>
          </cell>
          <cell r="D154">
            <v>0.1</v>
          </cell>
        </row>
        <row r="155">
          <cell r="B155" t="str">
            <v>7784-42-1</v>
          </cell>
          <cell r="C155" t="str">
            <v>Arsenic hydride ; Arsine</v>
          </cell>
          <cell r="D155">
            <v>0.1</v>
          </cell>
        </row>
        <row r="156">
          <cell r="B156" t="str">
            <v>13597-99-4</v>
          </cell>
          <cell r="C156" t="str">
            <v>Nitric acid beryllium salt</v>
          </cell>
          <cell r="D156">
            <v>0.1</v>
          </cell>
        </row>
        <row r="157">
          <cell r="B157" t="str">
            <v>2420-98-6</v>
          </cell>
          <cell r="C157" t="str">
            <v>Cadmium 2-ethylhexanoate</v>
          </cell>
          <cell r="D157">
            <v>0.1</v>
          </cell>
        </row>
        <row r="158">
          <cell r="B158" t="str">
            <v>3026-22-0</v>
          </cell>
          <cell r="C158" t="str">
            <v>Benzoic acid cadmium salt</v>
          </cell>
          <cell r="D158">
            <v>0.1</v>
          </cell>
        </row>
        <row r="159">
          <cell r="B159" t="str">
            <v>4167-05-9</v>
          </cell>
          <cell r="C159" t="str">
            <v>p-tert-Butylbenzoic acid cadmium salt</v>
          </cell>
          <cell r="D159">
            <v>0.1</v>
          </cell>
        </row>
        <row r="160">
          <cell r="B160" t="str">
            <v>12442-27-2</v>
          </cell>
          <cell r="C160" t="str">
            <v>Cadmium zinc sulfide ((Cd,Zn)S)</v>
          </cell>
          <cell r="D160">
            <v>0.1</v>
          </cell>
        </row>
        <row r="161">
          <cell r="B161" t="str">
            <v>12626-36-7</v>
          </cell>
          <cell r="C161" t="str">
            <v>Cadmium sulfoselenide</v>
          </cell>
          <cell r="D161">
            <v>0.1</v>
          </cell>
        </row>
        <row r="162">
          <cell r="B162" t="str">
            <v>12656-57-4</v>
          </cell>
          <cell r="C162" t="str">
            <v>Cadmium sulfoselenide orange ; C.I. Pigment Orange 20</v>
          </cell>
          <cell r="D162">
            <v>0.1</v>
          </cell>
        </row>
        <row r="163">
          <cell r="B163" t="str">
            <v>68876-84-6</v>
          </cell>
          <cell r="C163" t="str">
            <v>Fatty acids, (C=8-18) and (C=18)-unsatd., cadmium salts</v>
          </cell>
          <cell r="D163">
            <v>0.1</v>
          </cell>
        </row>
        <row r="164">
          <cell r="B164" t="str">
            <v>102110-30-5</v>
          </cell>
          <cell r="C164" t="str">
            <v>Cadmium oxide (CdO), solid soln. with magnesium oxide, tungsten oxide (WO3) and zinc oxide</v>
          </cell>
          <cell r="D164">
            <v>0.1</v>
          </cell>
        </row>
        <row r="165">
          <cell r="B165" t="str">
            <v>1066-30-4</v>
          </cell>
          <cell r="C165" t="str">
            <v>Acetic acid, chromium(3+) salt ; Chromium triacetate</v>
          </cell>
          <cell r="D165">
            <v>0.1</v>
          </cell>
        </row>
        <row r="166">
          <cell r="B166" t="str">
            <v>1308-14-1</v>
          </cell>
          <cell r="C166" t="str">
            <v>Dichromium trioxide hydrate</v>
          </cell>
          <cell r="D166">
            <v>0.1</v>
          </cell>
        </row>
        <row r="167">
          <cell r="B167" t="str">
            <v>1308-31-2</v>
          </cell>
          <cell r="C167" t="str">
            <v>Dichromium iron tetraoxide</v>
          </cell>
          <cell r="D167">
            <v>0.1</v>
          </cell>
        </row>
        <row r="168">
          <cell r="B168" t="str">
            <v>7329-33-1</v>
          </cell>
          <cell r="C168" t="str">
            <v>2-Ethylhexanoic acid chromium salt</v>
          </cell>
          <cell r="D168">
            <v>0.1</v>
          </cell>
        </row>
        <row r="169">
          <cell r="B169" t="str">
            <v>7788-97-8</v>
          </cell>
          <cell r="C169" t="str">
            <v>Chromium trifluoride</v>
          </cell>
          <cell r="D169">
            <v>0.1</v>
          </cell>
        </row>
        <row r="170">
          <cell r="B170" t="str">
            <v>7789-04-0</v>
          </cell>
          <cell r="C170" t="str">
            <v>Chromium orthophosphate</v>
          </cell>
          <cell r="D170">
            <v>0.1</v>
          </cell>
        </row>
        <row r="171">
          <cell r="B171" t="str">
            <v>10025-73-7</v>
          </cell>
          <cell r="C171" t="str">
            <v>Chromium trichloride</v>
          </cell>
          <cell r="D171">
            <v>0.1</v>
          </cell>
        </row>
        <row r="172">
          <cell r="B172" t="str">
            <v>11114-46-8</v>
          </cell>
          <cell r="C172" t="str">
            <v>Ferrochromium</v>
          </cell>
          <cell r="D172">
            <v>0.1</v>
          </cell>
        </row>
        <row r="173">
          <cell r="B173" t="str">
            <v>12012-35-0</v>
          </cell>
          <cell r="C173" t="str">
            <v>Trichromium dicarbide</v>
          </cell>
          <cell r="D173">
            <v>0.1</v>
          </cell>
        </row>
        <row r="174">
          <cell r="B174" t="str">
            <v>12053-27-9</v>
          </cell>
          <cell r="C174" t="str">
            <v>Chromium nitride (Cr2N)</v>
          </cell>
          <cell r="D174">
            <v>0.1</v>
          </cell>
        </row>
        <row r="175">
          <cell r="B175" t="str">
            <v>13548-38-4</v>
          </cell>
          <cell r="C175" t="str">
            <v>Chromium trinitrate</v>
          </cell>
          <cell r="D175">
            <v>0.1</v>
          </cell>
        </row>
        <row r="176">
          <cell r="B176" t="str">
            <v>15096-41-0</v>
          </cell>
          <cell r="C176" t="str">
            <v>Hydroxytetrachloro(methacrylato)dichromium</v>
          </cell>
          <cell r="D176">
            <v>0.1</v>
          </cell>
        </row>
        <row r="177">
          <cell r="B177" t="str">
            <v>15242-96-3</v>
          </cell>
          <cell r="C177" t="str">
            <v>Tetrachloro-μ-hydroxy [μ-(octadecanoato-O:O']dichromium</v>
          </cell>
          <cell r="D177">
            <v>0.1</v>
          </cell>
        </row>
        <row r="178">
          <cell r="B178" t="str">
            <v>15244-38-9</v>
          </cell>
          <cell r="C178" t="str">
            <v>Chromium sulfate (2:3) hydrate</v>
          </cell>
          <cell r="D178">
            <v>0.1</v>
          </cell>
        </row>
        <row r="179">
          <cell r="B179" t="str">
            <v>16065-83-1</v>
          </cell>
          <cell r="C179" t="str">
            <v>chromium solublechromic chromous salt as crill</v>
          </cell>
          <cell r="D179">
            <v>0.1</v>
          </cell>
        </row>
        <row r="180">
          <cell r="B180" t="str">
            <v>18540-29-9</v>
          </cell>
          <cell r="C180" t="str">
            <v>Chromium(vi) ion</v>
          </cell>
          <cell r="D180">
            <v>0.1</v>
          </cell>
        </row>
        <row r="181">
          <cell r="B181" t="str">
            <v>21679-31-2</v>
          </cell>
          <cell r="C181" t="str">
            <v>Chromium(3+) 4oxopent2ene2olate</v>
          </cell>
          <cell r="D181">
            <v>0.1</v>
          </cell>
        </row>
        <row r="182">
          <cell r="B182" t="str">
            <v>24613-89-6</v>
          </cell>
          <cell r="C182" t="str">
            <v>Chromic acid (H2CrO4), chromium(3+) salt (3:2)</v>
          </cell>
          <cell r="D182">
            <v>0.1</v>
          </cell>
        </row>
        <row r="183">
          <cell r="B183" t="str">
            <v>27096-04-4</v>
          </cell>
          <cell r="C183" t="str">
            <v>Chromium tris(dihydrogen phosphate)</v>
          </cell>
          <cell r="D183">
            <v>0.1</v>
          </cell>
        </row>
        <row r="184">
          <cell r="B184" t="str">
            <v>50922-29-7</v>
          </cell>
          <cell r="C184" t="str">
            <v>Chromium zinc oxide</v>
          </cell>
          <cell r="D184">
            <v>0.1</v>
          </cell>
        </row>
        <row r="185">
          <cell r="B185" t="str">
            <v>50925-66-1</v>
          </cell>
          <cell r="C185" t="str">
            <v>Chromium chloride, basic</v>
          </cell>
          <cell r="D185">
            <v>0.1</v>
          </cell>
        </row>
        <row r="186">
          <cell r="B186" t="str">
            <v>59178-46-0</v>
          </cell>
          <cell r="C186" t="str">
            <v>Dichromium tris(hydrogen phosphate)</v>
          </cell>
          <cell r="D186">
            <v>0.1</v>
          </cell>
        </row>
        <row r="187">
          <cell r="B187" t="str">
            <v>65229-24-5</v>
          </cell>
          <cell r="C187" t="str">
            <v>Pentahydroxy(tetradecanoato)dichromium</v>
          </cell>
          <cell r="D187">
            <v>0.1</v>
          </cell>
        </row>
        <row r="188">
          <cell r="B188" t="str">
            <v>65232-85-1</v>
          </cell>
          <cell r="C188" t="str">
            <v>Zinc iron chromium oxide</v>
          </cell>
          <cell r="D188">
            <v>0.1</v>
          </cell>
        </row>
        <row r="189">
          <cell r="B189" t="str">
            <v>69991-68-0</v>
          </cell>
          <cell r="C189" t="str">
            <v>Rutile, antimony chromium manganese brown</v>
          </cell>
          <cell r="D189">
            <v>0.1</v>
          </cell>
        </row>
        <row r="190">
          <cell r="B190" t="str">
            <v>75199-06-3</v>
          </cell>
          <cell r="C190" t="str">
            <v>3-[(2-Hydroxy-1-naphthalenyl)azo]-2-hydroxy-5-nitrobenzenesulfonic acid, chromium complex, trisodium salt</v>
          </cell>
          <cell r="D190">
            <v>0.1</v>
          </cell>
        </row>
        <row r="191">
          <cell r="B191" t="str">
            <v>92203-02-6</v>
          </cell>
          <cell r="C191" t="str">
            <v>Phosphoric acid reaction products with aluminum hydroxide and chromium oxide (CrO3)</v>
          </cell>
          <cell r="D191">
            <v>0.1</v>
          </cell>
        </row>
        <row r="192">
          <cell r="B192" t="str">
            <v>92203-03-7</v>
          </cell>
          <cell r="C192" t="str">
            <v>Phosphoric acid reaction products with aluminum hydroxide, chromium oxide (CrO3) and diethanolamine</v>
          </cell>
          <cell r="D192">
            <v>0.1</v>
          </cell>
        </row>
        <row r="193">
          <cell r="B193" t="str">
            <v>95465-97-7</v>
          </cell>
          <cell r="C193" t="str">
            <v>Spinels, chromium green</v>
          </cell>
          <cell r="D193">
            <v>0.1</v>
          </cell>
        </row>
        <row r="194">
          <cell r="B194" t="str">
            <v>99328-47-9</v>
          </cell>
          <cell r="C194" t="str">
            <v>Aluminium oxide (Al2O3), chromium-doped</v>
          </cell>
          <cell r="D194">
            <v>0.1</v>
          </cell>
        </row>
        <row r="195">
          <cell r="B195" t="str">
            <v>129039-96-9</v>
          </cell>
          <cell r="C195" t="str">
            <v>Chromium hydroxide sulfate ; Basic chromium sulphate</v>
          </cell>
          <cell r="D195">
            <v>0.1</v>
          </cell>
        </row>
      </sheetData>
      <sheetData sheetId="33" refreshError="1">
        <row r="1">
          <cell r="B1" t="str">
            <v>CAS No</v>
          </cell>
          <cell r="C1" t="str">
            <v>화학물질명</v>
          </cell>
          <cell r="D1" t="str">
            <v>함량기준수치</v>
          </cell>
        </row>
        <row r="2">
          <cell r="B2" t="str">
            <v>10022-31-8</v>
          </cell>
          <cell r="C2" t="str">
            <v>Barium nitrate</v>
          </cell>
          <cell r="D2">
            <v>1</v>
          </cell>
        </row>
        <row r="3">
          <cell r="B3" t="str">
            <v>10025-87-3</v>
          </cell>
          <cell r="C3" t="str">
            <v>Phosphorus oxychloride</v>
          </cell>
          <cell r="D3">
            <v>1</v>
          </cell>
        </row>
        <row r="4">
          <cell r="B4" t="str">
            <v>10034-85-2</v>
          </cell>
          <cell r="C4" t="str">
            <v>Hydrogen iodide</v>
          </cell>
          <cell r="D4">
            <v>1</v>
          </cell>
        </row>
        <row r="5">
          <cell r="B5" t="str">
            <v>10034-93-2</v>
          </cell>
          <cell r="C5" t="str">
            <v>Hydrazine sulfate</v>
          </cell>
          <cell r="D5">
            <v>0.1</v>
          </cell>
        </row>
        <row r="6">
          <cell r="B6" t="str">
            <v>10035-10-6</v>
          </cell>
          <cell r="C6" t="str">
            <v>Hydrogen bromide</v>
          </cell>
          <cell r="D6">
            <v>1</v>
          </cell>
        </row>
        <row r="7">
          <cell r="B7" t="str">
            <v>100-40-3</v>
          </cell>
          <cell r="C7" t="str">
            <v>4-Vinylcyclohexene</v>
          </cell>
          <cell r="D7">
            <v>0.1</v>
          </cell>
        </row>
        <row r="8">
          <cell r="B8" t="str">
            <v>100-41-4</v>
          </cell>
          <cell r="C8" t="str">
            <v>Ethylbenzene</v>
          </cell>
          <cell r="D8">
            <v>0.1</v>
          </cell>
        </row>
        <row r="9">
          <cell r="B9" t="str">
            <v>100-42-5</v>
          </cell>
          <cell r="C9" t="str">
            <v>Styrene</v>
          </cell>
          <cell r="D9">
            <v>0.1</v>
          </cell>
        </row>
        <row r="10">
          <cell r="B10" t="str">
            <v>10043-01-3</v>
          </cell>
          <cell r="C10" t="str">
            <v>Aluminium sulfate</v>
          </cell>
          <cell r="D10">
            <v>1</v>
          </cell>
        </row>
        <row r="11">
          <cell r="B11" t="str">
            <v>10043-35-3</v>
          </cell>
          <cell r="C11" t="str">
            <v>Boric acid</v>
          </cell>
          <cell r="D11">
            <v>1</v>
          </cell>
        </row>
        <row r="12">
          <cell r="B12" t="str">
            <v>100-44-7</v>
          </cell>
          <cell r="C12" t="str">
            <v>Benzyl chloride</v>
          </cell>
          <cell r="D12">
            <v>0.1</v>
          </cell>
        </row>
        <row r="13">
          <cell r="B13" t="str">
            <v>100-63-0</v>
          </cell>
          <cell r="C13" t="str">
            <v>Phenylhydrazine</v>
          </cell>
          <cell r="D13">
            <v>0.1</v>
          </cell>
        </row>
        <row r="14">
          <cell r="B14" t="str">
            <v>100-69-6</v>
          </cell>
          <cell r="C14" t="str">
            <v>2-Vinylpyridine</v>
          </cell>
          <cell r="D14">
            <v>1</v>
          </cell>
        </row>
        <row r="15">
          <cell r="B15" t="str">
            <v>10101-50-5</v>
          </cell>
          <cell r="C15" t="str">
            <v>Sodium permanganate</v>
          </cell>
          <cell r="D15">
            <v>1</v>
          </cell>
        </row>
        <row r="16">
          <cell r="B16" t="str">
            <v>101-14-4</v>
          </cell>
          <cell r="C16" t="str">
            <v>3,3'-Dichloro-4,4'-diaminodiphenylmethane</v>
          </cell>
          <cell r="D16">
            <v>0.1</v>
          </cell>
        </row>
        <row r="17">
          <cell r="B17" t="str">
            <v>10124-43-3</v>
          </cell>
          <cell r="C17" t="str">
            <v>Cobalt sulfate</v>
          </cell>
          <cell r="D17">
            <v>0.1</v>
          </cell>
        </row>
        <row r="18">
          <cell r="B18" t="str">
            <v>101-61-1</v>
          </cell>
          <cell r="C18" t="str">
            <v>4,4'-Methylene bis(N,N-dimethyl) benzenamine</v>
          </cell>
          <cell r="D18">
            <v>0.1</v>
          </cell>
        </row>
        <row r="19">
          <cell r="B19" t="str">
            <v>101-68-8</v>
          </cell>
          <cell r="C19" t="str">
            <v>Diphenylmethane 4,4'-diisocyanate</v>
          </cell>
          <cell r="D19">
            <v>1</v>
          </cell>
        </row>
        <row r="20">
          <cell r="B20" t="str">
            <v>101-77-9</v>
          </cell>
          <cell r="C20" t="str">
            <v>4,4'-Methylenedianiline</v>
          </cell>
          <cell r="D20">
            <v>0.1</v>
          </cell>
        </row>
        <row r="21">
          <cell r="B21" t="str">
            <v>101-80-4</v>
          </cell>
          <cell r="C21" t="str">
            <v>4,4'-Diaminodiphenyl ether</v>
          </cell>
          <cell r="D21">
            <v>0.1</v>
          </cell>
        </row>
        <row r="22">
          <cell r="B22" t="str">
            <v>102-82-9</v>
          </cell>
          <cell r="C22" t="str">
            <v>Tributylamine</v>
          </cell>
          <cell r="D22">
            <v>1</v>
          </cell>
        </row>
        <row r="23">
          <cell r="B23" t="str">
            <v>103-23-1</v>
          </cell>
          <cell r="C23" t="str">
            <v>Di(2-ethylhexyl) adipate</v>
          </cell>
          <cell r="D23">
            <v>1</v>
          </cell>
        </row>
        <row r="24">
          <cell r="B24" t="str">
            <v>10361-37-2</v>
          </cell>
          <cell r="C24" t="str">
            <v>Barium chloride</v>
          </cell>
          <cell r="D24">
            <v>1</v>
          </cell>
        </row>
        <row r="25">
          <cell r="B25" t="str">
            <v>104-40-5</v>
          </cell>
          <cell r="C25" t="str">
            <v>4-Nonylphenol</v>
          </cell>
          <cell r="D25">
            <v>1</v>
          </cell>
        </row>
        <row r="26">
          <cell r="B26" t="str">
            <v>10453-86-8</v>
          </cell>
          <cell r="C26" t="str">
            <v>Resmethrin</v>
          </cell>
          <cell r="D26">
            <v>1</v>
          </cell>
        </row>
        <row r="27">
          <cell r="B27" t="str">
            <v>106-42-3</v>
          </cell>
          <cell r="C27" t="str">
            <v>p-Xylene</v>
          </cell>
          <cell r="D27">
            <v>1</v>
          </cell>
        </row>
        <row r="28">
          <cell r="B28" t="str">
            <v>106-44-5</v>
          </cell>
          <cell r="C28" t="str">
            <v>p-Cresol</v>
          </cell>
          <cell r="D28">
            <v>1</v>
          </cell>
        </row>
        <row r="29">
          <cell r="B29" t="str">
            <v>106-46-7</v>
          </cell>
          <cell r="C29" t="str">
            <v>1,4-Dichlorobenzene</v>
          </cell>
          <cell r="D29">
            <v>0.1</v>
          </cell>
        </row>
        <row r="30">
          <cell r="B30" t="str">
            <v>106-47-8</v>
          </cell>
          <cell r="C30" t="str">
            <v>p-Chloroaniline</v>
          </cell>
          <cell r="D30">
            <v>0.1</v>
          </cell>
        </row>
        <row r="31">
          <cell r="B31" t="str">
            <v>106-51-4</v>
          </cell>
          <cell r="C31" t="str">
            <v>1,4-benzoquinone</v>
          </cell>
          <cell r="D31">
            <v>1</v>
          </cell>
        </row>
        <row r="32">
          <cell r="B32" t="str">
            <v>106-88-7</v>
          </cell>
          <cell r="C32" t="str">
            <v>1,2-Epoxybutane</v>
          </cell>
          <cell r="D32">
            <v>0.1</v>
          </cell>
        </row>
        <row r="33">
          <cell r="B33" t="str">
            <v>106-89-8</v>
          </cell>
          <cell r="C33" t="str">
            <v>Epichlorohydrin</v>
          </cell>
          <cell r="D33">
            <v>0.1</v>
          </cell>
        </row>
        <row r="34">
          <cell r="B34" t="str">
            <v>106917-52-6</v>
          </cell>
          <cell r="C34" t="str">
            <v>Flusulfamide</v>
          </cell>
          <cell r="D34">
            <v>1</v>
          </cell>
        </row>
        <row r="35">
          <cell r="B35" t="str">
            <v>106-93-4</v>
          </cell>
          <cell r="C35" t="str">
            <v>1,2-Dibromoethane</v>
          </cell>
          <cell r="D35">
            <v>0.1</v>
          </cell>
        </row>
        <row r="36">
          <cell r="B36" t="str">
            <v>106-97-8</v>
          </cell>
          <cell r="C36" t="str">
            <v>Butane</v>
          </cell>
          <cell r="D36">
            <v>0.1</v>
          </cell>
        </row>
        <row r="37">
          <cell r="B37" t="str">
            <v>106-98-9</v>
          </cell>
          <cell r="C37" t="str">
            <v>1-Butene</v>
          </cell>
          <cell r="D37">
            <v>1</v>
          </cell>
        </row>
        <row r="38">
          <cell r="B38" t="str">
            <v>106-99-0</v>
          </cell>
          <cell r="C38" t="str">
            <v>1,3-Butadiene</v>
          </cell>
          <cell r="D38">
            <v>0.1</v>
          </cell>
        </row>
        <row r="39">
          <cell r="B39" t="str">
            <v>107-02-8</v>
          </cell>
          <cell r="C39" t="str">
            <v>Acrolein</v>
          </cell>
          <cell r="D39">
            <v>1</v>
          </cell>
        </row>
        <row r="40">
          <cell r="B40" t="str">
            <v>107-04-0</v>
          </cell>
          <cell r="C40" t="str">
            <v>1-Bromo-2-chloroethane</v>
          </cell>
          <cell r="D40">
            <v>1</v>
          </cell>
        </row>
        <row r="41">
          <cell r="B41" t="str">
            <v>107-06-2</v>
          </cell>
          <cell r="C41" t="str">
            <v>1,2-Dichloroethane</v>
          </cell>
          <cell r="D41">
            <v>0.1</v>
          </cell>
        </row>
        <row r="42">
          <cell r="B42" t="str">
            <v>107-07-3</v>
          </cell>
          <cell r="C42" t="str">
            <v>2-Chloroethanol</v>
          </cell>
          <cell r="D42">
            <v>1</v>
          </cell>
        </row>
        <row r="43">
          <cell r="B43" t="str">
            <v>107-12-0</v>
          </cell>
          <cell r="C43" t="str">
            <v>Propiononitrile</v>
          </cell>
          <cell r="D43">
            <v>1</v>
          </cell>
        </row>
        <row r="44">
          <cell r="B44" t="str">
            <v>107-13-1</v>
          </cell>
          <cell r="C44" t="str">
            <v>Acrylonitrile</v>
          </cell>
          <cell r="D44">
            <v>0.1</v>
          </cell>
        </row>
        <row r="45">
          <cell r="B45" t="str">
            <v>107-18-6</v>
          </cell>
          <cell r="C45" t="str">
            <v>Allyl alcohol</v>
          </cell>
          <cell r="D45">
            <v>1</v>
          </cell>
        </row>
        <row r="46">
          <cell r="B46" t="str">
            <v>107-19-7</v>
          </cell>
          <cell r="C46" t="str">
            <v>2-Propyn-1-ol</v>
          </cell>
          <cell r="D46">
            <v>1</v>
          </cell>
        </row>
        <row r="47">
          <cell r="B47" t="str">
            <v>108-05-4</v>
          </cell>
          <cell r="C47" t="str">
            <v>Vinyl acetate</v>
          </cell>
          <cell r="D47">
            <v>0.1</v>
          </cell>
        </row>
        <row r="48">
          <cell r="B48" t="str">
            <v>108-38-3</v>
          </cell>
          <cell r="C48" t="str">
            <v>m-Xylene</v>
          </cell>
          <cell r="D48">
            <v>1</v>
          </cell>
        </row>
        <row r="49">
          <cell r="B49" t="str">
            <v>108-39-4</v>
          </cell>
          <cell r="C49" t="str">
            <v>m-Cresol</v>
          </cell>
          <cell r="D49">
            <v>1</v>
          </cell>
        </row>
        <row r="50">
          <cell r="B50" t="str">
            <v>108-42-9</v>
          </cell>
          <cell r="C50" t="str">
            <v>m-Aminochlorobenzene</v>
          </cell>
          <cell r="D50">
            <v>1</v>
          </cell>
        </row>
        <row r="51">
          <cell r="B51" t="str">
            <v>108-88-3</v>
          </cell>
          <cell r="C51" t="str">
            <v>Toluene</v>
          </cell>
          <cell r="D51">
            <v>1</v>
          </cell>
        </row>
        <row r="52">
          <cell r="B52" t="str">
            <v>108-91-8</v>
          </cell>
          <cell r="C52" t="str">
            <v>Cyclohexylamine</v>
          </cell>
          <cell r="D52">
            <v>1</v>
          </cell>
        </row>
        <row r="53">
          <cell r="B53" t="str">
            <v>108-95-2</v>
          </cell>
          <cell r="C53" t="str">
            <v>Phenol</v>
          </cell>
          <cell r="D53">
            <v>1</v>
          </cell>
        </row>
        <row r="54">
          <cell r="B54" t="str">
            <v>109-09-1</v>
          </cell>
          <cell r="C54" t="str">
            <v>2-Chloropyridine</v>
          </cell>
          <cell r="D54">
            <v>1</v>
          </cell>
        </row>
        <row r="55">
          <cell r="B55" t="str">
            <v>109-63-7</v>
          </cell>
          <cell r="C55" t="str">
            <v>Trifluoroborane compd. with 1,1'-oxybis[ethane](1:1)</v>
          </cell>
          <cell r="D55">
            <v>1</v>
          </cell>
        </row>
        <row r="56">
          <cell r="B56" t="str">
            <v>109-77-3</v>
          </cell>
          <cell r="C56" t="str">
            <v>Malononitrile</v>
          </cell>
          <cell r="D56">
            <v>1</v>
          </cell>
        </row>
        <row r="57">
          <cell r="B57" t="str">
            <v>109-86-4</v>
          </cell>
          <cell r="C57" t="str">
            <v>2-Methoxyethanol</v>
          </cell>
          <cell r="D57">
            <v>0.1</v>
          </cell>
        </row>
        <row r="58">
          <cell r="B58" t="str">
            <v>109-89-7</v>
          </cell>
          <cell r="C58" t="str">
            <v>Diethylamine</v>
          </cell>
          <cell r="D58">
            <v>1</v>
          </cell>
        </row>
        <row r="59">
          <cell r="B59" t="str">
            <v>110-49-6</v>
          </cell>
          <cell r="C59" t="str">
            <v>2-Methoxyethyl acetate</v>
          </cell>
          <cell r="D59">
            <v>0.1</v>
          </cell>
        </row>
        <row r="60">
          <cell r="B60" t="str">
            <v>110-54-3</v>
          </cell>
          <cell r="C60" t="str">
            <v>n-Hexane</v>
          </cell>
          <cell r="D60">
            <v>1</v>
          </cell>
        </row>
        <row r="61">
          <cell r="B61" t="str">
            <v>110-65-6</v>
          </cell>
          <cell r="C61" t="str">
            <v>2-Butyne-1,4-diol</v>
          </cell>
          <cell r="D61">
            <v>1</v>
          </cell>
        </row>
        <row r="62">
          <cell r="B62" t="str">
            <v>110-80-5</v>
          </cell>
          <cell r="C62" t="str">
            <v>2-Ethoxyethanol</v>
          </cell>
          <cell r="D62">
            <v>0.1</v>
          </cell>
        </row>
        <row r="63">
          <cell r="B63" t="str">
            <v>110-82-7</v>
          </cell>
          <cell r="C63" t="str">
            <v>Cyclohexane</v>
          </cell>
          <cell r="D63">
            <v>1</v>
          </cell>
        </row>
        <row r="64">
          <cell r="B64" t="str">
            <v>11103-86-9</v>
          </cell>
          <cell r="C64" t="str">
            <v>Potassium hydroxyoctaoxodizincatedichromate(1-)</v>
          </cell>
          <cell r="D64">
            <v>1</v>
          </cell>
        </row>
        <row r="65">
          <cell r="B65" t="str">
            <v>111-15-9</v>
          </cell>
          <cell r="C65" t="str">
            <v>2-Ethoxyethyl acetate</v>
          </cell>
          <cell r="D65">
            <v>0.1</v>
          </cell>
        </row>
        <row r="66">
          <cell r="B66" t="str">
            <v>111-30-8</v>
          </cell>
          <cell r="C66" t="str">
            <v>Glutaraldehyde</v>
          </cell>
          <cell r="D66">
            <v>1</v>
          </cell>
        </row>
        <row r="67">
          <cell r="B67" t="str">
            <v>1118-46-3</v>
          </cell>
          <cell r="C67" t="str">
            <v>Monobutyltin trichloride</v>
          </cell>
          <cell r="D67">
            <v>1</v>
          </cell>
        </row>
        <row r="68">
          <cell r="B68" t="str">
            <v>111872-58-3</v>
          </cell>
          <cell r="C68" t="str">
            <v>Halfenprox</v>
          </cell>
          <cell r="D68">
            <v>1</v>
          </cell>
        </row>
        <row r="69">
          <cell r="B69" t="str">
            <v>111-92-2</v>
          </cell>
          <cell r="C69" t="str">
            <v>Di-n-butylamine</v>
          </cell>
          <cell r="D69">
            <v>1</v>
          </cell>
        </row>
        <row r="70">
          <cell r="B70" t="str">
            <v>112-02-7</v>
          </cell>
          <cell r="C70" t="str">
            <v>N-Hexadecyltrimethylammonium chloride</v>
          </cell>
          <cell r="D70">
            <v>1</v>
          </cell>
        </row>
        <row r="71">
          <cell r="B71" t="str">
            <v>1120-71-4</v>
          </cell>
          <cell r="C71" t="str">
            <v>1,3-Propane sultone</v>
          </cell>
          <cell r="D71">
            <v>0.1</v>
          </cell>
        </row>
        <row r="72">
          <cell r="B72" t="str">
            <v>114-26-1</v>
          </cell>
          <cell r="C72" t="str">
            <v>Propoxur</v>
          </cell>
          <cell r="D72">
            <v>0.1</v>
          </cell>
        </row>
        <row r="73">
          <cell r="B73" t="str">
            <v>115-07-1</v>
          </cell>
          <cell r="C73" t="str">
            <v>Propylene</v>
          </cell>
          <cell r="D73">
            <v>1</v>
          </cell>
        </row>
        <row r="74">
          <cell r="B74" t="str">
            <v>115-28-6</v>
          </cell>
          <cell r="C74" t="str">
            <v>Chlorendic acid</v>
          </cell>
          <cell r="D74">
            <v>0.1</v>
          </cell>
        </row>
        <row r="75">
          <cell r="B75" t="str">
            <v>115-29-7</v>
          </cell>
          <cell r="C75" t="str">
            <v>Endosulfan</v>
          </cell>
          <cell r="D75">
            <v>1</v>
          </cell>
        </row>
        <row r="76">
          <cell r="B76" t="str">
            <v>115-32-2</v>
          </cell>
          <cell r="C76" t="str">
            <v>Dicofol</v>
          </cell>
          <cell r="D76">
            <v>1</v>
          </cell>
        </row>
        <row r="77">
          <cell r="B77" t="str">
            <v>116-14-3</v>
          </cell>
          <cell r="C77" t="str">
            <v>Tetrafluoroethylene</v>
          </cell>
          <cell r="D77">
            <v>0.1</v>
          </cell>
        </row>
        <row r="78">
          <cell r="B78" t="str">
            <v>1163-19-5</v>
          </cell>
          <cell r="C78" t="str">
            <v>Decabromodiphenyl oxide</v>
          </cell>
          <cell r="D78">
            <v>1</v>
          </cell>
        </row>
        <row r="79">
          <cell r="B79" t="str">
            <v>117-81-7</v>
          </cell>
          <cell r="C79" t="str">
            <v>Di(2-ethylhexyl) phthalate</v>
          </cell>
          <cell r="D79">
            <v>0.1</v>
          </cell>
        </row>
        <row r="80">
          <cell r="B80" t="str">
            <v>119168-77-3</v>
          </cell>
          <cell r="C80" t="str">
            <v>Tebufenpyrad</v>
          </cell>
          <cell r="D80">
            <v>1</v>
          </cell>
        </row>
        <row r="81">
          <cell r="B81" t="str">
            <v>119446-68-3</v>
          </cell>
          <cell r="C81" t="str">
            <v>Difenoconazole</v>
          </cell>
          <cell r="D81">
            <v>1</v>
          </cell>
        </row>
        <row r="82">
          <cell r="B82" t="str">
            <v>119-90-4</v>
          </cell>
          <cell r="C82" t="str">
            <v>3,3'-Dimethoxybenzidine</v>
          </cell>
          <cell r="D82">
            <v>0.1</v>
          </cell>
        </row>
        <row r="83">
          <cell r="B83" t="str">
            <v>119-93-7</v>
          </cell>
          <cell r="C83" t="str">
            <v>3,3'-Dimethylbenzidine</v>
          </cell>
          <cell r="D83">
            <v>0.1</v>
          </cell>
        </row>
        <row r="84">
          <cell r="B84" t="str">
            <v>120068-37-3</v>
          </cell>
          <cell r="C84" t="str">
            <v>Fipronil</v>
          </cell>
          <cell r="D84">
            <v>1</v>
          </cell>
        </row>
        <row r="85">
          <cell r="B85" t="str">
            <v>12047-27-7</v>
          </cell>
          <cell r="C85" t="str">
            <v>Barium titanium trioxide</v>
          </cell>
          <cell r="D85">
            <v>1</v>
          </cell>
        </row>
        <row r="86">
          <cell r="B86" t="str">
            <v>120-71-8</v>
          </cell>
          <cell r="C86" t="str">
            <v>p-Cresidine</v>
          </cell>
          <cell r="D86">
            <v>0.1</v>
          </cell>
        </row>
        <row r="87">
          <cell r="B87" t="str">
            <v>120-80-9</v>
          </cell>
          <cell r="C87" t="str">
            <v>Catechol</v>
          </cell>
          <cell r="D87">
            <v>0.1</v>
          </cell>
        </row>
        <row r="88">
          <cell r="B88" t="str">
            <v>121-14-2</v>
          </cell>
          <cell r="C88" t="str">
            <v>2,4-Dinitrotoluene</v>
          </cell>
          <cell r="D88">
            <v>0.1</v>
          </cell>
        </row>
        <row r="89">
          <cell r="B89" t="str">
            <v>121-43-7</v>
          </cell>
          <cell r="C89" t="str">
            <v>Boric acid trimethyl ester</v>
          </cell>
          <cell r="D89">
            <v>1</v>
          </cell>
        </row>
        <row r="90">
          <cell r="B90" t="str">
            <v>121-75-5</v>
          </cell>
          <cell r="C90" t="str">
            <v>Malathion</v>
          </cell>
          <cell r="D90">
            <v>1</v>
          </cell>
        </row>
        <row r="91">
          <cell r="B91" t="str">
            <v>121-82-4</v>
          </cell>
          <cell r="C91" t="str">
            <v>Cyclonite</v>
          </cell>
          <cell r="D91">
            <v>1</v>
          </cell>
        </row>
        <row r="92">
          <cell r="B92" t="str">
            <v>12190-79-3</v>
          </cell>
          <cell r="C92" t="str">
            <v>Cobalt lithium dioxide</v>
          </cell>
          <cell r="D92">
            <v>0.1</v>
          </cell>
        </row>
        <row r="93">
          <cell r="B93" t="str">
            <v>122-14-5</v>
          </cell>
          <cell r="C93" t="str">
            <v>Fenitrothion</v>
          </cell>
          <cell r="D93">
            <v>1</v>
          </cell>
        </row>
        <row r="94">
          <cell r="B94" t="str">
            <v>122-19-0</v>
          </cell>
          <cell r="C94" t="str">
            <v>Benzyldimethyloctadecyl ammonium chloride</v>
          </cell>
          <cell r="D94">
            <v>1</v>
          </cell>
        </row>
        <row r="95">
          <cell r="B95" t="str">
            <v>122453-73-0</v>
          </cell>
          <cell r="C95" t="str">
            <v>Chlorfenapyr</v>
          </cell>
          <cell r="D95">
            <v>1</v>
          </cell>
        </row>
        <row r="96">
          <cell r="B96" t="str">
            <v>122-60-1</v>
          </cell>
          <cell r="C96" t="str">
            <v>Phenyl glycidyl ether</v>
          </cell>
          <cell r="D96">
            <v>0.1</v>
          </cell>
        </row>
        <row r="97">
          <cell r="B97" t="str">
            <v>123-91-1</v>
          </cell>
          <cell r="C97" t="str">
            <v>1,4-Dioxane</v>
          </cell>
          <cell r="D97">
            <v>0.1</v>
          </cell>
        </row>
        <row r="98">
          <cell r="B98" t="str">
            <v>12427-38-2</v>
          </cell>
          <cell r="C98" t="str">
            <v>Maneb</v>
          </cell>
          <cell r="D98">
            <v>0.1</v>
          </cell>
        </row>
        <row r="99">
          <cell r="B99" t="str">
            <v>124-40-3</v>
          </cell>
          <cell r="C99" t="str">
            <v>Dimethylamine</v>
          </cell>
          <cell r="D99">
            <v>1</v>
          </cell>
        </row>
        <row r="100">
          <cell r="B100" t="str">
            <v>12604-53-4</v>
          </cell>
          <cell r="C100" t="str">
            <v>Ferromanganese</v>
          </cell>
          <cell r="D100">
            <v>1</v>
          </cell>
        </row>
        <row r="101">
          <cell r="B101" t="str">
            <v>12604-58-9</v>
          </cell>
          <cell r="C101" t="str">
            <v>Vanadium alloy, base, V,C,Fe (ferrovanadium)</v>
          </cell>
          <cell r="D101">
            <v>1</v>
          </cell>
        </row>
        <row r="102">
          <cell r="B102" t="str">
            <v>12645-50-0</v>
          </cell>
          <cell r="C102" t="str">
            <v>Iron nickel zinc oxide</v>
          </cell>
          <cell r="D102">
            <v>1</v>
          </cell>
        </row>
        <row r="103">
          <cell r="B103" t="str">
            <v>126-97-6</v>
          </cell>
          <cell r="C103" t="str">
            <v>(2-Hydroxyethyl)ammonium mercaptoacetate</v>
          </cell>
          <cell r="D103">
            <v>1</v>
          </cell>
        </row>
        <row r="104">
          <cell r="B104" t="str">
            <v>126-98-7</v>
          </cell>
          <cell r="C104" t="str">
            <v>Methacrylonitrile</v>
          </cell>
          <cell r="D104">
            <v>1</v>
          </cell>
        </row>
        <row r="105">
          <cell r="B105" t="str">
            <v>126-99-8</v>
          </cell>
          <cell r="C105" t="str">
            <v>Chloroprene</v>
          </cell>
          <cell r="D105">
            <v>0.1</v>
          </cell>
        </row>
        <row r="106">
          <cell r="B106" t="str">
            <v>127-18-4</v>
          </cell>
          <cell r="C106" t="str">
            <v>Tetrachloroethylene</v>
          </cell>
          <cell r="D106">
            <v>0.1</v>
          </cell>
        </row>
        <row r="107">
          <cell r="B107" t="str">
            <v>128-04-1</v>
          </cell>
          <cell r="C107" t="str">
            <v>Sodium dimethyldithiocarbamate</v>
          </cell>
          <cell r="D107">
            <v>1</v>
          </cell>
        </row>
        <row r="108">
          <cell r="B108" t="str">
            <v>128-37-0</v>
          </cell>
          <cell r="C108" t="str">
            <v>2,6-Di-tert-butyl-4-hydroxytoluene</v>
          </cell>
          <cell r="D108">
            <v>1</v>
          </cell>
        </row>
        <row r="109">
          <cell r="B109" t="str">
            <v>1300-71-6</v>
          </cell>
          <cell r="C109" t="str">
            <v>Xylenol</v>
          </cell>
          <cell r="D109">
            <v>1</v>
          </cell>
        </row>
        <row r="110">
          <cell r="B110" t="str">
            <v>1302-42-7</v>
          </cell>
          <cell r="C110" t="str">
            <v>Aluminium sodium dioxide</v>
          </cell>
          <cell r="D110">
            <v>1</v>
          </cell>
        </row>
        <row r="111">
          <cell r="B111" t="str">
            <v>1303-86-2</v>
          </cell>
          <cell r="C111" t="str">
            <v>Diboron trioxide</v>
          </cell>
          <cell r="D111">
            <v>1</v>
          </cell>
        </row>
        <row r="112">
          <cell r="B112" t="str">
            <v>1304-28-5</v>
          </cell>
          <cell r="C112" t="str">
            <v>Barium oxide, obtained by calcining witherite</v>
          </cell>
          <cell r="D112">
            <v>1</v>
          </cell>
        </row>
        <row r="113">
          <cell r="B113" t="str">
            <v>1308-06-1</v>
          </cell>
          <cell r="C113" t="str">
            <v>Tricobalt tetraoxide</v>
          </cell>
          <cell r="D113">
            <v>0.1</v>
          </cell>
        </row>
        <row r="114">
          <cell r="B114" t="str">
            <v>1309-64-4</v>
          </cell>
          <cell r="C114" t="str">
            <v>Diantimony trioxide</v>
          </cell>
          <cell r="D114">
            <v>0.1</v>
          </cell>
        </row>
        <row r="115">
          <cell r="B115" t="str">
            <v>1310-58-3</v>
          </cell>
          <cell r="C115" t="str">
            <v>Potassium hydroxide</v>
          </cell>
          <cell r="D115">
            <v>1</v>
          </cell>
        </row>
        <row r="116">
          <cell r="B116" t="str">
            <v>1310-73-2</v>
          </cell>
          <cell r="C116" t="str">
            <v>Sodium hydroxide</v>
          </cell>
          <cell r="D116">
            <v>1</v>
          </cell>
        </row>
        <row r="117">
          <cell r="B117" t="str">
            <v>1313-13-9</v>
          </cell>
          <cell r="C117" t="str">
            <v>Manganese dioxide</v>
          </cell>
          <cell r="D117">
            <v>1</v>
          </cell>
        </row>
        <row r="118">
          <cell r="B118" t="str">
            <v>1314-13-2</v>
          </cell>
          <cell r="C118" t="str">
            <v>Zinc oxide</v>
          </cell>
          <cell r="D118">
            <v>1</v>
          </cell>
        </row>
        <row r="119">
          <cell r="B119" t="str">
            <v>1314-20-1</v>
          </cell>
          <cell r="C119" t="str">
            <v>Thorium dioxide</v>
          </cell>
          <cell r="D119">
            <v>0.1</v>
          </cell>
        </row>
        <row r="120">
          <cell r="B120" t="str">
            <v>1314-56-3</v>
          </cell>
          <cell r="C120" t="str">
            <v>Phosphorus pentoxide</v>
          </cell>
          <cell r="D120">
            <v>1</v>
          </cell>
        </row>
        <row r="121">
          <cell r="B121" t="str">
            <v>1314-60-9</v>
          </cell>
          <cell r="C121" t="str">
            <v>Diantimony pentoxide</v>
          </cell>
          <cell r="D121">
            <v>0.1</v>
          </cell>
        </row>
        <row r="122">
          <cell r="B122" t="str">
            <v>1314-62-1</v>
          </cell>
          <cell r="C122" t="str">
            <v>Divanadium pentaoxide</v>
          </cell>
          <cell r="D122">
            <v>1</v>
          </cell>
        </row>
        <row r="123">
          <cell r="B123" t="str">
            <v>1314-80-3</v>
          </cell>
          <cell r="C123" t="str">
            <v>Phosphorus pentasulfide</v>
          </cell>
          <cell r="D123">
            <v>1</v>
          </cell>
        </row>
        <row r="124">
          <cell r="B124" t="str">
            <v>1314-84-7</v>
          </cell>
          <cell r="C124" t="str">
            <v>Zinc phosphide (Zn3P2) ; Trizinc diphosphide</v>
          </cell>
          <cell r="D124">
            <v>1</v>
          </cell>
        </row>
        <row r="125">
          <cell r="B125" t="str">
            <v>1314-98-3</v>
          </cell>
          <cell r="C125" t="str">
            <v>Zinc sulfide</v>
          </cell>
          <cell r="D125">
            <v>1</v>
          </cell>
        </row>
        <row r="126">
          <cell r="B126" t="str">
            <v>13171-21-6</v>
          </cell>
          <cell r="C126" t="str">
            <v>Phosphamidon</v>
          </cell>
          <cell r="D126">
            <v>0.1</v>
          </cell>
        </row>
        <row r="127">
          <cell r="B127" t="str">
            <v>1317-35-7</v>
          </cell>
          <cell r="C127" t="str">
            <v>Trimanganese tetraoxide</v>
          </cell>
          <cell r="D127">
            <v>1</v>
          </cell>
        </row>
        <row r="128">
          <cell r="B128" t="str">
            <v>1317-38-0</v>
          </cell>
          <cell r="C128" t="str">
            <v>Copper monoxide</v>
          </cell>
          <cell r="D128">
            <v>1</v>
          </cell>
        </row>
        <row r="129">
          <cell r="B129" t="str">
            <v>1317-39-1</v>
          </cell>
          <cell r="C129" t="str">
            <v>Dicopper oxide</v>
          </cell>
          <cell r="D129">
            <v>1</v>
          </cell>
        </row>
        <row r="130">
          <cell r="B130" t="str">
            <v>1319-33-1</v>
          </cell>
          <cell r="C130" t="str">
            <v>Boronatrocalcite</v>
          </cell>
          <cell r="D130">
            <v>1</v>
          </cell>
        </row>
        <row r="131">
          <cell r="B131" t="str">
            <v>13194-48-4</v>
          </cell>
          <cell r="C131" t="str">
            <v>Ethoprophos</v>
          </cell>
          <cell r="D131">
            <v>1</v>
          </cell>
        </row>
        <row r="132">
          <cell r="B132" t="str">
            <v>1319-77-3</v>
          </cell>
          <cell r="C132" t="str">
            <v>Cresol(o-,m-,p- isomer mixture)</v>
          </cell>
          <cell r="D132">
            <v>1</v>
          </cell>
        </row>
        <row r="133">
          <cell r="B133" t="str">
            <v>132-27-4</v>
          </cell>
          <cell r="C133" t="str">
            <v>Sodium o-phenylphenate</v>
          </cell>
          <cell r="D133">
            <v>0.1</v>
          </cell>
        </row>
        <row r="134">
          <cell r="B134" t="str">
            <v>1327-41-9</v>
          </cell>
          <cell r="C134" t="str">
            <v>Aluminium chloride, basic</v>
          </cell>
          <cell r="D134">
            <v>1</v>
          </cell>
        </row>
        <row r="135">
          <cell r="B135" t="str">
            <v>1330-20-7</v>
          </cell>
          <cell r="C135" t="str">
            <v>Xylene(o-,m-,p- isomer mixture)</v>
          </cell>
          <cell r="D135">
            <v>1</v>
          </cell>
        </row>
        <row r="136">
          <cell r="B136" t="str">
            <v>133-06-2</v>
          </cell>
          <cell r="C136" t="str">
            <v>Captan</v>
          </cell>
          <cell r="D136">
            <v>0.1</v>
          </cell>
        </row>
        <row r="137">
          <cell r="B137" t="str">
            <v>133-07-3</v>
          </cell>
          <cell r="C137" t="str">
            <v>Folpet</v>
          </cell>
          <cell r="D137">
            <v>0.1</v>
          </cell>
        </row>
        <row r="138">
          <cell r="B138" t="str">
            <v>13356-08-6</v>
          </cell>
          <cell r="C138" t="str">
            <v>Hexakis(2-methyl-2-phenylpropyl)distannoxane ;Bis[tris[2-methyl-2-phenylpropyl)tin] oxide, Fenbutatin oxide, Vendex</v>
          </cell>
          <cell r="D138">
            <v>1</v>
          </cell>
        </row>
        <row r="139">
          <cell r="B139" t="str">
            <v>133-59-5</v>
          </cell>
          <cell r="C139" t="str">
            <v>o-Toluenesulfonyl chloride</v>
          </cell>
          <cell r="D139">
            <v>1</v>
          </cell>
        </row>
        <row r="140">
          <cell r="B140" t="str">
            <v>1341-49-7</v>
          </cell>
          <cell r="C140" t="str">
            <v>Ammonium bifluoride</v>
          </cell>
          <cell r="D140">
            <v>1</v>
          </cell>
        </row>
        <row r="141">
          <cell r="B141" t="str">
            <v>1344-28-1</v>
          </cell>
          <cell r="C141" t="str">
            <v>Aluminium oxide ; Alumina</v>
          </cell>
          <cell r="D141">
            <v>1</v>
          </cell>
        </row>
        <row r="142">
          <cell r="B142" t="str">
            <v>13446-03-2</v>
          </cell>
          <cell r="C142" t="str">
            <v>Manganese dibromide</v>
          </cell>
          <cell r="D142">
            <v>1</v>
          </cell>
        </row>
        <row r="143">
          <cell r="B143" t="str">
            <v>1344-70-3</v>
          </cell>
          <cell r="C143" t="str">
            <v>Copper oxide</v>
          </cell>
          <cell r="D143">
            <v>1</v>
          </cell>
        </row>
        <row r="144">
          <cell r="B144" t="str">
            <v>13463-41-7</v>
          </cell>
          <cell r="C144" t="str">
            <v>Zinc pyrithione</v>
          </cell>
          <cell r="D144">
            <v>1</v>
          </cell>
        </row>
        <row r="145">
          <cell r="B145" t="str">
            <v>13516-27-3</v>
          </cell>
          <cell r="C145" t="str">
            <v>Guazatine</v>
          </cell>
          <cell r="D145">
            <v>1</v>
          </cell>
        </row>
        <row r="146">
          <cell r="B146" t="str">
            <v>135-20-6</v>
          </cell>
          <cell r="C146" t="str">
            <v>Cupferron</v>
          </cell>
          <cell r="D146">
            <v>0.1</v>
          </cell>
        </row>
        <row r="147">
          <cell r="B147" t="str">
            <v>13530-65-9</v>
          </cell>
          <cell r="C147" t="str">
            <v>Zinc chromate</v>
          </cell>
          <cell r="D147">
            <v>1</v>
          </cell>
        </row>
        <row r="148">
          <cell r="B148" t="str">
            <v>13593-03-8</v>
          </cell>
          <cell r="C148" t="str">
            <v>Quinalphos</v>
          </cell>
          <cell r="D148">
            <v>1</v>
          </cell>
        </row>
        <row r="149">
          <cell r="B149" t="str">
            <v>13598-37-3</v>
          </cell>
          <cell r="C149" t="str">
            <v>Zinc bis(dihydrogen phosphate)</v>
          </cell>
          <cell r="D149">
            <v>1</v>
          </cell>
        </row>
        <row r="150">
          <cell r="B150" t="str">
            <v>136-23-2</v>
          </cell>
          <cell r="C150" t="str">
            <v>Bis(dibutylcarbamodithioato-S,S')zinc ; Zinc dibutyldithiocarbamate</v>
          </cell>
          <cell r="D150">
            <v>1</v>
          </cell>
        </row>
        <row r="151">
          <cell r="B151" t="str">
            <v>137-26-8</v>
          </cell>
          <cell r="C151" t="str">
            <v>Thiram</v>
          </cell>
          <cell r="D151">
            <v>1</v>
          </cell>
        </row>
        <row r="152">
          <cell r="B152" t="str">
            <v>137-30-4</v>
          </cell>
          <cell r="C152" t="str">
            <v>Ziram, Bis(dimethylcarbamodithioato-S,S')zinc ;Zinc dimethyldithiocarbamate</v>
          </cell>
          <cell r="D152">
            <v>0.1</v>
          </cell>
        </row>
        <row r="153">
          <cell r="B153" t="str">
            <v>139-13-9</v>
          </cell>
          <cell r="C153" t="str">
            <v>Nitrilotriacetic acid</v>
          </cell>
          <cell r="D153">
            <v>0.1</v>
          </cell>
        </row>
        <row r="154">
          <cell r="B154" t="str">
            <v>139-65-1</v>
          </cell>
          <cell r="C154" t="str">
            <v>4,4'-Thiodianiline</v>
          </cell>
          <cell r="D154">
            <v>0.1</v>
          </cell>
        </row>
        <row r="155">
          <cell r="B155" t="str">
            <v>140-29-4</v>
          </cell>
          <cell r="C155" t="str">
            <v>Benzeneacetonitrile</v>
          </cell>
          <cell r="D155">
            <v>1</v>
          </cell>
        </row>
        <row r="156">
          <cell r="B156" t="str">
            <v>140-66-9</v>
          </cell>
          <cell r="C156" t="str">
            <v>4-tert-Octylphenol</v>
          </cell>
          <cell r="D156">
            <v>1</v>
          </cell>
        </row>
        <row r="157">
          <cell r="B157" t="str">
            <v>140-88-5</v>
          </cell>
          <cell r="C157" t="str">
            <v>Ethyl acrylate</v>
          </cell>
          <cell r="D157">
            <v>0.1</v>
          </cell>
        </row>
        <row r="158">
          <cell r="B158" t="str">
            <v>141-78-6</v>
          </cell>
          <cell r="C158" t="str">
            <v>Ethyl acetate</v>
          </cell>
          <cell r="D158">
            <v>1</v>
          </cell>
        </row>
        <row r="159">
          <cell r="B159" t="str">
            <v>14263-73-1</v>
          </cell>
          <cell r="C159" t="str">
            <v>Potassium copper cyanide</v>
          </cell>
          <cell r="D159">
            <v>1</v>
          </cell>
        </row>
        <row r="160">
          <cell r="B160" t="str">
            <v>14324-55-1</v>
          </cell>
          <cell r="C160" t="str">
            <v>Bis(diethylcarbamodithioato-S,S')zinc ;Zinc diethyldithiocarbamate, ZDEC</v>
          </cell>
          <cell r="D160">
            <v>1</v>
          </cell>
        </row>
        <row r="161">
          <cell r="B161" t="str">
            <v>143-33-9</v>
          </cell>
          <cell r="C161" t="str">
            <v>Sodium cyanide</v>
          </cell>
          <cell r="D161">
            <v>1</v>
          </cell>
        </row>
        <row r="162">
          <cell r="B162" t="str">
            <v>1461-25-2</v>
          </cell>
          <cell r="C162" t="str">
            <v>Tetrabutyl tin</v>
          </cell>
          <cell r="D162">
            <v>1</v>
          </cell>
        </row>
        <row r="163">
          <cell r="B163" t="str">
            <v>14639-98-6</v>
          </cell>
          <cell r="C163" t="str">
            <v>Triammonium pentachlorozincate(3-)</v>
          </cell>
          <cell r="D163">
            <v>1</v>
          </cell>
        </row>
        <row r="164">
          <cell r="B164" t="str">
            <v>14643-87-9</v>
          </cell>
          <cell r="C164" t="str">
            <v>Zinc diacrylate</v>
          </cell>
          <cell r="D164">
            <v>1</v>
          </cell>
        </row>
        <row r="165">
          <cell r="B165" t="str">
            <v>147-14-8</v>
          </cell>
          <cell r="C165" t="str">
            <v>Copper, phthalocyanine</v>
          </cell>
          <cell r="D165">
            <v>1</v>
          </cell>
        </row>
        <row r="166">
          <cell r="B166" t="str">
            <v>14763-77-0</v>
          </cell>
          <cell r="C166" t="str">
            <v>Copper dicyanide</v>
          </cell>
          <cell r="D166">
            <v>1</v>
          </cell>
        </row>
        <row r="167">
          <cell r="B167" t="str">
            <v>151-50-8</v>
          </cell>
          <cell r="C167" t="str">
            <v>Potassium cyanide</v>
          </cell>
          <cell r="D167">
            <v>1</v>
          </cell>
        </row>
        <row r="168">
          <cell r="B168" t="str">
            <v>151-56-4</v>
          </cell>
          <cell r="C168" t="str">
            <v>Ethyleneimine</v>
          </cell>
          <cell r="D168">
            <v>0.1</v>
          </cell>
        </row>
        <row r="169">
          <cell r="B169" t="str">
            <v>15263-53-3</v>
          </cell>
          <cell r="C169" t="str">
            <v>Cartap</v>
          </cell>
          <cell r="D169">
            <v>1</v>
          </cell>
        </row>
        <row r="170">
          <cell r="B170" t="str">
            <v>15432-85-6</v>
          </cell>
          <cell r="C170" t="str">
            <v>Sodium antimonate</v>
          </cell>
          <cell r="D170">
            <v>0.1</v>
          </cell>
        </row>
        <row r="171">
          <cell r="B171" t="str">
            <v>15571-58-1</v>
          </cell>
          <cell r="C171" t="str">
            <v>Dioctyltin bis(2-ethylhexyl thioglycolate)</v>
          </cell>
          <cell r="D171">
            <v>1</v>
          </cell>
        </row>
        <row r="172">
          <cell r="B172" t="str">
            <v>1563-66-2</v>
          </cell>
          <cell r="C172" t="str">
            <v>Carbofuran</v>
          </cell>
          <cell r="D172">
            <v>1</v>
          </cell>
        </row>
        <row r="173">
          <cell r="B173" t="str">
            <v>16071-86-6</v>
          </cell>
          <cell r="C173" t="str">
            <v>C.I. Direct brown 95</v>
          </cell>
          <cell r="D173">
            <v>0.1</v>
          </cell>
        </row>
        <row r="174">
          <cell r="B174" t="str">
            <v>16079-88-2</v>
          </cell>
          <cell r="C174" t="str">
            <v>Halogenated hydantoin</v>
          </cell>
          <cell r="D174">
            <v>1</v>
          </cell>
        </row>
        <row r="175">
          <cell r="B175" t="str">
            <v>1634-04-4</v>
          </cell>
          <cell r="C175" t="str">
            <v>Methyl tert-butyl ether</v>
          </cell>
          <cell r="D175">
            <v>1</v>
          </cell>
        </row>
        <row r="176">
          <cell r="B176" t="str">
            <v>16872-11-0</v>
          </cell>
          <cell r="C176" t="str">
            <v>Fluoroboric acid</v>
          </cell>
          <cell r="D176">
            <v>1</v>
          </cell>
        </row>
        <row r="177">
          <cell r="B177" t="str">
            <v>1694-09-3</v>
          </cell>
          <cell r="C177" t="str">
            <v>Benzyl violet 4B</v>
          </cell>
          <cell r="D177">
            <v>0.1</v>
          </cell>
        </row>
        <row r="178">
          <cell r="B178" t="str">
            <v>16961-83-4</v>
          </cell>
          <cell r="C178" t="str">
            <v>Fluorosilicic acid</v>
          </cell>
          <cell r="D178">
            <v>1</v>
          </cell>
        </row>
        <row r="179">
          <cell r="B179" t="str">
            <v>17109-49-8</v>
          </cell>
          <cell r="C179" t="str">
            <v>Edifenphos</v>
          </cell>
          <cell r="D179">
            <v>1</v>
          </cell>
        </row>
        <row r="180">
          <cell r="B180" t="str">
            <v>17141-63-8</v>
          </cell>
          <cell r="C180" t="str">
            <v>Manganese nitrate hexahydrate</v>
          </cell>
          <cell r="D180">
            <v>1</v>
          </cell>
        </row>
        <row r="181">
          <cell r="B181" t="str">
            <v>17194-00-2</v>
          </cell>
          <cell r="C181" t="str">
            <v>Barium hydroxide</v>
          </cell>
          <cell r="D181">
            <v>1</v>
          </cell>
        </row>
        <row r="182">
          <cell r="B182" t="str">
            <v>172343-40-7</v>
          </cell>
          <cell r="C182" t="str">
            <v>Sodium 4-(2,4-Dichloro-3-methylbenzoyl)-1,3-di-dimethyl -5-pyrazolate</v>
          </cell>
          <cell r="D182">
            <v>1</v>
          </cell>
        </row>
        <row r="183">
          <cell r="B183" t="str">
            <v>17804-35-2</v>
          </cell>
          <cell r="C183" t="str">
            <v>Benomyl</v>
          </cell>
          <cell r="D183">
            <v>1</v>
          </cell>
        </row>
        <row r="184">
          <cell r="B184" t="str">
            <v>1861-40-1</v>
          </cell>
          <cell r="C184" t="str">
            <v>Benfluralin</v>
          </cell>
          <cell r="D184">
            <v>1</v>
          </cell>
        </row>
        <row r="185">
          <cell r="B185" t="str">
            <v>18662-53-8</v>
          </cell>
          <cell r="C185" t="str">
            <v>Nitrilotriacetic acid trisodium salt monohydrate</v>
          </cell>
          <cell r="D185">
            <v>0.1</v>
          </cell>
        </row>
        <row r="186">
          <cell r="B186" t="str">
            <v>18854-01-8</v>
          </cell>
          <cell r="C186" t="str">
            <v>Isoxathion</v>
          </cell>
          <cell r="D186">
            <v>1</v>
          </cell>
        </row>
        <row r="187">
          <cell r="B187" t="str">
            <v>1897-45-6</v>
          </cell>
          <cell r="C187" t="str">
            <v>Chlorothalonil</v>
          </cell>
          <cell r="D187">
            <v>0.1</v>
          </cell>
        </row>
        <row r="188">
          <cell r="B188" t="str">
            <v>1910-42-5</v>
          </cell>
          <cell r="C188" t="str">
            <v>Paraquat salt</v>
          </cell>
          <cell r="D188">
            <v>1</v>
          </cell>
        </row>
        <row r="189">
          <cell r="B189" t="str">
            <v>1937-37-7</v>
          </cell>
          <cell r="C189" t="str">
            <v>C.I. direct black 38</v>
          </cell>
          <cell r="D189">
            <v>0.1</v>
          </cell>
        </row>
        <row r="190">
          <cell r="B190" t="str">
            <v>20325-40-0</v>
          </cell>
          <cell r="C190" t="str">
            <v>3,3'-Dimethoxybenzidine dihydrochloride</v>
          </cell>
          <cell r="D190">
            <v>1</v>
          </cell>
        </row>
        <row r="191">
          <cell r="B191" t="str">
            <v>2032-65-7</v>
          </cell>
          <cell r="C191" t="str">
            <v>Methiocarb</v>
          </cell>
          <cell r="D191">
            <v>1</v>
          </cell>
        </row>
        <row r="192">
          <cell r="B192" t="str">
            <v>20427-59-2</v>
          </cell>
          <cell r="C192" t="str">
            <v>Copper dihydroxide</v>
          </cell>
          <cell r="D192">
            <v>1</v>
          </cell>
        </row>
        <row r="193">
          <cell r="B193" t="str">
            <v>20816-12-0</v>
          </cell>
          <cell r="C193" t="str">
            <v>Osmium tetroxide</v>
          </cell>
          <cell r="D193">
            <v>1</v>
          </cell>
        </row>
        <row r="194">
          <cell r="B194" t="str">
            <v>20893-30-5</v>
          </cell>
          <cell r="C194" t="str">
            <v>2-Thienylacetonitrile</v>
          </cell>
          <cell r="D194">
            <v>1</v>
          </cell>
        </row>
        <row r="195">
          <cell r="B195" t="str">
            <v>2104-64-5</v>
          </cell>
          <cell r="C195" t="str">
            <v>EPN</v>
          </cell>
          <cell r="D195">
            <v>1</v>
          </cell>
        </row>
        <row r="196">
          <cell r="B196" t="str">
            <v>21645-51-2</v>
          </cell>
          <cell r="C196" t="str">
            <v>Aluminium hydroxide</v>
          </cell>
          <cell r="D196">
            <v>1</v>
          </cell>
        </row>
        <row r="197">
          <cell r="B197" t="str">
            <v>2212-67-1</v>
          </cell>
          <cell r="C197" t="str">
            <v>Molinate</v>
          </cell>
          <cell r="D197">
            <v>1</v>
          </cell>
        </row>
        <row r="198">
          <cell r="B198" t="str">
            <v>22708-90-3</v>
          </cell>
          <cell r="C198" t="str">
            <v>Dialuminium silicate</v>
          </cell>
          <cell r="D198">
            <v>1</v>
          </cell>
        </row>
        <row r="199">
          <cell r="B199" t="str">
            <v>2274-67-1</v>
          </cell>
          <cell r="C199" t="str">
            <v>Dimethylvinphos</v>
          </cell>
          <cell r="D199">
            <v>1</v>
          </cell>
        </row>
        <row r="200">
          <cell r="B200" t="str">
            <v>2275-23-2</v>
          </cell>
          <cell r="C200" t="str">
            <v>Vamidothion</v>
          </cell>
          <cell r="D200">
            <v>1</v>
          </cell>
        </row>
        <row r="201">
          <cell r="B201" t="str">
            <v>22781-23-3</v>
          </cell>
          <cell r="C201" t="str">
            <v>Bendiocarb</v>
          </cell>
          <cell r="D201">
            <v>1</v>
          </cell>
        </row>
        <row r="202">
          <cell r="B202" t="str">
            <v>2310-17-0</v>
          </cell>
          <cell r="C202" t="str">
            <v>Phosalone</v>
          </cell>
          <cell r="D202">
            <v>1</v>
          </cell>
        </row>
        <row r="203">
          <cell r="B203" t="str">
            <v>2312-35-8</v>
          </cell>
          <cell r="C203" t="str">
            <v>Propargite</v>
          </cell>
          <cell r="D203">
            <v>0.1</v>
          </cell>
        </row>
        <row r="204">
          <cell r="B204" t="str">
            <v>23564-05-8</v>
          </cell>
          <cell r="C204" t="str">
            <v>Thiophanate-methyl</v>
          </cell>
          <cell r="D204">
            <v>1</v>
          </cell>
        </row>
        <row r="205">
          <cell r="B205" t="str">
            <v>23950-58-5</v>
          </cell>
          <cell r="C205" t="str">
            <v>Pronamide</v>
          </cell>
          <cell r="D205">
            <v>0.1</v>
          </cell>
        </row>
        <row r="206">
          <cell r="B206" t="str">
            <v>24017-47-8</v>
          </cell>
          <cell r="C206" t="str">
            <v>Triazophos</v>
          </cell>
          <cell r="D206">
            <v>1</v>
          </cell>
        </row>
        <row r="207">
          <cell r="B207" t="str">
            <v>2429-74-5</v>
          </cell>
          <cell r="C207" t="str">
            <v>C.I. direct blue 15</v>
          </cell>
          <cell r="D207">
            <v>0.1</v>
          </cell>
        </row>
        <row r="208">
          <cell r="B208" t="str">
            <v>24345-02-6</v>
          </cell>
          <cell r="C208" t="str">
            <v>Zinc p-toluenesulfinate</v>
          </cell>
          <cell r="D208">
            <v>1</v>
          </cell>
        </row>
        <row r="209">
          <cell r="B209" t="str">
            <v>2439-01-2</v>
          </cell>
          <cell r="C209" t="str">
            <v>Chinomethionat</v>
          </cell>
          <cell r="D209">
            <v>0.1</v>
          </cell>
        </row>
        <row r="210">
          <cell r="B210" t="str">
            <v>2439-10-3</v>
          </cell>
          <cell r="C210" t="str">
            <v>Dodine</v>
          </cell>
          <cell r="D210">
            <v>1</v>
          </cell>
        </row>
        <row r="211">
          <cell r="B211" t="str">
            <v>25068-38-6</v>
          </cell>
          <cell r="C211" t="str">
            <v>4,4'-(1-Methylethylidene) bisphenol polymer with (chloromethyl)oxirane</v>
          </cell>
          <cell r="D211">
            <v>1</v>
          </cell>
        </row>
        <row r="212">
          <cell r="B212" t="str">
            <v>25154-52-3</v>
          </cell>
          <cell r="C212" t="str">
            <v>Nonylphenol</v>
          </cell>
          <cell r="D212">
            <v>1</v>
          </cell>
        </row>
        <row r="213">
          <cell r="B213" t="str">
            <v>25265-76-3</v>
          </cell>
          <cell r="C213" t="str">
            <v>Phenylenediamine(o-,m-,p- isomer mixture)</v>
          </cell>
          <cell r="D213">
            <v>1</v>
          </cell>
        </row>
        <row r="214">
          <cell r="B214" t="str">
            <v>25311-71-1</v>
          </cell>
          <cell r="C214" t="str">
            <v>Isofenphos</v>
          </cell>
          <cell r="D214">
            <v>1</v>
          </cell>
        </row>
        <row r="215">
          <cell r="B215" t="str">
            <v>25321-14-6</v>
          </cell>
          <cell r="C215" t="str">
            <v>Dinitrotoluene</v>
          </cell>
          <cell r="D215">
            <v>0.1</v>
          </cell>
        </row>
        <row r="216">
          <cell r="B216" t="str">
            <v>25376-45-8</v>
          </cell>
          <cell r="C216" t="str">
            <v>Diaminotoluene</v>
          </cell>
          <cell r="D216">
            <v>1</v>
          </cell>
        </row>
        <row r="217">
          <cell r="B217" t="str">
            <v>2593-15-9</v>
          </cell>
          <cell r="C217" t="str">
            <v>Terrazole</v>
          </cell>
          <cell r="D217">
            <v>0.1</v>
          </cell>
        </row>
        <row r="218">
          <cell r="B218" t="str">
            <v>2595-54-2</v>
          </cell>
          <cell r="C218" t="str">
            <v>Mecarbam</v>
          </cell>
          <cell r="D218">
            <v>1</v>
          </cell>
        </row>
        <row r="219">
          <cell r="B219" t="str">
            <v>2597-03-7</v>
          </cell>
          <cell r="C219" t="str">
            <v>Phenthoate</v>
          </cell>
          <cell r="D219">
            <v>1</v>
          </cell>
        </row>
        <row r="220">
          <cell r="B220" t="str">
            <v>2602-46-2</v>
          </cell>
          <cell r="C220" t="str">
            <v>C.I. direct blue 6</v>
          </cell>
          <cell r="D220">
            <v>0.1</v>
          </cell>
        </row>
        <row r="221">
          <cell r="B221" t="str">
            <v>26087-47-8</v>
          </cell>
          <cell r="C221" t="str">
            <v>Iprobenfos</v>
          </cell>
          <cell r="D221">
            <v>1</v>
          </cell>
        </row>
        <row r="222">
          <cell r="B222" t="str">
            <v>26628-22-8</v>
          </cell>
          <cell r="C222" t="str">
            <v>Sodium azide</v>
          </cell>
          <cell r="D222">
            <v>1</v>
          </cell>
        </row>
        <row r="223">
          <cell r="B223" t="str">
            <v>2699-79-8</v>
          </cell>
          <cell r="C223" t="str">
            <v>Sulfuryl fluoride</v>
          </cell>
          <cell r="D223">
            <v>1</v>
          </cell>
        </row>
        <row r="224">
          <cell r="B224" t="str">
            <v>27083-27-8</v>
          </cell>
          <cell r="C224" t="str">
            <v>N,N'''-1,6-hexanediylbis(N'-cyanoguanidine)polymer with 1,6-hexanediamine,hydrochloride</v>
          </cell>
          <cell r="D224">
            <v>1</v>
          </cell>
        </row>
        <row r="225">
          <cell r="B225" t="str">
            <v>2921-88-2</v>
          </cell>
          <cell r="C225" t="str">
            <v>Chlorpyrifos</v>
          </cell>
          <cell r="D225">
            <v>1</v>
          </cell>
        </row>
        <row r="226">
          <cell r="B226" t="str">
            <v>298-02-2</v>
          </cell>
          <cell r="C226" t="str">
            <v>Phorate</v>
          </cell>
          <cell r="D226">
            <v>1</v>
          </cell>
        </row>
        <row r="227">
          <cell r="B227" t="str">
            <v>300-76-5</v>
          </cell>
          <cell r="C227" t="str">
            <v>Naled</v>
          </cell>
          <cell r="D227">
            <v>1</v>
          </cell>
        </row>
        <row r="228">
          <cell r="B228" t="str">
            <v>301-12-2</v>
          </cell>
          <cell r="C228" t="str">
            <v>Oxydemeton-methyl</v>
          </cell>
          <cell r="D228">
            <v>1</v>
          </cell>
        </row>
        <row r="229">
          <cell r="B229" t="str">
            <v>302-01-2</v>
          </cell>
          <cell r="C229" t="str">
            <v>Hydrazine</v>
          </cell>
          <cell r="D229">
            <v>0.1</v>
          </cell>
        </row>
        <row r="230">
          <cell r="B230" t="str">
            <v>3033-77-0</v>
          </cell>
          <cell r="C230" t="str">
            <v>2,3-Epoxypropyl trimethyl ammonium chloride</v>
          </cell>
          <cell r="D230">
            <v>1</v>
          </cell>
        </row>
        <row r="231">
          <cell r="B231" t="str">
            <v>30560-19-1</v>
          </cell>
          <cell r="C231" t="str">
            <v>Acephate</v>
          </cell>
          <cell r="D231">
            <v>1</v>
          </cell>
        </row>
        <row r="232">
          <cell r="B232" t="str">
            <v>31218-83-4</v>
          </cell>
          <cell r="C232" t="str">
            <v>Propetamphos</v>
          </cell>
          <cell r="D232">
            <v>1</v>
          </cell>
        </row>
        <row r="233">
          <cell r="B233" t="str">
            <v>330-55-2</v>
          </cell>
          <cell r="C233" t="str">
            <v>Linuron</v>
          </cell>
          <cell r="D233">
            <v>1</v>
          </cell>
        </row>
        <row r="234">
          <cell r="B234" t="str">
            <v>333-41-5</v>
          </cell>
          <cell r="C234" t="str">
            <v>Diazinon</v>
          </cell>
          <cell r="D234">
            <v>1</v>
          </cell>
        </row>
        <row r="235">
          <cell r="B235" t="str">
            <v>3347-22-6</v>
          </cell>
          <cell r="C235" t="str">
            <v>Dithianone</v>
          </cell>
          <cell r="D235">
            <v>1</v>
          </cell>
        </row>
        <row r="236">
          <cell r="B236" t="str">
            <v>35400-43-2</v>
          </cell>
          <cell r="C236" t="str">
            <v>Sulprofos</v>
          </cell>
          <cell r="D236">
            <v>1</v>
          </cell>
        </row>
        <row r="237">
          <cell r="B237" t="str">
            <v>3590-84-9</v>
          </cell>
          <cell r="C237" t="str">
            <v>Tetraoctyltin</v>
          </cell>
          <cell r="D237">
            <v>1</v>
          </cell>
        </row>
        <row r="238">
          <cell r="B238" t="str">
            <v>39156-41-7</v>
          </cell>
          <cell r="C238" t="str">
            <v>2,4-Diaminoanisole sulfate</v>
          </cell>
          <cell r="D238">
            <v>0.1</v>
          </cell>
        </row>
        <row r="239">
          <cell r="B239" t="str">
            <v>39300-45-3</v>
          </cell>
          <cell r="C239" t="str">
            <v>Dinocap</v>
          </cell>
          <cell r="D239">
            <v>1</v>
          </cell>
        </row>
        <row r="240">
          <cell r="B240" t="str">
            <v>4098-71-9</v>
          </cell>
          <cell r="C240" t="str">
            <v>Isophorone diisocyanate</v>
          </cell>
          <cell r="D240">
            <v>1</v>
          </cell>
        </row>
        <row r="241">
          <cell r="B241" t="str">
            <v>41083-11-8</v>
          </cell>
          <cell r="C241" t="str">
            <v>Azocyclotin</v>
          </cell>
          <cell r="D241">
            <v>1</v>
          </cell>
        </row>
        <row r="242">
          <cell r="B242" t="str">
            <v>41198-08-7</v>
          </cell>
          <cell r="C242" t="str">
            <v>Profenofos</v>
          </cell>
          <cell r="D242">
            <v>1</v>
          </cell>
        </row>
        <row r="243">
          <cell r="B243" t="str">
            <v>4170-30-3</v>
          </cell>
          <cell r="C243" t="str">
            <v>Crotonaldehyde</v>
          </cell>
          <cell r="D243">
            <v>1</v>
          </cell>
        </row>
        <row r="244">
          <cell r="B244" t="str">
            <v>470-90-6</v>
          </cell>
          <cell r="C244" t="str">
            <v>Chlorfenvinphos</v>
          </cell>
          <cell r="D244">
            <v>1</v>
          </cell>
        </row>
        <row r="245">
          <cell r="B245" t="str">
            <v>492-80-8</v>
          </cell>
          <cell r="C245" t="str">
            <v>Auramine</v>
          </cell>
          <cell r="D245">
            <v>0.1</v>
          </cell>
        </row>
        <row r="246">
          <cell r="B246" t="str">
            <v>5064-31-3</v>
          </cell>
          <cell r="C246" t="str">
            <v>Nitrilotriacetic acid trisodium salt</v>
          </cell>
          <cell r="D246">
            <v>0.1</v>
          </cell>
        </row>
        <row r="247">
          <cell r="B247" t="str">
            <v>506-61-6</v>
          </cell>
          <cell r="C247" t="str">
            <v>Potassium silver cyanide</v>
          </cell>
          <cell r="D247">
            <v>1</v>
          </cell>
        </row>
        <row r="248">
          <cell r="B248" t="str">
            <v>5124-30-1</v>
          </cell>
          <cell r="C248" t="str">
            <v>1,1'-Methylenebis[4-isocyanato cyclohexane]</v>
          </cell>
          <cell r="D248">
            <v>1</v>
          </cell>
        </row>
        <row r="249">
          <cell r="B249" t="str">
            <v>51-28-5</v>
          </cell>
          <cell r="C249" t="str">
            <v>2,4-Dinitrophenol</v>
          </cell>
          <cell r="D249">
            <v>1</v>
          </cell>
        </row>
        <row r="250">
          <cell r="B250" t="str">
            <v>513-77-9</v>
          </cell>
          <cell r="C250" t="str">
            <v>Barium carbonate</v>
          </cell>
          <cell r="D250">
            <v>1</v>
          </cell>
        </row>
        <row r="251">
          <cell r="B251" t="str">
            <v>513-79-1</v>
          </cell>
          <cell r="C251" t="str">
            <v>Cobalt carbonate</v>
          </cell>
          <cell r="D251">
            <v>0.1</v>
          </cell>
        </row>
        <row r="252">
          <cell r="B252" t="str">
            <v>51-52-5</v>
          </cell>
          <cell r="C252" t="str">
            <v>Propylthiouracil</v>
          </cell>
          <cell r="D252">
            <v>0.1</v>
          </cell>
        </row>
        <row r="253">
          <cell r="B253" t="str">
            <v>51630-58-1</v>
          </cell>
          <cell r="C253" t="str">
            <v>Fenvalerate</v>
          </cell>
          <cell r="D253">
            <v>1</v>
          </cell>
        </row>
        <row r="254">
          <cell r="B254" t="str">
            <v>51-75-2</v>
          </cell>
          <cell r="C254" t="str">
            <v>Mechlorethamine</v>
          </cell>
          <cell r="D254">
            <v>0.1</v>
          </cell>
        </row>
        <row r="255">
          <cell r="B255" t="str">
            <v>51-79-6</v>
          </cell>
          <cell r="C255" t="str">
            <v>Urethane</v>
          </cell>
          <cell r="D255">
            <v>0.1</v>
          </cell>
        </row>
        <row r="256">
          <cell r="B256" t="str">
            <v>52315-07-8</v>
          </cell>
          <cell r="C256" t="str">
            <v>Zeta-cypermethrin</v>
          </cell>
          <cell r="D256">
            <v>1</v>
          </cell>
        </row>
        <row r="257">
          <cell r="B257" t="str">
            <v>52-51-7</v>
          </cell>
          <cell r="C257" t="str">
            <v>Bronopol</v>
          </cell>
          <cell r="D257">
            <v>1</v>
          </cell>
        </row>
        <row r="258">
          <cell r="B258" t="str">
            <v>52645-53-1</v>
          </cell>
          <cell r="C258" t="str">
            <v>Permethrin</v>
          </cell>
          <cell r="D258">
            <v>1</v>
          </cell>
        </row>
        <row r="259">
          <cell r="B259" t="str">
            <v>52-68-6</v>
          </cell>
          <cell r="C259" t="str">
            <v>Trichlorfon</v>
          </cell>
          <cell r="D259">
            <v>1</v>
          </cell>
        </row>
        <row r="260">
          <cell r="B260" t="str">
            <v>52-85-7</v>
          </cell>
          <cell r="C260" t="str">
            <v>Famphur</v>
          </cell>
          <cell r="D260">
            <v>1</v>
          </cell>
        </row>
        <row r="261">
          <cell r="B261" t="str">
            <v>52918-63-5</v>
          </cell>
          <cell r="C261" t="str">
            <v>Decamethrin</v>
          </cell>
          <cell r="D261">
            <v>1</v>
          </cell>
        </row>
        <row r="262">
          <cell r="B262" t="str">
            <v>531-85-1</v>
          </cell>
          <cell r="C262" t="str">
            <v>Benzidine dihydrochloride</v>
          </cell>
          <cell r="D262">
            <v>1</v>
          </cell>
        </row>
        <row r="263">
          <cell r="B263" t="str">
            <v>53408-94-9</v>
          </cell>
          <cell r="C263" t="str">
            <v>Tin(II) methanesulfonate</v>
          </cell>
          <cell r="D263">
            <v>1</v>
          </cell>
        </row>
        <row r="264">
          <cell r="B264" t="str">
            <v>534-52-1</v>
          </cell>
          <cell r="C264" t="str">
            <v>DNOC</v>
          </cell>
          <cell r="D264">
            <v>0.1</v>
          </cell>
        </row>
        <row r="265">
          <cell r="B265" t="str">
            <v>53810-32-5</v>
          </cell>
          <cell r="C265" t="str">
            <v>Aluminium hydroxide sulfate</v>
          </cell>
          <cell r="D265">
            <v>1</v>
          </cell>
        </row>
        <row r="266">
          <cell r="B266" t="str">
            <v>54-11-5</v>
          </cell>
          <cell r="C266" t="str">
            <v>Nicotine</v>
          </cell>
          <cell r="D266">
            <v>1</v>
          </cell>
        </row>
        <row r="267">
          <cell r="B267" t="str">
            <v>542-75-6</v>
          </cell>
          <cell r="C267" t="str">
            <v>1,3-Dichloropropene</v>
          </cell>
          <cell r="D267">
            <v>0.1</v>
          </cell>
        </row>
        <row r="268">
          <cell r="B268" t="str">
            <v>544-92-3</v>
          </cell>
          <cell r="C268" t="str">
            <v>Copper cyanide</v>
          </cell>
          <cell r="D268">
            <v>1</v>
          </cell>
        </row>
        <row r="269">
          <cell r="B269" t="str">
            <v>545-06-2</v>
          </cell>
          <cell r="C269" t="str">
            <v>Trichloroacetonitrile</v>
          </cell>
          <cell r="D269">
            <v>1</v>
          </cell>
        </row>
        <row r="270">
          <cell r="B270" t="str">
            <v>55285-14-8</v>
          </cell>
          <cell r="C270" t="str">
            <v>Carbosulfan</v>
          </cell>
          <cell r="D270">
            <v>1</v>
          </cell>
        </row>
        <row r="271">
          <cell r="B271" t="str">
            <v>553-26-4</v>
          </cell>
          <cell r="C271" t="str">
            <v>4,4'-Dipyridyl</v>
          </cell>
          <cell r="D271">
            <v>1</v>
          </cell>
        </row>
        <row r="272">
          <cell r="B272" t="str">
            <v>55-38-9</v>
          </cell>
          <cell r="C272" t="str">
            <v>Fenthion</v>
          </cell>
          <cell r="D272">
            <v>1</v>
          </cell>
        </row>
        <row r="273">
          <cell r="B273" t="str">
            <v>556-52-5</v>
          </cell>
          <cell r="C273" t="str">
            <v>Glycidol</v>
          </cell>
          <cell r="D273">
            <v>0.1</v>
          </cell>
        </row>
        <row r="274">
          <cell r="B274" t="str">
            <v>556-61-6</v>
          </cell>
          <cell r="C274" t="str">
            <v>Methyl isothiocyanate</v>
          </cell>
          <cell r="D274">
            <v>1</v>
          </cell>
        </row>
        <row r="275">
          <cell r="B275" t="str">
            <v>557-05-1</v>
          </cell>
          <cell r="C275" t="str">
            <v>Octadecanoic acid zinc salt ; Zinc stearate</v>
          </cell>
          <cell r="D275">
            <v>1</v>
          </cell>
        </row>
        <row r="276">
          <cell r="B276" t="str">
            <v>557-07-3</v>
          </cell>
          <cell r="C276" t="str">
            <v>(Z)-9-Octadecenoic acid zinc salt</v>
          </cell>
          <cell r="D276">
            <v>1</v>
          </cell>
        </row>
        <row r="277">
          <cell r="B277" t="str">
            <v>557-09-5</v>
          </cell>
          <cell r="C277" t="str">
            <v>Octanoic acid zinc salt</v>
          </cell>
          <cell r="D277">
            <v>1</v>
          </cell>
        </row>
        <row r="278">
          <cell r="B278" t="str">
            <v>557-21-1</v>
          </cell>
          <cell r="C278" t="str">
            <v>Zinc cyanide</v>
          </cell>
          <cell r="D278">
            <v>1</v>
          </cell>
        </row>
        <row r="279">
          <cell r="B279" t="str">
            <v>56-23-5</v>
          </cell>
          <cell r="C279" t="str">
            <v>Carbon tetrachloride</v>
          </cell>
          <cell r="D279">
            <v>0.1</v>
          </cell>
        </row>
        <row r="280">
          <cell r="B280" t="str">
            <v>563-12-2</v>
          </cell>
          <cell r="C280" t="str">
            <v>Ethion</v>
          </cell>
          <cell r="D280">
            <v>1</v>
          </cell>
        </row>
        <row r="281">
          <cell r="B281" t="str">
            <v>56-35-9</v>
          </cell>
          <cell r="C281" t="str">
            <v>Bis(tributyltin) oxide ; Tributyltin oxide</v>
          </cell>
          <cell r="D281">
            <v>1</v>
          </cell>
        </row>
        <row r="282">
          <cell r="B282" t="str">
            <v>56-38-2</v>
          </cell>
          <cell r="C282" t="str">
            <v>Parathion</v>
          </cell>
          <cell r="D282">
            <v>1</v>
          </cell>
        </row>
        <row r="283">
          <cell r="B283" t="str">
            <v>569-64-2</v>
          </cell>
          <cell r="C283" t="str">
            <v>[4-[α-[4-(Dimethylamino)phenyl benzylidene]cyclohexa-2,5-dien-1- ylidene]dimethylammonium chloride</v>
          </cell>
          <cell r="D283">
            <v>1</v>
          </cell>
        </row>
        <row r="284">
          <cell r="B284" t="str">
            <v>57-14-7</v>
          </cell>
          <cell r="C284" t="str">
            <v>1,1-Dimethylhydrazine</v>
          </cell>
          <cell r="D284">
            <v>0.1</v>
          </cell>
        </row>
        <row r="285">
          <cell r="B285" t="str">
            <v>57-57-8</v>
          </cell>
          <cell r="C285" t="str">
            <v>β-Propiolactone</v>
          </cell>
          <cell r="D285">
            <v>0.1</v>
          </cell>
        </row>
        <row r="286">
          <cell r="B286" t="str">
            <v>584-84-9</v>
          </cell>
          <cell r="C286" t="str">
            <v>Toluene 2,4-diisocyanate</v>
          </cell>
          <cell r="D286">
            <v>1</v>
          </cell>
        </row>
        <row r="287">
          <cell r="B287" t="str">
            <v>5931-89-5</v>
          </cell>
          <cell r="C287" t="str">
            <v>Cobalt acetate</v>
          </cell>
          <cell r="D287">
            <v>0.1</v>
          </cell>
        </row>
        <row r="288">
          <cell r="B288" t="str">
            <v>593-60-2</v>
          </cell>
          <cell r="C288" t="str">
            <v>Vinyl bromide</v>
          </cell>
          <cell r="D288">
            <v>0.1</v>
          </cell>
        </row>
        <row r="289">
          <cell r="B289" t="str">
            <v>59669-26-0</v>
          </cell>
          <cell r="C289" t="str">
            <v>Thiodicarb</v>
          </cell>
          <cell r="D289">
            <v>0.1</v>
          </cell>
        </row>
        <row r="290">
          <cell r="B290" t="str">
            <v>598-62-9</v>
          </cell>
          <cell r="C290" t="str">
            <v>Manganese carbonate</v>
          </cell>
          <cell r="D290">
            <v>1</v>
          </cell>
        </row>
        <row r="291">
          <cell r="B291" t="str">
            <v>60-09-3</v>
          </cell>
          <cell r="C291" t="str">
            <v>p-Aminoazobenzene</v>
          </cell>
          <cell r="D291">
            <v>0.1</v>
          </cell>
        </row>
        <row r="292">
          <cell r="B292" t="str">
            <v>60-11-7</v>
          </cell>
          <cell r="C292" t="str">
            <v>p-Dimethylaminoazobenzene</v>
          </cell>
          <cell r="D292">
            <v>0.1</v>
          </cell>
        </row>
        <row r="293">
          <cell r="B293" t="str">
            <v>60-34-4</v>
          </cell>
          <cell r="C293" t="str">
            <v>Methylhydrazine</v>
          </cell>
          <cell r="D293">
            <v>0.1</v>
          </cell>
        </row>
        <row r="294">
          <cell r="B294" t="str">
            <v>60-35-5</v>
          </cell>
          <cell r="C294" t="str">
            <v>Acetamide</v>
          </cell>
          <cell r="D294">
            <v>0.1</v>
          </cell>
        </row>
        <row r="295">
          <cell r="B295" t="str">
            <v>60-51-5</v>
          </cell>
          <cell r="C295" t="str">
            <v>Dimethoate</v>
          </cell>
          <cell r="D295">
            <v>1</v>
          </cell>
        </row>
        <row r="296">
          <cell r="B296" t="str">
            <v>606-20-2</v>
          </cell>
          <cell r="C296" t="str">
            <v>2,6-Dinitrotoluene</v>
          </cell>
          <cell r="D296">
            <v>0.1</v>
          </cell>
        </row>
        <row r="297">
          <cell r="B297" t="str">
            <v>612-83-9</v>
          </cell>
          <cell r="C297" t="str">
            <v>3,3'-Dichlorobenzidine dihydrochloride</v>
          </cell>
          <cell r="D297">
            <v>0.1</v>
          </cell>
        </row>
        <row r="298">
          <cell r="B298" t="str">
            <v>615-05-4</v>
          </cell>
          <cell r="C298" t="str">
            <v>2,4-Diaminoanisole</v>
          </cell>
          <cell r="D298">
            <v>0.1</v>
          </cell>
        </row>
        <row r="299">
          <cell r="B299" t="str">
            <v>61789-51-3</v>
          </cell>
          <cell r="C299" t="str">
            <v>Cobalt naphthenates</v>
          </cell>
          <cell r="D299">
            <v>0.1</v>
          </cell>
        </row>
        <row r="300">
          <cell r="B300" t="str">
            <v>61790-48-5</v>
          </cell>
          <cell r="C300" t="str">
            <v>Sulfonic acids, petroleum, barium salts</v>
          </cell>
          <cell r="D300">
            <v>1</v>
          </cell>
        </row>
        <row r="301">
          <cell r="B301" t="str">
            <v>61-82-5</v>
          </cell>
          <cell r="C301" t="str">
            <v>Amitrole</v>
          </cell>
          <cell r="D301">
            <v>0.1</v>
          </cell>
        </row>
        <row r="302">
          <cell r="B302" t="str">
            <v>624-92-0</v>
          </cell>
          <cell r="C302" t="str">
            <v>Methyl disulfide</v>
          </cell>
          <cell r="D302">
            <v>1</v>
          </cell>
        </row>
        <row r="303">
          <cell r="B303" t="str">
            <v>62-53-3</v>
          </cell>
          <cell r="C303" t="str">
            <v>Aniline</v>
          </cell>
          <cell r="D303">
            <v>0.1</v>
          </cell>
        </row>
        <row r="304">
          <cell r="B304" t="str">
            <v>62-56-6</v>
          </cell>
          <cell r="C304" t="str">
            <v>Thiourea</v>
          </cell>
          <cell r="D304">
            <v>0.1</v>
          </cell>
        </row>
        <row r="305">
          <cell r="B305" t="str">
            <v>62-73-7</v>
          </cell>
          <cell r="C305" t="str">
            <v>Dichlorvos</v>
          </cell>
          <cell r="D305">
            <v>0.1</v>
          </cell>
        </row>
        <row r="306">
          <cell r="B306" t="str">
            <v>62850-32-2</v>
          </cell>
          <cell r="C306" t="str">
            <v>Fenothiocarb</v>
          </cell>
          <cell r="D306">
            <v>1</v>
          </cell>
        </row>
        <row r="307">
          <cell r="B307" t="str">
            <v>6291-85-6</v>
          </cell>
          <cell r="C307" t="str">
            <v>3-Ethoxypropylamine</v>
          </cell>
          <cell r="D307">
            <v>1</v>
          </cell>
        </row>
        <row r="308">
          <cell r="B308" t="str">
            <v>630-08-0</v>
          </cell>
          <cell r="C308" t="str">
            <v>Carbon monoxide</v>
          </cell>
          <cell r="D308">
            <v>0.1</v>
          </cell>
        </row>
        <row r="309">
          <cell r="B309" t="str">
            <v>63-25-2</v>
          </cell>
          <cell r="C309" t="str">
            <v>Carbaryl</v>
          </cell>
          <cell r="D309">
            <v>1</v>
          </cell>
        </row>
        <row r="310">
          <cell r="B310" t="str">
            <v>632-99-5</v>
          </cell>
          <cell r="C310" t="str">
            <v>Magenta</v>
          </cell>
          <cell r="D310">
            <v>0.1</v>
          </cell>
        </row>
        <row r="311">
          <cell r="B311" t="str">
            <v>638-38-0</v>
          </cell>
          <cell r="C311" t="str">
            <v>Manganese diacetate</v>
          </cell>
          <cell r="D311">
            <v>1</v>
          </cell>
        </row>
        <row r="312">
          <cell r="B312" t="str">
            <v>640-15-3</v>
          </cell>
          <cell r="C312" t="str">
            <v>Thiometon</v>
          </cell>
          <cell r="D312">
            <v>1</v>
          </cell>
        </row>
        <row r="313">
          <cell r="B313" t="str">
            <v>64-19-7</v>
          </cell>
          <cell r="C313" t="str">
            <v>Acetic acid</v>
          </cell>
          <cell r="D313">
            <v>1</v>
          </cell>
        </row>
        <row r="314">
          <cell r="B314" t="str">
            <v>644-97-3</v>
          </cell>
          <cell r="C314" t="str">
            <v>Dichloro(phenyl)phosphine</v>
          </cell>
          <cell r="D314">
            <v>1</v>
          </cell>
        </row>
        <row r="315">
          <cell r="B315" t="str">
            <v>6459-94-5</v>
          </cell>
          <cell r="C315" t="str">
            <v>C.I. acid red 114</v>
          </cell>
          <cell r="D315">
            <v>0.1</v>
          </cell>
        </row>
        <row r="316">
          <cell r="B316" t="str">
            <v>64-67-5</v>
          </cell>
          <cell r="C316" t="str">
            <v>Diethyl sulfate</v>
          </cell>
          <cell r="D316">
            <v>0.1</v>
          </cell>
        </row>
        <row r="317">
          <cell r="B317" t="str">
            <v>65907-30-4</v>
          </cell>
          <cell r="C317" t="str">
            <v>Furathiocarb</v>
          </cell>
          <cell r="D317">
            <v>1</v>
          </cell>
        </row>
        <row r="318">
          <cell r="B318" t="str">
            <v>67-56-1</v>
          </cell>
          <cell r="C318" t="str">
            <v>Methyl alcohol</v>
          </cell>
          <cell r="D318">
            <v>1</v>
          </cell>
        </row>
        <row r="319">
          <cell r="B319" t="str">
            <v>67-63-0</v>
          </cell>
          <cell r="C319" t="str">
            <v>2-Propanol</v>
          </cell>
          <cell r="D319">
            <v>1</v>
          </cell>
        </row>
        <row r="320">
          <cell r="B320" t="str">
            <v>67-66-3</v>
          </cell>
          <cell r="C320" t="str">
            <v>Chloroform</v>
          </cell>
          <cell r="D320">
            <v>0.1</v>
          </cell>
        </row>
        <row r="321">
          <cell r="B321" t="str">
            <v>67701-12-6</v>
          </cell>
          <cell r="C321" t="str">
            <v>Fatty acids, (C=14-18) and (C=16-18)-unsatd., zinc salts</v>
          </cell>
          <cell r="D321">
            <v>1</v>
          </cell>
        </row>
        <row r="322">
          <cell r="B322" t="str">
            <v>67711-92-6</v>
          </cell>
          <cell r="C322" t="str">
            <v>Copper Slag</v>
          </cell>
          <cell r="D322">
            <v>1</v>
          </cell>
        </row>
        <row r="323">
          <cell r="B323" t="str">
            <v>67-72-1</v>
          </cell>
          <cell r="C323" t="str">
            <v>Hexachloroethane</v>
          </cell>
          <cell r="D323">
            <v>0.1</v>
          </cell>
        </row>
        <row r="324">
          <cell r="B324" t="str">
            <v>680-31-9</v>
          </cell>
          <cell r="C324" t="str">
            <v>Hexamethyl phosphoramide</v>
          </cell>
          <cell r="D324">
            <v>0.1</v>
          </cell>
        </row>
        <row r="325">
          <cell r="B325" t="str">
            <v>68085-85-8</v>
          </cell>
          <cell r="C325" t="str">
            <v>Cyhalothrin</v>
          </cell>
          <cell r="D325">
            <v>1</v>
          </cell>
        </row>
        <row r="326">
          <cell r="B326" t="str">
            <v>68-11-1</v>
          </cell>
          <cell r="C326" t="str">
            <v>Mercaptoacetic acid</v>
          </cell>
          <cell r="D326">
            <v>1</v>
          </cell>
        </row>
        <row r="327">
          <cell r="B327" t="str">
            <v>68-12-2</v>
          </cell>
          <cell r="C327" t="str">
            <v>N,N-Dimethylformamide</v>
          </cell>
          <cell r="D327">
            <v>0.1</v>
          </cell>
        </row>
        <row r="328">
          <cell r="B328" t="str">
            <v>68359-37-5</v>
          </cell>
          <cell r="C328" t="str">
            <v>Cyfluthrin</v>
          </cell>
          <cell r="D328">
            <v>1</v>
          </cell>
        </row>
        <row r="329">
          <cell r="B329" t="str">
            <v>68412-74-8</v>
          </cell>
          <cell r="C329" t="str">
            <v xml:space="preserve">Cobalt zinc silicate, blue phenacite </v>
          </cell>
          <cell r="D329">
            <v>0.1</v>
          </cell>
        </row>
        <row r="330">
          <cell r="B330" t="str">
            <v>68649-42-3</v>
          </cell>
          <cell r="C330" t="str">
            <v>Phosphorodithioic acid O,O-dialkyl(C=1-14) esters zinc salts</v>
          </cell>
          <cell r="D330">
            <v>1</v>
          </cell>
        </row>
        <row r="331">
          <cell r="B331" t="str">
            <v>6865-35-6</v>
          </cell>
          <cell r="C331" t="str">
            <v>Octadecanoic acid barium salt ; Barium stearate</v>
          </cell>
          <cell r="D331">
            <v>1</v>
          </cell>
        </row>
        <row r="332">
          <cell r="B332" t="str">
            <v>6923-52-0</v>
          </cell>
          <cell r="C332" t="str">
            <v>Antimony triacetate</v>
          </cell>
          <cell r="D332">
            <v>0.1</v>
          </cell>
        </row>
        <row r="333">
          <cell r="B333" t="str">
            <v>69409-94-5</v>
          </cell>
          <cell r="C333" t="str">
            <v>Fluvalinate</v>
          </cell>
          <cell r="D333">
            <v>1</v>
          </cell>
        </row>
        <row r="334">
          <cell r="B334" t="str">
            <v>71-48-7</v>
          </cell>
          <cell r="C334" t="str">
            <v>Cobalt acetate</v>
          </cell>
          <cell r="D334">
            <v>0.1</v>
          </cell>
        </row>
        <row r="335">
          <cell r="B335" t="str">
            <v>71-55-6</v>
          </cell>
          <cell r="C335" t="str">
            <v>1,1,1-Trichloroethane</v>
          </cell>
          <cell r="D335">
            <v>1</v>
          </cell>
        </row>
        <row r="336">
          <cell r="B336" t="str">
            <v>7324-74-5</v>
          </cell>
          <cell r="C336" t="str">
            <v>Dibutyltin bis(monobenzyl maleate)</v>
          </cell>
          <cell r="D336">
            <v>1</v>
          </cell>
        </row>
        <row r="337">
          <cell r="B337" t="str">
            <v>73455-75-1</v>
          </cell>
          <cell r="C337" t="str">
            <v>Hydrogen[29H,31H-phthalocyaninessulfonate(3-)-N29,N30,N31,N32]cuprate(1-),compd. with dodecylamine(1:1)</v>
          </cell>
          <cell r="D337">
            <v>1</v>
          </cell>
        </row>
        <row r="338">
          <cell r="B338" t="str">
            <v>7429-90-5</v>
          </cell>
          <cell r="C338" t="str">
            <v>Aluminium</v>
          </cell>
          <cell r="D338">
            <v>1</v>
          </cell>
        </row>
        <row r="339">
          <cell r="B339" t="str">
            <v>7439-96-5</v>
          </cell>
          <cell r="C339" t="str">
            <v>Manganese</v>
          </cell>
          <cell r="D339">
            <v>1</v>
          </cell>
        </row>
        <row r="340">
          <cell r="B340" t="str">
            <v>7440-09-7</v>
          </cell>
          <cell r="C340" t="str">
            <v>Potassium</v>
          </cell>
          <cell r="D340">
            <v>1</v>
          </cell>
        </row>
        <row r="341">
          <cell r="B341" t="str">
            <v>7440-23-5</v>
          </cell>
          <cell r="C341" t="str">
            <v>Sodium</v>
          </cell>
          <cell r="D341">
            <v>1</v>
          </cell>
        </row>
        <row r="342">
          <cell r="B342" t="str">
            <v>7440-31-5</v>
          </cell>
          <cell r="C342" t="str">
            <v>Tin</v>
          </cell>
          <cell r="D342">
            <v>1</v>
          </cell>
        </row>
        <row r="343">
          <cell r="B343" t="str">
            <v>7440-36-0</v>
          </cell>
          <cell r="C343" t="str">
            <v>Antimony</v>
          </cell>
          <cell r="D343">
            <v>0.1</v>
          </cell>
        </row>
        <row r="344">
          <cell r="B344" t="str">
            <v>7440-39-3</v>
          </cell>
          <cell r="C344" t="str">
            <v>Barium</v>
          </cell>
          <cell r="D344">
            <v>1</v>
          </cell>
        </row>
        <row r="345">
          <cell r="B345" t="str">
            <v>7440-42-8</v>
          </cell>
          <cell r="C345" t="str">
            <v>Boron</v>
          </cell>
          <cell r="D345">
            <v>1</v>
          </cell>
        </row>
        <row r="346">
          <cell r="B346" t="str">
            <v>7440-48-4</v>
          </cell>
          <cell r="C346" t="str">
            <v>Cobalt</v>
          </cell>
          <cell r="D346">
            <v>0.1</v>
          </cell>
        </row>
        <row r="347">
          <cell r="B347" t="str">
            <v>7440-50-8</v>
          </cell>
          <cell r="C347" t="str">
            <v>Copper</v>
          </cell>
          <cell r="D347">
            <v>1</v>
          </cell>
        </row>
        <row r="348">
          <cell r="B348" t="str">
            <v>7440-62-2</v>
          </cell>
          <cell r="C348" t="str">
            <v>Vanadium</v>
          </cell>
          <cell r="D348">
            <v>1</v>
          </cell>
        </row>
        <row r="349">
          <cell r="B349" t="str">
            <v>7440-66-6</v>
          </cell>
          <cell r="C349" t="str">
            <v>Zinc</v>
          </cell>
          <cell r="D349">
            <v>1</v>
          </cell>
        </row>
        <row r="350">
          <cell r="B350" t="str">
            <v>7446-08-4</v>
          </cell>
          <cell r="C350" t="str">
            <v>Selenium dioxide</v>
          </cell>
          <cell r="D350">
            <v>1</v>
          </cell>
        </row>
        <row r="351">
          <cell r="B351" t="str">
            <v>7446-70-0</v>
          </cell>
          <cell r="C351" t="str">
            <v>Aluminium trichloride</v>
          </cell>
          <cell r="D351">
            <v>1</v>
          </cell>
        </row>
        <row r="352">
          <cell r="B352" t="str">
            <v>7447-39-4</v>
          </cell>
          <cell r="C352" t="str">
            <v>Copper dichloride</v>
          </cell>
          <cell r="D352">
            <v>1</v>
          </cell>
        </row>
        <row r="353">
          <cell r="B353" t="str">
            <v>74-83-9</v>
          </cell>
          <cell r="C353" t="str">
            <v>Methyl bromide</v>
          </cell>
          <cell r="D353">
            <v>1</v>
          </cell>
        </row>
        <row r="354">
          <cell r="B354" t="str">
            <v>74-85-1</v>
          </cell>
          <cell r="C354" t="str">
            <v>Ethylene</v>
          </cell>
          <cell r="D354">
            <v>1</v>
          </cell>
        </row>
        <row r="355">
          <cell r="B355" t="str">
            <v>74-86-2</v>
          </cell>
          <cell r="C355" t="str">
            <v>Acetylene</v>
          </cell>
          <cell r="D355">
            <v>1</v>
          </cell>
        </row>
        <row r="356">
          <cell r="B356" t="str">
            <v>74-87-3</v>
          </cell>
          <cell r="C356" t="str">
            <v>Methyl chloride</v>
          </cell>
          <cell r="D356">
            <v>1</v>
          </cell>
        </row>
        <row r="357">
          <cell r="B357" t="str">
            <v>74-88-4</v>
          </cell>
          <cell r="C357" t="str">
            <v>Methyl iodide</v>
          </cell>
          <cell r="D357">
            <v>1</v>
          </cell>
        </row>
        <row r="358">
          <cell r="B358" t="str">
            <v>7488-55-3</v>
          </cell>
          <cell r="C358" t="str">
            <v>Tin sulfate</v>
          </cell>
          <cell r="D358">
            <v>1</v>
          </cell>
        </row>
        <row r="359">
          <cell r="B359" t="str">
            <v>74-90-8</v>
          </cell>
          <cell r="C359" t="str">
            <v>Hydrogen cyanide</v>
          </cell>
          <cell r="D359">
            <v>1</v>
          </cell>
        </row>
        <row r="360">
          <cell r="B360" t="str">
            <v>74-94-2</v>
          </cell>
          <cell r="C360" t="str">
            <v>Dimethylamine borane</v>
          </cell>
          <cell r="D360">
            <v>1</v>
          </cell>
        </row>
        <row r="361">
          <cell r="B361" t="str">
            <v>75-00-3</v>
          </cell>
          <cell r="C361" t="str">
            <v>Ethyl chloride</v>
          </cell>
          <cell r="D361">
            <v>1</v>
          </cell>
        </row>
        <row r="362">
          <cell r="B362" t="str">
            <v>75-07-0</v>
          </cell>
          <cell r="C362" t="str">
            <v>Acetaldehyde</v>
          </cell>
          <cell r="D362">
            <v>0.1</v>
          </cell>
        </row>
        <row r="363">
          <cell r="B363" t="str">
            <v>75-09-2</v>
          </cell>
          <cell r="C363" t="str">
            <v>Dichloromethane</v>
          </cell>
          <cell r="D363">
            <v>0.1</v>
          </cell>
        </row>
        <row r="364">
          <cell r="B364" t="str">
            <v>75-15-0</v>
          </cell>
          <cell r="C364" t="str">
            <v>Carbon disulfide</v>
          </cell>
          <cell r="D364">
            <v>1</v>
          </cell>
        </row>
        <row r="365">
          <cell r="B365" t="str">
            <v>75-18-3</v>
          </cell>
          <cell r="C365" t="str">
            <v>Methyl sulfide</v>
          </cell>
          <cell r="D365">
            <v>1</v>
          </cell>
        </row>
        <row r="366">
          <cell r="B366" t="str">
            <v>75-27-4</v>
          </cell>
          <cell r="C366" t="str">
            <v>Bromodichloromethane</v>
          </cell>
          <cell r="D366">
            <v>0.1</v>
          </cell>
        </row>
        <row r="367">
          <cell r="B367" t="str">
            <v>753-73-1</v>
          </cell>
          <cell r="C367" t="str">
            <v>Dimethyltin dichloride</v>
          </cell>
          <cell r="D367">
            <v>1</v>
          </cell>
        </row>
        <row r="368">
          <cell r="B368" t="str">
            <v>75-44-5</v>
          </cell>
          <cell r="C368" t="str">
            <v>Phosgene</v>
          </cell>
          <cell r="D368">
            <v>1</v>
          </cell>
        </row>
        <row r="369">
          <cell r="B369" t="str">
            <v>75-52-5</v>
          </cell>
          <cell r="C369" t="str">
            <v>Nitromethane</v>
          </cell>
          <cell r="D369">
            <v>0.1</v>
          </cell>
        </row>
        <row r="370">
          <cell r="B370" t="str">
            <v>75-56-9</v>
          </cell>
          <cell r="C370" t="str">
            <v>Propylene oxide</v>
          </cell>
          <cell r="D370">
            <v>0.1</v>
          </cell>
        </row>
        <row r="371">
          <cell r="B371" t="str">
            <v>76-03-9</v>
          </cell>
          <cell r="C371" t="str">
            <v>Trichloroacetic acid</v>
          </cell>
          <cell r="D371">
            <v>1</v>
          </cell>
        </row>
        <row r="372">
          <cell r="B372" t="str">
            <v>7632-00-0</v>
          </cell>
          <cell r="C372" t="str">
            <v>Sodium nitrite</v>
          </cell>
          <cell r="D372">
            <v>1</v>
          </cell>
        </row>
        <row r="373">
          <cell r="B373" t="str">
            <v>7632-51-1</v>
          </cell>
          <cell r="C373" t="str">
            <v>Vanadium tetrachloride</v>
          </cell>
          <cell r="D373">
            <v>1</v>
          </cell>
        </row>
        <row r="374">
          <cell r="B374" t="str">
            <v>7637-07-2</v>
          </cell>
          <cell r="C374" t="str">
            <v>Trifluoroborane</v>
          </cell>
          <cell r="D374">
            <v>1</v>
          </cell>
        </row>
        <row r="375">
          <cell r="B375" t="str">
            <v>7646-85-7</v>
          </cell>
          <cell r="C375" t="str">
            <v>Zinc chloride</v>
          </cell>
          <cell r="D375">
            <v>1</v>
          </cell>
        </row>
        <row r="376">
          <cell r="B376" t="str">
            <v>7647-01-0</v>
          </cell>
          <cell r="C376" t="str">
            <v>Hydrogen chloride</v>
          </cell>
          <cell r="D376">
            <v>1</v>
          </cell>
        </row>
        <row r="377">
          <cell r="B377" t="str">
            <v>7652-64-4</v>
          </cell>
          <cell r="C377" t="str">
            <v>1,1'-(1,3-Phenylenedicarbonyl)bis(methylaziridine)</v>
          </cell>
          <cell r="D377">
            <v>1</v>
          </cell>
        </row>
        <row r="378">
          <cell r="B378" t="str">
            <v>7664-39-3</v>
          </cell>
          <cell r="C378" t="str">
            <v>Hydrogen fluoride</v>
          </cell>
          <cell r="D378">
            <v>1</v>
          </cell>
        </row>
        <row r="379">
          <cell r="B379" t="str">
            <v>7664-41-7</v>
          </cell>
          <cell r="C379" t="str">
            <v>Ammonia(including aqueous solution)</v>
          </cell>
          <cell r="D379">
            <v>1</v>
          </cell>
        </row>
        <row r="380">
          <cell r="B380" t="str">
            <v>7664-93-9</v>
          </cell>
          <cell r="C380" t="str">
            <v>Sulfuric acid</v>
          </cell>
          <cell r="D380">
            <v>1</v>
          </cell>
        </row>
        <row r="381">
          <cell r="B381" t="str">
            <v>7681-49-4</v>
          </cell>
          <cell r="C381" t="str">
            <v>Sodium fluoride</v>
          </cell>
          <cell r="D381">
            <v>1</v>
          </cell>
        </row>
        <row r="382">
          <cell r="B382" t="str">
            <v>7681-65-4</v>
          </cell>
          <cell r="C382" t="str">
            <v>Copper monoiodide</v>
          </cell>
          <cell r="D382">
            <v>1</v>
          </cell>
        </row>
        <row r="383">
          <cell r="B383" t="str">
            <v>76-87-9</v>
          </cell>
          <cell r="C383" t="str">
            <v>Triphenyltin hydroxide</v>
          </cell>
          <cell r="D383">
            <v>0.1</v>
          </cell>
        </row>
        <row r="384">
          <cell r="B384" t="str">
            <v>7697-37-2</v>
          </cell>
          <cell r="C384" t="str">
            <v>Nitric acid</v>
          </cell>
          <cell r="D384">
            <v>1</v>
          </cell>
        </row>
        <row r="385">
          <cell r="B385" t="str">
            <v>7704-34-9</v>
          </cell>
          <cell r="C385" t="str">
            <v>Sulfur</v>
          </cell>
          <cell r="D385">
            <v>1</v>
          </cell>
        </row>
        <row r="386">
          <cell r="B386" t="str">
            <v>7719-09-7</v>
          </cell>
          <cell r="C386" t="str">
            <v>Thionyl chloride</v>
          </cell>
          <cell r="D386">
            <v>1</v>
          </cell>
        </row>
        <row r="387">
          <cell r="B387" t="str">
            <v>7719-12-2</v>
          </cell>
          <cell r="C387" t="str">
            <v>Phosphorus trichloride</v>
          </cell>
          <cell r="D387">
            <v>1</v>
          </cell>
        </row>
        <row r="388">
          <cell r="B388" t="str">
            <v>7722-64-7</v>
          </cell>
          <cell r="C388" t="str">
            <v>Potassium permanganate</v>
          </cell>
          <cell r="D388">
            <v>1</v>
          </cell>
        </row>
        <row r="389">
          <cell r="B389" t="str">
            <v>7722-84-1</v>
          </cell>
          <cell r="C389" t="str">
            <v>Hydrogen peroxide</v>
          </cell>
          <cell r="D389">
            <v>1</v>
          </cell>
        </row>
        <row r="390">
          <cell r="B390" t="str">
            <v>7723-14-0</v>
          </cell>
          <cell r="C390" t="str">
            <v>Phosphorus</v>
          </cell>
          <cell r="D390">
            <v>1</v>
          </cell>
        </row>
        <row r="391">
          <cell r="B391" t="str">
            <v>7726-95-6</v>
          </cell>
          <cell r="C391" t="str">
            <v>Bromine</v>
          </cell>
          <cell r="D391">
            <v>1</v>
          </cell>
        </row>
        <row r="392">
          <cell r="B392" t="str">
            <v>7727-18-6</v>
          </cell>
          <cell r="C392" t="str">
            <v>Vanadium trichloride oxide</v>
          </cell>
          <cell r="D392">
            <v>1</v>
          </cell>
        </row>
        <row r="393">
          <cell r="B393" t="str">
            <v>7727-43-7</v>
          </cell>
          <cell r="C393" t="str">
            <v>Barium sulfate, natural</v>
          </cell>
          <cell r="D393">
            <v>1</v>
          </cell>
        </row>
        <row r="394">
          <cell r="B394" t="str">
            <v>7733-02-0</v>
          </cell>
          <cell r="C394" t="str">
            <v>Zinc sulfate</v>
          </cell>
          <cell r="D394">
            <v>1</v>
          </cell>
        </row>
        <row r="395">
          <cell r="B395" t="str">
            <v>77-47-4</v>
          </cell>
          <cell r="C395" t="str">
            <v>Hexachlorocyclopentadiene</v>
          </cell>
          <cell r="D395">
            <v>1</v>
          </cell>
        </row>
        <row r="396">
          <cell r="B396" t="str">
            <v>7758-01-2</v>
          </cell>
          <cell r="C396" t="str">
            <v>Potassium bromate</v>
          </cell>
          <cell r="D396">
            <v>0.1</v>
          </cell>
        </row>
        <row r="397">
          <cell r="B397" t="str">
            <v>7758-09-0</v>
          </cell>
          <cell r="C397" t="str">
            <v>Potassium nitrite</v>
          </cell>
          <cell r="D397">
            <v>1</v>
          </cell>
        </row>
        <row r="398">
          <cell r="B398" t="str">
            <v>7758-19-2</v>
          </cell>
          <cell r="C398" t="str">
            <v>Sodium chlorite</v>
          </cell>
          <cell r="D398">
            <v>1</v>
          </cell>
        </row>
        <row r="399">
          <cell r="B399" t="str">
            <v>77-58-7</v>
          </cell>
          <cell r="C399" t="str">
            <v>Dibutylbis[(1-oxododecyl)oxy]stannane ; Dibutyltin dilaurate</v>
          </cell>
          <cell r="D399">
            <v>1</v>
          </cell>
        </row>
        <row r="400">
          <cell r="B400" t="str">
            <v>7758-89-6</v>
          </cell>
          <cell r="C400" t="str">
            <v>Copper monochloride</v>
          </cell>
          <cell r="D400">
            <v>1</v>
          </cell>
        </row>
        <row r="401">
          <cell r="B401" t="str">
            <v>7758-98-7</v>
          </cell>
          <cell r="C401" t="str">
            <v>Copper sulfate</v>
          </cell>
          <cell r="D401">
            <v>1</v>
          </cell>
        </row>
        <row r="402">
          <cell r="B402" t="str">
            <v>7772-99-8</v>
          </cell>
          <cell r="C402" t="str">
            <v>Tin dichloride</v>
          </cell>
          <cell r="D402">
            <v>1</v>
          </cell>
        </row>
        <row r="403">
          <cell r="B403" t="str">
            <v>77-78-1</v>
          </cell>
          <cell r="C403" t="str">
            <v>Dimethyl sulfate</v>
          </cell>
          <cell r="D403">
            <v>0.1</v>
          </cell>
        </row>
        <row r="404">
          <cell r="B404" t="str">
            <v>7779-88-6</v>
          </cell>
          <cell r="C404" t="str">
            <v>Zinc nitrate</v>
          </cell>
          <cell r="D404">
            <v>1</v>
          </cell>
        </row>
        <row r="405">
          <cell r="B405" t="str">
            <v>7779-90-0</v>
          </cell>
          <cell r="C405" t="str">
            <v>Trizinc bis(orthophosphate</v>
          </cell>
          <cell r="D405">
            <v>1</v>
          </cell>
        </row>
        <row r="406">
          <cell r="B406" t="str">
            <v>7782-49-2</v>
          </cell>
          <cell r="C406" t="str">
            <v xml:space="preserve">Selenium </v>
          </cell>
          <cell r="D406">
            <v>1</v>
          </cell>
        </row>
        <row r="407">
          <cell r="B407" t="str">
            <v>7782-50-5</v>
          </cell>
          <cell r="C407" t="str">
            <v>Chlorine</v>
          </cell>
          <cell r="D407">
            <v>1</v>
          </cell>
        </row>
        <row r="408">
          <cell r="B408" t="str">
            <v>7783-06-4</v>
          </cell>
          <cell r="C408" t="str">
            <v>Hydrogen sulfide</v>
          </cell>
          <cell r="D408">
            <v>1</v>
          </cell>
        </row>
        <row r="409">
          <cell r="B409" t="str">
            <v>7785-87-7</v>
          </cell>
          <cell r="C409" t="str">
            <v>Manganese monosulfate</v>
          </cell>
          <cell r="D409">
            <v>1</v>
          </cell>
        </row>
        <row r="410">
          <cell r="B410" t="str">
            <v>7790-94-5</v>
          </cell>
          <cell r="C410" t="str">
            <v>Chlorosulfonic acid</v>
          </cell>
          <cell r="D410">
            <v>1</v>
          </cell>
        </row>
        <row r="411">
          <cell r="B411" t="str">
            <v>7803-49-8</v>
          </cell>
          <cell r="C411" t="str">
            <v>Hydroxylamine</v>
          </cell>
          <cell r="D411">
            <v>1</v>
          </cell>
        </row>
        <row r="412">
          <cell r="B412" t="str">
            <v>7803-51-2</v>
          </cell>
          <cell r="C412" t="str">
            <v>Phosphine</v>
          </cell>
          <cell r="D412">
            <v>1</v>
          </cell>
        </row>
        <row r="413">
          <cell r="B413" t="str">
            <v>7803-57-8</v>
          </cell>
          <cell r="C413" t="str">
            <v>Hydrazine hydrate</v>
          </cell>
          <cell r="D413">
            <v>1</v>
          </cell>
        </row>
        <row r="414">
          <cell r="B414" t="str">
            <v>78-04-6</v>
          </cell>
          <cell r="C414" t="str">
            <v>Dibutyltin maleate</v>
          </cell>
          <cell r="D414">
            <v>1</v>
          </cell>
        </row>
        <row r="415">
          <cell r="B415" t="str">
            <v>78-48-8</v>
          </cell>
          <cell r="C415" t="str">
            <v>S,S,S-Tributyl phosphorotrithioate</v>
          </cell>
          <cell r="D415">
            <v>1</v>
          </cell>
        </row>
        <row r="416">
          <cell r="B416" t="str">
            <v>78-79-5</v>
          </cell>
          <cell r="C416" t="str">
            <v>Isoprene</v>
          </cell>
          <cell r="D416">
            <v>0.1</v>
          </cell>
        </row>
        <row r="417">
          <cell r="B417" t="str">
            <v>78-82-0</v>
          </cell>
          <cell r="C417" t="str">
            <v>2-Methylpropanenitrile</v>
          </cell>
          <cell r="D417">
            <v>1</v>
          </cell>
        </row>
        <row r="418">
          <cell r="B418" t="str">
            <v>78-93-3</v>
          </cell>
          <cell r="C418" t="str">
            <v>Methyl ethyl ketone</v>
          </cell>
          <cell r="D418">
            <v>1</v>
          </cell>
        </row>
        <row r="419">
          <cell r="B419" t="str">
            <v>79-01-6</v>
          </cell>
          <cell r="C419" t="str">
            <v>Trichloroethylene</v>
          </cell>
          <cell r="D419">
            <v>0.1</v>
          </cell>
        </row>
        <row r="420">
          <cell r="B420" t="str">
            <v>79-06-1</v>
          </cell>
          <cell r="C420" t="str">
            <v>Acrylamide</v>
          </cell>
          <cell r="D420">
            <v>0.1</v>
          </cell>
        </row>
        <row r="421">
          <cell r="B421" t="str">
            <v>79-11-8</v>
          </cell>
          <cell r="C421" t="str">
            <v>Chloroacetic acid</v>
          </cell>
          <cell r="D421">
            <v>1</v>
          </cell>
        </row>
        <row r="422">
          <cell r="B422" t="str">
            <v>79-19-6</v>
          </cell>
          <cell r="C422" t="str">
            <v>Thiosemicarbazide</v>
          </cell>
          <cell r="D422">
            <v>1</v>
          </cell>
        </row>
        <row r="423">
          <cell r="B423" t="str">
            <v>79-27-6</v>
          </cell>
          <cell r="C423" t="str">
            <v>1,1,2,2-Tetrabromoethane</v>
          </cell>
          <cell r="D423">
            <v>1</v>
          </cell>
        </row>
        <row r="424">
          <cell r="B424" t="str">
            <v>793-24-8</v>
          </cell>
          <cell r="C424" t="str">
            <v>N-(1,3-dimethylbutyl)-N'-phenyl-p-Phenylenediamine</v>
          </cell>
          <cell r="D424">
            <v>1</v>
          </cell>
        </row>
        <row r="425">
          <cell r="B425" t="str">
            <v>79-46-9</v>
          </cell>
          <cell r="C425" t="str">
            <v>2-Nitropropane</v>
          </cell>
          <cell r="D425">
            <v>0.1</v>
          </cell>
        </row>
        <row r="426">
          <cell r="B426" t="str">
            <v>79622-59-6</v>
          </cell>
          <cell r="C426" t="str">
            <v>Fluazinam</v>
          </cell>
          <cell r="D426">
            <v>1</v>
          </cell>
        </row>
        <row r="427">
          <cell r="B427" t="str">
            <v>8001-54-5</v>
          </cell>
          <cell r="C427" t="str">
            <v>N-Alkyldimethylbenzylammonium chloride</v>
          </cell>
          <cell r="D427">
            <v>1</v>
          </cell>
        </row>
        <row r="428">
          <cell r="B428" t="str">
            <v>8001-58-9</v>
          </cell>
          <cell r="C428" t="str">
            <v>Creosote</v>
          </cell>
          <cell r="D428">
            <v>0.1</v>
          </cell>
        </row>
        <row r="429">
          <cell r="B429" t="str">
            <v>80-05-7</v>
          </cell>
          <cell r="C429" t="str">
            <v>4,4'-Bisphenol A</v>
          </cell>
          <cell r="D429">
            <v>1</v>
          </cell>
        </row>
        <row r="430">
          <cell r="B430" t="str">
            <v>80060-09-9</v>
          </cell>
          <cell r="C430" t="str">
            <v>Diafenthiuron</v>
          </cell>
          <cell r="D430">
            <v>1</v>
          </cell>
        </row>
        <row r="431">
          <cell r="B431" t="str">
            <v>8006-32-4</v>
          </cell>
          <cell r="C431" t="str">
            <v>Sulfuric acid, barium salt (1:1), mixt. with zinc oxide and zinc sulfide</v>
          </cell>
          <cell r="D431">
            <v>1</v>
          </cell>
        </row>
        <row r="432">
          <cell r="B432" t="str">
            <v>8014-95-7</v>
          </cell>
          <cell r="C432" t="str">
            <v>Fuming sulfuric acid</v>
          </cell>
          <cell r="D432">
            <v>1</v>
          </cell>
        </row>
        <row r="433">
          <cell r="B433" t="str">
            <v>8018-01-7</v>
          </cell>
          <cell r="C433" t="str">
            <v>Ethylenebis(dithiocarbamic acid)manganese zinc complex ;Acoordination product of zinc ion and manganese ethylene bisdithiocarbamate, Mancozeb</v>
          </cell>
          <cell r="D433">
            <v>0.1</v>
          </cell>
        </row>
        <row r="434">
          <cell r="B434" t="str">
            <v>8030-30-6</v>
          </cell>
          <cell r="C434" t="str">
            <v>Naphtha</v>
          </cell>
          <cell r="D434">
            <v>0.1</v>
          </cell>
        </row>
        <row r="435">
          <cell r="B435" t="str">
            <v>81-07-2</v>
          </cell>
          <cell r="C435" t="str">
            <v>Saccharin</v>
          </cell>
          <cell r="D435">
            <v>1</v>
          </cell>
        </row>
        <row r="436">
          <cell r="B436" t="str">
            <v>818-08-6</v>
          </cell>
          <cell r="C436" t="str">
            <v>Di-n-butyltin oxide</v>
          </cell>
          <cell r="D436">
            <v>1</v>
          </cell>
        </row>
        <row r="437">
          <cell r="B437" t="str">
            <v>81-81-2</v>
          </cell>
          <cell r="C437" t="str">
            <v>Warfarin</v>
          </cell>
          <cell r="D437">
            <v>0.1</v>
          </cell>
        </row>
        <row r="438">
          <cell r="B438" t="str">
            <v>822-06-0</v>
          </cell>
          <cell r="C438" t="str">
            <v>Hexamethylene diisocyanate</v>
          </cell>
          <cell r="D438">
            <v>1</v>
          </cell>
        </row>
        <row r="439">
          <cell r="B439" t="str">
            <v>823-40-5</v>
          </cell>
          <cell r="C439" t="str">
            <v>2,6-Diaminotoluene</v>
          </cell>
          <cell r="D439">
            <v>1</v>
          </cell>
        </row>
        <row r="440">
          <cell r="B440" t="str">
            <v>82560-54-1</v>
          </cell>
          <cell r="C440" t="str">
            <v>Benfuracarb</v>
          </cell>
          <cell r="D440">
            <v>1</v>
          </cell>
        </row>
        <row r="441">
          <cell r="B441" t="str">
            <v>84852-15-3</v>
          </cell>
          <cell r="C441" t="str">
            <v>Branched 4-nonylphenol</v>
          </cell>
          <cell r="D441">
            <v>1</v>
          </cell>
        </row>
        <row r="442">
          <cell r="B442" t="str">
            <v>85-00-7</v>
          </cell>
          <cell r="C442" t="str">
            <v>Diquat dibromide</v>
          </cell>
          <cell r="D442">
            <v>1</v>
          </cell>
        </row>
        <row r="443">
          <cell r="B443" t="str">
            <v>85-68-7</v>
          </cell>
          <cell r="C443" t="str">
            <v>Butylbenzyl phthalate</v>
          </cell>
          <cell r="D443">
            <v>0.1</v>
          </cell>
        </row>
        <row r="444">
          <cell r="B444" t="str">
            <v>86-50-0</v>
          </cell>
          <cell r="C444" t="str">
            <v>Azinphos-methyl</v>
          </cell>
          <cell r="D444">
            <v>1</v>
          </cell>
        </row>
        <row r="445">
          <cell r="B445" t="str">
            <v>86598-92-7</v>
          </cell>
          <cell r="C445" t="str">
            <v>Imibenconazole</v>
          </cell>
          <cell r="D445">
            <v>1</v>
          </cell>
        </row>
        <row r="446">
          <cell r="B446" t="str">
            <v>870-08-6</v>
          </cell>
          <cell r="C446" t="str">
            <v>Di-n-octyltin oxide ; Dioctyltin oxide</v>
          </cell>
          <cell r="D446">
            <v>1</v>
          </cell>
        </row>
        <row r="447">
          <cell r="B447" t="str">
            <v>87-62-7</v>
          </cell>
          <cell r="C447" t="str">
            <v>2,6-Dimethylaniline</v>
          </cell>
          <cell r="D447">
            <v>0.1</v>
          </cell>
        </row>
        <row r="448">
          <cell r="B448" t="str">
            <v>88-06-2</v>
          </cell>
          <cell r="C448" t="str">
            <v>2,4,6-Trichlorophenol</v>
          </cell>
          <cell r="D448">
            <v>0.1</v>
          </cell>
        </row>
        <row r="449">
          <cell r="B449" t="str">
            <v>88-73-3</v>
          </cell>
          <cell r="C449" t="str">
            <v>1-Chloro-2-nitrobenzene</v>
          </cell>
          <cell r="D449">
            <v>1</v>
          </cell>
        </row>
        <row r="450">
          <cell r="B450" t="str">
            <v>88-85-7</v>
          </cell>
          <cell r="C450" t="str">
            <v>Dinoseb</v>
          </cell>
          <cell r="D450">
            <v>0.1</v>
          </cell>
        </row>
        <row r="451">
          <cell r="B451" t="str">
            <v>88-89-1</v>
          </cell>
          <cell r="C451" t="str">
            <v>Picric acid</v>
          </cell>
          <cell r="D451">
            <v>1</v>
          </cell>
        </row>
        <row r="452">
          <cell r="B452" t="str">
            <v>90-04-0</v>
          </cell>
          <cell r="C452" t="str">
            <v>o-Anisidine</v>
          </cell>
          <cell r="D452">
            <v>0.1</v>
          </cell>
        </row>
        <row r="453">
          <cell r="B453" t="str">
            <v>90-43-7</v>
          </cell>
          <cell r="C453" t="str">
            <v>Biphenyl-2-ol</v>
          </cell>
          <cell r="D453">
            <v>0.1</v>
          </cell>
        </row>
        <row r="454">
          <cell r="B454" t="str">
            <v>90-94-8</v>
          </cell>
          <cell r="C454" t="str">
            <v>4,4'-Bis(dimethylamino)benzophenone</v>
          </cell>
          <cell r="D454">
            <v>0.1</v>
          </cell>
        </row>
        <row r="455">
          <cell r="B455" t="str">
            <v>91-20-3</v>
          </cell>
          <cell r="C455" t="str">
            <v>Naphthalene</v>
          </cell>
          <cell r="D455">
            <v>0.1</v>
          </cell>
        </row>
        <row r="456">
          <cell r="B456" t="str">
            <v>91-94-1</v>
          </cell>
          <cell r="C456" t="str">
            <v>3,3'-Dichlorobenzidine</v>
          </cell>
          <cell r="D456">
            <v>0.1</v>
          </cell>
        </row>
        <row r="457">
          <cell r="B457" t="str">
            <v>92-93-3</v>
          </cell>
          <cell r="C457" t="str">
            <v>4-Nitrobiphenyl</v>
          </cell>
          <cell r="D457">
            <v>0.1</v>
          </cell>
        </row>
        <row r="458">
          <cell r="B458" t="str">
            <v>944-22-9</v>
          </cell>
          <cell r="C458" t="str">
            <v>Fonofos</v>
          </cell>
          <cell r="D458">
            <v>1</v>
          </cell>
        </row>
        <row r="459">
          <cell r="B459" t="str">
            <v>94-59-7</v>
          </cell>
          <cell r="C459" t="str">
            <v>Safrole</v>
          </cell>
          <cell r="D459">
            <v>0.1</v>
          </cell>
        </row>
        <row r="460">
          <cell r="B460" t="str">
            <v>94-75-7</v>
          </cell>
          <cell r="C460" t="str">
            <v>2,4-D</v>
          </cell>
          <cell r="D460">
            <v>1</v>
          </cell>
        </row>
        <row r="461">
          <cell r="B461" t="str">
            <v>950-37-8</v>
          </cell>
          <cell r="C461" t="str">
            <v>Methidathion</v>
          </cell>
          <cell r="D461">
            <v>1</v>
          </cell>
        </row>
        <row r="462">
          <cell r="B462" t="str">
            <v>95-47-6</v>
          </cell>
          <cell r="C462" t="str">
            <v>o-Xylene</v>
          </cell>
          <cell r="D462">
            <v>1</v>
          </cell>
        </row>
        <row r="463">
          <cell r="B463" t="str">
            <v>95-48-7</v>
          </cell>
          <cell r="C463" t="str">
            <v>o-Cresol</v>
          </cell>
          <cell r="D463">
            <v>1</v>
          </cell>
        </row>
        <row r="464">
          <cell r="B464" t="str">
            <v>95-51-2</v>
          </cell>
          <cell r="C464" t="str">
            <v>2-Chlorobenzenamine</v>
          </cell>
          <cell r="D464">
            <v>1</v>
          </cell>
        </row>
        <row r="465">
          <cell r="B465" t="str">
            <v>95-53-4</v>
          </cell>
          <cell r="C465" t="str">
            <v>o-Toluidine</v>
          </cell>
          <cell r="D465">
            <v>0.1</v>
          </cell>
        </row>
        <row r="466">
          <cell r="B466" t="str">
            <v>95-80-7</v>
          </cell>
          <cell r="C466" t="str">
            <v>2,4-Diaminotoluene</v>
          </cell>
          <cell r="D466">
            <v>0.1</v>
          </cell>
        </row>
        <row r="467">
          <cell r="B467" t="str">
            <v>96-09-3</v>
          </cell>
          <cell r="C467" t="str">
            <v>(Epoxyethyl)benzene</v>
          </cell>
          <cell r="D467">
            <v>0.1</v>
          </cell>
        </row>
        <row r="468">
          <cell r="B468" t="str">
            <v>96-18-4</v>
          </cell>
          <cell r="C468" t="str">
            <v>1,2,3-Trichloropropane</v>
          </cell>
          <cell r="D468">
            <v>0.1</v>
          </cell>
        </row>
        <row r="469">
          <cell r="B469" t="str">
            <v>96-23-1</v>
          </cell>
          <cell r="C469" t="str">
            <v>1,3-Dichloro-2-propanol</v>
          </cell>
          <cell r="D469">
            <v>0.1</v>
          </cell>
        </row>
        <row r="470">
          <cell r="B470" t="str">
            <v>96-24-2</v>
          </cell>
          <cell r="C470" t="str">
            <v>Chlorohydrin</v>
          </cell>
          <cell r="D470">
            <v>1</v>
          </cell>
        </row>
        <row r="471">
          <cell r="B471" t="str">
            <v>96-45-7</v>
          </cell>
          <cell r="C471" t="str">
            <v>Ethylenethiourea</v>
          </cell>
          <cell r="D471">
            <v>0.1</v>
          </cell>
        </row>
        <row r="472">
          <cell r="B472" t="str">
            <v>96489-71-3</v>
          </cell>
          <cell r="C472" t="str">
            <v>Pyridaben</v>
          </cell>
          <cell r="D472">
            <v>1</v>
          </cell>
        </row>
        <row r="473">
          <cell r="B473" t="str">
            <v>96491-05-3</v>
          </cell>
          <cell r="C473" t="str">
            <v>Thenylchlor</v>
          </cell>
          <cell r="D473">
            <v>1</v>
          </cell>
        </row>
        <row r="474">
          <cell r="B474" t="str">
            <v>97-17-6</v>
          </cell>
          <cell r="C474" t="str">
            <v>Dichlofenthion</v>
          </cell>
          <cell r="D474">
            <v>1</v>
          </cell>
        </row>
        <row r="475">
          <cell r="B475" t="str">
            <v>97-56-3</v>
          </cell>
          <cell r="C475" t="str">
            <v>o-Aminoazotoluene</v>
          </cell>
          <cell r="D475">
            <v>0.1</v>
          </cell>
        </row>
        <row r="476">
          <cell r="B476" t="str">
            <v>97886-45-8</v>
          </cell>
          <cell r="C476" t="str">
            <v>Dithiopyr</v>
          </cell>
          <cell r="D476">
            <v>1</v>
          </cell>
        </row>
        <row r="477">
          <cell r="B477" t="str">
            <v>98-00-0</v>
          </cell>
          <cell r="C477" t="str">
            <v>2-Furanmethanol</v>
          </cell>
          <cell r="D477">
            <v>1</v>
          </cell>
        </row>
        <row r="478">
          <cell r="B478" t="str">
            <v>98-01-1</v>
          </cell>
          <cell r="C478" t="str">
            <v>Furfural</v>
          </cell>
          <cell r="D478">
            <v>1</v>
          </cell>
        </row>
        <row r="479">
          <cell r="B479" t="str">
            <v>98-07-7</v>
          </cell>
          <cell r="C479" t="str">
            <v>(Trichloromethyl)benzene</v>
          </cell>
          <cell r="D479">
            <v>0.1</v>
          </cell>
        </row>
        <row r="480">
          <cell r="B480" t="str">
            <v>98-88-4</v>
          </cell>
          <cell r="C480" t="str">
            <v>Benzoyl chloride</v>
          </cell>
          <cell r="D480">
            <v>0.1</v>
          </cell>
        </row>
        <row r="481">
          <cell r="B481" t="str">
            <v>98886-44-3</v>
          </cell>
          <cell r="C481" t="str">
            <v>Fosthiazate</v>
          </cell>
          <cell r="D481">
            <v>1</v>
          </cell>
        </row>
        <row r="482">
          <cell r="B482" t="str">
            <v>98-95-3</v>
          </cell>
          <cell r="C482" t="str">
            <v>Nitrobenzene</v>
          </cell>
          <cell r="D482">
            <v>0.1</v>
          </cell>
        </row>
        <row r="483">
          <cell r="B483" t="str">
            <v>99-99-0</v>
          </cell>
          <cell r="C483" t="str">
            <v>4-Nitrotoluene</v>
          </cell>
          <cell r="D483">
            <v>1</v>
          </cell>
        </row>
        <row r="484">
          <cell r="B484" t="str">
            <v>75-35-4</v>
          </cell>
          <cell r="C484" t="str">
            <v>1,1-Dichloroethene</v>
          </cell>
          <cell r="D484">
            <v>1</v>
          </cell>
        </row>
        <row r="485">
          <cell r="B485" t="str">
            <v>84-74-2</v>
          </cell>
          <cell r="C485" t="str">
            <v>Dibutyl phthalate</v>
          </cell>
          <cell r="D485">
            <v>0.1</v>
          </cell>
        </row>
        <row r="486">
          <cell r="B486" t="str">
            <v>91-22-5</v>
          </cell>
          <cell r="C486" t="str">
            <v>Quinoline</v>
          </cell>
          <cell r="D486">
            <v>0.1</v>
          </cell>
        </row>
        <row r="487">
          <cell r="B487" t="str">
            <v>91-66-7</v>
          </cell>
          <cell r="C487" t="str">
            <v>N,N-Diethylaniline</v>
          </cell>
          <cell r="D487">
            <v>1</v>
          </cell>
        </row>
        <row r="488">
          <cell r="B488" t="str">
            <v>100-61-8</v>
          </cell>
          <cell r="C488" t="str">
            <v>N-Methylaniline</v>
          </cell>
          <cell r="D488">
            <v>1</v>
          </cell>
        </row>
        <row r="489">
          <cell r="B489" t="str">
            <v>107-01-7</v>
          </cell>
          <cell r="C489" t="str">
            <v>2-Butene</v>
          </cell>
          <cell r="D489">
            <v>1</v>
          </cell>
        </row>
        <row r="490">
          <cell r="B490" t="str">
            <v>107-05-1</v>
          </cell>
          <cell r="C490" t="str">
            <v>Allyl chloride</v>
          </cell>
          <cell r="D490">
            <v>1</v>
          </cell>
        </row>
        <row r="491">
          <cell r="B491" t="str">
            <v>115-96-8</v>
          </cell>
          <cell r="C491" t="str">
            <v>Tri(2-chloroethyl)phosphate</v>
          </cell>
          <cell r="D491">
            <v>0.1</v>
          </cell>
        </row>
        <row r="492">
          <cell r="B492" t="str">
            <v>121-69-7</v>
          </cell>
          <cell r="C492" t="str">
            <v>N,N-Dimethylaniline</v>
          </cell>
          <cell r="D492">
            <v>1</v>
          </cell>
        </row>
        <row r="493">
          <cell r="B493" t="str">
            <v>123-31-9</v>
          </cell>
          <cell r="C493" t="str">
            <v>Hydroquinone</v>
          </cell>
          <cell r="D493">
            <v>1</v>
          </cell>
        </row>
        <row r="494">
          <cell r="B494" t="str">
            <v>1313-60-6</v>
          </cell>
          <cell r="C494" t="str">
            <v>Sodium peroxide</v>
          </cell>
          <cell r="D494">
            <v>1</v>
          </cell>
        </row>
        <row r="495">
          <cell r="B495" t="str">
            <v>2551-62-4</v>
          </cell>
          <cell r="C495" t="str">
            <v>Sulfur hexafluoride</v>
          </cell>
          <cell r="D495">
            <v>1</v>
          </cell>
        </row>
        <row r="496">
          <cell r="B496" t="str">
            <v>3380-34-5</v>
          </cell>
          <cell r="C496" t="str">
            <v>Triclosan</v>
          </cell>
          <cell r="D496">
            <v>1</v>
          </cell>
        </row>
        <row r="497">
          <cell r="B497" t="str">
            <v>5470-11-1</v>
          </cell>
          <cell r="C497" t="str">
            <v>Hydroxylammonium chloride</v>
          </cell>
          <cell r="D497">
            <v>1</v>
          </cell>
        </row>
        <row r="498">
          <cell r="B498" t="str">
            <v>5945-33-5</v>
          </cell>
          <cell r="C498" t="str">
            <v>Bisphenol A bis(diphenyl phosphate)</v>
          </cell>
          <cell r="D498">
            <v>1</v>
          </cell>
        </row>
        <row r="499">
          <cell r="B499" t="str">
            <v>1336-21-6</v>
          </cell>
          <cell r="C499" t="str">
            <v>Ammonium hydroxide</v>
          </cell>
          <cell r="D499">
            <v>1</v>
          </cell>
        </row>
        <row r="500">
          <cell r="B500" t="str">
            <v>7775-09-9</v>
          </cell>
          <cell r="C500" t="str">
            <v>Sodium chlorate</v>
          </cell>
          <cell r="D500">
            <v>1</v>
          </cell>
        </row>
        <row r="501">
          <cell r="B501" t="str">
            <v>7789-23-3</v>
          </cell>
          <cell r="C501" t="str">
            <v>Potassium fluoride</v>
          </cell>
          <cell r="D501">
            <v>1</v>
          </cell>
        </row>
        <row r="502">
          <cell r="B502" t="str">
            <v>10026-13-8</v>
          </cell>
          <cell r="C502" t="str">
            <v>Phosphorus pentachloride</v>
          </cell>
          <cell r="D502">
            <v>1</v>
          </cell>
        </row>
        <row r="503">
          <cell r="B503" t="str">
            <v>10039-54-0</v>
          </cell>
          <cell r="C503" t="str">
            <v>Bis(hydroxylammonium) sulfate</v>
          </cell>
          <cell r="D503">
            <v>1</v>
          </cell>
        </row>
        <row r="504">
          <cell r="B504" t="str">
            <v>15096-52-3</v>
          </cell>
          <cell r="C504" t="str">
            <v>Cryolite</v>
          </cell>
          <cell r="D504">
            <v>1</v>
          </cell>
        </row>
        <row r="505">
          <cell r="B505" t="str">
            <v>16871-90-2</v>
          </cell>
          <cell r="C505" t="str">
            <v>Dipotassium hexafluorosilicate</v>
          </cell>
          <cell r="D505">
            <v>1</v>
          </cell>
        </row>
        <row r="506">
          <cell r="B506" t="str">
            <v>16893-85-9</v>
          </cell>
          <cell r="C506" t="str">
            <v>Disodium hexafluorosilicate</v>
          </cell>
          <cell r="D506">
            <v>1</v>
          </cell>
        </row>
        <row r="507">
          <cell r="B507" t="str">
            <v>95-54-5</v>
          </cell>
          <cell r="C507" t="str">
            <v>o-Phenylenediamine</v>
          </cell>
          <cell r="D507">
            <v>1</v>
          </cell>
        </row>
        <row r="508">
          <cell r="B508" t="str">
            <v>106-50-3</v>
          </cell>
          <cell r="C508" t="str">
            <v>p-Phenylenediamine</v>
          </cell>
          <cell r="D508">
            <v>1</v>
          </cell>
        </row>
        <row r="509">
          <cell r="B509" t="str">
            <v>108-45-2</v>
          </cell>
          <cell r="C509" t="str">
            <v>m-Phenylenediamine</v>
          </cell>
          <cell r="D509">
            <v>1</v>
          </cell>
        </row>
        <row r="510">
          <cell r="B510" t="str">
            <v>26471-62-5</v>
          </cell>
          <cell r="C510" t="str">
            <v>Toluene diisocyanate (2,4-,2,6-,mixed isomer mixture)</v>
          </cell>
          <cell r="D510">
            <v>1</v>
          </cell>
        </row>
        <row r="511">
          <cell r="B511" t="str">
            <v>91-08-7</v>
          </cell>
          <cell r="C511" t="str">
            <v>Toluene 2,6-diisocyanate</v>
          </cell>
          <cell r="D511">
            <v>1</v>
          </cell>
        </row>
        <row r="512">
          <cell r="B512" t="str">
            <v>79723-02-7</v>
          </cell>
          <cell r="C512" t="str">
            <v>Tetramethylammonium hydrogen phthalate</v>
          </cell>
          <cell r="D512">
            <v>1</v>
          </cell>
        </row>
        <row r="513">
          <cell r="B513" t="str">
            <v>131538-00-6</v>
          </cell>
          <cell r="C513" t="str">
            <v>4-Mercaptomethyl-3,6-dithia-1,8-octanedithiol</v>
          </cell>
          <cell r="D513">
            <v>1</v>
          </cell>
        </row>
        <row r="514">
          <cell r="C514" t="str">
            <v>Amine,tert-alkyl(C=12-14),1-amino-9,10-dihydro-9,10-dioxo-4-(2,4,6-trimethylanilino)-anthracene-2-sulfonic acid</v>
          </cell>
          <cell r="D514">
            <v>1</v>
          </cell>
        </row>
        <row r="515">
          <cell r="C515" t="str">
            <v>Tetramethylammonium perfluorooctanenoate</v>
          </cell>
          <cell r="D515">
            <v>1</v>
          </cell>
        </row>
        <row r="516">
          <cell r="C516" t="str">
            <v>Mixture of trihexylphosphine oxide,tri-n-octylphoshine oxide,dioctylmonooctyl dihexylphosphine oxide</v>
          </cell>
          <cell r="D516">
            <v>1</v>
          </cell>
        </row>
        <row r="517">
          <cell r="B517" t="str">
            <v>14984-71-5</v>
          </cell>
          <cell r="C517" t="str">
            <v>Nitrous acid, copper(2+) salt</v>
          </cell>
          <cell r="D517">
            <v>1</v>
          </cell>
        </row>
        <row r="518">
          <cell r="B518" t="str">
            <v>75-24-1</v>
          </cell>
          <cell r="C518" t="str">
            <v>Trimethyl aluminium</v>
          </cell>
          <cell r="D518">
            <v>1</v>
          </cell>
        </row>
        <row r="519">
          <cell r="B519" t="str">
            <v>96-10-6</v>
          </cell>
          <cell r="C519" t="str">
            <v>Diethylaluminium chloride</v>
          </cell>
          <cell r="D519">
            <v>1</v>
          </cell>
        </row>
        <row r="520">
          <cell r="B520" t="str">
            <v>97-93-8</v>
          </cell>
          <cell r="C520" t="str">
            <v>Triethyl aluminium</v>
          </cell>
          <cell r="D520">
            <v>1</v>
          </cell>
        </row>
        <row r="521">
          <cell r="B521" t="str">
            <v>100-99-2</v>
          </cell>
          <cell r="C521" t="str">
            <v>Tris(2-methylpropyl)aluminum ; Triisobutylaluminium</v>
          </cell>
          <cell r="D521">
            <v>1</v>
          </cell>
        </row>
        <row r="522">
          <cell r="B522" t="str">
            <v>139-12-8</v>
          </cell>
          <cell r="C522" t="str">
            <v>Aluminium acetate</v>
          </cell>
          <cell r="D522">
            <v>1</v>
          </cell>
        </row>
        <row r="523">
          <cell r="B523" t="str">
            <v>300-92-5</v>
          </cell>
          <cell r="C523" t="str">
            <v>Hydroxybis(octadecanoato-O) aluminium ; Hydroxyaluminium distearate</v>
          </cell>
          <cell r="D523">
            <v>1</v>
          </cell>
        </row>
        <row r="524">
          <cell r="B524" t="str">
            <v>555-31-7</v>
          </cell>
          <cell r="C524" t="str">
            <v>Aluminium isopropylate ; Aluminium isopropoxide</v>
          </cell>
          <cell r="D524">
            <v>1</v>
          </cell>
        </row>
        <row r="525">
          <cell r="B525" t="str">
            <v>555-32-8</v>
          </cell>
          <cell r="C525" t="str">
            <v>Benzoic acid aluminium salt ; Aluminium tribenzoate</v>
          </cell>
          <cell r="D525">
            <v>1</v>
          </cell>
        </row>
        <row r="526">
          <cell r="B526" t="str">
            <v>563-43-9</v>
          </cell>
          <cell r="C526" t="str">
            <v>Dichloroethyl aluminium</v>
          </cell>
          <cell r="D526">
            <v>1</v>
          </cell>
        </row>
        <row r="527">
          <cell r="B527" t="str">
            <v>637-12-7</v>
          </cell>
          <cell r="C527" t="str">
            <v>Octadecanoic acid aluminium salt</v>
          </cell>
          <cell r="D527">
            <v>1</v>
          </cell>
        </row>
        <row r="528">
          <cell r="B528" t="str">
            <v>1116-70-7</v>
          </cell>
          <cell r="C528" t="str">
            <v>Tributylaluminium</v>
          </cell>
          <cell r="D528">
            <v>1</v>
          </cell>
        </row>
        <row r="529">
          <cell r="B529" t="str">
            <v>1116-73-0</v>
          </cell>
          <cell r="C529" t="str">
            <v>Trihexylaluminium</v>
          </cell>
          <cell r="D529">
            <v>1</v>
          </cell>
        </row>
        <row r="530">
          <cell r="B530" t="str">
            <v>1317-25-5</v>
          </cell>
          <cell r="C530" t="str">
            <v>Aluminium chlorohydroxyallantoinate</v>
          </cell>
          <cell r="D530">
            <v>1</v>
          </cell>
        </row>
        <row r="531">
          <cell r="B531" t="str">
            <v>1327-43-1</v>
          </cell>
          <cell r="C531" t="str">
            <v>Silicic acid aluminium magnesium salt</v>
          </cell>
          <cell r="D531">
            <v>1</v>
          </cell>
        </row>
        <row r="532">
          <cell r="B532" t="str">
            <v>1332-73-6</v>
          </cell>
          <cell r="C532" t="str">
            <v>Aluminium hydroxide sulfate</v>
          </cell>
          <cell r="D532">
            <v>1</v>
          </cell>
        </row>
        <row r="533">
          <cell r="B533" t="str">
            <v>1333-84-2</v>
          </cell>
          <cell r="C533" t="str">
            <v>ALUMINIUM OXIDE</v>
          </cell>
          <cell r="D533">
            <v>1</v>
          </cell>
        </row>
        <row r="534">
          <cell r="B534" t="str">
            <v>1335-30-4</v>
          </cell>
          <cell r="C534" t="str">
            <v>Silicic acid aluminium salt</v>
          </cell>
          <cell r="D534">
            <v>1</v>
          </cell>
        </row>
        <row r="535">
          <cell r="B535" t="str">
            <v>1344-00-9</v>
          </cell>
          <cell r="C535" t="str">
            <v>Silicic acid aluminium sodium salt</v>
          </cell>
          <cell r="D535">
            <v>1</v>
          </cell>
        </row>
        <row r="536">
          <cell r="B536" t="str">
            <v>1344-01-0</v>
          </cell>
          <cell r="C536" t="str">
            <v>Silicic acid aluminium calcium sodium salt</v>
          </cell>
          <cell r="D536">
            <v>1</v>
          </cell>
        </row>
        <row r="537">
          <cell r="B537" t="str">
            <v>1726-65-4</v>
          </cell>
          <cell r="C537" t="str">
            <v>Trihexadecylaluminium</v>
          </cell>
          <cell r="D537">
            <v>1</v>
          </cell>
        </row>
        <row r="538">
          <cell r="B538" t="str">
            <v>7784-30-7</v>
          </cell>
          <cell r="C538" t="str">
            <v>Aluminium orthophosphate</v>
          </cell>
          <cell r="D538">
            <v>1</v>
          </cell>
        </row>
        <row r="539">
          <cell r="B539" t="str">
            <v>10102-71-3</v>
          </cell>
          <cell r="C539" t="str">
            <v>Sulfuric acid aluminium sodium salt (2:1:1)</v>
          </cell>
          <cell r="D539">
            <v>1</v>
          </cell>
        </row>
        <row r="540">
          <cell r="B540" t="str">
            <v>10284-64-7</v>
          </cell>
          <cell r="C540" t="str">
            <v>Aluminium chloride dihydroxide</v>
          </cell>
          <cell r="D540">
            <v>1</v>
          </cell>
        </row>
        <row r="541">
          <cell r="B541" t="str">
            <v>11097-59-9</v>
          </cell>
          <cell r="C541" t="str">
            <v>(Carbonato)hexadecahydroxydialuminum-hexamagnesium ;[Carbonato(2-)]hexadecahydroxybis(aluminium)hexamagnesium</v>
          </cell>
          <cell r="D541">
            <v>1</v>
          </cell>
        </row>
        <row r="542">
          <cell r="B542" t="str">
            <v>11137-59-0</v>
          </cell>
          <cell r="C542" t="str">
            <v>Aluminium potassium oxide</v>
          </cell>
          <cell r="D542">
            <v>1</v>
          </cell>
        </row>
        <row r="543">
          <cell r="B543" t="str">
            <v>11137-98-7</v>
          </cell>
          <cell r="C543" t="str">
            <v>Aluminium magnesium oxide</v>
          </cell>
          <cell r="D543">
            <v>1</v>
          </cell>
        </row>
        <row r="544">
          <cell r="B544" t="str">
            <v>11138-49-1</v>
          </cell>
          <cell r="C544" t="str">
            <v>Aluminium sodium oxide</v>
          </cell>
          <cell r="D544">
            <v>1</v>
          </cell>
        </row>
        <row r="545">
          <cell r="B545" t="str">
            <v>12003-49-5</v>
          </cell>
          <cell r="C545" t="str">
            <v>Aluminium potassium silicate (1:1:1)</v>
          </cell>
          <cell r="D545">
            <v>1</v>
          </cell>
        </row>
        <row r="546">
          <cell r="B546" t="str">
            <v>12003-63-3</v>
          </cell>
          <cell r="C546" t="str">
            <v>Aluminium potassium dioxide</v>
          </cell>
          <cell r="D546">
            <v>1</v>
          </cell>
        </row>
        <row r="547">
          <cell r="B547" t="str">
            <v>12003-78-0</v>
          </cell>
          <cell r="C547" t="str">
            <v>Aluminium compound with nickel (1:1)</v>
          </cell>
          <cell r="D547">
            <v>1</v>
          </cell>
        </row>
        <row r="548">
          <cell r="B548" t="str">
            <v>12004-83-0</v>
          </cell>
          <cell r="C548" t="str">
            <v>Aluminium compd. with zirconium (3:1)</v>
          </cell>
          <cell r="D548">
            <v>1</v>
          </cell>
        </row>
        <row r="549">
          <cell r="B549" t="str">
            <v>12004-88-5</v>
          </cell>
          <cell r="C549" t="str">
            <v>Tetraaluminium calcium heptaoxide</v>
          </cell>
          <cell r="D549">
            <v>1</v>
          </cell>
        </row>
        <row r="550">
          <cell r="B550" t="str">
            <v>12005-21-9</v>
          </cell>
          <cell r="C550" t="str">
            <v>Pentaaluminium triyttrium dodecaoxide</v>
          </cell>
          <cell r="D550">
            <v>1</v>
          </cell>
        </row>
        <row r="551">
          <cell r="B551" t="str">
            <v>12005-57-1</v>
          </cell>
          <cell r="C551" t="str">
            <v>Tetradecaaluminium dodecacalcium tritriacontaoxide</v>
          </cell>
          <cell r="D551">
            <v>1</v>
          </cell>
        </row>
        <row r="552">
          <cell r="B552" t="str">
            <v>12005-61-7</v>
          </cell>
          <cell r="C552" t="str">
            <v>Aluminium borate oxide</v>
          </cell>
          <cell r="D552">
            <v>1</v>
          </cell>
        </row>
        <row r="553">
          <cell r="B553" t="str">
            <v>12040-43-6</v>
          </cell>
          <cell r="C553" t="str">
            <v>Silicic acid aluminium magnesium sodium salt</v>
          </cell>
          <cell r="D553">
            <v>1</v>
          </cell>
        </row>
        <row r="554">
          <cell r="B554" t="str">
            <v>12042-68-1</v>
          </cell>
          <cell r="C554" t="str">
            <v>Dialuminium calcium tetraoxide</v>
          </cell>
          <cell r="D554">
            <v>1</v>
          </cell>
        </row>
        <row r="555">
          <cell r="B555" t="str">
            <v>12042-91-0</v>
          </cell>
          <cell r="C555" t="str">
            <v>Aluminium chloride hydroxide</v>
          </cell>
          <cell r="D555">
            <v>1</v>
          </cell>
        </row>
        <row r="556">
          <cell r="B556" t="str">
            <v>12042-92-1</v>
          </cell>
          <cell r="C556" t="str">
            <v>Dialuminium copper tetraoxide</v>
          </cell>
          <cell r="D556">
            <v>1</v>
          </cell>
        </row>
        <row r="557">
          <cell r="B557" t="str">
            <v>12068-56-3</v>
          </cell>
          <cell r="C557" t="str">
            <v>Hexaaluminium pentaoxide disilicate</v>
          </cell>
          <cell r="D557">
            <v>1</v>
          </cell>
        </row>
        <row r="558">
          <cell r="B558" t="str">
            <v>12075-68-2</v>
          </cell>
          <cell r="C558" t="str">
            <v>Trichlorotriethyldialuminum ; Triethyldialuminium trichloride</v>
          </cell>
          <cell r="D558">
            <v>1</v>
          </cell>
        </row>
        <row r="559">
          <cell r="B559" t="str">
            <v>12141-46-7</v>
          </cell>
          <cell r="C559" t="str">
            <v>Aluminium silicate</v>
          </cell>
          <cell r="D559">
            <v>1</v>
          </cell>
        </row>
        <row r="560">
          <cell r="B560" t="str">
            <v>13170-05-3</v>
          </cell>
          <cell r="C560" t="str">
            <v>Bis[4-(1,1-dimethylethyl)benzoato-O]hydroxy aluminum ;Hydroxyaluminium bis (p-tert-Butylbenzoate)</v>
          </cell>
          <cell r="D560">
            <v>1</v>
          </cell>
        </row>
        <row r="561">
          <cell r="B561" t="str">
            <v>13473-90-0</v>
          </cell>
          <cell r="C561" t="str">
            <v>Aluminium nitrate</v>
          </cell>
          <cell r="D561">
            <v>1</v>
          </cell>
        </row>
        <row r="562">
          <cell r="B562" t="str">
            <v>13596-11-7</v>
          </cell>
          <cell r="C562" t="str">
            <v>Aluminium chloride oxide (AlClO)</v>
          </cell>
          <cell r="D562">
            <v>1</v>
          </cell>
        </row>
        <row r="563">
          <cell r="B563" t="str">
            <v>13776-88-0</v>
          </cell>
          <cell r="C563" t="str">
            <v>Aluminium metaphosphate</v>
          </cell>
          <cell r="D563">
            <v>1</v>
          </cell>
        </row>
        <row r="564">
          <cell r="B564" t="str">
            <v>13845-12-0</v>
          </cell>
          <cell r="C564" t="str">
            <v>Aluminium chloride</v>
          </cell>
          <cell r="D564">
            <v>1</v>
          </cell>
        </row>
        <row r="565">
          <cell r="B565" t="str">
            <v>13939-25-8</v>
          </cell>
          <cell r="C565" t="str">
            <v>Aluminium dihydrogen triphosphate</v>
          </cell>
          <cell r="D565">
            <v>1</v>
          </cell>
        </row>
        <row r="566">
          <cell r="B566" t="str">
            <v>13963-57-0</v>
          </cell>
          <cell r="C566" t="str">
            <v>Aluminium tris(2,4-pentanedionato-O,O') ; Aluminium tris(acetylacetonate)</v>
          </cell>
          <cell r="D566">
            <v>1</v>
          </cell>
        </row>
        <row r="567">
          <cell r="B567" t="str">
            <v>14504-95-1</v>
          </cell>
          <cell r="C567" t="str">
            <v>Aluminium silicate (3:2)</v>
          </cell>
          <cell r="D567">
            <v>1</v>
          </cell>
        </row>
        <row r="568">
          <cell r="B568" t="str">
            <v>15305-07-4</v>
          </cell>
          <cell r="C568" t="str">
            <v>Tris(N-hydroxy-N-nitrosobenzenaminato-O,O')aluminum ;Tris(N-hydroxy-N-nitrosophenylaminato-O,O) aluminium</v>
          </cell>
          <cell r="D568">
            <v>1</v>
          </cell>
        </row>
        <row r="569">
          <cell r="B569" t="str">
            <v>16853-85-3</v>
          </cell>
          <cell r="C569" t="str">
            <v>Aluminium lithium hydride ; Lithium tetrahydroaluminate</v>
          </cell>
          <cell r="D569">
            <v>1</v>
          </cell>
        </row>
        <row r="570">
          <cell r="B570" t="str">
            <v>17927-65-0</v>
          </cell>
          <cell r="C570" t="str">
            <v>Aluminium sulfate hydrate</v>
          </cell>
          <cell r="D570">
            <v>1</v>
          </cell>
        </row>
        <row r="571">
          <cell r="B571" t="str">
            <v>18917-91-4</v>
          </cell>
          <cell r="C571" t="str">
            <v>aluminium trilactate</v>
          </cell>
          <cell r="D571">
            <v>1</v>
          </cell>
        </row>
        <row r="572">
          <cell r="B572" t="str">
            <v>24304-00-5</v>
          </cell>
          <cell r="C572" t="str">
            <v>Aluminium nitride</v>
          </cell>
          <cell r="D572">
            <v>1</v>
          </cell>
        </row>
        <row r="573">
          <cell r="B573" t="str">
            <v>24623-77-6</v>
          </cell>
          <cell r="C573" t="str">
            <v>Aluminium hydroxide oxide</v>
          </cell>
          <cell r="D573">
            <v>1</v>
          </cell>
        </row>
        <row r="574">
          <cell r="B574" t="str">
            <v>39290-78-3</v>
          </cell>
          <cell r="C574" t="str">
            <v>Aluminium chloride hydroxide sulfate</v>
          </cell>
          <cell r="D574">
            <v>1</v>
          </cell>
        </row>
        <row r="575">
          <cell r="B575" t="str">
            <v>39377-45-2</v>
          </cell>
          <cell r="C575" t="str">
            <v>Aluminium oxide, basic</v>
          </cell>
          <cell r="D575">
            <v>1</v>
          </cell>
        </row>
        <row r="576">
          <cell r="B576" t="str">
            <v>52488-90-1</v>
          </cell>
          <cell r="C576" t="str">
            <v>Silicic acid aluminium zinc salt</v>
          </cell>
          <cell r="D576">
            <v>1</v>
          </cell>
        </row>
        <row r="577">
          <cell r="B577" t="str">
            <v>55187-69-4</v>
          </cell>
          <cell r="C577" t="str">
            <v>Aluminium scandium trioxide</v>
          </cell>
          <cell r="D577">
            <v>1</v>
          </cell>
        </row>
        <row r="578">
          <cell r="B578" t="str">
            <v>60304-36-1</v>
          </cell>
          <cell r="C578" t="str">
            <v>Aluminium potassium fluoride</v>
          </cell>
          <cell r="D578">
            <v>1</v>
          </cell>
        </row>
        <row r="579">
          <cell r="B579" t="str">
            <v>69011-71-8</v>
          </cell>
          <cell r="C579" t="str">
            <v>Aluminium, dross</v>
          </cell>
          <cell r="D579">
            <v>1</v>
          </cell>
        </row>
        <row r="580">
          <cell r="B580" t="str">
            <v>69011-73-0</v>
          </cell>
          <cell r="C580" t="str">
            <v>Aluminium alloy, Al, Zn, dross</v>
          </cell>
          <cell r="D580">
            <v>1</v>
          </cell>
        </row>
        <row r="581">
          <cell r="B581" t="str">
            <v>69011-74-1</v>
          </cell>
          <cell r="C581" t="str">
            <v>Aluminium oxide (Al2O3), fluoride-contg.</v>
          </cell>
          <cell r="D581">
            <v>1</v>
          </cell>
        </row>
        <row r="582">
          <cell r="B582" t="str">
            <v>69898-19-7</v>
          </cell>
          <cell r="C582" t="str">
            <v>Silver reaction products with aluminium oxide (Al2O3)</v>
          </cell>
          <cell r="D582">
            <v>1</v>
          </cell>
        </row>
        <row r="583">
          <cell r="B583" t="str">
            <v>74978-16-8</v>
          </cell>
          <cell r="C583" t="str">
            <v>Aluminium magnesium hydroxide sulfate</v>
          </cell>
          <cell r="D583">
            <v>1</v>
          </cell>
        </row>
        <row r="584">
          <cell r="B584" t="str">
            <v>77616-70-7</v>
          </cell>
          <cell r="C584" t="str">
            <v>Poly Aluminium Chloride</v>
          </cell>
          <cell r="D584">
            <v>1</v>
          </cell>
        </row>
        <row r="585">
          <cell r="B585" t="str">
            <v>82980-54-9</v>
          </cell>
          <cell r="C585" t="str">
            <v>Aluminium, benzoate fatty acids (C=16-18) hydroxy complexes</v>
          </cell>
          <cell r="D585">
            <v>1</v>
          </cell>
        </row>
        <row r="586">
          <cell r="B586" t="str">
            <v>82980-55-0</v>
          </cell>
          <cell r="C586" t="str">
            <v>Aluminium, benzoate fatty acids (C=16-22) hydroxy complexes</v>
          </cell>
          <cell r="D586">
            <v>1</v>
          </cell>
        </row>
        <row r="587">
          <cell r="B587" t="str">
            <v>99328-47-9</v>
          </cell>
          <cell r="C587" t="str">
            <v>Aluminium oxide (Al2O3), chromium-doped</v>
          </cell>
          <cell r="D587">
            <v>1</v>
          </cell>
        </row>
        <row r="588">
          <cell r="B588" t="str">
            <v>101357-30-6</v>
          </cell>
          <cell r="C588" t="str">
            <v>Silicic acid aluminium sodium salt, sulfurized</v>
          </cell>
          <cell r="D588">
            <v>1</v>
          </cell>
        </row>
        <row r="589">
          <cell r="B589" t="str">
            <v>190085-25-7</v>
          </cell>
          <cell r="C589" t="str">
            <v>Fatty acids, hydrogenated tallow reaction products with aluminium isopropoxide ethylene glycol and benzoic acid</v>
          </cell>
          <cell r="D589">
            <v>1</v>
          </cell>
        </row>
        <row r="590">
          <cell r="B590" t="str">
            <v>218768-84-4</v>
          </cell>
          <cell r="C590" t="str">
            <v>Aluminium phosphinate</v>
          </cell>
          <cell r="D590">
            <v>1</v>
          </cell>
        </row>
        <row r="591">
          <cell r="B591" t="str">
            <v>221455-10-3</v>
          </cell>
          <cell r="C591" t="str">
            <v>Silica gel, reation product with chromic acid(H2CrO4) bis(triphenylsily) ester and ethoxydiethylaluminium</v>
          </cell>
          <cell r="D591">
            <v>1</v>
          </cell>
        </row>
        <row r="592">
          <cell r="B592" t="str">
            <v>1327-33-9</v>
          </cell>
          <cell r="C592" t="str">
            <v>Antimony oxide</v>
          </cell>
          <cell r="D592">
            <v>0.1</v>
          </cell>
        </row>
        <row r="593">
          <cell r="B593" t="str">
            <v>1332-81-6</v>
          </cell>
          <cell r="C593" t="str">
            <v>Diantimony tetraoxide</v>
          </cell>
          <cell r="D593">
            <v>0.1</v>
          </cell>
        </row>
        <row r="594">
          <cell r="B594" t="str">
            <v>1345-04-6</v>
          </cell>
          <cell r="C594" t="str">
            <v>Antimony sulfide</v>
          </cell>
          <cell r="D594">
            <v>0.1</v>
          </cell>
        </row>
        <row r="595">
          <cell r="B595" t="str">
            <v xml:space="preserve">692352-0 </v>
          </cell>
          <cell r="C595" t="str">
            <v>Antimony triacetate</v>
          </cell>
          <cell r="D595">
            <v>0.1</v>
          </cell>
        </row>
        <row r="596">
          <cell r="B596" t="str">
            <v>7647-18-9</v>
          </cell>
          <cell r="C596" t="str">
            <v>Antimony pentachloride</v>
          </cell>
          <cell r="D596">
            <v>0.1</v>
          </cell>
        </row>
        <row r="597">
          <cell r="B597" t="str">
            <v>7783-56-4</v>
          </cell>
          <cell r="C597" t="str">
            <v>Antimony trifluoride</v>
          </cell>
          <cell r="D597">
            <v>0.1</v>
          </cell>
        </row>
        <row r="598">
          <cell r="B598" t="str">
            <v>7783-70-2</v>
          </cell>
          <cell r="C598" t="str">
            <v>Antimony fluoride ; Antimony pentafluoride</v>
          </cell>
          <cell r="D598">
            <v>0.1</v>
          </cell>
        </row>
        <row r="599">
          <cell r="B599" t="str">
            <v>10025-91-9</v>
          </cell>
          <cell r="C599" t="str">
            <v>Antimony trichloride</v>
          </cell>
          <cell r="D599">
            <v>0.1</v>
          </cell>
        </row>
        <row r="600">
          <cell r="B600" t="str">
            <v>15600-71-2</v>
          </cell>
          <cell r="C600" t="str">
            <v>Antimony iron oxide (SbFeO4)</v>
          </cell>
          <cell r="D600">
            <v>0.1</v>
          </cell>
        </row>
        <row r="601">
          <cell r="B601" t="str">
            <v>15991-76-1</v>
          </cell>
          <cell r="C601" t="str">
            <v>Antimony, tris[bis(2-ethylhexyl)carbamodithioato-kS,kS']-, (OC-6-11)-</v>
          </cell>
          <cell r="D601">
            <v>0.1</v>
          </cell>
        </row>
        <row r="602">
          <cell r="B602" t="str">
            <v>33910-86-0</v>
          </cell>
          <cell r="C602" t="str">
            <v>Fluorosulfuric acid compound with antimony pentafluoride (4:1)</v>
          </cell>
          <cell r="D602">
            <v>0.1</v>
          </cell>
        </row>
        <row r="603">
          <cell r="B603" t="str">
            <v>34521-09-0</v>
          </cell>
          <cell r="C603" t="str">
            <v>Sodium antimonyl tartrate</v>
          </cell>
          <cell r="D603">
            <v>0.1</v>
          </cell>
        </row>
        <row r="604">
          <cell r="B604" t="str">
            <v>69991-68-0</v>
          </cell>
          <cell r="C604" t="str">
            <v>Rutile, antimony chromium manganese brown</v>
          </cell>
          <cell r="D604">
            <v>0.1</v>
          </cell>
        </row>
        <row r="605">
          <cell r="B605" t="str">
            <v>515-72-0</v>
          </cell>
          <cell r="C605" t="str">
            <v>Barium di(benzenesulfonate)</v>
          </cell>
          <cell r="D605">
            <v>1</v>
          </cell>
        </row>
        <row r="606">
          <cell r="B606" t="str">
            <v>533-00-6</v>
          </cell>
          <cell r="C606" t="str">
            <v>Benzoic acid barium salt</v>
          </cell>
          <cell r="D606">
            <v>1</v>
          </cell>
        </row>
        <row r="607">
          <cell r="B607" t="str">
            <v>543-80-6</v>
          </cell>
          <cell r="C607" t="str">
            <v>Barium acetate</v>
          </cell>
          <cell r="D607">
            <v>1</v>
          </cell>
        </row>
        <row r="608">
          <cell r="B608" t="str">
            <v>591-65-1</v>
          </cell>
          <cell r="C608" t="str">
            <v>(Z)-9-Octadecenoic acid barium salt</v>
          </cell>
          <cell r="D608">
            <v>1</v>
          </cell>
        </row>
        <row r="609">
          <cell r="B609" t="str">
            <v>1304-29-6</v>
          </cell>
          <cell r="C609" t="str">
            <v>Barium peroxide</v>
          </cell>
          <cell r="D609">
            <v>1</v>
          </cell>
        </row>
        <row r="610">
          <cell r="B610" t="str">
            <v>2092-17-3</v>
          </cell>
          <cell r="C610" t="str">
            <v>Barium thiocyanate</v>
          </cell>
          <cell r="D610">
            <v>1</v>
          </cell>
        </row>
        <row r="611">
          <cell r="B611" t="str">
            <v>2457-01-4</v>
          </cell>
          <cell r="C611" t="str">
            <v>Barium 2-ethylhexanoate</v>
          </cell>
          <cell r="D611">
            <v>1</v>
          </cell>
        </row>
        <row r="612">
          <cell r="B612" t="str">
            <v>7585-41-3</v>
          </cell>
          <cell r="C612" t="str">
            <v>4-[(5-Chloro-4-methyl-2-sulfophenyl)azo]-3-hydroxy-2-naphthalenecarboxylic acid barium salt (1:1)</v>
          </cell>
          <cell r="D612">
            <v>1</v>
          </cell>
        </row>
        <row r="613">
          <cell r="B613" t="str">
            <v>7787-32-8</v>
          </cell>
          <cell r="C613" t="str">
            <v>Barium fluoride</v>
          </cell>
          <cell r="D613">
            <v>1</v>
          </cell>
        </row>
        <row r="614">
          <cell r="B614" t="str">
            <v>7787-39-5</v>
          </cell>
          <cell r="C614" t="str">
            <v>Barium sulfite</v>
          </cell>
          <cell r="D614">
            <v>1</v>
          </cell>
        </row>
        <row r="615">
          <cell r="B615" t="str">
            <v>7791-28-8</v>
          </cell>
          <cell r="C615" t="str">
            <v>Barium dibromide dihydrate</v>
          </cell>
          <cell r="D615">
            <v>1</v>
          </cell>
        </row>
        <row r="616">
          <cell r="B616" t="str">
            <v>10196-68-6</v>
          </cell>
          <cell r="C616" t="str">
            <v>4-(1,1-Dimethylethyl)benzoic acid barium salt ; Barium 4-(1,1-dimethylethyl)benzoate</v>
          </cell>
          <cell r="D616">
            <v>1</v>
          </cell>
        </row>
        <row r="617">
          <cell r="B617" t="str">
            <v>10294-40-3</v>
          </cell>
          <cell r="C617" t="str">
            <v>Barium chromate</v>
          </cell>
          <cell r="D617">
            <v>1</v>
          </cell>
        </row>
        <row r="618">
          <cell r="B618" t="str">
            <v>10326-27-9</v>
          </cell>
          <cell r="C618" t="str">
            <v>Barium dichloride dihydrate</v>
          </cell>
          <cell r="D618">
            <v>1</v>
          </cell>
        </row>
        <row r="619">
          <cell r="B619" t="str">
            <v>11129-08-1</v>
          </cell>
          <cell r="C619" t="str">
            <v>Barium aluminate</v>
          </cell>
          <cell r="D619">
            <v>1</v>
          </cell>
        </row>
        <row r="620">
          <cell r="B620" t="str">
            <v>12009-21-1</v>
          </cell>
          <cell r="C620" t="str">
            <v>Barium zirconium trioxide</v>
          </cell>
          <cell r="D620">
            <v>1</v>
          </cell>
        </row>
        <row r="621">
          <cell r="B621" t="str">
            <v>12047-11-9</v>
          </cell>
          <cell r="C621" t="str">
            <v>Barium dodecairon nonadecaoxide</v>
          </cell>
          <cell r="D621">
            <v>1</v>
          </cell>
        </row>
        <row r="622">
          <cell r="B622" t="str">
            <v>12230-71-6</v>
          </cell>
          <cell r="C622" t="str">
            <v>Barium dihydroxide octahydrate</v>
          </cell>
          <cell r="D622">
            <v>1</v>
          </cell>
        </row>
        <row r="623">
          <cell r="B623" t="str">
            <v>12650-28-1</v>
          </cell>
          <cell r="C623" t="str">
            <v>Silicic acid barium salt</v>
          </cell>
          <cell r="D623">
            <v>1</v>
          </cell>
        </row>
        <row r="624">
          <cell r="B624" t="str">
            <v>13255-26-0</v>
          </cell>
          <cell r="C624" t="str">
            <v>Barium metasilicate</v>
          </cell>
          <cell r="D624">
            <v>1</v>
          </cell>
        </row>
        <row r="625">
          <cell r="B625" t="str">
            <v>13477-00-4</v>
          </cell>
          <cell r="C625" t="str">
            <v>Barium chlorate</v>
          </cell>
          <cell r="D625">
            <v>1</v>
          </cell>
        </row>
        <row r="626">
          <cell r="B626" t="str">
            <v>13701-59-2</v>
          </cell>
          <cell r="C626" t="str">
            <v>Barium diboron tetraoxide</v>
          </cell>
          <cell r="D626">
            <v>1</v>
          </cell>
        </row>
        <row r="627">
          <cell r="B627" t="str">
            <v>17125-80-3</v>
          </cell>
          <cell r="C627" t="str">
            <v>Barium hexafluorosilicate</v>
          </cell>
          <cell r="D627">
            <v>1</v>
          </cell>
        </row>
        <row r="628">
          <cell r="B628" t="str">
            <v>17852-98-1</v>
          </cell>
          <cell r="C628" t="str">
            <v>C.I. Pigment Red 57, barium salt (1:1)</v>
          </cell>
          <cell r="D628">
            <v>1</v>
          </cell>
        </row>
        <row r="629">
          <cell r="B629" t="str">
            <v>21109-95-5</v>
          </cell>
          <cell r="C629" t="str">
            <v>Barium sulfide</v>
          </cell>
          <cell r="D629">
            <v>1</v>
          </cell>
        </row>
        <row r="630">
          <cell r="B630" t="str">
            <v>22326-55-2</v>
          </cell>
          <cell r="C630" t="str">
            <v>Barium hydroxide, monohydrate</v>
          </cell>
          <cell r="D630">
            <v>1</v>
          </cell>
        </row>
        <row r="631">
          <cell r="B631" t="str">
            <v>25619-56-1</v>
          </cell>
          <cell r="C631" t="str">
            <v>Dinonylnaphthalenesulfonic acid barium salt</v>
          </cell>
          <cell r="D631">
            <v>1</v>
          </cell>
        </row>
        <row r="632">
          <cell r="B632" t="str">
            <v>26655-43-6</v>
          </cell>
          <cell r="C632" t="str">
            <v>Butanedioic acid, (tetrapropenyl)-, 1-methyl ester, barium salt</v>
          </cell>
          <cell r="D632">
            <v>1</v>
          </cell>
        </row>
        <row r="633">
          <cell r="B633" t="str">
            <v>28575-89-5</v>
          </cell>
          <cell r="C633" t="str">
            <v>Barium Sulfornate</v>
          </cell>
          <cell r="D633">
            <v>1</v>
          </cell>
        </row>
        <row r="634">
          <cell r="B634" t="str">
            <v>28987-17-9</v>
          </cell>
          <cell r="C634" t="str">
            <v>Nonylphenol barium salt ; Barium nonylphenolate</v>
          </cell>
          <cell r="D634">
            <v>1</v>
          </cell>
        </row>
        <row r="635">
          <cell r="B635" t="str">
            <v>32915-79-0</v>
          </cell>
          <cell r="C635" t="str">
            <v>Carbonic acid barium calcium strontium salt</v>
          </cell>
          <cell r="D635">
            <v>1</v>
          </cell>
        </row>
        <row r="636">
          <cell r="B636" t="str">
            <v>55172-98-0</v>
          </cell>
          <cell r="C636" t="str">
            <v>Neodecanoic acid barium salt ; Barium neodecanoate</v>
          </cell>
          <cell r="D636">
            <v>1</v>
          </cell>
        </row>
        <row r="637">
          <cell r="B637" t="str">
            <v>61788-50-9</v>
          </cell>
          <cell r="C637" t="str">
            <v>Fatty acids, lanolin, barium salts</v>
          </cell>
          <cell r="D637">
            <v>1</v>
          </cell>
        </row>
        <row r="638">
          <cell r="B638" t="str">
            <v>68188-14-7</v>
          </cell>
          <cell r="C638" t="str">
            <v>Resin acids and Rosin acids, barium salts</v>
          </cell>
          <cell r="D638">
            <v>1</v>
          </cell>
        </row>
        <row r="639">
          <cell r="B639" t="str">
            <v>68201-19-4</v>
          </cell>
          <cell r="C639" t="str">
            <v>Barium, acetate tallow fatty acids complexes</v>
          </cell>
          <cell r="D639">
            <v>1</v>
          </cell>
        </row>
        <row r="640">
          <cell r="B640" t="str">
            <v>68425-33-2</v>
          </cell>
          <cell r="C640" t="str">
            <v>Petrolatum (petroleum), oxidized, barium salt</v>
          </cell>
          <cell r="D640">
            <v>1</v>
          </cell>
        </row>
        <row r="641">
          <cell r="B641" t="str">
            <v>68514-62-5</v>
          </cell>
          <cell r="C641" t="str">
            <v>Naphthenic acids barium salts, reaction products with carbon dioxide</v>
          </cell>
          <cell r="D641">
            <v>1</v>
          </cell>
        </row>
        <row r="642">
          <cell r="B642" t="str">
            <v>68603-10-1</v>
          </cell>
          <cell r="C642" t="str">
            <v>Hydrocarbon waxes (petroleum), oxidized, Me esters, barium salts</v>
          </cell>
          <cell r="D642">
            <v>1</v>
          </cell>
        </row>
        <row r="643">
          <cell r="B643" t="str">
            <v>68929-13-5</v>
          </cell>
          <cell r="C643" t="str">
            <v>4-(Benzoylamino)-5-hydroxy-6-[(3-methylphenyl)azo]-1,7-naphthalenedisulfonic acid barium sodium salt(1:1:2);Barium disodium 4-benzamidato-5-oxido-6-[(m-tolyl)azo]naphthalene-1,7-disulphonate</v>
          </cell>
          <cell r="D643">
            <v>1</v>
          </cell>
        </row>
        <row r="644">
          <cell r="B644" t="str">
            <v>70024-68-9</v>
          </cell>
          <cell r="C644" t="str">
            <v>Benzenesulfonic acid monoalkyl(C=16-24) derivs., barium salts, overbased</v>
          </cell>
          <cell r="D644">
            <v>1</v>
          </cell>
        </row>
        <row r="645">
          <cell r="B645" t="str">
            <v>73612-34-7</v>
          </cell>
          <cell r="C645" t="str">
            <v>4-Chloro-2-[(2-hydroxy-1-naphthalenyl)azo]-5-methylbenzenesulfonic acid, barium salt (2:1)</v>
          </cell>
          <cell r="D645">
            <v>1</v>
          </cell>
        </row>
        <row r="646">
          <cell r="B646" t="str">
            <v>93028-28-5</v>
          </cell>
          <cell r="C646" t="str">
            <v>Benzenesulfonic acid, C10-60-alkyl derivs., barium salts</v>
          </cell>
          <cell r="D646">
            <v>1</v>
          </cell>
        </row>
        <row r="647">
          <cell r="B647" t="str">
            <v>93820-55-4</v>
          </cell>
          <cell r="C647" t="str">
            <v>Benzenesulfonic acid dialkyl(C=10-18) derivs., barium salts</v>
          </cell>
          <cell r="D647">
            <v>1</v>
          </cell>
        </row>
        <row r="648">
          <cell r="B648" t="str">
            <v>101356-97-2</v>
          </cell>
          <cell r="C648" t="str">
            <v>Barium oxide (BaO), solid soln. with calcium oxide, magnesium oxide, phosphorus oxide (P2O5), strontium oxide and zinc oxide, europium-doped</v>
          </cell>
          <cell r="D648">
            <v>1</v>
          </cell>
        </row>
        <row r="649">
          <cell r="B649" t="str">
            <v>102110-17-8</v>
          </cell>
          <cell r="C649" t="str">
            <v>Aluminum oxide (Al2O3), solid soln. with barium oxide and magnesium oxide, europium-doped</v>
          </cell>
          <cell r="D649">
            <v>1</v>
          </cell>
        </row>
        <row r="650">
          <cell r="B650" t="str">
            <v>102110-18-9</v>
          </cell>
          <cell r="C650" t="str">
            <v>Aluminum oxide (Al2O3), solid soln. with barium oxide, calcium oxide, cerium oxide and strontium oxide, dysprosium and terbium-doped</v>
          </cell>
          <cell r="D650">
            <v>1</v>
          </cell>
        </row>
        <row r="651">
          <cell r="B651" t="str">
            <v>102110-23-6</v>
          </cell>
          <cell r="C651" t="str">
            <v>Barium oxide (BaO), solid soln. with calcium oxide, strontium oxide and tungsten oxide (WO3), europium-doped</v>
          </cell>
          <cell r="D651">
            <v>1</v>
          </cell>
        </row>
        <row r="652">
          <cell r="B652" t="str">
            <v>102110-24-7</v>
          </cell>
          <cell r="C652" t="str">
            <v>Barium oxide (BaO), solid soln. with calcium oxide, strontium oxide and tungsten oxide (WO3), lead-doped</v>
          </cell>
          <cell r="D652">
            <v>1</v>
          </cell>
        </row>
        <row r="653">
          <cell r="B653" t="str">
            <v>280572-88-5</v>
          </cell>
          <cell r="C653" t="str">
            <v>Bis[1-(2-methoxyethoxy)-2,2,6,6-tetramethyl-3,5-heptanedionato]barium</v>
          </cell>
          <cell r="D653">
            <v>1</v>
          </cell>
        </row>
        <row r="654">
          <cell r="B654" t="str">
            <v>98-80-6</v>
          </cell>
          <cell r="C654" t="str">
            <v>Phenylboronic acid</v>
          </cell>
          <cell r="D654">
            <v>1</v>
          </cell>
        </row>
        <row r="655">
          <cell r="B655" t="str">
            <v>372-44-1</v>
          </cell>
          <cell r="C655" t="str">
            <v>Phenol compd. with trifluoroborane (1:1) ; Boron trifluoride phenol complex</v>
          </cell>
          <cell r="D655">
            <v>1</v>
          </cell>
        </row>
        <row r="656">
          <cell r="B656" t="str">
            <v>373-57-9</v>
          </cell>
          <cell r="C656" t="str">
            <v>Trifluoro(methanol)boron</v>
          </cell>
          <cell r="D656">
            <v>1</v>
          </cell>
        </row>
        <row r="657">
          <cell r="B657" t="str">
            <v>2095-58-1</v>
          </cell>
          <cell r="C657" t="str">
            <v>BORONFLUORIDE</v>
          </cell>
          <cell r="D657">
            <v>1</v>
          </cell>
        </row>
        <row r="658">
          <cell r="B658" t="str">
            <v>10043-11-5</v>
          </cell>
          <cell r="C658" t="str">
            <v>Boron nitride</v>
          </cell>
          <cell r="D658">
            <v>1</v>
          </cell>
        </row>
        <row r="659">
          <cell r="B659" t="str">
            <v>10294-33-4</v>
          </cell>
          <cell r="C659" t="str">
            <v>Boron tribromide</v>
          </cell>
          <cell r="D659">
            <v>1</v>
          </cell>
        </row>
        <row r="660">
          <cell r="B660" t="str">
            <v>10294-34-5</v>
          </cell>
          <cell r="C660" t="str">
            <v>Boron trichloride</v>
          </cell>
          <cell r="D660">
            <v>1</v>
          </cell>
        </row>
        <row r="661">
          <cell r="B661" t="str">
            <v>12011-54-0</v>
          </cell>
          <cell r="C661" t="str">
            <v>Boron carbide</v>
          </cell>
          <cell r="D661">
            <v>1</v>
          </cell>
        </row>
        <row r="662">
          <cell r="B662" t="str">
            <v>12045-78-2</v>
          </cell>
          <cell r="C662" t="str">
            <v>Boron potassium oxide tetrahydrate</v>
          </cell>
          <cell r="D662">
            <v>1</v>
          </cell>
        </row>
        <row r="663">
          <cell r="B663" t="str">
            <v>12069-32-8</v>
          </cell>
          <cell r="C663" t="str">
            <v>Boron carbide (B4C)</v>
          </cell>
          <cell r="D663">
            <v>1</v>
          </cell>
        </row>
        <row r="664">
          <cell r="B664" t="str">
            <v>12767-90-7</v>
          </cell>
          <cell r="C664" t="str">
            <v>Hexaboron dizinc undecaoxide</v>
          </cell>
          <cell r="D664">
            <v>1</v>
          </cell>
        </row>
        <row r="665">
          <cell r="B665" t="str">
            <v>68478-97-7</v>
          </cell>
          <cell r="C665" t="str">
            <v>Boron fluoride compd. with 2-propanamine reaction products with butyl glycidyl ether</v>
          </cell>
          <cell r="D665">
            <v>1</v>
          </cell>
        </row>
        <row r="666">
          <cell r="B666" t="str">
            <v>75783-29-8</v>
          </cell>
          <cell r="C666" t="str">
            <v>Siloxanes and silicones, di-Me polymers with boron oxide (B2O3)</v>
          </cell>
          <cell r="D666">
            <v>1</v>
          </cell>
        </row>
        <row r="667">
          <cell r="B667" t="str">
            <v>138265-88-0</v>
          </cell>
          <cell r="C667" t="str">
            <v>Boron zinc hydroxide oxide</v>
          </cell>
          <cell r="D667">
            <v>1</v>
          </cell>
        </row>
        <row r="668">
          <cell r="B668" t="str">
            <v>136-52-7</v>
          </cell>
          <cell r="C668" t="str">
            <v>2-Ethylhexanoic acid cobalt(2+) salt ; Cobaltous octoate</v>
          </cell>
          <cell r="D668">
            <v>0.1</v>
          </cell>
        </row>
        <row r="669">
          <cell r="B669" t="str">
            <v>1307-96-6</v>
          </cell>
          <cell r="C669" t="str">
            <v>Cobalt monooxide</v>
          </cell>
          <cell r="D669">
            <v>0.1</v>
          </cell>
        </row>
        <row r="670">
          <cell r="B670" t="str">
            <v>1308-04-9</v>
          </cell>
          <cell r="C670" t="str">
            <v>Dicobalt trioxide</v>
          </cell>
          <cell r="D670">
            <v>0.1</v>
          </cell>
        </row>
        <row r="671">
          <cell r="B671" t="str">
            <v>3317-67-7</v>
          </cell>
          <cell r="C671" t="str">
            <v>Cobalt(II) phthalocyanine ;[29H,31H-Phthalocyaninato-N29,N30,N31,N32]cobalt</v>
          </cell>
          <cell r="D671">
            <v>0.1</v>
          </cell>
        </row>
        <row r="672">
          <cell r="B672" t="str">
            <v>6147-53-1</v>
          </cell>
          <cell r="C672" t="str">
            <v>Cobalt acetate tetrahydrate</v>
          </cell>
          <cell r="D672">
            <v>0.1</v>
          </cell>
        </row>
        <row r="673">
          <cell r="B673" t="str">
            <v>7646-79-9</v>
          </cell>
          <cell r="C673" t="str">
            <v>Cobalt dichloride</v>
          </cell>
          <cell r="D673">
            <v>0.1</v>
          </cell>
        </row>
        <row r="674">
          <cell r="B674" t="str">
            <v>7789-43-7</v>
          </cell>
          <cell r="C674" t="str">
            <v>Cobalt dibromide</v>
          </cell>
          <cell r="D674">
            <v>0.1</v>
          </cell>
        </row>
        <row r="675">
          <cell r="B675" t="str">
            <v>7791-13-1</v>
          </cell>
          <cell r="C675" t="str">
            <v>Cobalt dichloride hexahydrate</v>
          </cell>
          <cell r="D675">
            <v>0.1</v>
          </cell>
        </row>
        <row r="676">
          <cell r="B676" t="str">
            <v>10026-17-2</v>
          </cell>
          <cell r="C676" t="str">
            <v>Cobalt dofluoride</v>
          </cell>
          <cell r="D676">
            <v>0.1</v>
          </cell>
        </row>
        <row r="677">
          <cell r="B677" t="str">
            <v>10026-22-9</v>
          </cell>
          <cell r="C677" t="str">
            <v>Cobalt nitrate</v>
          </cell>
          <cell r="D677">
            <v>0.1</v>
          </cell>
        </row>
        <row r="678">
          <cell r="B678" t="str">
            <v>10026-24-1</v>
          </cell>
          <cell r="C678" t="str">
            <v>Cobalt monosulfate heptahydrate</v>
          </cell>
          <cell r="D678">
            <v>0.1</v>
          </cell>
        </row>
        <row r="679">
          <cell r="B679" t="str">
            <v>10141-05-6</v>
          </cell>
          <cell r="C679" t="str">
            <v>Cobalt dinitrate</v>
          </cell>
          <cell r="D679">
            <v>0.1</v>
          </cell>
        </row>
        <row r="680">
          <cell r="B680" t="str">
            <v>11104-61-3</v>
          </cell>
          <cell r="C680" t="str">
            <v>Cobalt oxide</v>
          </cell>
          <cell r="D680">
            <v>0.1</v>
          </cell>
        </row>
        <row r="681">
          <cell r="B681" t="str">
            <v>12045-01-1</v>
          </cell>
          <cell r="C681" t="str">
            <v>Cobalt boride (Co2B)</v>
          </cell>
          <cell r="D681">
            <v>0.1</v>
          </cell>
        </row>
        <row r="682">
          <cell r="B682" t="str">
            <v>12052-28-7</v>
          </cell>
          <cell r="C682" t="str">
            <v>Cobalt diiron tetraoxide</v>
          </cell>
          <cell r="D682">
            <v>0.1</v>
          </cell>
        </row>
        <row r="683">
          <cell r="B683" t="str">
            <v>12672-51-4</v>
          </cell>
          <cell r="C683" t="str">
            <v>Cobalt hydroxide</v>
          </cell>
          <cell r="D683">
            <v>0.1</v>
          </cell>
        </row>
        <row r="684">
          <cell r="B684" t="str">
            <v>13455-25-9</v>
          </cell>
          <cell r="C684" t="str">
            <v>Chromic acid (H2CrO4), cobalt(2+) salt (1:1)</v>
          </cell>
          <cell r="D684">
            <v>0.1</v>
          </cell>
        </row>
        <row r="685">
          <cell r="B685" t="str">
            <v>13455-36-2</v>
          </cell>
          <cell r="C685" t="str">
            <v>Tricobalt bis(orthophosphate)</v>
          </cell>
          <cell r="D685">
            <v>0.1</v>
          </cell>
        </row>
        <row r="686">
          <cell r="B686" t="str">
            <v>13586-82-8</v>
          </cell>
          <cell r="C686" t="str">
            <v>2-Ethylhexanoic acid cobalt salt</v>
          </cell>
          <cell r="D686">
            <v>0.1</v>
          </cell>
        </row>
        <row r="687">
          <cell r="B687" t="str">
            <v>13586-84-0</v>
          </cell>
          <cell r="C687" t="str">
            <v>Octadecanoic acid cobalt salt</v>
          </cell>
          <cell r="D687">
            <v>0.1</v>
          </cell>
        </row>
        <row r="688">
          <cell r="B688" t="str">
            <v>13963-58-1</v>
          </cell>
          <cell r="C688" t="str">
            <v>Tripotassium hexacyanocobaltate</v>
          </cell>
          <cell r="D688">
            <v>0.1</v>
          </cell>
        </row>
        <row r="689">
          <cell r="B689" t="str">
            <v>14017-41-5</v>
          </cell>
          <cell r="C689" t="str">
            <v>Sulfamic acid cobalt(2+) salt (2:1)</v>
          </cell>
          <cell r="D689">
            <v>0.1</v>
          </cell>
        </row>
        <row r="690">
          <cell r="B690" t="str">
            <v>14216-74-1</v>
          </cell>
          <cell r="C690" t="str">
            <v>Nitric acid cobalt salt</v>
          </cell>
          <cell r="D690">
            <v>0.1</v>
          </cell>
        </row>
        <row r="691">
          <cell r="B691" t="str">
            <v>14285-59-7</v>
          </cell>
          <cell r="C691" t="str">
            <v>Cobalt 4,4',4'',4'''-phthalocyaninetetrasulfonate</v>
          </cell>
          <cell r="D691">
            <v>0.1</v>
          </cell>
        </row>
        <row r="692">
          <cell r="B692" t="str">
            <v>14640-56-3</v>
          </cell>
          <cell r="C692" t="str">
            <v>Dicobalt diphosphate</v>
          </cell>
          <cell r="D692">
            <v>0.1</v>
          </cell>
        </row>
        <row r="693">
          <cell r="B693" t="str">
            <v>21041-93-0</v>
          </cell>
          <cell r="C693" t="str">
            <v>Cobalt dihydroxide</v>
          </cell>
          <cell r="D693">
            <v>0.1</v>
          </cell>
        </row>
        <row r="694">
          <cell r="B694" t="str">
            <v>21679-46-9</v>
          </cell>
          <cell r="C694" t="str">
            <v>Tris(pentane-2,4-dionato-O,O')cobalt</v>
          </cell>
          <cell r="D694">
            <v>0.1</v>
          </cell>
        </row>
        <row r="695">
          <cell r="B695" t="str">
            <v>23670-59-9</v>
          </cell>
          <cell r="C695" t="str">
            <v>Cobalt chloride</v>
          </cell>
          <cell r="D695">
            <v>0.1</v>
          </cell>
        </row>
        <row r="696">
          <cell r="B696" t="str">
            <v>27253-31-2</v>
          </cell>
          <cell r="C696" t="str">
            <v>Neodecanoic acid cobalt salt</v>
          </cell>
          <cell r="D696">
            <v>0.1</v>
          </cell>
        </row>
        <row r="697">
          <cell r="B697" t="str">
            <v>61789-52-4</v>
          </cell>
          <cell r="C697" t="str">
            <v>Fatty acids, tall oil, cobalt salts</v>
          </cell>
          <cell r="D697">
            <v>0.1</v>
          </cell>
        </row>
        <row r="698">
          <cell r="B698" t="str">
            <v>68186-86-7</v>
          </cell>
          <cell r="C698" t="str">
            <v>COPPER CHROMITE BLUE-GREEN SPINER ; Cobalt Aluminate</v>
          </cell>
          <cell r="D698">
            <v>0.1</v>
          </cell>
        </row>
        <row r="699">
          <cell r="B699" t="str">
            <v>68442-96-6</v>
          </cell>
          <cell r="C699" t="str">
            <v>Hydrofluoric acid, reaction products with alumina and cobalt chloride</v>
          </cell>
          <cell r="D699">
            <v>0.1</v>
          </cell>
        </row>
        <row r="700">
          <cell r="B700" t="str">
            <v>68457-13-6</v>
          </cell>
          <cell r="C700" t="str">
            <v>Cobalt, borate neodecanoate complexes</v>
          </cell>
          <cell r="D700">
            <v>0.1</v>
          </cell>
        </row>
        <row r="701">
          <cell r="B701" t="str">
            <v>70851-34-2</v>
          </cell>
          <cell r="C701" t="str">
            <v>Bis[2-[[[3-[[1-[(2-chloroanilino)carbonyl]-2-oxopropyl]azo]-4-hydroxyphenyl]sulfonyl]amino]benzoato(3-)]cobaltate(4-) tetrasodium ;2-[4-Hydroxy-3-[1-(2-chlorophenylcarbamoyl)-2-hydroxy-1-propenylazo]phenylsulfonylamino]benzoic acid sodium cobalt(II) chel</v>
          </cell>
          <cell r="D701">
            <v>0.1</v>
          </cell>
        </row>
        <row r="702">
          <cell r="B702" t="str">
            <v>73612-40-5</v>
          </cell>
          <cell r="C702" t="str">
            <v>Bis[3-[[1-(3-chlorophenyl)-4,5-dihydro-3-methyl-5-oxo-1H-pyrazol-4-yl]azo]-4-hydroxybenzenesulfonamidato(2-)]cobaltate(1-) sodium</v>
          </cell>
          <cell r="D702">
            <v>0.1</v>
          </cell>
        </row>
        <row r="703">
          <cell r="B703" t="str">
            <v>83711-43-7</v>
          </cell>
          <cell r="C703" t="str">
            <v>Cobalt, C5-23-branched carboxylate naphthenate complexes</v>
          </cell>
          <cell r="D703">
            <v>0.1</v>
          </cell>
        </row>
        <row r="704">
          <cell r="B704" t="str">
            <v>85737-17-3</v>
          </cell>
          <cell r="C704" t="str">
            <v>Fatty acids, (C=3-22), cobalt salts, basic</v>
          </cell>
          <cell r="D704">
            <v>0.1</v>
          </cell>
        </row>
        <row r="705">
          <cell r="B705" t="str">
            <v>94246-88-5</v>
          </cell>
          <cell r="C705" t="str">
            <v>(2-Ethylhexanoato-O)(isooctanoato-O)cobalt</v>
          </cell>
          <cell r="D705">
            <v>0.1</v>
          </cell>
        </row>
        <row r="706">
          <cell r="B706" t="str">
            <v>182442-95-1</v>
          </cell>
          <cell r="C706" t="str">
            <v>LITHIUM COBALT MANGANESE NICKEL OXIDE</v>
          </cell>
          <cell r="D706">
            <v>0.1</v>
          </cell>
        </row>
        <row r="707">
          <cell r="B707" t="str">
            <v>142-71-2</v>
          </cell>
          <cell r="C707" t="str">
            <v>Copper acetate ; Cupric acetate</v>
          </cell>
          <cell r="D707">
            <v>1</v>
          </cell>
        </row>
        <row r="708">
          <cell r="B708" t="str">
            <v>527-09-3</v>
          </cell>
          <cell r="C708" t="str">
            <v>Copper Gluconate</v>
          </cell>
          <cell r="D708">
            <v>1</v>
          </cell>
        </row>
        <row r="709">
          <cell r="B709" t="str">
            <v>1111-67-7</v>
          </cell>
          <cell r="C709" t="str">
            <v>Copper thiocyanate</v>
          </cell>
          <cell r="D709">
            <v>1</v>
          </cell>
        </row>
        <row r="710">
          <cell r="B710" t="str">
            <v>1184-64-1</v>
          </cell>
          <cell r="C710" t="str">
            <v>Copper carbonate</v>
          </cell>
          <cell r="D710">
            <v>1</v>
          </cell>
        </row>
        <row r="711">
          <cell r="B711" t="str">
            <v>1317-40-4</v>
          </cell>
          <cell r="C711" t="str">
            <v>Copper sulfide</v>
          </cell>
          <cell r="D711">
            <v>1</v>
          </cell>
        </row>
        <row r="712">
          <cell r="B712" t="str">
            <v>1327-76-0</v>
          </cell>
          <cell r="C712" t="str">
            <v>Copper, 5-[(4-hydroxyphenyl)amino]-8-(phenylamino)-1-naphthalenesulfonic acid-sodium polysulfide condensate complexes, thiosulfonated</v>
          </cell>
          <cell r="D712">
            <v>1</v>
          </cell>
        </row>
        <row r="713">
          <cell r="B713" t="str">
            <v>1332-40-7</v>
          </cell>
          <cell r="C713" t="str">
            <v>Copper chloride, basic</v>
          </cell>
          <cell r="D713">
            <v>1</v>
          </cell>
        </row>
        <row r="714">
          <cell r="B714" t="str">
            <v>1332-65-6</v>
          </cell>
          <cell r="C714" t="str">
            <v>Dicopper chloride trihydroxide</v>
          </cell>
          <cell r="D714">
            <v>1</v>
          </cell>
        </row>
        <row r="715">
          <cell r="B715" t="str">
            <v>1338-02-9</v>
          </cell>
          <cell r="C715" t="str">
            <v>Copper naphthenate</v>
          </cell>
          <cell r="D715">
            <v>1</v>
          </cell>
        </row>
        <row r="716">
          <cell r="B716" t="str">
            <v>1344-67-8</v>
          </cell>
          <cell r="C716" t="str">
            <v>Copper chloride</v>
          </cell>
          <cell r="D716">
            <v>1</v>
          </cell>
        </row>
        <row r="717">
          <cell r="B717" t="str">
            <v>1344-69-0</v>
          </cell>
          <cell r="C717" t="str">
            <v>Copper hydroxide</v>
          </cell>
          <cell r="D717">
            <v>1</v>
          </cell>
        </row>
        <row r="718">
          <cell r="B718" t="str">
            <v>1344-73-6</v>
          </cell>
          <cell r="C718" t="str">
            <v>Sulfuric acid copper salt, basic</v>
          </cell>
          <cell r="D718">
            <v>1</v>
          </cell>
        </row>
        <row r="719">
          <cell r="B719" t="str">
            <v>3251-23-8</v>
          </cell>
          <cell r="C719" t="str">
            <v>Copper dinitrate</v>
          </cell>
          <cell r="D719">
            <v>1</v>
          </cell>
        </row>
        <row r="720">
          <cell r="B720" t="str">
            <v>4367-08-2</v>
          </cell>
          <cell r="C720" t="str">
            <v>Copper(II) cyanide</v>
          </cell>
          <cell r="D720">
            <v>1</v>
          </cell>
        </row>
        <row r="721">
          <cell r="B721" t="str">
            <v>6046-93-1</v>
          </cell>
          <cell r="C721" t="str">
            <v>Copper diacetate monohydrate</v>
          </cell>
          <cell r="D721">
            <v>1</v>
          </cell>
        </row>
        <row r="722">
          <cell r="B722" t="str">
            <v>7758-99-8</v>
          </cell>
          <cell r="C722" t="str">
            <v>COPPER SULFATE PENTAHYDRATE</v>
          </cell>
          <cell r="D722">
            <v>1</v>
          </cell>
        </row>
        <row r="723">
          <cell r="B723" t="str">
            <v>7787-70-4</v>
          </cell>
          <cell r="C723" t="str">
            <v>Copper monobromide</v>
          </cell>
          <cell r="D723">
            <v>1</v>
          </cell>
        </row>
        <row r="724">
          <cell r="B724" t="str">
            <v>7798-23-4</v>
          </cell>
          <cell r="C724" t="str">
            <v>Tricopper bis(orthophosphate)</v>
          </cell>
          <cell r="D724">
            <v>1</v>
          </cell>
        </row>
        <row r="725">
          <cell r="B725" t="str">
            <v>10031-43-3</v>
          </cell>
          <cell r="C725" t="str">
            <v>Copper dinitrate trihydrate</v>
          </cell>
          <cell r="D725">
            <v>1</v>
          </cell>
        </row>
        <row r="726">
          <cell r="B726" t="str">
            <v>10102-90-6</v>
          </cell>
          <cell r="C726" t="str">
            <v>Diphosphoric acid copper salt</v>
          </cell>
          <cell r="D726">
            <v>1</v>
          </cell>
        </row>
        <row r="727">
          <cell r="B727" t="str">
            <v>10125-13-0</v>
          </cell>
          <cell r="C727" t="str">
            <v>Copper dichloride dihydrate</v>
          </cell>
          <cell r="D727">
            <v>1</v>
          </cell>
        </row>
        <row r="728">
          <cell r="B728" t="str">
            <v>10380-28-6</v>
          </cell>
          <cell r="C728" t="str">
            <v>Bis(8-quinolinolato-N1,O8)copper ; Oxine-copper</v>
          </cell>
          <cell r="D728">
            <v>1</v>
          </cell>
        </row>
        <row r="729">
          <cell r="B729" t="str">
            <v>12069-69-1</v>
          </cell>
          <cell r="C729" t="str">
            <v>Copper carbonate hydroxide (Cu2(OH)2CO3)</v>
          </cell>
          <cell r="D729">
            <v>1</v>
          </cell>
        </row>
        <row r="730">
          <cell r="B730" t="str">
            <v>12158-75-7</v>
          </cell>
          <cell r="C730" t="str">
            <v>Copper hydroxide nitrate</v>
          </cell>
          <cell r="D730">
            <v>1</v>
          </cell>
        </row>
        <row r="731">
          <cell r="B731" t="str">
            <v>12239-87-1</v>
          </cell>
          <cell r="C731" t="str">
            <v>[Chloro-29H,31H-phthalocyaninato(2-)-N29,N30,N31,N32] copper ; Copper chlorophthalocyanine</v>
          </cell>
          <cell r="D731">
            <v>1</v>
          </cell>
        </row>
        <row r="732">
          <cell r="B732" t="str">
            <v>12249-45-5</v>
          </cell>
          <cell r="C732" t="str">
            <v>Copper compound with silver (1:1)</v>
          </cell>
          <cell r="D732">
            <v>1</v>
          </cell>
        </row>
        <row r="733">
          <cell r="B733" t="str">
            <v>13927-71-4</v>
          </cell>
          <cell r="C733" t="str">
            <v>Dibutyl Dithio Carbamic Acid Copper salt</v>
          </cell>
          <cell r="D733">
            <v>1</v>
          </cell>
        </row>
        <row r="734">
          <cell r="B734" t="str">
            <v>13933-17-0</v>
          </cell>
          <cell r="C734" t="str">
            <v>Copper, diaquadichloro-</v>
          </cell>
          <cell r="D734">
            <v>1</v>
          </cell>
        </row>
        <row r="735">
          <cell r="B735" t="str">
            <v>14017-38-0</v>
          </cell>
          <cell r="C735" t="str">
            <v>Copper(II) sulfamate</v>
          </cell>
          <cell r="D735">
            <v>1</v>
          </cell>
        </row>
        <row r="736">
          <cell r="B736" t="str">
            <v>14025-15-1</v>
          </cell>
          <cell r="C736" t="str">
            <v>Ethylenediaminetetraacetic acid disodium copper salt</v>
          </cell>
          <cell r="D736">
            <v>1</v>
          </cell>
        </row>
        <row r="737">
          <cell r="B737" t="str">
            <v>14721-21-2</v>
          </cell>
          <cell r="C737" t="str">
            <v>Copper dichlorate</v>
          </cell>
          <cell r="D737">
            <v>1</v>
          </cell>
        </row>
        <row r="738">
          <cell r="B738" t="str">
            <v>14832-14-5</v>
          </cell>
          <cell r="C738" t="str">
            <v>(SP-4-1)-[1,2,3,4,8,9,10,11,15,16,17,18,22,23,24,25-Hexadecachloro-29H,31H-phthalocyaninato(2-)-N29,N30,N31,N32]copper</v>
          </cell>
          <cell r="D738">
            <v>1</v>
          </cell>
        </row>
        <row r="739">
          <cell r="B739" t="str">
            <v>14915-37-8</v>
          </cell>
          <cell r="C739" t="str">
            <v>2-Pyridinethiol-1-oxide, copper salt</v>
          </cell>
          <cell r="D739">
            <v>1</v>
          </cell>
        </row>
        <row r="740">
          <cell r="B740" t="str">
            <v>15191-80-7</v>
          </cell>
          <cell r="C740" t="str">
            <v>Dicopper pyrophosphate</v>
          </cell>
          <cell r="D740">
            <v>1</v>
          </cell>
        </row>
        <row r="741">
          <cell r="B741" t="str">
            <v>15627-09-5</v>
          </cell>
          <cell r="C741" t="str">
            <v>Bis(N-hydroxy-N-nitrosocyclohexylaminato-O,O') copper</v>
          </cell>
          <cell r="D741">
            <v>1</v>
          </cell>
        </row>
        <row r="742">
          <cell r="B742" t="str">
            <v>15680-42-9</v>
          </cell>
          <cell r="C742" t="str">
            <v>[1-[[(2-Hydroxyphenyl)imino]methyl]-2-naphtholato(2-)-N,O,O']copper</v>
          </cell>
          <cell r="D742">
            <v>1</v>
          </cell>
        </row>
        <row r="743">
          <cell r="B743" t="str">
            <v>16040-69-0</v>
          </cell>
          <cell r="C743" t="str">
            <v>[2,9,16,23-Tetrachloro-29H,31H-phthalocyaninato(2-)-N29,N30,N31,N32]copper, (SP-4-1)-</v>
          </cell>
          <cell r="D743">
            <v>1</v>
          </cell>
        </row>
        <row r="744">
          <cell r="B744" t="str">
            <v>28901-96-4</v>
          </cell>
          <cell r="C744" t="str">
            <v>[29H,31H-Phthalocyaninesulfonato(2-)-N29,N30,N31,N32]copper</v>
          </cell>
          <cell r="D744">
            <v>1</v>
          </cell>
        </row>
        <row r="745">
          <cell r="B745" t="str">
            <v>29719-96-8</v>
          </cell>
          <cell r="C745" t="str">
            <v>Copper trichlorophthalocyanine</v>
          </cell>
          <cell r="D745">
            <v>1</v>
          </cell>
        </row>
        <row r="746">
          <cell r="B746" t="str">
            <v>33113-08-5</v>
          </cell>
          <cell r="C746" t="str">
            <v>Carbonic acid ammonium copper salt</v>
          </cell>
          <cell r="D746">
            <v>1</v>
          </cell>
        </row>
        <row r="747">
          <cell r="B747" t="str">
            <v>33481-16-2</v>
          </cell>
          <cell r="C747" t="str">
            <v>Tris[[[3-(N,N-dimethylamino)propyl]amino]sulfonyl]copper phthalocyanine</v>
          </cell>
          <cell r="D747">
            <v>1</v>
          </cell>
        </row>
        <row r="748">
          <cell r="B748" t="str">
            <v>38465-60-0</v>
          </cell>
          <cell r="C748" t="str">
            <v>Copper(2+) tetrafluoroborate(1-)</v>
          </cell>
          <cell r="D748">
            <v>1</v>
          </cell>
        </row>
        <row r="749">
          <cell r="B749" t="str">
            <v>39290-85-2</v>
          </cell>
          <cell r="C749" t="str">
            <v>Boric acid copper salt</v>
          </cell>
          <cell r="D749">
            <v>1</v>
          </cell>
        </row>
        <row r="750">
          <cell r="B750" t="str">
            <v>39445-33-5</v>
          </cell>
          <cell r="C750" t="str">
            <v>Copper compound with tin (4:1)</v>
          </cell>
          <cell r="D750">
            <v>1</v>
          </cell>
        </row>
        <row r="751">
          <cell r="B751" t="str">
            <v>54253-62-2</v>
          </cell>
          <cell r="C751" t="str">
            <v>Methanesulfonic acid, copper(2+) salt</v>
          </cell>
          <cell r="D751">
            <v>1</v>
          </cell>
        </row>
        <row r="752">
          <cell r="B752" t="str">
            <v>54427-17-7</v>
          </cell>
          <cell r="C752" t="str">
            <v>Copper-zinc ferrite</v>
          </cell>
          <cell r="D752">
            <v>1</v>
          </cell>
        </row>
        <row r="753">
          <cell r="B753" t="str">
            <v>64883-30-3</v>
          </cell>
          <cell r="C753" t="str">
            <v>Dodecylbenzene sulfonate bis-ethylenediamine copper(II) complex salt</v>
          </cell>
          <cell r="D753">
            <v>1</v>
          </cell>
        </row>
        <row r="754">
          <cell r="B754" t="str">
            <v>68411-06-3</v>
          </cell>
          <cell r="C754" t="str">
            <v>[29H,31H-Phthalocyaninato(2-)-N29,N30,N31,N32]copper (1,3-dihydro-1,3-dioxo-2H-isoindol-2-yl)methyl derivs.</v>
          </cell>
          <cell r="D754">
            <v>1</v>
          </cell>
        </row>
        <row r="755">
          <cell r="B755" t="str">
            <v>68611-68-7</v>
          </cell>
          <cell r="C755" t="str">
            <v>Zinc sulfide (ZnS), aluminum and copper-doped</v>
          </cell>
          <cell r="D755">
            <v>1</v>
          </cell>
        </row>
        <row r="756">
          <cell r="B756" t="str">
            <v>68611-70-1</v>
          </cell>
          <cell r="C756" t="str">
            <v>Zinc sulfide (ZnS), copper chloride-doped</v>
          </cell>
          <cell r="D756">
            <v>1</v>
          </cell>
        </row>
        <row r="757">
          <cell r="B757" t="str">
            <v>68987-63-3</v>
          </cell>
          <cell r="C757" t="str">
            <v>Copper, [29H,31H-phthalocyaninato(2-)-N29,N30,N31,N32]-, chlorinated</v>
          </cell>
          <cell r="D757">
            <v>1</v>
          </cell>
        </row>
        <row r="758">
          <cell r="B758" t="str">
            <v>69012-78-8</v>
          </cell>
          <cell r="C758" t="str">
            <v>Calcines, copper smelting-fly-ash</v>
          </cell>
          <cell r="D758">
            <v>1</v>
          </cell>
        </row>
        <row r="759">
          <cell r="B759" t="str">
            <v>70750-63-9</v>
          </cell>
          <cell r="C759" t="str">
            <v>Copper phthalocyaninesulfonic acid dioctadecyldimethylammonium salt</v>
          </cell>
          <cell r="D759">
            <v>1</v>
          </cell>
        </row>
        <row r="760">
          <cell r="B760" t="str">
            <v>73018-43-6</v>
          </cell>
          <cell r="C760" t="str">
            <v>[29H,31H-Phthalocyaninetetrasulfonamidato(2-)-N29,N30,N31,N32]copper, N-(2-ethylhexyl and 3-methoxypropyl) derivs.</v>
          </cell>
          <cell r="D760">
            <v>1</v>
          </cell>
        </row>
        <row r="761">
          <cell r="B761" t="str">
            <v>73049-92-0</v>
          </cell>
          <cell r="C761" t="str">
            <v>Copper, [29H,31H-phthalocyaninato(2-)-N29,N30,N31,N32]-, sulfo [[4-[[2-(sulfooxy)ethyl]sulfonyl]phenyl]amino]sulfonyl derivs.</v>
          </cell>
          <cell r="D761">
            <v>1</v>
          </cell>
        </row>
        <row r="762">
          <cell r="B762" t="str">
            <v>75173-68-1</v>
          </cell>
          <cell r="C762" t="str">
            <v>[μ-[[3,3'-[Azoxybis[(2-hydroxy-p-phenylene)azo]]bis[4-hydroxynaphthalene-2,7-disulfonato]](8-)]]dicopper, tetrasodium ;4-Hydroxy-3-[2-hydroxy-4-[3-hydroxy-4-(1-hydroxy-3,6-disulfo-2-naphthylazo)phenylazoxy]phenylazo]-2,7-naphthalenedisulfonic acid copper</v>
          </cell>
          <cell r="D762">
            <v>1</v>
          </cell>
        </row>
        <row r="763">
          <cell r="B763" t="str">
            <v>81457-64-9</v>
          </cell>
          <cell r="C763" t="str">
            <v>Copper, [29H,31H-phthalocyaninato(2-)-N29,N30,N31,N32]-, (butylamino)sulfonyl [(2-ethylhexyl)amino]sulfonyl derivs.</v>
          </cell>
          <cell r="D763">
            <v>1</v>
          </cell>
        </row>
        <row r="764">
          <cell r="B764" t="str">
            <v>85167-42-6</v>
          </cell>
          <cell r="C764" t="str">
            <v>Copper(1+), (nitrato-O,O') (2,8,14,20-tetramethyltetrabenzo[b,f,j,n][1,5,9,13]tetraazacyclohexadecine-N5,N11,N17,N23)-, (TP-6-122)-, nitrate, monohydrate</v>
          </cell>
          <cell r="D764">
            <v>1</v>
          </cell>
        </row>
        <row r="765">
          <cell r="B765" t="str">
            <v>86457-83-2</v>
          </cell>
          <cell r="C765" t="str">
            <v>2,4-Bis[3-[α-(2-carboxy-5-sulfophenylhydrazono)benzylazo]-2-hydroxy-5-sulfoanilino]-6-chloro-1,3,5-triazine copper complex (1:2) tetrasodium salt</v>
          </cell>
          <cell r="D765">
            <v>1</v>
          </cell>
        </row>
        <row r="766">
          <cell r="B766" t="str">
            <v>90295-11-7</v>
          </cell>
          <cell r="C766" t="str">
            <v>[29H,31H-Phthalocyaninato(2-)-N29,N30,N31,N32]copper, aminosulfonyl sulfo derivs., sodium salts</v>
          </cell>
          <cell r="D766">
            <v>1</v>
          </cell>
        </row>
        <row r="767">
          <cell r="B767" t="str">
            <v>124719-24-0</v>
          </cell>
          <cell r="C767" t="str">
            <v>Copper, (29H,31H-phthalocyaninato(2-)-N29,N30 ,N31,N32)-, sulfo[[3-(trimethylammonio)propyl]amino]sulfonyl derivs., Me sulfates, sodium salts</v>
          </cell>
          <cell r="D767">
            <v>1</v>
          </cell>
        </row>
        <row r="768">
          <cell r="B768" t="str">
            <v>187547-44-0</v>
          </cell>
          <cell r="C768" t="str">
            <v>Copper(Ⅱ) complex of 2-[α-[2-hydroxy-3-[4-chloro-6-[4-(2,3-dibromopropionylamino)-2-sulfophenylamino-[1,3,5]triazine-2-ylamino]-5-sulfophenylazo]-benzylidenehydrazino]-4-sulfobenzoic acid sodium salt</v>
          </cell>
          <cell r="D768">
            <v>1</v>
          </cell>
        </row>
        <row r="769">
          <cell r="B769" t="str">
            <v>993-02-2</v>
          </cell>
          <cell r="C769" t="str">
            <v>Manganese(3+) acetate</v>
          </cell>
          <cell r="D769">
            <v>1</v>
          </cell>
        </row>
        <row r="770">
          <cell r="B770" t="str">
            <v>1317-34-6</v>
          </cell>
          <cell r="C770" t="str">
            <v>Dimanganese trioxide</v>
          </cell>
          <cell r="D770">
            <v>1</v>
          </cell>
        </row>
        <row r="771">
          <cell r="B771" t="str">
            <v>1336-93-2</v>
          </cell>
          <cell r="C771" t="str">
            <v>Naphthenic acids manganese salts</v>
          </cell>
          <cell r="D771">
            <v>1</v>
          </cell>
        </row>
        <row r="772">
          <cell r="B772" t="str">
            <v>1344-43-0</v>
          </cell>
          <cell r="C772" t="str">
            <v>Manganese monooxide</v>
          </cell>
          <cell r="D772">
            <v>1</v>
          </cell>
        </row>
        <row r="773">
          <cell r="B773" t="str">
            <v>6156-78-1</v>
          </cell>
          <cell r="C773" t="str">
            <v>Manganese acetate tetrahydrate</v>
          </cell>
          <cell r="D773">
            <v>1</v>
          </cell>
        </row>
        <row r="774">
          <cell r="B774" t="str">
            <v>7773-01-5</v>
          </cell>
          <cell r="C774" t="str">
            <v>Manganese dichloride</v>
          </cell>
          <cell r="D774">
            <v>1</v>
          </cell>
        </row>
        <row r="775">
          <cell r="B775" t="str">
            <v>8030-70-4</v>
          </cell>
          <cell r="C775" t="str">
            <v>Fatty acids, tall oil, manganese salts</v>
          </cell>
          <cell r="D775">
            <v>1</v>
          </cell>
        </row>
        <row r="776">
          <cell r="B776" t="str">
            <v>10101-66-3</v>
          </cell>
          <cell r="C776" t="str">
            <v>Diphosphoric acid ammonium manganese(3+) salt (1:1:1) ; C.I pigment violet 016</v>
          </cell>
          <cell r="D776">
            <v>1</v>
          </cell>
        </row>
        <row r="777">
          <cell r="B777" t="str">
            <v>10124-54-6</v>
          </cell>
          <cell r="C777" t="str">
            <v>Manganese orthophosphate</v>
          </cell>
          <cell r="D777">
            <v>1</v>
          </cell>
        </row>
        <row r="778">
          <cell r="B778" t="str">
            <v>10124-55-7</v>
          </cell>
          <cell r="C778" t="str">
            <v>Manganese sulfate</v>
          </cell>
          <cell r="D778">
            <v>1</v>
          </cell>
        </row>
        <row r="779">
          <cell r="B779" t="str">
            <v>10377-66-9</v>
          </cell>
          <cell r="C779" t="str">
            <v>Manganese dinitrate</v>
          </cell>
          <cell r="D779">
            <v>1</v>
          </cell>
        </row>
        <row r="780">
          <cell r="B780" t="str">
            <v>11115-91-6</v>
          </cell>
          <cell r="C780" t="str">
            <v>Iron manganese oxide</v>
          </cell>
          <cell r="D780">
            <v>1</v>
          </cell>
        </row>
        <row r="781">
          <cell r="B781" t="str">
            <v>11129-60-5</v>
          </cell>
          <cell r="C781" t="str">
            <v>Manganese oxide</v>
          </cell>
          <cell r="D781">
            <v>1</v>
          </cell>
        </row>
        <row r="782">
          <cell r="B782" t="str">
            <v>12005-96-8</v>
          </cell>
          <cell r="C782" t="str">
            <v>Manganese arsenide (Mn2As)</v>
          </cell>
          <cell r="D782">
            <v>1</v>
          </cell>
        </row>
        <row r="783">
          <cell r="B783" t="str">
            <v>12057-17-9</v>
          </cell>
          <cell r="C783" t="str">
            <v>Lithium manganese oxide</v>
          </cell>
          <cell r="D783">
            <v>1</v>
          </cell>
        </row>
        <row r="784">
          <cell r="B784" t="str">
            <v>12062-81-6</v>
          </cell>
          <cell r="C784" t="str">
            <v>Iron manganese trioxide</v>
          </cell>
          <cell r="D784">
            <v>1</v>
          </cell>
        </row>
        <row r="785">
          <cell r="B785" t="str">
            <v>12162-79-7</v>
          </cell>
          <cell r="C785" t="str">
            <v>Lithium Manganese Oxide</v>
          </cell>
          <cell r="D785">
            <v>1</v>
          </cell>
        </row>
        <row r="786">
          <cell r="B786" t="str">
            <v>12645-49-7</v>
          </cell>
          <cell r="C786" t="str">
            <v>Iron manganese zinc oxide</v>
          </cell>
          <cell r="D786">
            <v>1</v>
          </cell>
        </row>
        <row r="787">
          <cell r="B787" t="str">
            <v>12646-17-2</v>
          </cell>
          <cell r="C787" t="str">
            <v>Manganese nitride</v>
          </cell>
          <cell r="D787">
            <v>1</v>
          </cell>
        </row>
        <row r="788">
          <cell r="B788" t="str">
            <v>12743-28-1</v>
          </cell>
          <cell r="C788" t="str">
            <v>Manganese alloy</v>
          </cell>
          <cell r="D788">
            <v>1</v>
          </cell>
        </row>
        <row r="789">
          <cell r="B789" t="str">
            <v>13446-34-9</v>
          </cell>
          <cell r="C789" t="str">
            <v>Manganese chloride tetrahydrate</v>
          </cell>
          <cell r="D789">
            <v>1</v>
          </cell>
        </row>
        <row r="790">
          <cell r="B790" t="str">
            <v>14177-46-9</v>
          </cell>
          <cell r="C790" t="str">
            <v>Manganese tungstate( MnWO4)</v>
          </cell>
          <cell r="D790">
            <v>1</v>
          </cell>
        </row>
        <row r="791">
          <cell r="B791" t="str">
            <v>15244-36-7</v>
          </cell>
          <cell r="C791" t="str">
            <v>Manganese sulfate hydrate</v>
          </cell>
          <cell r="D791">
            <v>1</v>
          </cell>
        </row>
        <row r="792">
          <cell r="B792" t="str">
            <v>15609-81-1</v>
          </cell>
          <cell r="C792" t="str">
            <v>Ammonium manganese phosphate</v>
          </cell>
          <cell r="D792">
            <v>1</v>
          </cell>
        </row>
        <row r="793">
          <cell r="B793" t="str">
            <v>15956-58-8</v>
          </cell>
          <cell r="C793" t="str">
            <v>2-Ethylhexanoic acid manganese salt</v>
          </cell>
          <cell r="D793">
            <v>1</v>
          </cell>
        </row>
        <row r="794">
          <cell r="B794" t="str">
            <v>18718-07-5</v>
          </cell>
          <cell r="C794" t="str">
            <v>Manganese bis(dihydrogen phosphate)</v>
          </cell>
          <cell r="D794">
            <v>1</v>
          </cell>
        </row>
        <row r="795">
          <cell r="B795" t="str">
            <v>18820-29-6</v>
          </cell>
          <cell r="C795" t="str">
            <v>Manganese sulfide</v>
          </cell>
          <cell r="D795">
            <v>1</v>
          </cell>
        </row>
        <row r="796">
          <cell r="B796" t="str">
            <v>23250-73-9</v>
          </cell>
          <cell r="C796" t="str">
            <v>(Z)-9-Octadecenoic acid, manganese(2+) salt</v>
          </cell>
          <cell r="D796">
            <v>1</v>
          </cell>
        </row>
        <row r="797">
          <cell r="B797" t="str">
            <v>51349-94-1</v>
          </cell>
          <cell r="C797" t="str">
            <v>Manganese hydrogen phosphate</v>
          </cell>
          <cell r="D797">
            <v>1</v>
          </cell>
        </row>
        <row r="798">
          <cell r="B798" t="str">
            <v>53731-35-4</v>
          </cell>
          <cell r="C798" t="str">
            <v>Manganese diphosphate</v>
          </cell>
          <cell r="D798">
            <v>1</v>
          </cell>
        </row>
        <row r="799">
          <cell r="B799" t="str">
            <v>68551-42-8</v>
          </cell>
          <cell r="C799" t="str">
            <v>Fatty acids, (C=6-19)-branched, manganese salts</v>
          </cell>
          <cell r="D799">
            <v>1</v>
          </cell>
        </row>
        <row r="800">
          <cell r="B800" t="str">
            <v>68611-47-2</v>
          </cell>
          <cell r="C800" t="str">
            <v>Silicic acid (H4SiO4) zinc salt (1:2), manganese-doped</v>
          </cell>
          <cell r="D800">
            <v>1</v>
          </cell>
        </row>
        <row r="801">
          <cell r="B801" t="str">
            <v>68877-27-0</v>
          </cell>
          <cell r="C801" t="str">
            <v>Zinc sulfide (ZnS), manganese-doped</v>
          </cell>
          <cell r="D801">
            <v>1</v>
          </cell>
        </row>
        <row r="802">
          <cell r="B802" t="str">
            <v>101357-05-5</v>
          </cell>
          <cell r="C802" t="str">
            <v>Calcium oxide (CaO), solid soln. with silica, strontium oxide and zinc oxide, cerium and manganese-doped</v>
          </cell>
          <cell r="D802">
            <v>1</v>
          </cell>
        </row>
        <row r="803">
          <cell r="B803" t="str">
            <v>58-85-5</v>
          </cell>
          <cell r="C803" t="str">
            <v>[3aS-(3aα,4β,6aα)]-Hexahydro-2-oxo-1H-thieno[3,4-d]imidazole-4-pentanoic acid ; Biotin, Vitamin H</v>
          </cell>
          <cell r="D803">
            <v>1</v>
          </cell>
        </row>
        <row r="804">
          <cell r="B804" t="str">
            <v>60-82-2</v>
          </cell>
          <cell r="C804" t="str">
            <v>3-(4-Hydroxyphenyl)-1-(2,4,6-trihydroxyphenyl)-1-propanone ; Phloretin</v>
          </cell>
          <cell r="D804">
            <v>1</v>
          </cell>
        </row>
        <row r="805">
          <cell r="B805" t="str">
            <v>62-44-2</v>
          </cell>
          <cell r="C805" t="str">
            <v>N-(4-Ethoxyphenyl)acetamide ; N-Acetyl-4-ethoxyaniline, p-Acetophenetidide, p-Ethoxyacetanilide, Acetophenetidin, Phenacetin</v>
          </cell>
          <cell r="D805">
            <v>1</v>
          </cell>
        </row>
        <row r="806">
          <cell r="B806" t="str">
            <v>78-06-8</v>
          </cell>
          <cell r="C806" t="str">
            <v>Dibutyltin 3-mercapto propionate</v>
          </cell>
          <cell r="D806">
            <v>1</v>
          </cell>
        </row>
        <row r="807">
          <cell r="B807" t="str">
            <v>301-10-0</v>
          </cell>
          <cell r="C807" t="str">
            <v>Tin 2-ethylhexanoate</v>
          </cell>
          <cell r="D807">
            <v>1</v>
          </cell>
        </row>
        <row r="808">
          <cell r="B808" t="str">
            <v>497-76-7</v>
          </cell>
          <cell r="C808" t="str">
            <v>Arbutin</v>
          </cell>
          <cell r="D808">
            <v>1</v>
          </cell>
        </row>
        <row r="809">
          <cell r="B809" t="str">
            <v>683-18-1</v>
          </cell>
          <cell r="C809" t="str">
            <v>Dibutyltin dichloride</v>
          </cell>
          <cell r="D809">
            <v>1</v>
          </cell>
        </row>
        <row r="810">
          <cell r="B810" t="str">
            <v>1067-33-0</v>
          </cell>
          <cell r="C810" t="str">
            <v>Dibutyltin diacetate</v>
          </cell>
          <cell r="D810">
            <v>1</v>
          </cell>
        </row>
        <row r="811">
          <cell r="B811" t="str">
            <v>1314-95-0</v>
          </cell>
          <cell r="C811" t="str">
            <v>Tin sulfide</v>
          </cell>
          <cell r="D811">
            <v>1</v>
          </cell>
        </row>
        <row r="812">
          <cell r="B812" t="str">
            <v>1315-01-1</v>
          </cell>
          <cell r="C812" t="str">
            <v>Tin disulfide</v>
          </cell>
          <cell r="D812">
            <v>1</v>
          </cell>
        </row>
        <row r="813">
          <cell r="B813" t="str">
            <v>1332-29-2</v>
          </cell>
          <cell r="C813" t="str">
            <v>Tin oxide</v>
          </cell>
          <cell r="D813">
            <v>1</v>
          </cell>
        </row>
        <row r="814">
          <cell r="B814" t="str">
            <v>1344-13-4</v>
          </cell>
          <cell r="C814" t="str">
            <v>Tin chloride</v>
          </cell>
          <cell r="D814">
            <v>1</v>
          </cell>
        </row>
        <row r="815">
          <cell r="B815" t="str">
            <v>1398-61-4</v>
          </cell>
          <cell r="C815" t="str">
            <v>Chitin</v>
          </cell>
          <cell r="D815">
            <v>1</v>
          </cell>
        </row>
        <row r="816">
          <cell r="B816" t="str">
            <v>1461-22-9</v>
          </cell>
          <cell r="C816" t="str">
            <v>Tributyltin chloride</v>
          </cell>
          <cell r="D816">
            <v>1</v>
          </cell>
        </row>
        <row r="817">
          <cell r="B817" t="str">
            <v>3091-25-6</v>
          </cell>
          <cell r="C817" t="str">
            <v>Monooctyltin trichloride</v>
          </cell>
          <cell r="D817">
            <v>1</v>
          </cell>
        </row>
        <row r="818">
          <cell r="B818" t="str">
            <v>3542-36-7</v>
          </cell>
          <cell r="C818" t="str">
            <v>Dioctyltin dichloride</v>
          </cell>
          <cell r="D818">
            <v>1</v>
          </cell>
        </row>
        <row r="819">
          <cell r="B819" t="str">
            <v>3648-18-8</v>
          </cell>
          <cell r="C819" t="str">
            <v>Dioctyltin dilaurate</v>
          </cell>
          <cell r="D819">
            <v>1</v>
          </cell>
        </row>
        <row r="820">
          <cell r="B820" t="str">
            <v>6994-59-8</v>
          </cell>
          <cell r="C820" t="str">
            <v>Tin distearate, pure</v>
          </cell>
          <cell r="D820">
            <v>1</v>
          </cell>
        </row>
        <row r="821">
          <cell r="B821" t="str">
            <v>7637-13-0</v>
          </cell>
          <cell r="C821" t="str">
            <v>Stearic acid, tin salt</v>
          </cell>
          <cell r="D821">
            <v>1</v>
          </cell>
        </row>
        <row r="822">
          <cell r="B822" t="str">
            <v>7646-78-8</v>
          </cell>
          <cell r="C822" t="str">
            <v>Tin tetrachloride</v>
          </cell>
          <cell r="D822">
            <v>1</v>
          </cell>
        </row>
        <row r="823">
          <cell r="B823" t="str">
            <v>7778-54-3</v>
          </cell>
          <cell r="C823" t="str">
            <v>Calcium hypochlorite ; Losantin</v>
          </cell>
          <cell r="D823">
            <v>1</v>
          </cell>
        </row>
        <row r="824">
          <cell r="B824" t="str">
            <v>7783-47-3</v>
          </cell>
          <cell r="C824" t="str">
            <v>Tin difluoride</v>
          </cell>
          <cell r="D824">
            <v>1</v>
          </cell>
        </row>
        <row r="825">
          <cell r="B825" t="str">
            <v>8049-47-6</v>
          </cell>
          <cell r="C825" t="str">
            <v>Pancreatin ; Diastase vera, Zypanar</v>
          </cell>
          <cell r="D825">
            <v>1</v>
          </cell>
        </row>
        <row r="826">
          <cell r="B826" t="str">
            <v>9007-28-7</v>
          </cell>
          <cell r="C826" t="str">
            <v>Chondroitin, hydrogen sulfate</v>
          </cell>
          <cell r="D826">
            <v>1</v>
          </cell>
        </row>
        <row r="827">
          <cell r="B827" t="str">
            <v>9013-63-2</v>
          </cell>
          <cell r="C827" t="str">
            <v>GELATIN</v>
          </cell>
          <cell r="D827">
            <v>1</v>
          </cell>
        </row>
        <row r="828">
          <cell r="B828" t="str">
            <v>9037-22-3</v>
          </cell>
          <cell r="C828" t="str">
            <v>Amylopectin</v>
          </cell>
          <cell r="D828">
            <v>1</v>
          </cell>
        </row>
        <row r="829">
          <cell r="B829" t="str">
            <v>9046-39-3</v>
          </cell>
          <cell r="C829" t="str">
            <v>Pancreatin</v>
          </cell>
          <cell r="D829">
            <v>1</v>
          </cell>
        </row>
        <row r="830">
          <cell r="B830" t="str">
            <v>9047-18-1</v>
          </cell>
          <cell r="C830" t="str">
            <v>Pectin</v>
          </cell>
          <cell r="D830">
            <v>1</v>
          </cell>
        </row>
        <row r="831">
          <cell r="B831" t="str">
            <v>9082-07-9</v>
          </cell>
          <cell r="C831" t="str">
            <v>Chondroitin, hydrogen sulfate, sodium salt</v>
          </cell>
          <cell r="D831">
            <v>1</v>
          </cell>
        </row>
        <row r="832">
          <cell r="B832" t="str">
            <v>10025-69-1</v>
          </cell>
          <cell r="C832" t="str">
            <v>Tin chloride dihydrate ; Stannous dichloride dihydrate</v>
          </cell>
          <cell r="D832">
            <v>1</v>
          </cell>
        </row>
        <row r="833">
          <cell r="B833" t="str">
            <v>12010-67-2</v>
          </cell>
          <cell r="C833" t="str">
            <v>Dibismuth tritin nonaoxide</v>
          </cell>
          <cell r="D833">
            <v>1</v>
          </cell>
        </row>
        <row r="834">
          <cell r="B834" t="str">
            <v>12027-61-1</v>
          </cell>
          <cell r="C834" t="str">
            <v>Dipotassium tin hexahydroxide</v>
          </cell>
          <cell r="D834">
            <v>1</v>
          </cell>
        </row>
        <row r="835">
          <cell r="B835" t="str">
            <v>12027-70-2</v>
          </cell>
          <cell r="C835" t="str">
            <v>Disodium tin hexahydroxide</v>
          </cell>
          <cell r="D835">
            <v>1</v>
          </cell>
        </row>
        <row r="836">
          <cell r="B836" t="str">
            <v>12036-31-6</v>
          </cell>
          <cell r="C836" t="str">
            <v>Lead tin oxide (PbSnO3)</v>
          </cell>
          <cell r="D836">
            <v>1</v>
          </cell>
        </row>
        <row r="837">
          <cell r="B837" t="str">
            <v>12058-66-1</v>
          </cell>
          <cell r="C837" t="str">
            <v>Disodium tin trioxide</v>
          </cell>
          <cell r="D837">
            <v>1</v>
          </cell>
        </row>
        <row r="838">
          <cell r="B838" t="str">
            <v>12142-33-5</v>
          </cell>
          <cell r="C838" t="str">
            <v>Dipotassium tin trioxide</v>
          </cell>
          <cell r="D838">
            <v>1</v>
          </cell>
        </row>
        <row r="839">
          <cell r="B839" t="str">
            <v>12325-31-4</v>
          </cell>
          <cell r="C839" t="str">
            <v>Disodium hexahydroxoplatinate</v>
          </cell>
          <cell r="D839">
            <v>1</v>
          </cell>
        </row>
        <row r="840">
          <cell r="B840" t="str">
            <v>13121-70-5</v>
          </cell>
          <cell r="C840" t="str">
            <v>Tricyclohexyltin hydroxide ; Cyhexatin,TCTH</v>
          </cell>
          <cell r="D840">
            <v>1</v>
          </cell>
        </row>
        <row r="841">
          <cell r="B841" t="str">
            <v>13173-04-1</v>
          </cell>
          <cell r="C841" t="str">
            <v>Dibutyltin dimaleate, diethyl ester</v>
          </cell>
          <cell r="D841">
            <v>1</v>
          </cell>
        </row>
        <row r="842">
          <cell r="B842" t="str">
            <v>13814-97-6</v>
          </cell>
          <cell r="C842" t="str">
            <v>Tin bis(tetrafluoroborate)</v>
          </cell>
          <cell r="D842">
            <v>1</v>
          </cell>
        </row>
        <row r="843">
          <cell r="B843" t="str">
            <v>13832-70-7</v>
          </cell>
          <cell r="C843" t="str">
            <v>Stearyl Glycyrrhetinate</v>
          </cell>
          <cell r="D843">
            <v>1</v>
          </cell>
        </row>
        <row r="844">
          <cell r="B844" t="str">
            <v>15546-11-9</v>
          </cell>
          <cell r="C844" t="str">
            <v>Di-n-butyltin bis(methyl maleate)</v>
          </cell>
          <cell r="D844">
            <v>1</v>
          </cell>
        </row>
        <row r="845">
          <cell r="B845" t="str">
            <v>15578-26-4</v>
          </cell>
          <cell r="C845" t="str">
            <v>Diphosphoric acid tin(2+) salt (1:2) ; Ditin pyrophosphate</v>
          </cell>
          <cell r="D845">
            <v>1</v>
          </cell>
        </row>
        <row r="846">
          <cell r="B846" t="str">
            <v>16091-18-2</v>
          </cell>
          <cell r="C846" t="str">
            <v>2,2-Dioctyl-1,3,2-dioxastannepin-4,7-dione ; Dioctylstannylene maleate, Dioctyltin maleate</v>
          </cell>
          <cell r="D846">
            <v>1</v>
          </cell>
        </row>
        <row r="847">
          <cell r="B847" t="str">
            <v>18282-10-5</v>
          </cell>
          <cell r="C847" t="str">
            <v>Tin dioxide</v>
          </cell>
          <cell r="D847">
            <v>1</v>
          </cell>
        </row>
        <row r="848">
          <cell r="B848" t="str">
            <v>21651-19-4</v>
          </cell>
          <cell r="C848" t="str">
            <v>Tin monoxide</v>
          </cell>
          <cell r="D848">
            <v>1</v>
          </cell>
        </row>
        <row r="849">
          <cell r="B849" t="str">
            <v>22205-30-7</v>
          </cell>
          <cell r="C849" t="str">
            <v>Bis(dodecylthio)dioctyltin</v>
          </cell>
          <cell r="D849">
            <v>1</v>
          </cell>
        </row>
        <row r="850">
          <cell r="B850" t="str">
            <v>22673-19-4</v>
          </cell>
          <cell r="C850" t="str">
            <v>Dibutylbis(pentane-2,4-dionato-O,O')tin</v>
          </cell>
          <cell r="D850">
            <v>1</v>
          </cell>
        </row>
        <row r="851">
          <cell r="B851" t="str">
            <v>23850-94-4</v>
          </cell>
          <cell r="C851" t="str">
            <v>Butyltris[(2-ethyl-1-oxohexyl)oxy]stannane ; Butyltin tris(2-ethylhexoate)</v>
          </cell>
          <cell r="D851">
            <v>1</v>
          </cell>
        </row>
        <row r="852">
          <cell r="B852" t="str">
            <v>24577-34-2</v>
          </cell>
          <cell r="C852" t="str">
            <v>Dioctyltin bis(2-ethylhexanoate)</v>
          </cell>
          <cell r="D852">
            <v>1</v>
          </cell>
        </row>
        <row r="853">
          <cell r="B853" t="str">
            <v>27107-89-7</v>
          </cell>
          <cell r="C853" t="str">
            <v>10-Ethyl-4-[[2-[(2-ethylhexyl)oxy]-2-oxoethyl]thio]-4-octyl-7-oxo-8-oxa-3,5-dithia-4-stannatetradecanoic acid 2-ethylhexyl ester ;Monooctyltin tris(2-ethylhexylmercaptoacetate)</v>
          </cell>
          <cell r="D853">
            <v>1</v>
          </cell>
        </row>
        <row r="854">
          <cell r="B854" t="str">
            <v>27517-48-2</v>
          </cell>
          <cell r="C854" t="str">
            <v>Dibutyl tin oxide polymer</v>
          </cell>
          <cell r="D854">
            <v>1</v>
          </cell>
        </row>
        <row r="855">
          <cell r="B855" t="str">
            <v>29575-02-8</v>
          </cell>
          <cell r="C855" t="str">
            <v>Dioctyltinbis(butyl maleate)</v>
          </cell>
          <cell r="D855">
            <v>1</v>
          </cell>
        </row>
        <row r="856">
          <cell r="B856" t="str">
            <v>34152-36-8</v>
          </cell>
          <cell r="C856" t="str">
            <v>Dioctyltin distearate</v>
          </cell>
          <cell r="D856">
            <v>1</v>
          </cell>
        </row>
        <row r="857">
          <cell r="B857" t="str">
            <v>60142-96-3</v>
          </cell>
          <cell r="C857" t="str">
            <v>gabapentin</v>
          </cell>
          <cell r="D857">
            <v>1</v>
          </cell>
        </row>
        <row r="858">
          <cell r="B858" t="str">
            <v>68187-12-2</v>
          </cell>
          <cell r="C858" t="str">
            <v>Chrome tin pink sphene</v>
          </cell>
          <cell r="D858">
            <v>1</v>
          </cell>
        </row>
        <row r="859">
          <cell r="B859" t="str">
            <v>71243-84-0</v>
          </cell>
          <cell r="C859" t="str">
            <v>Indium oxide (In2O3), solid soln. with tin oxide (SnO2)</v>
          </cell>
          <cell r="D859">
            <v>1</v>
          </cell>
        </row>
        <row r="860">
          <cell r="B860" t="str">
            <v>75330-75-5</v>
          </cell>
          <cell r="C860" t="str">
            <v>LOVASTATIN</v>
          </cell>
          <cell r="D860">
            <v>1</v>
          </cell>
        </row>
        <row r="861">
          <cell r="B861" t="str">
            <v>79902-63-9</v>
          </cell>
          <cell r="C861" t="str">
            <v>SIMVASTATIN</v>
          </cell>
          <cell r="D861">
            <v>1</v>
          </cell>
        </row>
        <row r="862">
          <cell r="B862" t="str">
            <v>91648-71-4</v>
          </cell>
          <cell r="C862" t="str">
            <v>Tin alloy, dross</v>
          </cell>
          <cell r="D862">
            <v>1</v>
          </cell>
        </row>
        <row r="863">
          <cell r="B863" t="str">
            <v>95860-13-2</v>
          </cell>
          <cell r="C863" t="str">
            <v>Tin methylsulfonate</v>
          </cell>
          <cell r="D863">
            <v>1</v>
          </cell>
        </row>
        <row r="864">
          <cell r="B864" t="str">
            <v>3153-26-2</v>
          </cell>
          <cell r="C864" t="str">
            <v>Vanadium oxy acetylacetonate</v>
          </cell>
          <cell r="D864">
            <v>1</v>
          </cell>
        </row>
        <row r="865">
          <cell r="B865" t="str">
            <v>11099-11-9</v>
          </cell>
          <cell r="C865" t="str">
            <v>Vanadium oxide</v>
          </cell>
          <cell r="D865">
            <v>1</v>
          </cell>
        </row>
        <row r="866">
          <cell r="B866" t="str">
            <v>13476-99-8</v>
          </cell>
          <cell r="C866" t="str">
            <v>Vanadium(III) acetylacetonate ; Tris(2,4-pentanedionato)vanadium, Vanadium tris(acetylacetonate)</v>
          </cell>
          <cell r="D866">
            <v>1</v>
          </cell>
        </row>
        <row r="867">
          <cell r="B867" t="str">
            <v>14059-33-7</v>
          </cell>
          <cell r="C867" t="str">
            <v>Bismuth vanadium tetraoxide</v>
          </cell>
          <cell r="D867">
            <v>1</v>
          </cell>
        </row>
        <row r="868">
          <cell r="B868" t="str">
            <v>53801-77-7</v>
          </cell>
          <cell r="C868" t="str">
            <v>Bismuth vanadium oxide</v>
          </cell>
          <cell r="D868">
            <v>1</v>
          </cell>
        </row>
        <row r="869">
          <cell r="B869" t="str">
            <v>136-53-8</v>
          </cell>
          <cell r="C869" t="str">
            <v>2-Ethylhexanoic acid zinc salt</v>
          </cell>
          <cell r="D869">
            <v>1</v>
          </cell>
        </row>
        <row r="870">
          <cell r="B870" t="str">
            <v>155-04-4</v>
          </cell>
          <cell r="C870" t="str">
            <v>2(3H)-Benzothiazolethione zinc salt ; Zinc di(benzothiazol-2-yl) disulfide</v>
          </cell>
          <cell r="D870">
            <v>1</v>
          </cell>
        </row>
        <row r="871">
          <cell r="B871" t="str">
            <v>553-72-0</v>
          </cell>
          <cell r="C871" t="str">
            <v>Benzoic acid zinc salt ; Zinc benzoate</v>
          </cell>
          <cell r="D871">
            <v>1</v>
          </cell>
        </row>
        <row r="872">
          <cell r="B872" t="str">
            <v>557-20-0</v>
          </cell>
          <cell r="C872" t="str">
            <v>Diethyl zinc</v>
          </cell>
          <cell r="D872">
            <v>1</v>
          </cell>
        </row>
        <row r="873">
          <cell r="B873" t="str">
            <v>557-34-6</v>
          </cell>
          <cell r="C873" t="str">
            <v>Zinc acetate</v>
          </cell>
          <cell r="D873">
            <v>1</v>
          </cell>
        </row>
        <row r="874">
          <cell r="B874" t="str">
            <v>1314-22-3</v>
          </cell>
          <cell r="C874" t="str">
            <v>Zinc peroxide (ZnO2)</v>
          </cell>
          <cell r="D874">
            <v>1</v>
          </cell>
        </row>
        <row r="875">
          <cell r="B875" t="str">
            <v>1332-07-6</v>
          </cell>
          <cell r="C875" t="str">
            <v>Boric acid zinc salt</v>
          </cell>
          <cell r="D875">
            <v>1</v>
          </cell>
        </row>
        <row r="876">
          <cell r="B876" t="str">
            <v>2215-35-2</v>
          </cell>
          <cell r="C876" t="str">
            <v>4-Methyl-2-pentanol hydrogen phosphorodithioate zinc salt ; Phosphorodithioic acid O,O-bis(1,3-dimethylbutyl) ester, zinc salt</v>
          </cell>
          <cell r="D876">
            <v>1</v>
          </cell>
        </row>
        <row r="877">
          <cell r="B877" t="str">
            <v>2452-01-9</v>
          </cell>
          <cell r="C877" t="str">
            <v>Dodecanoic acid zinc salt ; Zinc laurate</v>
          </cell>
          <cell r="D877">
            <v>1</v>
          </cell>
        </row>
        <row r="878">
          <cell r="B878" t="str">
            <v>3030-80-6</v>
          </cell>
          <cell r="C878" t="str">
            <v>1,3-Dihydro-2H-benzimidazole-2-thione zinc salt (2:1) ; Znic di(benzimidazol-2-yl) disulfide, Nocrac MBZ</v>
          </cell>
          <cell r="D878">
            <v>1</v>
          </cell>
        </row>
        <row r="879">
          <cell r="B879" t="str">
            <v>3138-01-0</v>
          </cell>
          <cell r="C879" t="str">
            <v>Zinc-bis-(2-pyridine-thioi-1-oxide)</v>
          </cell>
          <cell r="D879">
            <v>1</v>
          </cell>
        </row>
        <row r="880">
          <cell r="B880" t="str">
            <v>3486-35-9</v>
          </cell>
          <cell r="C880" t="str">
            <v>Zinc carbonate</v>
          </cell>
          <cell r="D880">
            <v>1</v>
          </cell>
        </row>
        <row r="881">
          <cell r="B881" t="str">
            <v>4259-15-8</v>
          </cell>
          <cell r="C881" t="str">
            <v>Phosphorodithioic acid O,O-bis(2-ethylhexyl) ester, zinc salt</v>
          </cell>
          <cell r="D881">
            <v>1</v>
          </cell>
        </row>
        <row r="882">
          <cell r="B882" t="str">
            <v>4468-02-4</v>
          </cell>
          <cell r="C882" t="str">
            <v>Bis(D-gluconato-O1,O2)zinc</v>
          </cell>
          <cell r="D882">
            <v>1</v>
          </cell>
        </row>
        <row r="883">
          <cell r="B883" t="str">
            <v>4980-54-5</v>
          </cell>
          <cell r="C883" t="str">
            <v>4-(1,1-Dimethylethyl)benzoic acid zinc salt ; Zinc p-t-butylbenzoate</v>
          </cell>
          <cell r="D883">
            <v>1</v>
          </cell>
        </row>
        <row r="884">
          <cell r="B884" t="str">
            <v>5970-45-6</v>
          </cell>
          <cell r="C884" t="str">
            <v>Zinc acetate dihydrate</v>
          </cell>
          <cell r="D884">
            <v>1</v>
          </cell>
        </row>
        <row r="885">
          <cell r="B885" t="str">
            <v>7446-19-7</v>
          </cell>
          <cell r="C885" t="str">
            <v>Sulfuric acid, zinc salt (1:1), monohydrate</v>
          </cell>
          <cell r="D885">
            <v>1</v>
          </cell>
        </row>
        <row r="886">
          <cell r="B886" t="str">
            <v>7446-20-0</v>
          </cell>
          <cell r="C886" t="str">
            <v>ZINC SULFATE HEPTAHYDRATE</v>
          </cell>
          <cell r="D886">
            <v>1</v>
          </cell>
        </row>
        <row r="887">
          <cell r="B887" t="str">
            <v>7446-26-6</v>
          </cell>
          <cell r="C887" t="str">
            <v>Dizinc pyrophosphate</v>
          </cell>
          <cell r="D887">
            <v>1</v>
          </cell>
        </row>
        <row r="888">
          <cell r="B888" t="str">
            <v>7543-51-3</v>
          </cell>
          <cell r="C888" t="str">
            <v>Zinc Phosphate, 4H2O</v>
          </cell>
          <cell r="D888">
            <v>1</v>
          </cell>
        </row>
        <row r="889">
          <cell r="B889" t="str">
            <v>7783-49-5</v>
          </cell>
          <cell r="C889" t="str">
            <v>Zinc fluoride</v>
          </cell>
          <cell r="D889">
            <v>1</v>
          </cell>
        </row>
        <row r="890">
          <cell r="B890" t="str">
            <v>9006-42-2</v>
          </cell>
          <cell r="C890" t="str">
            <v>zinc ammoniate ethylenebis(dithiocarbamate)-poly(ethylenethiuram disulfide)</v>
          </cell>
          <cell r="D890">
            <v>1</v>
          </cell>
        </row>
        <row r="891">
          <cell r="B891" t="str">
            <v>10196-18-6</v>
          </cell>
          <cell r="C891" t="str">
            <v>Nitric acid, zinc salt, hexahydrate</v>
          </cell>
          <cell r="D891">
            <v>1</v>
          </cell>
        </row>
        <row r="892">
          <cell r="B892" t="str">
            <v>11126-29-7</v>
          </cell>
          <cell r="C892" t="str">
            <v>Silicic acid zinc salt</v>
          </cell>
          <cell r="D892">
            <v>1</v>
          </cell>
        </row>
        <row r="893">
          <cell r="B893" t="str">
            <v>12001-85-3</v>
          </cell>
          <cell r="C893" t="str">
            <v>Zinc naphthenate</v>
          </cell>
          <cell r="D893">
            <v>1</v>
          </cell>
        </row>
        <row r="894">
          <cell r="B894" t="str">
            <v>12011-79-9</v>
          </cell>
          <cell r="C894" t="str">
            <v>[μ-[Carbonato(2-)-O:O']]dihydroxydizinc</v>
          </cell>
          <cell r="D894">
            <v>1</v>
          </cell>
        </row>
        <row r="895">
          <cell r="B895" t="str">
            <v>12036-37-2</v>
          </cell>
          <cell r="C895" t="str">
            <v>Zinc stannate</v>
          </cell>
          <cell r="D895">
            <v>1</v>
          </cell>
        </row>
        <row r="896">
          <cell r="B896" t="str">
            <v>12044-55-2</v>
          </cell>
          <cell r="C896" t="str">
            <v>Zinc arsenide (ZnAs2)</v>
          </cell>
          <cell r="D896">
            <v>1</v>
          </cell>
        </row>
        <row r="897">
          <cell r="B897" t="str">
            <v>12063-19-3</v>
          </cell>
          <cell r="C897" t="str">
            <v>Diiron zinc tetraoxide</v>
          </cell>
          <cell r="D897">
            <v>1</v>
          </cell>
        </row>
        <row r="898">
          <cell r="B898" t="str">
            <v>12068-16-5</v>
          </cell>
          <cell r="C898" t="str">
            <v>Zinc dodecylbenzenesulfonate</v>
          </cell>
          <cell r="D898">
            <v>1</v>
          </cell>
        </row>
        <row r="899">
          <cell r="B899" t="str">
            <v>12122-17-7</v>
          </cell>
          <cell r="C899" t="str">
            <v>Basic Zinc Carbonate</v>
          </cell>
          <cell r="D899">
            <v>1</v>
          </cell>
        </row>
        <row r="900">
          <cell r="B900" t="str">
            <v>12122-67-7</v>
          </cell>
          <cell r="C900" t="str">
            <v>[[1,2-Ethanediylbis[carbamodithioate]](2-)] zinc ; Zinc ethylenebis(dithiocarbamate)</v>
          </cell>
          <cell r="D900">
            <v>1</v>
          </cell>
        </row>
        <row r="901">
          <cell r="B901" t="str">
            <v>12433-50-0</v>
          </cell>
          <cell r="C901" t="str">
            <v>Dipotassium heptadecaoxotetrazincate tetrachromate(2-)</v>
          </cell>
          <cell r="D901">
            <v>1</v>
          </cell>
        </row>
        <row r="902">
          <cell r="B902" t="str">
            <v>12442-27-2</v>
          </cell>
          <cell r="C902" t="str">
            <v>Cadmium zinc sulfide ((Cd,Zn)S)</v>
          </cell>
          <cell r="D902">
            <v>1</v>
          </cell>
        </row>
        <row r="903">
          <cell r="B903" t="str">
            <v>12447-61-9</v>
          </cell>
          <cell r="C903" t="str">
            <v>ZINC BORATE, HYDRATED</v>
          </cell>
          <cell r="D903">
            <v>1</v>
          </cell>
        </row>
        <row r="904">
          <cell r="B904" t="str">
            <v>13040-19-2</v>
          </cell>
          <cell r="C904" t="str">
            <v>Zinc ricinolate</v>
          </cell>
          <cell r="D904">
            <v>1</v>
          </cell>
        </row>
        <row r="905">
          <cell r="B905" t="str">
            <v>13189-00-9</v>
          </cell>
          <cell r="C905" t="str">
            <v>2-Methyl-2-propenoic acid zinc salt ;Zinc dimethacrylate</v>
          </cell>
          <cell r="D905">
            <v>1</v>
          </cell>
        </row>
        <row r="906">
          <cell r="B906" t="str">
            <v>13532-96-2</v>
          </cell>
          <cell r="C906" t="str">
            <v>4-[Ethyl(2-hydroxyethyl)amino]benzenediazonium chloride compd. with zinc chloride (ZnCl2)</v>
          </cell>
          <cell r="D906">
            <v>1</v>
          </cell>
        </row>
        <row r="907">
          <cell r="B907" t="str">
            <v>13566-15-9</v>
          </cell>
          <cell r="C907" t="str">
            <v>Zinc dimetaphosphate</v>
          </cell>
          <cell r="D907">
            <v>1</v>
          </cell>
        </row>
        <row r="908">
          <cell r="B908" t="str">
            <v>13597-44-9</v>
          </cell>
          <cell r="C908" t="str">
            <v>Zinc sulfite</v>
          </cell>
          <cell r="D908">
            <v>1</v>
          </cell>
        </row>
        <row r="909">
          <cell r="B909" t="str">
            <v>13767-32-3</v>
          </cell>
          <cell r="C909" t="str">
            <v>Molybdenum zinc tetraoxide</v>
          </cell>
          <cell r="D909">
            <v>1</v>
          </cell>
        </row>
        <row r="910">
          <cell r="B910" t="str">
            <v>13826-55-6</v>
          </cell>
          <cell r="C910" t="str">
            <v>Potassium zinc phosphate</v>
          </cell>
          <cell r="D910">
            <v>1</v>
          </cell>
        </row>
        <row r="911">
          <cell r="B911" t="str">
            <v>14024-63-6</v>
          </cell>
          <cell r="C911" t="str">
            <v>Bis(pentane-2,4-dionato-O,O')zinc</v>
          </cell>
          <cell r="D911">
            <v>1</v>
          </cell>
        </row>
        <row r="912">
          <cell r="B912" t="str">
            <v>14332-59-3</v>
          </cell>
          <cell r="C912" t="str">
            <v>Zinc phosphonate</v>
          </cell>
          <cell r="D912">
            <v>1</v>
          </cell>
        </row>
        <row r="913">
          <cell r="B913" t="str">
            <v>14726-36-4</v>
          </cell>
          <cell r="C913" t="str">
            <v>Bis(dibenzyldithiocarbamato)zinc</v>
          </cell>
          <cell r="D913">
            <v>1</v>
          </cell>
        </row>
        <row r="914">
          <cell r="B914" t="str">
            <v>14726-58-0</v>
          </cell>
          <cell r="C914" t="str">
            <v>2,5-Dibutoxy-4-(morpholin-4-yl)benzenediazonium tetrachlorozincate (2:1)</v>
          </cell>
          <cell r="D914">
            <v>1</v>
          </cell>
        </row>
        <row r="915">
          <cell r="B915" t="str">
            <v>15333-24-1</v>
          </cell>
          <cell r="C915" t="str">
            <v>Sodium zinc cyanide</v>
          </cell>
          <cell r="D915">
            <v>1</v>
          </cell>
        </row>
        <row r="916">
          <cell r="B916" t="str">
            <v>15337-18-5</v>
          </cell>
          <cell r="C916" t="str">
            <v>Zinc bis(dipentyldithiocarbamate)</v>
          </cell>
          <cell r="D916">
            <v>1</v>
          </cell>
        </row>
        <row r="917">
          <cell r="B917" t="str">
            <v>16871-71-9</v>
          </cell>
          <cell r="C917" t="str">
            <v>Zinc hexafluorosilicate</v>
          </cell>
          <cell r="D917">
            <v>1</v>
          </cell>
        </row>
        <row r="918">
          <cell r="B918" t="str">
            <v>19210-06-1</v>
          </cell>
          <cell r="C918" t="str">
            <v>Phosphorodithioic acid zinc salt</v>
          </cell>
          <cell r="D918">
            <v>1</v>
          </cell>
        </row>
        <row r="919">
          <cell r="B919" t="str">
            <v>20427-58-1</v>
          </cell>
          <cell r="C919" t="str">
            <v>Zinc hydroxide</v>
          </cell>
          <cell r="D919">
            <v>1</v>
          </cell>
        </row>
        <row r="920">
          <cell r="B920" t="str">
            <v>20654-08-4</v>
          </cell>
          <cell r="C920" t="str">
            <v>Zinc cyanamidate</v>
          </cell>
          <cell r="D920">
            <v>1</v>
          </cell>
        </row>
        <row r="921">
          <cell r="B921" t="str">
            <v>23414-72-4</v>
          </cell>
          <cell r="C921" t="str">
            <v>Zinc permanganate</v>
          </cell>
          <cell r="D921">
            <v>1</v>
          </cell>
        </row>
        <row r="922">
          <cell r="B922" t="str">
            <v>24308-84-7</v>
          </cell>
          <cell r="C922" t="str">
            <v>ZINC-DIBENZENE SULFINATE</v>
          </cell>
          <cell r="D922">
            <v>1</v>
          </cell>
        </row>
        <row r="923">
          <cell r="B923" t="str">
            <v>24887-06-7</v>
          </cell>
          <cell r="C923" t="str">
            <v>Zinc bis(hydroxymethanesulfinate)</v>
          </cell>
          <cell r="D923">
            <v>1</v>
          </cell>
        </row>
        <row r="924">
          <cell r="B924" t="str">
            <v>27253-29-8</v>
          </cell>
          <cell r="C924" t="str">
            <v>Neodecanoic acid zinc salt ; Zinc neodecanoate</v>
          </cell>
          <cell r="D924">
            <v>1</v>
          </cell>
        </row>
        <row r="925">
          <cell r="B925" t="str">
            <v>28016-00-4</v>
          </cell>
          <cell r="C925" t="str">
            <v>Dinonylnaphthalenesulfonic acid zinc salt</v>
          </cell>
          <cell r="D925">
            <v>1</v>
          </cell>
        </row>
        <row r="926">
          <cell r="B926" t="str">
            <v>28208-80-2</v>
          </cell>
          <cell r="C926" t="str">
            <v>2-Propenoic acid polymer with ethene zinc salt</v>
          </cell>
          <cell r="D926">
            <v>1</v>
          </cell>
        </row>
        <row r="927">
          <cell r="B927" t="str">
            <v>37300-23-5</v>
          </cell>
          <cell r="C927" t="str">
            <v>C.I. Pigment yellow 36 ; Zinc chromate yellow ; Zinc tetraoxy chromate</v>
          </cell>
          <cell r="D927">
            <v>1</v>
          </cell>
        </row>
        <row r="928">
          <cell r="B928" t="str">
            <v>38714-47-5</v>
          </cell>
          <cell r="C928" t="str">
            <v>Tetraamminezinc(2+) carbonate (1:1)</v>
          </cell>
          <cell r="D928">
            <v>1</v>
          </cell>
        </row>
        <row r="929">
          <cell r="B929" t="str">
            <v>40861-29-8</v>
          </cell>
          <cell r="C929" t="str">
            <v>Carbonic acid ammonium zinc salt (2:2:1)</v>
          </cell>
          <cell r="D929">
            <v>1</v>
          </cell>
        </row>
        <row r="930">
          <cell r="B930" t="str">
            <v>41189-36-0</v>
          </cell>
          <cell r="C930" t="str">
            <v>Chromic acid, potassium zinc salt ; Potassium zinc chromate</v>
          </cell>
          <cell r="D930">
            <v>1</v>
          </cell>
        </row>
        <row r="931">
          <cell r="B931" t="str">
            <v>42405-40-3</v>
          </cell>
          <cell r="C931" t="str">
            <v>Bis[3,5-bis(1,1-dimethylethyl)-2-hydroxybenzoato-O1,O2]zinc</v>
          </cell>
          <cell r="D931">
            <v>1</v>
          </cell>
        </row>
        <row r="932">
          <cell r="B932" t="str">
            <v>50922-29-7</v>
          </cell>
          <cell r="C932" t="str">
            <v>Chromium zinc oxide</v>
          </cell>
          <cell r="D932">
            <v>1</v>
          </cell>
        </row>
        <row r="933">
          <cell r="B933" t="str">
            <v>53770-52-8</v>
          </cell>
          <cell r="C933" t="str">
            <v>Zinc 3,5-bis(α-methylbenzyl)salicylate</v>
          </cell>
          <cell r="D933">
            <v>1</v>
          </cell>
        </row>
        <row r="934">
          <cell r="B934" t="str">
            <v>55799-16-1</v>
          </cell>
          <cell r="C934" t="str">
            <v>ZINC OXIDE PHOSPHONATE, DIHYDRATE</v>
          </cell>
          <cell r="D934">
            <v>1</v>
          </cell>
        </row>
        <row r="935">
          <cell r="B935" t="str">
            <v>60580-61-2</v>
          </cell>
          <cell r="C935" t="str">
            <v>5-Nitro-1,3-benzenedicarboxylic acid zinc salt (1:1)</v>
          </cell>
          <cell r="D935">
            <v>1</v>
          </cell>
        </row>
        <row r="936">
          <cell r="B936" t="str">
            <v>61617-00-3</v>
          </cell>
          <cell r="C936" t="str">
            <v>1,3-Dihydro-4(or 5)-methyl-2H-benzimidazole-2-thione zinc salt (2:1) ; Zino 2-mercaptotoluimidazole, Vanox ZMTI</v>
          </cell>
          <cell r="D936">
            <v>1</v>
          </cell>
        </row>
        <row r="937">
          <cell r="B937" t="str">
            <v>61790-11-2</v>
          </cell>
          <cell r="C937" t="str">
            <v>Fatty acids, tall oil, zinc salts</v>
          </cell>
          <cell r="D937">
            <v>1</v>
          </cell>
        </row>
        <row r="938">
          <cell r="B938" t="str">
            <v>64539-51-1</v>
          </cell>
          <cell r="C938" t="str">
            <v>Tribasic zinc phosphite</v>
          </cell>
          <cell r="D938">
            <v>1</v>
          </cell>
        </row>
        <row r="939">
          <cell r="B939" t="str">
            <v>65232-85-1</v>
          </cell>
          <cell r="C939" t="str">
            <v>Zinc iron chromium oxide</v>
          </cell>
          <cell r="D939">
            <v>1</v>
          </cell>
        </row>
        <row r="940">
          <cell r="B940" t="str">
            <v>67701-13-7</v>
          </cell>
          <cell r="C940" t="str">
            <v>Fatty acids, (C=16-18) and (C=18)-unsatd., zinc salts</v>
          </cell>
          <cell r="D940">
            <v>1</v>
          </cell>
        </row>
        <row r="941">
          <cell r="B941" t="str">
            <v>68440-10-8</v>
          </cell>
          <cell r="C941" t="str">
            <v>Fatty acids, lanolin, zinc salts</v>
          </cell>
          <cell r="D941">
            <v>1</v>
          </cell>
        </row>
        <row r="942">
          <cell r="B942" t="str">
            <v>68457-79-4</v>
          </cell>
          <cell r="C942" t="str">
            <v>Phosphorodithioic acid O,O-bis(mixed iso-Bu and pentyl) esters zinc salts</v>
          </cell>
          <cell r="D942">
            <v>1</v>
          </cell>
        </row>
        <row r="943">
          <cell r="B943" t="str">
            <v>68551-44-0</v>
          </cell>
          <cell r="C943" t="str">
            <v>Fatty acids, (C=6-19)-branched, zinc salts</v>
          </cell>
          <cell r="D943">
            <v>1</v>
          </cell>
        </row>
        <row r="944">
          <cell r="B944" t="str">
            <v>68611-71-2</v>
          </cell>
          <cell r="C944" t="str">
            <v>Zinc sulfide (ZnS), silver chloride-doped</v>
          </cell>
          <cell r="D944">
            <v>1</v>
          </cell>
        </row>
        <row r="945">
          <cell r="B945" t="str">
            <v>68891-56-5</v>
          </cell>
          <cell r="C945" t="str">
            <v>2-Methyl-2-propenoic acid polymer with butyl 2-propenoate, ethenylbenzene and methyl 2-methyl-2-propenoate, zinc complex</v>
          </cell>
          <cell r="D945">
            <v>1</v>
          </cell>
        </row>
        <row r="946">
          <cell r="B946" t="str">
            <v>68918-69-4</v>
          </cell>
          <cell r="C946" t="str">
            <v>Petrolatum (petroleum), oxidized, zinc salt</v>
          </cell>
          <cell r="D946">
            <v>1</v>
          </cell>
        </row>
        <row r="947">
          <cell r="B947" t="str">
            <v>68953-40-2</v>
          </cell>
          <cell r="C947" t="str">
            <v>Fatty acids, tallow, hydrogenated, zinc salts</v>
          </cell>
          <cell r="D947">
            <v>1</v>
          </cell>
        </row>
        <row r="948">
          <cell r="B948" t="str">
            <v>69011-50-3</v>
          </cell>
          <cell r="C948" t="str">
            <v>Zinc dross</v>
          </cell>
          <cell r="D948">
            <v>1</v>
          </cell>
        </row>
        <row r="949">
          <cell r="B949" t="str">
            <v>70248-43-0</v>
          </cell>
          <cell r="C949" t="str">
            <v>Resin acids and Rosin acids, polymd., zinc salts</v>
          </cell>
          <cell r="D949">
            <v>1</v>
          </cell>
        </row>
        <row r="950">
          <cell r="B950" t="str">
            <v>73398-89-7</v>
          </cell>
          <cell r="C950" t="str">
            <v>3,6-Bis(diethylamino)-9-[2-(methoxycarbonyl)phenyl]xanthylium (T-4)-tetrachlorozincate(1-)</v>
          </cell>
          <cell r="D950">
            <v>1</v>
          </cell>
        </row>
        <row r="951">
          <cell r="B951" t="str">
            <v>93686-58-9</v>
          </cell>
          <cell r="C951" t="str">
            <v>Zinc oxide (ZnO), calcined</v>
          </cell>
          <cell r="D951">
            <v>1</v>
          </cell>
        </row>
        <row r="952">
          <cell r="B952" t="str">
            <v>100656-51-7</v>
          </cell>
          <cell r="C952" t="str">
            <v>Slags, zinc-smelting, sodium contg.</v>
          </cell>
          <cell r="D952">
            <v>1</v>
          </cell>
        </row>
        <row r="953">
          <cell r="B953" t="str">
            <v>102110-30-5</v>
          </cell>
          <cell r="C953" t="str">
            <v>Cadmium oxide (CdO), solid soln. with magnesium oxide, tungsten oxide (WO3) and zinc oxide</v>
          </cell>
          <cell r="D953">
            <v>1</v>
          </cell>
        </row>
        <row r="954">
          <cell r="B954" t="str">
            <v>112099-45-3</v>
          </cell>
          <cell r="C954" t="str">
            <v>Zinc Dithiophosphate</v>
          </cell>
          <cell r="D954">
            <v>1</v>
          </cell>
        </row>
        <row r="955">
          <cell r="B955" t="str">
            <v>134759-18-5</v>
          </cell>
          <cell r="C955" t="str">
            <v>Phosphorodithioic acid O,O-dialkyl(C=3-14) esters zinc salts</v>
          </cell>
          <cell r="D955">
            <v>1</v>
          </cell>
        </row>
        <row r="956">
          <cell r="B956" t="str">
            <v>169314-88-9</v>
          </cell>
          <cell r="C956" t="str">
            <v>Aluminum magnesium zinc carbonate hydroxide</v>
          </cell>
          <cell r="D956">
            <v>1</v>
          </cell>
        </row>
        <row r="957">
          <cell r="B957" t="str">
            <v>190208-14-1</v>
          </cell>
          <cell r="C957" t="str">
            <v>Zinc alkyl(C=13-18) salicylate</v>
          </cell>
          <cell r="D957">
            <v>1</v>
          </cell>
        </row>
        <row r="958">
          <cell r="B958" t="str">
            <v>460739-39-3</v>
          </cell>
          <cell r="C958" t="str">
            <v>Methyl 2-methyl-2-propenoate polymer with butyl 2-propenoate, ethyl 2-propenoate, zinc bis(2-methyl-2-propenoate) and zinc di- 2-propenoate, 2,2'-azobis[2-methylbutanenitrile]- and 2,2'-azobis [2-methylpropanenitrile]-initiated</v>
          </cell>
          <cell r="D958">
            <v>1</v>
          </cell>
        </row>
        <row r="959">
          <cell r="B959" t="str">
            <v>75-05-8</v>
          </cell>
          <cell r="C959" t="str">
            <v>Acetonitrile ; Methyl cyanide, Cyanomethane</v>
          </cell>
          <cell r="D959">
            <v>1</v>
          </cell>
        </row>
        <row r="960">
          <cell r="B960" t="str">
            <v>100-47-0</v>
          </cell>
          <cell r="C960" t="str">
            <v>Benzonitrile ; Phenyl cyanide</v>
          </cell>
          <cell r="D960">
            <v>1</v>
          </cell>
        </row>
        <row r="961">
          <cell r="B961" t="str">
            <v>506-64-9</v>
          </cell>
          <cell r="C961" t="str">
            <v>Silver cyanide</v>
          </cell>
          <cell r="D961">
            <v>1</v>
          </cell>
        </row>
        <row r="962">
          <cell r="B962" t="str">
            <v>506-65-0</v>
          </cell>
          <cell r="C962" t="str">
            <v>Gold monocyanide</v>
          </cell>
          <cell r="D962">
            <v>1</v>
          </cell>
        </row>
        <row r="963">
          <cell r="B963" t="str">
            <v>592-05-2</v>
          </cell>
          <cell r="C963" t="str">
            <v>Lead dicyanide</v>
          </cell>
          <cell r="D963">
            <v>1</v>
          </cell>
        </row>
        <row r="964">
          <cell r="B964" t="str">
            <v>929-57-7</v>
          </cell>
          <cell r="C964" t="str">
            <v>hexa-1,6-diyl diisocyanide</v>
          </cell>
          <cell r="D964">
            <v>1</v>
          </cell>
        </row>
        <row r="965">
          <cell r="B965" t="str">
            <v>14263-59-3</v>
          </cell>
          <cell r="C965" t="str">
            <v>Potassium tetrakis(cyano-C)aurate ; Potassium gold(III) cyanide</v>
          </cell>
          <cell r="D965">
            <v>1</v>
          </cell>
        </row>
        <row r="966">
          <cell r="B966" t="str">
            <v>14459-95-1</v>
          </cell>
          <cell r="C966" t="str">
            <v>Potassium ferrocyanide trihydrate</v>
          </cell>
          <cell r="D966">
            <v>1</v>
          </cell>
        </row>
        <row r="967">
          <cell r="B967" t="str">
            <v>19158-51-1</v>
          </cell>
          <cell r="C967" t="str">
            <v>(4-Methylphenyl)sulfonyl cyanide ; 4-Toluenesulfonyl cyanide</v>
          </cell>
          <cell r="D967">
            <v>1</v>
          </cell>
        </row>
        <row r="968">
          <cell r="B968" t="str">
            <v>534-16-7</v>
          </cell>
          <cell r="C968" t="str">
            <v>Silver carbonate</v>
          </cell>
          <cell r="D968">
            <v>1</v>
          </cell>
        </row>
        <row r="969">
          <cell r="B969" t="str">
            <v>7440-22-4</v>
          </cell>
          <cell r="C969" t="str">
            <v>Silver</v>
          </cell>
          <cell r="D969">
            <v>1</v>
          </cell>
        </row>
        <row r="970">
          <cell r="B970" t="str">
            <v>7761-88-8</v>
          </cell>
          <cell r="C970" t="str">
            <v>Silver nitrate</v>
          </cell>
          <cell r="D970">
            <v>1</v>
          </cell>
        </row>
        <row r="971">
          <cell r="B971" t="str">
            <v>7783-89-3</v>
          </cell>
          <cell r="C971" t="str">
            <v>Silver bromate</v>
          </cell>
          <cell r="D971">
            <v>1</v>
          </cell>
        </row>
        <row r="972">
          <cell r="B972" t="str">
            <v>7783-99-5</v>
          </cell>
          <cell r="C972" t="str">
            <v>Silver nitrite</v>
          </cell>
          <cell r="D972">
            <v>1</v>
          </cell>
        </row>
        <row r="973">
          <cell r="B973" t="str">
            <v>10294-26-5</v>
          </cell>
          <cell r="C973" t="str">
            <v>Disilver(1+) sulfate</v>
          </cell>
          <cell r="D973">
            <v>1</v>
          </cell>
        </row>
        <row r="974">
          <cell r="B974" t="str">
            <v>20667-12-3</v>
          </cell>
          <cell r="C974" t="str">
            <v>Disilver oxide</v>
          </cell>
          <cell r="D974">
            <v>1</v>
          </cell>
        </row>
        <row r="975">
          <cell r="B975" t="str">
            <v>154339-84-1</v>
          </cell>
          <cell r="C975" t="str">
            <v>Silver sodium zirconium phosphate</v>
          </cell>
          <cell r="D975">
            <v>1</v>
          </cell>
        </row>
        <row r="976">
          <cell r="B976" t="str">
            <v>354-33-6</v>
          </cell>
          <cell r="C976" t="str">
            <v>HFC-125</v>
          </cell>
          <cell r="D976">
            <v>1</v>
          </cell>
        </row>
        <row r="977">
          <cell r="B977" t="str">
            <v>359-35-3</v>
          </cell>
          <cell r="C977" t="str">
            <v xml:space="preserve">HFC-134 </v>
          </cell>
          <cell r="D977">
            <v>1</v>
          </cell>
        </row>
        <row r="978">
          <cell r="B978" t="str">
            <v>75-10-5</v>
          </cell>
          <cell r="C978" t="str">
            <v>HFC-32</v>
          </cell>
          <cell r="D978">
            <v>1</v>
          </cell>
        </row>
        <row r="979">
          <cell r="B979" t="str">
            <v>75-37-6</v>
          </cell>
          <cell r="C979" t="str">
            <v>HFC-152a</v>
          </cell>
          <cell r="D979">
            <v>1</v>
          </cell>
        </row>
        <row r="980">
          <cell r="B980" t="str">
            <v>75-46-7</v>
          </cell>
          <cell r="C980" t="str">
            <v>HFC-23</v>
          </cell>
          <cell r="D980">
            <v>1</v>
          </cell>
        </row>
        <row r="981">
          <cell r="B981" t="str">
            <v>406-58-6</v>
          </cell>
          <cell r="C981" t="str">
            <v>HFC-365mfc</v>
          </cell>
          <cell r="D981">
            <v>1</v>
          </cell>
        </row>
        <row r="982">
          <cell r="B982" t="str">
            <v>420-46-2</v>
          </cell>
          <cell r="C982" t="str">
            <v>HFC-143a</v>
          </cell>
          <cell r="D982">
            <v>1</v>
          </cell>
        </row>
        <row r="983">
          <cell r="B983" t="str">
            <v>430-66-0</v>
          </cell>
          <cell r="C983" t="str">
            <v>HFC-143</v>
          </cell>
          <cell r="D983">
            <v>1</v>
          </cell>
        </row>
        <row r="984">
          <cell r="B984" t="str">
            <v>431-63-0</v>
          </cell>
          <cell r="C984" t="str">
            <v>HFC-236ea</v>
          </cell>
          <cell r="D984">
            <v>1</v>
          </cell>
        </row>
        <row r="985">
          <cell r="B985" t="str">
            <v>431-89-0</v>
          </cell>
          <cell r="C985" t="str">
            <v xml:space="preserve">HFC-227ea </v>
          </cell>
          <cell r="D985">
            <v>1</v>
          </cell>
        </row>
        <row r="986">
          <cell r="B986" t="str">
            <v>460-73-1</v>
          </cell>
          <cell r="C986" t="str">
            <v>HFC-245fa</v>
          </cell>
          <cell r="D986">
            <v>1</v>
          </cell>
        </row>
        <row r="987">
          <cell r="B987" t="str">
            <v>593-53-3</v>
          </cell>
          <cell r="C987" t="str">
            <v>HFC-41</v>
          </cell>
          <cell r="D987">
            <v>1</v>
          </cell>
        </row>
        <row r="988">
          <cell r="B988" t="str">
            <v>677-56-5</v>
          </cell>
          <cell r="C988" t="str">
            <v xml:space="preserve">HFC-236cb </v>
          </cell>
          <cell r="D988">
            <v>1</v>
          </cell>
        </row>
        <row r="989">
          <cell r="B989" t="str">
            <v>679-86-7</v>
          </cell>
          <cell r="C989" t="str">
            <v>HFC-245ca</v>
          </cell>
          <cell r="D989">
            <v>1</v>
          </cell>
        </row>
        <row r="990">
          <cell r="B990" t="str">
            <v>690-39-1</v>
          </cell>
          <cell r="C990" t="str">
            <v>HFC-236fa</v>
          </cell>
          <cell r="D990">
            <v>1</v>
          </cell>
        </row>
        <row r="991">
          <cell r="B991" t="str">
            <v>811-97-2</v>
          </cell>
          <cell r="C991" t="str">
            <v>HFC-134a</v>
          </cell>
          <cell r="D991">
            <v>1</v>
          </cell>
        </row>
        <row r="992">
          <cell r="B992" t="str">
            <v>138495-42-8</v>
          </cell>
          <cell r="C992" t="str">
            <v>HFC-43-10mee</v>
          </cell>
          <cell r="D992">
            <v>1</v>
          </cell>
        </row>
        <row r="993">
          <cell r="B993" t="str">
            <v>75-73-0</v>
          </cell>
          <cell r="C993" t="str">
            <v>Perfluoromethane</v>
          </cell>
          <cell r="D993">
            <v>1</v>
          </cell>
        </row>
        <row r="994">
          <cell r="B994" t="str">
            <v>76-16-4</v>
          </cell>
          <cell r="C994" t="str">
            <v>Perfluoroethane (R-125)</v>
          </cell>
          <cell r="D994">
            <v>1</v>
          </cell>
        </row>
        <row r="995">
          <cell r="B995" t="str">
            <v>76-19-7</v>
          </cell>
          <cell r="C995" t="str">
            <v>Perfluoropropane</v>
          </cell>
          <cell r="D995">
            <v>1</v>
          </cell>
        </row>
        <row r="996">
          <cell r="B996" t="str">
            <v>115-25-3</v>
          </cell>
          <cell r="C996" t="str">
            <v>Perfluorocyclobutane</v>
          </cell>
          <cell r="D996">
            <v>1</v>
          </cell>
        </row>
        <row r="997">
          <cell r="B997" t="str">
            <v>355-25-9</v>
          </cell>
          <cell r="C997" t="str">
            <v>Perfluorobutane</v>
          </cell>
          <cell r="D997">
            <v>1</v>
          </cell>
        </row>
        <row r="998">
          <cell r="B998" t="str">
            <v>355-42-0</v>
          </cell>
          <cell r="C998" t="str">
            <v>Perfluorohexane</v>
          </cell>
          <cell r="D998">
            <v>1</v>
          </cell>
        </row>
        <row r="999">
          <cell r="B999" t="str">
            <v>678-26-2</v>
          </cell>
          <cell r="C999" t="str">
            <v>Perfluoropentane</v>
          </cell>
          <cell r="D999">
            <v>1</v>
          </cell>
        </row>
      </sheetData>
      <sheetData sheetId="34" refreshError="1"/>
      <sheetData sheetId="35" refreshError="1"/>
      <sheetData sheetId="36" refreshError="1">
        <row r="1">
          <cell r="B1" t="str">
            <v>CAS No</v>
          </cell>
          <cell r="C1" t="str">
            <v>일반명</v>
          </cell>
          <cell r="D1" t="str">
            <v>규제번호</v>
          </cell>
          <cell r="E1" t="str">
            <v>함량기준설명</v>
          </cell>
          <cell r="F1" t="str">
            <v>함량기준수치</v>
          </cell>
          <cell r="G1" t="str">
            <v>취급정보</v>
          </cell>
        </row>
        <row r="2">
          <cell r="B2" t="str">
            <v>1313-60-6</v>
          </cell>
          <cell r="C2" t="str">
            <v>과산화 나트륨</v>
          </cell>
          <cell r="D2" t="str">
            <v>97-1-1</v>
          </cell>
          <cell r="E2" t="str">
            <v>및 이를 5% 이상 함유한 혼합물질</v>
          </cell>
          <cell r="F2">
            <v>5</v>
          </cell>
          <cell r="G2" t="str">
            <v>- 강산(염산, 황산, 질산), 물, 분말상의 금속, 유기 또는 산화성물질과 격리할 것
- 단단히 밀봉하여 서늘하고 통풍이 잘되는 장소 저장할 것
- 열, 스파크, 화염과 격리할 것
- 용기가 가열되면 폭발할 수 있음
- 작업시는 국소배기장치 가동하거나 호흡용보호구를 착용할 것
- 취급 후, 손을 철저하게 세척할 것</v>
          </cell>
        </row>
        <row r="3">
          <cell r="B3" t="str">
            <v>7722-84-1</v>
          </cell>
          <cell r="C3" t="str">
            <v>과산화수소</v>
          </cell>
          <cell r="D3" t="str">
            <v>97-1-2</v>
          </cell>
          <cell r="E3" t="str">
            <v>및 이를 6% 이상 함유한 혼합물질</v>
          </cell>
          <cell r="F3">
            <v>6</v>
          </cell>
          <cell r="G3" t="str">
            <v>- 가벼운 플라스틱 병에 밀봉하여 보관하며 35℃ 이하 장소 보관할 것
- 다 쓴 용기는 깨끗한 물로 철저히 씻어 놓을 것
- 원래의 용기에서 분리되어 사용된 과산화수소를 다시 원용기로 되돌려 놓지 말 것 저장 용기는 열, 직사광선, 가연성 물질로부터 격리 보관할 것
- 취급 또는 작업 시는 통풍이 잘 되는 후드에서 행하고 보호복, 고무장갑, 보호안경을 착용할 것
- 노출기준 이상에서는 자급식호흡보호구를 착용할 것
- 서늘한 장소에 보관할 것
- 피부와의 접촉 시 즉시 제조자에 의해 지정된 물질로 충분히 씻어 낼 것
- 적절한 보호복 및 안면 보호구를 착용할 것
- 빈 용기에는 잔류물(증기, 액체 및 고체)이 있을 수 있으므로, 취급시 예방절차 준수할 것
- 사고대비물질(이를 35% 이상 함유한 혼합물질)</v>
          </cell>
        </row>
        <row r="4">
          <cell r="B4" t="str">
            <v>124-43-6</v>
          </cell>
          <cell r="C4" t="str">
            <v>과산화 우레아</v>
          </cell>
          <cell r="D4" t="str">
            <v>97-1-3</v>
          </cell>
          <cell r="E4" t="str">
            <v>및 17% 이상 함유한 혼합물</v>
          </cell>
          <cell r="F4">
            <v>17</v>
          </cell>
          <cell r="G4" t="str">
            <v>- 통풍이 잘되는 그늘 및 서늘한 곳에 밀폐 보관할 것
- 열, 스파크, 화염과 격리할 것
- 60℃ 이하의 온도로 보관할 것
- 식료품, 사료, 의약품, 그늘 및 서늘한 곳과 혼합저장 금지할 것
- 필요에 따라 국소배기장치 가동할 것
- 저장용기는 물리적인 손상에 견딜 수 있을 것
- 사고발생에 대비하여 눈이나 몸을 씻을 수 있는 세안시설과 샤워시설이 이용 가능한 장소에서 작업할 것
- 사용한 후 식사, 흡연, 화장실에 가기 전에 물과 비누로 손을 꼭 세척할 것
- 호흡보호구, 보안경, 보호장갑(고무 또는 네오프렌 재질)을 반드시 사용할 것
- 콘택트렌즈를 착용금지
- 통풍장치 가동할 것</v>
          </cell>
        </row>
        <row r="5">
          <cell r="B5" t="str">
            <v>13516-27-3</v>
          </cell>
          <cell r="C5" t="str">
            <v>구아자틴</v>
          </cell>
          <cell r="D5" t="str">
            <v>97-1-4</v>
          </cell>
          <cell r="E5" t="str">
            <v>및 그 중 하나를 구아자틴으로서 3.5% 이상 함유한 혼합물질</v>
          </cell>
          <cell r="F5">
            <v>3.5</v>
          </cell>
          <cell r="G5" t="str">
            <v>- 통풍이 잘되는 그늘 및 서늘한 곳에 밀폐 보관할 것
- 저장용기는 물리적인 손상에 견딜 수 있어야 할 것
- 필요에 따라 국소배기장치 가동할 것
- 취급 시 피부접촉을 피하고 보호의, 보안경, 보호장갑을 착용할 것
- 취급 시 양압자급식호흡용보호장비를 착용할 것
- 취급 시 콘택트렌즈를 착용금지할 것</v>
          </cell>
        </row>
        <row r="6">
          <cell r="B6" t="str">
            <v>108173-90-6</v>
          </cell>
          <cell r="D6" t="str">
            <v>97-1-4</v>
          </cell>
          <cell r="E6" t="str">
            <v>및 그 중 하나를 구아자틴으로서 3.5% 이상 함유한 혼합물질</v>
          </cell>
          <cell r="F6">
            <v>3.5</v>
          </cell>
          <cell r="G6" t="str">
            <v>- 통풍이 잘되는 그늘 및 서늘한 곳에 밀폐 보관할 것
- 저장용기는 물리적인 손상에 견딜 수 있어야 할 것
- 필요에 따라 국소배기장치 가동할 것
- 취급 시 피부접촉을 피하고 보호의, 보안경, 보호장갑을 착용할 것
- 취급 시 양압자급식호흡용보호장비를 착용할 것
- 취급 시 콘택트렌즈를 착용금지할 것</v>
          </cell>
        </row>
        <row r="7">
          <cell r="B7" t="str">
            <v>57520-17-9</v>
          </cell>
          <cell r="C7" t="str">
            <v>구아자틴염류</v>
          </cell>
          <cell r="D7" t="str">
            <v>97-1-4</v>
          </cell>
          <cell r="E7" t="str">
            <v>및 그 중 하나를 구아자틴으로서 3.5% 이상 함유한 혼합물질</v>
          </cell>
          <cell r="F7">
            <v>3.5</v>
          </cell>
          <cell r="G7" t="str">
            <v>- 통풍이 잘되는 그늘 및 서늘한 곳에 밀폐 보관할 것
- 저장용기는 물리적인 손상에 견딜 수 있어야 할 것
- 필요에 따라 국소배기장치 가동할 것
- 취급 시 피부접촉을 피하고 보호의, 보안경, 보호장갑을 착용할 것
- 취급 시 양압자급식호흡용보호장비를 착용할 것
- 취급 시 콘택트렌즈를 착용금지할 것</v>
          </cell>
        </row>
        <row r="8">
          <cell r="B8" t="str">
            <v>111-30-8</v>
          </cell>
          <cell r="C8" t="str">
            <v>글루타르알데히드</v>
          </cell>
          <cell r="D8" t="str">
            <v>97-1-5</v>
          </cell>
          <cell r="E8" t="str">
            <v>및 이를 25% 이상 함유한 혼합물질.</v>
          </cell>
          <cell r="F8">
            <v>25</v>
          </cell>
          <cell r="G8" t="str">
            <v>- 고체나 용액 상태로 운반할 것
- 물리적 손상으로부터 용기/실린더를 보호할 것
- 통풍이 잘되는 그늘 및 서늘한 곳 보관할 것
- 발화원 및 강산화제(염소, 브롬, 불소), 강산(염산, 황산,질산), 강염기(수산화나트륨, 수산화칼륨)와 분리 보관할 것
- 취급 또는 작업시는 통풍이 잘 되는 후드에서 행하고, 고무나 네오프렌 재질의 장갑과 앞치마, 보안경, 호흡보호구를 착용하여 단기적인 접촉 및 반복적이고 장기적인 노출을 피할 것
- 노출기준 이상에서는 호흡보호구를 착용할 것</v>
          </cell>
        </row>
        <row r="9">
          <cell r="B9" t="str">
            <v>106-90-1</v>
          </cell>
          <cell r="C9" t="str">
            <v>글리시딜 아크릴산</v>
          </cell>
          <cell r="D9" t="str">
            <v>97-1-6</v>
          </cell>
          <cell r="E9" t="str">
            <v>및 이를 25% 이상 함유한 혼합물질</v>
          </cell>
          <cell r="F9">
            <v>25</v>
          </cell>
          <cell r="G9" t="str">
            <v>- 통풍이 잘 되는 그늘 및 서늘한 곳에 밀폐 보관할 것
- 단량체는 비활성의 대기보다는 공기 중에서 보관할 것
- 온도를 낮게 유지해 주어 과산화물이나 다른 물질의 생성을 최소화할 것
- 아크릴 에스테르는 스테인레스나 알루미늄 용기에 보관할 것 물리적인 손상을 견딜 수 있어야 할 것
- 필요에 따라 국소배기장치 가동할 것
- 혼합금지물질 및 점화원을 격리할 것
- 취급시 피부접촉을 피하고 보호의, 보안경, 보호장갑, 튐방지 보안경을 착용할 것
- 취급시 양압자급식호흡용보호장비를 착용할 것
- 취급시 콘택트렌즈를 착용 금지할 것
- 화학물질 흄 후드 내에서 취급할 것</v>
          </cell>
        </row>
        <row r="10">
          <cell r="B10" t="str">
            <v>7440-23-5</v>
          </cell>
          <cell r="C10" t="str">
            <v>나트륨</v>
          </cell>
          <cell r="D10" t="str">
            <v>97-1-7</v>
          </cell>
          <cell r="E10" t="str">
            <v>및 이를 25% 이상 함유한 혼합물질</v>
          </cell>
          <cell r="F10">
            <v>25</v>
          </cell>
          <cell r="G10" t="str">
            <v>- 물, 할로겐화 탄화수소, 인 또는 인 화합물, 황 또는 황 화합물과 격리 저장할 것
- 저장용기는 질소가스로 충전시킬 수 있고, 케로신, 나프타 등의 물질에 저장하는 경우 나트륨의 표면이 완전히 잠기게 할 것
- 통풍이 잘되는 그늘 및 서늘한 곳에 밀폐 보관할 것
- 저장용기는 물리적인 손상에 견딜 수 있어야 할 것
- 저장소에 충분한 열을 공급하여 대기상의 습기가 응축되지 않도록 할 것
- 사고발생에 대비하여 눈이나 몸을 씻을 수 있는 세안시설과 샤워시설이 이용 가능한 장소에서 작업할 것
- 사용한 후 식사, 흡연, 화장실에 가기 전에 물과 비누로 손을 꼭 세척할 것
- 호흡용보호구, 전면보호구, 보안경, 고무장갑을 반드시 착용할 것
- 분진제거 시 절대로 쓸지 말 것
- 콘택트렌즈를 착용 금지할 것
- 국소배기장치 가동할 것
- 가압, 절단, 용접, 납땜, 연마, 천공을 해서는 안 되며, 열, 스파크, 화염에 빈 용기를 노출시키지 말 것
- 사고대비물질(이를 25% 이상 함유한 혼합물질)</v>
          </cell>
        </row>
        <row r="11">
          <cell r="B11" t="str">
            <v>300-76-5</v>
          </cell>
          <cell r="C11" t="str">
            <v>날레드</v>
          </cell>
          <cell r="D11" t="str">
            <v>97-1-8</v>
          </cell>
          <cell r="E11" t="str">
            <v>및 이를 1% 이상 함유한 혼합물질</v>
          </cell>
          <cell r="F11">
            <v>1</v>
          </cell>
          <cell r="G11" t="str">
            <v>- 저장용기는 물리적인 손상에 견딜 수 있을 것
- 금속 드럼통이나 입구가 2~3 인치를 넘지 않는 병에 보관할 것
- 서늘하고 통풍이 잘되며 물, 그늘 및 서늘한 곳, 직사광선 등 분해를 일으킬 수 있는 물질들과 격리된 장소에 밀봉 저장할 것
- 취급 또는 작업 시는 통풍이 잘 되는 후드에서 행하고 내산성보호의, 고무장갑, 고무앞치마, 산성가스 카트리지가 장착된 전면 호흡용보호구를 착용하여 단기적인 접촉 및 반복적이고 장기적인 노출을 피할 것
- 적절한 보호복과 보호 장갑을 착용할 것
- 환경에 배출을 피할 것
- 노출기준 이상에서는 호흡보호구를 착용할 것</v>
          </cell>
        </row>
        <row r="12">
          <cell r="B12" t="str">
            <v>7439-92-1</v>
          </cell>
          <cell r="C12" t="str">
            <v>납</v>
          </cell>
          <cell r="D12" t="str">
            <v>06-5-8</v>
          </cell>
          <cell r="E12" t="str">
            <v>및 이를 0.06% 이상 함유한 혼합물질</v>
          </cell>
          <cell r="F12">
            <v>0.06</v>
          </cell>
          <cell r="G12" t="str">
            <v>- 열원, 습기, 산, 산성 흄 또는 산화제와 격리 저장할 것
- 서늘하고 통풍이 잘되는 곳에 밀폐 보관할 것
- 저장용기는 물리적인 손상에 견딜 수 있어야 할 것
- 과염소산염, 과산화물, 과망간산염, 염소산염, 질산염 등의 염산, 황산, 질산 등의 강산, 칼륨, 나트륨, 마그네슘, 아연 등의 화학적으로 활성인 금속과 격리하고 빛을 피해 저장할 것 (① Lead  acetate)
- 사고발생에 대비하여 눈이나 몸을 씻을 수 있는 세안시설과 샤워시설이 이용 가능한 장소에서 작업(단, 사워시설은 신속하게 이동 가능한 격리된 곳에 설치)
- 취급 또는 작업 시는 통풍이 잘되는 후드에서 행하고 불 침투성 바닥, 독성 흄 응축장치, 분말제거장치를 구비할 것
- 호흡보호구, 전면보호구, 내산성장갑, 고효율의 입자필터가 장착된 안면보호구, 보안경을 반드시 사용할 것
- 납중독을 예방하기 위해 티아민 등을 사용할 것
- 콘택트렌즈를 착용 금지할 것
- 국소배기장치 가동할 것</v>
          </cell>
        </row>
        <row r="13">
          <cell r="B13" t="str">
            <v>13463-39-3</v>
          </cell>
          <cell r="C13" t="str">
            <v>니켈 카르보닐</v>
          </cell>
          <cell r="D13" t="str">
            <v>97-1-10</v>
          </cell>
          <cell r="E13" t="str">
            <v>및 이를 0.1% 이상 함유한 혼합물질</v>
          </cell>
          <cell r="F13">
            <v>0.1</v>
          </cell>
          <cell r="G13" t="str">
            <v>- 저장용기는 물리적인 손상에 견딜 수 있을 것
- 건조하고 통풍이 잘 되는 그늘 및 서늘한 곳에 격리 보관할 것
- 쉽게 반응하는 물질 및 산화제와 분리하여 저장(화재, 폭발 위험성)할 것
- 식료품, 사료, 의약품, 그늘 및 서늘한 곳과 혼합저장 금지할 것
- 필요에 따라 국소배기장치 가동할 것
- 취급  또는  작업  시는  자급식호흡용보호구를 착용하고 보호의와 PVC  재질의 장갑(고무재질 불가)을 착용하여 단기적인 접촉 및 반복적이고 장기적인 노출을 피할 것
- 화학물질 흄 후드 내에서 취급할 것</v>
          </cell>
        </row>
        <row r="14">
          <cell r="B14" t="str">
            <v>54-11-5</v>
          </cell>
          <cell r="C14" t="str">
            <v>니코틴</v>
          </cell>
          <cell r="D14" t="str">
            <v>97-1-11</v>
          </cell>
          <cell r="E14" t="str">
            <v>및 그 중 하나를 1% 이상 함유한 혼합물질</v>
          </cell>
          <cell r="F14">
            <v>1</v>
          </cell>
          <cell r="G14" t="str">
            <v>- 통풍이 잘 되는 그늘 및 서늘한 곳에 밀폐 보관할 것
- 식료품, 사료, 의약품, 그늘 및 서늘한 곳, 강산화제, 강산과 혼합저장 금지할 것
- 필요에 따라 국소배기장치를 설치하여 환기할 것
- 발화원과 격리할 것
- 보호장비(고무제)없이 액체와 접촉을 절대적으로 피하며 단기적인 접촉 및 반복적이고 장기적인 노출을 피할 것
- 적절한 보호복과 보호장갑을 착용할 것
- 취급 후, 손을 철저하게 세척할 것
- 적절한 환기장치 사용할 것
- 물질을 이동시킬 때 용기를 땅에 밀착하여 이동할 것
- 스파크를 막는 기계와 폭발을 막는 장치 사용할 것</v>
          </cell>
        </row>
        <row r="15">
          <cell r="B15" t="str">
            <v>65-31-6</v>
          </cell>
          <cell r="C15" t="str">
            <v>니코틴 염류</v>
          </cell>
          <cell r="D15" t="str">
            <v>97-1-11</v>
          </cell>
          <cell r="E15" t="str">
            <v>및 그 중 하나를 1% 이상 함유한 혼합물질</v>
          </cell>
          <cell r="F15">
            <v>1</v>
          </cell>
          <cell r="G15" t="str">
            <v>- 통풍이 잘 되는 그늘 및 서늘한 곳에 밀폐 보관할 것
- 식료품, 사료, 의약품, 그늘 및 서늘한 곳, 강산화제, 강산과 혼합저장 금지할 것
- 필요에 따라 국소배기장치를 설치하여 환기할 것
- 발화원과 격리할 것
- 보호장비(고무제)없이 액체와 접촉을 절대적으로 피하며 단기적인 접촉 및 반복적이고 장기적인 노출을 피할 것
- 적절한 보호복과 보호장갑을 착용할 것
- 취급 후, 손을 철저하게 세척할 것
- 적절한 환기장치 사용할 것
- 물질을 이동시킬 때 용기를 땅에 밀착하여 이동할 것
- 스파크를 막는 기계와 폭발을 막는 장치 사용할 것</v>
          </cell>
        </row>
        <row r="16">
          <cell r="B16" t="str">
            <v>98-95-3</v>
          </cell>
          <cell r="C16" t="str">
            <v>니트로벤젠</v>
          </cell>
          <cell r="D16" t="str">
            <v>97-1-12</v>
          </cell>
          <cell r="E16" t="str">
            <v>및 이를 85% 이상 함유한 혼합물질, 유기용제인 경우 85% 이상 함유한 혼합물질</v>
          </cell>
          <cell r="F16">
            <v>85</v>
          </cell>
          <cell r="G16" t="str">
            <v>- 건조하고 통풍이 잘 되는 그늘 및 서늘한 곳에 밀폐 보관
- 식료품, 사료, 의약품, 그늘 및 서늘한 곳과 혼합저장 금지할 것
- 필요에 따라 국소배기장치 가동할 것
- 가연성, 환원성 물질, 강산화제, 강산으로부터 격리 저장할 것
- 취급 또는 작업 시는 통풍이 잘 되는 후드에서 행하고 고글형보안경, 보호의, 고무장갑, 고무앞치마, 양압자급식호흡용보호구를 착용하여 단기적인 접촉 및 반복적이고 장기적인 노출을 피할 것
- 증류 시에 폭발할 수 있으므로 완전히 증발시키지 말 것
- 취급 후, 손을 철저하게 세척할 것
- 물질을 이동시킬 때 용기를 땅에 밀착하여 이동할 것
- 스파크를 막는 기계와 폭발을 막는 장치 사용할 것
- 가압, 절단, 용접, 납땜, 연마, 천공을 해서는 안 되며, 빈 용기에는 잔류물이 있을 수 있어 위험하므로 열,  스파크, 화염에 노출시키지 말 것
- 용기를 완전히 밀폐할 것
- 사고대비물질(이를 25% 이상 함유한 혼합물질)</v>
          </cell>
        </row>
        <row r="17">
          <cell r="B17" t="str">
            <v>1754-58-1</v>
          </cell>
          <cell r="C17" t="str">
            <v>다이아미다포스</v>
          </cell>
          <cell r="D17" t="str">
            <v>97-1-13</v>
          </cell>
          <cell r="E17" t="str">
            <v>및 이를 1% 이상 함유한 혼합물질</v>
          </cell>
          <cell r="F17">
            <v>1</v>
          </cell>
          <cell r="G17" t="str">
            <v>- 저장용기는 물질적인 손상에 견딜 수 있어야 함
- 서늘하고 통풍이 잘되며 격리된 장소에 밀봉 저장할 것
- 쉽게 반응하는 물질 및 산화제와 분리하여 저장(화재, 폭발, 위험성)할 것
- 취급 또는 작업시는 자급식 호흡용보호구를 착용하고, 보호의, PVC 제 장갑(고무제 불가)을 착용하여 단기적인 접촉 및 반복적이고 장기적인 노출을 피할 것
- 화학물질 흄 후드 내에서 취급할 것</v>
          </cell>
        </row>
        <row r="18">
          <cell r="B18" t="str">
            <v>333-41-5</v>
          </cell>
          <cell r="C18" t="str">
            <v>다이아지논</v>
          </cell>
          <cell r="D18" t="str">
            <v>97-1-14</v>
          </cell>
          <cell r="E18" t="str">
            <v>및 이를 1% 이상 함유한 혼합물질</v>
          </cell>
          <cell r="F18">
            <v>1</v>
          </cell>
          <cell r="G18" t="str">
            <v>- 통풍이 잘되는 그늘 및 서늘한 곳에 밀폐 보관할 것
- 가능하면 저장고에서 반응용기로 담을 것
- 필요에 따라 국소배기장치 가동할 것
- 취급 시 피부접촉을 피하고 보호의, 보안경, 보호장갑을 착용할 것
- 취급 시 양압자급식호흡용보호장비를 착용할 것
- 취급 시 콘택트렌즈를 착용금지할 것
- 화학물질 흄 후드 내에서 취급할 것</v>
          </cell>
        </row>
        <row r="19">
          <cell r="B19" t="str">
            <v>80060-09-9</v>
          </cell>
          <cell r="C19" t="str">
            <v>다이아펜티유론</v>
          </cell>
          <cell r="D19" t="str">
            <v>97-1-15</v>
          </cell>
          <cell r="E19" t="str">
            <v>및 이를 25% 이상 함유한 혼합물질</v>
          </cell>
          <cell r="F19">
            <v>25</v>
          </cell>
          <cell r="G19" t="str">
            <v>- 통풍이 잘되는 그늘 및 서늘한 곳에 밀폐 보관할 것</v>
          </cell>
        </row>
        <row r="20">
          <cell r="B20" t="str">
            <v>10311-84-9</v>
          </cell>
          <cell r="C20" t="str">
            <v>다이알리포스</v>
          </cell>
          <cell r="D20" t="str">
            <v>97-1-16,06-4-2</v>
          </cell>
          <cell r="E20" t="str">
            <v>및 이를 1% 이상 함유한 혼합물질</v>
          </cell>
          <cell r="F20">
            <v>1</v>
          </cell>
          <cell r="G20" t="str">
            <v>- 취급 또는 작업시는 통풍이 잘 되는 후드에서 행하고 보호의, 고무장갑(또는 네오프렌 장갑), 고무앞치마, 양압자급식호흡용보호구를 착용하여 단기적인 접촉 및 반복적이고 장기적인 노출을 피할 것
- 노출기준 이상에서는 호흡보호구를 착용할 것
- 사용한 용기는 물과 표백제로 닦거나, 24 시간동안 알칼리성용액에 담근 후 뜨거운 물로 헹굴 것
- 가죽으로 만든 보호의, 장갑, 앞치마는 사용 금지할 것
- 눈에 들어갔을 때는 눈꺼풀을 가끔씩 깜박이면서 다량의 물로 적어도 20 분이상 세척할 것 의사의 검진을 받을 것
- 작업시에는 콘택트렌즈를 뺄 것
- 흡입했을 때는 즉시 환자를 신선한 공기가 있는 장소로 옮기고 의사의 검진을 구할 것 구강 대 구강 인공호흡법을 사용하지 말고, 호흡용 기구(예:  pocket  mask)를 이용할 것 환자가 호흡이 곤란하면 산소를 공급해 줄 것
- 피부에 접촉했을 때는 즉시 오염된 의복을 벗길 것
- 오염물이 피부에서 확산되지 않게 할 것, 물과 비누로 씻은 다음, 95% 에탄올로 닦아 내고, 다시 물과 비누로 씻어낼 것, 자극이 지속되면 의사의 검진을 받을 것
- 삼켰을 때는 즉시 의사의 검진을 받을 것
- 구토를 시키지 말 것
- 활성탄 슬러리(charcoal  slurry)를 물에 섞거나, 하제(salilne cathartic, 설사약) 또는 솔비톨(sorbitol, 35% 희석액)을 섞어서 위세척할 것(활성탄소량은 성인 :  50~100g, 아동 :1.0~1.5g/kg, 한번에 50g 을 넘지 않도록 할 것)할것 하제 대신 황산나트륨(또는 마그네슘)(12 세 이상 :  20~30g, 12 세 이하 :  250mg/kg), 시트르산 마그네슘(4ml/kg, 한번에 300ml 을 넘지 않도록 할 것)도 사용이 가능함
- 중독증세가 심각하지 않으면 효과가 나타날 때까지 아트로핀을 정맥이나 근육에 주사할 것(성인 : 10~15 분당 0.4~2.0mg, 아동 :  10~15 분당 0.02~0.05mg/kg)
- 작업장 부근에 비상시를 대비하여 샤워시설 및 세안시설을 갖출 것
- 취급금지물질(이를 1% 이상 함유한 혼합물질)</v>
          </cell>
        </row>
        <row r="21">
          <cell r="B21" t="str">
            <v>31512-74-0</v>
          </cell>
          <cell r="C21" t="str">
            <v>더불유에스시피</v>
          </cell>
          <cell r="D21" t="str">
            <v>97-1-17</v>
          </cell>
          <cell r="E21" t="str">
            <v>및 이를 1% 이상 함유한 혼합물질</v>
          </cell>
          <cell r="F21">
            <v>1</v>
          </cell>
          <cell r="G21" t="str">
            <v>- 통풍이 잘되는 그늘 및 서늘한 곳에 밀폐 보관할 것
- 식료품, 사료, 의약품, 음식과 혼합저장 금지할 것
- 필요에 따라 국소배기장치 가동할 것
- 저장용기는 물리적인 손상에 견딜 수 있어야 할 것
- 사고발생에 대비하여 눈이나 몸을 씻을 수 있는 세안시설과 샤워시설이 이용 가능한 장소에서 작업할 것
- 사용한 후 식사, 흡연, 화장실에 가기 전에 물과 비누로 손을 꼭 세척할 것
- 호흡용보호구, 보안경, 보호장갑(고무 또는 네오프렌재질)을 반드시 사용할 것
- 콘택트렌즈를 착용금지할 것
- 통풍장치 가동할 것</v>
          </cell>
        </row>
        <row r="22">
          <cell r="B22" t="str">
            <v>52918-63-5</v>
          </cell>
          <cell r="C22" t="str">
            <v>데카메트린</v>
          </cell>
          <cell r="D22" t="str">
            <v>97-1-18</v>
          </cell>
          <cell r="E22" t="str">
            <v>및 이를 25% 이상 함유한 혼합물질</v>
          </cell>
          <cell r="F22">
            <v>25</v>
          </cell>
          <cell r="G22" t="str">
            <v>- 15~30℃ 온도에서 잘 밀봉된 용기에 보관할 것
- 사용 후 식사, 흡연, 배설하기 전에 물과 비누로 손을 꼭 세척할 것
- 피부가 노출되지 않도록 자급식호흡용보호구, 고무장갑, 장화 등을 사용할 것
- 고글형보안경을 반드시 착용할 것
- 탱크, 밀폐된 용기 안에 들어갈 경우 호흡기를 착용할 것
- 통풍장치 가동할 것
- 작업시는 콘택트렌즈를 착용금지할 것
- 화학물질 흄 후드 내에서 취급할 것</v>
          </cell>
        </row>
        <row r="23">
          <cell r="B23" t="str">
            <v>2439-10-3</v>
          </cell>
          <cell r="C23" t="str">
            <v>도딘</v>
          </cell>
          <cell r="D23" t="str">
            <v>97-1-19</v>
          </cell>
          <cell r="E23" t="str">
            <v>및 이를 25% 이상 함유한 혼합물질</v>
          </cell>
          <cell r="F23">
            <v>25</v>
          </cell>
          <cell r="G23" t="str">
            <v>- 사용하지 않을 때는 용기를 밀폐할 것
- 음식이나 사료 등과 격리하여 보관할 것
- 취급 또는 작업시는 보안경과 전면보호구, 고무장갑 등을 착용하여 단기적인 접촉 및 반복적이고 장기적인 노출을 피할 것
- 화학물질 흄 후드 내에서 취급할 것</v>
          </cell>
        </row>
        <row r="24">
          <cell r="B24" t="str">
            <v>5707-69-7</v>
          </cell>
          <cell r="C24" t="str">
            <v>드라족솔론</v>
          </cell>
          <cell r="D24" t="str">
            <v>97-1-20</v>
          </cell>
          <cell r="E24" t="str">
            <v>및 이를 1% 이상 함유한 혼합물질</v>
          </cell>
          <cell r="F24">
            <v>1</v>
          </cell>
          <cell r="G24" t="str">
            <v>- 통풍이 잘되는 그늘 및 서늘한 곳에 밀폐 보관할 것
- 저장용기는 물질적인 손상에 견딜 수 있어야 함
- 필요에 따라 국소배기장치 가동할 것
- 취급 시 피부접촉을 피하고 보호의, 보안경, 보호장갑을 착용할 것
- 취급 시 양압자급식호흡용보호장비를 착용할 것
- 취급 시 콘택트렌즈를 착용금지할 것</v>
          </cell>
        </row>
        <row r="25">
          <cell r="B25" t="str">
            <v>111-92-2</v>
          </cell>
          <cell r="C25" t="str">
            <v xml:space="preserve">디-n-부틸아민 </v>
          </cell>
          <cell r="D25" t="str">
            <v>97-1-21</v>
          </cell>
          <cell r="E25" t="str">
            <v>및 이를 25% 이상 함유한 혼합물질</v>
          </cell>
          <cell r="F25">
            <v>25</v>
          </cell>
          <cell r="G25" t="str">
            <v>- 서늘하고 통풍이 잘되는 그늘 및 서늘한 곳에 보관할 것
- 확실하게 밀폐된 용기에 저장할 것
- 산, 산성염화물(acid  chlorides), 산성알데히드(acid anhydrides), 이산화탄소, 강산화제로부터 격리 저장할 것
- 열, 화염과 격리할 것
- 용기 개폐시 스파크가 발생되지 않는 도구를 사용할 것
- 변이를 일으킬 수 있으므로 극히 주의할 것
- 화학물질의 외부 유출을 막기 위하여, 작업장을 외부와 차단시키고 국소배기장치 설치할 것
- 증상이 나타나거나 오염여부를 알아보려면 폐기능검사를 받을 것
- 정기적으로 노출여부를 알기 위한 검진을 받을 것
- 작업 후는 온몸을 깨끗이 씻은 뒤 충분한 휴식할 것
- 가압, 절단, 용접, 납땜, 연마, 천공을 해서는 안 되며, 빈 용기에는 잔류물이 있을 수 있어 위험하므로 열,  스파크, 화염에 노출시키지 말 것</v>
          </cell>
        </row>
        <row r="26">
          <cell r="B26" t="str">
            <v>131-89-5</v>
          </cell>
          <cell r="C26" t="str">
            <v>디넥스</v>
          </cell>
          <cell r="D26" t="str">
            <v>97-1-22</v>
          </cell>
          <cell r="E26" t="str">
            <v>및 이를 0.5% 이상 함유한 혼합물질</v>
          </cell>
          <cell r="F26">
            <v>0.5</v>
          </cell>
          <cell r="G26" t="str">
            <v>- 건조하고, 통풍이 잘되는 그늘 및 서늘한 곳에 밀폐 보관할 것
- 혼합금지물질 및 점화원을 격리할 것
- 피부가 노출되지 않도록 자급식호흡용보호구, 고무장갑, 장화 등이 필요할 것
- 통풍장치 가동할 것
- 탱크, 밀폐된 용기 안에 들어갈 경우 호흡기를 착용할 것
- 작업장 부근에 비상시를 대비하여 샤워시설 및 세안시설 구비할 것
- 사용한 후 식사, 흡연, 화장실에 가기 전에 물과 비누로 손을 꼭 세척할 것
- 화학물질 흄 후드 내에서 취급할 것</v>
          </cell>
        </row>
        <row r="27">
          <cell r="B27" t="str">
            <v>973-21-5</v>
          </cell>
          <cell r="C27" t="str">
            <v>디노브톤</v>
          </cell>
          <cell r="D27" t="str">
            <v>97-1-23</v>
          </cell>
          <cell r="E27" t="str">
            <v>및 이를 1% 이상 함유한 혼합물질</v>
          </cell>
          <cell r="F27">
            <v>1</v>
          </cell>
          <cell r="G27" t="str">
            <v>- 제제로 저장할 경우, 절대로 0℃이하로 두지 말 것
- 어둡고, 건조하고, 통풍이 잘 되는 그늘 및 서늘한 곳에 밀폐 보관할 것
- 혼합금지물질 및 점화원을 격리할 것
- 호흡용 보호구, 고무장갑을 반드시 사용할 것
- 통풍장치 가동할 것
- 사용한 후 식사, 흡연, 화장실 가기 전에 물과 비누로 손을 꼭 세척할 것
- 화학물질 흄 후드 내에서 취급할 것</v>
          </cell>
        </row>
        <row r="28">
          <cell r="B28" t="str">
            <v>88-85-7</v>
          </cell>
          <cell r="C28" t="str">
            <v>디노셉</v>
          </cell>
          <cell r="D28" t="str">
            <v>97-1-24</v>
          </cell>
          <cell r="E28" t="str">
            <v>및 이를 1% 이상 함유한 혼합물질</v>
          </cell>
          <cell r="F28">
            <v>1</v>
          </cell>
          <cell r="G28" t="str">
            <v>- 통풍이 잘 되는 그늘 및 서늘한 곳에서 비금속 용기에 넣어 밀폐 보관할 것
- 사용 후 장비를 잘 닦아놓을 것
- 작업시 자급식호흡용보호구를 착용할 것
- 화학물질 흄 후드내에서 취급할 것</v>
          </cell>
        </row>
        <row r="29">
          <cell r="B29" t="str">
            <v>39300-45-3</v>
          </cell>
          <cell r="C29" t="str">
            <v>디노캅</v>
          </cell>
          <cell r="D29" t="str">
            <v>97-1-25</v>
          </cell>
          <cell r="E29" t="str">
            <v>및 이를 1% 이상 함유한 혼합물질</v>
          </cell>
          <cell r="F29">
            <v>1</v>
          </cell>
          <cell r="G29" t="str">
            <v>- 서늘하고 건조하고 어두운 장소에서 밀폐된 용기나 실린더에 저장할 것
- 혼합금지물질 및 점화원을 격리할 것
- 물리적 손상으로부터 용기/실린더를 보호할 것
- 적절하고 인증된 안전 장비 사용할 것
- 화학물질 흄 후드 내에서 취급할 것</v>
          </cell>
        </row>
        <row r="30">
          <cell r="B30" t="str">
            <v>1420-07-1</v>
          </cell>
          <cell r="C30" t="str">
            <v>디노텁</v>
          </cell>
          <cell r="D30" t="str">
            <v>97-1-26</v>
          </cell>
          <cell r="E30" t="str">
            <v>및 이를 1% 이상 함유한 혼합물질</v>
          </cell>
          <cell r="F30">
            <v>1</v>
          </cell>
          <cell r="G30" t="str">
            <v>- 서늘하고 통풍이 잘되는 곳에 밀폐 보관할 것
- 사료, 의약품, 음식과 혼합저장 및 수송을 금지할 것
- 점화원을 피하고 하수구나 수도근처를 피할 것
- 사고발생에 대비하여 눈이나 몸을 씻을 수 있는 세안시설과 샤워시설이 이용 가능한 장소에서 작업할 것
- 사용한 후 식사, 흡연, 화장실에 가기 전에 물과 비누로 손을 꼭 세척할 것
- 자급식호흡용보호구, 보호의, 고무장갑을 반드시 사용할 것
- 통풍장치 가동할 것</v>
          </cell>
        </row>
        <row r="31">
          <cell r="B31" t="str">
            <v>50-29-3</v>
          </cell>
          <cell r="C31" t="str">
            <v>디디티</v>
          </cell>
          <cell r="D31" t="str">
            <v>97-1-27,06-4-3</v>
          </cell>
          <cell r="E31" t="str">
            <v>및 이를 1% 이상 함유한 혼합물질</v>
          </cell>
          <cell r="F31">
            <v>1</v>
          </cell>
          <cell r="G31" t="str">
            <v>- 통풍이 잘 되는 그늘 및 서늘한 곳에 밀폐 보관할 것
- 식료품, 시료, 의약품, 음식과 혼합저장 및 수송금지할 것 필요에 따라 국소배기장치 가동할 것
- 강염기, 철, 알루미늄염과 격리 저장할 것
- 취급 또는 작업시는 통풍이 잘 되는 후드에서 행하고 고글형 보안경, 내산성보호의, 고무장갑(또는 네오프렌 재질), 고무앞치마, 양압자급식호흡용보호구를 착용하여 단기적인 접촉 및 반복적이고 장기적인 노출을 피할 것
- 노출기준 이상에서는 호흡보호구를 착용할 것
- 취급금지물질(이를 1% 이상 함유한 혼합물질)</v>
          </cell>
        </row>
        <row r="32">
          <cell r="B32" t="str">
            <v>122-15-6</v>
          </cell>
          <cell r="C32" t="str">
            <v>디메탄</v>
          </cell>
          <cell r="D32" t="str">
            <v>97-1-28</v>
          </cell>
          <cell r="E32" t="str">
            <v>및 이를 1% 이상 함유한 혼합물질</v>
          </cell>
          <cell r="F32">
            <v>1</v>
          </cell>
          <cell r="G32" t="str">
            <v>- 건조하고 통풍이 잘되는 그늘 및 서늘한 곳에 보관할 것
- 식료품, 사료, 의약품, 음식과 혼합저장 금지할 것
- 필요에 따라 국소배기장치 가동할 것
- 취급 또는 작업시는 보호의, 보호 장갑 등을 착용하여 단기적인 접촉 및 반복적이고 장기적인 노출을 피할 것</v>
          </cell>
        </row>
        <row r="33">
          <cell r="B33" t="str">
            <v>60-51-5</v>
          </cell>
          <cell r="C33" t="str">
            <v>디메토에이트</v>
          </cell>
          <cell r="D33" t="str">
            <v>97-1-29,06-4-4</v>
          </cell>
          <cell r="E33" t="str">
            <v>및 이를 1% 이상 함유한 혼합물질</v>
          </cell>
          <cell r="F33">
            <v>1</v>
          </cell>
          <cell r="G33" t="str">
            <v>- 통풍이 잘 되는 그늘 및 서늘한 곳에 밀폐 보관할 것
- 식료품, 시료, 의약품, 음식과 혼합저장 및 수송금지할 것 
- 필요에 따라 국소배기장치 가동할 것
- 온도에 불안정하므로 25℃이하에서 보관하고, 액체상태일 때는 –13.9℃이상에서 보관할 것
- 강염기성, 가연성물질, 점화원과 격리 저장할 것
- 취급 또는 작업 시는 통풍이 잘 되는 후드에서 행하고 내산성보호의, 고무장갑(네오프렌 또는 플라스틱 재질), 고무앞치마, 자급식호흡용보호구를 착용하여 단기적인 접촉 및 반복적이고 장기적인 노출을 피할 것
- 국소배기장치가 가동되지 않으면 호흡용보호구를 착용하여 분진흡입을 피할 것
- 가죽으로 만든 보호의, 장갑, 앞치마는 사용 금지할 것
- 노출기준 이상에서는 호흡보호구를 착용할 것
- 취급금지물질(이를 1% 이상 함유한 혼합물질)</v>
          </cell>
        </row>
        <row r="34">
          <cell r="B34" t="str">
            <v>17040-19-6</v>
          </cell>
          <cell r="C34" t="str">
            <v xml:space="preserve">디메톤-S-메틸술폰 </v>
          </cell>
          <cell r="D34" t="str">
            <v>97-1-30</v>
          </cell>
          <cell r="E34" t="str">
            <v>및 이를 1% 이상 함유한 혼합물질</v>
          </cell>
          <cell r="F34">
            <v>1</v>
          </cell>
          <cell r="G34" t="str">
            <v>- 통풍이 잘 되는 그늘 및 서늘한 곳(2-8℃)에 보관할 것
- 확실하게 밀폐된 용기에 저장할 것
- 식료품, 사료, 의약품, 인화성물질과 혼합저장 및 수송금지할 것
- 필요에 따라 국소배기장치 가동할 것
- 가죽으로 만든 보호의, 장갑, 앞치마는 사용 금지할 것
- 작업 후 온몸을 깨끗이 씻은 후 충분한 휴식할 것
- 양압자급식호흡용보호구를 반드시 착용하고 보호장비와 고글형 보안경을 착용할 것</v>
          </cell>
        </row>
        <row r="35">
          <cell r="B35" t="str">
            <v>8022-00-2</v>
          </cell>
          <cell r="C35" t="str">
            <v xml:space="preserve">디메톤-메틸 </v>
          </cell>
          <cell r="D35" t="str">
            <v>97-1-31</v>
          </cell>
          <cell r="E35" t="str">
            <v>및 이를 1% 이상 함유한 혼합물질</v>
          </cell>
          <cell r="F35">
            <v>1</v>
          </cell>
          <cell r="G35" t="str">
            <v>- 서늘하고 통풍이 잘 되는 곳에 밀폐 보관할 것
- 식료품, 사료, 의약품, 음식과 혼합저장 및 수송을 금지할 것
- 강산화제(염소, 불소, 브롬 등)와 격리 저장할 것
- 호흡보호구, 보안경, 전면보호구, 고무장갑을 반드시 사용할 것
- 통풍장치 가동할 것
- 사용한 후 물과 비누로 손을 꼭 세척할 것
- 사고발생에 대비하여 눈이나 몸을 씻을 수 있는 세안시설과 샤워시설이 이용 가능한 장소에서 작업할 것</v>
          </cell>
        </row>
        <row r="36">
          <cell r="B36" t="str">
            <v>8065-48-3</v>
          </cell>
          <cell r="C36" t="str">
            <v>디메톤</v>
          </cell>
          <cell r="D36" t="str">
            <v>97-1-32</v>
          </cell>
          <cell r="E36" t="str">
            <v>및 이를 1% 이상 함유한 혼합물질</v>
          </cell>
          <cell r="F36">
            <v>1</v>
          </cell>
          <cell r="G36" t="str">
            <v>- 통풍이 잘 되는 장소 저장할 것
- 용기는 표백제로 씻거나 알칼리용액에 24 시간 담근 후 뜨거운 물로 세척할 것
- 누출에 대비하여 제방을 쌓고 가라앉는 증기에는 물 스프레이를 사용할 것
- 점화원을 피하고 하수구나 수도근처를 피할 것</v>
          </cell>
        </row>
        <row r="37">
          <cell r="B37" t="str">
            <v>644-64-4</v>
          </cell>
          <cell r="C37" t="str">
            <v>디메틸란</v>
          </cell>
          <cell r="D37" t="str">
            <v>97-1-33</v>
          </cell>
          <cell r="E37" t="str">
            <v>및 이를 1% 이상 함유한 혼합물질</v>
          </cell>
          <cell r="F37">
            <v>1</v>
          </cell>
          <cell r="G37" t="str">
            <v>- 통풍이 좋은 그늘 및 서늘한 곳에 밀폐 보관할 것
- 식료품, 사료, 의약품, 음식과 혼합저장 및 수송금지할 것
- 증기발산원에는 국소배기장치를 설치하여 환기할 것
- 통풍시설이 없다면 취급시 자급식호흡용보호장비를 반드시 착용하거나 보안경과 전면보호구를 착용할 것
- 작업장에는 물질안전보건자료(MSDS)를 게시, 비치할 것</v>
          </cell>
        </row>
        <row r="38">
          <cell r="B38" t="str">
            <v>2274-67-1</v>
          </cell>
          <cell r="C38" t="str">
            <v>디메틸빈포스</v>
          </cell>
          <cell r="D38" t="str">
            <v>97-1-34</v>
          </cell>
          <cell r="E38" t="str">
            <v>및 이를 1% 이상 함유한 혼합물질</v>
          </cell>
          <cell r="F38">
            <v>1</v>
          </cell>
          <cell r="G38" t="str">
            <v>- 건조하고 통풍이 잘되는 그늘 및 서늘한 곳에 보관할 것
- 식료품, 사료, 의약품, 음식과 혼합저장 금지할 것
- 필요에 따라 국소배기장치 가동할 것
- 취급 또는 작업시는 보호의, 보호 장갑 등을 착용하여 단기적인 접촉 및 반복적이고 장기적인 노출을 피할 것</v>
          </cell>
        </row>
        <row r="39">
          <cell r="B39" t="str">
            <v>115-26-4</v>
          </cell>
          <cell r="C39" t="str">
            <v>디메폭스</v>
          </cell>
          <cell r="D39" t="str">
            <v>97-1-35</v>
          </cell>
          <cell r="E39" t="str">
            <v>및 이를 1% 이상 함유한 혼합물질</v>
          </cell>
          <cell r="F39">
            <v>1</v>
          </cell>
          <cell r="G39" t="str">
            <v>- 25~30℃ 이하의 통풍이 잘 되는 그늘 및 서늘한 곳에 보관할 것
- 혼합금지물질 및 발화원을 가까이에 두지 말 것
- 화학물질 흄 후드 내에서 취급할 것
- 증기압이 높으므로 밀폐된 장소에서는 호흡용보호구를 착용할 것
- 가죽으로 만든 보호의, 장갑, 앞치마는 사용 금지할 것</v>
          </cell>
        </row>
        <row r="40">
          <cell r="B40" t="str">
            <v>85-00-7</v>
          </cell>
          <cell r="C40" t="str">
            <v>디브롬화 디콰이트</v>
          </cell>
          <cell r="D40" t="str">
            <v>97-1-36</v>
          </cell>
          <cell r="E40" t="str">
            <v>및 이를 1% 이상 함유한 혼합물질.</v>
          </cell>
          <cell r="F40">
            <v>1</v>
          </cell>
          <cell r="G40" t="str">
            <v>- 통풍이 좋은 그늘 및 서늘한 곳의 비금속성용기에 밀폐 보관할 것
- 식료품, 사료, 의약품, 음식과 혼합저장 및 수송금지할 것 
- 필요에 따라 국소배기장치 가동할 것
- 취급 또는 작업시는 통풍이 잘 되는 후드에서 행하고 안전안경,  고무장갑, 고무앞치마, 자급식호흡용보호구를 착용하여 단기적인 접촉 및 반복적이고 장기적인 노출을 피할 것
- 사용 후의 약제나 포장지는 땅에 묻거나 불에 태울 것
- 노출기준 이상에서는 호흡보호구를 착용할 것</v>
          </cell>
        </row>
        <row r="41">
          <cell r="B41" t="str">
            <v>298-04-4</v>
          </cell>
          <cell r="C41" t="str">
            <v>디술포톤</v>
          </cell>
          <cell r="D41" t="str">
            <v>97-1-37,06-4-5</v>
          </cell>
          <cell r="E41" t="str">
            <v>및 이를 1% 이상 함유한 혼합물질</v>
          </cell>
          <cell r="F41">
            <v>1</v>
          </cell>
          <cell r="G41" t="str">
            <v>- 용기를 완전하게 밀폐할 것
- 물과 열로부터 격리할 것
- 20℃의 선반에서 2 년 이상 보관 가능할 것
- 유리나 오지용기, 칩보드 또는 나무상자 등에 보관할 것
- 용기는 물에 표백제 분말을 넣은 현탁액이나 기타 알칼리성 용액에 24 시간 담가둔 후 세척한 다음 온수로 헹굴 것
- 취급 또는 작업 시는 자급식호흡용보호구를 착용하고 고글형 보안경, 보호의, 고무장갑 및 고무장화와 마스크 등을 착용하여 단기적인 접촉 및 반복적이고 장기적인 노출을 피할 것
- 취급금지물질(이를 5% 이상 함유한 혼합물질)</v>
          </cell>
        </row>
        <row r="42">
          <cell r="B42" t="str">
            <v>3078-97-5</v>
          </cell>
          <cell r="C42" t="str">
            <v>디에스피</v>
          </cell>
          <cell r="D42" t="str">
            <v>97-1-38</v>
          </cell>
          <cell r="E42" t="str">
            <v>및 이를 1% 이상 함유한 혼합물질</v>
          </cell>
          <cell r="F42">
            <v>1</v>
          </cell>
          <cell r="G42" t="str">
            <v>- 건조하고 통풍이 잘되는 그늘 및 서늘한 곳에 보관할 것
- 식료품, 사료, 의약품, 음식과 혼합저장 금지할 것
- 필요에 따라 국소배기장치 가동할 것
- 취급 또는 작업시는 보호의, 보호 장갑 등을 착용하여 단기적인 접촉 및 반복적이고 장기적인 노출을 피할 것</v>
          </cell>
        </row>
        <row r="43">
          <cell r="B43" t="str">
            <v>534-52-1</v>
          </cell>
          <cell r="C43" t="str">
            <v>디엔오시</v>
          </cell>
          <cell r="D43" t="str">
            <v>97-1-39</v>
          </cell>
          <cell r="E43" t="str">
            <v>및 그 중 하나를 1% 이상 함유한 혼합물질</v>
          </cell>
          <cell r="F43">
            <v>1</v>
          </cell>
          <cell r="G43" t="str">
            <v>- 강산화제 등 혼합금지물질과 함께 저장, 보관 금지할 것
- 서늘하고 건조하고 통풍이 잘 되는 장소에서 밀폐 보관할 것
- 취급시 콘택트렌즈를 착용금지할 것
- 취급시 피부접촉을 피하고 보호의와 보호장비를 착용할 것
- 취급 후, 손을 철저하게 세척할 것
- 적절한 환기장치 사용할 것
- 분진 발생과 분진 축적을 최소화 할 것
- 열, 스파크, 화염과의 접촉을 피할 것</v>
          </cell>
        </row>
        <row r="44">
          <cell r="B44" t="str">
            <v>2312-76-7</v>
          </cell>
          <cell r="D44" t="str">
            <v>97-1-39</v>
          </cell>
          <cell r="E44" t="str">
            <v>및 그 중 하나를 1% 이상 함유한 혼합물질</v>
          </cell>
          <cell r="F44">
            <v>1</v>
          </cell>
          <cell r="G44" t="str">
            <v>- 강산화제 등 혼합금지물질과 함께 저장, 보관 금지할 것
- 서늘하고 건조하고 통풍이 잘 되는 장소에서 밀폐 보관할 것
- 취급시 콘택트렌즈를 착용금지할 것
- 취급시 피부접촉을 피하고 보호의와 보호장비를 착용할 것
- 취급 후, 손을 철저하게 세척할 것
- 적절한 환기장치 사용할 것
- 분진 발생과 분진 축적을 최소화 할 것
- 열, 스파크, 화염과의 접촉을 피할 것</v>
          </cell>
        </row>
        <row r="45">
          <cell r="B45" t="str">
            <v>2980-64-5</v>
          </cell>
          <cell r="C45" t="str">
            <v>4,6-다이나이트로-o-크레솔, 암모늄 염</v>
          </cell>
          <cell r="D45" t="str">
            <v>97-1-39</v>
          </cell>
          <cell r="E45" t="str">
            <v>및 그 중 하나를 1% 이상 함유한 혼합물질</v>
          </cell>
          <cell r="F45">
            <v>1</v>
          </cell>
          <cell r="G45" t="str">
            <v>- 강산화제 등 혼합금지물질과 함께 저장, 보관 금지할 것
- 서늘하고 건조하고 통풍이 잘 되는 장소에서 밀폐 보관할 것
- 취급시 콘택트렌즈를 착용금지할 것
- 취급시 피부접촉을 피하고 보호의와 보호장비를 착용할 것
- 취급 후, 손을 철저하게 세척할 것
- 적절한 환기장치 사용할 것
- 분진 발생과 분진 축적을 최소화 할 것
- 열, 스파크, 화염과의 접촉을 피할 것</v>
          </cell>
        </row>
        <row r="46">
          <cell r="B46" t="str">
            <v>5787-96-2</v>
          </cell>
          <cell r="D46" t="str">
            <v>97-1-39</v>
          </cell>
          <cell r="E46" t="str">
            <v>및 그 중 하나를 1% 이상 함유한 혼합물질</v>
          </cell>
          <cell r="F46">
            <v>1</v>
          </cell>
          <cell r="G46" t="str">
            <v>- 강산화제 등 혼합금지물질과 함께 저장, 보관 금지할 것
- 서늘하고 건조하고 통풍이 잘 되는 장소에서 밀폐 보관할 것
- 취급시 콘택트렌즈를 착용금지할 것
- 취급시 피부접촉을 피하고 보호의와 보호장비를 착용할 것
- 취급 후, 손을 철저하게 세척할 것
- 적절한 환기장치 사용할 것
- 분진 발생과 분진 축적을 최소화 할 것
- 열, 스파크, 화염과의 접촉을 피할 것</v>
          </cell>
        </row>
        <row r="47">
          <cell r="B47" t="str">
            <v>60-57-1</v>
          </cell>
          <cell r="C47" t="str">
            <v>디엘드린</v>
          </cell>
          <cell r="D47" t="str">
            <v>97-1-40,06-4-6</v>
          </cell>
          <cell r="E47" t="str">
            <v>및 이를 1% 이상 함유한 혼합물질</v>
          </cell>
          <cell r="F47">
            <v>1</v>
          </cell>
          <cell r="G47" t="str">
            <v>- 환기가 잘 되는 장소에 보관할 것
- 디엘드린이 발암성이므로 실험실과 가까운 장소에 저장할 것
- 합성과 정제작업은 후드에서 수행할 것
- 고무장갑, 호흡보호구, 보안경 및 전면보호장비를 착용할 것
- 용기의 개봉 또는 물질을 넣거나 혼합할 때 보호고무장갑이나 염화폴리비닐 장갑, 고무장화를 착용할 것
- 취급시 콘택트렌즈를 착용금지할 것
- 작업장 부근에 비상시를 대비하여 샤워시설 및 세안시설을 갖출 것
- 노출기준이상 일 때 호흡보호구를 착용할 것
- 취급금지물질(이를 1% 이상 함유한 혼합물질)</v>
          </cell>
        </row>
        <row r="48">
          <cell r="B48" t="str">
            <v>74-94-2</v>
          </cell>
          <cell r="C48" t="str">
            <v>디엠에이비</v>
          </cell>
          <cell r="D48" t="str">
            <v>97-1-41</v>
          </cell>
          <cell r="E48" t="str">
            <v>및 이를 25% 이상 함유한 혼합물질</v>
          </cell>
          <cell r="F48">
            <v>25</v>
          </cell>
          <cell r="G48" t="str">
            <v>- 통풍이 잘 되며 습기가 없는 그늘 및 서늘한 곳에 밀폐 보관할 것
- 식료품, 사료, 의약품, 음식, 산화제, 산, 중금속염과 혼합저장 금지할 것
- 필요에 따라 국소배기장치를 설치하여 환기할 것
- 열, 스파크, 화염과 격리할 것
- 열원으로부터 격리할 것
- 취급 시 압축공기/산소호흡기나 압축가스식보호의를 착용할 것
- 분진을 호흡 금지할 것
- 적절한 보호복 착용할 것
- 취급 후, 손을 철저하게 세척할 것
- 통풍이 잘 되는 장소에서만 사용할 것
- 가압, 절단, 용접, 납땜, 연마, 천공을 해서는 안 되며, 빈 용기에는 잔류물이 있을 수 있어 위험하므로 열,  스파크, 화염에 노출시키지 말 것
- 습한 공기, 스팀과 접촉을 피할 것</v>
          </cell>
        </row>
        <row r="49">
          <cell r="B49" t="str">
            <v>3811-49-2</v>
          </cell>
          <cell r="C49" t="str">
            <v>디옥사벤조포스</v>
          </cell>
          <cell r="D49" t="str">
            <v>97-1-42</v>
          </cell>
          <cell r="E49" t="str">
            <v>및 이를 1% 이상 함유한 혼합물질</v>
          </cell>
          <cell r="F49">
            <v>1</v>
          </cell>
          <cell r="G49" t="str">
            <v>- 건조하고 통풍이 잘 되는 그늘 및 서늘한 곳에 밀폐 보관할 것
- 식료품, 사료, 의약품, 음식과 혼합저장 금지할 것
- 필요에 따라 국소배기장치 가동할 것
- 저장용기는 물리적인 손상에 견딜 수 있어야 할 것
- 열원, 알칼리, 스파크, 불꽃, 가연성물질, 점화원과 격리 저장할 것
- 취급 또는 작업시는 통풍이 잘 되는 후드에서 행하고 고글형보안경, 보호의, 보호장갑(고무 또는 네오프렌 재질), 앞치마, 양압자급식호흡용보호구를 착용하여 단기적인 접촉 및 반복적이고 장기적인 노출을 피할 것
- 가죽으로 만든 보호의, 장갑, 앞치마는 사용 금지할 것
- 노출기준 이상에서는 호흡보호구를 착용할 것
- 사용한 용기는 물과 표백제로 닦거나, 24 시간 동안 알칼리성 용액에 담근 후 뜨거운 물로 헹굴 것</v>
          </cell>
        </row>
        <row r="50">
          <cell r="B50" t="str">
            <v>6988-21-2</v>
          </cell>
          <cell r="C50" t="str">
            <v>디옥사캅</v>
          </cell>
          <cell r="D50" t="str">
            <v>97-1-43</v>
          </cell>
          <cell r="E50" t="str">
            <v>및 이를 1% 이상 함유한 혼합물질</v>
          </cell>
          <cell r="F50">
            <v>1</v>
          </cell>
          <cell r="G50" t="str">
            <v>- 건조하고 통풍이 잘되는 그늘 및 서늘한 곳에 보관할 것
- 식료품, 사료, 의약품, 음식과 혼합저장 금지할 것
- 필요에 따라 국소배기장치 가동할 것
- 취급시 양압자극식호흡용보호구, 보호의, 보호장갑을 착용할 것</v>
          </cell>
        </row>
        <row r="51">
          <cell r="B51" t="str">
            <v>78-34-2</v>
          </cell>
          <cell r="C51" t="str">
            <v>디옥사티온</v>
          </cell>
          <cell r="D51" t="str">
            <v>97-1-44</v>
          </cell>
          <cell r="E51" t="str">
            <v>및 이를 1% 이상 함유한 혼합물질</v>
          </cell>
          <cell r="F51">
            <v>1</v>
          </cell>
          <cell r="G51" t="str">
            <v>- 표면이 철, 주석으로 되어있는 용기로 사용금지할 것
- 서늘하고 통풍이 잘 되는 곳에 밀폐 보관할 것
- 용기 사이에 통풍이 잘 되도록 배치할 것
- 사료, 의약품, 음식과 혼합저장 및 수송금지할 것
- 점화원을 피하고 하수구나 수도근처를 피할 것
- 사고발생에 대비하여 눈이나 몸을 씻을 수 있는 세안시설과 샤워시설이 이용 가능한 장소에서 작업할 것
- 사용한 후 식사, 흡연, 화장실에 가기 전에 물과 비누로 손을 꼭 세척할 것
- 호흡보호구, 고무장갑을 반드시 사용할 것
- 통풍장치 가동할 것</v>
          </cell>
        </row>
        <row r="52">
          <cell r="B52" t="str">
            <v>4098-71-9</v>
          </cell>
          <cell r="C52" t="str">
            <v xml:space="preserve">디이소시안산 이소포론 </v>
          </cell>
          <cell r="D52" t="str">
            <v>97-1-45</v>
          </cell>
          <cell r="E52" t="str">
            <v>및 이를 25% 이상 함유한 혼합물질</v>
          </cell>
          <cell r="F52">
            <v>25</v>
          </cell>
          <cell r="G52" t="str">
            <v>- 서늘하고 통풍이 잘되는 그늘 및 서늘한 곳에 밀봉하여 저장할 것
- 혼합금지물질 및 점화원을 격리할 것
- 취급시 피부접촉을 피하고 보호의와 보호장갑을 착용할 것
- 노출기준 이상에서는 호흡용보호구를 착용할 것
- 화학물질 흄 후드내에서 취급할 것
- 사고대비물질(이를 25  % 이상 함유한 혼합물질)</v>
          </cell>
        </row>
        <row r="53">
          <cell r="B53" t="str">
            <v>822-06-0</v>
          </cell>
          <cell r="C53" t="str">
            <v xml:space="preserve">디이소시안산 헥사메틸렌 </v>
          </cell>
          <cell r="D53" t="str">
            <v>97-1-46</v>
          </cell>
          <cell r="E53" t="str">
            <v>및 이를 25% 이상 함유한 혼합물질</v>
          </cell>
          <cell r="F53">
            <v>25</v>
          </cell>
          <cell r="G53" t="str">
            <v>- 산화제(과염소산염, 과산화물, 과망간산염, 염산염, 질산염 등), 강산화제(염소, 브롬, 불소 등), 강산(염산, 황산, 질산 등), 산염화물(acid  chloride), 산무수물(acid anhydride), 이산화탄소와 격리하여 저장할 것
- 서늘하고 통풍이 잘 되는 곳에 밀폐 보관할 것
- 점화원을 피하고 하수구나 수도근처를 피할 것
- 습기를 피해서 저장할 것
- 사고발생에 대비하여 눈이나 몸을 씻을 수 있는 세안시설과 샤워시설이 이용 가능한 장소에서 작업할 것
- 사용한 후 식사, 흡연, 화장실에 가기 전에 물과 비누로 손을 꼭 세척할 것
- 분진이나 분말을 취급할 경우에는 안면보호구, 보안경, 고무장갑을 반드시 사용할 것
- 용액을 취급할 경우에는 앞면보호구, 보안경, 고무장갑을 반드시 사용할 것
- 분진을 제거하거나 줄이기 위해 진공청소기를 사용할 것
- 통풍장치 가동할 것
- 습한 공기, 스팀과 접촉을 피할 것</v>
          </cell>
        </row>
        <row r="54">
          <cell r="B54" t="str">
            <v>115-32-2</v>
          </cell>
          <cell r="C54" t="str">
            <v>디코폴</v>
          </cell>
          <cell r="D54" t="str">
            <v>97-1-47</v>
          </cell>
          <cell r="E54" t="str">
            <v>및 이를 25% 이상 함유한 혼합물질</v>
          </cell>
          <cell r="F54">
            <v>25</v>
          </cell>
          <cell r="G54" t="str">
            <v>- 4.4℃ 이상의 통풍이 잘 되는 장소에 저장할 것
- 음식과 사료, 의약품, 알칼리, 산과 분리된 장소에서 보관할 것
- 필요에 따라 국소배기장치 가동할 것
- 가죽으로 만든 보호의, 장갑, 앞치마는 사용 금지할 것
- 작업후 온몸을 깨끗이 씻은 후 충분한 휴식할 것
- 자급식호흡용보호구를 반드시 착용하고 보호의와 고글형보안경을 착용할 것
- 화학물질 흄 후드 내에서 취급할 것</v>
          </cell>
        </row>
        <row r="55">
          <cell r="B55" t="str">
            <v>141-66-2</v>
          </cell>
          <cell r="C55" t="str">
            <v>디크로토포스</v>
          </cell>
          <cell r="D55" t="str">
            <v>97-1-48</v>
          </cell>
          <cell r="E55" t="str">
            <v>및 이를 1% 이상 함유한 혼합물질</v>
          </cell>
          <cell r="F55">
            <v>1</v>
          </cell>
          <cell r="G55" t="str">
            <v>- 40℃ 이하의 통풍이 잘 되며 물과 격리된 장소에서 유리나 폴리에틸렌 용기에 밀봉하여 저장할 것
- 취급 시 피부접촉을 피하고 보호의와 보호장갑을 착용할 것
- 작업 후 온몸을 깨끗이 씻은 후 충분한 휴식할 것
- 화학물질 흄 후드 내에서 취급할 것</v>
          </cell>
        </row>
        <row r="56">
          <cell r="B56" t="str">
            <v>79-43-6</v>
          </cell>
          <cell r="C56" t="str">
            <v>디클로로아세트산</v>
          </cell>
          <cell r="D56" t="str">
            <v>97-1-49</v>
          </cell>
          <cell r="E56" t="str">
            <v>및 이를 25% 이상 함유한 물질</v>
          </cell>
          <cell r="F56">
            <v>25</v>
          </cell>
          <cell r="G56" t="str">
            <v>- 건조하고 환기가 잘 되는 곳에 밀폐 보관할 것
- 발암물질이므로 실험실과 가까운 곳에 저장할 것
- 부식장소를 피할 것
- 금속용기에 저장 금지할 것
- 피부와 눈에 접촉하면 화상을 입을 수 있으므로 보호 장비를 착용할 것
- 취급 후, 손을 철저하게 세척할 것
- 적절한 환기장치를 사용할 것</v>
          </cell>
        </row>
        <row r="57">
          <cell r="B57" t="str">
            <v>62-73-7</v>
          </cell>
          <cell r="C57" t="str">
            <v>디클로르보스</v>
          </cell>
          <cell r="D57" t="str">
            <v>97-1-50</v>
          </cell>
          <cell r="E57" t="str">
            <v>및 이를 0.1% 이상 함유한 혼합물질</v>
          </cell>
          <cell r="F57">
            <v>0.1</v>
          </cell>
          <cell r="G57" t="str">
            <v>- 27.6℃ 이하의 서늘하고 건조한 곳에 저장하여 가수분해 방지할 것
- 완전히 밀폐된 용기에 저장할 것
- 취급 시 콘택트렌즈를 착용 금지할 것
- 염화폴리비닐장갑, 고무장화, 안면보호구, 튐방지안경 및 자급식호흡용보호장비를 착용할 것 오염된 의복은 즉시 비누와 물로 씻어 세척할 것
- 화학물질 흄 후드 내에서 취급할 것</v>
          </cell>
        </row>
        <row r="58">
          <cell r="B58" t="str">
            <v>97-17-6</v>
          </cell>
          <cell r="C58" t="str">
            <v>디클로펜티온</v>
          </cell>
          <cell r="D58" t="str">
            <v>97-1-51</v>
          </cell>
          <cell r="E58" t="str">
            <v>및 이를 3% 이상 함유한 혼합물질</v>
          </cell>
          <cell r="F58">
            <v>3</v>
          </cell>
          <cell r="G58" t="str">
            <v>- 서늘하고 건조하고 어두운 장소에서 밀폐된 용기나 실린더에 저장할 것
- 혼합금지물질 및 점화원을 격리할 것
- 불침투성의 깨끗한 바닥이 갖춰진 안전한 장소에 보관하고 시건장치를 해둘 것
- 용기는 물에 표백제 분말을 넣은 현탁액이나 기타 알칼리성 용액에 24 시간 담가둔 후 세척한 다음 온수로 헹굴 것
- 취급 또는 작업시는 자급식호흡용보호구를 착용하고 고글형보안경, 보호의, 고무장갑 및 고무장화와 마스크 등을 착용하여 단기적인 접촉 및 반복적이고 장기적인 노출을 피할 것</v>
          </cell>
        </row>
        <row r="59">
          <cell r="B59" t="str">
            <v>3347-22-6</v>
          </cell>
          <cell r="C59" t="str">
            <v>디티아논</v>
          </cell>
          <cell r="D59" t="str">
            <v>97-1-52</v>
          </cell>
          <cell r="E59" t="str">
            <v>및 이를 25% 이상 함유한 혼합물질</v>
          </cell>
          <cell r="F59">
            <v>25</v>
          </cell>
          <cell r="G59" t="str">
            <v>- 통풍이 잘되는 그늘 및 서늘한 곳에 밀폐 보관할 것
- 혼합금지물질 및 점화원을 격리할 것
- 취급 또는 작업 시는 자급식호흡용보호구를 착용하고 고글형 보안경, 보호의, 고무(또는 네오프렌)장갑 및 고무장화와 마스크 등을 착용하여 단기적인 접촉 및 반복적이고 장기적인 노출을 피할 것
- 화학물질 흄 후드내에서 취급할 것</v>
          </cell>
        </row>
        <row r="60">
          <cell r="B60" t="str">
            <v>97886-45-8</v>
          </cell>
          <cell r="C60" t="str">
            <v>디티오피르</v>
          </cell>
          <cell r="D60" t="str">
            <v>97-1-53</v>
          </cell>
          <cell r="E60" t="str">
            <v>및 이를 25% 이상 함유한 혼합물질</v>
          </cell>
          <cell r="F60">
            <v>25</v>
          </cell>
          <cell r="G60" t="str">
            <v>- 통풍이 잘되는 그늘 및 서늘한 곳에 보관할 것
- 식료품, 사료, 의약품, 음식과 혼합저장 금지할 것
- 필요에 따라 국소배기장치를 설치하여 환기할 것
- 취급시 보호의, 보호구, 보안경과 마스크를 착용할 것</v>
          </cell>
        </row>
        <row r="61">
          <cell r="B61" t="str">
            <v>82-66-6</v>
          </cell>
          <cell r="C61" t="str">
            <v>디파시논</v>
          </cell>
          <cell r="D61" t="str">
            <v>97-1-54</v>
          </cell>
          <cell r="E61" t="str">
            <v>및 이를 1% 이상 함유한 혼합물질</v>
          </cell>
          <cell r="F61">
            <v>1</v>
          </cell>
          <cell r="G61" t="str">
            <v>- 강산화제와 격리하고 빛을 피해 저장할 것
- 서늘하고 통풍이 잘되는 어두운 곳에 밀폐 보관할 것
- 상온에서 약산, 약알칼리에서 안정함
- 사료, 의약품, 음식과 혼합저장 및 수송 금지할 것
- 점화원을 피하고 하수구나 수도근처를 피할 것
- 화학물질 흄 후드 내에서 취급할 것
- 사고발생에 대비하여 눈이나 몸을 씻을 수 있는 세안시설과 샤워시설이 이용 가능한 장소에서 작업할 것
- 사용한 후 식사, 흡연, 화장실에 가기 전에 물과 비누로 손을 꼭 세척할 것
- 호흡용보호구, 고무장갑을 반드시 사용할 것</v>
          </cell>
        </row>
        <row r="62">
          <cell r="B62" t="str">
            <v>56073-07-5</v>
          </cell>
          <cell r="C62" t="str">
            <v>디페나쿰</v>
          </cell>
          <cell r="D62" t="str">
            <v>97-1-55</v>
          </cell>
          <cell r="E62" t="str">
            <v>및 이를 1% 이상 함유한 혼합물질</v>
          </cell>
          <cell r="F62">
            <v>1</v>
          </cell>
          <cell r="G62" t="str">
            <v>- 통풍이 잘되는 그늘 및 서늘한 곳에 보관할 것
- 서리, 직사광선 및 열원과 점화원, 음식 혹은 동물 사료 근처에 저장 금지할 것
- 저장용기는 물리적인 손상에 견딜 수 있어야 할 것
- 필요에 따라 국소배기장치 가동할 것
- 취급시 피부접촉을 피하고 보호의, 보안경, 보호장갑을 착용할 것
- 취급시 양압자극식호흡용보호장비를 착용할 것
- 취급시 콘택트렌즈를 착용 금지할 것</v>
          </cell>
        </row>
        <row r="63">
          <cell r="B63" t="str">
            <v>119446-68-3</v>
          </cell>
          <cell r="C63" t="str">
            <v>디페노코나졸</v>
          </cell>
          <cell r="D63" t="str">
            <v>97-1-56</v>
          </cell>
          <cell r="E63" t="str">
            <v>및 이를 25% 이상 함유한 혼합물질</v>
          </cell>
          <cell r="F63">
            <v>25</v>
          </cell>
          <cell r="G63" t="str">
            <v>- 통풍이 잘되는 그늘 및 서늘한 곳에 보관할 것
- 의약품, 음식 등과 혼합저장 금지할 것
- 필요에 따라 국소배기장치 가동할 것
- 작업 후 온몸을 깨끗이 씻은 후 충분한 휴식할 것
- 보호구와 보호의, 보안경을 착용할 것</v>
          </cell>
        </row>
        <row r="64">
          <cell r="B64" t="str">
            <v>25999-31-9</v>
          </cell>
          <cell r="C64" t="str">
            <v>라살로시드</v>
          </cell>
          <cell r="D64" t="str">
            <v>97-1-57</v>
          </cell>
          <cell r="E64" t="str">
            <v>및 이를 2% 이상 함유한 혼합물질</v>
          </cell>
          <cell r="F64">
            <v>2</v>
          </cell>
          <cell r="G64" t="str">
            <v>- 건조하고 통풍이 잘되는 그늘 및 서늘한 곳에 밀폐 보관할 것
- 식료품, 사료, 의약품, 음식과 혼합저장 금지할 것
- 필요에 따라 국소배기장치 가동할 것
- 저장용기는 물리적인 손상에 견딜 수 있어야 할 것
- 취급 또는 작업 시는 통풍이 잘되는 후드에서 행하고, 고글형 보안경, 보호복, 보호장갑, 앞치마, 양압자급식호흡보호구를 착용하여 단기적인 접촉 및 반복적이고 장기적인 노출을 피할 것
- 노출기준 이상에서는 호흡보호구를 착용할 것
- 작업 시에는 콘택트렌즈 착용금지할 것
- 작업장 부근에 비상시를 대비하여 샤워시설 및 세안시설 구비할 것</v>
          </cell>
        </row>
        <row r="65">
          <cell r="B65" t="str">
            <v>10453-86-8</v>
          </cell>
          <cell r="C65" t="str">
            <v>레스메트린</v>
          </cell>
          <cell r="D65" t="str">
            <v>97-1-58</v>
          </cell>
          <cell r="E65" t="str">
            <v>및 이를 1% 이상 함유한 혼합물질</v>
          </cell>
          <cell r="F65">
            <v>1</v>
          </cell>
          <cell r="G65" t="str">
            <v>- 강산화제와 격리하고 빛을 피해 저장할 것
- 15~30℃의 온도로 밀폐 보관할 것
- 건조한 곳에 저장할 것
- 사료, 의약품, 음식과 혼합저장 및 수송 금지할 것
- 점화원을 피하고 하수구나 수도근처를 피할 것
- 사고발생에 대비하여 눈이나 몸을 씻을 수 있는 세안시설과 샤워시설이 이용 가능한 장소에서 작업할 것
- 사용한 후 식사, 흡연, 화장실에 가기 전에 물과 비누로 손을 꼭 세척할 것
- 호흡용보호구, 전면보호구, 보안경, 고무장갑을 반드시 사용할 것
- 콘택트렌즈를 착용 금지할 것
- 통풍장치 가동할 것</v>
          </cell>
        </row>
        <row r="66">
          <cell r="B66" t="str">
            <v>21609-90-5</v>
          </cell>
          <cell r="C66" t="str">
            <v>렙토포스</v>
          </cell>
          <cell r="D66" t="str">
            <v>97-1-59,06-4-7</v>
          </cell>
          <cell r="E66" t="str">
            <v>및 이를 1% 이상 함유한 혼합물질</v>
          </cell>
          <cell r="F66">
            <v>1</v>
          </cell>
          <cell r="G66" t="str">
            <v>- 통풍이 잘되는 그늘 및 서늘한 곳에 밀폐 보관할 것
- 혼합금지물질 및 점화원을 격리할 것
- 식료품, 사료, 의약품, 음식과 혼합저장 및 수송 금지할 것 필요에 따라 국소배기장치 가동할 것
- 취급 또는 작업 시는 통풍이 잘 되는 후드에서 행하고 고글형 보안경, 내산성보호의, 라텍스고무장갑(또는 네오프렌 장갑), 고무앞치마, 자급식호흡용보호구를 착용하여 단기적인 접촉 및 반복적이고 장기적인 노출을 피할 것
- 가죽으로 만든 보호의, 장갑, 앞치마는 사용 금지할 것
- 노출기준 이상에서는 호흡보호구를 착용할 것
- 취급금지물질(이를 1% 이상 함유한 혼합물질)</v>
          </cell>
        </row>
        <row r="67">
          <cell r="B67" t="str">
            <v>83-79-4</v>
          </cell>
          <cell r="C67" t="str">
            <v>로테논</v>
          </cell>
          <cell r="D67" t="str">
            <v>97-1-60</v>
          </cell>
          <cell r="E67" t="str">
            <v>및 이를 2% 이상 함유한 혼합물질</v>
          </cell>
          <cell r="F67">
            <v>2</v>
          </cell>
          <cell r="G67" t="str">
            <v>- 강산화제(염소, 브롬, 불소 등)와 빛을 피해 저장할 것
- 섬유질 드럼, 주석 재질 용기 사용할 것
- 서늘하고 통풍이 잘되는 곳에 밀폐 보관할 것
- 불활성 대기상태 하에서 저장할 것
- 사료, 의약품, 음식과 혼합저장 및 수송 금지할 것
- 점화원을 피하고 하수구나 수도근처를 피할 것
- 사고발생에 대비하여 눈이나 몸을 씻을 수 있는 세안시설과 샤워시설이 이용 가능한 장소에서 작업할 것
- 사용한 후 식사, 흡연, 화장실에 가기 전에 물과 비누로 손을 꼭 세척할 것
- 호흡보호구, 전면보호구, 보안경, 고무장갑을 반드시 사용할 것
- 분진을 제거하거나 줄이기 위해 진공청소기를 사용할 것
- 통풍장치 가동할 것
- 빈 용기는 재사용하지 말고 구멍을 뚫어 분쇄시킬 것</v>
          </cell>
        </row>
        <row r="68">
          <cell r="B68" t="str">
            <v>330-55-2</v>
          </cell>
          <cell r="C68" t="str">
            <v>리누론</v>
          </cell>
          <cell r="D68" t="str">
            <v>97-1-61</v>
          </cell>
          <cell r="E68" t="str">
            <v>및 이를 25% 이상 함유한 혼합물질</v>
          </cell>
          <cell r="G68" t="str">
            <v>- 가열되면 분해됨
- 상온에서는 건조제제로 보관할 것
- 서늘하고 통풍이 잘되는 곳에서 보관할 것
- 점화원을 피하고 하수구나 수도근처를 피할 것
- 사용한 후 식사, 흡연, 화장실에 가기 전에 물과 비누로 손을 꼭 세척할 것
- 분진이나 미스트를 흡입 금지할 것
- 호흡용보호구, 고무장갑을 반드시 사용할 것
- 화학물질 흄 후드 내에서 취급할 것
- 통풍이 잘 되는 그늘 및 서늘한 곳(49℃이하)에 밀폐 보관할 것
- 가능한 야외나 분리된 장소에 보관하고, 불가능 할 경우 일반적인 가연성 액체 저장소에 저장할 것
- 가죽으로 만든 보호의, 장갑, 앞치마는 사용 금지
- 취급금지물질(이를 1.5% 이상 함유한 혼합물질)</v>
          </cell>
        </row>
        <row r="69">
          <cell r="B69" t="str">
            <v>58-89-9</v>
          </cell>
          <cell r="C69" t="str">
            <v>헥사클로로시클로헥산</v>
          </cell>
          <cell r="D69" t="str">
            <v>97-1-62,06-4-51</v>
          </cell>
          <cell r="E69" t="str">
            <v>및 이를 1.5% 이상 함유한 혼합물질</v>
          </cell>
          <cell r="F69">
            <v>1.5</v>
          </cell>
          <cell r="G69" t="str">
            <v>- 통풍이 잘 되는 그늘 및 서늘한 곳(49℃이하)에 밀폐 보관할 것
- 가능한 야외나 분리된 장소에 보관하고, 불가능 할 경우 일반적인 가연성 액체 저장소에 저장할 것
- 가죽으로 만든 보호의, 장갑, 앞치마는 사용 금지
- 취급금지물질(이를 1.5% 이상 함유한 혼합물질)</v>
          </cell>
        </row>
        <row r="70">
          <cell r="B70" t="str">
            <v>319-84-6</v>
          </cell>
          <cell r="C70" t="str">
            <v>헥사클로로시클로헥산</v>
          </cell>
          <cell r="D70" t="str">
            <v>97-1-62,06-4-51</v>
          </cell>
          <cell r="E70" t="str">
            <v>및 이를 1.5% 이상 함유한 혼합물질</v>
          </cell>
          <cell r="F70">
            <v>1.5</v>
          </cell>
          <cell r="G70" t="str">
            <v>- 통풍이 잘 되는 그늘 및 서늘한 곳(49℃이하)에 밀폐 보관할 것
- 가능한 야외나 분리된 장소에 보관하고, 불가능 할 경우 일반적인 가연성 액체 저장소에 저장할 것
- 가죽으로 만든 보호의, 장갑, 앞치마는 사용 금지
- 취급금지물질(이를 1.5% 이상 함유한 혼합물질)</v>
          </cell>
        </row>
        <row r="71">
          <cell r="B71" t="str">
            <v>319-85-7</v>
          </cell>
          <cell r="C71" t="str">
            <v>헥사클로로시클로헥산</v>
          </cell>
          <cell r="D71" t="str">
            <v>97-1-62,06-4-51</v>
          </cell>
          <cell r="E71" t="str">
            <v>및 이를 1.5% 이상 함유한 혼합물질</v>
          </cell>
          <cell r="F71">
            <v>1.5</v>
          </cell>
          <cell r="G71" t="str">
            <v>- 통풍이 잘 되는 그늘 및 서늘한 곳(49℃이하)에 밀폐 보관할 것
- 가능한 야외나 분리된 장소에 보관하고, 불가능 할 경우 일반적인 가연성 액체 저장소에 저장할 것
- 가죽으로 만든 보호의, 장갑, 앞치마는 사용 금지
- 취급금지물질(이를 1.5% 이상 함유한 혼합물질)</v>
          </cell>
        </row>
        <row r="72">
          <cell r="B72" t="str">
            <v>319-86-8</v>
          </cell>
          <cell r="C72" t="str">
            <v>헥사클로로시클로헥산</v>
          </cell>
          <cell r="D72" t="str">
            <v>97-1-62,06-4-51</v>
          </cell>
          <cell r="E72" t="str">
            <v>및 이를 1.5% 이상 함유한 혼합물질</v>
          </cell>
          <cell r="F72">
            <v>1.5</v>
          </cell>
          <cell r="G72" t="str">
            <v>- 통풍이 잘 되는 그늘 및 서늘한 곳(49℃이하)에 밀폐 보관할 것
- 가능한 야외나 분리된 장소에 보관하고, 불가능 할 경우 일반적인 가연성 액체 저장소에 저장할 것
- 가죽으로 만든 보호의, 장갑, 앞치마는 사용 금지
- 취급금지물질(이를 1.5% 이상 함유한 혼합물질)</v>
          </cell>
        </row>
        <row r="73">
          <cell r="B73" t="str">
            <v>608-73-1</v>
          </cell>
          <cell r="C73" t="str">
            <v>헥사클로로시클로헥산</v>
          </cell>
          <cell r="D73" t="str">
            <v>97-1-62,06-4-51</v>
          </cell>
          <cell r="E73" t="str">
            <v>및 이를 1.5% 이상 함유한 혼합물질</v>
          </cell>
          <cell r="F73">
            <v>1.5</v>
          </cell>
          <cell r="G73" t="str">
            <v>- 통풍이 잘 되는 그늘 및 서늘한 곳(49℃이하)에 밀폐 보관할 것
- 가능한 야외나 분리된 장소에 보관하고, 불가능 할 경우 일반적인 가연성 액체 저장소에 저장할 것
- 가죽으로 만든 보호의, 장갑, 앞치마는 사용 금지
- 취급금지물질(이를 1.5% 이상 함유한 혼합물질)</v>
          </cell>
        </row>
        <row r="74">
          <cell r="B74" t="str">
            <v>6108-10-7</v>
          </cell>
          <cell r="C74" t="str">
            <v>헥사클로로시클로헥산</v>
          </cell>
          <cell r="D74" t="str">
            <v>97-1-62,06-4-51</v>
          </cell>
          <cell r="E74" t="str">
            <v>및 이를 1.5% 이상 함유한 혼합물질</v>
          </cell>
          <cell r="F74">
            <v>1.5</v>
          </cell>
          <cell r="G74" t="str">
            <v>- 통풍이 잘 되는 그늘 및 서늘한 곳(49℃이하)에 밀폐 보관할 것
- 가능한 야외나 분리된 장소에 보관하고, 불가능 할 경우 일반적인 가연성 액체 저장소에 저장할 것
- 가죽으로 만든 보호의, 장갑, 앞치마는 사용 금지
- 취급금지물질(이를 1.5% 이상 함유한 혼합물질)</v>
          </cell>
        </row>
        <row r="75">
          <cell r="B75" t="str">
            <v>121-75-5</v>
          </cell>
          <cell r="C75" t="str">
            <v>말라티온</v>
          </cell>
          <cell r="D75" t="str">
            <v>97-1-63</v>
          </cell>
          <cell r="E75" t="str">
            <v>및 이를 1% 이상 함유한 혼합물질</v>
          </cell>
          <cell r="F75">
            <v>1</v>
          </cell>
          <cell r="G75" t="str">
            <v>- 저장용기는 물리적인 손상에 견딜 수 있어야 할 것
- 통풍이 잘되는 그늘 및 서늘한 곳(49℃이하)에 밀폐 보관할 것
- 되도록 야외나 분리된 장소에 보관하고, 불가능 할 경우 일반적인 가연성 액체 저장소에 저장할 것
- 산, 염기, 식료품, 시료, 의약품, 음식과 혼합저장 및 수송금지할 것 필요에 따라 국소배기장치 가동할 것
- 취급 또는 작업시는 통풍이 잘되는 후드에서 행하고 고글형 보안경, 내산성보호의, 고무장갑(또는 네오프렌장갑), 고무앞치마, 자급식호흡용보호구를 착용하여 단기적인 접촉 및 반복적이고 장기적인 노출을 피할 것
- 가죽으로 만든 보호의, 장갑, 앞치마는 사용 금지
- 노출기준 이상에서는 호흡보호구를 착용할 것</v>
          </cell>
        </row>
        <row r="76">
          <cell r="B76" t="str">
            <v>123-33-1</v>
          </cell>
          <cell r="C76" t="str">
            <v>말레산 히드라지드</v>
          </cell>
          <cell r="D76" t="str">
            <v>97-1-64</v>
          </cell>
          <cell r="E76" t="str">
            <v>및 이를 25% 이상 함유한 혼합물질</v>
          </cell>
          <cell r="F76">
            <v>25</v>
          </cell>
          <cell r="G76" t="str">
            <v>- 통풍이 잘 되는 그늘 및 서늘한 곳에 보관할 것
- 식료품, 시료, 의약품, 음식과 혼합저장 및 수송 금지할 것
- 필요에 따라 국소배기장치 가동할 것
- 사용하지 않는 경우에는 용기를 밀폐할 것
- 취급 또는 작업 시는 통풍이 잘 되는 후드에서 행하고, 고글형 보안경, 내산성보호의, 고무장갑, 고무앞치마, 자급식호흡용보호구를 착용하여 단기적인 접촉 및 반복적이고 장기적인 노출을 피할 것
- 가죽으로 만든 보호의, 장갑, 앞치마는 사용 금지할 것
- 노출기준 이상에서는 호흡보호구를 착용할 것
- 취급 후, 손을 철저하게 세척할 것</v>
          </cell>
        </row>
        <row r="77">
          <cell r="B77" t="str">
            <v>109-77-3</v>
          </cell>
          <cell r="C77" t="str">
            <v>말로노니트릴</v>
          </cell>
          <cell r="D77" t="str">
            <v>97-1-65</v>
          </cell>
          <cell r="E77" t="str">
            <v>및 이를 25% 이상 함유한 혼합물질</v>
          </cell>
          <cell r="F77">
            <v>25</v>
          </cell>
          <cell r="G77" t="str">
            <v>- 건조하고 통풍이 잘 되는 그늘 및 서늘한 곳에 밀폐 보관할 것
- 혼합금지물질과 떨어진 곳에 저장할 것
- 용기를 완전히 밀폐시킬 것
- 취급 또는 작업시는 자급식호흡용보호구를 착용하고 고글형 보안경, 보호의, 고무(또는 네오프렌)장갑 및 고무장화와 마스크 등을 착용하여 단기적인 접촉 및 반복적이고 장기적인 노출을 피할 것
- 취급 후, 손을 철저하게 세척할 것
- 적절한 환기장치를 사용할 것</v>
          </cell>
        </row>
        <row r="78">
          <cell r="B78" t="str">
            <v>505-60-2</v>
          </cell>
          <cell r="C78" t="str">
            <v>머스타드 가스</v>
          </cell>
          <cell r="D78" t="str">
            <v>97-1-66</v>
          </cell>
          <cell r="E78" t="str">
            <v>및 이를 0.1% 이상 함유한 혼합물질</v>
          </cell>
          <cell r="F78">
            <v>0.1</v>
          </cell>
          <cell r="G78" t="str">
            <v>- 건조하고 통풍이 잘 되는 그늘 및 서늘한 곳에 밀폐 보관할 것
- 식료품, 시료, 의약품, 음식과 혼합저장 및 수송금지할 것
- 필요에 따라 국소배기장치 가동할 것
- 열, 강산화제, 점화원과 분리하여 저장(화재, 폭발 위험성)할 것
- 내산성보호의, 고무장갑(또는 네오프렌장갑), 고무앞치마, 자급식호흡용보호구를 착용하여 단기적인 접촉 및 반복적이고 장기적인 노출을 피할 것
- 노출기준 이상에서는 호흡보호구를 착용할 것</v>
          </cell>
        </row>
        <row r="79">
          <cell r="B79" t="str">
            <v>2487-01-6</v>
          </cell>
          <cell r="C79" t="str">
            <v>메디노텁 아세트산</v>
          </cell>
          <cell r="D79" t="str">
            <v>97-1-67</v>
          </cell>
          <cell r="E79" t="str">
            <v>및 이를 1% 이상 함유한 혼합물질</v>
          </cell>
          <cell r="F79">
            <v>1</v>
          </cell>
          <cell r="G79" t="str">
            <v>- 통풍이 잘되는 그늘 및 서늘한 곳에 밀폐 보관할 것
- 저장용기는 물리적인 손상에 견딜 수 있어야 할 것
- 필요에 따라 국소배기장치 가동할 것
- 취급 시 피부접촉을 피하고 보호의, 보안경, 보호장갑을 착용할 것
- 취급 시 양압자급식호흡용보호장비를 착용할 것
- 취급 시 콘택트렌즈를 착용 금지할 것</v>
          </cell>
        </row>
        <row r="80">
          <cell r="B80" t="str">
            <v>68-11-1</v>
          </cell>
          <cell r="C80" t="str">
            <v>메르캅토아세트산</v>
          </cell>
          <cell r="D80" t="str">
            <v>97-1-68</v>
          </cell>
          <cell r="E80" t="str">
            <v>및 이를 25% 이상 함유한 혼합물질</v>
          </cell>
          <cell r="F80">
            <v>25</v>
          </cell>
          <cell r="G80" t="str">
            <v>- 건조하고 통풍이 잘 되는 그늘 및 서늘한 곳에 밀폐 보관할 것
- 열, 화염, 가연성 물질과 가까이에 저장 금지할 것
- 부식장소를 피하고, 금속용기에 저장 금지할 것
- 사용하지 않는 경우에는 용기를 밀폐할 것
- 취급 또는 작업 시는 양압자급식호흡용보호구를 착용하고 보호의, 고무(또는 플라스틱)장갑 및 고무장화와 마스크 등을 착용하여 단기적인 접촉 및 반복적이고 장기적인 노출을 피할 것
- 용액은 즉시 중화시켜 사용하고 미용사의 경우는 중성에 가깝게 희석하여 사용할 것
- 미용실에는 환기장치를 설치하여 물질이 실내에 미스트의 형태로 축적되는 것을 방지할 것
- 취급 후, 손을 철저하게 세척할 것</v>
          </cell>
        </row>
        <row r="81">
          <cell r="B81" t="str">
            <v>2595-54-2</v>
          </cell>
          <cell r="C81" t="str">
            <v>메카밤</v>
          </cell>
          <cell r="D81" t="str">
            <v>97-1-69</v>
          </cell>
          <cell r="E81" t="str">
            <v>및 이를 1% 이상 함유한 혼합물질</v>
          </cell>
          <cell r="F81">
            <v>1</v>
          </cell>
          <cell r="G81" t="str">
            <v>- 환기가 잘 되는 장소에 밀폐된 용기에 보관할 것
- 국소배기장치 설치하여 환기할 것
- 혼합금지물질 및 점화원을 격리할 것
- 취급시 자급식호흡용보호구를 착용할 것
- 인화점이 낮아 열이나 스파크, 불꽃에 의해 쉽게 발화됨할 것 증기가 공기와 접촉하여 폭발적으로 혼합할 수 있음할 것
- 증기는 공기보다 무거워 바닥에 가라앉아 낮은 곳(하수구, 지하 등)에 모이게 되므로 폭발 및 독성위험이 있음할 것
- 가열되면 폭발적으로 중합 반응할 것
- 작업장에 들어가기 전에 밀폐된 공간은 환기할 것</v>
          </cell>
        </row>
        <row r="82">
          <cell r="B82" t="str">
            <v>51-75-2</v>
          </cell>
          <cell r="C82" t="str">
            <v xml:space="preserve">메클로르에타민 </v>
          </cell>
          <cell r="D82" t="str">
            <v>97-1-70</v>
          </cell>
          <cell r="E82" t="str">
            <v>및 그 중 하나를 0.1% 이상 함유한 혼합물질</v>
          </cell>
          <cell r="F82">
            <v>0.1</v>
          </cell>
          <cell r="G82" t="str">
            <v>- 40℃ 이하에서 저장해야 되며, 밀폐 보관할 것
- 발암성이므로 실험실과 가까운 곳에 저장할 것
- 자급식호흡용보호구를 착용할 것
- 화재진압용 보호의는 누출 시에는 비효율적이므로 화재발생 시에만 착용할 것</v>
          </cell>
        </row>
        <row r="83">
          <cell r="B83" t="str">
            <v>66952-49-6</v>
          </cell>
          <cell r="C83" t="str">
            <v>메타술포캅</v>
          </cell>
          <cell r="D83" t="str">
            <v>97-1-71</v>
          </cell>
          <cell r="E83" t="str">
            <v>및 이를 1% 이상 함유한 혼합물질</v>
          </cell>
          <cell r="F83">
            <v>1</v>
          </cell>
          <cell r="G83" t="str">
            <v>- 통풍이 잘되는 그늘 및 서늘한 곳에 밀폐 보관할 것
- 식료품, 사료, 의약품과 혼합저장 금지할 것
- 필요에 따라 국소배기장치 가동할 것
- 피부와의 접촉을 피할 것
- 환경에 배출을 피할 것
- 적절한 장갑을 착용할 것</v>
          </cell>
        </row>
        <row r="84">
          <cell r="B84" t="str">
            <v>10265-92-6</v>
          </cell>
          <cell r="C84" t="str">
            <v>메타아미도포스</v>
          </cell>
          <cell r="D84" t="str">
            <v>97-1-72,06-4-9</v>
          </cell>
          <cell r="E84" t="str">
            <v>및 이를 1% 이상 함유한 혼합물질</v>
          </cell>
          <cell r="F84">
            <v>1</v>
          </cell>
          <cell r="G84" t="str">
            <v>- 건조하고 통풍이 잘 되는 그늘 및 서늘한 곳에 밀폐 보관할 것
- 취급 또는 작업 시는 자급식호흡용보호구를 착용하고 고글형 보안경, 보호의, 고무(또는 네오프렌)장갑 및 고무장화와 마스크 등을 착용하여 단기적인 접촉 및 반복적이고 장기적인 노출을 피할 것
- 가죽으로 만든 보호의, 장갑, 앞치마는 사용 금지할 것
- 취급금지물질(이를 1% 이상 함유한 혼합물질)</v>
          </cell>
        </row>
        <row r="85">
          <cell r="B85" t="str">
            <v>126-98-7</v>
          </cell>
          <cell r="C85" t="str">
            <v>메타아크릴로니트릴</v>
          </cell>
          <cell r="D85" t="str">
            <v>97-1-73</v>
          </cell>
          <cell r="E85" t="str">
            <v>및 이를 25% 이상 함유한 혼합물질</v>
          </cell>
          <cell r="F85">
            <v>25</v>
          </cell>
          <cell r="G85" t="str">
            <v>- 강산화제나 발화원에서 멀리 떨어진 곳에 보관할 것
- 서늘하고 건조하고 통풍이 잘 되는 장소에서 혼합금지물질과 격리 저장할 것
- 확실하게 밀폐된 용기에 저장할 것
- 작업장이 밀폐된 공간이면 들어가기 전 먼저 환기할 것
- 비상시를 대비하여 적절한 호흡용보호장비, 보호의, 소방장비를 준비할 것
- 인간에게 위험할 정도에 이를 때까지 냄새가 나지 않을 수 있으므로 세심한 주의할 것
- 노출기준 이상에서는 호흡보호구를 착용할 것
- 가죽으로 만든 장갑, 부츠는 메타아크릴니트릴을 빠르게 흡수하므로 사용 금지
- 자급식호흡용보호구, 고무장화, 고무장갑을 착용할 것
- 취급 후, 손을 철저하게 세척할 것
- 물질을 이동시킬 때 용기를 땅에 밀착하여 이동할 것</v>
          </cell>
        </row>
        <row r="86">
          <cell r="B86" t="str">
            <v>108-62-3</v>
          </cell>
          <cell r="C86" t="str">
            <v>메타알데히드</v>
          </cell>
          <cell r="D86" t="str">
            <v>97-1-74</v>
          </cell>
          <cell r="E86" t="str">
            <v>및 이를 25% 이상 함유한 혼합물질</v>
          </cell>
          <cell r="F86">
            <v>25</v>
          </cell>
          <cell r="G86" t="str">
            <v>- 건조하고 통풍이 잘되는 그늘 및 서늘한 곳에 격리 보관할 것
- 식료품, 사료, 의약품, 음식과 혼합저장 금지할 것
- 필요에 따라 국소배기장치 가동할 것
- 혼합금지물질 및 점화원을 격리할 것
- 취급 또는 작업 시는 양압자급식호흡용보호구를 착용하고, 보호의, 고무(또는 네오프렌) 재질의 장갑 및 고무장화 등을 착용하여 단기적인 접촉 및 반복적이고 장기적인 노출을 피할 것</v>
          </cell>
        </row>
        <row r="87">
          <cell r="B87" t="str">
            <v>16752-77-5</v>
          </cell>
          <cell r="C87" t="str">
            <v>메토밀</v>
          </cell>
          <cell r="D87" t="str">
            <v>97-1-75</v>
          </cell>
          <cell r="E87" t="str">
            <v>및 이를 1% 이상 함유한 혼합물질</v>
          </cell>
          <cell r="F87">
            <v>1</v>
          </cell>
          <cell r="G87" t="str">
            <v>- 0℃ 이하의 그늘 및 서늘한 곳에 보관할 것 식료품, 사료, 의약품, 음식과 혼합저장 금지할 것
- 필요에 따라 국소배기장치 가동하여 환기할 것
- 혼합금지물질 및 점화원을 가까이에 두지 말 것
- 취급 시 고글형 보안경과 마스크를 착용할 것
- 화학물질 흄 후드 내에서 취급할 것</v>
          </cell>
        </row>
        <row r="88">
          <cell r="B88" t="str">
            <v>950-37-8</v>
          </cell>
          <cell r="C88" t="str">
            <v>메티다티온</v>
          </cell>
          <cell r="D88" t="str">
            <v>97-1-76</v>
          </cell>
          <cell r="E88" t="str">
            <v>및 이를 1% 이상 함유한 혼합물질</v>
          </cell>
          <cell r="F88">
            <v>1</v>
          </cell>
          <cell r="G88" t="str">
            <v>- 통풍이 잘되는 그늘 및 서늘한 곳(20℃이하)에 밀폐 보관할 것
- 식료품, 사료, 의약품, 음식과 혼합저장 및 수송 금지할 것
- 필요에 따라 국소배기장치 가동할 것
- 열, 스파크, 불꽃과 격리하여 저장할 것
- 취급 또는 작업 시는 통풍이 잘되는 후드에서 행하고 고무장갑(또는 네오프렌 재질), 고무앞치마, 자급식호흡용보호구를 착용하여 단기적인 접촉 및 반복적이고 장기적인 노출을 피할 것
- 가죽으로 만든 보호의, 장갑, 앞치마는 사용 금지할 것
- 노출기준 이상에서는 호흡보호구를 착용할 것</v>
          </cell>
        </row>
        <row r="89">
          <cell r="B89" t="str">
            <v>2032-65-7</v>
          </cell>
          <cell r="C89" t="str">
            <v>메티오캅</v>
          </cell>
          <cell r="D89" t="str">
            <v>97-1-77</v>
          </cell>
          <cell r="E89" t="str">
            <v>및 이를 1% 이상 함유한 혼합물질</v>
          </cell>
          <cell r="F89">
            <v>1</v>
          </cell>
          <cell r="G89" t="str">
            <v>- 환기가 잘되는 곳에 밀폐 보관할 것
- 저장용기는 물리적인 손상에 견딜 수 있어야 할 것
- 식료품, 사료, 의약품, 인화성물질과 혼합저장 및 수송금지할 것
- 취급시 양압자급식호흡용보호구를 착용할 것
- 취급시 피부접촉을 피하고 고무(또는 네오프렌) 보호장갑, 보안경, 보호의를 착용할 것</v>
          </cell>
        </row>
        <row r="90">
          <cell r="B90" t="str">
            <v>78-94-4</v>
          </cell>
          <cell r="C90" t="str">
            <v>메틸비닐케톤</v>
          </cell>
          <cell r="D90" t="str">
            <v>97-1-78</v>
          </cell>
          <cell r="E90" t="str">
            <v>및 이를 1% 이상 함유한 혼합물질</v>
          </cell>
          <cell r="F90">
            <v>1</v>
          </cell>
          <cell r="G90" t="str">
            <v>- 통풍이 좋은 그늘 및 서늘한 곳에 밀폐 보관할 것 식료품, 사료, 의약품, 음식과 혼합저장 및 수송 금지할 것
- 열, 산화물질, 직사광선과 멀리 떨어진 곳에 저장할 것
- 환원제, 알칼리류에서 분리할 것
- 화학물질 흄 후드 내에서 취급할 것
- 점화원을 제거할 것
- 취급 시 피부접촉을 피하고 보호의(고무제)와 보호장갑을 착용할 것
- 사고대비물질(이를 1% 이상 함유한 혼합물질)</v>
          </cell>
        </row>
        <row r="91">
          <cell r="B91" t="str">
            <v>57-39-6</v>
          </cell>
          <cell r="C91" t="str">
            <v>메틸 아폭시드</v>
          </cell>
          <cell r="D91" t="str">
            <v>97-1-79</v>
          </cell>
          <cell r="E91" t="str">
            <v>및 이를 1% 이상 함유한 혼합물질</v>
          </cell>
          <cell r="F91">
            <v>1</v>
          </cell>
          <cell r="G91" t="str">
            <v>- 통풍이 잘 되는 그늘 및 서늘한 곳에 밀폐 보관할 것
- 식료품, 사료, 의약품과 혼합저장 금지할 것
- 필요에 따라 국소배기장치 가동할 것
- 적절한 보호복과 보호장갑을 착용할 것
- 가죽으로 만든 보호의, 장갑, 앞치마는 사용 금지할 것
- 작업 후 온몸을 깨끗이 씻은 후 충분한 휴식할 것
- 양압자급식호흡용보호구를 반드시 착용하고 보호의와 고글형 보안경을 착용할 것</v>
          </cell>
        </row>
        <row r="92">
          <cell r="B92" t="str">
            <v>67-56-1</v>
          </cell>
          <cell r="C92" t="str">
            <v>메틸 알코올</v>
          </cell>
          <cell r="D92" t="str">
            <v>97-1-80</v>
          </cell>
          <cell r="E92" t="str">
            <v>및 이를 85% 이상 함유한 혼합물질, 유기용제인 경우 85% 이상 함유한 혼합물질</v>
          </cell>
          <cell r="F92">
            <v>85</v>
          </cell>
          <cell r="G92" t="str">
            <v>- 건조하고 통풍이 잘 되는 그늘 및 서늘한 곳에 밀폐 보관할 것
- 필요에 따라 국소배기장치 가동할 것
- 점화원과 격리할 것
- 취급 또는 작업 시는 호흡용보호구(송기마스크/공기호흡기)를 착용하고  고글형  보안경,  보호의,  고무(또는  네오프렌)재질의 장갑 및 고무장화와 마스크 등을 착용하여 단기적인 접촉 및 반복적이고 장기적인 노출을 피할 것
- 사고대비물질(이를 1% 이상 함유한 혼합물질)</v>
          </cell>
        </row>
        <row r="93">
          <cell r="B93" t="str">
            <v>78-93-3</v>
          </cell>
          <cell r="C93" t="str">
            <v xml:space="preserve">메틸에틸케톤 </v>
          </cell>
          <cell r="D93" t="str">
            <v>97-1-81</v>
          </cell>
          <cell r="E93" t="str">
            <v>및 이를 85% 이상 함유한 혼합물질, 유기용제인 경우 85% 이상 함유한 혼합물질</v>
          </cell>
          <cell r="F93">
            <v>85</v>
          </cell>
          <cell r="G93" t="str">
            <v>- 그늘 및 서늘한 곳에 밀폐 보관할 것 간간히 누출여부를 확인할 것
- 폭발물, 산화제, 유기과산화물, 방사능물질과 보관 금지할 것
- 점화원과 격리할 것
- 취급 시 피부접촉을 피하고 양압자급식호흡용보호구와 보호 장갑(플라스틱제)을 착용할 것
- 통풍이 잘 되는 장소에서만 사용할 것
- 물질을 이동시킬 때 용기를 해당시설의 바닥에 밀착하여 이동시킬 것
- 빈 용기를 가압, 절단, 용접, 납땜, 연마, 천공을 해서는 안 되며, 열, 스파크, 화염에 노출시키지 말 것
- 사고대비물질(이를 1% 이상 함유한 혼합물질)</v>
          </cell>
        </row>
        <row r="94">
          <cell r="B94" t="str">
            <v>96-34-4</v>
          </cell>
          <cell r="C94" t="str">
            <v>메틸 클로로아세트산</v>
          </cell>
          <cell r="D94" t="str">
            <v>97-1-82</v>
          </cell>
          <cell r="E94" t="str">
            <v>및 이를 25% 이상 함유한 혼합물질</v>
          </cell>
          <cell r="F94">
            <v>25</v>
          </cell>
          <cell r="G94" t="str">
            <v>- 건조하고 환기가 잘 되는 장소에 밀폐 보관할 것
- 필요에 따라 국소배기장치로 환기할 것
- 물이나 가연성물질과 격리시켜 보관할 것
- 취급 시 자급식호흡보호구 및 기타 보호장비를 착용할 것
- 콘택트렌즈를 착용 금지할 것
- 물질을 이동시킬 때 용기를 땅에 밀착하여 이동할 것
- 스파크를 막는 기계와 폭발을 막는 장치를 사용할 것
- 빈 용기를 가압, 절단, 용접, 납땜, 연마, 천공을 해서는 안 되며, 열, 스파크, 화염에 노출시키지 말 것</v>
          </cell>
        </row>
        <row r="95">
          <cell r="B95" t="str">
            <v>953-17-3</v>
          </cell>
          <cell r="C95" t="str">
            <v xml:space="preserve">메틸 트리티온 </v>
          </cell>
          <cell r="D95" t="str">
            <v>97-1-83</v>
          </cell>
          <cell r="E95" t="str">
            <v>및 이를 1% 이상 함유한 혼합물질</v>
          </cell>
          <cell r="F95">
            <v>1</v>
          </cell>
          <cell r="G95" t="str">
            <v>- 환기가 잘되는 곳에 저장할 것
- 식료품, 사료, 의약품, 인화성물질과 혼합저장 및 수송 금지
- 필요에 따라 국소배기장치 가동할 것
- 화학물질 흄 후드 내에서 취급할 것
- 취급 시 피부접촉을 피하고 보호의와 보호장비를 착용할 것
- 취급 시 자급식호흡용보호구를 착용할 것</v>
          </cell>
        </row>
        <row r="96">
          <cell r="B96" t="str">
            <v>60-34-4</v>
          </cell>
          <cell r="C96" t="str">
            <v>메틸히드라진</v>
          </cell>
          <cell r="D96" t="str">
            <v>97-1-84</v>
          </cell>
          <cell r="E96" t="str">
            <v>및 이를 1% 이상 함유한 혼합물질</v>
          </cell>
          <cell r="F96">
            <v>1</v>
          </cell>
          <cell r="G96" t="str">
            <v>- 환기가 잘 되는 건조하고 서늘한 곳에 밀폐 저장할 것
- 산, 산화제, 할로겐 및 공기와 격리할 것
- 유리병, 스테인레스 캔에 보관하거나 대형유리병(carboy)에 넣어 나무상자 안에 보관할 것
- 열, 스파크, 화염과 격리할 것
- 취급 시 자급식호흡용보호구를 착용하고 비닐보호 장갑, 고무앞치마, 플라스틱보안경과 플라스틱 안면보호구를 착용할 것 보호장비는 네오프렌이나 비닐 코팅처리가 된 것으로 착용할 것
- 취급 시 콘택트렌즈를 착용 금지할 것
- 작업장 부근에 비상시를 대비하여 샤워시설 및 세안시설 구비할 것
- 통풍이 잘 되는 장소에서만 사용할 것
- 물질을 이동시킬 때 용기를 땅에 밀착하여 이동할 것
- 빈 용기를 가압, 절단, 용접, 납땜, 연마, 천공을 해서는 안 되며, 열, 스파크, 화염에 노출시키지 말 것
- 사고대비물질(이를 1% 이상 함유한 혼합물질)</v>
          </cell>
        </row>
        <row r="97">
          <cell r="B97" t="str">
            <v>950-10-7</v>
          </cell>
          <cell r="C97" t="str">
            <v>메포스폴란</v>
          </cell>
          <cell r="D97" t="str">
            <v>97-1-85</v>
          </cell>
          <cell r="E97" t="str">
            <v>및 이를 1% 이상 함유한 혼합물질</v>
          </cell>
          <cell r="F97">
            <v>1</v>
          </cell>
          <cell r="G97" t="str">
            <v>- 환기가 잘되는 곳에 저장할 것
- 식료품, 사료, 의약품, 인화성물질과 혼합저장 및 수송금지
- 필요에 따라 국소배기장치 가동할 것
- 혼합금지물질 및 점화원을 격리할 것
- 취급 시 피부접촉을 피하고 보호의, 보안경, 보호장갑, 보호앞치마를 착용할 것
- 물질을 취급 시에는 자급식호흡용보호구를 착용할 것</v>
          </cell>
        </row>
        <row r="98">
          <cell r="B98" t="str">
            <v>315-18-4</v>
          </cell>
          <cell r="C98" t="str">
            <v>멕사카베이트</v>
          </cell>
          <cell r="D98" t="str">
            <v>97-1-86</v>
          </cell>
          <cell r="E98" t="str">
            <v>및 이를 1% 이상 함유한 혼합물질</v>
          </cell>
          <cell r="F98">
            <v>1</v>
          </cell>
          <cell r="G98" t="str">
            <v>- 건조하고 통풍이 잘되는 그늘 및 서늘한 곳에 밀폐 보관할 것
- 식료품, 사료, 의약품, 음식과 혼합저장 금지할 것
- 필요에 따라 국소배기장치 가동할 것
- 저장용기는 물리적인 손상에 견딜 수 있어야 할 것
- 알칼리, 물, 열원, 스파크, 불꽃, 가연성물질, 점화원과 격리하여 저장할 것
- 취급 또는 작업 시는 통풍이 잘되는 후드에서 행하고 고글형 보안경, 보호의, 보호장갑(고무 또는 네오프렌 재질), 고무앞치마, 양압자급식호흡용보호구를 착용하여 단기적인 접촉 및 반복적이고 장기적인 노출을 피할 것
- 노출기준 이상에서는 호흡보호구를 착용할 것</v>
          </cell>
        </row>
        <row r="99">
          <cell r="B99" t="str">
            <v>17090-79-8</v>
          </cell>
          <cell r="C99" t="str">
            <v>모넨신</v>
          </cell>
          <cell r="D99" t="str">
            <v>97-1-87</v>
          </cell>
          <cell r="E99" t="str">
            <v>및 그 중 모넬신으로서 8% 이상 함유한 혼합물질</v>
          </cell>
          <cell r="F99">
            <v>8</v>
          </cell>
          <cell r="G99" t="str">
            <v>- 건조하고 통풍이 잘되는 그늘 및 서늘한 곳에 산화제와 격리하여 밀폐 보관할 것
- 식료품, 사료, 의약품, 음시과 혼합저장 금지할 것
- 필요에 따라 국소배기장치 가동할 것
- 취급 또는 작업 시는 자급식호흡용보호구를 착용하고, 고글형 보안경, 보호의, 고무(또는 네오프렌) 재잘의 장갑 및 고무장화 등을 착용하여 단기적인 접촉 및 반복적이고 장기적인 노출을 피할 것</v>
          </cell>
        </row>
        <row r="100">
          <cell r="B100" t="str">
            <v>6923-22-4</v>
          </cell>
          <cell r="C100" t="str">
            <v>모노크로토포스</v>
          </cell>
          <cell r="D100" t="str">
            <v>97-1-88,06-4-8</v>
          </cell>
          <cell r="E100" t="str">
            <v>및 이를 1% 이상 함유한 혼합물질</v>
          </cell>
          <cell r="F100">
            <v>1</v>
          </cell>
          <cell r="G100" t="str">
            <v>- 21.2~26.7℃의 통풍이 잘 되는 곳에 보관할 것
- 서늘하고 건조하고 어두운 장소에서 밀폐된 용기나 실린더에 저장할 것
- 혼합금지물질 및 점화원을 격리할 것
- 화학물질 흄 후드 내에서 취급할 것
- 증기압이 높으므로 밀폐된 장소에서는 호흡용보호구를 착용할 것
- 가죽으로 만든 보호의, 장갑, 앞치마는 사용 금지할 것
- 작업 후 온몸을 깨끗이 씻은 후 충분한 휴식할 것
- 취급금지물질(이를 1% 이상 함유한 혼합물질)</v>
          </cell>
        </row>
        <row r="101">
          <cell r="B101" t="str">
            <v>2212-67-1</v>
          </cell>
          <cell r="C101" t="str">
            <v>몰리네이트</v>
          </cell>
          <cell r="D101" t="str">
            <v>97-1-89</v>
          </cell>
          <cell r="E101" t="str">
            <v>및 이를 25% 이상 함유한 혼합물질</v>
          </cell>
          <cell r="F101">
            <v>25</v>
          </cell>
          <cell r="G101" t="str">
            <v>- 환기가 잘되는 곳에 보관할 것
- 식료품, 사료, 의약품, 인화성물질 및 음식물과 혼합저장 및 수송 금지할 것 필요에 따라 국소배기장치 가동할 것
- 취급 시 피부접촉을 피하고 보호의와 보호장갑을 착용할 것
- 취급 또는 작업 시는 통풍이 잘되는 후드에서 행하고 내산성보호의, 고무장갑, 고무앞치마, 산성가스 카트리지가 장착된 전면호흡용보호구를 착용하여 단기적인 접촉 및 반복적이고 장기적인 노출을 피해야 할 것</v>
          </cell>
        </row>
        <row r="102">
          <cell r="B102" t="str">
            <v>1335-31-5</v>
          </cell>
          <cell r="C102" t="str">
            <v>무기시안 화합물질</v>
          </cell>
          <cell r="D102" t="str">
            <v>97-1-90</v>
          </cell>
          <cell r="E102" t="str">
            <v>및 이를 1% 이상 함유한 혼합물질. 다만, 베를린청(Ferric ferrocyanide), 황혈염(Potassium ferrocyanide), 적혈염(Potassium ferricyanide) 및 그 중 하나를 함유한 혼합물질은 제외</v>
          </cell>
          <cell r="F102">
            <v>1</v>
          </cell>
          <cell r="G102" t="str">
            <v>- 건조하고 통풍이 잘되는 그늘 및 서늘한 곳에 주기적 점검이 가능하도록 밀폐 보관할 것
- 운반 시 갈고리를 사용 금지할 것
- 부식이나 물리적 손상이 일어나지 않도록 할 것
- 질산-아질산 혼합물이나 과산화물과 접촉하지 않도록 할 것
- 식료품, 사료, 의약품, 음식과 혼합저장 금지할 것
- 필요에 따라 국소배기장치 가동할 것
- 장기간 보관하면 변색되어 뇌산은(fulminating silver)  등의 질화물을 함유할 수 있음(③ Silver cyanide)할 것
- 취급 또는 작업 시는 양압자급식호흡보호구를 착용하고 고글형 보안경, 내화학성 보호복, 보호 장갑 등을 착용하여 단기적인 접촉 및 반복적이고 장기적인 노출을 피할 것
- 작업 시에는 콘택트렌즈를 뺄 것
- 작업장 부근에 비상시를 대비하여 샤워시설 및 세안시설 구비할 것
- 사고대비물질(시안화수소 및 이를 1% 이상 함유한 혼합물질)</v>
          </cell>
        </row>
        <row r="103">
          <cell r="B103" t="str">
            <v>13682-73-0</v>
          </cell>
          <cell r="C103" t="str">
            <v>무기시안 화합물질</v>
          </cell>
          <cell r="D103" t="str">
            <v>97-1-90</v>
          </cell>
          <cell r="E103" t="str">
            <v>및 이를 1% 이상 함유한 혼합물질. 다만, 베를린청(Ferric ferrocyanide), 황혈염(Potassium ferrocyanide), 적혈염(Potassium ferricyanide) 및 그 중 하나를 함유한 혼합물질은 제외</v>
          </cell>
          <cell r="F103">
            <v>1</v>
          </cell>
          <cell r="G103" t="str">
            <v>- 건조하고 통풍이 잘되는 그늘 및 서늘한 곳에 주기적 점검이 가능하도록 밀폐 보관할 것
- 운반 시 갈고리를 사용 금지할 것
- 부식이나 물리적 손상이 일어나지 않도록 할 것
- 질산-아질산 혼합물이나 과산화물과 접촉하지 않도록 할 것
- 식료품, 사료, 의약품, 음식과 혼합저장 금지할 것
- 필요에 따라 국소배기장치 가동할 것
- 장기간 보관하면 변색되어 뇌산은(fulminating silver)  등의 질화물을 함유할 수 있음(③ Silver cyanide)할 것
- 취급 또는 작업 시는 양압자급식호흡보호구를 착용하고 고글형 보안경, 내화학성 보호복, 보호 장갑 등을 착용하여 단기적인 접촉 및 반복적이고 장기적인 노출을 피할 것
- 작업 시에는 콘택트렌즈를 뺄 것
- 작업장 부근에 비상시를 대비하여 샤워시설 및 세안시설 구비할 것
- 사고대비물질(시안화수소 및 이를 1% 이상 함유한 혼합물질)</v>
          </cell>
        </row>
        <row r="104">
          <cell r="B104" t="str">
            <v>13715-19-0</v>
          </cell>
          <cell r="C104" t="str">
            <v>무기시안 화합물질</v>
          </cell>
          <cell r="D104" t="str">
            <v>97-1-90</v>
          </cell>
          <cell r="E104" t="str">
            <v>및 이를 1% 이상 함유한 혼합물질. 다만, 베를린청(Ferric ferrocyanide), 황혈염(Potassium ferrocyanide), 적혈염(Potassium ferricyanide) 및 그 중 하나를 함유한 혼합물질은 제외</v>
          </cell>
          <cell r="F104">
            <v>1</v>
          </cell>
          <cell r="G104" t="str">
            <v>- 건조하고 통풍이 잘되는 그늘 및 서늘한 곳에 주기적 점검이 가능하도록 밀폐 보관할 것
- 운반 시 갈고리를 사용 금지할 것
- 부식이나 물리적 손상이 일어나지 않도록 할 것
- 질산-아질산 혼합물이나 과산화물과 접촉하지 않도록 할 것
- 식료품, 사료, 의약품, 음식과 혼합저장 금지할 것
- 필요에 따라 국소배기장치 가동할 것
- 장기간 보관하면 변색되어 뇌산은(fulminating silver)  등의 질화물을 함유할 수 있음(③ Silver cyanide)할 것
- 취급 또는 작업 시는 양압자급식호흡보호구를 착용하고 고글형 보안경, 내화학성 보호복, 보호 장갑 등을 착용하여 단기적인 접촉 및 반복적이고 장기적인 노출을 피할 것
- 작업 시에는 콘택트렌즈를 뺄 것
- 작업장 부근에 비상시를 대비하여 샤워시설 및 세안시설 구비할 것
- 사고대비물질(시안화수소 및 이를 1% 이상 함유한 혼합물질)</v>
          </cell>
        </row>
        <row r="105">
          <cell r="B105" t="str">
            <v>13963-58-1</v>
          </cell>
          <cell r="C105" t="str">
            <v>무기시안 화합물질</v>
          </cell>
          <cell r="D105" t="str">
            <v>97-1-90</v>
          </cell>
          <cell r="E105" t="str">
            <v>및 이를 1% 이상 함유한 혼합물질. 다만, 베를린청(Ferric ferrocyanide), 황혈염(Potassium ferrocyanide), 적혈염(Potassium ferricyanide) 및 그 중 하나를 함유한 혼합물질은 제외</v>
          </cell>
          <cell r="F105">
            <v>1</v>
          </cell>
          <cell r="G105" t="str">
            <v>- 건조하고 통풍이 잘되는 그늘 및 서늘한 곳에 주기적 점검이 가능하도록 밀폐 보관할 것
- 운반 시 갈고리를 사용 금지할 것
- 부식이나 물리적 손상이 일어나지 않도록 할 것
- 질산-아질산 혼합물이나 과산화물과 접촉하지 않도록 할 것
- 식료품, 사료, 의약품, 음식과 혼합저장 금지할 것
- 필요에 따라 국소배기장치 가동할 것
- 장기간 보관하면 변색되어 뇌산은(fulminating silver)  등의 질화물을 함유할 수 있음(③ Silver cyanide)할 것
- 취급 또는 작업 시는 양압자급식호흡보호구를 착용하고 고글형 보안경, 내화학성 보호복, 보호 장갑 등을 착용하여 단기적인 접촉 및 반복적이고 장기적인 노출을 피할 것
- 작업 시에는 콘택트렌즈를 뺄 것
- 작업장 부근에 비상시를 대비하여 샤워시설 및 세안시설 구비할 것
- 사고대비물질(시안화수소 및 이를 1% 이상 함유한 혼합물질)</v>
          </cell>
        </row>
        <row r="106">
          <cell r="B106" t="str">
            <v>13967-50-5</v>
          </cell>
          <cell r="C106" t="str">
            <v>무기시안 화합물질</v>
          </cell>
          <cell r="D106" t="str">
            <v>97-1-90</v>
          </cell>
          <cell r="E106" t="str">
            <v>및 이를 1% 이상 함유한 혼합물질. 다만, 베를린청(Ferric ferrocyanide), 황혈염(Potassium ferrocyanide), 적혈염(Potassium ferricyanide) 및 그 중 하나를 함유한 혼합물질은 제외</v>
          </cell>
          <cell r="F106">
            <v>1</v>
          </cell>
          <cell r="G106" t="str">
            <v>- 건조하고 통풍이 잘되는 그늘 및 서늘한 곳에 주기적 점검이 가능하도록 밀폐 보관할 것
- 운반 시 갈고리를 사용 금지할 것
- 부식이나 물리적 손상이 일어나지 않도록 할 것
- 질산-아질산 혼합물이나 과산화물과 접촉하지 않도록 할 것
- 식료품, 사료, 의약품, 음식과 혼합저장 금지할 것
- 필요에 따라 국소배기장치 가동할 것
- 장기간 보관하면 변색되어 뇌산은(fulminating silver)  등의 질화물을 함유할 수 있음(③ Silver cyanide)할 것
- 취급 또는 작업 시는 양압자급식호흡보호구를 착용하고 고글형 보안경, 내화학성 보호복, 보호 장갑 등을 착용하여 단기적인 접촉 및 반복적이고 장기적인 노출을 피할 것
- 작업 시에는 콘택트렌즈를 뺄 것
- 작업장 부근에 비상시를 대비하여 샤워시설 및 세안시설 구비할 것
- 사고대비물질(시안화수소 및 이를 1% 이상 함유한 혼합물질)</v>
          </cell>
        </row>
        <row r="107">
          <cell r="B107" t="str">
            <v>14038-85-8</v>
          </cell>
          <cell r="C107" t="str">
            <v>무기시안 화합물질</v>
          </cell>
          <cell r="D107" t="str">
            <v>97-1-90</v>
          </cell>
          <cell r="E107" t="str">
            <v>및 이를 1% 이상 함유한 혼합물질. 다만, 베를린청(Ferric ferrocyanide), 황혈염(Potassium ferrocyanide), 적혈염(Potassium ferricyanide) 및 그 중 하나를 함유한 혼합물질은 제외</v>
          </cell>
          <cell r="F107">
            <v>1</v>
          </cell>
          <cell r="G107" t="str">
            <v>- 건조하고 통풍이 잘되는 그늘 및 서늘한 곳에 주기적 점검이 가능하도록 밀폐 보관할 것
- 운반 시 갈고리를 사용 금지할 것
- 부식이나 물리적 손상이 일어나지 않도록 할 것
- 질산-아질산 혼합물이나 과산화물과 접촉하지 않도록 할 것
- 식료품, 사료, 의약품, 음식과 혼합저장 금지할 것
- 필요에 따라 국소배기장치 가동할 것
- 장기간 보관하면 변색되어 뇌산은(fulminating silver)  등의 질화물을 함유할 수 있음(③ Silver cyanide)할 것
- 취급 또는 작업 시는 양압자급식호흡보호구를 착용하고 고글형 보안경, 내화학성 보호복, 보호 장갑 등을 착용하여 단기적인 접촉 및 반복적이고 장기적인 노출을 피할 것
- 작업 시에는 콘택트렌즈를 뺄 것
- 작업장 부근에 비상시를 대비하여 샤워시설 및 세안시설 구비할 것
- 사고대비물질(시안화수소 및 이를 1% 이상 함유한 혼합물질)</v>
          </cell>
        </row>
        <row r="108">
          <cell r="B108" t="str">
            <v>14039-23-7</v>
          </cell>
          <cell r="C108" t="str">
            <v>무기시안 화합물질</v>
          </cell>
          <cell r="D108" t="str">
            <v>97-1-90</v>
          </cell>
          <cell r="E108" t="str">
            <v>및 이를 1% 이상 함유한 혼합물질. 다만, 베를린청(Ferric ferrocyanide), 황혈염(Potassium ferrocyanide), 적혈염(Potassium ferricyanide) 및 그 중 하나를 함유한 혼합물질은 제외</v>
          </cell>
          <cell r="F108">
            <v>1</v>
          </cell>
          <cell r="G108" t="str">
            <v>- 건조하고 통풍이 잘되는 그늘 및 서늘한 곳에 주기적 점검이 가능하도록 밀폐 보관할 것
- 운반 시 갈고리를 사용 금지할 것
- 부식이나 물리적 손상이 일어나지 않도록 할 것
- 질산-아질산 혼합물이나 과산화물과 접촉하지 않도록 할 것
- 식료품, 사료, 의약품, 음식과 혼합저장 금지할 것
- 필요에 따라 국소배기장치 가동할 것
- 장기간 보관하면 변색되어 뇌산은(fulminating silver)  등의 질화물을 함유할 수 있음(③ Silver cyanide)할 것
- 취급 또는 작업 시는 양압자급식호흡보호구를 착용하고 고글형 보안경, 내화학성 보호복, 보호 장갑 등을 착용하여 단기적인 접촉 및 반복적이고 장기적인 노출을 피할 것
- 작업 시에는 콘택트렌즈를 뺄 것
- 작업장 부근에 비상시를 대비하여 샤워시설 및 세안시설 구비할 것
- 사고대비물질(시안화수소 및 이를 1% 이상 함유한 혼합물질)</v>
          </cell>
        </row>
        <row r="109">
          <cell r="B109" t="str">
            <v>14217-00-6</v>
          </cell>
          <cell r="C109" t="str">
            <v>무기시안 화합물질</v>
          </cell>
          <cell r="D109" t="str">
            <v>97-1-90</v>
          </cell>
          <cell r="E109" t="str">
            <v>및 이를 1% 이상 함유한 혼합물질. 다만, 베를린청(Ferric ferrocyanide), 황혈염(Potassium ferrocyanide), 적혈염(Potassium ferricyanide) 및 그 중 하나를 함유한 혼합물질은 제외</v>
          </cell>
          <cell r="F109">
            <v>1</v>
          </cell>
          <cell r="G109" t="str">
            <v>- 건조하고 통풍이 잘되는 그늘 및 서늘한 곳에 주기적 점검이 가능하도록 밀폐 보관할 것
- 운반 시 갈고리를 사용 금지할 것
- 부식이나 물리적 손상이 일어나지 않도록 할 것
- 질산-아질산 혼합물이나 과산화물과 접촉하지 않도록 할 것
- 식료품, 사료, 의약품, 음식과 혼합저장 금지할 것
- 필요에 따라 국소배기장치 가동할 것
- 장기간 보관하면 변색되어 뇌산은(fulminating silver)  등의 질화물을 함유할 수 있음(③ Silver cyanide)할 것
- 취급 또는 작업 시는 양압자급식호흡보호구를 착용하고 고글형 보안경, 내화학성 보호복, 보호 장갑 등을 착용하여 단기적인 접촉 및 반복적이고 장기적인 노출을 피할 것
- 작업 시에는 콘택트렌즈를 뺄 것
- 작업장 부근에 비상시를 대비하여 샤워시설 및 세안시설 구비할 것
- 사고대비물질(시안화수소 및 이를 1% 이상 함유한 혼합물질)</v>
          </cell>
        </row>
        <row r="110">
          <cell r="B110" t="str">
            <v>14220-17-8</v>
          </cell>
          <cell r="C110" t="str">
            <v>무기시안 화합물질</v>
          </cell>
          <cell r="D110" t="str">
            <v>97-1-90</v>
          </cell>
          <cell r="E110" t="str">
            <v>및 이를 1% 이상 함유한 혼합물질. 다만, 베를린청(Ferric ferrocyanide), 황혈염(Potassium ferrocyanide), 적혈염(Potassium ferricyanide) 및 그 중 하나를 함유한 혼합물질은 제외</v>
          </cell>
          <cell r="F110">
            <v>1</v>
          </cell>
          <cell r="G110" t="str">
            <v>- 건조하고 통풍이 잘되는 그늘 및 서늘한 곳에 주기적 점검이 가능하도록 밀폐 보관할 것
- 운반 시 갈고리를 사용 금지할 것
- 부식이나 물리적 손상이 일어나지 않도록 할 것
- 질산-아질산 혼합물이나 과산화물과 접촉하지 않도록 할 것
- 식료품, 사료, 의약품, 음식과 혼합저장 금지할 것
- 필요에 따라 국소배기장치 가동할 것
- 장기간 보관하면 변색되어 뇌산은(fulminating silver)  등의 질화물을 함유할 수 있음(③ Silver cyanide)할 것
- 취급 또는 작업 시는 양압자급식호흡보호구를 착용하고 고글형 보안경, 내화학성 보호복, 보호 장갑 등을 착용하여 단기적인 접촉 및 반복적이고 장기적인 노출을 피할 것
- 작업 시에는 콘택트렌즈를 뺄 것
- 작업장 부근에 비상시를 대비하여 샤워시설 및 세안시설 구비할 것
- 사고대비물질(시안화수소 및 이를 1% 이상 함유한 혼합물질)</v>
          </cell>
        </row>
        <row r="111">
          <cell r="B111" t="str">
            <v>14263-59-3</v>
          </cell>
          <cell r="C111" t="str">
            <v>무기시안 화합물질</v>
          </cell>
          <cell r="D111" t="str">
            <v>97-1-90</v>
          </cell>
          <cell r="E111" t="str">
            <v>및 이를 1% 이상 함유한 혼합물질. 다만, 베를린청(Ferric ferrocyanide), 황혈염(Potassium ferrocyanide), 적혈염(Potassium ferricyanide) 및 그 중 하나를 함유한 혼합물질은 제외</v>
          </cell>
          <cell r="F111">
            <v>1</v>
          </cell>
          <cell r="G111" t="str">
            <v>- 건조하고 통풍이 잘되는 그늘 및 서늘한 곳에 주기적 점검이 가능하도록 밀폐 보관할 것
- 운반 시 갈고리를 사용 금지할 것
- 부식이나 물리적 손상이 일어나지 않도록 할 것
- 질산-아질산 혼합물이나 과산화물과 접촉하지 않도록 할 것
- 식료품, 사료, 의약품, 음식과 혼합저장 금지할 것
- 필요에 따라 국소배기장치 가동할 것
- 장기간 보관하면 변색되어 뇌산은(fulminating silver)  등의 질화물을 함유할 수 있음(③ Silver cyanide)할 것
- 취급 또는 작업 시는 양압자급식호흡보호구를 착용하고 고글형 보안경, 내화학성 보호복, 보호 장갑 등을 착용하여 단기적인 접촉 및 반복적이고 장기적인 노출을 피할 것
- 작업 시에는 콘택트렌즈를 뺄 것
- 작업장 부근에 비상시를 대비하여 샤워시설 및 세안시설 구비할 것
- 사고대비물질(시안화수소 및 이를 1% 이상 함유한 혼합물질)</v>
          </cell>
        </row>
        <row r="112">
          <cell r="B112" t="str">
            <v>14263-73-1</v>
          </cell>
          <cell r="C112" t="str">
            <v>무기시안 화합물질</v>
          </cell>
          <cell r="D112" t="str">
            <v>97-1-90</v>
          </cell>
          <cell r="E112" t="str">
            <v>및 이를 1% 이상 함유한 혼합물질. 다만, 베를린청(Ferric ferrocyanide), 황혈염(Potassium ferrocyanide), 적혈염(Potassium ferricyanide) 및 그 중 하나를 함유한 혼합물질은 제외</v>
          </cell>
          <cell r="F112">
            <v>1</v>
          </cell>
          <cell r="G112" t="str">
            <v>- 건조하고 통풍이 잘되는 그늘 및 서늘한 곳에 주기적 점검이 가능하도록 밀폐 보관할 것
- 운반 시 갈고리를 사용 금지할 것
- 부식이나 물리적 손상이 일어나지 않도록 할 것
- 질산-아질산 혼합물이나 과산화물과 접촉하지 않도록 할 것
- 식료품, 사료, 의약품, 음식과 혼합저장 금지할 것
- 필요에 따라 국소배기장치 가동할 것
- 장기간 보관하면 변색되어 뇌산은(fulminating silver)  등의 질화물을 함유할 수 있음(③ Silver cyanide)할 것
- 취급 또는 작업 시는 양압자급식호흡보호구를 착용하고 고글형 보안경, 내화학성 보호복, 보호 장갑 등을 착용하여 단기적인 접촉 및 반복적이고 장기적인 노출을 피할 것
- 작업 시에는 콘택트렌즈를 뺄 것
- 작업장 부근에 비상시를 대비하여 샤워시설 및 세안시설 구비할 것
- 사고대비물질(시안화수소 및 이를 1% 이상 함유한 혼합물질)</v>
          </cell>
        </row>
        <row r="113">
          <cell r="B113" t="str">
            <v>14264-31-4</v>
          </cell>
          <cell r="C113" t="str">
            <v>무기시안 화합물질</v>
          </cell>
          <cell r="D113" t="str">
            <v>97-1-90</v>
          </cell>
          <cell r="E113" t="str">
            <v>및 이를 1% 이상 함유한 혼합물질. 다만, 베를린청(Ferric ferrocyanide), 황혈염(Potassium ferrocyanide), 적혈염(Potassium ferricyanide) 및 그 중 하나를 함유한 혼합물질은 제외</v>
          </cell>
          <cell r="F113">
            <v>1</v>
          </cell>
          <cell r="G113" t="str">
            <v>- 건조하고 통풍이 잘되는 그늘 및 서늘한 곳에 주기적 점검이 가능하도록 밀폐 보관할 것
- 운반 시 갈고리를 사용 금지할 것
- 부식이나 물리적 손상이 일어나지 않도록 할 것
- 질산-아질산 혼합물이나 과산화물과 접촉하지 않도록 할 것
- 식료품, 사료, 의약품, 음식과 혼합저장 금지할 것
- 필요에 따라 국소배기장치 가동할 것
- 장기간 보관하면 변색되어 뇌산은(fulminating silver)  등의 질화물을 함유할 수 있음(③ Silver cyanide)할 것
- 취급 또는 작업 시는 양압자급식호흡보호구를 착용하고 고글형 보안경, 내화학성 보호복, 보호 장갑 등을 착용하여 단기적인 접촉 및 반복적이고 장기적인 노출을 피할 것
- 작업 시에는 콘택트렌즈를 뺄 것
- 작업장 부근에 비상시를 대비하여 샤워시설 및 세안시설 구비할 것
- 사고대비물질(시안화수소 및 이를 1% 이상 함유한 혼합물질)</v>
          </cell>
        </row>
        <row r="114">
          <cell r="B114" t="str">
            <v>143-33-9</v>
          </cell>
          <cell r="C114" t="str">
            <v>무기시안 화합물질</v>
          </cell>
          <cell r="D114" t="str">
            <v>97-1-90</v>
          </cell>
          <cell r="E114" t="str">
            <v>및 이를 1% 이상 함유한 혼합물질. 다만, 베를린청(Ferric ferrocyanide), 황혈염(Potassium ferrocyanide), 적혈염(Potassium ferricyanide) 및 그 중 하나를 함유한 혼합물질은 제외</v>
          </cell>
          <cell r="F114">
            <v>1</v>
          </cell>
          <cell r="G114" t="str">
            <v>- 건조하고 통풍이 잘되는 그늘 및 서늘한 곳에 주기적 점검이 가능하도록 밀폐 보관할 것
- 운반 시 갈고리를 사용 금지할 것
- 부식이나 물리적 손상이 일어나지 않도록 할 것
- 질산-아질산 혼합물이나 과산화물과 접촉하지 않도록 할 것
- 식료품, 사료, 의약품, 음식과 혼합저장 금지할 것
- 필요에 따라 국소배기장치 가동할 것
- 장기간 보관하면 변색되어 뇌산은(fulminating silver)  등의 질화물을 함유할 수 있음(③ Silver cyanide)할 것
- 취급 또는 작업 시는 양압자급식호흡보호구를 착용하고 고글형 보안경, 내화학성 보호복, 보호 장갑 등을 착용하여 단기적인 접촉 및 반복적이고 장기적인 노출을 피할 것
- 작업 시에는 콘택트렌즈를 뺄 것
- 작업장 부근에 비상시를 대비하여 샤워시설 및 세안시설 구비할 것
- 사고대비물질(시안화수소 및 이를 1% 이상 함유한 혼합물질)</v>
          </cell>
        </row>
        <row r="115">
          <cell r="B115" t="str">
            <v>14402-75-6</v>
          </cell>
          <cell r="C115" t="str">
            <v>무기시안 화합물질</v>
          </cell>
          <cell r="D115" t="str">
            <v>97-1-90</v>
          </cell>
          <cell r="E115" t="str">
            <v>및 이를 1% 이상 함유한 혼합물질. 다만, 베를린청(Ferric ferrocyanide), 황혈염(Potassium ferrocyanide), 적혈염(Potassium ferricyanide) 및 그 중 하나를 함유한 혼합물질은 제외</v>
          </cell>
          <cell r="F115">
            <v>1</v>
          </cell>
          <cell r="G115" t="str">
            <v>- 건조하고 통풍이 잘되는 그늘 및 서늘한 곳에 주기적 점검이 가능하도록 밀폐 보관할 것
- 운반 시 갈고리를 사용 금지할 것
- 부식이나 물리적 손상이 일어나지 않도록 할 것
- 질산-아질산 혼합물이나 과산화물과 접촉하지 않도록 할 것
- 식료품, 사료, 의약품, 음식과 혼합저장 금지할 것
- 필요에 따라 국소배기장치 가동할 것
- 장기간 보관하면 변색되어 뇌산은(fulminating silver)  등의 질화물을 함유할 수 있음(③ Silver cyanide)할 것
- 취급 또는 작업 시는 양압자급식호흡보호구를 착용하고 고글형 보안경, 내화학성 보호복, 보호 장갑 등을 착용하여 단기적인 접촉 및 반복적이고 장기적인 노출을 피할 것
- 작업 시에는 콘택트렌즈를 뺄 것
- 작업장 부근에 비상시를 대비하여 샤워시설 및 세안시설 구비할 것
- 사고대비물질(시안화수소 및 이를 1% 이상 함유한 혼합물질)</v>
          </cell>
        </row>
        <row r="116">
          <cell r="B116" t="str">
            <v>14402-89-2</v>
          </cell>
          <cell r="C116" t="str">
            <v>무기시안 화합물질</v>
          </cell>
          <cell r="D116" t="str">
            <v>97-1-90</v>
          </cell>
          <cell r="E116" t="str">
            <v>및 이를 1% 이상 함유한 혼합물질. 다만, 베를린청(Ferric ferrocyanide), 황혈염(Potassium ferrocyanide), 적혈염(Potassium ferricyanide) 및 그 중 하나를 함유한 혼합물질은 제외</v>
          </cell>
          <cell r="F116">
            <v>1</v>
          </cell>
          <cell r="G116" t="str">
            <v>- 건조하고 통풍이 잘되는 그늘 및 서늘한 곳에 주기적 점검이 가능하도록 밀폐 보관할 것
- 운반 시 갈고리를 사용 금지할 것
- 부식이나 물리적 손상이 일어나지 않도록 할 것
- 질산-아질산 혼합물이나 과산화물과 접촉하지 않도록 할 것
- 식료품, 사료, 의약품, 음식과 혼합저장 금지할 것
- 필요에 따라 국소배기장치 가동할 것
- 장기간 보관하면 변색되어 뇌산은(fulminating silver)  등의 질화물을 함유할 수 있음(③ Silver cyanide)할 것
- 취급 또는 작업 시는 양압자급식호흡보호구를 착용하고 고글형 보안경, 내화학성 보호복, 보호 장갑 등을 착용하여 단기적인 접촉 및 반복적이고 장기적인 노출을 피할 것
- 작업 시에는 콘택트렌즈를 뺄 것
- 작업장 부근에 비상시를 대비하여 샤워시설 및 세안시설 구비할 것
- 사고대비물질(시안화수소 및 이를 1% 이상 함유한 혼합물질)</v>
          </cell>
        </row>
        <row r="117">
          <cell r="B117" t="str">
            <v>14763-77-0</v>
          </cell>
          <cell r="C117" t="str">
            <v>무기시안 화합물질</v>
          </cell>
          <cell r="D117" t="str">
            <v>97-1-90</v>
          </cell>
          <cell r="E117" t="str">
            <v>및 이를 1% 이상 함유한 혼합물질. 다만, 베를린청(Ferric ferrocyanide), 황혈염(Potassium ferrocyanide), 적혈염(Potassium ferricyanide) 및 그 중 하나를 함유한 혼합물질은 제외</v>
          </cell>
          <cell r="F117">
            <v>1</v>
          </cell>
          <cell r="G117" t="str">
            <v>- 건조하고 통풍이 잘되는 그늘 및 서늘한 곳에 주기적 점검이 가능하도록 밀폐 보관할 것
- 운반 시 갈고리를 사용 금지할 것
- 부식이나 물리적 손상이 일어나지 않도록 할 것
- 질산-아질산 혼합물이나 과산화물과 접촉하지 않도록 할 것
- 식료품, 사료, 의약품, 음식과 혼합저장 금지할 것
- 필요에 따라 국소배기장치 가동할 것
- 장기간 보관하면 변색되어 뇌산은(fulminating silver)  등의 질화물을 함유할 수 있음(③ Silver cyanide)할 것
- 취급 또는 작업 시는 양압자급식호흡보호구를 착용하고 고글형 보안경, 내화학성 보호복, 보호 장갑 등을 착용하여 단기적인 접촉 및 반복적이고 장기적인 노출을 피할 것
- 작업 시에는 콘택트렌즈를 뺄 것
- 작업장 부근에 비상시를 대비하여 샤워시설 및 세안시설 구비할 것
- 사고대비물질(시안화수소 및 이를 1% 이상 함유한 혼합물질)</v>
          </cell>
        </row>
        <row r="118">
          <cell r="B118" t="str">
            <v>151-50-8</v>
          </cell>
          <cell r="C118" t="str">
            <v>무기시안 화합물질</v>
          </cell>
          <cell r="D118" t="str">
            <v>97-1-90</v>
          </cell>
          <cell r="E118" t="str">
            <v>및 이를 1% 이상 함유한 혼합물질. 다만, 베를린청(Ferric ferrocyanide), 황혈염(Potassium ferrocyanide), 적혈염(Potassium ferricyanide) 및 그 중 하나를 함유한 혼합물질은 제외</v>
          </cell>
          <cell r="F118">
            <v>1</v>
          </cell>
          <cell r="G118" t="str">
            <v>- 건조하고 통풍이 잘되는 그늘 및 서늘한 곳에 주기적 점검이 가능하도록 밀폐 보관할 것
- 운반 시 갈고리를 사용 금지할 것
- 부식이나 물리적 손상이 일어나지 않도록 할 것
- 질산-아질산 혼합물이나 과산화물과 접촉하지 않도록 할 것
- 식료품, 사료, 의약품, 음식과 혼합저장 금지할 것
- 필요에 따라 국소배기장치 가동할 것
- 장기간 보관하면 변색되어 뇌산은(fulminating silver)  등의 질화물을 함유할 수 있음(③ Silver cyanide)할 것
- 취급 또는 작업 시는 양압자급식호흡보호구를 착용하고 고글형 보안경, 내화학성 보호복, 보호 장갑 등을 착용하여 단기적인 접촉 및 반복적이고 장기적인 노출을 피할 것
- 작업 시에는 콘택트렌즈를 뺄 것
- 작업장 부근에 비상시를 대비하여 샤워시설 및 세안시설 구비할 것
- 사고대비물질(시안화수소 및 이를 1% 이상 함유한 혼합물질)</v>
          </cell>
        </row>
        <row r="119">
          <cell r="B119" t="str">
            <v>15280-09-8</v>
          </cell>
          <cell r="C119" t="str">
            <v>무기시안 화합물질</v>
          </cell>
          <cell r="D119" t="str">
            <v>97-1-90</v>
          </cell>
          <cell r="E119" t="str">
            <v>및 이를 1% 이상 함유한 혼합물질. 다만, 베를린청(Ferric ferrocyanide), 황혈염(Potassium ferrocyanide), 적혈염(Potassium ferricyanide) 및 그 중 하나를 함유한 혼합물질은 제외</v>
          </cell>
          <cell r="F119">
            <v>1</v>
          </cell>
          <cell r="G119" t="str">
            <v>- 건조하고 통풍이 잘되는 그늘 및 서늘한 곳에 주기적 점검이 가능하도록 밀폐 보관할 것
- 운반 시 갈고리를 사용 금지할 것
- 부식이나 물리적 손상이 일어나지 않도록 할 것
- 질산-아질산 혼합물이나 과산화물과 접촉하지 않도록 할 것
- 식료품, 사료, 의약품, 음식과 혼합저장 금지할 것
- 필요에 따라 국소배기장치 가동할 것
- 장기간 보관하면 변색되어 뇌산은(fulminating silver)  등의 질화물을 함유할 수 있음(③ Silver cyanide)할 것
- 취급 또는 작업 시는 양압자급식호흡보호구를 착용하고 고글형 보안경, 내화학성 보호복, 보호 장갑 등을 착용하여 단기적인 접촉 및 반복적이고 장기적인 노출을 피할 것
- 작업 시에는 콘택트렌즈를 뺄 것
- 작업장 부근에 비상시를 대비하여 샤워시설 및 세안시설 구비할 것
- 사고대비물질(시안화수소 및 이를 1% 이상 함유한 혼합물질)</v>
          </cell>
        </row>
        <row r="120">
          <cell r="B120" t="str">
            <v>15333-24-1</v>
          </cell>
          <cell r="C120" t="str">
            <v>무기시안 화합물질</v>
          </cell>
          <cell r="D120" t="str">
            <v>97-1-90</v>
          </cell>
          <cell r="E120" t="str">
            <v>및 이를 1% 이상 함유한 혼합물질. 다만, 베를린청(Ferric ferrocyanide), 황혈염(Potassium ferrocyanide), 적혈염(Potassium ferricyanide) 및 그 중 하나를 함유한 혼합물질은 제외</v>
          </cell>
          <cell r="F120">
            <v>1</v>
          </cell>
          <cell r="G120" t="str">
            <v>- 건조하고 통풍이 잘되는 그늘 및 서늘한 곳에 주기적 점검이 가능하도록 밀폐 보관할 것
- 운반 시 갈고리를 사용 금지할 것
- 부식이나 물리적 손상이 일어나지 않도록 할 것
- 질산-아질산 혼합물이나 과산화물과 접촉하지 않도록 할 것
- 식료품, 사료, 의약품, 음식과 혼합저장 금지할 것
- 필요에 따라 국소배기장치 가동할 것
- 장기간 보관하면 변색되어 뇌산은(fulminating silver)  등의 질화물을 함유할 수 있음(③ Silver cyanide)할 것
- 취급 또는 작업 시는 양압자급식호흡보호구를 착용하고 고글형 보안경, 내화학성 보호복, 보호 장갑 등을 착용하여 단기적인 접촉 및 반복적이고 장기적인 노출을 피할 것
- 작업 시에는 콘택트렌즈를 뺄 것
- 작업장 부근에 비상시를 대비하여 샤워시설 및 세안시설 구비할 것
- 사고대비물질(시안화수소 및 이를 1% 이상 함유한 혼합물질)</v>
          </cell>
        </row>
        <row r="121">
          <cell r="B121" t="str">
            <v>25895-60-7</v>
          </cell>
          <cell r="C121" t="str">
            <v>무기시안 화합물질</v>
          </cell>
          <cell r="D121" t="str">
            <v>97-1-90</v>
          </cell>
          <cell r="E121" t="str">
            <v>및 이를 1% 이상 함유한 혼합물질. 다만, 베를린청(Ferric ferrocyanide), 황혈염(Potassium ferrocyanide), 적혈염(Potassium ferricyanide) 및 그 중 하나를 함유한 혼합물질은 제외</v>
          </cell>
          <cell r="F121">
            <v>1</v>
          </cell>
          <cell r="G121" t="str">
            <v>- 건조하고 통풍이 잘되는 그늘 및 서늘한 곳에 주기적 점검이 가능하도록 밀폐 보관할 것
- 운반 시 갈고리를 사용 금지할 것
- 부식이나 물리적 손상이 일어나지 않도록 할 것
- 질산-아질산 혼합물이나 과산화물과 접촉하지 않도록 할 것
- 식료품, 사료, 의약품, 음식과 혼합저장 금지할 것
- 필요에 따라 국소배기장치 가동할 것
- 장기간 보관하면 변색되어 뇌산은(fulminating silver)  등의 질화물을 함유할 수 있음(③ Silver cyanide)할 것
- 취급 또는 작업 시는 양압자급식호흡보호구를 착용하고 고글형 보안경, 내화학성 보호복, 보호 장갑 등을 착용하여 단기적인 접촉 및 반복적이고 장기적인 노출을 피할 것
- 작업 시에는 콘택트렌즈를 뺄 것
- 작업장 부근에 비상시를 대비하여 샤워시설 및 세안시설 구비할 것
- 사고대비물질(시안화수소 및 이를 1% 이상 함유한 혼합물질)</v>
          </cell>
        </row>
        <row r="122">
          <cell r="B122" t="str">
            <v>31096-40-9</v>
          </cell>
          <cell r="C122" t="str">
            <v>무기시안 화합물질</v>
          </cell>
          <cell r="D122" t="str">
            <v>97-1-90</v>
          </cell>
          <cell r="E122" t="str">
            <v>및 이를 1% 이상 함유한 혼합물질. 다만, 베를린청(Ferric ferrocyanide), 황혈염(Potassium ferrocyanide), 적혈염(Potassium ferricyanide) 및 그 중 하나를 함유한 혼합물질은 제외</v>
          </cell>
          <cell r="F122">
            <v>1</v>
          </cell>
          <cell r="G122" t="str">
            <v>- 건조하고 통풍이 잘되는 그늘 및 서늘한 곳에 주기적 점검이 가능하도록 밀폐 보관할 것
- 운반 시 갈고리를 사용 금지할 것
- 부식이나 물리적 손상이 일어나지 않도록 할 것
- 질산-아질산 혼합물이나 과산화물과 접촉하지 않도록 할 것
- 식료품, 사료, 의약품, 음식과 혼합저장 금지할 것
- 필요에 따라 국소배기장치 가동할 것
- 장기간 보관하면 변색되어 뇌산은(fulminating silver)  등의 질화물을 함유할 수 있음(③ Silver cyanide)할 것
- 취급 또는 작업 시는 양압자급식호흡보호구를 착용하고 고글형 보안경, 내화학성 보호복, 보호 장갑 등을 착용하여 단기적인 접촉 및 반복적이고 장기적인 노출을 피할 것
- 작업 시에는 콘택트렌즈를 뺄 것
- 작업장 부근에 비상시를 대비하여 샤워시설 및 세안시설 구비할 것
- 사고대비물질(시안화수소 및 이를 1% 이상 함유한 혼합물질)</v>
          </cell>
        </row>
        <row r="123">
          <cell r="B123" t="str">
            <v>31395-95-6</v>
          </cell>
          <cell r="C123" t="str">
            <v>무기시안 화합물질</v>
          </cell>
          <cell r="D123" t="str">
            <v>97-1-90</v>
          </cell>
          <cell r="E123" t="str">
            <v>및 이를 1% 이상 함유한 혼합물질. 다만, 베를린청(Ferric ferrocyanide), 황혈염(Potassium ferrocyanide), 적혈염(Potassium ferricyanide) 및 그 중 하나를 함유한 혼합물질은 제외</v>
          </cell>
          <cell r="F123">
            <v>1</v>
          </cell>
          <cell r="G123" t="str">
            <v>- 건조하고 통풍이 잘되는 그늘 및 서늘한 곳에 주기적 점검이 가능하도록 밀폐 보관할 것
- 운반 시 갈고리를 사용 금지할 것
- 부식이나 물리적 손상이 일어나지 않도록 할 것
- 질산-아질산 혼합물이나 과산화물과 접촉하지 않도록 할 것
- 식료품, 사료, 의약품, 음식과 혼합저장 금지할 것
- 필요에 따라 국소배기장치 가동할 것
- 장기간 보관하면 변색되어 뇌산은(fulminating silver)  등의 질화물을 함유할 수 있음(③ Silver cyanide)할 것
- 취급 또는 작업 시는 양압자급식호흡보호구를 착용하고 고글형 보안경, 내화학성 보호복, 보호 장갑 등을 착용하여 단기적인 접촉 및 반복적이고 장기적인 노출을 피할 것
- 작업 시에는 콘택트렌즈를 뺄 것
- 작업장 부근에 비상시를 대비하여 샤워시설 및 세안시설 구비할 것
- 사고대비물질(시안화수소 및 이를 1% 이상 함유한 혼합물질)</v>
          </cell>
        </row>
        <row r="124">
          <cell r="B124" t="str">
            <v>4367-08-2</v>
          </cell>
          <cell r="C124" t="str">
            <v>무기시안 화합물질</v>
          </cell>
          <cell r="D124" t="str">
            <v>97-1-90</v>
          </cell>
          <cell r="E124" t="str">
            <v>및 이를 1% 이상 함유한 혼합물질. 다만, 베를린청(Ferric ferrocyanide), 황혈염(Potassium ferrocyanide), 적혈염(Potassium ferricyanide) 및 그 중 하나를 함유한 혼합물질은 제외</v>
          </cell>
          <cell r="F124">
            <v>1</v>
          </cell>
          <cell r="G124" t="str">
            <v>- 건조하고 통풍이 잘되는 그늘 및 서늘한 곳에 주기적 점검이 가능하도록 밀폐 보관할 것
- 운반 시 갈고리를 사용 금지할 것
- 부식이나 물리적 손상이 일어나지 않도록 할 것
- 질산-아질산 혼합물이나 과산화물과 접촉하지 않도록 할 것
- 식료품, 사료, 의약품, 음식과 혼합저장 금지할 것
- 필요에 따라 국소배기장치 가동할 것
- 장기간 보관하면 변색되어 뇌산은(fulminating silver)  등의 질화물을 함유할 수 있음(③ Silver cyanide)할 것
- 취급 또는 작업 시는 양압자급식호흡보호구를 착용하고 고글형 보안경, 내화학성 보호복, 보호 장갑 등을 착용하여 단기적인 접촉 및 반복적이고 장기적인 노출을 피할 것
- 작업 시에는 콘택트렌즈를 뺄 것
- 작업장 부근에 비상시를 대비하여 샤워시설 및 세안시설 구비할 것
- 사고대비물질(시안화수소 및 이를 1% 이상 함유한 혼합물질)</v>
          </cell>
        </row>
        <row r="125">
          <cell r="B125" t="str">
            <v>506-61-6</v>
          </cell>
          <cell r="C125" t="str">
            <v>무기시안 화합물질</v>
          </cell>
          <cell r="D125" t="str">
            <v>97-1-90</v>
          </cell>
          <cell r="E125" t="str">
            <v>및 이를 1% 이상 함유한 혼합물질. 다만, 베를린청(Ferric ferrocyanide), 황혈염(Potassium ferrocyanide), 적혈염(Potassium ferricyanide) 및 그 중 하나를 함유한 혼합물질은 제외</v>
          </cell>
          <cell r="F125">
            <v>1</v>
          </cell>
          <cell r="G125" t="str">
            <v>- 건조하고 통풍이 잘되는 그늘 및 서늘한 곳에 주기적 점검이 가능하도록 밀폐 보관할 것
- 운반 시 갈고리를 사용 금지할 것
- 부식이나 물리적 손상이 일어나지 않도록 할 것
- 질산-아질산 혼합물이나 과산화물과 접촉하지 않도록 할 것
- 식료품, 사료, 의약품, 음식과 혼합저장 금지할 것
- 필요에 따라 국소배기장치 가동할 것
- 장기간 보관하면 변색되어 뇌산은(fulminating silver)  등의 질화물을 함유할 수 있음(③ Silver cyanide)할 것
- 취급 또는 작업 시는 양압자급식호흡보호구를 착용하고 고글형 보안경, 내화학성 보호복, 보호 장갑 등을 착용하여 단기적인 접촉 및 반복적이고 장기적인 노출을 피할 것
- 작업 시에는 콘택트렌즈를 뺄 것
- 작업장 부근에 비상시를 대비하여 샤워시설 및 세안시설 구비할 것
- 사고대비물질(시안화수소 및 이를 1% 이상 함유한 혼합물질)</v>
          </cell>
        </row>
        <row r="126">
          <cell r="B126" t="str">
            <v>506-64-9</v>
          </cell>
          <cell r="C126" t="str">
            <v>무기시안 화합물질</v>
          </cell>
          <cell r="D126" t="str">
            <v>97-1-90</v>
          </cell>
          <cell r="E126" t="str">
            <v>및 이를 1% 이상 함유한 혼합물질. 다만, 베를린청(Ferric ferrocyanide), 황혈염(Potassium ferrocyanide), 적혈염(Potassium ferricyanide) 및 그 중 하나를 함유한 혼합물질은 제외</v>
          </cell>
          <cell r="F126">
            <v>1</v>
          </cell>
          <cell r="G126" t="str">
            <v>- 건조하고 통풍이 잘되는 그늘 및 서늘한 곳에 주기적 점검이 가능하도록 밀폐 보관할 것
- 운반 시 갈고리를 사용 금지할 것
- 부식이나 물리적 손상이 일어나지 않도록 할 것
- 질산-아질산 혼합물이나 과산화물과 접촉하지 않도록 할 것
- 식료품, 사료, 의약품, 음식과 혼합저장 금지할 것
- 필요에 따라 국소배기장치 가동할 것
- 장기간 보관하면 변색되어 뇌산은(fulminating silver)  등의 질화물을 함유할 수 있음(③ Silver cyanide)할 것
- 취급 또는 작업 시는 양압자급식호흡보호구를 착용하고 고글형 보안경, 내화학성 보호복, 보호 장갑 등을 착용하여 단기적인 접촉 및 반복적이고 장기적인 노출을 피할 것
- 작업 시에는 콘택트렌즈를 뺄 것
- 작업장 부근에 비상시를 대비하여 샤워시설 및 세안시설 구비할 것
- 사고대비물질(시안화수소 및 이를 1% 이상 함유한 혼합물질)</v>
          </cell>
        </row>
        <row r="127">
          <cell r="B127" t="str">
            <v>506-65-0</v>
          </cell>
          <cell r="C127" t="str">
            <v>무기시안 화합물질</v>
          </cell>
          <cell r="D127" t="str">
            <v>97-1-90</v>
          </cell>
          <cell r="E127" t="str">
            <v>및 이를 1% 이상 함유한 혼합물질. 다만, 베를린청(Ferric ferrocyanide), 황혈염(Potassium ferrocyanide), 적혈염(Potassium ferricyanide) 및 그 중 하나를 함유한 혼합물질은 제외</v>
          </cell>
          <cell r="F127">
            <v>1</v>
          </cell>
          <cell r="G127" t="str">
            <v>- 건조하고 통풍이 잘되는 그늘 및 서늘한 곳에 주기적 점검이 가능하도록 밀폐 보관할 것
- 운반 시 갈고리를 사용 금지할 것
- 부식이나 물리적 손상이 일어나지 않도록 할 것
- 질산-아질산 혼합물이나 과산화물과 접촉하지 않도록 할 것
- 식료품, 사료, 의약품, 음식과 혼합저장 금지할 것
- 필요에 따라 국소배기장치 가동할 것
- 장기간 보관하면 변색되어 뇌산은(fulminating silver)  등의 질화물을 함유할 수 있음(③ Silver cyanide)할 것
- 취급 또는 작업 시는 양압자급식호흡보호구를 착용하고 고글형 보안경, 내화학성 보호복, 보호 장갑 등을 착용하여 단기적인 접촉 및 반복적이고 장기적인 노출을 피할 것
- 작업 시에는 콘택트렌즈를 뺄 것
- 작업장 부근에 비상시를 대비하여 샤워시설 및 세안시설 구비할 것
- 사고대비물질(시안화수소 및 이를 1% 이상 함유한 혼합물질)</v>
          </cell>
        </row>
        <row r="128">
          <cell r="B128" t="str">
            <v>542-62-1</v>
          </cell>
          <cell r="C128" t="str">
            <v>무기시안 화합물질</v>
          </cell>
          <cell r="D128" t="str">
            <v>97-1-90</v>
          </cell>
          <cell r="E128" t="str">
            <v>및 이를 1% 이상 함유한 혼합물질. 다만, 베를린청(Ferric ferrocyanide), 황혈염(Potassium ferrocyanide), 적혈염(Potassium ferricyanide) 및 그 중 하나를 함유한 혼합물질은 제외</v>
          </cell>
          <cell r="F128">
            <v>1</v>
          </cell>
          <cell r="G128" t="str">
            <v>- 건조하고 통풍이 잘되는 그늘 및 서늘한 곳에 주기적 점검이 가능하도록 밀폐 보관할 것
- 운반 시 갈고리를 사용 금지할 것
- 부식이나 물리적 손상이 일어나지 않도록 할 것
- 질산-아질산 혼합물이나 과산화물과 접촉하지 않도록 할 것
- 식료품, 사료, 의약품, 음식과 혼합저장 금지할 것
- 필요에 따라 국소배기장치 가동할 것
- 장기간 보관하면 변색되어 뇌산은(fulminating silver)  등의 질화물을 함유할 수 있음(③ Silver cyanide)할 것
- 취급 또는 작업 시는 양압자급식호흡보호구를 착용하고 고글형 보안경, 내화학성 보호복, 보호 장갑 등을 착용하여 단기적인 접촉 및 반복적이고 장기적인 노출을 피할 것
- 작업 시에는 콘택트렌즈를 뺄 것
- 작업장 부근에 비상시를 대비하여 샤워시설 및 세안시설 구비할 것
- 사고대비물질(시안화수소 및 이를 1% 이상 함유한 혼합물질)</v>
          </cell>
        </row>
        <row r="129">
          <cell r="B129" t="str">
            <v>542-83-6</v>
          </cell>
          <cell r="C129" t="str">
            <v>무기시안 화합물질</v>
          </cell>
          <cell r="D129" t="str">
            <v>97-1-90</v>
          </cell>
          <cell r="E129" t="str">
            <v>및 이를 1% 이상 함유한 혼합물질. 다만, 베를린청(Ferric ferrocyanide), 황혈염(Potassium ferrocyanide), 적혈염(Potassium ferricyanide) 및 그 중 하나를 함유한 혼합물질은 제외</v>
          </cell>
          <cell r="F129">
            <v>1</v>
          </cell>
          <cell r="G129" t="str">
            <v>- 건조하고 통풍이 잘되는 그늘 및 서늘한 곳에 주기적 점검이 가능하도록 밀폐 보관할 것
- 운반 시 갈고리를 사용 금지할 것
- 부식이나 물리적 손상이 일어나지 않도록 할 것
- 질산-아질산 혼합물이나 과산화물과 접촉하지 않도록 할 것
- 식료품, 사료, 의약품, 음식과 혼합저장 금지할 것
- 필요에 따라 국소배기장치 가동할 것
- 장기간 보관하면 변색되어 뇌산은(fulminating silver)  등의 질화물을 함유할 수 있음(③ Silver cyanide)할 것
- 취급 또는 작업 시는 양압자급식호흡보호구를 착용하고 고글형 보안경, 내화학성 보호복, 보호 장갑 등을 착용하여 단기적인 접촉 및 반복적이고 장기적인 노출을 피할 것
- 작업 시에는 콘택트렌즈를 뺄 것
- 작업장 부근에 비상시를 대비하여 샤워시설 및 세안시설 구비할 것
- 사고대비물질(시안화수소 및 이를 1% 이상 함유한 혼합물질)</v>
          </cell>
        </row>
        <row r="130">
          <cell r="B130" t="str">
            <v>542-84-7</v>
          </cell>
          <cell r="C130" t="str">
            <v>무기시안 화합물질</v>
          </cell>
          <cell r="D130" t="str">
            <v>97-1-90</v>
          </cell>
          <cell r="E130" t="str">
            <v>및 이를 1% 이상 함유한 혼합물질. 다만, 베를린청(Ferric ferrocyanide), 황혈염(Potassium ferrocyanide), 적혈염(Potassium ferricyanide) 및 그 중 하나를 함유한 혼합물질은 제외</v>
          </cell>
          <cell r="F130">
            <v>1</v>
          </cell>
          <cell r="G130" t="str">
            <v>- 건조하고 통풍이 잘되는 그늘 및 서늘한 곳에 주기적 점검이 가능하도록 밀폐 보관할 것
- 운반 시 갈고리를 사용 금지할 것
- 부식이나 물리적 손상이 일어나지 않도록 할 것
- 질산-아질산 혼합물이나 과산화물과 접촉하지 않도록 할 것
- 식료품, 사료, 의약품, 음식과 혼합저장 금지할 것
- 필요에 따라 국소배기장치 가동할 것
- 장기간 보관하면 변색되어 뇌산은(fulminating silver)  등의 질화물을 함유할 수 있음(③ Silver cyanide)할 것
- 취급 또는 작업 시는 양압자급식호흡보호구를 착용하고 고글형 보안경, 내화학성 보호복, 보호 장갑 등을 착용하여 단기적인 접촉 및 반복적이고 장기적인 노출을 피할 것
- 작업 시에는 콘택트렌즈를 뺄 것
- 작업장 부근에 비상시를 대비하여 샤워시설 및 세안시설 구비할 것
- 사고대비물질(시안화수소 및 이를 1% 이상 함유한 혼합물질)</v>
          </cell>
        </row>
        <row r="131">
          <cell r="B131" t="str">
            <v>544-92-3</v>
          </cell>
          <cell r="C131" t="str">
            <v>무기시안 화합물질</v>
          </cell>
          <cell r="D131" t="str">
            <v>97-1-90</v>
          </cell>
          <cell r="E131" t="str">
            <v>및 이를 1% 이상 함유한 혼합물질. 다만, 베를린청(Ferric ferrocyanide), 황혈염(Potassium ferrocyanide), 적혈염(Potassium ferricyanide) 및 그 중 하나를 함유한 혼합물질은 제외</v>
          </cell>
          <cell r="F131">
            <v>1</v>
          </cell>
          <cell r="G131" t="str">
            <v>- 건조하고 통풍이 잘되는 그늘 및 서늘한 곳에 주기적 점검이 가능하도록 밀폐 보관할 것
- 운반 시 갈고리를 사용 금지할 것
- 부식이나 물리적 손상이 일어나지 않도록 할 것
- 질산-아질산 혼합물이나 과산화물과 접촉하지 않도록 할 것
- 식료품, 사료, 의약품, 음식과 혼합저장 금지할 것
- 필요에 따라 국소배기장치 가동할 것
- 장기간 보관하면 변색되어 뇌산은(fulminating silver)  등의 질화물을 함유할 수 있음(③ Silver cyanide)할 것
- 취급 또는 작업 시는 양압자급식호흡보호구를 착용하고 고글형 보안경, 내화학성 보호복, 보호 장갑 등을 착용하여 단기적인 접촉 및 반복적이고 장기적인 노출을 피할 것
- 작업 시에는 콘택트렌즈를 뺄 것
- 작업장 부근에 비상시를 대비하여 샤워시설 및 세안시설 구비할 것
- 사고대비물질(시안화수소 및 이를 1% 이상 함유한 혼합물질)</v>
          </cell>
        </row>
        <row r="132">
          <cell r="B132" t="str">
            <v>557-19-7</v>
          </cell>
          <cell r="C132" t="str">
            <v>무기시안 화합물질</v>
          </cell>
          <cell r="D132" t="str">
            <v>97-1-90</v>
          </cell>
          <cell r="E132" t="str">
            <v>및 이를 1% 이상 함유한 혼합물질. 다만, 베를린청(Ferric ferrocyanide), 황혈염(Potassium ferrocyanide), 적혈염(Potassium ferricyanide) 및 그 중 하나를 함유한 혼합물질은 제외</v>
          </cell>
          <cell r="F132">
            <v>1</v>
          </cell>
          <cell r="G132" t="str">
            <v>- 건조하고 통풍이 잘되는 그늘 및 서늘한 곳에 주기적 점검이 가능하도록 밀폐 보관할 것
- 운반 시 갈고리를 사용 금지할 것
- 부식이나 물리적 손상이 일어나지 않도록 할 것
- 질산-아질산 혼합물이나 과산화물과 접촉하지 않도록 할 것
- 식료품, 사료, 의약품, 음식과 혼합저장 금지할 것
- 필요에 따라 국소배기장치 가동할 것
- 장기간 보관하면 변색되어 뇌산은(fulminating silver)  등의 질화물을 함유할 수 있음(③ Silver cyanide)할 것
- 취급 또는 작업 시는 양압자급식호흡보호구를 착용하고 고글형 보안경, 내화학성 보호복, 보호 장갑 등을 착용하여 단기적인 접촉 및 반복적이고 장기적인 노출을 피할 것
- 작업 시에는 콘택트렌즈를 뺄 것
- 작업장 부근에 비상시를 대비하여 샤워시설 및 세안시설 구비할 것
- 사고대비물질(시안화수소 및 이를 1% 이상 함유한 혼합물질)</v>
          </cell>
        </row>
        <row r="133">
          <cell r="B133" t="str">
            <v>557-21-1</v>
          </cell>
          <cell r="C133" t="str">
            <v>무기시안 화합물질</v>
          </cell>
          <cell r="D133" t="str">
            <v>97-1-90</v>
          </cell>
          <cell r="E133" t="str">
            <v>및 이를 1% 이상 함유한 혼합물질. 다만, 베를린청(Ferric ferrocyanide), 황혈염(Potassium ferrocyanide), 적혈염(Potassium ferricyanide) 및 그 중 하나를 함유한 혼합물질은 제외</v>
          </cell>
          <cell r="F133">
            <v>1</v>
          </cell>
          <cell r="G133" t="str">
            <v>- 건조하고 통풍이 잘되는 그늘 및 서늘한 곳에 주기적 점검이 가능하도록 밀폐 보관할 것
- 운반 시 갈고리를 사용 금지할 것
- 부식이나 물리적 손상이 일어나지 않도록 할 것
- 질산-아질산 혼합물이나 과산화물과 접촉하지 않도록 할 것
- 식료품, 사료, 의약품, 음식과 혼합저장 금지할 것
- 필요에 따라 국소배기장치 가동할 것
- 장기간 보관하면 변색되어 뇌산은(fulminating silver)  등의 질화물을 함유할 수 있음(③ Silver cyanide)할 것
- 취급 또는 작업 시는 양압자급식호흡보호구를 착용하고 고글형 보안경, 내화학성 보호복, 보호 장갑 등을 착용하여 단기적인 접촉 및 반복적이고 장기적인 노출을 피할 것
- 작업 시에는 콘택트렌즈를 뺄 것
- 작업장 부근에 비상시를 대비하여 샤워시설 및 세안시설 구비할 것
- 사고대비물질(시안화수소 및 이를 1% 이상 함유한 혼합물질)</v>
          </cell>
        </row>
        <row r="134">
          <cell r="B134" t="str">
            <v>562-76-5</v>
          </cell>
          <cell r="C134" t="str">
            <v>무기시안 화합물질</v>
          </cell>
          <cell r="D134" t="str">
            <v>97-1-90</v>
          </cell>
          <cell r="E134" t="str">
            <v>및 이를 1% 이상 함유한 혼합물질. 다만, 베를린청(Ferric ferrocyanide), 황혈염(Potassium ferrocyanide), 적혈염(Potassium ferricyanide) 및 그 중 하나를 함유한 혼합물질은 제외</v>
          </cell>
          <cell r="F134">
            <v>1</v>
          </cell>
          <cell r="G134" t="str">
            <v>- 건조하고 통풍이 잘되는 그늘 및 서늘한 곳에 주기적 점검이 가능하도록 밀폐 보관할 것
- 운반 시 갈고리를 사용 금지할 것
- 부식이나 물리적 손상이 일어나지 않도록 할 것
- 질산-아질산 혼합물이나 과산화물과 접촉하지 않도록 할 것
- 식료품, 사료, 의약품, 음식과 혼합저장 금지할 것
- 필요에 따라 국소배기장치 가동할 것
- 장기간 보관하면 변색되어 뇌산은(fulminating silver)  등의 질화물을 함유할 수 있음(③ Silver cyanide)할 것
- 취급 또는 작업 시는 양압자급식호흡보호구를 착용하고 고글형 보안경, 내화학성 보호복, 보호 장갑 등을 착용하여 단기적인 접촉 및 반복적이고 장기적인 노출을 피할 것
- 작업 시에는 콘택트렌즈를 뺄 것
- 작업장 부근에 비상시를 대비하여 샤워시설 및 세안시설 구비할 것
- 사고대비물질(시안화수소 및 이를 1% 이상 함유한 혼합물질)</v>
          </cell>
        </row>
        <row r="135">
          <cell r="B135" t="str">
            <v>562-79-8</v>
          </cell>
          <cell r="C135" t="str">
            <v>무기시안 화합물질</v>
          </cell>
          <cell r="D135" t="str">
            <v>97-1-90</v>
          </cell>
          <cell r="E135" t="str">
            <v>및 이를 1% 이상 함유한 혼합물질. 다만, 베를린청(Ferric ferrocyanide), 황혈염(Potassium ferrocyanide), 적혈염(Potassium ferricyanide) 및 그 중 하나를 함유한 혼합물질은 제외</v>
          </cell>
          <cell r="F135">
            <v>1</v>
          </cell>
          <cell r="G135" t="str">
            <v>- 건조하고 통풍이 잘되는 그늘 및 서늘한 곳에 주기적 점검이 가능하도록 밀폐 보관할 것
- 운반 시 갈고리를 사용 금지할 것
- 부식이나 물리적 손상이 일어나지 않도록 할 것
- 질산-아질산 혼합물이나 과산화물과 접촉하지 않도록 할 것
- 식료품, 사료, 의약품, 음식과 혼합저장 금지할 것
- 필요에 따라 국소배기장치 가동할 것
- 장기간 보관하면 변색되어 뇌산은(fulminating silver)  등의 질화물을 함유할 수 있음(③ Silver cyanide)할 것
- 취급 또는 작업 시는 양압자급식호흡보호구를 착용하고 고글형 보안경, 내화학성 보호복, 보호 장갑 등을 착용하여 단기적인 접촉 및 반복적이고 장기적인 노출을 피할 것
- 작업 시에는 콘택트렌즈를 뺄 것
- 작업장 부근에 비상시를 대비하여 샤워시설 및 세안시설 구비할 것
- 사고대비물질(시안화수소 및 이를 1% 이상 함유한 혼합물질)</v>
          </cell>
        </row>
        <row r="136">
          <cell r="B136" t="str">
            <v>562-81-2</v>
          </cell>
          <cell r="C136" t="str">
            <v>무기시안 화합물질</v>
          </cell>
          <cell r="D136" t="str">
            <v>97-1-90</v>
          </cell>
          <cell r="E136" t="str">
            <v>및 이를 1% 이상 함유한 혼합물질. 다만, 베를린청(Ferric ferrocyanide), 황혈염(Potassium ferrocyanide), 적혈염(Potassium ferricyanide) 및 그 중 하나를 함유한 혼합물질은 제외</v>
          </cell>
          <cell r="F136">
            <v>1</v>
          </cell>
          <cell r="G136" t="str">
            <v>- 건조하고 통풍이 잘되는 그늘 및 서늘한 곳에 주기적 점검이 가능하도록 밀폐 보관할 것
- 운반 시 갈고리를 사용 금지할 것
- 부식이나 물리적 손상이 일어나지 않도록 할 것
- 질산-아질산 혼합물이나 과산화물과 접촉하지 않도록 할 것
- 식료품, 사료, 의약품, 음식과 혼합저장 금지할 것
- 필요에 따라 국소배기장치 가동할 것
- 장기간 보관하면 변색되어 뇌산은(fulminating silver)  등의 질화물을 함유할 수 있음(③ Silver cyanide)할 것
- 취급 또는 작업 시는 양압자급식호흡보호구를 착용하고 고글형 보안경, 내화학성 보호복, 보호 장갑 등을 착용하여 단기적인 접촉 및 반복적이고 장기적인 노출을 피할 것
- 작업 시에는 콘택트렌즈를 뺄 것
- 작업장 부근에 비상시를 대비하여 샤워시설 및 세안시설 구비할 것
- 사고대비물질(시안화수소 및 이를 1% 이상 함유한 혼합물질)</v>
          </cell>
        </row>
        <row r="137">
          <cell r="B137" t="str">
            <v>592-01-8</v>
          </cell>
          <cell r="C137" t="str">
            <v>무기시안 화합물질</v>
          </cell>
          <cell r="D137" t="str">
            <v>97-1-90</v>
          </cell>
          <cell r="E137" t="str">
            <v>및 이를 1% 이상 함유한 혼합물질. 다만, 베를린청(Ferric ferrocyanide), 황혈염(Potassium ferrocyanide), 적혈염(Potassium ferricyanide) 및 그 중 하나를 함유한 혼합물질은 제외</v>
          </cell>
          <cell r="F137">
            <v>1</v>
          </cell>
          <cell r="G137" t="str">
            <v>- 건조하고 통풍이 잘되는 그늘 및 서늘한 곳에 주기적 점검이 가능하도록 밀폐 보관할 것
- 운반 시 갈고리를 사용 금지할 것
- 부식이나 물리적 손상이 일어나지 않도록 할 것
- 질산-아질산 혼합물이나 과산화물과 접촉하지 않도록 할 것
- 식료품, 사료, 의약품, 음식과 혼합저장 금지할 것
- 필요에 따라 국소배기장치 가동할 것
- 장기간 보관하면 변색되어 뇌산은(fulminating silver)  등의 질화물을 함유할 수 있음(③ Silver cyanide)할 것
- 취급 또는 작업 시는 양압자급식호흡보호구를 착용하고 고글형 보안경, 내화학성 보호복, 보호 장갑 등을 착용하여 단기적인 접촉 및 반복적이고 장기적인 노출을 피할 것
- 작업 시에는 콘택트렌즈를 뺄 것
- 작업장 부근에 비상시를 대비하여 샤워시설 및 세안시설 구비할 것
- 사고대비물질(시안화수소 및 이를 1% 이상 함유한 혼합물질)</v>
          </cell>
        </row>
        <row r="138">
          <cell r="B138" t="str">
            <v>592-05-2</v>
          </cell>
          <cell r="C138" t="str">
            <v>무기시안 화합물질</v>
          </cell>
          <cell r="D138" t="str">
            <v>97-1-90</v>
          </cell>
          <cell r="E138" t="str">
            <v>및 이를 1% 이상 함유한 혼합물질. 다만, 베를린청(Ferric ferrocyanide), 황혈염(Potassium ferrocyanide), 적혈염(Potassium ferricyanide) 및 그 중 하나를 함유한 혼합물질은 제외</v>
          </cell>
          <cell r="F138">
            <v>1</v>
          </cell>
          <cell r="G138" t="str">
            <v>- 건조하고 통풍이 잘되는 그늘 및 서늘한 곳에 주기적 점검이 가능하도록 밀폐 보관할 것
- 운반 시 갈고리를 사용 금지할 것
- 부식이나 물리적 손상이 일어나지 않도록 할 것
- 질산-아질산 혼합물이나 과산화물과 접촉하지 않도록 할 것
- 식료품, 사료, 의약품, 음식과 혼합저장 금지할 것
- 필요에 따라 국소배기장치 가동할 것
- 장기간 보관하면 변색되어 뇌산은(fulminating silver)  등의 질화물을 함유할 수 있음(③ Silver cyanide)할 것
- 취급 또는 작업 시는 양압자급식호흡보호구를 착용하고 고글형 보안경, 내화학성 보호복, 보호 장갑 등을 착용하여 단기적인 접촉 및 반복적이고 장기적인 노출을 피할 것
- 작업 시에는 콘택트렌즈를 뺄 것
- 작업장 부근에 비상시를 대비하여 샤워시설 및 세안시설 구비할 것
- 사고대비물질(시안화수소 및 이를 1% 이상 함유한 혼합물질)</v>
          </cell>
        </row>
        <row r="139">
          <cell r="B139" t="str">
            <v>592-06-3</v>
          </cell>
          <cell r="C139" t="str">
            <v>무기시안 화합물질</v>
          </cell>
          <cell r="D139" t="str">
            <v>97-1-90</v>
          </cell>
          <cell r="E139" t="str">
            <v>및 이를 1% 이상 함유한 혼합물질. 다만, 베를린청(Ferric ferrocyanide), 황혈염(Potassium ferrocyanide), 적혈염(Potassium ferricyanide) 및 그 중 하나를 함유한 혼합물질은 제외</v>
          </cell>
          <cell r="F139">
            <v>1</v>
          </cell>
          <cell r="G139" t="str">
            <v>- 건조하고 통풍이 잘되는 그늘 및 서늘한 곳에 주기적 점검이 가능하도록 밀폐 보관할 것
- 운반 시 갈고리를 사용 금지할 것
- 부식이나 물리적 손상이 일어나지 않도록 할 것
- 질산-아질산 혼합물이나 과산화물과 접촉하지 않도록 할 것
- 식료품, 사료, 의약품, 음식과 혼합저장 금지할 것
- 필요에 따라 국소배기장치 가동할 것
- 장기간 보관하면 변색되어 뇌산은(fulminating silver)  등의 질화물을 함유할 수 있음(③ Silver cyanide)할 것
- 취급 또는 작업 시는 양압자급식호흡보호구를 착용하고 고글형 보안경, 내화학성 보호복, 보호 장갑 등을 착용하여 단기적인 접촉 및 반복적이고 장기적인 노출을 피할 것
- 작업 시에는 콘택트렌즈를 뺄 것
- 작업장 부근에 비상시를 대비하여 샤워시설 및 세안시설 구비할 것
- 사고대비물질(시안화수소 및 이를 1% 이상 함유한 혼합물질)</v>
          </cell>
        </row>
        <row r="140">
          <cell r="B140" t="str">
            <v>66004-32-8</v>
          </cell>
          <cell r="C140" t="str">
            <v>무기시안 화합물질</v>
          </cell>
          <cell r="D140" t="str">
            <v>97-1-90</v>
          </cell>
          <cell r="E140" t="str">
            <v>및 이를 1% 이상 함유한 혼합물질. 다만, 베를린청(Ferric ferrocyanide), 황혈염(Potassium ferrocyanide), 적혈염(Potassium ferricyanide) 및 그 중 하나를 함유한 혼합물질은 제외</v>
          </cell>
          <cell r="F140">
            <v>1</v>
          </cell>
          <cell r="G140" t="str">
            <v>- 건조하고 통풍이 잘되는 그늘 및 서늘한 곳에 주기적 점검이 가능하도록 밀폐 보관할 것
- 운반 시 갈고리를 사용 금지할 것
- 부식이나 물리적 손상이 일어나지 않도록 할 것
- 질산-아질산 혼합물이나 과산화물과 접촉하지 않도록 할 것
- 식료품, 사료, 의약품, 음식과 혼합저장 금지할 것
- 필요에 따라 국소배기장치 가동할 것
- 장기간 보관하면 변색되어 뇌산은(fulminating silver)  등의 질화물을 함유할 수 있음(③ Silver cyanide)할 것
- 취급 또는 작업 시는 양압자급식호흡보호구를 착용하고 고글형 보안경, 내화학성 보호복, 보호 장갑 등을 착용하여 단기적인 접촉 및 반복적이고 장기적인 노출을 피할 것
- 작업 시에는 콘택트렌즈를 뺄 것
- 작업장 부근에 비상시를 대비하여 샤워시설 및 세안시설 구비할 것
- 사고대비물질(시안화수소 및 이를 1% 이상 함유한 혼합물질)</v>
          </cell>
        </row>
        <row r="141">
          <cell r="B141" t="str">
            <v>74-90-8</v>
          </cell>
          <cell r="C141" t="str">
            <v>무기시안 화합물질</v>
          </cell>
          <cell r="D141" t="str">
            <v>97-1-90</v>
          </cell>
          <cell r="E141" t="str">
            <v>및 이를 1% 이상 함유한 혼합물질. 다만, 베를린청(Ferric ferrocyanide), 황혈염(Potassium ferrocyanide), 적혈염(Potassium ferricyanide) 및 그 중 하나를 함유한 혼합물질은 제외</v>
          </cell>
          <cell r="F141">
            <v>1</v>
          </cell>
          <cell r="G141" t="str">
            <v>- 건조하고 통풍이 잘되는 그늘 및 서늘한 곳에 주기적 점검이 가능하도록 밀폐 보관할 것
- 운반 시 갈고리를 사용 금지할 것
- 부식이나 물리적 손상이 일어나지 않도록 할 것
- 질산-아질산 혼합물이나 과산화물과 접촉하지 않도록 할 것
- 식료품, 사료, 의약품, 음식과 혼합저장 금지할 것
- 필요에 따라 국소배기장치 가동할 것
- 장기간 보관하면 변색되어 뇌산은(fulminating silver)  등의 질화물을 함유할 수 있음(③ Silver cyanide)할 것
- 취급 또는 작업 시는 양압자급식호흡보호구를 착용하고 고글형 보안경, 내화학성 보호복, 보호 장갑 등을 착용하여 단기적인 접촉 및 반복적이고 장기적인 노출을 피할 것
- 작업 시에는 콘택트렌즈를 뺄 것
- 작업장 부근에 비상시를 대비하여 샤워시설 및 세안시설 구비할 것
- 사고대비물질(시안화수소 및 이를 1% 이상 함유한 혼합물질)</v>
          </cell>
        </row>
        <row r="142">
          <cell r="B142" t="str">
            <v>10139-47-6</v>
          </cell>
          <cell r="C142" t="str">
            <v>무기아연 염류</v>
          </cell>
          <cell r="D142" t="str">
            <v>97-1-91</v>
          </cell>
          <cell r="E142" t="str">
            <v>및 이를 25% 이상 함유한 혼합물질. 탄산아연(Zinc carbonate) 및 뇌산아연(Zinc fulminate)은 제외</v>
          </cell>
          <cell r="F142">
            <v>25</v>
          </cell>
          <cell r="G142" t="str">
            <v>- 건조하고 통풍이 잘되는 그늘 및 서늘한 곳에 밀폐 보관할 것
- 식료품, 사료, 의약품, 음식과 혼합저장 금지할 것
- 필요에 따라 국소배기장치 가동할 것
- 저장용기는 물리적인 손상에 견딜 수 있어야 할 것
- 염화암모늄 용액에서 안정화되고 기체 상태에서는 900℃에서도 안정(① Zinc chloride)할 것
- 황산아연 용액은 8~24℃의 저장소에 보관(② Zinc sulfate)할 것
- 취급 또는 작업 시는 통풍이 잘되는 후드에서 행하고 고글형 보안경, 보호복, 고무장갑, 고무앞치마, 양압자급식호흡보호구를 착용하여 단기적인 접촉 및 반복적이고 장기적인 노출을 피할 것
- 노출기준 이상에서는 호흡보호구를 착용할 것
- 작업 시에는 콘택트렌즈 착용금지할 것
- 작업장 부근에 비상시를 대비하여 샤워시설 및 세안시설 구비할 것</v>
          </cell>
        </row>
        <row r="143">
          <cell r="B143" t="str">
            <v>10192-46-8</v>
          </cell>
          <cell r="C143" t="str">
            <v>무기아연 염류</v>
          </cell>
          <cell r="D143" t="str">
            <v>97-1-91</v>
          </cell>
          <cell r="E143" t="str">
            <v>및 이를 25% 이상 함유한 혼합물질. 탄산아연(Zinc carbonate) 및 뇌산아연(Zinc fulminate)은 제외</v>
          </cell>
          <cell r="F143">
            <v>25</v>
          </cell>
          <cell r="G143" t="str">
            <v>- 건조하고 통풍이 잘되는 그늘 및 서늘한 곳에 밀폐 보관할 것
- 식료품, 사료, 의약품, 음식과 혼합저장 금지할 것
- 필요에 따라 국소배기장치 가동할 것
- 저장용기는 물리적인 손상에 견딜 수 있어야 할 것
- 염화암모늄 용액에서 안정화되고 기체 상태에서는 900℃에서도 안정(① Zinc chloride)할 것
- 황산아연 용액은 8~24℃의 저장소에 보관(② Zinc sulfate)할 것
- 취급 또는 작업 시는 통풍이 잘되는 후드에서 행하고 고글형 보안경, 보호복, 고무장갑, 고무앞치마, 양압자급식호흡보호구를 착용하여 단기적인 접촉 및 반복적이고 장기적인 노출을 피할 것
- 노출기준 이상에서는 호흡보호구를 착용할 것
- 작업 시에는 콘택트렌즈 착용금지할 것
- 작업장 부근에 비상시를 대비하여 샤워시설 및 세안시설 구비할 것</v>
          </cell>
        </row>
        <row r="144">
          <cell r="B144" t="str">
            <v>10196-18-6</v>
          </cell>
          <cell r="C144" t="str">
            <v>무기아연 염류</v>
          </cell>
          <cell r="D144" t="str">
            <v>97-1-91</v>
          </cell>
          <cell r="E144" t="str">
            <v>및 이를 25% 이상 함유한 혼합물질. 탄산아연(Zinc carbonate) 및 뇌산아연(Zinc fulminate)은 제외</v>
          </cell>
          <cell r="F144">
            <v>25</v>
          </cell>
          <cell r="G144" t="str">
            <v>- 건조하고 통풍이 잘되는 그늘 및 서늘한 곳에 밀폐 보관할 것
- 식료품, 사료, 의약품, 음식과 혼합저장 금지할 것
- 필요에 따라 국소배기장치 가동할 것
- 저장용기는 물리적인 손상에 견딜 수 있어야 할 것
- 염화암모늄 용액에서 안정화되고 기체 상태에서는 900℃에서도 안정(① Zinc chloride)할 것
- 황산아연 용액은 8~24℃의 저장소에 보관(② Zinc sulfate)할 것
- 취급 또는 작업 시는 통풍이 잘되는 후드에서 행하고 고글형 보안경, 보호복, 고무장갑, 고무앞치마, 양압자급식호흡보호구를 착용하여 단기적인 접촉 및 반복적이고 장기적인 노출을 피할 것
- 노출기준 이상에서는 호흡보호구를 착용할 것
- 작업 시에는 콘택트렌즈 착용금지할 것
- 작업장 부근에 비상시를 대비하여 샤워시설 및 세안시설 구비할 것</v>
          </cell>
        </row>
        <row r="145">
          <cell r="B145" t="str">
            <v>10361-94-1</v>
          </cell>
          <cell r="C145" t="str">
            <v>무기아연 염류</v>
          </cell>
          <cell r="D145" t="str">
            <v>97-1-91</v>
          </cell>
          <cell r="E145" t="str">
            <v>및 이를 25% 이상 함유한 혼합물질. 탄산아연(Zinc carbonate) 및 뇌산아연(Zinc fulminate)은 제외</v>
          </cell>
          <cell r="F145">
            <v>25</v>
          </cell>
          <cell r="G145" t="str">
            <v>- 건조하고 통풍이 잘되는 그늘 및 서늘한 곳에 밀폐 보관할 것
- 식료품, 사료, 의약품, 음식과 혼합저장 금지할 것
- 필요에 따라 국소배기장치 가동할 것
- 저장용기는 물리적인 손상에 견딜 수 있어야 할 것
- 염화암모늄 용액에서 안정화되고 기체 상태에서는 900℃에서도 안정(① Zinc chloride)할 것
- 황산아연 용액은 8~24℃의 저장소에 보관(② Zinc sulfate)할 것
- 취급 또는 작업 시는 통풍이 잘되는 후드에서 행하고 고글형 보안경, 보호복, 고무장갑, 고무앞치마, 양압자급식호흡보호구를 착용하여 단기적인 접촉 및 반복적이고 장기적인 노출을 피할 것
- 노출기준 이상에서는 호흡보호구를 착용할 것
- 작업 시에는 콘택트렌즈 착용금지할 것
- 작업장 부근에 비상시를 대비하여 샤워시설 및 세안시설 구비할 것</v>
          </cell>
        </row>
        <row r="146">
          <cell r="B146" t="str">
            <v>10380-06-0</v>
          </cell>
          <cell r="C146" t="str">
            <v>무기아연 염류</v>
          </cell>
          <cell r="D146" t="str">
            <v>97-1-91</v>
          </cell>
          <cell r="E146" t="str">
            <v>및 이를 25% 이상 함유한 혼합물질. 탄산아연(Zinc carbonate) 및 뇌산아연(Zinc fulminate)은 제외</v>
          </cell>
          <cell r="F146">
            <v>25</v>
          </cell>
          <cell r="G146" t="str">
            <v>- 건조하고 통풍이 잘되는 그늘 및 서늘한 곳에 밀폐 보관할 것
- 식료품, 사료, 의약품, 음식과 혼합저장 금지할 것
- 필요에 따라 국소배기장치 가동할 것
- 저장용기는 물리적인 손상에 견딜 수 있어야 할 것
- 염화암모늄 용액에서 안정화되고 기체 상태에서는 900℃에서도 안정(① Zinc chloride)할 것
- 황산아연 용액은 8~24℃의 저장소에 보관(② Zinc sulfate)할 것
- 취급 또는 작업 시는 통풍이 잘되는 후드에서 행하고 고글형 보안경, 보호복, 고무장갑, 고무앞치마, 양압자급식호흡보호구를 착용하여 단기적인 접촉 및 반복적이고 장기적인 노출을 피할 것
- 노출기준 이상에서는 호흡보호구를 착용할 것
- 작업 시에는 콘택트렌즈 착용금지할 것
- 작업장 부근에 비상시를 대비하여 샤워시설 및 세안시설 구비할 것</v>
          </cell>
        </row>
        <row r="147">
          <cell r="B147" t="str">
            <v>11126-29-7</v>
          </cell>
          <cell r="C147" t="str">
            <v>무기아연 염류</v>
          </cell>
          <cell r="D147" t="str">
            <v>97-1-91</v>
          </cell>
          <cell r="E147" t="str">
            <v>및 이를 25% 이상 함유한 혼합물질. 탄산아연(Zinc carbonate) 및 뇌산아연(Zinc fulminate)은 제외</v>
          </cell>
          <cell r="F147">
            <v>25</v>
          </cell>
          <cell r="G147" t="str">
            <v>- 건조하고 통풍이 잘되는 그늘 및 서늘한 곳에 밀폐 보관할 것
- 식료품, 사료, 의약품, 음식과 혼합저장 금지할 것
- 필요에 따라 국소배기장치 가동할 것
- 저장용기는 물리적인 손상에 견딜 수 있어야 할 것
- 염화암모늄 용액에서 안정화되고 기체 상태에서는 900℃에서도 안정(① Zinc chloride)할 것
- 황산아연 용액은 8~24℃의 저장소에 보관(② Zinc sulfate)할 것
- 취급 또는 작업 시는 통풍이 잘되는 후드에서 행하고 고글형 보안경, 보호복, 고무장갑, 고무앞치마, 양압자급식호흡보호구를 착용하여 단기적인 접촉 및 반복적이고 장기적인 노출을 피할 것
- 노출기준 이상에서는 호흡보호구를 착용할 것
- 작업 시에는 콘택트렌즈 착용금지할 것
- 작업장 부근에 비상시를 대비하여 샤워시설 및 세안시설 구비할 것</v>
          </cell>
        </row>
        <row r="148">
          <cell r="B148" t="str">
            <v>12007-67-9</v>
          </cell>
          <cell r="C148" t="str">
            <v>무기아연 염류</v>
          </cell>
          <cell r="D148" t="str">
            <v>97-1-91</v>
          </cell>
          <cell r="E148" t="str">
            <v>및 이를 25% 이상 함유한 혼합물질. 탄산아연(Zinc carbonate) 및 뇌산아연(Zinc fulminate)은 제외</v>
          </cell>
          <cell r="F148">
            <v>25</v>
          </cell>
          <cell r="G148" t="str">
            <v>- 건조하고 통풍이 잘되는 그늘 및 서늘한 곳에 밀폐 보관할 것
- 식료품, 사료, 의약품, 음식과 혼합저장 금지할 것
- 필요에 따라 국소배기장치 가동할 것
- 저장용기는 물리적인 손상에 견딜 수 있어야 할 것
- 염화암모늄 용액에서 안정화되고 기체 상태에서는 900℃에서도 안정(① Zinc chloride)할 것
- 황산아연 용액은 8~24℃의 저장소에 보관(② Zinc sulfate)할 것
- 취급 또는 작업 시는 통풍이 잘되는 후드에서 행하고 고글형 보안경, 보호복, 고무장갑, 고무앞치마, 양압자급식호흡보호구를 착용하여 단기적인 접촉 및 반복적이고 장기적인 노출을 피할 것
- 노출기준 이상에서는 호흡보호구를 착용할 것
- 작업 시에는 콘택트렌즈 착용금지할 것
- 작업장 부근에 비상시를 대비하여 샤워시설 및 세안시설 구비할 것</v>
          </cell>
        </row>
        <row r="149">
          <cell r="B149" t="str">
            <v>1313-49-1</v>
          </cell>
          <cell r="C149" t="str">
            <v>무기아연 염류</v>
          </cell>
          <cell r="D149" t="str">
            <v>97-1-91</v>
          </cell>
          <cell r="E149" t="str">
            <v>및 이를 25% 이상 함유한 혼합물질. 탄산아연(Zinc carbonate) 및 뇌산아연(Zinc fulminate)은 제외</v>
          </cell>
          <cell r="F149">
            <v>25</v>
          </cell>
          <cell r="G149" t="str">
            <v>- 건조하고 통풍이 잘되는 그늘 및 서늘한 곳에 밀폐 보관할 것
- 식료품, 사료, 의약품, 음식과 혼합저장 금지할 것
- 필요에 따라 국소배기장치 가동할 것
- 저장용기는 물리적인 손상에 견딜 수 있어야 할 것
- 염화암모늄 용액에서 안정화되고 기체 상태에서는 900℃에서도 안정(① Zinc chloride)할 것
- 황산아연 용액은 8~24℃의 저장소에 보관(② Zinc sulfate)할 것
- 취급 또는 작업 시는 통풍이 잘되는 후드에서 행하고 고글형 보안경, 보호복, 고무장갑, 고무앞치마, 양압자급식호흡보호구를 착용하여 단기적인 접촉 및 반복적이고 장기적인 노출을 피할 것
- 노출기준 이상에서는 호흡보호구를 착용할 것
- 작업 시에는 콘택트렌즈 착용금지할 것
- 작업장 부근에 비상시를 대비하여 샤워시설 및 세안시설 구비할 것</v>
          </cell>
        </row>
        <row r="150">
          <cell r="B150" t="str">
            <v>1315-11-3</v>
          </cell>
          <cell r="C150" t="str">
            <v>무기아연 염류</v>
          </cell>
          <cell r="D150" t="str">
            <v>97-1-91</v>
          </cell>
          <cell r="E150" t="str">
            <v>및 이를 25% 이상 함유한 혼합물질. 탄산아연(Zinc carbonate) 및 뇌산아연(Zinc fulminate)은 제외</v>
          </cell>
          <cell r="F150">
            <v>25</v>
          </cell>
          <cell r="G150" t="str">
            <v>- 건조하고 통풍이 잘되는 그늘 및 서늘한 곳에 밀폐 보관할 것
- 식료품, 사료, 의약품, 음식과 혼합저장 금지할 것
- 필요에 따라 국소배기장치 가동할 것
- 저장용기는 물리적인 손상에 견딜 수 있어야 할 것
- 염화암모늄 용액에서 안정화되고 기체 상태에서는 900℃에서도 안정(① Zinc chloride)할 것
- 황산아연 용액은 8~24℃의 저장소에 보관(② Zinc sulfate)할 것
- 취급 또는 작업 시는 통풍이 잘되는 후드에서 행하고 고글형 보안경, 보호복, 고무장갑, 고무앞치마, 양압자급식호흡보호구를 착용하여 단기적인 접촉 및 반복적이고 장기적인 노출을 피할 것
- 노출기준 이상에서는 호흡보호구를 착용할 것
- 작업 시에는 콘택트렌즈 착용금지할 것
- 작업장 부근에 비상시를 대비하여 샤워시설 및 세안시설 구비할 것</v>
          </cell>
        </row>
        <row r="151">
          <cell r="B151" t="str">
            <v>1332-07-6</v>
          </cell>
          <cell r="C151" t="str">
            <v>무기아연 염류</v>
          </cell>
          <cell r="D151" t="str">
            <v>97-1-91</v>
          </cell>
          <cell r="E151" t="str">
            <v>및 이를 25% 이상 함유한 혼합물질. 탄산아연(Zinc carbonate) 및 뇌산아연(Zinc fulminate)은 제외</v>
          </cell>
          <cell r="F151">
            <v>25</v>
          </cell>
          <cell r="G151" t="str">
            <v>- 건조하고 통풍이 잘되는 그늘 및 서늘한 곳에 밀폐 보관할 것
- 식료품, 사료, 의약품, 음식과 혼합저장 금지할 것
- 필요에 따라 국소배기장치 가동할 것
- 저장용기는 물리적인 손상에 견딜 수 있어야 할 것
- 염화암모늄 용액에서 안정화되고 기체 상태에서는 900℃에서도 안정(① Zinc chloride)할 것
- 황산아연 용액은 8~24℃의 저장소에 보관(② Zinc sulfate)할 것
- 취급 또는 작업 시는 통풍이 잘되는 후드에서 행하고 고글형 보안경, 보호복, 고무장갑, 고무앞치마, 양압자급식호흡보호구를 착용하여 단기적인 접촉 및 반복적이고 장기적인 노출을 피할 것
- 노출기준 이상에서는 호흡보호구를 착용할 것
- 작업 시에는 콘택트렌즈 착용금지할 것
- 작업장 부근에 비상시를 대비하여 샤워시설 및 세안시설 구비할 것</v>
          </cell>
        </row>
        <row r="152">
          <cell r="B152" t="str">
            <v>13566-15-9</v>
          </cell>
          <cell r="C152" t="str">
            <v>무기아연 염류</v>
          </cell>
          <cell r="D152" t="str">
            <v>97-1-91</v>
          </cell>
          <cell r="E152" t="str">
            <v>및 이를 25% 이상 함유한 혼합물질. 탄산아연(Zinc carbonate) 및 뇌산아연(Zinc fulminate)은 제외</v>
          </cell>
          <cell r="F152">
            <v>25</v>
          </cell>
          <cell r="G152" t="str">
            <v>- 건조하고 통풍이 잘되는 그늘 및 서늘한 곳에 밀폐 보관할 것
- 식료품, 사료, 의약품, 음식과 혼합저장 금지할 것
- 필요에 따라 국소배기장치 가동할 것
- 저장용기는 물리적인 손상에 견딜 수 있어야 할 것
- 염화암모늄 용액에서 안정화되고 기체 상태에서는 900℃에서도 안정(① Zinc chloride)할 것
- 황산아연 용액은 8~24℃의 저장소에 보관(② Zinc sulfate)할 것
- 취급 또는 작업 시는 통풍이 잘되는 후드에서 행하고 고글형 보안경, 보호복, 고무장갑, 고무앞치마, 양압자급식호흡보호구를 착용하여 단기적인 접촉 및 반복적이고 장기적인 노출을 피할 것
- 노출기준 이상에서는 호흡보호구를 착용할 것
- 작업 시에는 콘택트렌즈 착용금지할 것
- 작업장 부근에 비상시를 대비하여 샤워시설 및 세안시설 구비할 것</v>
          </cell>
        </row>
        <row r="153">
          <cell r="B153" t="str">
            <v>13597-44-9</v>
          </cell>
          <cell r="C153" t="str">
            <v>무기아연 염류</v>
          </cell>
          <cell r="D153" t="str">
            <v>97-1-91</v>
          </cell>
          <cell r="E153" t="str">
            <v>및 이를 25% 이상 함유한 혼합물질. 탄산아연(Zinc carbonate) 및 뇌산아연(Zinc fulminate)은 제외</v>
          </cell>
          <cell r="F153">
            <v>25</v>
          </cell>
          <cell r="G153" t="str">
            <v>- 건조하고 통풍이 잘되는 그늘 및 서늘한 곳에 밀폐 보관할 것
- 식료품, 사료, 의약품, 음식과 혼합저장 금지할 것
- 필요에 따라 국소배기장치 가동할 것
- 저장용기는 물리적인 손상에 견딜 수 있어야 할 것
- 염화암모늄 용액에서 안정화되고 기체 상태에서는 900℃에서도 안정(① Zinc chloride)할 것
- 황산아연 용액은 8~24℃의 저장소에 보관(② Zinc sulfate)할 것
- 취급 또는 작업 시는 통풍이 잘되는 후드에서 행하고 고글형 보안경, 보호복, 고무장갑, 고무앞치마, 양압자급식호흡보호구를 착용하여 단기적인 접촉 및 반복적이고 장기적인 노출을 피할 것
- 노출기준 이상에서는 호흡보호구를 착용할 것
- 작업 시에는 콘택트렌즈 착용금지할 것
- 작업장 부근에 비상시를 대비하여 샤워시설 및 세안시설 구비할 것</v>
          </cell>
        </row>
        <row r="154">
          <cell r="B154" t="str">
            <v>13597-65-4</v>
          </cell>
          <cell r="C154" t="str">
            <v>무기아연 염류</v>
          </cell>
          <cell r="D154" t="str">
            <v>97-1-91</v>
          </cell>
          <cell r="E154" t="str">
            <v>및 이를 25% 이상 함유한 혼합물질. 탄산아연(Zinc carbonate) 및 뇌산아연(Zinc fulminate)은 제외</v>
          </cell>
          <cell r="F154">
            <v>25</v>
          </cell>
          <cell r="G154" t="str">
            <v>- 건조하고 통풍이 잘되는 그늘 및 서늘한 곳에 밀폐 보관할 것
- 식료품, 사료, 의약품, 음식과 혼합저장 금지할 것
- 필요에 따라 국소배기장치 가동할 것
- 저장용기는 물리적인 손상에 견딜 수 있어야 할 것
- 염화암모늄 용액에서 안정화되고 기체 상태에서는 900℃에서도 안정(① Zinc chloride)할 것
- 황산아연 용액은 8~24℃의 저장소에 보관(② Zinc sulfate)할 것
- 취급 또는 작업 시는 통풍이 잘되는 후드에서 행하고 고글형 보안경, 보호복, 고무장갑, 고무앞치마, 양압자급식호흡보호구를 착용하여 단기적인 접촉 및 반복적이고 장기적인 노출을 피할 것
- 노출기준 이상에서는 호흡보호구를 착용할 것
- 작업 시에는 콘택트렌즈 착용금지할 것
- 작업장 부근에 비상시를 대비하여 샤워시설 및 세안시설 구비할 것</v>
          </cell>
        </row>
        <row r="155">
          <cell r="B155" t="str">
            <v>13598-37-3</v>
          </cell>
          <cell r="C155" t="str">
            <v>무기아연 염류</v>
          </cell>
          <cell r="D155" t="str">
            <v>97-1-91</v>
          </cell>
          <cell r="E155" t="str">
            <v>및 이를 25% 이상 함유한 혼합물질. 탄산아연(Zinc carbonate) 및 뇌산아연(Zinc fulminate)은 제외</v>
          </cell>
          <cell r="F155">
            <v>25</v>
          </cell>
          <cell r="G155" t="str">
            <v>- 건조하고 통풍이 잘되는 그늘 및 서늘한 곳에 밀폐 보관할 것
- 식료품, 사료, 의약품, 음식과 혼합저장 금지할 것
- 필요에 따라 국소배기장치 가동할 것
- 저장용기는 물리적인 손상에 견딜 수 있어야 할 것
- 염화암모늄 용액에서 안정화되고 기체 상태에서는 900℃에서도 안정(① Zinc chloride)할 것
- 황산아연 용액은 8~24℃의 저장소에 보관(② Zinc sulfate)할 것
- 취급 또는 작업 시는 통풍이 잘되는 후드에서 행하고 고글형 보안경, 보호복, 고무장갑, 고무앞치마, 양압자급식호흡보호구를 착용하여 단기적인 접촉 및 반복적이고 장기적인 노출을 피할 것
- 노출기준 이상에서는 호흡보호구를 착용할 것
- 작업 시에는 콘택트렌즈 착용금지할 것
- 작업장 부근에 비상시를 대비하여 샤워시설 및 세안시설 구비할 것</v>
          </cell>
        </row>
        <row r="156">
          <cell r="B156" t="str">
            <v>13637-61-1</v>
          </cell>
          <cell r="C156" t="str">
            <v>무기아연 염류</v>
          </cell>
          <cell r="D156" t="str">
            <v>97-1-91</v>
          </cell>
          <cell r="E156" t="str">
            <v>및 이를 25% 이상 함유한 혼합물질. 탄산아연(Zinc carbonate) 및 뇌산아연(Zinc fulminate)은 제외</v>
          </cell>
          <cell r="F156">
            <v>25</v>
          </cell>
          <cell r="G156" t="str">
            <v>- 건조하고 통풍이 잘되는 그늘 및 서늘한 곳에 밀폐 보관할 것
- 식료품, 사료, 의약품, 음식과 혼합저장 금지할 것
- 필요에 따라 국소배기장치 가동할 것
- 저장용기는 물리적인 손상에 견딜 수 있어야 할 것
- 염화암모늄 용액에서 안정화되고 기체 상태에서는 900℃에서도 안정(① Zinc chloride)할 것
- 황산아연 용액은 8~24℃의 저장소에 보관(② Zinc sulfate)할 것
- 취급 또는 작업 시는 통풍이 잘되는 후드에서 행하고 고글형 보안경, 보호복, 고무장갑, 고무앞치마, 양압자급식호흡보호구를 착용하여 단기적인 접촉 및 반복적이고 장기적인 노출을 피할 것
- 노출기준 이상에서는 호흡보호구를 착용할 것
- 작업 시에는 콘택트렌즈 착용금지할 것
- 작업장 부근에 비상시를 대비하여 샤워시설 및 세안시설 구비할 것</v>
          </cell>
        </row>
        <row r="157">
          <cell r="B157" t="str">
            <v>13770-90-6</v>
          </cell>
          <cell r="C157" t="str">
            <v>무기아연 염류</v>
          </cell>
          <cell r="D157" t="str">
            <v>97-1-91</v>
          </cell>
          <cell r="E157" t="str">
            <v>및 이를 25% 이상 함유한 혼합물질. 탄산아연(Zinc carbonate) 및 뇌산아연(Zinc fulminate)은 제외</v>
          </cell>
          <cell r="F157">
            <v>25</v>
          </cell>
          <cell r="G157" t="str">
            <v>- 건조하고 통풍이 잘되는 그늘 및 서늘한 곳에 밀폐 보관할 것
- 식료품, 사료, 의약품, 음식과 혼합저장 금지할 것
- 필요에 따라 국소배기장치 가동할 것
- 저장용기는 물리적인 손상에 견딜 수 있어야 할 것
- 염화암모늄 용액에서 안정화되고 기체 상태에서는 900℃에서도 안정(① Zinc chloride)할 것
- 황산아연 용액은 8~24℃의 저장소에 보관(② Zinc sulfate)할 것
- 취급 또는 작업 시는 통풍이 잘되는 후드에서 행하고 고글형 보안경, 보호복, 고무장갑, 고무앞치마, 양압자급식호흡보호구를 착용하여 단기적인 접촉 및 반복적이고 장기적인 노출을 피할 것
- 노출기준 이상에서는 호흡보호구를 착용할 것
- 작업 시에는 콘택트렌즈 착용금지할 것
- 작업장 부근에 비상시를 대비하여 샤워시설 및 세안시설 구비할 것</v>
          </cell>
        </row>
        <row r="158">
          <cell r="B158" t="str">
            <v>13814-87-4</v>
          </cell>
          <cell r="C158" t="str">
            <v>무기아연 염류</v>
          </cell>
          <cell r="D158" t="str">
            <v>97-1-91</v>
          </cell>
          <cell r="E158" t="str">
            <v>및 이를 25% 이상 함유한 혼합물질. 탄산아연(Zinc carbonate) 및 뇌산아연(Zinc fulminate)은 제외</v>
          </cell>
          <cell r="F158">
            <v>25</v>
          </cell>
          <cell r="G158" t="str">
            <v>- 건조하고 통풍이 잘되는 그늘 및 서늘한 곳에 밀폐 보관할 것
- 식료품, 사료, 의약품, 음식과 혼합저장 금지할 것
- 필요에 따라 국소배기장치 가동할 것
- 저장용기는 물리적인 손상에 견딜 수 있어야 할 것
- 염화암모늄 용액에서 안정화되고 기체 상태에서는 900℃에서도 안정(① Zinc chloride)할 것
- 황산아연 용액은 8~24℃의 저장소에 보관(② Zinc sulfate)할 것
- 취급 또는 작업 시는 통풍이 잘되는 후드에서 행하고 고글형 보안경, 보호복, 고무장갑, 고무앞치마, 양압자급식호흡보호구를 착용하여 단기적인 접촉 및 반복적이고 장기적인 노출을 피할 것
- 노출기준 이상에서는 호흡보호구를 착용할 것
- 작업 시에는 콘택트렌즈 착용금지할 것
- 작업장 부근에 비상시를 대비하여 샤워시설 및 세안시설 구비할 것</v>
          </cell>
        </row>
        <row r="159">
          <cell r="B159" t="str">
            <v>13826-55-6</v>
          </cell>
          <cell r="C159" t="str">
            <v>무기아연 염류</v>
          </cell>
          <cell r="D159" t="str">
            <v>97-1-91</v>
          </cell>
          <cell r="E159" t="str">
            <v>및 이를 25% 이상 함유한 혼합물질. 탄산아연(Zinc carbonate) 및 뇌산아연(Zinc fulminate)은 제외</v>
          </cell>
          <cell r="F159">
            <v>25</v>
          </cell>
          <cell r="G159" t="str">
            <v>- 건조하고 통풍이 잘되는 그늘 및 서늘한 곳에 밀폐 보관할 것
- 식료품, 사료, 의약품, 음식과 혼합저장 금지할 것
- 필요에 따라 국소배기장치 가동할 것
- 저장용기는 물리적인 손상에 견딜 수 있어야 할 것
- 염화암모늄 용액에서 안정화되고 기체 상태에서는 900℃에서도 안정(① Zinc chloride)할 것
- 황산아연 용액은 8~24℃의 저장소에 보관(② Zinc sulfate)할 것
- 취급 또는 작업 시는 통풍이 잘되는 후드에서 행하고 고글형 보안경, 보호복, 고무장갑, 고무앞치마, 양압자급식호흡보호구를 착용하여 단기적인 접촉 및 반복적이고 장기적인 노출을 피할 것
- 노출기준 이상에서는 호흡보호구를 착용할 것
- 작업 시에는 콘택트렌즈 착용금지할 것
- 작업장 부근에 비상시를 대비하여 샤워시설 및 세안시설 구비할 것</v>
          </cell>
        </row>
        <row r="160">
          <cell r="B160" t="str">
            <v>13827-02-6</v>
          </cell>
          <cell r="C160" t="str">
            <v>무기아연 염류</v>
          </cell>
          <cell r="D160" t="str">
            <v>97-1-91</v>
          </cell>
          <cell r="E160" t="str">
            <v>및 이를 25% 이상 함유한 혼합물질. 탄산아연(Zinc carbonate) 및 뇌산아연(Zinc fulminate)은 제외</v>
          </cell>
          <cell r="F160">
            <v>25</v>
          </cell>
          <cell r="G160" t="str">
            <v>- 건조하고 통풍이 잘되는 그늘 및 서늘한 곳에 밀폐 보관할 것
- 식료품, 사료, 의약품, 음식과 혼합저장 금지할 것
- 필요에 따라 국소배기장치 가동할 것
- 저장용기는 물리적인 손상에 견딜 수 있어야 할 것
- 염화암모늄 용액에서 안정화되고 기체 상태에서는 900℃에서도 안정(① Zinc chloride)할 것
- 황산아연 용액은 8~24℃의 저장소에 보관(② Zinc sulfate)할 것
- 취급 또는 작업 시는 통풍이 잘되는 후드에서 행하고 고글형 보안경, 보호복, 고무장갑, 고무앞치마, 양압자급식호흡보호구를 착용하여 단기적인 접촉 및 반복적이고 장기적인 노출을 피할 것
- 노출기준 이상에서는 호흡보호구를 착용할 것
- 작업 시에는 콘택트렌즈 착용금지할 것
- 작업장 부근에 비상시를 대비하여 샤워시설 및 세안시설 구비할 것</v>
          </cell>
        </row>
        <row r="161">
          <cell r="B161" t="str">
            <v>13847-22-8</v>
          </cell>
          <cell r="C161" t="str">
            <v>무기아연 염류</v>
          </cell>
          <cell r="D161" t="str">
            <v>97-1-91</v>
          </cell>
          <cell r="E161" t="str">
            <v>및 이를 25% 이상 함유한 혼합물질. 탄산아연(Zinc carbonate) 및 뇌산아연(Zinc fulminate)은 제외</v>
          </cell>
          <cell r="F161">
            <v>25</v>
          </cell>
          <cell r="G161" t="str">
            <v>- 건조하고 통풍이 잘되는 그늘 및 서늘한 곳에 밀폐 보관할 것
- 식료품, 사료, 의약품, 음식과 혼합저장 금지할 것
- 필요에 따라 국소배기장치 가동할 것
- 저장용기는 물리적인 손상에 견딜 수 있어야 할 것
- 염화암모늄 용액에서 안정화되고 기체 상태에서는 900℃에서도 안정(① Zinc chloride)할 것
- 황산아연 용액은 8~24℃의 저장소에 보관(② Zinc sulfate)할 것
- 취급 또는 작업 시는 통풍이 잘되는 후드에서 행하고 고글형 보안경, 보호복, 고무장갑, 고무앞치마, 양압자급식호흡보호구를 착용하여 단기적인 접촉 및 반복적이고 장기적인 노출을 피할 것
- 노출기준 이상에서는 호흡보호구를 착용할 것
- 작업 시에는 콘택트렌즈 착용금지할 것
- 작업장 부근에 비상시를 대비하여 샤워시설 및 세안시설 구비할 것</v>
          </cell>
        </row>
        <row r="162">
          <cell r="B162" t="str">
            <v>13932-17-7</v>
          </cell>
          <cell r="C162" t="str">
            <v>무기아연 염류</v>
          </cell>
          <cell r="D162" t="str">
            <v>97-1-91</v>
          </cell>
          <cell r="E162" t="str">
            <v>및 이를 25% 이상 함유한 혼합물질. 탄산아연(Zinc carbonate) 및 뇌산아연(Zinc fulminate)은 제외</v>
          </cell>
          <cell r="F162">
            <v>25</v>
          </cell>
          <cell r="G162" t="str">
            <v>- 건조하고 통풍이 잘되는 그늘 및 서늘한 곳에 밀폐 보관할 것
- 식료품, 사료, 의약품, 음식과 혼합저장 금지할 것
- 필요에 따라 국소배기장치 가동할 것
- 저장용기는 물리적인 손상에 견딜 수 있어야 할 것
- 염화암모늄 용액에서 안정화되고 기체 상태에서는 900℃에서도 안정(① Zinc chloride)할 것
- 황산아연 용액은 8~24℃의 저장소에 보관(② Zinc sulfate)할 것
- 취급 또는 작업 시는 통풍이 잘되는 후드에서 행하고 고글형 보안경, 보호복, 고무장갑, 고무앞치마, 양압자급식호흡보호구를 착용하여 단기적인 접촉 및 반복적이고 장기적인 노출을 피할 것
- 노출기준 이상에서는 호흡보호구를 착용할 것
- 작업 시에는 콘택트렌즈 착용금지할 것
- 작업장 부근에 비상시를 대비하여 샤워시설 및 세안시설 구비할 것</v>
          </cell>
        </row>
        <row r="163">
          <cell r="B163" t="str">
            <v>14244-62-3</v>
          </cell>
          <cell r="C163" t="str">
            <v>무기아연 염류</v>
          </cell>
          <cell r="D163" t="str">
            <v>97-1-91</v>
          </cell>
          <cell r="E163" t="str">
            <v>및 이를 25% 이상 함유한 혼합물질. 탄산아연(Zinc carbonate) 및 뇌산아연(Zinc fulminate)은 제외</v>
          </cell>
          <cell r="F163">
            <v>25</v>
          </cell>
          <cell r="G163" t="str">
            <v>- 건조하고 통풍이 잘되는 그늘 및 서늘한 곳에 밀폐 보관할 것
- 식료품, 사료, 의약품, 음식과 혼합저장 금지할 것
- 필요에 따라 국소배기장치 가동할 것
- 저장용기는 물리적인 손상에 견딜 수 있어야 할 것
- 염화암모늄 용액에서 안정화되고 기체 상태에서는 900℃에서도 안정(① Zinc chloride)할 것
- 황산아연 용액은 8~24℃의 저장소에 보관(② Zinc sulfate)할 것
- 취급 또는 작업 시는 통풍이 잘되는 후드에서 행하고 고글형 보안경, 보호복, 고무장갑, 고무앞치마, 양압자급식호흡보호구를 착용하여 단기적인 접촉 및 반복적이고 장기적인 노출을 피할 것
- 노출기준 이상에서는 호흡보호구를 착용할 것
- 작업 시에는 콘택트렌즈 착용금지할 것
- 작업장 부근에 비상시를 대비하여 샤워시설 및 세안시설 구비할 것</v>
          </cell>
        </row>
        <row r="164">
          <cell r="B164" t="str">
            <v>14332-59-3</v>
          </cell>
          <cell r="C164" t="str">
            <v>무기아연 염류</v>
          </cell>
          <cell r="D164" t="str">
            <v>97-1-91</v>
          </cell>
          <cell r="E164" t="str">
            <v>및 이를 25% 이상 함유한 혼합물질. 탄산아연(Zinc carbonate) 및 뇌산아연(Zinc fulminate)은 제외</v>
          </cell>
          <cell r="F164">
            <v>25</v>
          </cell>
          <cell r="G164" t="str">
            <v>- 건조하고 통풍이 잘되는 그늘 및 서늘한 곳에 밀폐 보관할 것
- 식료품, 사료, 의약품, 음식과 혼합저장 금지할 것
- 필요에 따라 국소배기장치 가동할 것
- 저장용기는 물리적인 손상에 견딜 수 있어야 할 것
- 염화암모늄 용액에서 안정화되고 기체 상태에서는 900℃에서도 안정(① Zinc chloride)할 것
- 황산아연 용액은 8~24℃의 저장소에 보관(② Zinc sulfate)할 것
- 취급 또는 작업 시는 통풍이 잘되는 후드에서 행하고 고글형 보안경, 보호복, 고무장갑, 고무앞치마, 양압자급식호흡보호구를 착용하여 단기적인 접촉 및 반복적이고 장기적인 노출을 피할 것
- 노출기준 이상에서는 호흡보호구를 착용할 것
- 작업 시에는 콘택트렌즈 착용금지할 것
- 작업장 부근에 비상시를 대비하여 샤워시설 및 세안시설 구비할 것</v>
          </cell>
        </row>
        <row r="165">
          <cell r="B165" t="str">
            <v>14332-60-6</v>
          </cell>
          <cell r="C165" t="str">
            <v>무기아연 염류</v>
          </cell>
          <cell r="D165" t="str">
            <v>97-1-91</v>
          </cell>
          <cell r="E165" t="str">
            <v>및 이를 25% 이상 함유한 혼합물질. 탄산아연(Zinc carbonate) 및 뇌산아연(Zinc fulminate)은 제외</v>
          </cell>
          <cell r="F165">
            <v>25</v>
          </cell>
          <cell r="G165" t="str">
            <v>- 건조하고 통풍이 잘되는 그늘 및 서늘한 곳에 밀폐 보관할 것
- 식료품, 사료, 의약품, 음식과 혼합저장 금지할 것
- 필요에 따라 국소배기장치 가동할 것
- 저장용기는 물리적인 손상에 견딜 수 있어야 할 것
- 염화암모늄 용액에서 안정화되고 기체 상태에서는 900℃에서도 안정(① Zinc chloride)할 것
- 황산아연 용액은 8~24℃의 저장소에 보관(② Zinc sulfate)할 것
- 취급 또는 작업 시는 통풍이 잘되는 후드에서 행하고 고글형 보안경, 보호복, 고무장갑, 고무앞치마, 양압자급식호흡보호구를 착용하여 단기적인 접촉 및 반복적이고 장기적인 노출을 피할 것
- 노출기준 이상에서는 호흡보호구를 착용할 것
- 작업 시에는 콘택트렌즈 착용금지할 것
- 작업장 부근에 비상시를 대비하여 샤워시설 및 세안시설 구비할 것</v>
          </cell>
        </row>
        <row r="166">
          <cell r="B166" t="str">
            <v>14519-07-4</v>
          </cell>
          <cell r="C166" t="str">
            <v>무기아연 염류</v>
          </cell>
          <cell r="D166" t="str">
            <v>97-1-91</v>
          </cell>
          <cell r="E166" t="str">
            <v>및 이를 25% 이상 함유한 혼합물질. 탄산아연(Zinc carbonate) 및 뇌산아연(Zinc fulminate)은 제외</v>
          </cell>
          <cell r="F166">
            <v>25</v>
          </cell>
          <cell r="G166" t="str">
            <v>- 건조하고 통풍이 잘되는 그늘 및 서늘한 곳에 밀폐 보관할 것
- 식료품, 사료, 의약품, 음식과 혼합저장 금지할 것
- 필요에 따라 국소배기장치 가동할 것
- 저장용기는 물리적인 손상에 견딜 수 있어야 할 것
- 염화암모늄 용액에서 안정화되고 기체 상태에서는 900℃에서도 안정(① Zinc chloride)할 것
- 황산아연 용액은 8~24℃의 저장소에 보관(② Zinc sulfate)할 것
- 취급 또는 작업 시는 통풍이 잘되는 후드에서 행하고 고글형 보안경, 보호복, 고무장갑, 고무앞치마, 양압자급식호흡보호구를 착용하여 단기적인 접촉 및 반복적이고 장기적인 노출을 피할 것
- 노출기준 이상에서는 호흡보호구를 착용할 것
- 작업 시에는 콘택트렌즈 착용금지할 것
- 작업장 부근에 비상시를 대비하여 샤워시설 및 세안시설 구비할 것</v>
          </cell>
        </row>
        <row r="167">
          <cell r="B167" t="str">
            <v>14639-98-6</v>
          </cell>
          <cell r="C167" t="str">
            <v>무기아연 염류</v>
          </cell>
          <cell r="D167" t="str">
            <v>97-1-91</v>
          </cell>
          <cell r="E167" t="str">
            <v>및 이를 25% 이상 함유한 혼합물질. 탄산아연(Zinc carbonate) 및 뇌산아연(Zinc fulminate)은 제외</v>
          </cell>
          <cell r="F167">
            <v>25</v>
          </cell>
          <cell r="G167" t="str">
            <v>- 건조하고 통풍이 잘되는 그늘 및 서늘한 곳에 밀폐 보관할 것
- 식료품, 사료, 의약품, 음식과 혼합저장 금지할 것
- 필요에 따라 국소배기장치 가동할 것
- 저장용기는 물리적인 손상에 견딜 수 있어야 할 것
- 염화암모늄 용액에서 안정화되고 기체 상태에서는 900℃에서도 안정(① Zinc chloride)할 것
- 황산아연 용액은 8~24℃의 저장소에 보관(② Zinc sulfate)할 것
- 취급 또는 작업 시는 통풍이 잘되는 후드에서 행하고 고글형 보안경, 보호복, 고무장갑, 고무앞치마, 양압자급식호흡보호구를 착용하여 단기적인 접촉 및 반복적이고 장기적인 노출을 피할 것
- 노출기준 이상에서는 호흡보호구를 착용할 것
- 작업 시에는 콘택트렌즈 착용금지할 것
- 작업장 부근에 비상시를 대비하여 샤워시설 및 세안시설 구비할 것</v>
          </cell>
        </row>
        <row r="168">
          <cell r="B168" t="str">
            <v>14720-55-9</v>
          </cell>
          <cell r="C168" t="str">
            <v>무기아연 염류</v>
          </cell>
          <cell r="D168" t="str">
            <v>97-1-91</v>
          </cell>
          <cell r="E168" t="str">
            <v>및 이를 25% 이상 함유한 혼합물질. 탄산아연(Zinc carbonate) 및 뇌산아연(Zinc fulminate)은 제외</v>
          </cell>
          <cell r="F168">
            <v>25</v>
          </cell>
          <cell r="G168" t="str">
            <v>- 건조하고 통풍이 잘되는 그늘 및 서늘한 곳에 밀폐 보관할 것
- 식료품, 사료, 의약품, 음식과 혼합저장 금지할 것
- 필요에 따라 국소배기장치 가동할 것
- 저장용기는 물리적인 손상에 견딜 수 있어야 할 것
- 염화암모늄 용액에서 안정화되고 기체 상태에서는 900℃에서도 안정(① Zinc chloride)할 것
- 황산아연 용액은 8~24℃의 저장소에 보관(② Zinc sulfate)할 것
- 취급 또는 작업 시는 통풍이 잘되는 후드에서 행하고 고글형 보안경, 보호복, 고무장갑, 고무앞치마, 양압자급식호흡보호구를 착용하여 단기적인 접촉 및 반복적이고 장기적인 노출을 피할 것
- 노출기준 이상에서는 호흡보호구를 착용할 것
- 작업 시에는 콘택트렌즈 착용금지할 것
- 작업장 부근에 비상시를 대비하여 샤워시설 및 세안시설 구비할 것</v>
          </cell>
        </row>
        <row r="169">
          <cell r="B169" t="str">
            <v>14883-46-6</v>
          </cell>
          <cell r="C169" t="str">
            <v>무기아연 염류</v>
          </cell>
          <cell r="D169" t="str">
            <v>97-1-91</v>
          </cell>
          <cell r="E169" t="str">
            <v>및 이를 25% 이상 함유한 혼합물질. 탄산아연(Zinc carbonate) 및 뇌산아연(Zinc fulminate)은 제외</v>
          </cell>
          <cell r="F169">
            <v>25</v>
          </cell>
          <cell r="G169" t="str">
            <v>- 건조하고 통풍이 잘되는 그늘 및 서늘한 곳에 밀폐 보관할 것
- 식료품, 사료, 의약품, 음식과 혼합저장 금지할 것
- 필요에 따라 국소배기장치 가동할 것
- 저장용기는 물리적인 손상에 견딜 수 있어야 할 것
- 염화암모늄 용액에서 안정화되고 기체 상태에서는 900℃에서도 안정(① Zinc chloride)할 것
- 황산아연 용액은 8~24℃의 저장소에 보관(② Zinc sulfate)할 것
- 취급 또는 작업 시는 통풍이 잘되는 후드에서 행하고 고글형 보안경, 보호복, 고무장갑, 고무앞치마, 양압자급식호흡보호구를 착용하여 단기적인 접촉 및 반복적이고 장기적인 노출을 피할 것
- 노출기준 이상에서는 호흡보호구를 착용할 것
- 작업 시에는 콘택트렌즈 착용금지할 것
- 작업장 부근에 비상시를 대비하여 샤워시설 및 세안시설 구비할 것</v>
          </cell>
        </row>
        <row r="170">
          <cell r="B170" t="str">
            <v>15060-64-7</v>
          </cell>
          <cell r="C170" t="str">
            <v>무기아연 염류</v>
          </cell>
          <cell r="D170" t="str">
            <v>97-1-91</v>
          </cell>
          <cell r="E170" t="str">
            <v>및 이를 25% 이상 함유한 혼합물질. 탄산아연(Zinc carbonate) 및 뇌산아연(Zinc fulminate)은 제외</v>
          </cell>
          <cell r="F170">
            <v>25</v>
          </cell>
          <cell r="G170" t="str">
            <v>- 건조하고 통풍이 잘되는 그늘 및 서늘한 곳에 밀폐 보관할 것
- 식료품, 사료, 의약품, 음식과 혼합저장 금지할 것
- 필요에 따라 국소배기장치 가동할 것
- 저장용기는 물리적인 손상에 견딜 수 있어야 할 것
- 염화암모늄 용액에서 안정화되고 기체 상태에서는 900℃에서도 안정(① Zinc chloride)할 것
- 황산아연 용액은 8~24℃의 저장소에 보관(② Zinc sulfate)할 것
- 취급 또는 작업 시는 통풍이 잘되는 후드에서 행하고 고글형 보안경, 보호복, 고무장갑, 고무앞치마, 양압자급식호흡보호구를 착용하여 단기적인 접촉 및 반복적이고 장기적인 노출을 피할 것
- 노출기준 이상에서는 호흡보호구를 착용할 것
- 작업 시에는 콘택트렌즈 착용금지할 것
- 작업장 부근에 비상시를 대비하여 샤워시설 및 세안시설 구비할 것</v>
          </cell>
        </row>
        <row r="171">
          <cell r="B171" t="str">
            <v>18428-70-1</v>
          </cell>
          <cell r="C171" t="str">
            <v>무기아연 염류</v>
          </cell>
          <cell r="D171" t="str">
            <v>97-1-91</v>
          </cell>
          <cell r="E171" t="str">
            <v>및 이를 25% 이상 함유한 혼합물질. 탄산아연(Zinc carbonate) 및 뇌산아연(Zinc fulminate)은 제외</v>
          </cell>
          <cell r="F171">
            <v>25</v>
          </cell>
          <cell r="G171" t="str">
            <v>- 건조하고 통풍이 잘되는 그늘 및 서늘한 곳에 밀폐 보관할 것
- 식료품, 사료, 의약품, 음식과 혼합저장 금지할 것
- 필요에 따라 국소배기장치 가동할 것
- 저장용기는 물리적인 손상에 견딜 수 있어야 할 것
- 염화암모늄 용액에서 안정화되고 기체 상태에서는 900℃에서도 안정(① Zinc chloride)할 것
- 황산아연 용액은 8~24℃의 저장소에 보관(② Zinc sulfate)할 것
- 취급 또는 작업 시는 통풍이 잘되는 후드에서 행하고 고글형 보안경, 보호복, 고무장갑, 고무앞치마, 양압자급식호흡보호구를 착용하여 단기적인 접촉 및 반복적이고 장기적인 노출을 피할 것
- 노출기준 이상에서는 호흡보호구를 착용할 것
- 작업 시에는 콘택트렌즈 착용금지할 것
- 작업장 부근에 비상시를 대비하여 샤워시설 및 세안시설 구비할 것</v>
          </cell>
        </row>
        <row r="172">
          <cell r="B172" t="str">
            <v>19210-06-1</v>
          </cell>
          <cell r="C172" t="str">
            <v>무기아연 염류</v>
          </cell>
          <cell r="D172" t="str">
            <v>97-1-91</v>
          </cell>
          <cell r="E172" t="str">
            <v>및 이를 25% 이상 함유한 혼합물질. 탄산아연(Zinc carbonate) 및 뇌산아연(Zinc fulminate)은 제외</v>
          </cell>
          <cell r="F172">
            <v>25</v>
          </cell>
          <cell r="G172" t="str">
            <v>- 건조하고 통풍이 잘되는 그늘 및 서늘한 곳에 밀폐 보관할 것
- 식료품, 사료, 의약품, 음식과 혼합저장 금지할 것
- 필요에 따라 국소배기장치 가동할 것
- 저장용기는 물리적인 손상에 견딜 수 있어야 할 것
- 염화암모늄 용액에서 안정화되고 기체 상태에서는 900℃에서도 안정(① Zinc chloride)할 것
- 황산아연 용액은 8~24℃의 저장소에 보관(② Zinc sulfate)할 것
- 취급 또는 작업 시는 통풍이 잘되는 후드에서 행하고 고글형 보안경, 보호복, 고무장갑, 고무앞치마, 양압자급식호흡보호구를 착용하여 단기적인 접촉 및 반복적이고 장기적인 노출을 피할 것
- 노출기준 이상에서는 호흡보호구를 착용할 것
- 작업 시에는 콘택트렌즈 착용금지할 것
- 작업장 부근에 비상시를 대비하여 샤워시설 및 세안시설 구비할 것</v>
          </cell>
        </row>
        <row r="173">
          <cell r="B173" t="str">
            <v>19262-92-1</v>
          </cell>
          <cell r="C173" t="str">
            <v>무기아연 염류</v>
          </cell>
          <cell r="D173" t="str">
            <v>97-1-91</v>
          </cell>
          <cell r="E173" t="str">
            <v>및 이를 25% 이상 함유한 혼합물질. 탄산아연(Zinc carbonate) 및 뇌산아연(Zinc fulminate)은 제외</v>
          </cell>
          <cell r="F173">
            <v>25</v>
          </cell>
          <cell r="G173" t="str">
            <v>- 건조하고 통풍이 잘되는 그늘 및 서늘한 곳에 밀폐 보관할 것
- 식료품, 사료, 의약품, 음식과 혼합저장 금지할 것
- 필요에 따라 국소배기장치 가동할 것
- 저장용기는 물리적인 손상에 견딜 수 있어야 할 것
- 염화암모늄 용액에서 안정화되고 기체 상태에서는 900℃에서도 안정(① Zinc chloride)할 것
- 황산아연 용액은 8~24℃의 저장소에 보관(② Zinc sulfate)할 것
- 취급 또는 작업 시는 통풍이 잘되는 후드에서 행하고 고글형 보안경, 보호복, 고무장갑, 고무앞치마, 양압자급식호흡보호구를 착용하여 단기적인 접촉 및 반복적이고 장기적인 노출을 피할 것
- 노출기준 이상에서는 호흡보호구를 착용할 것
- 작업 시에는 콘택트렌즈 착용금지할 것
- 작업장 부근에 비상시를 대비하여 샤워시설 및 세안시설 구비할 것</v>
          </cell>
        </row>
        <row r="174">
          <cell r="B174" t="str">
            <v>23414-72-4</v>
          </cell>
          <cell r="C174" t="str">
            <v>무기아연 염류</v>
          </cell>
          <cell r="D174" t="str">
            <v>97-1-91</v>
          </cell>
          <cell r="E174" t="str">
            <v>및 이를 25% 이상 함유한 혼합물질. 탄산아연(Zinc carbonate) 및 뇌산아연(Zinc fulminate)은 제외</v>
          </cell>
          <cell r="F174">
            <v>25</v>
          </cell>
          <cell r="G174" t="str">
            <v>- 건조하고 통풍이 잘되는 그늘 및 서늘한 곳에 밀폐 보관할 것
- 식료품, 사료, 의약품, 음식과 혼합저장 금지할 것
- 필요에 따라 국소배기장치 가동할 것
- 저장용기는 물리적인 손상에 견딜 수 있어야 할 것
- 염화암모늄 용액에서 안정화되고 기체 상태에서는 900℃에서도 안정(① Zinc chloride)할 것
- 황산아연 용액은 8~24℃의 저장소에 보관(② Zinc sulfate)할 것
- 취급 또는 작업 시는 통풍이 잘되는 후드에서 행하고 고글형 보안경, 보호복, 고무장갑, 고무앞치마, 양압자급식호흡보호구를 착용하여 단기적인 접촉 및 반복적이고 장기적인 노출을 피할 것
- 노출기준 이상에서는 호흡보호구를 착용할 것
- 작업 시에는 콘택트렌즈 착용금지할 것
- 작업장 부근에 비상시를 대비하여 샤워시설 및 세안시설 구비할 것</v>
          </cell>
        </row>
        <row r="175">
          <cell r="B175" t="str">
            <v>24012-08-6</v>
          </cell>
          <cell r="C175" t="str">
            <v>무기아연 염류</v>
          </cell>
          <cell r="D175" t="str">
            <v>97-1-91</v>
          </cell>
          <cell r="E175" t="str">
            <v>및 이를 25% 이상 함유한 혼합물질. 탄산아연(Zinc carbonate) 및 뇌산아연(Zinc fulminate)은 제외</v>
          </cell>
          <cell r="F175">
            <v>25</v>
          </cell>
          <cell r="G175" t="str">
            <v>- 건조하고 통풍이 잘되는 그늘 및 서늘한 곳에 밀폐 보관할 것
- 식료품, 사료, 의약품, 음식과 혼합저장 금지할 것
- 필요에 따라 국소배기장치 가동할 것
- 저장용기는 물리적인 손상에 견딜 수 있어야 할 것
- 염화암모늄 용액에서 안정화되고 기체 상태에서는 900℃에서도 안정(① Zinc chloride)할 것
- 황산아연 용액은 8~24℃의 저장소에 보관(② Zinc sulfate)할 것
- 취급 또는 작업 시는 통풍이 잘되는 후드에서 행하고 고글형 보안경, 보호복, 고무장갑, 고무앞치마, 양압자급식호흡보호구를 착용하여 단기적인 접촉 및 반복적이고 장기적인 노출을 피할 것
- 노출기준 이상에서는 호흡보호구를 착용할 것
- 작업 시에는 콘택트렌즈 착용금지할 것
- 작업장 부근에 비상시를 대비하여 샤워시설 및 세안시설 구비할 것</v>
          </cell>
        </row>
        <row r="176">
          <cell r="B176" t="str">
            <v>24606-42-6</v>
          </cell>
          <cell r="C176" t="str">
            <v>무기아연 염류</v>
          </cell>
          <cell r="D176" t="str">
            <v>97-1-91</v>
          </cell>
          <cell r="E176" t="str">
            <v>및 이를 25% 이상 함유한 혼합물질. 탄산아연(Zinc carbonate) 및 뇌산아연(Zinc fulminate)은 제외</v>
          </cell>
          <cell r="F176">
            <v>25</v>
          </cell>
          <cell r="G176" t="str">
            <v>- 건조하고 통풍이 잘되는 그늘 및 서늘한 곳에 밀폐 보관할 것
- 식료품, 사료, 의약품, 음식과 혼합저장 금지할 것
- 필요에 따라 국소배기장치 가동할 것
- 저장용기는 물리적인 손상에 견딜 수 있어야 할 것
- 염화암모늄 용액에서 안정화되고 기체 상태에서는 900℃에서도 안정(① Zinc chloride)할 것
- 황산아연 용액은 8~24℃의 저장소에 보관(② Zinc sulfate)할 것
- 취급 또는 작업 시는 통풍이 잘되는 후드에서 행하고 고글형 보안경, 보호복, 고무장갑, 고무앞치마, 양압자급식호흡보호구를 착용하여 단기적인 접촉 및 반복적이고 장기적인 노출을 피할 것
- 노출기준 이상에서는 호흡보호구를 착용할 것
- 작업 시에는 콘택트렌즈 착용금지할 것
- 작업장 부근에 비상시를 대비하여 샤워시설 및 세안시설 구비할 것</v>
          </cell>
        </row>
        <row r="177">
          <cell r="B177" t="str">
            <v>25638-88-4</v>
          </cell>
          <cell r="C177" t="str">
            <v>무기아연 염류</v>
          </cell>
          <cell r="D177" t="str">
            <v>97-1-91</v>
          </cell>
          <cell r="E177" t="str">
            <v>및 이를 25% 이상 함유한 혼합물질. 탄산아연(Zinc carbonate) 및 뇌산아연(Zinc fulminate)은 제외</v>
          </cell>
          <cell r="F177">
            <v>25</v>
          </cell>
          <cell r="G177" t="str">
            <v>- 건조하고 통풍이 잘되는 그늘 및 서늘한 곳에 밀폐 보관할 것
- 식료품, 사료, 의약품, 음식과 혼합저장 금지할 것
- 필요에 따라 국소배기장치 가동할 것
- 저장용기는 물리적인 손상에 견딜 수 있어야 할 것
- 염화암모늄 용액에서 안정화되고 기체 상태에서는 900℃에서도 안정(① Zinc chloride)할 것
- 황산아연 용액은 8~24℃의 저장소에 보관(② Zinc sulfate)할 것
- 취급 또는 작업 시는 통풍이 잘되는 후드에서 행하고 고글형 보안경, 보호복, 고무장갑, 고무앞치마, 양압자급식호흡보호구를 착용하여 단기적인 접촉 및 반복적이고 장기적인 노출을 피할 것
- 노출기준 이상에서는 호흡보호구를 착용할 것
- 작업 시에는 콘택트렌즈 착용금지할 것
- 작업장 부근에 비상시를 대비하여 샤워시설 및 세안시설 구비할 것</v>
          </cell>
        </row>
        <row r="178">
          <cell r="B178" t="str">
            <v>30848-25-0</v>
          </cell>
          <cell r="C178" t="str">
            <v>무기아연 염류</v>
          </cell>
          <cell r="D178" t="str">
            <v>97-1-91</v>
          </cell>
          <cell r="E178" t="str">
            <v>및 이를 25% 이상 함유한 혼합물질. 탄산아연(Zinc carbonate) 및 뇌산아연(Zinc fulminate)은 제외</v>
          </cell>
          <cell r="F178">
            <v>25</v>
          </cell>
          <cell r="G178" t="str">
            <v>- 건조하고 통풍이 잘되는 그늘 및 서늘한 곳에 밀폐 보관할 것
- 식료품, 사료, 의약품, 음식과 혼합저장 금지할 것
- 필요에 따라 국소배기장치 가동할 것
- 저장용기는 물리적인 손상에 견딜 수 있어야 할 것
- 염화암모늄 용액에서 안정화되고 기체 상태에서는 900℃에서도 안정(① Zinc chloride)할 것
- 황산아연 용액은 8~24℃의 저장소에 보관(② Zinc sulfate)할 것
- 취급 또는 작업 시는 통풍이 잘되는 후드에서 행하고 고글형 보안경, 보호복, 고무장갑, 고무앞치마, 양압자급식호흡보호구를 착용하여 단기적인 접촉 및 반복적이고 장기적인 노출을 피할 것
- 노출기준 이상에서는 호흡보호구를 착용할 것
- 작업 시에는 콘택트렌즈 착용금지할 것
- 작업장 부근에 비상시를 대비하여 샤워시설 및 세안시설 구비할 것</v>
          </cell>
        </row>
        <row r="179">
          <cell r="B179" t="str">
            <v>40861-29-8</v>
          </cell>
          <cell r="C179" t="str">
            <v>무기아연 염류</v>
          </cell>
          <cell r="D179" t="str">
            <v>97-1-91</v>
          </cell>
          <cell r="E179" t="str">
            <v>및 이를 25% 이상 함유한 혼합물질. 탄산아연(Zinc carbonate) 및 뇌산아연(Zinc fulminate)은 제외</v>
          </cell>
          <cell r="F179">
            <v>25</v>
          </cell>
          <cell r="G179" t="str">
            <v>- 건조하고 통풍이 잘되는 그늘 및 서늘한 곳에 밀폐 보관할 것
- 식료품, 사료, 의약품, 음식과 혼합저장 금지할 것
- 필요에 따라 국소배기장치 가동할 것
- 저장용기는 물리적인 손상에 견딜 수 있어야 할 것
- 염화암모늄 용액에서 안정화되고 기체 상태에서는 900℃에서도 안정(① Zinc chloride)할 것
- 황산아연 용액은 8~24℃의 저장소에 보관(② Zinc sulfate)할 것
- 취급 또는 작업 시는 통풍이 잘되는 후드에서 행하고 고글형 보안경, 보호복, 고무장갑, 고무앞치마, 양압자급식호흡보호구를 착용하여 단기적인 접촉 및 반복적이고 장기적인 노출을 피할 것
- 노출기준 이상에서는 호흡보호구를 착용할 것
- 작업 시에는 콘택트렌즈 착용금지할 것
- 작업장 부근에 비상시를 대비하여 샤워시설 및 세안시설 구비할 것</v>
          </cell>
        </row>
        <row r="180">
          <cell r="B180" t="str">
            <v>51839-25-9</v>
          </cell>
          <cell r="C180" t="str">
            <v>무기아연 염류</v>
          </cell>
          <cell r="D180" t="str">
            <v>97-1-91</v>
          </cell>
          <cell r="E180" t="str">
            <v>및 이를 25% 이상 함유한 혼합물질. 탄산아연(Zinc carbonate) 및 뇌산아연(Zinc fulminate)은 제외</v>
          </cell>
          <cell r="F180">
            <v>25</v>
          </cell>
          <cell r="G180" t="str">
            <v>- 건조하고 통풍이 잘되는 그늘 및 서늘한 곳에 밀폐 보관할 것
- 식료품, 사료, 의약품, 음식과 혼합저장 금지할 것
- 필요에 따라 국소배기장치 가동할 것
- 저장용기는 물리적인 손상에 견딜 수 있어야 할 것
- 염화암모늄 용액에서 안정화되고 기체 상태에서는 900℃에서도 안정(① Zinc chloride)할 것
- 황산아연 용액은 8~24℃의 저장소에 보관(② Zinc sulfate)할 것
- 취급 또는 작업 시는 통풍이 잘되는 후드에서 행하고 고글형 보안경, 보호복, 고무장갑, 고무앞치마, 양압자급식호흡보호구를 착용하여 단기적인 접촉 및 반복적이고 장기적인 노출을 피할 것
- 노출기준 이상에서는 호흡보호구를 착용할 것
- 작업 시에는 콘택트렌즈 착용금지할 것
- 작업장 부근에 비상시를 대비하여 샤워시설 및 세안시설 구비할 것</v>
          </cell>
        </row>
        <row r="181">
          <cell r="B181" t="str">
            <v>52488-90-1</v>
          </cell>
          <cell r="C181" t="str">
            <v>무기아연 염류</v>
          </cell>
          <cell r="D181" t="str">
            <v>97-1-91</v>
          </cell>
          <cell r="E181" t="str">
            <v>및 이를 25% 이상 함유한 혼합물질. 탄산아연(Zinc carbonate) 및 뇌산아연(Zinc fulminate)은 제외</v>
          </cell>
          <cell r="F181">
            <v>25</v>
          </cell>
          <cell r="G181" t="str">
            <v>- 건조하고 통풍이 잘되는 그늘 및 서늘한 곳에 밀폐 보관할 것
- 식료품, 사료, 의약품, 음식과 혼합저장 금지할 것
- 필요에 따라 국소배기장치 가동할 것
- 저장용기는 물리적인 손상에 견딜 수 있어야 할 것
- 염화암모늄 용액에서 안정화되고 기체 상태에서는 900℃에서도 안정(① Zinc chloride)할 것
- 황산아연 용액은 8~24℃의 저장소에 보관(② Zinc sulfate)할 것
- 취급 또는 작업 시는 통풍이 잘되는 후드에서 행하고 고글형 보안경, 보호복, 고무장갑, 고무앞치마, 양압자급식호흡보호구를 착용하여 단기적인 접촉 및 반복적이고 장기적인 노출을 피할 것
- 노출기준 이상에서는 호흡보호구를 착용할 것
- 작업 시에는 콘택트렌즈 착용금지할 것
- 작업장 부근에 비상시를 대비하여 샤워시설 및 세안시설 구비할 것</v>
          </cell>
        </row>
        <row r="182">
          <cell r="B182" t="str">
            <v>52628-25-8</v>
          </cell>
          <cell r="C182" t="str">
            <v>무기아연 염류</v>
          </cell>
          <cell r="D182" t="str">
            <v>97-1-91</v>
          </cell>
          <cell r="E182" t="str">
            <v>및 이를 25% 이상 함유한 혼합물질. 탄산아연(Zinc carbonate) 및 뇌산아연(Zinc fulminate)은 제외</v>
          </cell>
          <cell r="F182">
            <v>25</v>
          </cell>
          <cell r="G182" t="str">
            <v>- 건조하고 통풍이 잘되는 그늘 및 서늘한 곳에 밀폐 보관할 것
- 식료품, 사료, 의약품, 음식과 혼합저장 금지할 것
- 필요에 따라 국소배기장치 가동할 것
- 저장용기는 물리적인 손상에 견딜 수 있어야 할 것
- 염화암모늄 용액에서 안정화되고 기체 상태에서는 900℃에서도 안정(① Zinc chloride)할 것
- 황산아연 용액은 8~24℃의 저장소에 보관(② Zinc sulfate)할 것
- 취급 또는 작업 시는 통풍이 잘되는 후드에서 행하고 고글형 보안경, 보호복, 고무장갑, 고무앞치마, 양압자급식호흡보호구를 착용하여 단기적인 접촉 및 반복적이고 장기적인 노출을 피할 것
- 노출기준 이상에서는 호흡보호구를 착용할 것
- 작업 시에는 콘택트렌즈 착용금지할 것
- 작업장 부근에 비상시를 대비하여 샤워시설 및 세안시설 구비할 것</v>
          </cell>
        </row>
        <row r="183">
          <cell r="B183" t="str">
            <v>54389-17-2</v>
          </cell>
          <cell r="C183" t="str">
            <v>무기아연 염류</v>
          </cell>
          <cell r="D183" t="str">
            <v>97-1-91</v>
          </cell>
          <cell r="E183" t="str">
            <v>및 이를 25% 이상 함유한 혼합물질. 탄산아연(Zinc carbonate) 및 뇌산아연(Zinc fulminate)은 제외</v>
          </cell>
          <cell r="F183">
            <v>25</v>
          </cell>
          <cell r="G183" t="str">
            <v>- 건조하고 통풍이 잘되는 그늘 및 서늘한 곳에 밀폐 보관할 것
- 식료품, 사료, 의약품, 음식과 혼합저장 금지할 것
- 필요에 따라 국소배기장치 가동할 것
- 저장용기는 물리적인 손상에 견딜 수 있어야 할 것
- 염화암모늄 용액에서 안정화되고 기체 상태에서는 900℃에서도 안정(① Zinc chloride)할 것
- 황산아연 용액은 8~24℃의 저장소에 보관(② Zinc sulfate)할 것
- 취급 또는 작업 시는 통풍이 잘되는 후드에서 행하고 고글형 보안경, 보호복, 고무장갑, 고무앞치마, 양압자급식호흡보호구를 착용하여 단기적인 접촉 및 반복적이고 장기적인 노출을 피할 것
- 노출기준 이상에서는 호흡보호구를 착용할 것
- 작업 시에는 콘택트렌즈 착용금지할 것
- 작업장 부근에 비상시를 대비하여 샤워시설 및 세안시설 구비할 것</v>
          </cell>
        </row>
        <row r="184">
          <cell r="B184" t="str">
            <v>557-42-6</v>
          </cell>
          <cell r="C184" t="str">
            <v>무기아연 염류</v>
          </cell>
          <cell r="D184" t="str">
            <v>97-1-91</v>
          </cell>
          <cell r="E184" t="str">
            <v>및 이를 25% 이상 함유한 혼합물질. 탄산아연(Zinc carbonate) 및 뇌산아연(Zinc fulminate)은 제외</v>
          </cell>
          <cell r="F184">
            <v>25</v>
          </cell>
          <cell r="G184" t="str">
            <v>- 건조하고 통풍이 잘되는 그늘 및 서늘한 곳에 밀폐 보관할 것
- 식료품, 사료, 의약품, 음식과 혼합저장 금지할 것
- 필요에 따라 국소배기장치 가동할 것
- 저장용기는 물리적인 손상에 견딜 수 있어야 할 것
- 염화암모늄 용액에서 안정화되고 기체 상태에서는 900℃에서도 안정(① Zinc chloride)할 것
- 황산아연 용액은 8~24℃의 저장소에 보관(② Zinc sulfate)할 것
- 취급 또는 작업 시는 통풍이 잘되는 후드에서 행하고 고글형 보안경, 보호복, 고무장갑, 고무앞치마, 양압자급식호흡보호구를 착용하여 단기적인 접촉 및 반복적이고 장기적인 노출을 피할 것
- 노출기준 이상에서는 호흡보호구를 착용할 것
- 작업 시에는 콘택트렌즈 착용금지할 것
- 작업장 부근에 비상시를 대비하여 샤워시설 및 세안시설 구비할 것</v>
          </cell>
        </row>
        <row r="185">
          <cell r="B185" t="str">
            <v>56902-79-5</v>
          </cell>
          <cell r="C185" t="str">
            <v>무기아연 염류</v>
          </cell>
          <cell r="D185" t="str">
            <v>97-1-91</v>
          </cell>
          <cell r="E185" t="str">
            <v>및 이를 25% 이상 함유한 혼합물질. 탄산아연(Zinc carbonate) 및 뇌산아연(Zinc fulminate)은 제외</v>
          </cell>
          <cell r="F185">
            <v>25</v>
          </cell>
          <cell r="G185" t="str">
            <v>- 건조하고 통풍이 잘되는 그늘 및 서늘한 곳에 밀폐 보관할 것
- 식료품, 사료, 의약품, 음식과 혼합저장 금지할 것
- 필요에 따라 국소배기장치 가동할 것
- 저장용기는 물리적인 손상에 견딜 수 있어야 할 것
- 염화암모늄 용액에서 안정화되고 기체 상태에서는 900℃에서도 안정(① Zinc chloride)할 것
- 황산아연 용액은 8~24℃의 저장소에 보관(② Zinc sulfate)할 것
- 취급 또는 작업 시는 통풍이 잘되는 후드에서 행하고 고글형 보안경, 보호복, 고무장갑, 고무앞치마, 양압자급식호흡보호구를 착용하여 단기적인 접촉 및 반복적이고 장기적인 노출을 피할 것
- 노출기준 이상에서는 호흡보호구를 착용할 것
- 작업 시에는 콘택트렌즈 착용금지할 것
- 작업장 부근에 비상시를 대비하여 샤워시설 및 세안시설 구비할 것</v>
          </cell>
        </row>
        <row r="186">
          <cell r="B186" t="str">
            <v>7446-19-7</v>
          </cell>
          <cell r="C186" t="str">
            <v>무기아연 염류</v>
          </cell>
          <cell r="D186" t="str">
            <v>97-1-91</v>
          </cell>
          <cell r="E186" t="str">
            <v>및 이를 25% 이상 함유한 혼합물질. 탄산아연(Zinc carbonate) 및 뇌산아연(Zinc fulminate)은 제외</v>
          </cell>
          <cell r="F186">
            <v>25</v>
          </cell>
          <cell r="G186" t="str">
            <v>- 건조하고 통풍이 잘되는 그늘 및 서늘한 곳에 밀폐 보관할 것
- 식료품, 사료, 의약품, 음식과 혼합저장 금지할 것
- 필요에 따라 국소배기장치 가동할 것
- 저장용기는 물리적인 손상에 견딜 수 있어야 할 것
- 염화암모늄 용액에서 안정화되고 기체 상태에서는 900℃에서도 안정(① Zinc chloride)할 것
- 황산아연 용액은 8~24℃의 저장소에 보관(② Zinc sulfate)할 것
- 취급 또는 작업 시는 통풍이 잘되는 후드에서 행하고 고글형 보안경, 보호복, 고무장갑, 고무앞치마, 양압자급식호흡보호구를 착용하여 단기적인 접촉 및 반복적이고 장기적인 노출을 피할 것
- 노출기준 이상에서는 호흡보호구를 착용할 것
- 작업 시에는 콘택트렌즈 착용금지할 것
- 작업장 부근에 비상시를 대비하여 샤워시설 및 세안시설 구비할 것</v>
          </cell>
        </row>
        <row r="187">
          <cell r="B187" t="str">
            <v>7446-26-6</v>
          </cell>
          <cell r="C187" t="str">
            <v>무기아연 염류</v>
          </cell>
          <cell r="D187" t="str">
            <v>97-1-91</v>
          </cell>
          <cell r="E187" t="str">
            <v>및 이를 25% 이상 함유한 혼합물질. 탄산아연(Zinc carbonate) 및 뇌산아연(Zinc fulminate)은 제외</v>
          </cell>
          <cell r="F187">
            <v>25</v>
          </cell>
          <cell r="G187" t="str">
            <v>- 건조하고 통풍이 잘되는 그늘 및 서늘한 곳에 밀폐 보관할 것
- 식료품, 사료, 의약품, 음식과 혼합저장 금지할 것
- 필요에 따라 국소배기장치 가동할 것
- 저장용기는 물리적인 손상에 견딜 수 있어야 할 것
- 염화암모늄 용액에서 안정화되고 기체 상태에서는 900℃에서도 안정(① Zinc chloride)할 것
- 황산아연 용액은 8~24℃의 저장소에 보관(② Zinc sulfate)할 것
- 취급 또는 작업 시는 통풍이 잘되는 후드에서 행하고 고글형 보안경, 보호복, 고무장갑, 고무앞치마, 양압자급식호흡보호구를 착용하여 단기적인 접촉 및 반복적이고 장기적인 노출을 피할 것
- 노출기준 이상에서는 호흡보호구를 착용할 것
- 작업 시에는 콘택트렌즈 착용금지할 것
- 작업장 부근에 비상시를 대비하여 샤워시설 및 세안시설 구비할 것</v>
          </cell>
        </row>
        <row r="188">
          <cell r="B188" t="str">
            <v>7646-85-7</v>
          </cell>
          <cell r="C188" t="str">
            <v>무기아연 염류</v>
          </cell>
          <cell r="D188" t="str">
            <v>97-1-91</v>
          </cell>
          <cell r="E188" t="str">
            <v>및 이를 25% 이상 함유한 혼합물질. 탄산아연(Zinc carbonate) 및 뇌산아연(Zinc fulminate)은 제외</v>
          </cell>
          <cell r="F188">
            <v>25</v>
          </cell>
          <cell r="G188" t="str">
            <v>- 건조하고 통풍이 잘되는 그늘 및 서늘한 곳에 밀폐 보관할 것
- 식료품, 사료, 의약품, 음식과 혼합저장 금지할 것
- 필요에 따라 국소배기장치 가동할 것
- 저장용기는 물리적인 손상에 견딜 수 있어야 할 것
- 염화암모늄 용액에서 안정화되고 기체 상태에서는 900℃에서도 안정(① Zinc chloride)할 것
- 황산아연 용액은 8~24℃의 저장소에 보관(② Zinc sulfate)할 것
- 취급 또는 작업 시는 통풍이 잘되는 후드에서 행하고 고글형 보안경, 보호복, 고무장갑, 고무앞치마, 양압자급식호흡보호구를 착용하여 단기적인 접촉 및 반복적이고 장기적인 노출을 피할 것
- 노출기준 이상에서는 호흡보호구를 착용할 것
- 작업 시에는 콘택트렌즈 착용금지할 것
- 작업장 부근에 비상시를 대비하여 샤워시설 및 세안시설 구비할 것</v>
          </cell>
        </row>
        <row r="189">
          <cell r="B189" t="str">
            <v>7699-45-8</v>
          </cell>
          <cell r="C189" t="str">
            <v>무기아연 염류</v>
          </cell>
          <cell r="D189" t="str">
            <v>97-1-91</v>
          </cell>
          <cell r="E189" t="str">
            <v>및 이를 25% 이상 함유한 혼합물질. 탄산아연(Zinc carbonate) 및 뇌산아연(Zinc fulminate)은 제외</v>
          </cell>
          <cell r="F189">
            <v>25</v>
          </cell>
          <cell r="G189" t="str">
            <v>- 건조하고 통풍이 잘되는 그늘 및 서늘한 곳에 밀폐 보관할 것
- 식료품, 사료, 의약품, 음식과 혼합저장 금지할 것
- 필요에 따라 국소배기장치 가동할 것
- 저장용기는 물리적인 손상에 견딜 수 있어야 할 것
- 염화암모늄 용액에서 안정화되고 기체 상태에서는 900℃에서도 안정(① Zinc chloride)할 것
- 황산아연 용액은 8~24℃의 저장소에 보관(② Zinc sulfate)할 것
- 취급 또는 작업 시는 통풍이 잘되는 후드에서 행하고 고글형 보안경, 보호복, 고무장갑, 고무앞치마, 양압자급식호흡보호구를 착용하여 단기적인 접촉 및 반복적이고 장기적인 노출을 피할 것
- 노출기준 이상에서는 호흡보호구를 착용할 것
- 작업 시에는 콘택트렌즈 착용금지할 것
- 작업장 부근에 비상시를 대비하여 샤워시설 및 세안시설 구비할 것</v>
          </cell>
        </row>
        <row r="190">
          <cell r="B190" t="str">
            <v>7733-02-0</v>
          </cell>
          <cell r="C190" t="str">
            <v>무기아연 염류</v>
          </cell>
          <cell r="D190" t="str">
            <v>97-1-91</v>
          </cell>
          <cell r="E190" t="str">
            <v>및 이를 25% 이상 함유한 혼합물질. 탄산아연(Zinc carbonate) 및 뇌산아연(Zinc fulminate)은 제외</v>
          </cell>
          <cell r="F190">
            <v>25</v>
          </cell>
          <cell r="G190" t="str">
            <v>- 건조하고 통풍이 잘되는 그늘 및 서늘한 곳에 밀폐 보관할 것
- 식료품, 사료, 의약품, 음식과 혼합저장 금지할 것
- 필요에 따라 국소배기장치 가동할 것
- 저장용기는 물리적인 손상에 견딜 수 있어야 할 것
- 염화암모늄 용액에서 안정화되고 기체 상태에서는 900℃에서도 안정(① Zinc chloride)할 것
- 황산아연 용액은 8~24℃의 저장소에 보관(② Zinc sulfate)할 것
- 취급 또는 작업 시는 통풍이 잘되는 후드에서 행하고 고글형 보안경, 보호복, 고무장갑, 고무앞치마, 양압자급식호흡보호구를 착용하여 단기적인 접촉 및 반복적이고 장기적인 노출을 피할 것
- 노출기준 이상에서는 호흡보호구를 착용할 것
- 작업 시에는 콘택트렌즈 착용금지할 것
- 작업장 부근에 비상시를 대비하여 샤워시설 및 세안시설 구비할 것</v>
          </cell>
        </row>
        <row r="191">
          <cell r="B191" t="str">
            <v>7779-86-4</v>
          </cell>
          <cell r="C191" t="str">
            <v>무기아연 염류</v>
          </cell>
          <cell r="D191" t="str">
            <v>97-1-91</v>
          </cell>
          <cell r="E191" t="str">
            <v>및 이를 25% 이상 함유한 혼합물질. 탄산아연(Zinc carbonate) 및 뇌산아연(Zinc fulminate)은 제외</v>
          </cell>
          <cell r="F191">
            <v>25</v>
          </cell>
          <cell r="G191" t="str">
            <v>- 건조하고 통풍이 잘되는 그늘 및 서늘한 곳에 밀폐 보관할 것
- 식료품, 사료, 의약품, 음식과 혼합저장 금지할 것
- 필요에 따라 국소배기장치 가동할 것
- 저장용기는 물리적인 손상에 견딜 수 있어야 할 것
- 염화암모늄 용액에서 안정화되고 기체 상태에서는 900℃에서도 안정(① Zinc chloride)할 것
- 황산아연 용액은 8~24℃의 저장소에 보관(② Zinc sulfate)할 것
- 취급 또는 작업 시는 통풍이 잘되는 후드에서 행하고 고글형 보안경, 보호복, 고무장갑, 고무앞치마, 양압자급식호흡보호구를 착용하여 단기적인 접촉 및 반복적이고 장기적인 노출을 피할 것
- 노출기준 이상에서는 호흡보호구를 착용할 것
- 작업 시에는 콘택트렌즈 착용금지할 것
- 작업장 부근에 비상시를 대비하여 샤워시설 및 세안시설 구비할 것</v>
          </cell>
        </row>
        <row r="192">
          <cell r="B192" t="str">
            <v>7779-88-6</v>
          </cell>
          <cell r="C192" t="str">
            <v>무기아연 염류</v>
          </cell>
          <cell r="D192" t="str">
            <v>97-1-91</v>
          </cell>
          <cell r="E192" t="str">
            <v>및 이를 25% 이상 함유한 혼합물질. 탄산아연(Zinc carbonate) 및 뇌산아연(Zinc fulminate)은 제외</v>
          </cell>
          <cell r="F192">
            <v>25</v>
          </cell>
          <cell r="G192" t="str">
            <v>- 건조하고 통풍이 잘되는 그늘 및 서늘한 곳에 밀폐 보관할 것
- 식료품, 사료, 의약품, 음식과 혼합저장 금지할 것
- 필요에 따라 국소배기장치 가동할 것
- 저장용기는 물리적인 손상에 견딜 수 있어야 할 것
- 염화암모늄 용액에서 안정화되고 기체 상태에서는 900℃에서도 안정(① Zinc chloride)할 것
- 황산아연 용액은 8~24℃의 저장소에 보관(② Zinc sulfate)할 것
- 취급 또는 작업 시는 통풍이 잘되는 후드에서 행하고 고글형 보안경, 보호복, 고무장갑, 고무앞치마, 양압자급식호흡보호구를 착용하여 단기적인 접촉 및 반복적이고 장기적인 노출을 피할 것
- 노출기준 이상에서는 호흡보호구를 착용할 것
- 작업 시에는 콘택트렌즈 착용금지할 것
- 작업장 부근에 비상시를 대비하여 샤워시설 및 세안시설 구비할 것</v>
          </cell>
        </row>
        <row r="193">
          <cell r="B193" t="str">
            <v>7779-90-0</v>
          </cell>
          <cell r="C193" t="str">
            <v>무기아연 염류</v>
          </cell>
          <cell r="D193" t="str">
            <v>97-1-91</v>
          </cell>
          <cell r="E193" t="str">
            <v>및 이를 25% 이상 함유한 혼합물질. 탄산아연(Zinc carbonate) 및 뇌산아연(Zinc fulminate)은 제외</v>
          </cell>
          <cell r="F193">
            <v>25</v>
          </cell>
          <cell r="G193" t="str">
            <v>- 건조하고 통풍이 잘되는 그늘 및 서늘한 곳에 밀폐 보관할 것
- 식료품, 사료, 의약품, 음식과 혼합저장 금지할 것
- 필요에 따라 국소배기장치 가동할 것
- 저장용기는 물리적인 손상에 견딜 수 있어야 할 것
- 염화암모늄 용액에서 안정화되고 기체 상태에서는 900℃에서도 안정(① Zinc chloride)할 것
- 황산아연 용액은 8~24℃의 저장소에 보관(② Zinc sulfate)할 것
- 취급 또는 작업 시는 통풍이 잘되는 후드에서 행하고 고글형 보안경, 보호복, 고무장갑, 고무앞치마, 양압자급식호흡보호구를 착용하여 단기적인 접촉 및 반복적이고 장기적인 노출을 피할 것
- 노출기준 이상에서는 호흡보호구를 착용할 것
- 작업 시에는 콘택트렌즈 착용금지할 것
- 작업장 부근에 비상시를 대비하여 샤워시설 및 세안시설 구비할 것</v>
          </cell>
        </row>
        <row r="194">
          <cell r="B194" t="str">
            <v>7783-49-5</v>
          </cell>
          <cell r="C194" t="str">
            <v>무기아연 염류</v>
          </cell>
          <cell r="D194" t="str">
            <v>97-1-91</v>
          </cell>
          <cell r="E194" t="str">
            <v>및 이를 25% 이상 함유한 혼합물질. 탄산아연(Zinc carbonate) 및 뇌산아연(Zinc fulminate)은 제외</v>
          </cell>
          <cell r="F194">
            <v>25</v>
          </cell>
          <cell r="G194" t="str">
            <v>- 건조하고 통풍이 잘되는 그늘 및 서늘한 곳에 밀폐 보관할 것
- 식료품, 사료, 의약품, 음식과 혼합저장 금지할 것
- 필요에 따라 국소배기장치 가동할 것
- 저장용기는 물리적인 손상에 견딜 수 있어야 할 것
- 염화암모늄 용액에서 안정화되고 기체 상태에서는 900℃에서도 안정(① Zinc chloride)할 것
- 황산아연 용액은 8~24℃의 저장소에 보관(② Zinc sulfate)할 것
- 취급 또는 작업 시는 통풍이 잘되는 후드에서 행하고 고글형 보안경, 보호복, 고무장갑, 고무앞치마, 양압자급식호흡보호구를 착용하여 단기적인 접촉 및 반복적이고 장기적인 노출을 피할 것
- 노출기준 이상에서는 호흡보호구를 착용할 것
- 작업 시에는 콘택트렌즈 착용금지할 것
- 작업장 부근에 비상시를 대비하여 샤워시설 및 세안시설 구비할 것</v>
          </cell>
        </row>
        <row r="195">
          <cell r="B195" t="str">
            <v>7790-37-6</v>
          </cell>
          <cell r="C195" t="str">
            <v>무기아연 염류</v>
          </cell>
          <cell r="D195" t="str">
            <v>97-1-91</v>
          </cell>
          <cell r="E195" t="str">
            <v>및 이를 25% 이상 함유한 혼합물질. 탄산아연(Zinc carbonate) 및 뇌산아연(Zinc fulminate)은 제외</v>
          </cell>
          <cell r="F195">
            <v>25</v>
          </cell>
          <cell r="G195" t="str">
            <v>- 건조하고 통풍이 잘되는 그늘 및 서늘한 곳에 밀폐 보관할 것
- 식료품, 사료, 의약품, 음식과 혼합저장 금지할 것
- 필요에 따라 국소배기장치 가동할 것
- 저장용기는 물리적인 손상에 견딜 수 있어야 할 것
- 염화암모늄 용액에서 안정화되고 기체 상태에서는 900℃에서도 안정(① Zinc chloride)할 것
- 황산아연 용액은 8~24℃의 저장소에 보관(② Zinc sulfate)할 것
- 취급 또는 작업 시는 통풍이 잘되는 후드에서 행하고 고글형 보안경, 보호복, 고무장갑, 고무앞치마, 양압자급식호흡보호구를 착용하여 단기적인 접촉 및 반복적이고 장기적인 노출을 피할 것
- 노출기준 이상에서는 호흡보호구를 착용할 것
- 작업 시에는 콘택트렌즈 착용금지할 것
- 작업장 부근에 비상시를 대비하여 샤워시설 및 세안시설 구비할 것</v>
          </cell>
        </row>
        <row r="196">
          <cell r="B196" t="str">
            <v>88103-06-4</v>
          </cell>
          <cell r="C196" t="str">
            <v>무기아연 염류</v>
          </cell>
          <cell r="D196" t="str">
            <v>97-1-91</v>
          </cell>
          <cell r="E196" t="str">
            <v>및 이를 25% 이상 함유한 혼합물질. 탄산아연(Zinc carbonate) 및 뇌산아연(Zinc fulminate)은 제외</v>
          </cell>
          <cell r="F196">
            <v>25</v>
          </cell>
          <cell r="G196" t="str">
            <v>- 건조하고 통풍이 잘되는 그늘 및 서늘한 곳에 밀폐 보관할 것
- 식료품, 사료, 의약품, 음식과 혼합저장 금지할 것
- 필요에 따라 국소배기장치 가동할 것
- 저장용기는 물리적인 손상에 견딜 수 있어야 할 것
- 염화암모늄 용액에서 안정화되고 기체 상태에서는 900℃에서도 안정(① Zinc chloride)할 것
- 황산아연 용액은 8~24℃의 저장소에 보관(② Zinc sulfate)할 것
- 취급 또는 작업 시는 통풍이 잘되는 후드에서 행하고 고글형 보안경, 보호복, 고무장갑, 고무앞치마, 양압자급식호흡보호구를 착용하여 단기적인 접촉 및 반복적이고 장기적인 노출을 피할 것
- 노출기준 이상에서는 호흡보호구를 착용할 것
- 작업 시에는 콘택트렌즈 착용금지할 것
- 작업장 부근에 비상시를 대비하여 샤워시설 및 세안시설 구비할 것</v>
          </cell>
        </row>
        <row r="197">
          <cell r="B197" t="str">
            <v>10294-26-5</v>
          </cell>
          <cell r="C197" t="str">
            <v>무기은 염류</v>
          </cell>
          <cell r="D197" t="str">
            <v>97-1-92</v>
          </cell>
          <cell r="E197" t="str">
            <v>및 이를 25% 이상 함유한 혼합물질, 염화 은(Silver chloride) 및 뇌산 은(Silver fulminate)은 제외</v>
          </cell>
          <cell r="F197">
            <v>25</v>
          </cell>
          <cell r="G197" t="str">
            <v>- 통풍이 잘되는 그늘 및 서늘한 곳에 밀폐 보관할 것
- 저장용기는 물리적인 손상에 견딜 수 있어야 할 것
- 유기물질, 가연성물질, 산화제 및 열원과 격리하고 직사광선을 피해 저장(①Silver(Ⅰ) nitrate(1:1))할 것
- 질산은은 플라스틱 용기에 저장 금지(① Silver(Ⅰ) nitrate(1:1))할 것
- 15~30℃에서 불활성용기에 저장(① Silver(Ⅰ) nitrate(1:1))할 것
- 암염(ophthalmic) 수용액은 얼지 않도록 할 것(① Silver(Ⅰ) nitrate(1:1))할 것
- 사고발생에 대비하여 눈이나 몸을 씻을 수 있는 세안시설과 샤워시설이 이용 가능한 장소에서 작업할 것
- 사용한 후 식사, 흡연, 화장실에 가기 전에 물과 비누로 손을 꼭 세척할 것
- 호흡용보호구, 전면보호구, 보안경, 불침투성보호의, 보호장갑(고무 또는 네오프렌재질)을 반드시 착용할 것
- 콘택트렌즈를 착용 금지할 것
- 국소배기장치 가동할 것</v>
          </cell>
        </row>
        <row r="198">
          <cell r="B198" t="str">
            <v>12271-95-3</v>
          </cell>
          <cell r="C198" t="str">
            <v>무기은 염류</v>
          </cell>
          <cell r="D198" t="str">
            <v>97-1-92</v>
          </cell>
          <cell r="E198" t="str">
            <v>및 이를 25% 이상 함유한 혼합물질, 염화 은(Silver chloride) 및 뇌산 은(Silver fulminate)은 제외</v>
          </cell>
          <cell r="F198">
            <v>25</v>
          </cell>
          <cell r="G198" t="str">
            <v>- 통풍이 잘되는 그늘 및 서늘한 곳에 밀폐 보관할 것
- 저장용기는 물리적인 손상에 견딜 수 있어야 할 것
- 유기물질, 가연성물질, 산화제 및 열원과 격리하고 직사광선을 피해 저장(①Silver(Ⅰ) nitrate(1:1))할 것
- 질산은은 플라스틱 용기에 저장 금지(① Silver(Ⅰ) nitrate(1:1))할 것
- 15~30℃에서 불활성용기에 저장(① Silver(Ⅰ) nitrate(1:1))할 것
- 암염(ophthalmic) 수용액은 얼지 않도록 할 것(① Silver(Ⅰ) nitrate(1:1))할 것
- 사고발생에 대비하여 눈이나 몸을 씻을 수 있는 세안시설과 샤워시설이 이용 가능한 장소에서 작업할 것
- 사용한 후 식사, 흡연, 화장실에 가기 전에 물과 비누로 손을 꼭 세척할 것
- 호흡용보호구, 전면보호구, 보안경, 불침투성보호의, 보호장갑(고무 또는 네오프렌재질)을 반드시 착용할 것
- 콘택트렌즈를 착용 금지할 것
- 국소배기장치 가동할 것</v>
          </cell>
        </row>
        <row r="199">
          <cell r="B199" t="str">
            <v>13465-88-8</v>
          </cell>
          <cell r="C199" t="str">
            <v>무기은 염류</v>
          </cell>
          <cell r="D199" t="str">
            <v>97-1-92</v>
          </cell>
          <cell r="E199" t="str">
            <v>및 이를 25% 이상 함유한 혼합물질, 염화 은(Silver chloride) 및 뇌산 은(Silver fulminate)은 제외</v>
          </cell>
          <cell r="F199">
            <v>25</v>
          </cell>
          <cell r="G199" t="str">
            <v>- 통풍이 잘되는 그늘 및 서늘한 곳에 밀폐 보관할 것
- 저장용기는 물리적인 손상에 견딜 수 있어야 할 것
- 유기물질, 가연성물질, 산화제 및 열원과 격리하고 직사광선을 피해 저장(①Silver(Ⅰ) nitrate(1:1))할 것
- 질산은은 플라스틱 용기에 저장 금지(① Silver(Ⅰ) nitrate(1:1))할 것
- 15~30℃에서 불활성용기에 저장(① Silver(Ⅰ) nitrate(1:1))할 것
- 암염(ophthalmic) 수용액은 얼지 않도록 할 것(① Silver(Ⅰ) nitrate(1:1))할 것
- 사고발생에 대비하여 눈이나 몸을 씻을 수 있는 세안시설과 샤워시설이 이용 가능한 장소에서 작업할 것
- 사용한 후 식사, 흡연, 화장실에 가기 전에 물과 비누로 손을 꼭 세척할 것
- 호흡용보호구, 전면보호구, 보안경, 불침투성보호의, 보호장갑(고무 또는 네오프렌재질)을 반드시 착용할 것
- 콘택트렌즈를 착용 금지할 것
- 국소배기장치 가동할 것</v>
          </cell>
        </row>
        <row r="200">
          <cell r="B200" t="str">
            <v>13465-96-8</v>
          </cell>
          <cell r="C200" t="str">
            <v>무기은 염류</v>
          </cell>
          <cell r="D200" t="str">
            <v>97-1-92</v>
          </cell>
          <cell r="E200" t="str">
            <v>및 이를 25% 이상 함유한 혼합물질, 염화 은(Silver chloride) 및 뇌산 은(Silver fulminate)은 제외</v>
          </cell>
          <cell r="F200">
            <v>25</v>
          </cell>
          <cell r="G200" t="str">
            <v>- 통풍이 잘되는 그늘 및 서늘한 곳에 밀폐 보관할 것
- 저장용기는 물리적인 손상에 견딜 수 있어야 할 것
- 유기물질, 가연성물질, 산화제 및 열원과 격리하고 직사광선을 피해 저장(①Silver(Ⅰ) nitrate(1:1))할 것
- 질산은은 플라스틱 용기에 저장 금지(① Silver(Ⅰ) nitrate(1:1))할 것
- 15~30℃에서 불활성용기에 저장(① Silver(Ⅰ) nitrate(1:1))할 것
- 암염(ophthalmic) 수용액은 얼지 않도록 할 것(① Silver(Ⅰ) nitrate(1:1))할 것
- 사고발생에 대비하여 눈이나 몸을 씻을 수 있는 세안시설과 샤워시설이 이용 가능한 장소에서 작업할 것
- 사용한 후 식사, 흡연, 화장실에 가기 전에 물과 비누로 손을 꼭 세척할 것
- 호흡용보호구, 전면보호구, 보안경, 불침투성보호의, 보호장갑(고무 또는 네오프렌재질)을 반드시 착용할 것
- 콘택트렌즈를 착용 금지할 것
- 국소배기장치 가동할 것</v>
          </cell>
        </row>
        <row r="201">
          <cell r="B201" t="str">
            <v>13465-97-9</v>
          </cell>
          <cell r="C201" t="str">
            <v>무기은 염류</v>
          </cell>
          <cell r="D201" t="str">
            <v>97-1-92</v>
          </cell>
          <cell r="E201" t="str">
            <v>및 이를 25% 이상 함유한 혼합물질, 염화 은(Silver chloride) 및 뇌산 은(Silver fulminate)은 제외</v>
          </cell>
          <cell r="F201">
            <v>25</v>
          </cell>
          <cell r="G201" t="str">
            <v>- 통풍이 잘되는 그늘 및 서늘한 곳에 밀폐 보관할 것
- 저장용기는 물리적인 손상에 견딜 수 있어야 할 것
- 유기물질, 가연성물질, 산화제 및 열원과 격리하고 직사광선을 피해 저장(①Silver(Ⅰ) nitrate(1:1))할 것
- 질산은은 플라스틱 용기에 저장 금지(① Silver(Ⅰ) nitrate(1:1))할 것
- 15~30℃에서 불활성용기에 저장(① Silver(Ⅰ) nitrate(1:1))할 것
- 암염(ophthalmic) 수용액은 얼지 않도록 할 것(① Silver(Ⅰ) nitrate(1:1))할 것
- 사고발생에 대비하여 눈이나 몸을 씻을 수 있는 세안시설과 샤워시설이 이용 가능한 장소에서 작업할 것
- 사용한 후 식사, 흡연, 화장실에 가기 전에 물과 비누로 손을 꼭 세척할 것
- 호흡용보호구, 전면보호구, 보안경, 불침투성보호의, 보호장갑(고무 또는 네오프렌재질)을 반드시 착용할 것
- 콘택트렌즈를 착용 금지할 것
- 국소배기장치 가동할 것</v>
          </cell>
        </row>
        <row r="202">
          <cell r="B202" t="str">
            <v>13465-98-0</v>
          </cell>
          <cell r="C202" t="str">
            <v>무기은 염류</v>
          </cell>
          <cell r="D202" t="str">
            <v>97-1-92</v>
          </cell>
          <cell r="E202" t="str">
            <v>및 이를 25% 이상 함유한 혼합물질, 염화 은(Silver chloride) 및 뇌산 은(Silver fulminate)은 제외</v>
          </cell>
          <cell r="F202">
            <v>25</v>
          </cell>
          <cell r="G202" t="str">
            <v>- 통풍이 잘되는 그늘 및 서늘한 곳에 밀폐 보관할 것
- 저장용기는 물리적인 손상에 견딜 수 있어야 할 것
- 유기물질, 가연성물질, 산화제 및 열원과 격리하고 직사광선을 피해 저장(①Silver(Ⅰ) nitrate(1:1))할 것
- 질산은은 플라스틱 용기에 저장 금지(① Silver(Ⅰ) nitrate(1:1))할 것
- 15~30℃에서 불활성용기에 저장(① Silver(Ⅰ) nitrate(1:1))할 것
- 암염(ophthalmic) 수용액은 얼지 않도록 할 것(① Silver(Ⅰ) nitrate(1:1))할 것
- 사고발생에 대비하여 눈이나 몸을 씻을 수 있는 세안시설과 샤워시설이 이용 가능한 장소에서 작업할 것
- 사용한 후 식사, 흡연, 화장실에 가기 전에 물과 비누로 손을 꼭 세척할 것
- 호흡용보호구, 전면보호구, 보안경, 불침투성보호의, 보호장갑(고무 또는 네오프렌재질)을 반드시 착용할 것
- 콘택트렌즈를 착용 금지할 것
- 국소배기장치 가동할 것</v>
          </cell>
        </row>
        <row r="203">
          <cell r="B203" t="str">
            <v>14038-75-6</v>
          </cell>
          <cell r="C203" t="str">
            <v>무기은 염류</v>
          </cell>
          <cell r="D203" t="str">
            <v>97-1-92</v>
          </cell>
          <cell r="E203" t="str">
            <v>및 이를 25% 이상 함유한 혼합물질, 염화 은(Silver chloride) 및 뇌산 은(Silver fulminate)은 제외</v>
          </cell>
          <cell r="F203">
            <v>25</v>
          </cell>
          <cell r="G203" t="str">
            <v>- 통풍이 잘되는 그늘 및 서늘한 곳에 밀폐 보관할 것
- 저장용기는 물리적인 손상에 견딜 수 있어야 할 것
- 유기물질, 가연성물질, 산화제 및 열원과 격리하고 직사광선을 피해 저장(①Silver(Ⅰ) nitrate(1:1))할 것
- 질산은은 플라스틱 용기에 저장 금지(① Silver(Ⅰ) nitrate(1:1))할 것
- 15~30℃에서 불활성용기에 저장(① Silver(Ⅰ) nitrate(1:1))할 것
- 암염(ophthalmic) 수용액은 얼지 않도록 할 것(① Silver(Ⅰ) nitrate(1:1))할 것
- 사고발생에 대비하여 눈이나 몸을 씻을 수 있는 세안시설과 샤워시설이 이용 가능한 장소에서 작업할 것
- 사용한 후 식사, 흡연, 화장실에 가기 전에 물과 비누로 손을 꼭 세척할 것
- 호흡용보호구, 전면보호구, 보안경, 불침투성보호의, 보호장갑(고무 또는 네오프렌재질)을 반드시 착용할 것
- 콘택트렌즈를 착용 금지할 것
- 국소배기장치 가동할 것</v>
          </cell>
        </row>
        <row r="204">
          <cell r="B204" t="str">
            <v>14104-20-2</v>
          </cell>
          <cell r="C204" t="str">
            <v>무기은 염류</v>
          </cell>
          <cell r="D204" t="str">
            <v>97-1-92</v>
          </cell>
          <cell r="E204" t="str">
            <v>및 이를 25% 이상 함유한 혼합물질, 염화 은(Silver chloride) 및 뇌산 은(Silver fulminate)은 제외</v>
          </cell>
          <cell r="F204">
            <v>25</v>
          </cell>
          <cell r="G204" t="str">
            <v>- 통풍이 잘되는 그늘 및 서늘한 곳에 밀폐 보관할 것
- 저장용기는 물리적인 손상에 견딜 수 있어야 할 것
- 유기물질, 가연성물질, 산화제 및 열원과 격리하고 직사광선을 피해 저장(①Silver(Ⅰ) nitrate(1:1))할 것
- 질산은은 플라스틱 용기에 저장 금지(① Silver(Ⅰ) nitrate(1:1))할 것
- 15~30℃에서 불활성용기에 저장(① Silver(Ⅰ) nitrate(1:1))할 것
- 암염(ophthalmic) 수용액은 얼지 않도록 할 것(① Silver(Ⅰ) nitrate(1:1))할 것
- 사고발생에 대비하여 눈이나 몸을 씻을 수 있는 세안시설과 샤워시설이 이용 가능한 장소에서 작업할 것
- 사용한 후 식사, 흡연, 화장실에 가기 전에 물과 비누로 손을 꼭 세척할 것
- 호흡용보호구, 전면보호구, 보안경, 불침투성보호의, 보호장갑(고무 또는 네오프렌재질)을 반드시 착용할 것
- 콘택트렌즈를 착용 금지할 것
- 국소배기장치 가동할 것</v>
          </cell>
        </row>
        <row r="205">
          <cell r="B205" t="str">
            <v>16920-45-9</v>
          </cell>
          <cell r="C205" t="str">
            <v>무기은 염류</v>
          </cell>
          <cell r="D205" t="str">
            <v>97-1-92</v>
          </cell>
          <cell r="E205" t="str">
            <v>및 이를 25% 이상 함유한 혼합물질, 염화 은(Silver chloride) 및 뇌산 은(Silver fulminate)은 제외</v>
          </cell>
          <cell r="F205">
            <v>25</v>
          </cell>
          <cell r="G205" t="str">
            <v>- 통풍이 잘되는 그늘 및 서늘한 곳에 밀폐 보관할 것
- 저장용기는 물리적인 손상에 견딜 수 있어야 할 것
- 유기물질, 가연성물질, 산화제 및 열원과 격리하고 직사광선을 피해 저장(①Silver(Ⅰ) nitrate(1:1))할 것
- 질산은은 플라스틱 용기에 저장 금지(① Silver(Ⅰ) nitrate(1:1))할 것
- 15~30℃에서 불활성용기에 저장(① Silver(Ⅰ) nitrate(1:1))할 것
- 암염(ophthalmic) 수용액은 얼지 않도록 할 것(① Silver(Ⅰ) nitrate(1:1))할 것
- 사고발생에 대비하여 눈이나 몸을 씻을 수 있는 세안시설과 샤워시설이 이용 가능한 장소에서 작업할 것
- 사용한 후 식사, 흡연, 화장실에 가기 전에 물과 비누로 손을 꼭 세척할 것
- 호흡용보호구, 전면보호구, 보안경, 불침투성보호의, 보호장갑(고무 또는 네오프렌재질)을 반드시 착용할 것
- 콘택트렌즈를 착용 금지할 것
- 국소배기장치 가동할 것</v>
          </cell>
        </row>
        <row r="206">
          <cell r="B206" t="str">
            <v>1701-93-5</v>
          </cell>
          <cell r="C206" t="str">
            <v>무기은 염류</v>
          </cell>
          <cell r="D206" t="str">
            <v>97-1-92</v>
          </cell>
          <cell r="E206" t="str">
            <v>및 이를 25% 이상 함유한 혼합물질, 염화 은(Silver chloride) 및 뇌산 은(Silver fulminate)은 제외</v>
          </cell>
          <cell r="F206">
            <v>25</v>
          </cell>
          <cell r="G206" t="str">
            <v>- 통풍이 잘되는 그늘 및 서늘한 곳에 밀폐 보관할 것
- 저장용기는 물리적인 손상에 견딜 수 있어야 할 것
- 유기물질, 가연성물질, 산화제 및 열원과 격리하고 직사광선을 피해 저장(①Silver(Ⅰ) nitrate(1:1))할 것
- 질산은은 플라스틱 용기에 저장 금지(① Silver(Ⅰ) nitrate(1:1))할 것
- 15~30℃에서 불활성용기에 저장(① Silver(Ⅰ) nitrate(1:1))할 것
- 암염(ophthalmic) 수용액은 얼지 않도록 할 것(① Silver(Ⅰ) nitrate(1:1))할 것
- 사고발생에 대비하여 눈이나 몸을 씻을 수 있는 세안시설과 샤워시설이 이용 가능한 장소에서 작업할 것
- 사용한 후 식사, 흡연, 화장실에 가기 전에 물과 비누로 손을 꼭 세척할 것
- 호흡용보호구, 전면보호구, 보안경, 불침투성보호의, 보호장갑(고무 또는 네오프렌재질)을 반드시 착용할 것
- 콘택트렌즈를 착용 금지할 것
- 국소배기장치 가동할 것</v>
          </cell>
        </row>
        <row r="207">
          <cell r="B207" t="str">
            <v>19287-89-9</v>
          </cell>
          <cell r="C207" t="str">
            <v>무기은 염류</v>
          </cell>
          <cell r="D207" t="str">
            <v>97-1-92</v>
          </cell>
          <cell r="E207" t="str">
            <v>및 이를 25% 이상 함유한 혼합물질, 염화 은(Silver chloride) 및 뇌산 은(Silver fulminate)은 제외</v>
          </cell>
          <cell r="F207">
            <v>25</v>
          </cell>
          <cell r="G207" t="str">
            <v>- 통풍이 잘되는 그늘 및 서늘한 곳에 밀폐 보관할 것
- 저장용기는 물리적인 손상에 견딜 수 있어야 할 것
- 유기물질, 가연성물질, 산화제 및 열원과 격리하고 직사광선을 피해 저장(①Silver(Ⅰ) nitrate(1:1))할 것
- 질산은은 플라스틱 용기에 저장 금지(① Silver(Ⅰ) nitrate(1:1))할 것
- 15~30℃에서 불활성용기에 저장(① Silver(Ⅰ) nitrate(1:1))할 것
- 암염(ophthalmic) 수용액은 얼지 않도록 할 것(① Silver(Ⅰ) nitrate(1:1))할 것
- 사고발생에 대비하여 눈이나 몸을 씻을 수 있는 세안시설과 샤워시설이 이용 가능한 장소에서 작업할 것
- 사용한 후 식사, 흡연, 화장실에 가기 전에 물과 비누로 손을 꼭 세척할 것
- 호흡용보호구, 전면보호구, 보안경, 불침투성보호의, 보호장갑(고무 또는 네오프렌재질)을 반드시 착용할 것
- 콘택트렌즈를 착용 금지할 것
- 국소배기장치 가동할 것</v>
          </cell>
        </row>
        <row r="208">
          <cell r="B208" t="str">
            <v>21548-73-2</v>
          </cell>
          <cell r="C208" t="str">
            <v>무기은 염류</v>
          </cell>
          <cell r="D208" t="str">
            <v>97-1-92</v>
          </cell>
          <cell r="E208" t="str">
            <v>및 이를 25% 이상 함유한 혼합물질, 염화 은(Silver chloride) 및 뇌산 은(Silver fulminate)은 제외</v>
          </cell>
          <cell r="F208">
            <v>25</v>
          </cell>
          <cell r="G208" t="str">
            <v>- 통풍이 잘되는 그늘 및 서늘한 곳에 밀폐 보관할 것
- 저장용기는 물리적인 손상에 견딜 수 있어야 할 것
- 유기물질, 가연성물질, 산화제 및 열원과 격리하고 직사광선을 피해 저장(①Silver(Ⅰ) nitrate(1:1))할 것
- 질산은은 플라스틱 용기에 저장 금지(① Silver(Ⅰ) nitrate(1:1))할 것
- 15~30℃에서 불활성용기에 저장(① Silver(Ⅰ) nitrate(1:1))할 것
- 암염(ophthalmic) 수용액은 얼지 않도록 할 것(① Silver(Ⅰ) nitrate(1:1))할 것
- 사고발생에 대비하여 눈이나 몸을 씻을 수 있는 세안시설과 샤워시설이 이용 가능한 장소에서 작업할 것
- 사용한 후 식사, 흡연, 화장실에 가기 전에 물과 비누로 손을 꼭 세척할 것
- 호흡용보호구, 전면보호구, 보안경, 불침투성보호의, 보호장갑(고무 또는 네오프렌재질)을 반드시 착용할 것
- 콘택트렌즈를 착용 금지할 것
- 국소배기장치 가동할 것</v>
          </cell>
        </row>
        <row r="209">
          <cell r="B209" t="str">
            <v>23149-52-2</v>
          </cell>
          <cell r="C209" t="str">
            <v>무기은 염류</v>
          </cell>
          <cell r="D209" t="str">
            <v>97-1-92</v>
          </cell>
          <cell r="E209" t="str">
            <v>및 이를 25% 이상 함유한 혼합물질, 염화 은(Silver chloride) 및 뇌산 은(Silver fulminate)은 제외</v>
          </cell>
          <cell r="F209">
            <v>25</v>
          </cell>
          <cell r="G209" t="str">
            <v>- 통풍이 잘되는 그늘 및 서늘한 곳에 밀폐 보관할 것
- 저장용기는 물리적인 손상에 견딜 수 있어야 할 것
- 유기물질, 가연성물질, 산화제 및 열원과 격리하고 직사광선을 피해 저장(①Silver(Ⅰ) nitrate(1:1))할 것
- 질산은은 플라스틱 용기에 저장 금지(① Silver(Ⅰ) nitrate(1:1))할 것
- 15~30℃에서 불활성용기에 저장(① Silver(Ⅰ) nitrate(1:1))할 것
- 암염(ophthalmic) 수용액은 얼지 않도록 할 것(① Silver(Ⅰ) nitrate(1:1))할 것
- 사고발생에 대비하여 눈이나 몸을 씻을 수 있는 세안시설과 샤워시설이 이용 가능한 장소에서 작업할 것
- 사용한 후 식사, 흡연, 화장실에 가기 전에 물과 비누로 손을 꼭 세척할 것
- 호흡용보호구, 전면보호구, 보안경, 불침투성보호의, 보호장갑(고무 또는 네오프렌재질)을 반드시 착용할 것
- 콘택트렌즈를 착용 금지할 것
- 국소배기장치 가동할 것</v>
          </cell>
        </row>
        <row r="210">
          <cell r="B210" t="str">
            <v>23606-32-8</v>
          </cell>
          <cell r="C210" t="str">
            <v>무기은 염류</v>
          </cell>
          <cell r="D210" t="str">
            <v>97-1-92</v>
          </cell>
          <cell r="E210" t="str">
            <v>및 이를 25% 이상 함유한 혼합물질, 염화 은(Silver chloride) 및 뇌산 은(Silver fulminate)은 제외</v>
          </cell>
          <cell r="F210">
            <v>25</v>
          </cell>
          <cell r="G210" t="str">
            <v>- 통풍이 잘되는 그늘 및 서늘한 곳에 밀폐 보관할 것
- 저장용기는 물리적인 손상에 견딜 수 있어야 할 것
- 유기물질, 가연성물질, 산화제 및 열원과 격리하고 직사광선을 피해 저장(①Silver(Ⅰ) nitrate(1:1))할 것
- 질산은은 플라스틱 용기에 저장 금지(① Silver(Ⅰ) nitrate(1:1))할 것
- 15~30℃에서 불활성용기에 저장(① Silver(Ⅰ) nitrate(1:1))할 것
- 암염(ophthalmic) 수용액은 얼지 않도록 할 것(① Silver(Ⅰ) nitrate(1:1))할 것
- 사고발생에 대비하여 눈이나 몸을 씻을 수 있는 세안시설과 샤워시설이 이용 가능한 장소에서 작업할 것
- 사용한 후 식사, 흡연, 화장실에 가기 전에 물과 비누로 손을 꼭 세척할 것
- 호흡용보호구, 전면보호구, 보안경, 불침투성보호의, 보호장갑(고무 또는 네오프렌재질)을 반드시 착용할 것
- 콘택트렌즈를 착용 금지할 것
- 국소배기장치 가동할 것</v>
          </cell>
        </row>
        <row r="211">
          <cell r="B211" t="str">
            <v>26042-63-7</v>
          </cell>
          <cell r="C211" t="str">
            <v>무기은 염류</v>
          </cell>
          <cell r="D211" t="str">
            <v>97-1-92</v>
          </cell>
          <cell r="E211" t="str">
            <v>및 이를 25% 이상 함유한 혼합물질, 염화 은(Silver chloride) 및 뇌산 은(Silver fulminate)은 제외</v>
          </cell>
          <cell r="F211">
            <v>25</v>
          </cell>
          <cell r="G211" t="str">
            <v>- 통풍이 잘되는 그늘 및 서늘한 곳에 밀폐 보관할 것
- 저장용기는 물리적인 손상에 견딜 수 있어야 할 것
- 유기물질, 가연성물질, 산화제 및 열원과 격리하고 직사광선을 피해 저장(①Silver(Ⅰ) nitrate(1:1))할 것
- 질산은은 플라스틱 용기에 저장 금지(① Silver(Ⅰ) nitrate(1:1))할 것
- 15~30℃에서 불활성용기에 저장(① Silver(Ⅰ) nitrate(1:1))할 것
- 암염(ophthalmic) 수용액은 얼지 않도록 할 것(① Silver(Ⅰ) nitrate(1:1))할 것
- 사고발생에 대비하여 눈이나 몸을 씻을 수 있는 세안시설과 샤워시설이 이용 가능한 장소에서 작업할 것
- 사용한 후 식사, 흡연, 화장실에 가기 전에 물과 비누로 손을 꼭 세척할 것
- 호흡용보호구, 전면보호구, 보안경, 불침투성보호의, 보호장갑(고무 또는 네오프렌재질)을 반드시 착용할 것
- 콘택트렌즈를 착용 금지할 것
- 국소배기장치 가동할 것</v>
          </cell>
        </row>
        <row r="212">
          <cell r="B212" t="str">
            <v>26042-64-8</v>
          </cell>
          <cell r="C212" t="str">
            <v>무기은 염류</v>
          </cell>
          <cell r="D212" t="str">
            <v>97-1-92</v>
          </cell>
          <cell r="E212" t="str">
            <v>및 이를 25% 이상 함유한 혼합물질, 염화 은(Silver chloride) 및 뇌산 은(Silver fulminate)은 제외</v>
          </cell>
          <cell r="F212">
            <v>25</v>
          </cell>
          <cell r="G212" t="str">
            <v>- 통풍이 잘되는 그늘 및 서늘한 곳에 밀폐 보관할 것
- 저장용기는 물리적인 손상에 견딜 수 있어야 할 것
- 유기물질, 가연성물질, 산화제 및 열원과 격리하고 직사광선을 피해 저장(①Silver(Ⅰ) nitrate(1:1))할 것
- 질산은은 플라스틱 용기에 저장 금지(① Silver(Ⅰ) nitrate(1:1))할 것
- 15~30℃에서 불활성용기에 저장(① Silver(Ⅰ) nitrate(1:1))할 것
- 암염(ophthalmic) 수용액은 얼지 않도록 할 것(① Silver(Ⅰ) nitrate(1:1))할 것
- 사고발생에 대비하여 눈이나 몸을 씻을 수 있는 세안시설과 샤워시설이 이용 가능한 장소에서 작업할 것
- 사용한 후 식사, 흡연, 화장실에 가기 전에 물과 비누로 손을 꼭 세척할 것
- 호흡용보호구, 전면보호구, 보안경, 불침투성보호의, 보호장갑(고무 또는 네오프렌재질)을 반드시 착용할 것
- 콘택트렌즈를 착용 금지할 것
- 국소배기장치 가동할 것</v>
          </cell>
        </row>
        <row r="213">
          <cell r="B213" t="str">
            <v>42613-24-1</v>
          </cell>
          <cell r="C213" t="str">
            <v>무기은 염류</v>
          </cell>
          <cell r="D213" t="str">
            <v>97-1-92</v>
          </cell>
          <cell r="E213" t="str">
            <v>및 이를 25% 이상 함유한 혼합물질, 염화 은(Silver chloride) 및 뇌산 은(Silver fulminate)은 제외</v>
          </cell>
          <cell r="F213">
            <v>25</v>
          </cell>
          <cell r="G213" t="str">
            <v>- 통풍이 잘되는 그늘 및 서늘한 곳에 밀폐 보관할 것
- 저장용기는 물리적인 손상에 견딜 수 있어야 할 것
- 유기물질, 가연성물질, 산화제 및 열원과 격리하고 직사광선을 피해 저장(①Silver(Ⅰ) nitrate(1:1))할 것
- 질산은은 플라스틱 용기에 저장 금지(① Silver(Ⅰ) nitrate(1:1))할 것
- 15~30℃에서 불활성용기에 저장(① Silver(Ⅰ) nitrate(1:1))할 것
- 암염(ophthalmic) 수용액은 얼지 않도록 할 것(① Silver(Ⅰ) nitrate(1:1))할 것
- 사고발생에 대비하여 눈이나 몸을 씻을 수 있는 세안시설과 샤워시설이 이용 가능한 장소에서 작업할 것
- 사용한 후 식사, 흡연, 화장실에 가기 전에 물과 비누로 손을 꼭 세척할 것
- 호흡용보호구, 전면보호구, 보안경, 불침투성보호의, 보호장갑(고무 또는 네오프렌재질)을 반드시 착용할 것
- 콘택트렌즈를 착용 금지할 것
- 국소배기장치 가동할 것</v>
          </cell>
        </row>
        <row r="214">
          <cell r="B214" t="str">
            <v>534-16-7</v>
          </cell>
          <cell r="C214" t="str">
            <v>무기은 염류</v>
          </cell>
          <cell r="D214" t="str">
            <v>97-1-92</v>
          </cell>
          <cell r="E214" t="str">
            <v>및 이를 25% 이상 함유한 혼합물질, 염화 은(Silver chloride) 및 뇌산 은(Silver fulminate)은 제외</v>
          </cell>
          <cell r="F214">
            <v>25</v>
          </cell>
          <cell r="G214" t="str">
            <v>- 통풍이 잘되는 그늘 및 서늘한 곳에 밀폐 보관할 것
- 저장용기는 물리적인 손상에 견딜 수 있어야 할 것
- 유기물질, 가연성물질, 산화제 및 열원과 격리하고 직사광선을 피해 저장(①Silver(Ⅰ) nitrate(1:1))할 것
- 질산은은 플라스틱 용기에 저장 금지(① Silver(Ⅰ) nitrate(1:1))할 것
- 15~30℃에서 불활성용기에 저장(① Silver(Ⅰ) nitrate(1:1))할 것
- 암염(ophthalmic) 수용액은 얼지 않도록 할 것(① Silver(Ⅰ) nitrate(1:1))할 것
- 사고발생에 대비하여 눈이나 몸을 씻을 수 있는 세안시설과 샤워시설이 이용 가능한 장소에서 작업할 것
- 사용한 후 식사, 흡연, 화장실에 가기 전에 물과 비누로 손을 꼭 세척할 것
- 호흡용보호구, 전면보호구, 보안경, 불침투성보호의, 보호장갑(고무 또는 네오프렌재질)을 반드시 착용할 것
- 콘택트렌즈를 착용 금지할 것
- 국소배기장치 가동할 것</v>
          </cell>
        </row>
        <row r="215">
          <cell r="B215" t="str">
            <v>60347-66-2</v>
          </cell>
          <cell r="C215" t="str">
            <v>무기은 염류</v>
          </cell>
          <cell r="D215" t="str">
            <v>97-1-92</v>
          </cell>
          <cell r="E215" t="str">
            <v>및 이를 25% 이상 함유한 혼합물질, 염화 은(Silver chloride) 및 뇌산 은(Silver fulminate)은 제외</v>
          </cell>
          <cell r="F215">
            <v>25</v>
          </cell>
          <cell r="G215" t="str">
            <v>- 통풍이 잘되는 그늘 및 서늘한 곳에 밀폐 보관할 것
- 저장용기는 물리적인 손상에 견딜 수 있어야 할 것
- 유기물질, 가연성물질, 산화제 및 열원과 격리하고 직사광선을 피해 저장(①Silver(Ⅰ) nitrate(1:1))할 것
- 질산은은 플라스틱 용기에 저장 금지(① Silver(Ⅰ) nitrate(1:1))할 것
- 15~30℃에서 불활성용기에 저장(① Silver(Ⅰ) nitrate(1:1))할 것
- 암염(ophthalmic) 수용액은 얼지 않도록 할 것(① Silver(Ⅰ) nitrate(1:1))할 것
- 사고발생에 대비하여 눈이나 몸을 씻을 수 있는 세안시설과 샤워시설이 이용 가능한 장소에서 작업할 것
- 사용한 후 식사, 흡연, 화장실에 가기 전에 물과 비누로 손을 꼭 세척할 것
- 호흡용보호구, 전면보호구, 보안경, 불침투성보호의, 보호장갑(고무 또는 네오프렌재질)을 반드시 착용할 것
- 콘택트렌즈를 착용 금지할 것
- 국소배기장치 가동할 것</v>
          </cell>
        </row>
        <row r="216">
          <cell r="B216" t="str">
            <v>67372-98-9</v>
          </cell>
          <cell r="C216" t="str">
            <v>무기은 염류</v>
          </cell>
          <cell r="D216" t="str">
            <v>97-1-92</v>
          </cell>
          <cell r="E216" t="str">
            <v>및 이를 25% 이상 함유한 혼합물질, 염화 은(Silver chloride) 및 뇌산 은(Silver fulminate)은 제외</v>
          </cell>
          <cell r="F216">
            <v>25</v>
          </cell>
          <cell r="G216" t="str">
            <v>- 통풍이 잘되는 그늘 및 서늘한 곳에 밀폐 보관할 것
- 저장용기는 물리적인 손상에 견딜 수 있어야 할 것
- 유기물질, 가연성물질, 산화제 및 열원과 격리하고 직사광선을 피해 저장(①Silver(Ⅰ) nitrate(1:1))할 것
- 질산은은 플라스틱 용기에 저장 금지(① Silver(Ⅰ) nitrate(1:1))할 것
- 15~30℃에서 불활성용기에 저장(① Silver(Ⅰ) nitrate(1:1))할 것
- 암염(ophthalmic) 수용액은 얼지 않도록 할 것(① Silver(Ⅰ) nitrate(1:1))할 것
- 사고발생에 대비하여 눈이나 몸을 씻을 수 있는 세안시설과 샤워시설이 이용 가능한 장소에서 작업할 것
- 사용한 후 식사, 흡연, 화장실에 가기 전에 물과 비누로 손을 꼭 세척할 것
- 호흡용보호구, 전면보호구, 보안경, 불침투성보호의, 보호장갑(고무 또는 네오프렌재질)을 반드시 착용할 것
- 콘택트렌즈를 착용 금지할 것
- 국소배기장치 가동할 것</v>
          </cell>
        </row>
        <row r="217">
          <cell r="B217" t="str">
            <v>67859-68-1</v>
          </cell>
          <cell r="C217" t="str">
            <v>무기은 염류</v>
          </cell>
          <cell r="D217" t="str">
            <v>97-1-92</v>
          </cell>
          <cell r="E217" t="str">
            <v>및 이를 25% 이상 함유한 혼합물질, 염화 은(Silver chloride) 및 뇌산 은(Silver fulminate)은 제외</v>
          </cell>
          <cell r="F217">
            <v>25</v>
          </cell>
          <cell r="G217" t="str">
            <v>- 통풍이 잘되는 그늘 및 서늘한 곳에 밀폐 보관할 것
- 저장용기는 물리적인 손상에 견딜 수 있어야 할 것
- 유기물질, 가연성물질, 산화제 및 열원과 격리하고 직사광선을 피해 저장(①Silver(Ⅰ) nitrate(1:1))할 것
- 질산은은 플라스틱 용기에 저장 금지(① Silver(Ⅰ) nitrate(1:1))할 것
- 15~30℃에서 불활성용기에 저장(① Silver(Ⅰ) nitrate(1:1))할 것
- 암염(ophthalmic) 수용액은 얼지 않도록 할 것(① Silver(Ⅰ) nitrate(1:1))할 것
- 사고발생에 대비하여 눈이나 몸을 씻을 수 있는 세안시설과 샤워시설이 이용 가능한 장소에서 작업할 것
- 사용한 후 식사, 흡연, 화장실에 가기 전에 물과 비누로 손을 꼭 세척할 것
- 호흡용보호구, 전면보호구, 보안경, 불침투성보호의, 보호장갑(고무 또는 네오프렌재질)을 반드시 착용할 것
- 콘택트렌즈를 착용 금지할 것
- 국소배기장치 가동할 것</v>
          </cell>
        </row>
        <row r="218">
          <cell r="B218" t="str">
            <v>7761-88-8</v>
          </cell>
          <cell r="C218" t="str">
            <v>무기은 염류</v>
          </cell>
          <cell r="D218" t="str">
            <v>97-1-92</v>
          </cell>
          <cell r="E218" t="str">
            <v>및 이를 25% 이상 함유한 혼합물질, 염화 은(Silver chloride) 및 뇌산 은(Silver fulminate)은 제외</v>
          </cell>
          <cell r="F218">
            <v>25</v>
          </cell>
          <cell r="G218" t="str">
            <v>- 통풍이 잘되는 그늘 및 서늘한 곳에 밀폐 보관할 것
- 저장용기는 물리적인 손상에 견딜 수 있어야 할 것
- 유기물질, 가연성물질, 산화제 및 열원과 격리하고 직사광선을 피해 저장(①Silver(Ⅰ) nitrate(1:1))할 것
- 질산은은 플라스틱 용기에 저장 금지(① Silver(Ⅰ) nitrate(1:1))할 것
- 15~30℃에서 불활성용기에 저장(① Silver(Ⅰ) nitrate(1:1))할 것
- 암염(ophthalmic) 수용액은 얼지 않도록 할 것(① Silver(Ⅰ) nitrate(1:1))할 것
- 사고발생에 대비하여 눈이나 몸을 씻을 수 있는 세안시설과 샤워시설이 이용 가능한 장소에서 작업할 것
- 사용한 후 식사, 흡연, 화장실에 가기 전에 물과 비누로 손을 꼭 세척할 것
- 호흡용보호구, 전면보호구, 보안경, 불침투성보호의, 보호장갑(고무 또는 네오프렌재질)을 반드시 착용할 것
- 콘택트렌즈를 착용 금지할 것
- 국소배기장치 가동할 것</v>
          </cell>
        </row>
        <row r="219">
          <cell r="B219" t="str">
            <v>7775-41-9</v>
          </cell>
          <cell r="C219" t="str">
            <v>무기은 염류</v>
          </cell>
          <cell r="D219" t="str">
            <v>97-1-92</v>
          </cell>
          <cell r="E219" t="str">
            <v>및 이를 25% 이상 함유한 혼합물질, 염화 은(Silver chloride) 및 뇌산 은(Silver fulminate)은 제외</v>
          </cell>
          <cell r="F219">
            <v>25</v>
          </cell>
          <cell r="G219" t="str">
            <v>- 통풍이 잘되는 그늘 및 서늘한 곳에 밀폐 보관할 것
- 저장용기는 물리적인 손상에 견딜 수 있어야 할 것
- 유기물질, 가연성물질, 산화제 및 열원과 격리하고 직사광선을 피해 저장(①Silver(Ⅰ) nitrate(1:1))할 것
- 질산은은 플라스틱 용기에 저장 금지(① Silver(Ⅰ) nitrate(1:1))할 것
- 15~30℃에서 불활성용기에 저장(① Silver(Ⅰ) nitrate(1:1))할 것
- 암염(ophthalmic) 수용액은 얼지 않도록 할 것(① Silver(Ⅰ) nitrate(1:1))할 것
- 사고발생에 대비하여 눈이나 몸을 씻을 수 있는 세안시설과 샤워시설이 이용 가능한 장소에서 작업할 것
- 사용한 후 식사, 흡연, 화장실에 가기 전에 물과 비누로 손을 꼭 세척할 것
- 호흡용보호구, 전면보호구, 보안경, 불침투성보호의, 보호장갑(고무 또는 네오프렌재질)을 반드시 착용할 것
- 콘택트렌즈를 착용 금지할 것
- 국소배기장치 가동할 것</v>
          </cell>
        </row>
        <row r="220">
          <cell r="B220" t="str">
            <v>7783-89-3</v>
          </cell>
          <cell r="C220" t="str">
            <v>무기은 염류</v>
          </cell>
          <cell r="D220" t="str">
            <v>97-1-92</v>
          </cell>
          <cell r="E220" t="str">
            <v>및 이를 25% 이상 함유한 혼합물질, 염화 은(Silver chloride) 및 뇌산 은(Silver fulminate)은 제외</v>
          </cell>
          <cell r="F220">
            <v>25</v>
          </cell>
          <cell r="G220" t="str">
            <v>- 통풍이 잘되는 그늘 및 서늘한 곳에 밀폐 보관할 것
- 저장용기는 물리적인 손상에 견딜 수 있어야 할 것
- 유기물질, 가연성물질, 산화제 및 열원과 격리하고 직사광선을 피해 저장(①Silver(Ⅰ) nitrate(1:1))할 것
- 질산은은 플라스틱 용기에 저장 금지(① Silver(Ⅰ) nitrate(1:1))할 것
- 15~30℃에서 불활성용기에 저장(① Silver(Ⅰ) nitrate(1:1))할 것
- 암염(ophthalmic) 수용액은 얼지 않도록 할 것(① Silver(Ⅰ) nitrate(1:1))할 것
- 사고발생에 대비하여 눈이나 몸을 씻을 수 있는 세안시설과 샤워시설이 이용 가능한 장소에서 작업할 것
- 사용한 후 식사, 흡연, 화장실에 가기 전에 물과 비누로 손을 꼭 세척할 것
- 호흡용보호구, 전면보호구, 보안경, 불침투성보호의, 보호장갑(고무 또는 네오프렌재질)을 반드시 착용할 것
- 콘택트렌즈를 착용 금지할 것
- 국소배기장치 가동할 것</v>
          </cell>
        </row>
        <row r="221">
          <cell r="B221" t="str">
            <v>7783-93-9</v>
          </cell>
          <cell r="C221" t="str">
            <v>무기은 염류</v>
          </cell>
          <cell r="D221" t="str">
            <v>97-1-92</v>
          </cell>
          <cell r="E221" t="str">
            <v>및 이를 25% 이상 함유한 혼합물질, 염화 은(Silver chloride) 및 뇌산 은(Silver fulminate)은 제외</v>
          </cell>
          <cell r="F221">
            <v>25</v>
          </cell>
          <cell r="G221" t="str">
            <v>- 통풍이 잘되는 그늘 및 서늘한 곳에 밀폐 보관할 것
- 저장용기는 물리적인 손상에 견딜 수 있어야 할 것
- 유기물질, 가연성물질, 산화제 및 열원과 격리하고 직사광선을 피해 저장(①Silver(Ⅰ) nitrate(1:1))할 것
- 질산은은 플라스틱 용기에 저장 금지(① Silver(Ⅰ) nitrate(1:1))할 것
- 15~30℃에서 불활성용기에 저장(① Silver(Ⅰ) nitrate(1:1))할 것
- 암염(ophthalmic) 수용액은 얼지 않도록 할 것(① Silver(Ⅰ) nitrate(1:1))할 것
- 사고발생에 대비하여 눈이나 몸을 씻을 수 있는 세안시설과 샤워시설이 이용 가능한 장소에서 작업할 것
- 사용한 후 식사, 흡연, 화장실에 가기 전에 물과 비누로 손을 꼭 세척할 것
- 호흡용보호구, 전면보호구, 보안경, 불침투성보호의, 보호장갑(고무 또는 네오프렌재질)을 반드시 착용할 것
- 콘택트렌즈를 착용 금지할 것
- 국소배기장치 가동할 것</v>
          </cell>
        </row>
        <row r="222">
          <cell r="B222" t="str">
            <v>7783-95-1</v>
          </cell>
          <cell r="C222" t="str">
            <v>무기은 염류</v>
          </cell>
          <cell r="D222" t="str">
            <v>97-1-92</v>
          </cell>
          <cell r="E222" t="str">
            <v>및 이를 25% 이상 함유한 혼합물질, 염화 은(Silver chloride) 및 뇌산 은(Silver fulminate)은 제외</v>
          </cell>
          <cell r="F222">
            <v>25</v>
          </cell>
          <cell r="G222" t="str">
            <v>- 통풍이 잘되는 그늘 및 서늘한 곳에 밀폐 보관할 것
- 저장용기는 물리적인 손상에 견딜 수 있어야 할 것
- 유기물질, 가연성물질, 산화제 및 열원과 격리하고 직사광선을 피해 저장(①Silver(Ⅰ) nitrate(1:1))할 것
- 질산은은 플라스틱 용기에 저장 금지(① Silver(Ⅰ) nitrate(1:1))할 것
- 15~30℃에서 불활성용기에 저장(① Silver(Ⅰ) nitrate(1:1))할 것
- 암염(ophthalmic) 수용액은 얼지 않도록 할 것(① Silver(Ⅰ) nitrate(1:1))할 것
- 사고발생에 대비하여 눈이나 몸을 씻을 수 있는 세안시설과 샤워시설이 이용 가능한 장소에서 작업할 것
- 사용한 후 식사, 흡연, 화장실에 가기 전에 물과 비누로 손을 꼭 세척할 것
- 호흡용보호구, 전면보호구, 보안경, 불침투성보호의, 보호장갑(고무 또는 네오프렌재질)을 반드시 착용할 것
- 콘택트렌즈를 착용 금지할 것
- 국소배기장치 가동할 것</v>
          </cell>
        </row>
        <row r="223">
          <cell r="B223" t="str">
            <v>7783-96-2</v>
          </cell>
          <cell r="C223" t="str">
            <v>무기은 염류</v>
          </cell>
          <cell r="D223" t="str">
            <v>97-1-92</v>
          </cell>
          <cell r="E223" t="str">
            <v>및 이를 25% 이상 함유한 혼합물질, 염화 은(Silver chloride) 및 뇌산 은(Silver fulminate)은 제외</v>
          </cell>
          <cell r="F223">
            <v>25</v>
          </cell>
          <cell r="G223" t="str">
            <v>- 통풍이 잘되는 그늘 및 서늘한 곳에 밀폐 보관할 것
- 저장용기는 물리적인 손상에 견딜 수 있어야 할 것
- 유기물질, 가연성물질, 산화제 및 열원과 격리하고 직사광선을 피해 저장(①Silver(Ⅰ) nitrate(1:1))할 것
- 질산은은 플라스틱 용기에 저장 금지(① Silver(Ⅰ) nitrate(1:1))할 것
- 15~30℃에서 불활성용기에 저장(① Silver(Ⅰ) nitrate(1:1))할 것
- 암염(ophthalmic) 수용액은 얼지 않도록 할 것(① Silver(Ⅰ) nitrate(1:1))할 것
- 사고발생에 대비하여 눈이나 몸을 씻을 수 있는 세안시설과 샤워시설이 이용 가능한 장소에서 작업할 것
- 사용한 후 식사, 흡연, 화장실에 가기 전에 물과 비누로 손을 꼭 세척할 것
- 호흡용보호구, 전면보호구, 보안경, 불침투성보호의, 보호장갑(고무 또는 네오프렌재질)을 반드시 착용할 것
- 콘택트렌즈를 착용 금지할 것
- 국소배기장치 가동할 것</v>
          </cell>
        </row>
        <row r="224">
          <cell r="B224" t="str">
            <v>7783-98-4</v>
          </cell>
          <cell r="C224" t="str">
            <v>무기은 염류</v>
          </cell>
          <cell r="D224" t="str">
            <v>97-1-92</v>
          </cell>
          <cell r="E224" t="str">
            <v>및 이를 25% 이상 함유한 혼합물질, 염화 은(Silver chloride) 및 뇌산 은(Silver fulminate)은 제외</v>
          </cell>
          <cell r="F224">
            <v>25</v>
          </cell>
          <cell r="G224" t="str">
            <v>- 통풍이 잘되는 그늘 및 서늘한 곳에 밀폐 보관할 것
- 저장용기는 물리적인 손상에 견딜 수 있어야 할 것
- 유기물질, 가연성물질, 산화제 및 열원과 격리하고 직사광선을 피해 저장(①Silver(Ⅰ) nitrate(1:1))할 것
- 질산은은 플라스틱 용기에 저장 금지(① Silver(Ⅰ) nitrate(1:1))할 것
- 15~30℃에서 불활성용기에 저장(① Silver(Ⅰ) nitrate(1:1))할 것
- 암염(ophthalmic) 수용액은 얼지 않도록 할 것(① Silver(Ⅰ) nitrate(1:1))할 것
- 사고발생에 대비하여 눈이나 몸을 씻을 수 있는 세안시설과 샤워시설이 이용 가능한 장소에서 작업할 것
- 사용한 후 식사, 흡연, 화장실에 가기 전에 물과 비누로 손을 꼭 세척할 것
- 호흡용보호구, 전면보호구, 보안경, 불침투성보호의, 보호장갑(고무 또는 네오프렌재질)을 반드시 착용할 것
- 콘택트렌즈를 착용 금지할 것
- 국소배기장치 가동할 것</v>
          </cell>
        </row>
        <row r="225">
          <cell r="B225" t="str">
            <v>7784-09-0</v>
          </cell>
          <cell r="C225" t="str">
            <v>무기은 염류</v>
          </cell>
          <cell r="D225" t="str">
            <v>97-1-92</v>
          </cell>
          <cell r="E225" t="str">
            <v>및 이를 25% 이상 함유한 혼합물질, 염화 은(Silver chloride) 및 뇌산 은(Silver fulminate)은 제외</v>
          </cell>
          <cell r="F225">
            <v>25</v>
          </cell>
          <cell r="G225" t="str">
            <v>- 통풍이 잘되는 그늘 및 서늘한 곳에 밀폐 보관할 것
- 저장용기는 물리적인 손상에 견딜 수 있어야 할 것
- 유기물질, 가연성물질, 산화제 및 열원과 격리하고 직사광선을 피해 저장(①Silver(Ⅰ) nitrate(1:1))할 것
- 질산은은 플라스틱 용기에 저장 금지(① Silver(Ⅰ) nitrate(1:1))할 것
- 15~30℃에서 불활성용기에 저장(① Silver(Ⅰ) nitrate(1:1))할 것
- 암염(ophthalmic) 수용액은 얼지 않도록 할 것(① Silver(Ⅰ) nitrate(1:1))할 것
- 사고발생에 대비하여 눈이나 몸을 씻을 수 있는 세안시설과 샤워시설이 이용 가능한 장소에서 작업할 것
- 사용한 후 식사, 흡연, 화장실에 가기 전에 물과 비누로 손을 꼭 세척할 것
- 호흡용보호구, 전면보호구, 보안경, 불침투성보호의, 보호장갑(고무 또는 네오프렌재질)을 반드시 착용할 것
- 콘택트렌즈를 착용 금지할 것
- 국소배기장치 가동할 것</v>
          </cell>
        </row>
        <row r="226">
          <cell r="B226" t="str">
            <v>7785-23-1</v>
          </cell>
          <cell r="C226" t="str">
            <v>무기은 염류</v>
          </cell>
          <cell r="D226" t="str">
            <v>97-1-92</v>
          </cell>
          <cell r="E226" t="str">
            <v>및 이를 25% 이상 함유한 혼합물질, 염화 은(Silver chloride) 및 뇌산 은(Silver fulminate)은 제외</v>
          </cell>
          <cell r="F226">
            <v>25</v>
          </cell>
          <cell r="G226" t="str">
            <v>- 통풍이 잘되는 그늘 및 서늘한 곳에 밀폐 보관할 것
- 저장용기는 물리적인 손상에 견딜 수 있어야 할 것
- 유기물질, 가연성물질, 산화제 및 열원과 격리하고 직사광선을 피해 저장(①Silver(Ⅰ) nitrate(1:1))할 것
- 질산은은 플라스틱 용기에 저장 금지(① Silver(Ⅰ) nitrate(1:1))할 것
- 15~30℃에서 불활성용기에 저장(① Silver(Ⅰ) nitrate(1:1))할 것
- 암염(ophthalmic) 수용액은 얼지 않도록 할 것(① Silver(Ⅰ) nitrate(1:1))할 것
- 사고발생에 대비하여 눈이나 몸을 씻을 수 있는 세안시설과 샤워시설이 이용 가능한 장소에서 작업할 것
- 사용한 후 식사, 흡연, 화장실에 가기 전에 물과 비누로 손을 꼭 세척할 것
- 호흡용보호구, 전면보호구, 보안경, 불침투성보호의, 보호장갑(고무 또는 네오프렌재질)을 반드시 착용할 것
- 콘택트렌즈를 착용 금지할 것
- 국소배기장치 가동할 것</v>
          </cell>
        </row>
        <row r="227">
          <cell r="B227" t="str">
            <v>99573-82-7</v>
          </cell>
          <cell r="C227" t="str">
            <v>무기은 염류</v>
          </cell>
          <cell r="D227" t="str">
            <v>97-1-92</v>
          </cell>
          <cell r="E227" t="str">
            <v>및 이를 25% 이상 함유한 혼합물질, 염화 은(Silver chloride) 및 뇌산 은(Silver fulminate)은 제외</v>
          </cell>
          <cell r="F227">
            <v>25</v>
          </cell>
          <cell r="G227" t="str">
            <v>- 통풍이 잘되는 그늘 및 서늘한 곳에 밀폐 보관할 것
- 저장용기는 물리적인 손상에 견딜 수 있어야 할 것
- 유기물질, 가연성물질, 산화제 및 열원과 격리하고 직사광선을 피해 저장(①Silver(Ⅰ) nitrate(1:1))할 것
- 질산은은 플라스틱 용기에 저장 금지(① Silver(Ⅰ) nitrate(1:1))할 것
- 15~30℃에서 불활성용기에 저장(① Silver(Ⅰ) nitrate(1:1))할 것
- 암염(ophthalmic) 수용액은 얼지 않도록 할 것(① Silver(Ⅰ) nitrate(1:1))할 것
- 사고발생에 대비하여 눈이나 몸을 씻을 수 있는 세안시설과 샤워시설이 이용 가능한 장소에서 작업할 것
- 사용한 후 식사, 흡연, 화장실에 가기 전에 물과 비누로 손을 꼭 세척할 것
- 호흡용보호구, 전면보호구, 보안경, 불침투성보호의, 보호장갑(고무 또는 네오프렌재질)을 반드시 착용할 것
- 콘택트렌즈를 착용 금지할 것
- 국소배기장치 가동할 것</v>
          </cell>
        </row>
        <row r="228">
          <cell r="B228" t="str">
            <v>10025-69-1</v>
          </cell>
          <cell r="C228" t="str">
            <v>무기주석염류</v>
          </cell>
          <cell r="D228" t="str">
            <v>97-1-93</v>
          </cell>
          <cell r="E228" t="str">
            <v>및 이를 25% 이상 함유한 혼합물질</v>
          </cell>
          <cell r="F228">
            <v>25</v>
          </cell>
          <cell r="G228" t="str">
            <v>- 통풍이 잘되는 그늘 및 서늘한 곳에 밀폐 보관할 것
- 식료품, 사료, 의약품, 음식, 산화제와 혼합저장 금지할 것
- 필요에 따라 국소배기장치 설치하여 환기할 것
- 용기를 강하게 밀봉하고 건조하게 보관할 것
- 양압자급식호흡 보호구를 반드시 착용하고 보호복과 고글형 보안경을 착용할 것
- 취급 시 콘택트렌즈를 착용 금지할 것
- 작업장 부근에 비상시를 대비하여 샤워시설 및 세안시설을 갖출 것</v>
          </cell>
        </row>
        <row r="229">
          <cell r="B229" t="str">
            <v>10026-06-9</v>
          </cell>
          <cell r="C229" t="str">
            <v>무기주석염류</v>
          </cell>
          <cell r="D229" t="str">
            <v>97-1-93</v>
          </cell>
          <cell r="E229" t="str">
            <v>및 이를 25% 이상 함유한 혼합물질</v>
          </cell>
          <cell r="F229">
            <v>25</v>
          </cell>
          <cell r="G229" t="str">
            <v>- 통풍이 잘되는 그늘 및 서늘한 곳에 밀폐 보관할 것
- 식료품, 사료, 의약품, 음식, 산화제와 혼합저장 금지할 것
- 필요에 따라 국소배기장치 설치하여 환기할 것
- 용기를 강하게 밀봉하고 건조하게 보관할 것
- 양압자급식호흡 보호구를 반드시 착용하고 보호복과 고글형 보안경을 착용할 것
- 취급 시 콘택트렌즈를 착용 금지할 것
- 작업장 부근에 비상시를 대비하여 샤워시설 및 세안시설을 갖출 것</v>
          </cell>
        </row>
        <row r="230">
          <cell r="B230" t="str">
            <v>10031-24-0</v>
          </cell>
          <cell r="C230" t="str">
            <v>무기주석염류</v>
          </cell>
          <cell r="D230" t="str">
            <v>97-1-93</v>
          </cell>
          <cell r="E230" t="str">
            <v>및 이를 25% 이상 함유한 혼합물질</v>
          </cell>
          <cell r="F230">
            <v>25</v>
          </cell>
          <cell r="G230" t="str">
            <v>- 통풍이 잘되는 그늘 및 서늘한 곳에 밀폐 보관할 것
- 식료품, 사료, 의약품, 음식, 산화제와 혼합저장 금지할 것
- 필요에 따라 국소배기장치 설치하여 환기할 것
- 용기를 강하게 밀봉하고 건조하게 보관할 것
- 양압자급식호흡 보호구를 반드시 착용하고 보호복과 고글형 보안경을 착용할 것
- 취급 시 콘택트렌즈를 착용 금지할 것
- 작업장 부근에 비상시를 대비하여 샤워시설 및 세안시설을 갖출 것</v>
          </cell>
        </row>
        <row r="231">
          <cell r="B231" t="str">
            <v>10294-70-9</v>
          </cell>
          <cell r="C231" t="str">
            <v>무기주석염류</v>
          </cell>
          <cell r="D231" t="str">
            <v>97-1-93</v>
          </cell>
          <cell r="E231" t="str">
            <v>및 이를 25% 이상 함유한 혼합물질</v>
          </cell>
          <cell r="F231">
            <v>25</v>
          </cell>
          <cell r="G231" t="str">
            <v>- 통풍이 잘되는 그늘 및 서늘한 곳에 밀폐 보관할 것
- 식료품, 사료, 의약품, 음식, 산화제와 혼합저장 금지할 것
- 필요에 따라 국소배기장치 설치하여 환기할 것
- 용기를 강하게 밀봉하고 건조하게 보관할 것
- 양압자급식호흡 보호구를 반드시 착용하고 보호복과 고글형 보안경을 착용할 것
- 취급 시 콘택트렌즈를 착용 금지할 것
- 작업장 부근에 비상시를 대비하여 샤워시설 및 세안시설을 갖출 것</v>
          </cell>
        </row>
        <row r="232">
          <cell r="B232" t="str">
            <v>1344-13-4</v>
          </cell>
          <cell r="C232" t="str">
            <v>무기주석염류</v>
          </cell>
          <cell r="D232" t="str">
            <v>97-1-93</v>
          </cell>
          <cell r="E232" t="str">
            <v>및 이를 25% 이상 함유한 혼합물질</v>
          </cell>
          <cell r="F232">
            <v>25</v>
          </cell>
          <cell r="G232" t="str">
            <v>- 통풍이 잘되는 그늘 및 서늘한 곳에 밀폐 보관할 것
- 식료품, 사료, 의약품, 음식, 산화제와 혼합저장 금지할 것
- 필요에 따라 국소배기장치 설치하여 환기할 것
- 용기를 강하게 밀봉하고 건조하게 보관할 것
- 양압자급식호흡 보호구를 반드시 착용하고 보호복과 고글형 보안경을 착용할 것
- 취급 시 콘택트렌즈를 착용 금지할 것
- 작업장 부근에 비상시를 대비하여 샤워시설 및 세안시설을 갖출 것</v>
          </cell>
        </row>
        <row r="233">
          <cell r="B233" t="str">
            <v>15142-98-0</v>
          </cell>
          <cell r="C233" t="str">
            <v>무기주석염류</v>
          </cell>
          <cell r="D233" t="str">
            <v>97-1-93</v>
          </cell>
          <cell r="E233" t="str">
            <v>및 이를 25% 이상 함유한 혼합물질</v>
          </cell>
          <cell r="F233">
            <v>25</v>
          </cell>
          <cell r="G233" t="str">
            <v>- 통풍이 잘되는 그늘 및 서늘한 곳에 밀폐 보관할 것
- 식료품, 사료, 의약품, 음식, 산화제와 혼합저장 금지할 것
- 필요에 따라 국소배기장치 설치하여 환기할 것
- 용기를 강하게 밀봉하고 건조하게 보관할 것
- 양압자급식호흡 보호구를 반드시 착용하고 보호복과 고글형 보안경을 착용할 것
- 취급 시 콘택트렌즈를 착용 금지할 것
- 작업장 부근에 비상시를 대비하여 샤워시설 및 세안시설을 갖출 것</v>
          </cell>
        </row>
        <row r="234">
          <cell r="B234" t="str">
            <v>15578-26-4</v>
          </cell>
          <cell r="C234" t="str">
            <v>무기주석염류</v>
          </cell>
          <cell r="D234" t="str">
            <v>97-1-93</v>
          </cell>
          <cell r="E234" t="str">
            <v>및 이를 25% 이상 함유한 혼합물질</v>
          </cell>
          <cell r="F234">
            <v>25</v>
          </cell>
          <cell r="G234" t="str">
            <v>- 통풍이 잘되는 그늘 및 서늘한 곳에 밀폐 보관할 것
- 식료품, 사료, 의약품, 음식, 산화제와 혼합저장 금지할 것
- 필요에 따라 국소배기장치 설치하여 환기할 것
- 용기를 강하게 밀봉하고 건조하게 보관할 것
- 양압자급식호흡 보호구를 반드시 착용하고 보호복과 고글형 보안경을 착용할 것
- 취급 시 콘택트렌즈를 착용 금지할 것
- 작업장 부근에 비상시를 대비하여 샤워시설 및 세안시설을 갖출 것</v>
          </cell>
        </row>
        <row r="235">
          <cell r="B235" t="str">
            <v>15578-32-2</v>
          </cell>
          <cell r="C235" t="str">
            <v>무기주석염류</v>
          </cell>
          <cell r="D235" t="str">
            <v>97-1-93</v>
          </cell>
          <cell r="E235" t="str">
            <v>및 이를 25% 이상 함유한 혼합물질</v>
          </cell>
          <cell r="F235">
            <v>25</v>
          </cell>
          <cell r="G235" t="str">
            <v>- 통풍이 잘되는 그늘 및 서늘한 곳에 밀폐 보관할 것
- 식료품, 사료, 의약품, 음식, 산화제와 혼합저장 금지할 것
- 필요에 따라 국소배기장치 설치하여 환기할 것
- 용기를 강하게 밀봉하고 건조하게 보관할 것
- 양압자급식호흡 보호구를 반드시 착용하고 보호복과 고글형 보안경을 착용할 것
- 취급 시 콘택트렌즈를 착용 금지할 것
- 작업장 부근에 비상시를 대비하여 샤워시설 및 세안시설을 갖출 것</v>
          </cell>
        </row>
        <row r="236">
          <cell r="B236" t="str">
            <v>18472-93-0</v>
          </cell>
          <cell r="C236" t="str">
            <v>무기주석염류</v>
          </cell>
          <cell r="D236" t="str">
            <v>97-1-93</v>
          </cell>
          <cell r="E236" t="str">
            <v>및 이를 25% 이상 함유한 혼합물질</v>
          </cell>
          <cell r="F236">
            <v>25</v>
          </cell>
          <cell r="G236" t="str">
            <v>- 통풍이 잘되는 그늘 및 서늘한 곳에 밀폐 보관할 것
- 식료품, 사료, 의약품, 음식, 산화제와 혼합저장 금지할 것
- 필요에 따라 국소배기장치 설치하여 환기할 것
- 용기를 강하게 밀봉하고 건조하게 보관할 것
- 양압자급식호흡 보호구를 반드시 착용하고 보호복과 고글형 보안경을 착용할 것
- 취급 시 콘택트렌즈를 착용 금지할 것
- 작업장 부근에 비상시를 대비하여 샤워시설 및 세안시설을 갖출 것</v>
          </cell>
        </row>
        <row r="237">
          <cell r="B237" t="str">
            <v>18653-83-3</v>
          </cell>
          <cell r="C237" t="str">
            <v>무기주석염류</v>
          </cell>
          <cell r="D237" t="str">
            <v>97-1-93</v>
          </cell>
          <cell r="E237" t="str">
            <v>및 이를 25% 이상 함유한 혼합물질</v>
          </cell>
          <cell r="F237">
            <v>25</v>
          </cell>
          <cell r="G237" t="str">
            <v>- 통풍이 잘되는 그늘 및 서늘한 곳에 밀폐 보관할 것
- 식료품, 사료, 의약품, 음식, 산화제와 혼합저장 금지할 것
- 필요에 따라 국소배기장치 설치하여 환기할 것
- 용기를 강하게 밀봉하고 건조하게 보관할 것
- 양압자급식호흡 보호구를 반드시 착용하고 보호복과 고글형 보안경을 착용할 것
- 취급 시 콘택트렌즈를 착용 금지할 것
- 작업장 부근에 비상시를 대비하여 샤워시설 및 세안시설을 갖출 것</v>
          </cell>
        </row>
        <row r="238">
          <cell r="B238" t="str">
            <v>19307-28-9</v>
          </cell>
          <cell r="C238" t="str">
            <v>무기주석염류</v>
          </cell>
          <cell r="D238" t="str">
            <v>97-1-93</v>
          </cell>
          <cell r="E238" t="str">
            <v>및 이를 25% 이상 함유한 혼합물질</v>
          </cell>
          <cell r="F238">
            <v>25</v>
          </cell>
          <cell r="G238" t="str">
            <v>- 통풍이 잘되는 그늘 및 서늘한 곳에 밀폐 보관할 것
- 식료품, 사료, 의약품, 음식, 산화제와 혼합저장 금지할 것
- 필요에 따라 국소배기장치 설치하여 환기할 것
- 용기를 강하게 밀봉하고 건조하게 보관할 것
- 양압자급식호흡 보호구를 반드시 착용하고 보호복과 고글형 보안경을 착용할 것
- 취급 시 콘택트렌즈를 착용 금지할 것
- 작업장 부근에 비상시를 대비하여 샤워시설 및 세안시설을 갖출 것</v>
          </cell>
        </row>
        <row r="239">
          <cell r="B239" t="str">
            <v>27790-37-0</v>
          </cell>
          <cell r="C239" t="str">
            <v>무기주석염류</v>
          </cell>
          <cell r="D239" t="str">
            <v>97-1-93</v>
          </cell>
          <cell r="E239" t="str">
            <v>및 이를 25% 이상 함유한 혼합물질</v>
          </cell>
          <cell r="F239">
            <v>25</v>
          </cell>
          <cell r="G239" t="str">
            <v>- 통풍이 잘되는 그늘 및 서늘한 곳에 밀폐 보관할 것
- 식료품, 사료, 의약품, 음식, 산화제와 혼합저장 금지할 것
- 필요에 따라 국소배기장치 설치하여 환기할 것
- 용기를 강하게 밀봉하고 건조하게 보관할 것
- 양압자급식호흡 보호구를 반드시 착용하고 보호복과 고글형 보안경을 착용할 것
- 취급 시 콘택트렌즈를 착용 금지할 것
- 작업장 부근에 비상시를 대비하여 샤워시설 및 세안시설을 갖출 것</v>
          </cell>
        </row>
        <row r="240">
          <cell r="B240" t="str">
            <v>37349-59-0</v>
          </cell>
          <cell r="C240" t="str">
            <v>무기주석염류</v>
          </cell>
          <cell r="D240" t="str">
            <v>97-1-93</v>
          </cell>
          <cell r="E240" t="str">
            <v>및 이를 25% 이상 함유한 혼합물질</v>
          </cell>
          <cell r="F240">
            <v>25</v>
          </cell>
          <cell r="G240" t="str">
            <v>- 통풍이 잘되는 그늘 및 서늘한 곳에 밀폐 보관할 것
- 식료품, 사료, 의약품, 음식, 산화제와 혼합저장 금지할 것
- 필요에 따라 국소배기장치 설치하여 환기할 것
- 용기를 강하게 밀봉하고 건조하게 보관할 것
- 양압자급식호흡 보호구를 반드시 착용하고 보호복과 고글형 보안경을 착용할 것
- 취급 시 콘택트렌즈를 착용 금지할 것
- 작업장 부근에 비상시를 대비하여 샤워시설 및 세안시설을 갖출 것</v>
          </cell>
        </row>
        <row r="241">
          <cell r="B241" t="str">
            <v>40609-56-1</v>
          </cell>
          <cell r="C241" t="str">
            <v>무기주석염류</v>
          </cell>
          <cell r="D241" t="str">
            <v>97-1-93</v>
          </cell>
          <cell r="E241" t="str">
            <v>및 이를 25% 이상 함유한 혼합물질</v>
          </cell>
          <cell r="F241">
            <v>25</v>
          </cell>
          <cell r="G241" t="str">
            <v>- 통풍이 잘되는 그늘 및 서늘한 곳에 밀폐 보관할 것
- 식료품, 사료, 의약품, 음식, 산화제와 혼합저장 금지할 것
- 필요에 따라 국소배기장치 설치하여 환기할 것
- 용기를 강하게 밀봉하고 건조하게 보관할 것
- 양압자급식호흡 보호구를 반드시 착용하고 보호복과 고글형 보안경을 착용할 것
- 취급 시 콘택트렌즈를 착용 금지할 것
- 작업장 부근에 비상시를 대비하여 샤워시설 및 세안시설을 갖출 것</v>
          </cell>
        </row>
        <row r="242">
          <cell r="B242" t="str">
            <v>52262-58-5</v>
          </cell>
          <cell r="C242" t="str">
            <v>무기주석염류</v>
          </cell>
          <cell r="D242" t="str">
            <v>97-1-93</v>
          </cell>
          <cell r="E242" t="str">
            <v>및 이를 25% 이상 함유한 혼합물질</v>
          </cell>
          <cell r="F242">
            <v>25</v>
          </cell>
          <cell r="G242" t="str">
            <v>- 통풍이 잘되는 그늘 및 서늘한 곳에 밀폐 보관할 것
- 식료품, 사료, 의약품, 음식, 산화제와 혼합저장 금지할 것
- 필요에 따라 국소배기장치 설치하여 환기할 것
- 용기를 강하게 밀봉하고 건조하게 보관할 것
- 양압자급식호흡 보호구를 반드시 착용하고 보호복과 고글형 보안경을 착용할 것
- 취급 시 콘택트렌즈를 착용 금지할 것
- 작업장 부근에 비상시를 대비하여 샤워시설 및 세안시설을 갖출 것</v>
          </cell>
        </row>
        <row r="243">
          <cell r="B243" t="str">
            <v>7488-55-3</v>
          </cell>
          <cell r="C243" t="str">
            <v>무기주석염류</v>
          </cell>
          <cell r="D243" t="str">
            <v>97-1-93</v>
          </cell>
          <cell r="E243" t="str">
            <v>및 이를 25% 이상 함유한 혼합물질</v>
          </cell>
          <cell r="F243">
            <v>25</v>
          </cell>
          <cell r="G243" t="str">
            <v>- 통풍이 잘되는 그늘 및 서늘한 곳에 밀폐 보관할 것
- 식료품, 사료, 의약품, 음식, 산화제와 혼합저장 금지할 것
- 필요에 따라 국소배기장치 설치하여 환기할 것
- 용기를 강하게 밀봉하고 건조하게 보관할 것
- 양압자급식호흡 보호구를 반드시 착용하고 보호복과 고글형 보안경을 착용할 것
- 취급 시 콘택트렌즈를 착용 금지할 것
- 작업장 부근에 비상시를 대비하여 샤워시설 및 세안시설을 갖출 것</v>
          </cell>
        </row>
        <row r="244">
          <cell r="B244" t="str">
            <v>7646-78-8</v>
          </cell>
          <cell r="C244" t="str">
            <v>무기주석염류</v>
          </cell>
          <cell r="D244" t="str">
            <v>97-1-93</v>
          </cell>
          <cell r="E244" t="str">
            <v>및 이를 25% 이상 함유한 혼합물질</v>
          </cell>
          <cell r="F244">
            <v>25</v>
          </cell>
          <cell r="G244" t="str">
            <v>- 통풍이 잘되는 그늘 및 서늘한 곳에 밀폐 보관할 것
- 식료품, 사료, 의약품, 음식, 산화제와 혼합저장 금지할 것
- 필요에 따라 국소배기장치 설치하여 환기할 것
- 용기를 강하게 밀봉하고 건조하게 보관할 것
- 양압자급식호흡 보호구를 반드시 착용하고 보호복과 고글형 보안경을 착용할 것
- 취급 시 콘택트렌즈를 착용 금지할 것
- 작업장 부근에 비상시를 대비하여 샤워시설 및 세안시설을 갖출 것</v>
          </cell>
        </row>
        <row r="245">
          <cell r="B245" t="str">
            <v>7772-99-8</v>
          </cell>
          <cell r="C245" t="str">
            <v>무기주석염류</v>
          </cell>
          <cell r="D245" t="str">
            <v>97-1-93</v>
          </cell>
          <cell r="E245" t="str">
            <v>및 이를 25% 이상 함유한 혼합물질</v>
          </cell>
          <cell r="F245">
            <v>25</v>
          </cell>
          <cell r="G245" t="str">
            <v>- 통풍이 잘되는 그늘 및 서늘한 곳에 밀폐 보관할 것
- 식료품, 사료, 의약품, 음식, 산화제와 혼합저장 금지할 것
- 필요에 따라 국소배기장치 설치하여 환기할 것
- 용기를 강하게 밀봉하고 건조하게 보관할 것
- 양압자급식호흡 보호구를 반드시 착용하고 보호복과 고글형 보안경을 착용할 것
- 취급 시 콘택트렌즈를 착용 금지할 것
- 작업장 부근에 비상시를 대비하여 샤워시설 및 세안시설을 갖출 것</v>
          </cell>
        </row>
        <row r="246">
          <cell r="B246" t="str">
            <v>7783-47-3</v>
          </cell>
          <cell r="C246" t="str">
            <v>무기주석염류</v>
          </cell>
          <cell r="D246" t="str">
            <v>97-1-93</v>
          </cell>
          <cell r="E246" t="str">
            <v>및 이를 25% 이상 함유한 혼합물질</v>
          </cell>
          <cell r="F246">
            <v>25</v>
          </cell>
          <cell r="G246" t="str">
            <v>- 통풍이 잘되는 그늘 및 서늘한 곳에 밀폐 보관할 것
- 식료품, 사료, 의약품, 음식, 산화제와 혼합저장 금지할 것
- 필요에 따라 국소배기장치 설치하여 환기할 것
- 용기를 강하게 밀봉하고 건조하게 보관할 것
- 양압자급식호흡 보호구를 반드시 착용하고 보호복과 고글형 보안경을 착용할 것
- 취급 시 콘택트렌즈를 착용 금지할 것
- 작업장 부근에 비상시를 대비하여 샤워시설 및 세안시설을 갖출 것</v>
          </cell>
        </row>
        <row r="247">
          <cell r="B247" t="str">
            <v>7783-62-2</v>
          </cell>
          <cell r="C247" t="str">
            <v>무기주석염류</v>
          </cell>
          <cell r="D247" t="str">
            <v>97-1-93</v>
          </cell>
          <cell r="E247" t="str">
            <v>및 이를 25% 이상 함유한 혼합물질</v>
          </cell>
          <cell r="F247">
            <v>25</v>
          </cell>
          <cell r="G247" t="str">
            <v>- 통풍이 잘되는 그늘 및 서늘한 곳에 밀폐 보관할 것
- 식료품, 사료, 의약품, 음식, 산화제와 혼합저장 금지할 것
- 필요에 따라 국소배기장치 설치하여 환기할 것
- 용기를 강하게 밀봉하고 건조하게 보관할 것
- 양압자급식호흡 보호구를 반드시 착용하고 보호복과 고글형 보안경을 착용할 것
- 취급 시 콘택트렌즈를 착용 금지할 것
- 작업장 부근에 비상시를 대비하여 샤워시설 및 세안시설을 갖출 것</v>
          </cell>
        </row>
        <row r="248">
          <cell r="B248" t="str">
            <v>7789-67-5</v>
          </cell>
          <cell r="C248" t="str">
            <v>무기주석염류</v>
          </cell>
          <cell r="D248" t="str">
            <v>97-1-93</v>
          </cell>
          <cell r="E248" t="str">
            <v>및 이를 25% 이상 함유한 혼합물질</v>
          </cell>
          <cell r="F248">
            <v>25</v>
          </cell>
          <cell r="G248" t="str">
            <v>- 통풍이 잘되는 그늘 및 서늘한 곳에 밀폐 보관할 것
- 식료품, 사료, 의약품, 음식, 산화제와 혼합저장 금지할 것
- 필요에 따라 국소배기장치 설치하여 환기할 것
- 용기를 강하게 밀봉하고 건조하게 보관할 것
- 양압자급식호흡 보호구를 반드시 착용하고 보호복과 고글형 보안경을 착용할 것
- 취급 시 콘택트렌즈를 착용 금지할 것
- 작업장 부근에 비상시를 대비하여 샤워시설 및 세안시설을 갖출 것</v>
          </cell>
        </row>
        <row r="249">
          <cell r="B249" t="str">
            <v>7790-47-8</v>
          </cell>
          <cell r="C249" t="str">
            <v>무기주석염류</v>
          </cell>
          <cell r="D249" t="str">
            <v>97-1-93</v>
          </cell>
          <cell r="E249" t="str">
            <v>및 이를 25% 이상 함유한 혼합물질</v>
          </cell>
          <cell r="F249">
            <v>25</v>
          </cell>
          <cell r="G249" t="str">
            <v>- 통풍이 잘되는 그늘 및 서늘한 곳에 밀폐 보관할 것
- 식료품, 사료, 의약품, 음식, 산화제와 혼합저장 금지할 것
- 필요에 따라 국소배기장치 설치하여 환기할 것
- 용기를 강하게 밀봉하고 건조하게 보관할 것
- 양압자급식호흡 보호구를 반드시 착용하고 보호복과 고글형 보안경을 착용할 것
- 취급 시 콘택트렌즈를 착용 금지할 것
- 작업장 부근에 비상시를 대비하여 샤워시설 및 세안시설을 갖출 것</v>
          </cell>
        </row>
        <row r="250">
          <cell r="B250" t="str">
            <v>1333-82-0</v>
          </cell>
          <cell r="C250" t="str">
            <v>무수크롬산</v>
          </cell>
          <cell r="D250" t="str">
            <v>97-1-94</v>
          </cell>
          <cell r="E250" t="str">
            <v>및 이를 0.1% 이상 함유한 혼합물질</v>
          </cell>
          <cell r="F250">
            <v>0.1</v>
          </cell>
          <cell r="G250" t="str">
            <v>- 환원제, 유기물질 및 가연성물질과 격리 저장할 것
- 화재위험이 있으므로 나무 바닥에 저장 금지할 것
- 서늘하고 통풍이 잘되는 곳에 밀폐 보관할 것
- 용기에 녹이 슬 수 있으므로 습기를 피해 건조한 곳에 저장할 것
- 노출되기 전에 바셀린(petrolatum)이나 파라핀유를 코에 바를 것
- 사고발생에 대비하여 눈이나 몸을 씻을 수 있는 세안시설과 샤워시설이 이용 가능한 장소에서 작업할 것
- 사용한 후 식사, 흡연, 화장실에 가기 전에 물과 비누로 손을 꼭 세척할 것
- 호흡용보호구, 전면보호구, 보안경, 내산성장갑을 반드시 사용할 것
- 무수크롬산 수용액을 취급시는 염화 폴리비닐재질의 보호장갑 등을 착용할 것
- 콘택트렌즈를 착용 금지할 것
- 국소배기장치 가동할 것</v>
          </cell>
        </row>
        <row r="251">
          <cell r="B251" t="str">
            <v>2275-23-2</v>
          </cell>
          <cell r="C251" t="str">
            <v>바미도티온</v>
          </cell>
          <cell r="D251" t="str">
            <v>97-1-95</v>
          </cell>
          <cell r="E251" t="str">
            <v>및 이를 1% 이상 함유한 혼합물질</v>
          </cell>
          <cell r="F251">
            <v>1</v>
          </cell>
          <cell r="G251" t="str">
            <v>- 통풍이 좋은 그늘 및 서늘한 곳에 밀폐 보관할 것
- 식료품, 사료, 의약품, 음식과 혼합저장 금지할 것
- 필요에 따라 국소배기장치 설치하여 환기할 것
- 가죽으로 만든 보호의, 장갑, 앞치마는 사용 금지할 것
- 작업 후 온몸을 깨끗이 씻은 후 충분한 휴식할 것</v>
          </cell>
        </row>
        <row r="252">
          <cell r="B252" t="str">
            <v>8014-95-7</v>
          </cell>
          <cell r="C252" t="str">
            <v>발연황산</v>
          </cell>
          <cell r="D252" t="str">
            <v>97-1-96</v>
          </cell>
          <cell r="E252" t="str">
            <v>및 이를 25% 이상 함유한 혼합물질</v>
          </cell>
          <cell r="F252">
            <v>25</v>
          </cell>
          <cell r="G252" t="str">
            <v>- 유기물질과는 격렬한 반응을 일으킬 수 있으므로 격리하여 저장할 것
- 건조하고 통풍이 잘 되는 그늘 및 서늘한 곳에 밀폐 보관할 것
- 물리적 손상과 물로부터 용기를 보호할 것
- 화학물질 흄 후드 내에서 취급할 것
- 취급 또는 작업 시는 자급식호흡용보호구를 착용하고 화학물질 튀김방지보안경, 보호의, 고무(또는 네오프렌)재질의 장갑 및 고무장화와 마스크 등을 착용하여 단기적인 접촉 및 반복적이고 장기적인 노출을 피할 것</v>
          </cell>
        </row>
        <row r="253">
          <cell r="B253" t="str">
            <v>22781-23-3</v>
          </cell>
          <cell r="C253" t="str">
            <v>벤디오캅</v>
          </cell>
          <cell r="D253" t="str">
            <v>97-1-97</v>
          </cell>
          <cell r="E253" t="str">
            <v>및 이를 1% 이상 함유한 혼합물질</v>
          </cell>
          <cell r="F253">
            <v>1</v>
          </cell>
          <cell r="G253" t="str">
            <v>- 서늘하고 통풍이 잘 되는 그늘 및 서늘한 곳에 밀폐 보관할 것
- 식료품, 시료, 의약품, 음식과 혼합저장 및 수송금지할 것 필요에 따라 국소배기장치 가동할 것
- 알칼리성, 열 및 물과 격리하여 저장할 것
- 취급 또는 작업 시는 통풍이 잘 되는 후드에서 행하고 고글형 보안경, 내산성보호의, 고무장갑(또는 네오프렌 재질), 고무앞치마, 자급식호흡용보호구를 착용하여 단기적인 접촉 및 반복적이고 장기적인 노출을 피할 것
- 가죽으로 만든 보호의, 장갑, 앞치마는 사용 금지할 것
- 노출기준 이상에서는 호흡보호구를 착용할 것</v>
          </cell>
        </row>
        <row r="254">
          <cell r="B254" t="str">
            <v>741-58-2</v>
          </cell>
          <cell r="C254" t="str">
            <v>벤술라이드</v>
          </cell>
          <cell r="D254" t="str">
            <v>97-1-98</v>
          </cell>
          <cell r="E254" t="str">
            <v>및 이를 25% 이상 함유한 혼합물질</v>
          </cell>
          <cell r="F254">
            <v>25</v>
          </cell>
          <cell r="G254" t="str">
            <v>- 25~30℃를 넘지 않는 통풍이 잘 되는 그늘 및 서늘한 곳에 보관할 것
- 식료품, 사료, 의약품, 인화성물질과 혼합저장 금지할 것
- 필요에 따라 국소배기장치 가동할 것
- 가죽으로 만든 보호의, 장갑, 앞치마는 사용 금지할 것
- 작업 후 온몸을 깨끗이 씻은 후 충분한 휴식할 것
- 양압자급식호흡용 보호구를 반드시 착용하고 보호구와 고글형 보안경을 착용할 것</v>
          </cell>
        </row>
        <row r="255">
          <cell r="B255" t="str">
            <v>71-43-2</v>
          </cell>
          <cell r="C255" t="str">
            <v>벤젠</v>
          </cell>
          <cell r="D255" t="str">
            <v>97-1-99</v>
          </cell>
          <cell r="E255" t="str">
            <v>및 이를 85% 이상 함유한 혼합물질</v>
          </cell>
          <cell r="F255">
            <v>85</v>
          </cell>
          <cell r="G255" t="str">
            <v>- 통풍이 잘 되는 그늘 및 서늘한 곳에 밀폐 보관할 것
- 식료품, 사료, 의약품, 음식과 혼합저장 금지할 것
- 필요에 따라 국소배기장치 가동할 것
- 저장용기는 물리적인 손상에 견딜 수 있어야 할 것
- 화재, 폭발 위험성이 있으므로 열원, 산화제, 스파크, 불꽃, 가연성물질, 점화원과 격리하여 저장할 것
- 취급 또는 작업 시는 통풍이 잘 되는 후드에서 행하고 고글형보안경, 보호의, 보호장갑(플라스틱 재질), 고무앞치마, 양압자급식호흡용 보호구를 착용하여 단기적인 접촉 및 반복적이고 장기적인 노출을 피할 것
- 보호장갑으로 네오프렌, 고무, PVC, 폴리우레탄 재질은 사용 금지할 것
- 발암성물질이므로 매우 주의할 것
- 노출기준 이상에서는 호흡보호구를 착용할 것
- 취급 후, 손을 철저하게 세척할 것
- 물질을 이동시킬 때 용기를 땅에 밀착하여 이동할 것
- 빈 용기를 가압, 절단, 용접, 납땜, 연마, 천공을 해서는 안 되며, 열, 스파크, 화염에 노출시키지 말 것
- 사고대비물질(이를 85% 이상 함유한 혼합물질)</v>
          </cell>
        </row>
        <row r="256">
          <cell r="B256" t="str">
            <v>140-29-4</v>
          </cell>
          <cell r="C256" t="str">
            <v xml:space="preserve">벤젠아세토니트릴 </v>
          </cell>
          <cell r="D256" t="str">
            <v>97-1-100</v>
          </cell>
          <cell r="E256" t="str">
            <v>및 이를 25% 이상 함유한 혼합물질</v>
          </cell>
          <cell r="G256" t="str">
            <v>- 건조하고 통풍이 잘 되는 그늘 및 서늘한 곳에 밀폐 보관할 것
- 취급 또는 작업 시는 양압자급식호흡용 보호구를 착용하고 고글형 보안경, 내화학성보호의, 고무(또는 네오프렌) 재질의 장갑 및 고무장화와 마스크 등을 착용하여 단기적인 접촉 및 반복적이고 장기적인 노출을 피할 것
- 취급 후, 손을 철저하게 세척할 것
- 적절한 환기장치를 사용할 것</v>
          </cell>
        </row>
        <row r="257">
          <cell r="B257" t="str">
            <v>29104-30-1</v>
          </cell>
          <cell r="C257" t="str">
            <v>벤족시메이트</v>
          </cell>
          <cell r="D257" t="str">
            <v>97-1-101</v>
          </cell>
          <cell r="E257" t="str">
            <v>및 이를 1% 이상 함유한 혼합물질</v>
          </cell>
          <cell r="F257">
            <v>1</v>
          </cell>
          <cell r="G257" t="str">
            <v>- 건조하고 통풍이 잘 되는 그늘 및 서늘한 곳에 밀폐 보관할 것
- 식료품, 사료, 의약품, 음식과 혼합저장 금지할 것
- 필요에 따라 국소배기장치 가동할 것
- 저장용기는 물리적인 손상에 견딜 수 있어야 할 것
- 열원, 알칼리, EPN, 스파크, 불꽃, 가연성물질, 점화원과 격리하여 저장할 것
- 취급 또는 작업시는 통풍이 잘 되는 후드에서 행하고 고글형 보안경, 보호의, 보호장갑(고무 또는 네오프렌 재질), 앞치마, 양압자급식호흡용보호구를 착용하여 단기적인 접촉 및 반복적이고 장기적인 노출을 피할 것
- 노출기준 이상에서는 호흡보호구를 착용할 것
- 취급 후에는 항상 비누와 물로 손을 세척할 것</v>
          </cell>
        </row>
        <row r="258">
          <cell r="B258" t="str">
            <v>14414-68-7</v>
          </cell>
          <cell r="C258" t="str">
            <v>벤지딘 염산염</v>
          </cell>
          <cell r="D258" t="str">
            <v>97-1-102</v>
          </cell>
          <cell r="E258" t="str">
            <v>및 그 염류 및 그 중 하나를 0.1% 이상 함유한 혼합물질.</v>
          </cell>
          <cell r="F258">
            <v>0.1</v>
          </cell>
          <cell r="G258" t="str">
            <v>- 직사광선과 공기가 차단된 통풍이 잘되는 그늘 및 서늘한 곳에 밀폐 보관할 것
- 식료품, 사료, 의약품, 음식과 혼합저장 금지할 것
- 필요에 따라 국소배기장치 가동할 것
- 저장용기는 물리적인 손상에 견딜 수 있어야 할 것
- 화재 또는 폭발의 위험성이 있으므로 열원, 산, 스파크, 불꽃, 가연성물질, 점화원과 격리하여 저장할 것
- 취급 또는 작업 시는 통풍이 잘되는 후드에서 행하고 고글형 보안경, 보호복, 보호 장갑(butyl-rubber 또는 플라스틱 재질), 앞치마, 양압자급식호흡보호구를 착용하여 단기적인 접촉 및 반복적이고 장기적인 노출을 피할 것
- 노출기준 이상에서는 호흡보호구를 착용할 것
- 작업 시에는 콘택트렌즈 착용금지할 것
- 작업장 부근에 비상시를 대비하여 샤워시설 및 세안시설을 갖출 것
- 취급금지물질(이를 0.1% 이상 함유한 혼합물질)</v>
          </cell>
        </row>
        <row r="259">
          <cell r="B259" t="str">
            <v>21136-70-9</v>
          </cell>
          <cell r="C259" t="str">
            <v>벤지딘 염류</v>
          </cell>
          <cell r="D259" t="str">
            <v>97-1-102</v>
          </cell>
          <cell r="E259" t="str">
            <v>및 그 염류 및 그 중 하나를 0.1% 이상 함유한 혼합물질.</v>
          </cell>
          <cell r="F259">
            <v>0.1</v>
          </cell>
          <cell r="G259" t="str">
            <v>- 직사광선과 공기가 차단된 통풍이 잘되는 그늘 및 서늘한 곳에 밀폐 보관할 것
- 식료품, 사료, 의약품, 음식과 혼합저장 금지할 것
- 필요에 따라 국소배기장치 가동할 것
- 저장용기는 물리적인 손상에 견딜 수 있어야 할 것
- 화재 또는 폭발의 위험성이 있으므로 열원, 산, 스파크, 불꽃, 가연성물질, 점화원과 격리하여 저장할 것
- 취급 또는 작업 시는 통풍이 잘되는 후드에서 행하고 고글형 보안경, 보호복, 보호 장갑(butyl-rubber 또는 플라스틱 재질), 앞치마, 양압자급식호흡보호구를 착용하여 단기적인 접촉 및 반복적이고 장기적인 노출을 피할 것
- 노출기준 이상에서는 호흡보호구를 착용할 것
- 작업 시에는 콘택트렌즈 착용금지할 것
- 작업장 부근에 비상시를 대비하여 샤워시설 및 세안시설을 갖출 것
- 취급금지물질(이를 0.1% 이상 함유한 혼합물질)</v>
          </cell>
        </row>
        <row r="260">
          <cell r="B260" t="str">
            <v>531-85-1</v>
          </cell>
          <cell r="C260" t="str">
            <v>벤지딘디수화염화물</v>
          </cell>
          <cell r="D260" t="str">
            <v>97-1-102</v>
          </cell>
          <cell r="E260" t="str">
            <v>및 그 염류 및 그 중 하나를 0.1% 이상 함유한 혼합물질.</v>
          </cell>
          <cell r="F260">
            <v>0.1</v>
          </cell>
          <cell r="G260" t="str">
            <v>- 직사광선과 공기가 차단된 통풍이 잘되는 그늘 및 서늘한 곳에 밀폐 보관할 것
- 식료품, 사료, 의약품, 음식과 혼합저장 금지할 것
- 필요에 따라 국소배기장치 가동할 것
- 저장용기는 물리적인 손상에 견딜 수 있어야 할 것
- 화재 또는 폭발의 위험성이 있으므로 열원, 산, 스파크, 불꽃, 가연성물질, 점화원과 격리하여 저장할 것
- 취급 또는 작업 시는 통풍이 잘되는 후드에서 행하고 고글형 보안경, 보호복, 보호 장갑(butyl-rubber 또는 플라스틱 재질), 앞치마, 양압자급식호흡보호구를 착용하여 단기적인 접촉 및 반복적이고 장기적인 노출을 피할 것
- 노출기준 이상에서는 호흡보호구를 착용할 것
- 작업 시에는 콘택트렌즈 착용금지할 것
- 작업장 부근에 비상시를 대비하여 샤워시설 및 세안시설을 갖출 것
- 취급금지물질(이를 0.1% 이상 함유한 혼합물질)</v>
          </cell>
        </row>
        <row r="261">
          <cell r="B261" t="str">
            <v>92-87-5</v>
          </cell>
          <cell r="C261" t="str">
            <v>벤지딘</v>
          </cell>
          <cell r="D261" t="str">
            <v>97-1-102,06-4-13</v>
          </cell>
          <cell r="E261" t="str">
            <v>및 그 염류 및 그 중 하나를 0.1% 이상 함유한 혼합물질.</v>
          </cell>
          <cell r="F261">
            <v>0.1</v>
          </cell>
          <cell r="G261" t="str">
            <v>- 직사광선과 공기가 차단된 통풍이 잘되는 그늘 및 서늘한 곳에 밀폐 보관할 것
- 식료품, 사료, 의약품, 음식과 혼합저장 금지할 것
- 필요에 따라 국소배기장치 가동할 것
- 저장용기는 물리적인 손상에 견딜 수 있어야 할 것
- 화재 또는 폭발의 위험성이 있으므로 열원, 산, 스파크, 불꽃, 가연성물질, 점화원과 격리하여 저장할 것
- 취급 또는 작업 시는 통풍이 잘되는 후드에서 행하고 고글형 보안경, 보호복, 보호 장갑(butyl-rubber 또는 플라스틱 재질), 앞치마, 양압자급식호흡보호구를 착용하여 단기적인 접촉 및 반복적이고 장기적인 노출을 피할 것
- 노출기준 이상에서는 호흡보호구를 착용할 것
- 작업 시에는 콘택트렌즈 착용금지할 것
- 작업장 부근에 비상시를 대비하여 샤워시설 및 세안시설을 갖출 것
- 취급금지물질(이를 0.1% 이상 함유한 혼합물질)</v>
          </cell>
        </row>
        <row r="262">
          <cell r="B262" t="str">
            <v>82560-54-1</v>
          </cell>
          <cell r="C262" t="str">
            <v xml:space="preserve">벤프라캅 </v>
          </cell>
          <cell r="D262" t="str">
            <v>97-1-103</v>
          </cell>
          <cell r="E262" t="str">
            <v>및 이를 1% 이상 함유한 혼합물질</v>
          </cell>
          <cell r="F262">
            <v>1</v>
          </cell>
          <cell r="G262" t="str">
            <v>- 통풍이 잘되는 그늘 및 서늘한 곳에 밀폐 보관할 것
- 식료품, 사료, 의약품과 혼합저장 금지할 것
- 필요에 따라 국소배기장치를 설치하여 환기할 것
- 적절한 보호복과 보호장갑을 착용할 것</v>
          </cell>
        </row>
        <row r="263">
          <cell r="B263" t="str">
            <v>1861-40-1</v>
          </cell>
          <cell r="C263" t="str">
            <v>벤플루랄린</v>
          </cell>
          <cell r="D263" t="str">
            <v>97-1-104</v>
          </cell>
          <cell r="E263" t="str">
            <v>및 이를 25% 이상 함유한 혼합물질</v>
          </cell>
          <cell r="F263">
            <v>25</v>
          </cell>
          <cell r="G263" t="str">
            <v>- 자외선이 닿지 않는 곳에 저장할 것
- 얼지 않도록 4℃ 이상에서 보관할 것
- 건조하고 통풍이 잘 되는 그늘 및 서늘한 곳에 밀폐 보관할 것
- 화학물질 흄 후드 내에서 취급할 것
- 취급 또는 작업 시는 자급식호흡보호구를 착용하고 고글형 보안경, 보호의, 고무(또는 네오프렌)재질의 장갑 및 고무장화와 마스크 등을 착용하여 단기적인 접촉 및 반복적이고 장기적인 노출을 피할 것</v>
          </cell>
        </row>
        <row r="264">
          <cell r="B264" t="str">
            <v>122-10-1</v>
          </cell>
          <cell r="C264" t="str">
            <v>보밀</v>
          </cell>
          <cell r="D264" t="str">
            <v>97-1-105</v>
          </cell>
          <cell r="E264" t="str">
            <v>및 이를 1% 이상 함유한 혼합물질</v>
          </cell>
          <cell r="F264">
            <v>1</v>
          </cell>
          <cell r="G264" t="str">
            <v>- 통풍이 잘 되는 그늘 및 서늘한 곳에 밀폐 보관할 것
- 식료품, 사료, 의약품, 음식과 혼합저장 및 수송금지할 것
- 필요에 따라 국소배기장치 가동할 것
- 불꽃, 스파크, 다른 점화원과 격리하여 저장(화재, 폭발 위험성)할 것
- 취급 또는 작업 시는 통풍이 잘 되는 후드에서 행하고 고글형 보안경, 내산성보호의, 고무장갑, 고무앞치마, 양압자급식호흡용보호구를 착용하여 단기적인 접촉 및 반복적이고 장기적인 노출을 피할 것
- 국소배기장치가 가동되지 않으면 호흡용보호구를 착용하여 분진흡입을 피할 것
- 노출기준 이상에서는 호흡보호구를 착용할 것</v>
          </cell>
        </row>
        <row r="265">
          <cell r="B265" t="str">
            <v>52-51-7</v>
          </cell>
          <cell r="C265" t="str">
            <v>브로노폴</v>
          </cell>
          <cell r="D265" t="str">
            <v>97-1-106</v>
          </cell>
          <cell r="E265" t="str">
            <v>및 이를 1% 이상 함유한 혼합물질</v>
          </cell>
          <cell r="F265">
            <v>1</v>
          </cell>
          <cell r="G265" t="str">
            <v>- 통풍이 잘 되는 그늘 및 서늘한 곳에 밀폐 보관할 것
- 식료품, 사료, 의약품, 음식과 혼합저장 금지할 것
- 필요에 따라 국소배기장치 가동할 것
- 화재 또는 폭발의 위험성이 있으므로 열원, 스파크, 불꽃, 가연성물질, 점화원과 격리하여 저장할 것
- 취급 또는 작업 시는 통풍이 잘 되는 후드에서 행하고 보호의, 고무장갑, 고무앞치마, 양압자급식호흡용보호구를 착용하여 단기적인 접촉 및 반복적이고 장기적인 노출을 피할 것
- 노출기준 이상에서는 호흡보호구를 착용할 것
- 물질을 이동시킬 때 용기를 땅에 밀착하여 이동할 것
- 스파크를 막는 기계와 폭발을 막는 장치 사용할 것
- 빈 용기를 가압, 절단, 용접, 납땜, 연마, 천공을 해서는 안 되며, 열, 스파크, 화염에 노출시키지 말 것</v>
          </cell>
        </row>
        <row r="266">
          <cell r="B266" t="str">
            <v>56073-10-0</v>
          </cell>
          <cell r="C266" t="str">
            <v xml:space="preserve">브로디파쿰 </v>
          </cell>
          <cell r="D266" t="str">
            <v>97-1-107</v>
          </cell>
          <cell r="E266" t="str">
            <v>및 이를 1% 이상 함유한 혼합물질</v>
          </cell>
          <cell r="F266">
            <v>1</v>
          </cell>
          <cell r="G266" t="str">
            <v>- 식료품, 사료, 의약품, 음식과 혼합저장 금지할 것
- 통풍이 잘되는 곳에 밀폐 보관할 것
- 화학물질 흄 후드 내에서 취급할 것
- 취급 시 양압자급식호흡용보호구를 착용할 것
- 취급 시 보호의와 고무(또는 폴리에틸렌) 보호장갑을 착용할 것</v>
          </cell>
        </row>
        <row r="267">
          <cell r="B267" t="str">
            <v>28772-56-7</v>
          </cell>
          <cell r="C267" t="str">
            <v xml:space="preserve">브로마디올론 </v>
          </cell>
          <cell r="D267" t="str">
            <v>97-1-108</v>
          </cell>
          <cell r="E267" t="str">
            <v>및 이를 1% 이상 함유한 혼합물질</v>
          </cell>
          <cell r="F267">
            <v>1</v>
          </cell>
          <cell r="G267" t="str">
            <v>- 통풍이 잘되는 그늘 및 서늘한 곳에 밀폐 보관할 것
- 식료품, 사료, 의약품, 음식과 혼합저장 금지할 것
- 필요에 따라 국소배기장치 가동할 것
- 혼합금지물질 및 점화원을 격리할 것
- 화학물질 흄 후드 내에서 취급할 것
- 취급 시 양압자급식호흡용 보호구를 착용할 것
- 1% 이상의 농도를 취급 시에는 보호마스크, 보호의 및 보호장갑(고무 또는 폴리에틸렌)을 착용할 것</v>
          </cell>
        </row>
        <row r="268">
          <cell r="B268" t="str">
            <v>598-31-2</v>
          </cell>
          <cell r="C268" t="str">
            <v xml:space="preserve">브로모-2-프로판온 </v>
          </cell>
          <cell r="D268" t="str">
            <v>97-1-109</v>
          </cell>
          <cell r="E268" t="str">
            <v>및 이를 1% 이상 함유한 혼합물질</v>
          </cell>
          <cell r="F268">
            <v>1</v>
          </cell>
          <cell r="G268" t="str">
            <v>- 통풍이 잘 되는 그늘 및 서늘한 곳에 밀폐 보관할 것
- 증기발산원에는 환기시설 및 국소배기장치를 설치할 것
- 산화제와 함께 보관 금지할 것
- 화학물질 흄 후드 내에서 취급할 것
- 취급 시 피부접촉을 피하고 양압자급식호흡용 보호구와 보호장갑을 착용할 것</v>
          </cell>
        </row>
        <row r="269">
          <cell r="B269" t="str">
            <v>4824-78-6</v>
          </cell>
          <cell r="C269" t="str">
            <v xml:space="preserve">브로모포스-에틸 </v>
          </cell>
          <cell r="D269" t="str">
            <v>97-1-110</v>
          </cell>
          <cell r="E269" t="str">
            <v>및 이를 1% 이상 함유한 혼합물질</v>
          </cell>
          <cell r="F269">
            <v>1</v>
          </cell>
          <cell r="G269" t="str">
            <v>- 통풍이 좋은 그늘 및 서늘한 곳에 밀폐 보관할 것
- 식료품, 사료, 의약품, 음식과 혼합저장 금지할 것
- 필요에 따라 국소배기장치를 설치하여 환기할 것
- 혼합금지물질 및 점화원을 격리할 것
- 화학물질 흄 후드 내에서 취급할 것
- 가죽으로 만든 보호의, 장갑, 앞치마는 사용 금지할 것
- 작업 후 온몸을 깨끗이 씻은 후 충분한 휴식할 것
- 양압자급식호흡용 보호구를 반드시 착용하고 보호구와 고글형 보안경을 착용할 것</v>
          </cell>
        </row>
        <row r="270">
          <cell r="B270" t="str">
            <v>7726-95-6</v>
          </cell>
          <cell r="C270" t="str">
            <v>브롬</v>
          </cell>
          <cell r="D270" t="str">
            <v>97-1-111</v>
          </cell>
          <cell r="E270" t="str">
            <v>및 이를 1.0% 이상 함유한 혼합물질</v>
          </cell>
          <cell r="F270">
            <v>1</v>
          </cell>
          <cell r="G270" t="str">
            <v>- 건조하고 통풍이 잘 되는 그늘 및 서늘한 곳에 밀폐 보관할 것
- -6℃ 이상에서 얼지 않도록 보관할 것 (단, 실온 이상의 온도에서는 증기압이 커져 용기를 파열시킬 수 있음)
- 아세틸렌, 부탄, 메탄, 벤젠, 테레빈유나 금속분말과 격리 보관할 것
- 열, 스파크, 화염, 가연성 물질과 가까이에 저장 금지할 것
- 취급 또는 작업시는 양압자급식호흡용 보호구를 착용하고 고글형 보안경, 내화학성보호의, 고무(또는 네오프렌) 재질의 장갑 및 고무장화와 마스크 등을 착용하여 단기적인 접촉 및 반복적이고 장기적인 노출을 피할 것
- 공조에 의한 국소 혹은 전역배기장소를 포함한 통풍이 잘 되는 장소에서만 사용할 것</v>
          </cell>
        </row>
        <row r="271">
          <cell r="B271" t="str">
            <v>63333-35-7</v>
          </cell>
          <cell r="C271" t="str">
            <v>브롬에탈린</v>
          </cell>
          <cell r="D271" t="str">
            <v>97-1-112</v>
          </cell>
          <cell r="E271" t="str">
            <v>및 이를 1% 이상 함유한 혼합물질</v>
          </cell>
          <cell r="F271">
            <v>1</v>
          </cell>
          <cell r="G271" t="str">
            <v>- 통풍이 잘 되며 습기가 없는 그늘 및 서늘한 곳에 밀폐 보관할 것
- 식료품, 사료, 의약품, 음식과 혼합저장 금지할 것
- 필요에 따라 국소배기장치를 설치하여 환기할 것
- 분진을 호흡 금지할 것
- 적절한 보호복과 보호 장갑을 착용할 것
- 취급 시 콘택트렌즈를 착용 금지할 것</v>
          </cell>
        </row>
        <row r="272">
          <cell r="B272" t="str">
            <v>74-83-9</v>
          </cell>
          <cell r="C272" t="str">
            <v>브롬화 메틸</v>
          </cell>
          <cell r="D272" t="str">
            <v>97-1-113,06-5-2</v>
          </cell>
          <cell r="E272" t="str">
            <v>및 이를 1% 이상함유한 혼합물질</v>
          </cell>
          <cell r="F272">
            <v>1</v>
          </cell>
          <cell r="G272" t="str">
            <v>- 통풍이 잘 되는 그늘 및 서늘한 곳에 밀폐 보관할 것
- 식료품, 시료, 의약품, 음식과 혼합저장 및 수송 금지할 것
- 필요에 따라 국소배기장치 가동할 것
- 알루미늄, 망간, 주석, 아연, 합금물(alloy)로 제조된 저장용기는 사용금지(부식 위험성)할 것
- 40℃이하에서 보관할 것
- 빛, 열, 금속, 점화원과 격리하여 저장할 것
- 취급 또는 작업 시는 통풍이 잘 되는 후드에서 행하고 고글형 보안경, 내산성보호의, 고무장갑, 고무앞치마, 양압자급식호흡용 보호구를 착용하여 단기적인 접촉 및 반복적이고 장기적인 노출을 피할 것
- 노출기준 이상에서는 호흡보호구를 착용할 것
- 취급제한물질(이를 1% 이상 함유한 혼합물질)</v>
          </cell>
        </row>
        <row r="273">
          <cell r="B273" t="str">
            <v>10035-10-6</v>
          </cell>
          <cell r="C273" t="str">
            <v>브롬화수소</v>
          </cell>
          <cell r="D273" t="str">
            <v>97-1-114</v>
          </cell>
          <cell r="E273" t="str">
            <v>및 이를 1% 이상 함유한 혼합물질</v>
          </cell>
          <cell r="F273">
            <v>1</v>
          </cell>
          <cell r="G273" t="str">
            <v>- 통풍이 잘 되는 그늘 및 서늘한 곳에 밀폐 보관할 것
- 식료품, 사료, 의약품, 음식과 혼합저장 및 수송 금지할 것 필요에 따라 국소배기장치 가동할 것
- 저장용기는 물리적인 손상에 견딜 수 있어야 할 것
- 강산화제, 강부식제, 습기, 구리, 황동(brass),  아연과 격리하여 저장할 것
- 취급 또는 작업 시는 통풍이 잘 되는 후드에서 행하고 고글형 보안경, 내산성보호의, 고무장갑, 고무앞치마, 양압자급식호흡용보호구를 착용하여 단기적인 접촉 및 반복적이고 장기적인 노출을 피할 것
- 노출기준 이상에서는 호흡보호구를 착용할 것
- 취급 후, 손을 철저하게 세척할 것</v>
          </cell>
        </row>
        <row r="274">
          <cell r="B274" t="str">
            <v>34681-10-2</v>
          </cell>
          <cell r="C274" t="str">
            <v>브토카르복심</v>
          </cell>
          <cell r="D274" t="str">
            <v>97-1-115</v>
          </cell>
          <cell r="E274" t="str">
            <v>및 이를 1% 이상 함유한 혼합물질</v>
          </cell>
          <cell r="F274">
            <v>1</v>
          </cell>
          <cell r="G274" t="str">
            <v>- 그늘 및 서늘한 곳에 밀폐 보관할 것
- 식료품, 사료, 의약품, 음식과 혼합저장 금지할 것
- 필요에 따라 국소배기장치를 설치하여 환기할 것
- 통풍이 잘 되는 장소에서 사용할 것
- 취급 시 고글형보안경과 마스크를 착용할 것
- 취급 후에는 항상 비누와 물로 손을 세척할 것
- 빈 용기에 잔류물질은 바닥에 쌓여서 축적되지 않도록 할 것
- 용기에 절삭, 천공, 연마 또는 용접 금지할 것</v>
          </cell>
        </row>
        <row r="275">
          <cell r="B275" t="str">
            <v>8065-36-9</v>
          </cell>
          <cell r="C275" t="str">
            <v xml:space="preserve">브펜캅 </v>
          </cell>
          <cell r="D275" t="str">
            <v>97-1-116</v>
          </cell>
          <cell r="E275" t="str">
            <v>및 이를 25% 이상 함유한 혼합물질</v>
          </cell>
          <cell r="F275">
            <v>25</v>
          </cell>
          <cell r="G275" t="str">
            <v>- 그늘 및 서늘한 곳에 밀폐 보관할 것
- 식료품, 사료, 의약품, 음식과 혼합저장 금지할 것
- 필요에 따라 국소배기장치를 설치하여 환기할 것
- 취급 시 고글형 보안경과 마스크를 착용할 것</v>
          </cell>
        </row>
        <row r="276">
          <cell r="B276" t="str">
            <v>2079-00-7</v>
          </cell>
          <cell r="C276" t="str">
            <v>블라스티시딘-에스</v>
          </cell>
          <cell r="D276" t="str">
            <v>97-1-117</v>
          </cell>
          <cell r="E276" t="str">
            <v>및 그 중 하나를 1% 이상 함유한 혼합물질</v>
          </cell>
          <cell r="F276">
            <v>1</v>
          </cell>
          <cell r="G276" t="str">
            <v>- 화재의 규모가 작은 경우에는 건조분말이나 이산화탄소, 물 스프레이를 사용할 것
- 화재의 규모가 큰 경우에는 물 스프레이나 안개분무(fog), 정규포말을 사용할 것
- 탱크, 화차(rail car), 탱크트럭의 화재 시는 최대한 먼 거리에서 진화하고 무인호스나 모니터 노즐을 사용할 것
- 작업 후 온몸을 깨끗이 씻은 후 충분한 휴식할 것
- 피부와 눈에 접촉을 피할 것
- 적절한 보호복과 보호장갑을 착용할 것
- 양압자급식호흡용 보호구를 반드시 착용하고 보호구와 고글형 보안경을 착용할 것</v>
          </cell>
        </row>
        <row r="277">
          <cell r="B277" t="str">
            <v>485-31-4</v>
          </cell>
          <cell r="C277" t="str">
            <v>비나파크릴</v>
          </cell>
          <cell r="D277" t="str">
            <v>97-1-118</v>
          </cell>
          <cell r="E277" t="str">
            <v>및 이를 0.1% 이상 함유한 혼합물질</v>
          </cell>
          <cell r="F277">
            <v>0.1</v>
          </cell>
          <cell r="G277" t="str">
            <v>- 환기가 잘 되는 곳에 밀폐 보관할 것
- 식료품, 사료, 의약품, 음식과 혼합저장 및 수송금지할 것
- 필요에 따라 국소배기장치 가동할 것
- 화학물질 흄 후드 내에서 취급할 것
- 취급 시 양압자급식호흡 보호구와 보호의를 착용할 것
- 취급 시 피부 및 눈과의 접촉을 피하고 보호의와 보호 장갑을 착용할 것</v>
          </cell>
        </row>
        <row r="278">
          <cell r="B278" t="str">
            <v>7440-38-2</v>
          </cell>
          <cell r="C278" t="str">
            <v>비소</v>
          </cell>
          <cell r="D278" t="str">
            <v>97-1-119</v>
          </cell>
          <cell r="E278" t="str">
            <v>또는 그 화합물과 비소화합물을 0.1% 이상 함유한 혼합물질</v>
          </cell>
          <cell r="F278">
            <v>0.1</v>
          </cell>
          <cell r="G278" t="str">
            <v>- 열원, 산화제 및 강산화제와 격리하여 저장할 것
- 서늘하고 통풍이 잘되는 곳에 밀폐 보관할 것
- 저장용기는 물리적인 손상에 견딜 수 있어야 할 것
- 금속비소는 산화하기 쉬우므로 진공 또는 불활성가스 중에 보관(③ Arsenic)할 것
- 사고발생에 대비하여 눈이나 몸을 씻을 수 있는 세안시설과 샤워시설이 이용 가능한 장소에서 작업할 것
- 사용한 후 식사, 흡연, 화장실에 가기 전에 물과 비누로 손을 꼭 세척할 것
- 취급 또는 작업 시는 통풍이 잘되는 후드에서 행하고 불 침투성 바닥, 독성 흄 응축장치, 분말제거장치를 갖출 것
- 호흡보호구, 전면보호구, 내산성장갑, 고효율의 입자필터가 장착된 안면보호구, 보안경을 반드시 사용할 것
- 콘택트렌즈를 착용 금지할 것
- 국소배기장치 가동할 것
- 화재 시 산화비소(Ⅲ) 증기가 방출되어 심한 용혈작용을 유발하므로 주의(③Arsenic)할 것</v>
          </cell>
        </row>
        <row r="279">
          <cell r="B279" t="str">
            <v>10031-13-7</v>
          </cell>
          <cell r="C279" t="str">
            <v>비소화합물질</v>
          </cell>
          <cell r="D279" t="str">
            <v>97-1-119</v>
          </cell>
          <cell r="E279" t="str">
            <v>또는 그 화합물과 비소화합물을 0.1% 이상 함유한 혼합물질</v>
          </cell>
          <cell r="F279">
            <v>0.1</v>
          </cell>
          <cell r="G279" t="str">
            <v>- 열원, 산화제 및 강산화제와 격리하여 저장할 것
- 서늘하고 통풍이 잘되는 곳에 밀폐 보관할 것
- 저장용기는 물리적인 손상에 견딜 수 있어야 할 것
- 금속비소는 산화하기 쉬우므로 진공 또는 불활성가스 중에 보관(③ Arsenic)할 것
- 사고발생에 대비하여 눈이나 몸을 씻을 수 있는 세안시설과 샤워시설이 이용 가능한 장소에서 작업할 것
- 사용한 후 식사, 흡연, 화장실에 가기 전에 물과 비누로 손을 꼭 세척할 것
- 취급 또는 작업 시는 통풍이 잘되는 후드에서 행하고 불 침투성 바닥, 독성 흄 응축장치, 분말제거장치를 갖출 것
- 호흡보호구, 전면보호구, 내산성장갑, 고효율의 입자필터가 장착된 안면보호구, 보안경을 반드시 사용할 것
- 콘택트렌즈를 착용 금지할 것
- 국소배기장치 가동할 것
- 화재 시 산화비소(Ⅲ) 증기가 방출되어 심한 용혈작용을 유발하므로 주의(③Arsenic)할 것</v>
          </cell>
        </row>
        <row r="280">
          <cell r="B280" t="str">
            <v>10048-95-0</v>
          </cell>
          <cell r="C280" t="str">
            <v>이나트륨아르세네이트디베이직(7수화물); 나트륨아르세네이트(7수화물); 비산이나트륨(7수화물)</v>
          </cell>
          <cell r="D280" t="str">
            <v>97-1-119</v>
          </cell>
          <cell r="E280" t="str">
            <v>또는 그 화합물과 비소화합물을 0.1% 이상 함유한 혼합물질</v>
          </cell>
          <cell r="F280">
            <v>0.1</v>
          </cell>
          <cell r="G280" t="str">
            <v>- 열원, 산화제 및 강산화제와 격리하여 저장할 것
- 서늘하고 통풍이 잘되는 곳에 밀폐 보관할 것
- 저장용기는 물리적인 손상에 견딜 수 있어야 할 것
- 금속비소는 산화하기 쉬우므로 진공 또는 불활성가스 중에 보관(③ Arsenic)할 것
- 사고발생에 대비하여 눈이나 몸을 씻을 수 있는 세안시설과 샤워시설이 이용 가능한 장소에서 작업할 것
- 사용한 후 식사, 흡연, 화장실에 가기 전에 물과 비누로 손을 꼭 세척할 것
- 취급 또는 작업 시는 통풍이 잘되는 후드에서 행하고 불 침투성 바닥, 독성 흄 응축장치, 분말제거장치를 갖출 것
- 호흡보호구, 전면보호구, 내산성장갑, 고효율의 입자필터가 장착된 안면보호구, 보안경을 반드시 사용할 것
- 콘택트렌즈를 착용 금지할 것
- 국소배기장치 가동할 것
- 화재 시 산화비소(Ⅲ) 증기가 방출되어 심한 용혈작용을 유발하므로 주의(③Arsenic)할 것</v>
          </cell>
        </row>
        <row r="281">
          <cell r="B281" t="str">
            <v>10102-49-5</v>
          </cell>
          <cell r="C281" t="str">
            <v>비소화합물질</v>
          </cell>
          <cell r="D281" t="str">
            <v>97-1-119</v>
          </cell>
          <cell r="E281" t="str">
            <v>또는 그 화합물과 비소화합물을 0.1% 이상 함유한 혼합물질</v>
          </cell>
          <cell r="F281">
            <v>0.1</v>
          </cell>
          <cell r="G281" t="str">
            <v>- 열원, 산화제 및 강산화제와 격리하여 저장할 것
- 서늘하고 통풍이 잘되는 곳에 밀폐 보관할 것
- 저장용기는 물리적인 손상에 견딜 수 있어야 할 것
- 금속비소는 산화하기 쉬우므로 진공 또는 불활성가스 중에 보관(③ Arsenic)할 것
- 사고발생에 대비하여 눈이나 몸을 씻을 수 있는 세안시설과 샤워시설이 이용 가능한 장소에서 작업할 것
- 사용한 후 식사, 흡연, 화장실에 가기 전에 물과 비누로 손을 꼭 세척할 것
- 취급 또는 작업 시는 통풍이 잘되는 후드에서 행하고 불 침투성 바닥, 독성 흄 응축장치, 분말제거장치를 갖출 것
- 호흡보호구, 전면보호구, 내산성장갑, 고효율의 입자필터가 장착된 안면보호구, 보안경을 반드시 사용할 것
- 콘택트렌즈를 착용 금지할 것
- 국소배기장치 가동할 것
- 화재 시 산화비소(Ⅲ) 증기가 방출되어 심한 용혈작용을 유발하므로 주의(③Arsenic)할 것</v>
          </cell>
        </row>
        <row r="282">
          <cell r="B282" t="str">
            <v>10102-50-8</v>
          </cell>
          <cell r="C282" t="str">
            <v>비소화합물질</v>
          </cell>
          <cell r="D282" t="str">
            <v>97-1-119</v>
          </cell>
          <cell r="E282" t="str">
            <v>또는 그 화합물과 비소화합물을 0.1% 이상 함유한 혼합물질</v>
          </cell>
          <cell r="F282">
            <v>0.1</v>
          </cell>
          <cell r="G282" t="str">
            <v>- 열원, 산화제 및 강산화제와 격리하여 저장할 것
- 서늘하고 통풍이 잘되는 곳에 밀폐 보관할 것
- 저장용기는 물리적인 손상에 견딜 수 있어야 할 것
- 금속비소는 산화하기 쉬우므로 진공 또는 불활성가스 중에 보관(③ Arsenic)할 것
- 사고발생에 대비하여 눈이나 몸을 씻을 수 있는 세안시설과 샤워시설이 이용 가능한 장소에서 작업할 것
- 사용한 후 식사, 흡연, 화장실에 가기 전에 물과 비누로 손을 꼭 세척할 것
- 취급 또는 작업 시는 통풍이 잘되는 후드에서 행하고 불 침투성 바닥, 독성 흄 응축장치, 분말제거장치를 갖출 것
- 호흡보호구, 전면보호구, 내산성장갑, 고효율의 입자필터가 장착된 안면보호구, 보안경을 반드시 사용할 것
- 콘택트렌즈를 착용 금지할 것
- 국소배기장치 가동할 것
- 화재 시 산화비소(Ⅲ) 증기가 방출되어 심한 용혈작용을 유발하므로 주의(③Arsenic)할 것</v>
          </cell>
        </row>
        <row r="283">
          <cell r="B283" t="str">
            <v>10103-50-1</v>
          </cell>
          <cell r="C283" t="str">
            <v>비소화합물질</v>
          </cell>
          <cell r="D283" t="str">
            <v>97-1-119</v>
          </cell>
          <cell r="E283" t="str">
            <v>또는 그 화합물과 비소화합물을 0.1% 이상 함유한 혼합물질</v>
          </cell>
          <cell r="F283">
            <v>0.1</v>
          </cell>
          <cell r="G283" t="str">
            <v>- 열원, 산화제 및 강산화제와 격리하여 저장할 것
- 서늘하고 통풍이 잘되는 곳에 밀폐 보관할 것
- 저장용기는 물리적인 손상에 견딜 수 있어야 할 것
- 금속비소는 산화하기 쉬우므로 진공 또는 불활성가스 중에 보관(③ Arsenic)할 것
- 사고발생에 대비하여 눈이나 몸을 씻을 수 있는 세안시설과 샤워시설이 이용 가능한 장소에서 작업할 것
- 사용한 후 식사, 흡연, 화장실에 가기 전에 물과 비누로 손을 꼭 세척할 것
- 취급 또는 작업 시는 통풍이 잘되는 후드에서 행하고 불 침투성 바닥, 독성 흄 응축장치, 분말제거장치를 갖출 것
- 호흡보호구, 전면보호구, 내산성장갑, 고효율의 입자필터가 장착된 안면보호구, 보안경을 반드시 사용할 것
- 콘택트렌즈를 착용 금지할 것
- 국소배기장치 가동할 것
- 화재 시 산화비소(Ⅲ) 증기가 방출되어 심한 용혈작용을 유발하므로 주의(③Arsenic)할 것</v>
          </cell>
        </row>
        <row r="284">
          <cell r="B284" t="str">
            <v>10103-61-4</v>
          </cell>
          <cell r="C284" t="str">
            <v>비소화합물질</v>
          </cell>
          <cell r="D284" t="str">
            <v>97-1-119</v>
          </cell>
          <cell r="E284" t="str">
            <v>또는 그 화합물과 비소화합물을 0.1% 이상 함유한 혼합물질</v>
          </cell>
          <cell r="F284">
            <v>0.1</v>
          </cell>
          <cell r="G284" t="str">
            <v>- 열원, 산화제 및 강산화제와 격리하여 저장할 것
- 서늘하고 통풍이 잘되는 곳에 밀폐 보관할 것
- 저장용기는 물리적인 손상에 견딜 수 있어야 할 것
- 금속비소는 산화하기 쉬우므로 진공 또는 불활성가스 중에 보관(③ Arsenic)할 것
- 사고발생에 대비하여 눈이나 몸을 씻을 수 있는 세안시설과 샤워시설이 이용 가능한 장소에서 작업할 것
- 사용한 후 식사, 흡연, 화장실에 가기 전에 물과 비누로 손을 꼭 세척할 것
- 취급 또는 작업 시는 통풍이 잘되는 후드에서 행하고 불 침투성 바닥, 독성 흄 응축장치, 분말제거장치를 갖출 것
- 호흡보호구, 전면보호구, 내산성장갑, 고효율의 입자필터가 장착된 안면보호구, 보안경을 반드시 사용할 것
- 콘택트렌즈를 착용 금지할 것
- 국소배기장치 가동할 것
- 화재 시 산화비소(Ⅲ) 증기가 방출되어 심한 용혈작용을 유발하므로 주의(③Arsenic)할 것</v>
          </cell>
        </row>
        <row r="285">
          <cell r="B285" t="str">
            <v>10103-62-5</v>
          </cell>
          <cell r="C285" t="str">
            <v>비소화합물질</v>
          </cell>
          <cell r="D285" t="str">
            <v>97-1-119</v>
          </cell>
          <cell r="E285" t="str">
            <v>또는 그 화합물과 비소화합물을 0.1% 이상 함유한 혼합물질</v>
          </cell>
          <cell r="F285">
            <v>0.1</v>
          </cell>
          <cell r="G285" t="str">
            <v>- 열원, 산화제 및 강산화제와 격리하여 저장할 것
- 서늘하고 통풍이 잘되는 곳에 밀폐 보관할 것
- 저장용기는 물리적인 손상에 견딜 수 있어야 할 것
- 금속비소는 산화하기 쉬우므로 진공 또는 불활성가스 중에 보관(③ Arsenic)할 것
- 사고발생에 대비하여 눈이나 몸을 씻을 수 있는 세안시설과 샤워시설이 이용 가능한 장소에서 작업할 것
- 사용한 후 식사, 흡연, 화장실에 가기 전에 물과 비누로 손을 꼭 세척할 것
- 취급 또는 작업 시는 통풍이 잘되는 후드에서 행하고 불 침투성 바닥, 독성 흄 응축장치, 분말제거장치를 갖출 것
- 호흡보호구, 전면보호구, 내산성장갑, 고효율의 입자필터가 장착된 안면보호구, 보안경을 반드시 사용할 것
- 콘택트렌즈를 착용 금지할 것
- 국소배기장치 가동할 것
- 화재 시 산화비소(Ⅲ) 증기가 방출되어 심한 용혈작용을 유발하므로 주의(③Arsenic)할 것</v>
          </cell>
        </row>
        <row r="286">
          <cell r="B286" t="str">
            <v>10124-50-2</v>
          </cell>
          <cell r="C286" t="str">
            <v>칼륨아르세니트</v>
          </cell>
          <cell r="D286" t="str">
            <v>97-1-119</v>
          </cell>
          <cell r="E286" t="str">
            <v>또는 그 화합물과 비소화합물을 0.1% 이상 함유한 혼합물질</v>
          </cell>
          <cell r="F286">
            <v>0.1</v>
          </cell>
          <cell r="G286" t="str">
            <v>- 열원, 산화제 및 강산화제와 격리하여 저장할 것
- 서늘하고 통풍이 잘되는 곳에 밀폐 보관할 것
- 저장용기는 물리적인 손상에 견딜 수 있어야 할 것
- 금속비소는 산화하기 쉬우므로 진공 또는 불활성가스 중에 보관(③ Arsenic)할 것
- 사고발생에 대비하여 눈이나 몸을 씻을 수 있는 세안시설과 샤워시설이 이용 가능한 장소에서 작업할 것
- 사용한 후 식사, 흡연, 화장실에 가기 전에 물과 비누로 손을 꼭 세척할 것
- 취급 또는 작업 시는 통풍이 잘되는 후드에서 행하고 불 침투성 바닥, 독성 흄 응축장치, 분말제거장치를 갖출 것
- 호흡보호구, 전면보호구, 내산성장갑, 고효율의 입자필터가 장착된 안면보호구, 보안경을 반드시 사용할 것
- 콘택트렌즈를 착용 금지할 것
- 국소배기장치 가동할 것
- 화재 시 산화비소(Ⅲ) 증기가 방출되어 심한 용혈작용을 유발하므로 주의(③Arsenic)할 것</v>
          </cell>
        </row>
        <row r="287">
          <cell r="B287" t="str">
            <v>102110-21-4</v>
          </cell>
          <cell r="C287" t="str">
            <v>비소화합물질</v>
          </cell>
          <cell r="D287" t="str">
            <v>97-1-119</v>
          </cell>
          <cell r="E287" t="str">
            <v>또는 그 화합물과 비소화합물을 0.1% 이상 함유한 혼합물질</v>
          </cell>
          <cell r="F287">
            <v>0.1</v>
          </cell>
          <cell r="G287" t="str">
            <v>- 열원, 산화제 및 강산화제와 격리하여 저장할 것
- 서늘하고 통풍이 잘되는 곳에 밀폐 보관할 것
- 저장용기는 물리적인 손상에 견딜 수 있어야 할 것
- 금속비소는 산화하기 쉬우므로 진공 또는 불활성가스 중에 보관(③ Arsenic)할 것
- 사고발생에 대비하여 눈이나 몸을 씻을 수 있는 세안시설과 샤워시설이 이용 가능한 장소에서 작업할 것
- 사용한 후 식사, 흡연, 화장실에 가기 전에 물과 비누로 손을 꼭 세척할 것
- 취급 또는 작업 시는 통풍이 잘되는 후드에서 행하고 불 침투성 바닥, 독성 흄 응축장치, 분말제거장치를 갖출 것
- 호흡보호구, 전면보호구, 내산성장갑, 고효율의 입자필터가 장착된 안면보호구, 보안경을 반드시 사용할 것
- 콘택트렌즈를 착용 금지할 것
- 국소배기장치 가동할 것
- 화재 시 산화비소(Ⅲ) 증기가 방출되어 심한 용혈작용을 유발하므로 주의(③Arsenic)할 것</v>
          </cell>
        </row>
        <row r="288">
          <cell r="B288" t="str">
            <v>102110-62-3</v>
          </cell>
          <cell r="C288" t="str">
            <v>비소화합물질</v>
          </cell>
          <cell r="D288" t="str">
            <v>97-1-119</v>
          </cell>
          <cell r="E288" t="str">
            <v>또는 그 화합물과 비소화합물을 0.1% 이상 함유한 혼합물질</v>
          </cell>
          <cell r="F288">
            <v>0.1</v>
          </cell>
          <cell r="G288" t="str">
            <v>- 열원, 산화제 및 강산화제와 격리하여 저장할 것
- 서늘하고 통풍이 잘되는 곳에 밀폐 보관할 것
- 저장용기는 물리적인 손상에 견딜 수 있어야 할 것
- 금속비소는 산화하기 쉬우므로 진공 또는 불활성가스 중에 보관(③ Arsenic)할 것
- 사고발생에 대비하여 눈이나 몸을 씻을 수 있는 세안시설과 샤워시설이 이용 가능한 장소에서 작업할 것
- 사용한 후 식사, 흡연, 화장실에 가기 전에 물과 비누로 손을 꼭 세척할 것
- 취급 또는 작업 시는 통풍이 잘되는 후드에서 행하고 불 침투성 바닥, 독성 흄 응축장치, 분말제거장치를 갖출 것
- 호흡보호구, 전면보호구, 내산성장갑, 고효율의 입자필터가 장착된 안면보호구, 보안경을 반드시 사용할 것
- 콘택트렌즈를 착용 금지할 것
- 국소배기장치 가동할 것
- 화재 시 산화비소(Ⅲ) 증기가 방출되어 심한 용혈작용을 유발하므로 주의(③Arsenic)할 것</v>
          </cell>
        </row>
        <row r="289">
          <cell r="B289" t="str">
            <v>10290-12-7</v>
          </cell>
          <cell r="C289" t="str">
            <v>구리오르토아르센산염</v>
          </cell>
          <cell r="D289" t="str">
            <v>97-1-119</v>
          </cell>
          <cell r="E289" t="str">
            <v>또는 그 화합물과 비소화합물을 0.1% 이상 함유한 혼합물질</v>
          </cell>
          <cell r="F289">
            <v>0.1</v>
          </cell>
          <cell r="G289" t="str">
            <v>- 열원, 산화제 및 강산화제와 격리하여 저장할 것
- 서늘하고 통풍이 잘되는 곳에 밀폐 보관할 것
- 저장용기는 물리적인 손상에 견딜 수 있어야 할 것
- 금속비소는 산화하기 쉬우므로 진공 또는 불활성가스 중에 보관(③ Arsenic)할 것
- 사고발생에 대비하여 눈이나 몸을 씻을 수 있는 세안시설과 샤워시설이 이용 가능한 장소에서 작업할 것
- 사용한 후 식사, 흡연, 화장실에 가기 전에 물과 비누로 손을 꼭 세척할 것
- 취급 또는 작업 시는 통풍이 잘되는 후드에서 행하고 불 침투성 바닥, 독성 흄 응축장치, 분말제거장치를 갖출 것
- 호흡보호구, 전면보호구, 내산성장갑, 고효율의 입자필터가 장착된 안면보호구, 보안경을 반드시 사용할 것
- 콘택트렌즈를 착용 금지할 것
- 국소배기장치 가동할 것
- 화재 시 산화비소(Ⅲ) 증기가 방출되어 심한 용혈작용을 유발하므로 주의(③Arsenic)할 것</v>
          </cell>
        </row>
        <row r="290">
          <cell r="B290" t="str">
            <v>12005-75-3</v>
          </cell>
          <cell r="C290" t="str">
            <v>비소화합물질</v>
          </cell>
          <cell r="D290" t="str">
            <v>97-1-119</v>
          </cell>
          <cell r="E290" t="str">
            <v>또는 그 화합물과 비소화합물을 0.1% 이상 함유한 혼합물질</v>
          </cell>
          <cell r="F290">
            <v>0.1</v>
          </cell>
          <cell r="G290" t="str">
            <v>- 열원, 산화제 및 강산화제와 격리하여 저장할 것
- 서늘하고 통풍이 잘되는 곳에 밀폐 보관할 것
- 저장용기는 물리적인 손상에 견딜 수 있어야 할 것
- 금속비소는 산화하기 쉬우므로 진공 또는 불활성가스 중에 보관(③ Arsenic)할 것
- 사고발생에 대비하여 눈이나 몸을 씻을 수 있는 세안시설과 샤워시설이 이용 가능한 장소에서 작업할 것
- 사용한 후 식사, 흡연, 화장실에 가기 전에 물과 비누로 손을 꼭 세척할 것
- 취급 또는 작업 시는 통풍이 잘되는 후드에서 행하고 불 침투성 바닥, 독성 흄 응축장치, 분말제거장치를 갖출 것
- 호흡보호구, 전면보호구, 내산성장갑, 고효율의 입자필터가 장착된 안면보호구, 보안경을 반드시 사용할 것
- 콘택트렌즈를 착용 금지할 것
- 국소배기장치 가동할 것
- 화재 시 산화비소(Ⅲ) 증기가 방출되어 심한 용혈작용을 유발하므로 주의(③Arsenic)할 것</v>
          </cell>
        </row>
        <row r="291">
          <cell r="B291" t="str">
            <v>12005-81-1</v>
          </cell>
          <cell r="C291" t="str">
            <v>비소화합물질</v>
          </cell>
          <cell r="D291" t="str">
            <v>97-1-119</v>
          </cell>
          <cell r="E291" t="str">
            <v>또는 그 화합물과 비소화합물을 0.1% 이상 함유한 혼합물질</v>
          </cell>
          <cell r="F291">
            <v>0.1</v>
          </cell>
          <cell r="G291" t="str">
            <v>- 열원, 산화제 및 강산화제와 격리하여 저장할 것
- 서늘하고 통풍이 잘되는 곳에 밀폐 보관할 것
- 저장용기는 물리적인 손상에 견딜 수 있어야 할 것
- 금속비소는 산화하기 쉬우므로 진공 또는 불활성가스 중에 보관(③ Arsenic)할 것
- 사고발생에 대비하여 눈이나 몸을 씻을 수 있는 세안시설과 샤워시설이 이용 가능한 장소에서 작업할 것
- 사용한 후 식사, 흡연, 화장실에 가기 전에 물과 비누로 손을 꼭 세척할 것
- 취급 또는 작업 시는 통풍이 잘되는 후드에서 행하고 불 침투성 바닥, 독성 흄 응축장치, 분말제거장치를 갖출 것
- 호흡보호구, 전면보호구, 내산성장갑, 고효율의 입자필터가 장착된 안면보호구, 보안경을 반드시 사용할 것
- 콘택트렌즈를 착용 금지할 것
- 국소배기장치 가동할 것
- 화재 시 산화비소(Ⅲ) 증기가 방출되어 심한 용혈작용을 유발하므로 주의(③Arsenic)할 것</v>
          </cell>
        </row>
        <row r="292">
          <cell r="B292" t="str">
            <v>12005-88-8</v>
          </cell>
          <cell r="C292" t="str">
            <v>비소화합물질</v>
          </cell>
          <cell r="D292" t="str">
            <v>97-1-119</v>
          </cell>
          <cell r="E292" t="str">
            <v>또는 그 화합물과 비소화합물을 0.1% 이상 함유한 혼합물질</v>
          </cell>
          <cell r="F292">
            <v>0.1</v>
          </cell>
          <cell r="G292" t="str">
            <v>- 열원, 산화제 및 강산화제와 격리하여 저장할 것
- 서늘하고 통풍이 잘되는 곳에 밀폐 보관할 것
- 저장용기는 물리적인 손상에 견딜 수 있어야 할 것
- 금속비소는 산화하기 쉬우므로 진공 또는 불활성가스 중에 보관(③ Arsenic)할 것
- 사고발생에 대비하여 눈이나 몸을 씻을 수 있는 세안시설과 샤워시설이 이용 가능한 장소에서 작업할 것
- 사용한 후 식사, 흡연, 화장실에 가기 전에 물과 비누로 손을 꼭 세척할 것
- 취급 또는 작업 시는 통풍이 잘되는 후드에서 행하고 불 침투성 바닥, 독성 흄 응축장치, 분말제거장치를 갖출 것
- 호흡보호구, 전면보호구, 내산성장갑, 고효율의 입자필터가 장착된 안면보호구, 보안경을 반드시 사용할 것
- 콘택트렌즈를 착용 금지할 것
- 국소배기장치 가동할 것
- 화재 시 산화비소(Ⅲ) 증기가 방출되어 심한 용혈작용을 유발하므로 주의(③Arsenic)할 것</v>
          </cell>
        </row>
        <row r="293">
          <cell r="B293" t="str">
            <v>12005-89-9</v>
          </cell>
          <cell r="C293" t="str">
            <v>비소화합물질</v>
          </cell>
          <cell r="D293" t="str">
            <v>97-1-119</v>
          </cell>
          <cell r="E293" t="str">
            <v>또는 그 화합물과 비소화합물을 0.1% 이상 함유한 혼합물질</v>
          </cell>
          <cell r="F293">
            <v>0.1</v>
          </cell>
          <cell r="G293" t="str">
            <v>- 열원, 산화제 및 강산화제와 격리하여 저장할 것
- 서늘하고 통풍이 잘되는 곳에 밀폐 보관할 것
- 저장용기는 물리적인 손상에 견딜 수 있어야 할 것
- 금속비소는 산화하기 쉬우므로 진공 또는 불활성가스 중에 보관(③ Arsenic)할 것
- 사고발생에 대비하여 눈이나 몸을 씻을 수 있는 세안시설과 샤워시설이 이용 가능한 장소에서 작업할 것
- 사용한 후 식사, 흡연, 화장실에 가기 전에 물과 비누로 손을 꼭 세척할 것
- 취급 또는 작업 시는 통풍이 잘되는 후드에서 행하고 불 침투성 바닥, 독성 흄 응축장치, 분말제거장치를 갖출 것
- 호흡보호구, 전면보호구, 내산성장갑, 고효율의 입자필터가 장착된 안면보호구, 보안경을 반드시 사용할 것
- 콘택트렌즈를 착용 금지할 것
- 국소배기장치 가동할 것
- 화재 시 산화비소(Ⅲ) 증기가 방출되어 심한 용혈작용을 유발하므로 주의(③Arsenic)할 것</v>
          </cell>
        </row>
        <row r="294">
          <cell r="B294" t="str">
            <v>12005-92-4</v>
          </cell>
          <cell r="C294" t="str">
            <v>비소화합물질</v>
          </cell>
          <cell r="D294" t="str">
            <v>97-1-119</v>
          </cell>
          <cell r="E294" t="str">
            <v>또는 그 화합물과 비소화합물을 0.1% 이상 함유한 혼합물질</v>
          </cell>
          <cell r="F294">
            <v>0.1</v>
          </cell>
          <cell r="G294" t="str">
            <v>- 열원, 산화제 및 강산화제와 격리하여 저장할 것
- 서늘하고 통풍이 잘되는 곳에 밀폐 보관할 것
- 저장용기는 물리적인 손상에 견딜 수 있어야 할 것
- 금속비소는 산화하기 쉬우므로 진공 또는 불활성가스 중에 보관(③ Arsenic)할 것
- 사고발생에 대비하여 눈이나 몸을 씻을 수 있는 세안시설과 샤워시설이 이용 가능한 장소에서 작업할 것
- 사용한 후 식사, 흡연, 화장실에 가기 전에 물과 비누로 손을 꼭 세척할 것
- 취급 또는 작업 시는 통풍이 잘되는 후드에서 행하고 불 침투성 바닥, 독성 흄 응축장치, 분말제거장치를 갖출 것
- 호흡보호구, 전면보호구, 내산성장갑, 고효율의 입자필터가 장착된 안면보호구, 보안경을 반드시 사용할 것
- 콘택트렌즈를 착용 금지할 것
- 국소배기장치 가동할 것
- 화재 시 산화비소(Ⅲ) 증기가 방출되어 심한 용혈작용을 유발하므로 주의(③Arsenic)할 것</v>
          </cell>
        </row>
        <row r="295">
          <cell r="B295" t="str">
            <v>12005-94-6</v>
          </cell>
          <cell r="C295" t="str">
            <v>비소화합물질</v>
          </cell>
          <cell r="D295" t="str">
            <v>97-1-119</v>
          </cell>
          <cell r="E295" t="str">
            <v>또는 그 화합물과 비소화합물을 0.1% 이상 함유한 혼합물질</v>
          </cell>
          <cell r="F295">
            <v>0.1</v>
          </cell>
          <cell r="G295" t="str">
            <v>- 열원, 산화제 및 강산화제와 격리하여 저장할 것
- 서늘하고 통풍이 잘되는 곳에 밀폐 보관할 것
- 저장용기는 물리적인 손상에 견딜 수 있어야 할 것
- 금속비소는 산화하기 쉬우므로 진공 또는 불활성가스 중에 보관(③ Arsenic)할 것
- 사고발생에 대비하여 눈이나 몸을 씻을 수 있는 세안시설과 샤워시설이 이용 가능한 장소에서 작업할 것
- 사용한 후 식사, 흡연, 화장실에 가기 전에 물과 비누로 손을 꼭 세척할 것
- 취급 또는 작업 시는 통풍이 잘되는 후드에서 행하고 불 침투성 바닥, 독성 흄 응축장치, 분말제거장치를 갖출 것
- 호흡보호구, 전면보호구, 내산성장갑, 고효율의 입자필터가 장착된 안면보호구, 보안경을 반드시 사용할 것
- 콘택트렌즈를 착용 금지할 것
- 국소배기장치 가동할 것
- 화재 시 산화비소(Ⅲ) 증기가 방출되어 심한 용혈작용을 유발하므로 주의(③Arsenic)할 것</v>
          </cell>
        </row>
        <row r="296">
          <cell r="B296" t="str">
            <v>12005-95-7</v>
          </cell>
          <cell r="C296" t="str">
            <v>비소화합물질</v>
          </cell>
          <cell r="D296" t="str">
            <v>97-1-119</v>
          </cell>
          <cell r="E296" t="str">
            <v>또는 그 화합물과 비소화합물을 0.1% 이상 함유한 혼합물질</v>
          </cell>
          <cell r="F296">
            <v>0.1</v>
          </cell>
          <cell r="G296" t="str">
            <v>- 열원, 산화제 및 강산화제와 격리하여 저장할 것
- 서늘하고 통풍이 잘되는 곳에 밀폐 보관할 것
- 저장용기는 물리적인 손상에 견딜 수 있어야 할 것
- 금속비소는 산화하기 쉬우므로 진공 또는 불활성가스 중에 보관(③ Arsenic)할 것
- 사고발생에 대비하여 눈이나 몸을 씻을 수 있는 세안시설과 샤워시설이 이용 가능한 장소에서 작업할 것
- 사용한 후 식사, 흡연, 화장실에 가기 전에 물과 비누로 손을 꼭 세척할 것
- 취급 또는 작업 시는 통풍이 잘되는 후드에서 행하고 불 침투성 바닥, 독성 흄 응축장치, 분말제거장치를 갖출 것
- 호흡보호구, 전면보호구, 내산성장갑, 고효율의 입자필터가 장착된 안면보호구, 보안경을 반드시 사용할 것
- 콘택트렌즈를 착용 금지할 것
- 국소배기장치 가동할 것
- 화재 시 산화비소(Ⅲ) 증기가 방출되어 심한 용혈작용을 유발하므로 주의(③Arsenic)할 것</v>
          </cell>
        </row>
        <row r="297">
          <cell r="B297" t="str">
            <v>12005-96-8</v>
          </cell>
          <cell r="C297" t="str">
            <v>비소화합물질</v>
          </cell>
          <cell r="D297" t="str">
            <v>97-1-119</v>
          </cell>
          <cell r="E297" t="str">
            <v>또는 그 화합물과 비소화합물을 0.1% 이상 함유한 혼합물질</v>
          </cell>
          <cell r="F297">
            <v>0.1</v>
          </cell>
          <cell r="G297" t="str">
            <v>- 열원, 산화제 및 강산화제와 격리하여 저장할 것
- 서늘하고 통풍이 잘되는 곳에 밀폐 보관할 것
- 저장용기는 물리적인 손상에 견딜 수 있어야 할 것
- 금속비소는 산화하기 쉬우므로 진공 또는 불활성가스 중에 보관(③ Arsenic)할 것
- 사고발생에 대비하여 눈이나 몸을 씻을 수 있는 세안시설과 샤워시설이 이용 가능한 장소에서 작업할 것
- 사용한 후 식사, 흡연, 화장실에 가기 전에 물과 비누로 손을 꼭 세척할 것
- 취급 또는 작업 시는 통풍이 잘되는 후드에서 행하고 불 침투성 바닥, 독성 흄 응축장치, 분말제거장치를 갖출 것
- 호흡보호구, 전면보호구, 내산성장갑, 고효율의 입자필터가 장착된 안면보호구, 보안경을 반드시 사용할 것
- 콘택트렌즈를 착용 금지할 것
- 국소배기장치 가동할 것
- 화재 시 산화비소(Ⅲ) 증기가 방출되어 심한 용혈작용을 유발하므로 주의(③Arsenic)할 것</v>
          </cell>
        </row>
        <row r="298">
          <cell r="B298" t="str">
            <v>12006-08-5</v>
          </cell>
          <cell r="C298" t="str">
            <v>비소화합물질</v>
          </cell>
          <cell r="D298" t="str">
            <v>97-1-119</v>
          </cell>
          <cell r="E298" t="str">
            <v>또는 그 화합물과 비소화합물을 0.1% 이상 함유한 혼합물질</v>
          </cell>
          <cell r="F298">
            <v>0.1</v>
          </cell>
          <cell r="G298" t="str">
            <v>- 열원, 산화제 및 강산화제와 격리하여 저장할 것
- 서늘하고 통풍이 잘되는 곳에 밀폐 보관할 것
- 저장용기는 물리적인 손상에 견딜 수 있어야 할 것
- 금속비소는 산화하기 쉬우므로 진공 또는 불활성가스 중에 보관(③ Arsenic)할 것
- 사고발생에 대비하여 눈이나 몸을 씻을 수 있는 세안시설과 샤워시설이 이용 가능한 장소에서 작업할 것
- 사용한 후 식사, 흡연, 화장실에 가기 전에 물과 비누로 손을 꼭 세척할 것
- 취급 또는 작업 시는 통풍이 잘되는 후드에서 행하고 불 침투성 바닥, 독성 흄 응축장치, 분말제거장치를 갖출 것
- 호흡보호구, 전면보호구, 내산성장갑, 고효율의 입자필터가 장착된 안면보호구, 보안경을 반드시 사용할 것
- 콘택트렌즈를 착용 금지할 것
- 국소배기장치 가동할 것
- 화재 시 산화비소(Ⅲ) 증기가 방출되어 심한 용혈작용을 유발하므로 주의(③Arsenic)할 것</v>
          </cell>
        </row>
        <row r="299">
          <cell r="B299" t="str">
            <v>12006-09-6</v>
          </cell>
          <cell r="C299" t="str">
            <v>비소화합물질</v>
          </cell>
          <cell r="D299" t="str">
            <v>97-1-119</v>
          </cell>
          <cell r="E299" t="str">
            <v>또는 그 화합물과 비소화합물을 0.1% 이상 함유한 혼합물질</v>
          </cell>
          <cell r="F299">
            <v>0.1</v>
          </cell>
          <cell r="G299" t="str">
            <v>- 열원, 산화제 및 강산화제와 격리하여 저장할 것
- 서늘하고 통풍이 잘되는 곳에 밀폐 보관할 것
- 저장용기는 물리적인 손상에 견딜 수 있어야 할 것
- 금속비소는 산화하기 쉬우므로 진공 또는 불활성가스 중에 보관(③ Arsenic)할 것
- 사고발생에 대비하여 눈이나 몸을 씻을 수 있는 세안시설과 샤워시설이 이용 가능한 장소에서 작업할 것
- 사용한 후 식사, 흡연, 화장실에 가기 전에 물과 비누로 손을 꼭 세척할 것
- 취급 또는 작업 시는 통풍이 잘되는 후드에서 행하고 불 침투성 바닥, 독성 흄 응축장치, 분말제거장치를 갖출 것
- 호흡보호구, 전면보호구, 내산성장갑, 고효율의 입자필터가 장착된 안면보호구, 보안경을 반드시 사용할 것
- 콘택트렌즈를 착용 금지할 것
- 국소배기장치 가동할 것
- 화재 시 산화비소(Ⅲ) 증기가 방출되어 심한 용혈작용을 유발하므로 주의(③Arsenic)할 것</v>
          </cell>
        </row>
        <row r="300">
          <cell r="B300" t="str">
            <v>12006-12-1</v>
          </cell>
          <cell r="C300" t="str">
            <v>비소화합물질</v>
          </cell>
          <cell r="D300" t="str">
            <v>97-1-119</v>
          </cell>
          <cell r="E300" t="str">
            <v>또는 그 화합물과 비소화합물을 0.1% 이상 함유한 혼합물질</v>
          </cell>
          <cell r="F300">
            <v>0.1</v>
          </cell>
          <cell r="G300" t="str">
            <v>- 열원, 산화제 및 강산화제와 격리하여 저장할 것
- 서늘하고 통풍이 잘되는 곳에 밀폐 보관할 것
- 저장용기는 물리적인 손상에 견딜 수 있어야 할 것
- 금속비소는 산화하기 쉬우므로 진공 또는 불활성가스 중에 보관(③ Arsenic)할 것
- 사고발생에 대비하여 눈이나 몸을 씻을 수 있는 세안시설과 샤워시설이 이용 가능한 장소에서 작업할 것
- 사용한 후 식사, 흡연, 화장실에 가기 전에 물과 비누로 손을 꼭 세척할 것
- 취급 또는 작업 시는 통풍이 잘되는 후드에서 행하고 불 침투성 바닥, 독성 흄 응축장치, 분말제거장치를 갖출 것
- 호흡보호구, 전면보호구, 내산성장갑, 고효율의 입자필터가 장착된 안면보호구, 보안경을 반드시 사용할 것
- 콘택트렌즈를 착용 금지할 것
- 국소배기장치 가동할 것
- 화재 시 산화비소(Ⅲ) 증기가 방출되어 심한 용혈작용을 유발하므로 주의(③Arsenic)할 것</v>
          </cell>
        </row>
        <row r="301">
          <cell r="B301" t="str">
            <v>12006-15-4</v>
          </cell>
          <cell r="C301" t="str">
            <v>비소화합물질</v>
          </cell>
          <cell r="D301" t="str">
            <v>97-1-119</v>
          </cell>
          <cell r="E301" t="str">
            <v>또는 그 화합물과 비소화합물을 0.1% 이상 함유한 혼합물질</v>
          </cell>
          <cell r="F301">
            <v>0.1</v>
          </cell>
          <cell r="G301" t="str">
            <v>- 열원, 산화제 및 강산화제와 격리하여 저장할 것
- 서늘하고 통풍이 잘되는 곳에 밀폐 보관할 것
- 저장용기는 물리적인 손상에 견딜 수 있어야 할 것
- 금속비소는 산화하기 쉬우므로 진공 또는 불활성가스 중에 보관(③ Arsenic)할 것
- 사고발생에 대비하여 눈이나 몸을 씻을 수 있는 세안시설과 샤워시설이 이용 가능한 장소에서 작업할 것
- 사용한 후 식사, 흡연, 화장실에 가기 전에 물과 비누로 손을 꼭 세척할 것
- 취급 또는 작업 시는 통풍이 잘되는 후드에서 행하고 불 침투성 바닥, 독성 흄 응축장치, 분말제거장치를 갖출 것
- 호흡보호구, 전면보호구, 내산성장갑, 고효율의 입자필터가 장착된 안면보호구, 보안경을 반드시 사용할 것
- 콘택트렌즈를 착용 금지할 것
- 국소배기장치 가동할 것
- 화재 시 산화비소(Ⅲ) 증기가 방출되어 심한 용혈작용을 유발하므로 주의(③Arsenic)할 것</v>
          </cell>
        </row>
        <row r="302">
          <cell r="B302" t="str">
            <v>12006-21-2</v>
          </cell>
          <cell r="C302" t="str">
            <v>비소화합물질</v>
          </cell>
          <cell r="D302" t="str">
            <v>97-1-119</v>
          </cell>
          <cell r="E302" t="str">
            <v>또는 그 화합물과 비소화합물을 0.1% 이상 함유한 혼합물질</v>
          </cell>
          <cell r="F302">
            <v>0.1</v>
          </cell>
          <cell r="G302" t="str">
            <v>- 열원, 산화제 및 강산화제와 격리하여 저장할 것
- 서늘하고 통풍이 잘되는 곳에 밀폐 보관할 것
- 저장용기는 물리적인 손상에 견딜 수 있어야 할 것
- 금속비소는 산화하기 쉬우므로 진공 또는 불활성가스 중에 보관(③ Arsenic)할 것
- 사고발생에 대비하여 눈이나 몸을 씻을 수 있는 세안시설과 샤워시설이 이용 가능한 장소에서 작업할 것
- 사용한 후 식사, 흡연, 화장실에 가기 전에 물과 비누로 손을 꼭 세척할 것
- 취급 또는 작업 시는 통풍이 잘되는 후드에서 행하고 불 침투성 바닥, 독성 흄 응축장치, 분말제거장치를 갖출 것
- 호흡보호구, 전면보호구, 내산성장갑, 고효율의 입자필터가 장착된 안면보호구, 보안경을 반드시 사용할 것
- 콘택트렌즈를 착용 금지할 것
- 국소배기장치 가동할 것
- 화재 시 산화비소(Ⅲ) 증기가 방출되어 심한 용혈작용을 유발하므로 주의(③Arsenic)할 것</v>
          </cell>
        </row>
        <row r="303">
          <cell r="B303" t="str">
            <v>12006-40-5</v>
          </cell>
          <cell r="C303" t="str">
            <v>비소화합물질</v>
          </cell>
          <cell r="D303" t="str">
            <v>97-1-119</v>
          </cell>
          <cell r="E303" t="str">
            <v>또는 그 화합물과 비소화합물을 0.1% 이상 함유한 혼합물질</v>
          </cell>
          <cell r="F303">
            <v>0.1</v>
          </cell>
          <cell r="G303" t="str">
            <v>- 열원, 산화제 및 강산화제와 격리하여 저장할 것
- 서늘하고 통풍이 잘되는 곳에 밀폐 보관할 것
- 저장용기는 물리적인 손상에 견딜 수 있어야 할 것
- 금속비소는 산화하기 쉬우므로 진공 또는 불활성가스 중에 보관(③ Arsenic)할 것
- 사고발생에 대비하여 눈이나 몸을 씻을 수 있는 세안시설과 샤워시설이 이용 가능한 장소에서 작업할 것
- 사용한 후 식사, 흡연, 화장실에 가기 전에 물과 비누로 손을 꼭 세척할 것
- 취급 또는 작업 시는 통풍이 잘되는 후드에서 행하고 불 침투성 바닥, 독성 흄 응축장치, 분말제거장치를 갖출 것
- 호흡보호구, 전면보호구, 내산성장갑, 고효율의 입자필터가 장착된 안면보호구, 보안경을 반드시 사용할 것
- 콘택트렌즈를 착용 금지할 것
- 국소배기장치 가동할 것
- 화재 시 산화비소(Ⅲ) 증기가 방출되어 심한 용혈작용을 유발하므로 주의(③Arsenic)할 것</v>
          </cell>
        </row>
        <row r="304">
          <cell r="B304" t="str">
            <v>12044-16-5</v>
          </cell>
          <cell r="C304" t="str">
            <v>비소화합물질</v>
          </cell>
          <cell r="D304" t="str">
            <v>97-1-119</v>
          </cell>
          <cell r="E304" t="str">
            <v>또는 그 화합물과 비소화합물을 0.1% 이상 함유한 혼합물질</v>
          </cell>
          <cell r="F304">
            <v>0.1</v>
          </cell>
          <cell r="G304" t="str">
            <v>- 열원, 산화제 및 강산화제와 격리하여 저장할 것
- 서늘하고 통풍이 잘되는 곳에 밀폐 보관할 것
- 저장용기는 물리적인 손상에 견딜 수 있어야 할 것
- 금속비소는 산화하기 쉬우므로 진공 또는 불활성가스 중에 보관(③ Arsenic)할 것
- 사고발생에 대비하여 눈이나 몸을 씻을 수 있는 세안시설과 샤워시설이 이용 가능한 장소에서 작업할 것
- 사용한 후 식사, 흡연, 화장실에 가기 전에 물과 비누로 손을 꼭 세척할 것
- 취급 또는 작업 시는 통풍이 잘되는 후드에서 행하고 불 침투성 바닥, 독성 흄 응축장치, 분말제거장치를 갖출 것
- 호흡보호구, 전면보호구, 내산성장갑, 고효율의 입자필터가 장착된 안면보호구, 보안경을 반드시 사용할 것
- 콘택트렌즈를 착용 금지할 것
- 국소배기장치 가동할 것
- 화재 시 산화비소(Ⅲ) 증기가 방출되어 심한 용혈작용을 유발하므로 주의(③Arsenic)할 것</v>
          </cell>
        </row>
        <row r="305">
          <cell r="B305" t="str">
            <v>12044-20-1</v>
          </cell>
          <cell r="C305" t="str">
            <v>비소화합물질</v>
          </cell>
          <cell r="D305" t="str">
            <v>97-1-119</v>
          </cell>
          <cell r="E305" t="str">
            <v>또는 그 화합물과 비소화합물을 0.1% 이상 함유한 혼합물질</v>
          </cell>
          <cell r="F305">
            <v>0.1</v>
          </cell>
          <cell r="G305" t="str">
            <v>- 열원, 산화제 및 강산화제와 격리하여 저장할 것
- 서늘하고 통풍이 잘되는 곳에 밀폐 보관할 것
- 저장용기는 물리적인 손상에 견딜 수 있어야 할 것
- 금속비소는 산화하기 쉬우므로 진공 또는 불활성가스 중에 보관(③ Arsenic)할 것
- 사고발생에 대비하여 눈이나 몸을 씻을 수 있는 세안시설과 샤워시설이 이용 가능한 장소에서 작업할 것
- 사용한 후 식사, 흡연, 화장실에 가기 전에 물과 비누로 손을 꼭 세척할 것
- 취급 또는 작업 시는 통풍이 잘되는 후드에서 행하고 불 침투성 바닥, 독성 흄 응축장치, 분말제거장치를 갖출 것
- 호흡보호구, 전면보호구, 내산성장갑, 고효율의 입자필터가 장착된 안면보호구, 보안경을 반드시 사용할 것
- 콘택트렌즈를 착용 금지할 것
- 국소배기장치 가동할 것
- 화재 시 산화비소(Ⅲ) 증기가 방출되어 심한 용혈작용을 유발하므로 주의(③Arsenic)할 것</v>
          </cell>
        </row>
        <row r="306">
          <cell r="B306" t="str">
            <v>12044-21-2</v>
          </cell>
          <cell r="C306" t="str">
            <v>비소화합물질</v>
          </cell>
          <cell r="D306" t="str">
            <v>97-1-119</v>
          </cell>
          <cell r="E306" t="str">
            <v>또는 그 화합물과 비소화합물을 0.1% 이상 함유한 혼합물질</v>
          </cell>
          <cell r="F306">
            <v>0.1</v>
          </cell>
          <cell r="G306" t="str">
            <v>- 열원, 산화제 및 강산화제와 격리하여 저장할 것
- 서늘하고 통풍이 잘되는 곳에 밀폐 보관할 것
- 저장용기는 물리적인 손상에 견딜 수 있어야 할 것
- 금속비소는 산화하기 쉬우므로 진공 또는 불활성가스 중에 보관(③ Arsenic)할 것
- 사고발생에 대비하여 눈이나 몸을 씻을 수 있는 세안시설과 샤워시설이 이용 가능한 장소에서 작업할 것
- 사용한 후 식사, 흡연, 화장실에 가기 전에 물과 비누로 손을 꼭 세척할 것
- 취급 또는 작업 시는 통풍이 잘되는 후드에서 행하고 불 침투성 바닥, 독성 흄 응축장치, 분말제거장치를 갖출 것
- 호흡보호구, 전면보호구, 내산성장갑, 고효율의 입자필터가 장착된 안면보호구, 보안경을 반드시 사용할 것
- 콘택트렌즈를 착용 금지할 것
- 국소배기장치 가동할 것
- 화재 시 산화비소(Ⅲ) 증기가 방출되어 심한 용혈작용을 유발하므로 주의(③Arsenic)할 것</v>
          </cell>
        </row>
        <row r="307">
          <cell r="B307" t="str">
            <v>12044-22-3</v>
          </cell>
          <cell r="C307" t="str">
            <v>비소화합물질</v>
          </cell>
          <cell r="D307" t="str">
            <v>97-1-119</v>
          </cell>
          <cell r="E307" t="str">
            <v>또는 그 화합물과 비소화합물을 0.1% 이상 함유한 혼합물질</v>
          </cell>
          <cell r="F307">
            <v>0.1</v>
          </cell>
          <cell r="G307" t="str">
            <v>- 열원, 산화제 및 강산화제와 격리하여 저장할 것
- 서늘하고 통풍이 잘되는 곳에 밀폐 보관할 것
- 저장용기는 물리적인 손상에 견딜 수 있어야 할 것
- 금속비소는 산화하기 쉬우므로 진공 또는 불활성가스 중에 보관(③ Arsenic)할 것
- 사고발생에 대비하여 눈이나 몸을 씻을 수 있는 세안시설과 샤워시설이 이용 가능한 장소에서 작업할 것
- 사용한 후 식사, 흡연, 화장실에 가기 전에 물과 비누로 손을 꼭 세척할 것
- 취급 또는 작업 시는 통풍이 잘되는 후드에서 행하고 불 침투성 바닥, 독성 흄 응축장치, 분말제거장치를 갖출 것
- 호흡보호구, 전면보호구, 내산성장갑, 고효율의 입자필터가 장착된 안면보호구, 보안경을 반드시 사용할 것
- 콘택트렌즈를 착용 금지할 것
- 국소배기장치 가동할 것
- 화재 시 산화비소(Ⅲ) 증기가 방출되어 심한 용혈작용을 유발하므로 주의(③Arsenic)할 것</v>
          </cell>
        </row>
        <row r="308">
          <cell r="B308" t="str">
            <v>12044-25-6</v>
          </cell>
          <cell r="C308" t="str">
            <v>비소화합물질</v>
          </cell>
          <cell r="D308" t="str">
            <v>97-1-119</v>
          </cell>
          <cell r="E308" t="str">
            <v>또는 그 화합물과 비소화합물을 0.1% 이상 함유한 혼합물질</v>
          </cell>
          <cell r="F308">
            <v>0.1</v>
          </cell>
          <cell r="G308" t="str">
            <v>- 열원, 산화제 및 강산화제와 격리하여 저장할 것
- 서늘하고 통풍이 잘되는 곳에 밀폐 보관할 것
- 저장용기는 물리적인 손상에 견딜 수 있어야 할 것
- 금속비소는 산화하기 쉬우므로 진공 또는 불활성가스 중에 보관(③ Arsenic)할 것
- 사고발생에 대비하여 눈이나 몸을 씻을 수 있는 세안시설과 샤워시설이 이용 가능한 장소에서 작업할 것
- 사용한 후 식사, 흡연, 화장실에 가기 전에 물과 비누로 손을 꼭 세척할 것
- 취급 또는 작업 시는 통풍이 잘되는 후드에서 행하고 불 침투성 바닥, 독성 흄 응축장치, 분말제거장치를 갖출 것
- 호흡보호구, 전면보호구, 내산성장갑, 고효율의 입자필터가 장착된 안면보호구, 보안경을 반드시 사용할 것
- 콘택트렌즈를 착용 금지할 것
- 국소배기장치 가동할 것
- 화재 시 산화비소(Ⅲ) 증기가 방출되어 심한 용혈작용을 유발하므로 주의(③Arsenic)할 것</v>
          </cell>
        </row>
        <row r="309">
          <cell r="B309" t="str">
            <v>12044-28-9</v>
          </cell>
          <cell r="C309" t="str">
            <v>비소화합물질</v>
          </cell>
          <cell r="D309" t="str">
            <v>97-1-119</v>
          </cell>
          <cell r="E309" t="str">
            <v>또는 그 화합물과 비소화합물을 0.1% 이상 함유한 혼합물질</v>
          </cell>
          <cell r="F309">
            <v>0.1</v>
          </cell>
          <cell r="G309" t="str">
            <v>- 열원, 산화제 및 강산화제와 격리하여 저장할 것
- 서늘하고 통풍이 잘되는 곳에 밀폐 보관할 것
- 저장용기는 물리적인 손상에 견딜 수 있어야 할 것
- 금속비소는 산화하기 쉬우므로 진공 또는 불활성가스 중에 보관(③ Arsenic)할 것
- 사고발생에 대비하여 눈이나 몸을 씻을 수 있는 세안시설과 샤워시설이 이용 가능한 장소에서 작업할 것
- 사용한 후 식사, 흡연, 화장실에 가기 전에 물과 비누로 손을 꼭 세척할 것
- 취급 또는 작업 시는 통풍이 잘되는 후드에서 행하고 불 침투성 바닥, 독성 흄 응축장치, 분말제거장치를 갖출 것
- 호흡보호구, 전면보호구, 내산성장갑, 고효율의 입자필터가 장착된 안면보호구, 보안경을 반드시 사용할 것
- 콘택트렌즈를 착용 금지할 것
- 국소배기장치 가동할 것
- 화재 시 산화비소(Ⅲ) 증기가 방출되어 심한 용혈작용을 유발하므로 주의(③Arsenic)할 것</v>
          </cell>
        </row>
        <row r="310">
          <cell r="B310" t="str">
            <v>12044-42-7</v>
          </cell>
          <cell r="C310" t="str">
            <v>비소화합물질</v>
          </cell>
          <cell r="D310" t="str">
            <v>97-1-119</v>
          </cell>
          <cell r="E310" t="str">
            <v>또는 그 화합물과 비소화합물을 0.1% 이상 함유한 혼합물질</v>
          </cell>
          <cell r="F310">
            <v>0.1</v>
          </cell>
          <cell r="G310" t="str">
            <v>- 열원, 산화제 및 강산화제와 격리하여 저장할 것
- 서늘하고 통풍이 잘되는 곳에 밀폐 보관할 것
- 저장용기는 물리적인 손상에 견딜 수 있어야 할 것
- 금속비소는 산화하기 쉬우므로 진공 또는 불활성가스 중에 보관(③ Arsenic)할 것
- 사고발생에 대비하여 눈이나 몸을 씻을 수 있는 세안시설과 샤워시설이 이용 가능한 장소에서 작업할 것
- 사용한 후 식사, 흡연, 화장실에 가기 전에 물과 비누로 손을 꼭 세척할 것
- 취급 또는 작업 시는 통풍이 잘되는 후드에서 행하고 불 침투성 바닥, 독성 흄 응축장치, 분말제거장치를 갖출 것
- 호흡보호구, 전면보호구, 내산성장갑, 고효율의 입자필터가 장착된 안면보호구, 보안경을 반드시 사용할 것
- 콘택트렌즈를 착용 금지할 것
- 국소배기장치 가동할 것
- 화재 시 산화비소(Ⅲ) 증기가 방출되어 심한 용혈작용을 유발하므로 주의(③Arsenic)할 것</v>
          </cell>
        </row>
        <row r="311">
          <cell r="B311" t="str">
            <v>12044-49-4</v>
          </cell>
          <cell r="C311" t="str">
            <v>비소화합물질</v>
          </cell>
          <cell r="D311" t="str">
            <v>97-1-119</v>
          </cell>
          <cell r="E311" t="str">
            <v>또는 그 화합물과 비소화합물을 0.1% 이상 함유한 혼합물질</v>
          </cell>
          <cell r="F311">
            <v>0.1</v>
          </cell>
          <cell r="G311" t="str">
            <v>- 열원, 산화제 및 강산화제와 격리하여 저장할 것
- 서늘하고 통풍이 잘되는 곳에 밀폐 보관할 것
- 저장용기는 물리적인 손상에 견딜 수 있어야 할 것
- 금속비소는 산화하기 쉬우므로 진공 또는 불활성가스 중에 보관(③ Arsenic)할 것
- 사고발생에 대비하여 눈이나 몸을 씻을 수 있는 세안시설과 샤워시설이 이용 가능한 장소에서 작업할 것
- 사용한 후 식사, 흡연, 화장실에 가기 전에 물과 비누로 손을 꼭 세척할 것
- 취급 또는 작업 시는 통풍이 잘되는 후드에서 행하고 불 침투성 바닥, 독성 흄 응축장치, 분말제거장치를 갖출 것
- 호흡보호구, 전면보호구, 내산성장갑, 고효율의 입자필터가 장착된 안면보호구, 보안경을 반드시 사용할 것
- 콘택트렌즈를 착용 금지할 것
- 국소배기장치 가동할 것
- 화재 시 산화비소(Ⅲ) 증기가 방출되어 심한 용혈작용을 유발하므로 주의(③Arsenic)할 것</v>
          </cell>
        </row>
        <row r="312">
          <cell r="B312" t="str">
            <v>12044-54-1</v>
          </cell>
          <cell r="C312" t="str">
            <v>비소화합물질</v>
          </cell>
          <cell r="D312" t="str">
            <v>97-1-119</v>
          </cell>
          <cell r="E312" t="str">
            <v>또는 그 화합물과 비소화합물을 0.1% 이상 함유한 혼합물질</v>
          </cell>
          <cell r="F312">
            <v>0.1</v>
          </cell>
          <cell r="G312" t="str">
            <v>- 열원, 산화제 및 강산화제와 격리하여 저장할 것
- 서늘하고 통풍이 잘되는 곳에 밀폐 보관할 것
- 저장용기는 물리적인 손상에 견딜 수 있어야 할 것
- 금속비소는 산화하기 쉬우므로 진공 또는 불활성가스 중에 보관(③ Arsenic)할 것
- 사고발생에 대비하여 눈이나 몸을 씻을 수 있는 세안시설과 샤워시설이 이용 가능한 장소에서 작업할 것
- 사용한 후 식사, 흡연, 화장실에 가기 전에 물과 비누로 손을 꼭 세척할 것
- 취급 또는 작업 시는 통풍이 잘되는 후드에서 행하고 불 침투성 바닥, 독성 흄 응축장치, 분말제거장치를 갖출 것
- 호흡보호구, 전면보호구, 내산성장갑, 고효율의 입자필터가 장착된 안면보호구, 보안경을 반드시 사용할 것
- 콘택트렌즈를 착용 금지할 것
- 국소배기장치 가동할 것
- 화재 시 산화비소(Ⅲ) 증기가 방출되어 심한 용혈작용을 유발하므로 주의(③Arsenic)할 것</v>
          </cell>
        </row>
        <row r="313">
          <cell r="B313" t="str">
            <v>12044-55-2</v>
          </cell>
          <cell r="C313" t="str">
            <v>비소화합물질</v>
          </cell>
          <cell r="D313" t="str">
            <v>97-1-119</v>
          </cell>
          <cell r="E313" t="str">
            <v>또는 그 화합물과 비소화합물을 0.1% 이상 함유한 혼합물질</v>
          </cell>
          <cell r="F313">
            <v>0.1</v>
          </cell>
          <cell r="G313" t="str">
            <v>- 열원, 산화제 및 강산화제와 격리하여 저장할 것
- 서늘하고 통풍이 잘되는 곳에 밀폐 보관할 것
- 저장용기는 물리적인 손상에 견딜 수 있어야 할 것
- 금속비소는 산화하기 쉬우므로 진공 또는 불활성가스 중에 보관(③ Arsenic)할 것
- 사고발생에 대비하여 눈이나 몸을 씻을 수 있는 세안시설과 샤워시설이 이용 가능한 장소에서 작업할 것
- 사용한 후 식사, 흡연, 화장실에 가기 전에 물과 비누로 손을 꼭 세척할 것
- 취급 또는 작업 시는 통풍이 잘되는 후드에서 행하고 불 침투성 바닥, 독성 흄 응축장치, 분말제거장치를 갖출 것
- 호흡보호구, 전면보호구, 내산성장갑, 고효율의 입자필터가 장착된 안면보호구, 보안경을 반드시 사용할 것
- 콘택트렌즈를 착용 금지할 것
- 국소배기장치 가동할 것
- 화재 시 산화비소(Ⅲ) 증기가 방출되어 심한 용혈작용을 유발하므로 주의(③Arsenic)할 것</v>
          </cell>
        </row>
        <row r="314">
          <cell r="B314" t="str">
            <v>12068-61-0</v>
          </cell>
          <cell r="C314" t="str">
            <v>비소화합물질</v>
          </cell>
          <cell r="D314" t="str">
            <v>97-1-119</v>
          </cell>
          <cell r="E314" t="str">
            <v>또는 그 화합물과 비소화합물을 0.1% 이상 함유한 혼합물질</v>
          </cell>
          <cell r="F314">
            <v>0.1</v>
          </cell>
          <cell r="G314" t="str">
            <v>- 열원, 산화제 및 강산화제와 격리하여 저장할 것
- 서늘하고 통풍이 잘되는 곳에 밀폐 보관할 것
- 저장용기는 물리적인 손상에 견딜 수 있어야 할 것
- 금속비소는 산화하기 쉬우므로 진공 또는 불활성가스 중에 보관(③ Arsenic)할 것
- 사고발생에 대비하여 눈이나 몸을 씻을 수 있는 세안시설과 샤워시설이 이용 가능한 장소에서 작업할 것
- 사용한 후 식사, 흡연, 화장실에 가기 전에 물과 비누로 손을 꼭 세척할 것
- 취급 또는 작업 시는 통풍이 잘되는 후드에서 행하고 불 침투성 바닥, 독성 흄 응축장치, 분말제거장치를 갖출 것
- 호흡보호구, 전면보호구, 내산성장갑, 고효율의 입자필터가 장착된 안면보호구, 보안경을 반드시 사용할 것
- 콘택트렌즈를 착용 금지할 것
- 국소배기장치 가동할 것
- 화재 시 산화비소(Ⅲ) 증기가 방출되어 심한 용혈작용을 유발하므로 주의(③Arsenic)할 것</v>
          </cell>
        </row>
        <row r="315">
          <cell r="B315" t="str">
            <v>12254-85-2</v>
          </cell>
          <cell r="C315" t="str">
            <v>비소화합물질</v>
          </cell>
          <cell r="D315" t="str">
            <v>97-1-119</v>
          </cell>
          <cell r="E315" t="str">
            <v>또는 그 화합물과 비소화합물을 0.1% 이상 함유한 혼합물질</v>
          </cell>
          <cell r="F315">
            <v>0.1</v>
          </cell>
          <cell r="G315" t="str">
            <v>- 열원, 산화제 및 강산화제와 격리하여 저장할 것
- 서늘하고 통풍이 잘되는 곳에 밀폐 보관할 것
- 저장용기는 물리적인 손상에 견딜 수 있어야 할 것
- 금속비소는 산화하기 쉬우므로 진공 또는 불활성가스 중에 보관(③ Arsenic)할 것
- 사고발생에 대비하여 눈이나 몸을 씻을 수 있는 세안시설과 샤워시설이 이용 가능한 장소에서 작업할 것
- 사용한 후 식사, 흡연, 화장실에 가기 전에 물과 비누로 손을 꼭 세척할 것
- 취급 또는 작업 시는 통풍이 잘되는 후드에서 행하고 불 침투성 바닥, 독성 흄 응축장치, 분말제거장치를 갖출 것
- 호흡보호구, 전면보호구, 내산성장갑, 고효율의 입자필터가 장착된 안면보호구, 보안경을 반드시 사용할 것
- 콘택트렌즈를 착용 금지할 것
- 국소배기장치 가동할 것
- 화재 시 산화비소(Ⅲ) 증기가 방출되어 심한 용혈작용을 유발하므로 주의(③Arsenic)할 것</v>
          </cell>
        </row>
        <row r="316">
          <cell r="B316" t="str">
            <v>12254-88-5</v>
          </cell>
          <cell r="C316" t="str">
            <v>비소화합물질</v>
          </cell>
          <cell r="D316" t="str">
            <v>97-1-119</v>
          </cell>
          <cell r="E316" t="str">
            <v>또는 그 화합물과 비소화합물을 0.1% 이상 함유한 혼합물질</v>
          </cell>
          <cell r="F316">
            <v>0.1</v>
          </cell>
          <cell r="G316" t="str">
            <v>- 열원, 산화제 및 강산화제와 격리하여 저장할 것
- 서늘하고 통풍이 잘되는 곳에 밀폐 보관할 것
- 저장용기는 물리적인 손상에 견딜 수 있어야 할 것
- 금속비소는 산화하기 쉬우므로 진공 또는 불활성가스 중에 보관(③ Arsenic)할 것
- 사고발생에 대비하여 눈이나 몸을 씻을 수 있는 세안시설과 샤워시설이 이용 가능한 장소에서 작업할 것
- 사용한 후 식사, 흡연, 화장실에 가기 전에 물과 비누로 손을 꼭 세척할 것
- 취급 또는 작업 시는 통풍이 잘되는 후드에서 행하고 불 침투성 바닥, 독성 흄 응축장치, 분말제거장치를 갖출 것
- 호흡보호구, 전면보호구, 내산성장갑, 고효율의 입자필터가 장착된 안면보호구, 보안경을 반드시 사용할 것
- 콘택트렌즈를 착용 금지할 것
- 국소배기장치 가동할 것
- 화재 시 산화비소(Ⅲ) 증기가 방출되어 심한 용혈작용을 유발하므로 주의(③Arsenic)할 것</v>
          </cell>
        </row>
        <row r="317">
          <cell r="B317" t="str">
            <v>12255-04-8</v>
          </cell>
          <cell r="C317" t="str">
            <v>비소화합물질</v>
          </cell>
          <cell r="D317" t="str">
            <v>97-1-119</v>
          </cell>
          <cell r="E317" t="str">
            <v>또는 그 화합물과 비소화합물을 0.1% 이상 함유한 혼합물질</v>
          </cell>
          <cell r="F317">
            <v>0.1</v>
          </cell>
          <cell r="G317" t="str">
            <v>- 열원, 산화제 및 강산화제와 격리하여 저장할 것
- 서늘하고 통풍이 잘되는 곳에 밀폐 보관할 것
- 저장용기는 물리적인 손상에 견딜 수 있어야 할 것
- 금속비소는 산화하기 쉬우므로 진공 또는 불활성가스 중에 보관(③ Arsenic)할 것
- 사고발생에 대비하여 눈이나 몸을 씻을 수 있는 세안시설과 샤워시설이 이용 가능한 장소에서 작업할 것
- 사용한 후 식사, 흡연, 화장실에 가기 전에 물과 비누로 손을 꼭 세척할 것
- 취급 또는 작업 시는 통풍이 잘되는 후드에서 행하고 불 침투성 바닥, 독성 흄 응축장치, 분말제거장치를 갖출 것
- 호흡보호구, 전면보호구, 내산성장갑, 고효율의 입자필터가 장착된 안면보호구, 보안경을 반드시 사용할 것
- 콘택트렌즈를 착용 금지할 것
- 국소배기장치 가동할 것
- 화재 시 산화비소(Ⅲ) 증기가 방출되어 심한 용혈작용을 유발하므로 주의(③Arsenic)할 것</v>
          </cell>
        </row>
        <row r="318">
          <cell r="B318" t="str">
            <v>12255-08-2</v>
          </cell>
          <cell r="C318" t="str">
            <v>비소화합물질</v>
          </cell>
          <cell r="D318" t="str">
            <v>97-1-119</v>
          </cell>
          <cell r="E318" t="str">
            <v>또는 그 화합물과 비소화합물을 0.1% 이상 함유한 혼합물질</v>
          </cell>
          <cell r="F318">
            <v>0.1</v>
          </cell>
          <cell r="G318" t="str">
            <v>- 열원, 산화제 및 강산화제와 격리하여 저장할 것
- 서늘하고 통풍이 잘되는 곳에 밀폐 보관할 것
- 저장용기는 물리적인 손상에 견딜 수 있어야 할 것
- 금속비소는 산화하기 쉬우므로 진공 또는 불활성가스 중에 보관(③ Arsenic)할 것
- 사고발생에 대비하여 눈이나 몸을 씻을 수 있는 세안시설과 샤워시설이 이용 가능한 장소에서 작업할 것
- 사용한 후 식사, 흡연, 화장실에 가기 전에 물과 비누로 손을 꼭 세척할 것
- 취급 또는 작업 시는 통풍이 잘되는 후드에서 행하고 불 침투성 바닥, 독성 흄 응축장치, 분말제거장치를 갖출 것
- 호흡보호구, 전면보호구, 내산성장갑, 고효율의 입자필터가 장착된 안면보호구, 보안경을 반드시 사용할 것
- 콘택트렌즈를 착용 금지할 것
- 국소배기장치 가동할 것
- 화재 시 산화비소(Ⅲ) 증기가 방출되어 심한 용혈작용을 유발하므로 주의(③Arsenic)할 것</v>
          </cell>
        </row>
        <row r="319">
          <cell r="B319" t="str">
            <v>12255-09-3</v>
          </cell>
          <cell r="C319" t="str">
            <v>비소화합물질</v>
          </cell>
          <cell r="D319" t="str">
            <v>97-1-119</v>
          </cell>
          <cell r="E319" t="str">
            <v>또는 그 화합물과 비소화합물을 0.1% 이상 함유한 혼합물질</v>
          </cell>
          <cell r="F319">
            <v>0.1</v>
          </cell>
          <cell r="G319" t="str">
            <v>- 열원, 산화제 및 강산화제와 격리하여 저장할 것
- 서늘하고 통풍이 잘되는 곳에 밀폐 보관할 것
- 저장용기는 물리적인 손상에 견딜 수 있어야 할 것
- 금속비소는 산화하기 쉬우므로 진공 또는 불활성가스 중에 보관(③ Arsenic)할 것
- 사고발생에 대비하여 눈이나 몸을 씻을 수 있는 세안시설과 샤워시설이 이용 가능한 장소에서 작업할 것
- 사용한 후 식사, 흡연, 화장실에 가기 전에 물과 비누로 손을 꼭 세척할 것
- 취급 또는 작업 시는 통풍이 잘되는 후드에서 행하고 불 침투성 바닥, 독성 흄 응축장치, 분말제거장치를 갖출 것
- 호흡보호구, 전면보호구, 내산성장갑, 고효율의 입자필터가 장착된 안면보호구, 보안경을 반드시 사용할 것
- 콘택트렌즈를 착용 금지할 것
- 국소배기장치 가동할 것
- 화재 시 산화비소(Ⅲ) 증기가 방출되어 심한 용혈작용을 유발하므로 주의(③Arsenic)할 것</v>
          </cell>
        </row>
        <row r="320">
          <cell r="B320" t="str">
            <v>12255-36-6</v>
          </cell>
          <cell r="C320" t="str">
            <v>트리안티몬비소</v>
          </cell>
          <cell r="D320" t="str">
            <v>97-1-119</v>
          </cell>
          <cell r="E320" t="str">
            <v>또는 그 화합물과 비소화합물을 0.1% 이상 함유한 혼합물질</v>
          </cell>
          <cell r="F320">
            <v>0.1</v>
          </cell>
          <cell r="G320" t="str">
            <v>- 열원, 산화제 및 강산화제와 격리하여 저장할 것
- 서늘하고 통풍이 잘되는 곳에 밀폐 보관할 것
- 저장용기는 물리적인 손상에 견딜 수 있어야 할 것
- 금속비소는 산화하기 쉬우므로 진공 또는 불활성가스 중에 보관(③ Arsenic)할 것
- 사고발생에 대비하여 눈이나 몸을 씻을 수 있는 세안시설과 샤워시설이 이용 가능한 장소에서 작업할 것
- 사용한 후 식사, 흡연, 화장실에 가기 전에 물과 비누로 손을 꼭 세척할 것
- 취급 또는 작업 시는 통풍이 잘되는 후드에서 행하고 불 침투성 바닥, 독성 흄 응축장치, 분말제거장치를 갖출 것
- 호흡보호구, 전면보호구, 내산성장갑, 고효율의 입자필터가 장착된 안면보호구, 보안경을 반드시 사용할 것
- 콘택트렌즈를 착용 금지할 것
- 국소배기장치 가동할 것
- 화재 시 산화비소(Ⅲ) 증기가 방출되어 심한 용혈작용을 유발하므로 주의(③Arsenic)할 것</v>
          </cell>
        </row>
        <row r="321">
          <cell r="B321" t="str">
            <v>12255-39-9</v>
          </cell>
          <cell r="C321" t="str">
            <v>비소화합물질</v>
          </cell>
          <cell r="D321" t="str">
            <v>97-1-119</v>
          </cell>
          <cell r="E321" t="str">
            <v>또는 그 화합물과 비소화합물을 0.1% 이상 함유한 혼합물질</v>
          </cell>
          <cell r="F321">
            <v>0.1</v>
          </cell>
          <cell r="G321" t="str">
            <v>- 열원, 산화제 및 강산화제와 격리하여 저장할 것
- 서늘하고 통풍이 잘되는 곳에 밀폐 보관할 것
- 저장용기는 물리적인 손상에 견딜 수 있어야 할 것
- 금속비소는 산화하기 쉬우므로 진공 또는 불활성가스 중에 보관(③ Arsenic)할 것
- 사고발생에 대비하여 눈이나 몸을 씻을 수 있는 세안시설과 샤워시설이 이용 가능한 장소에서 작업할 것
- 사용한 후 식사, 흡연, 화장실에 가기 전에 물과 비누로 손을 꼭 세척할 것
- 취급 또는 작업 시는 통풍이 잘되는 후드에서 행하고 불 침투성 바닥, 독성 흄 응축장치, 분말제거장치를 갖출 것
- 호흡보호구, 전면보호구, 내산성장갑, 고효율의 입자필터가 장착된 안면보호구, 보안경을 반드시 사용할 것
- 콘택트렌즈를 착용 금지할 것
- 국소배기장치 가동할 것
- 화재 시 산화비소(Ⅲ) 증기가 방출되어 심한 용혈작용을 유발하므로 주의(③Arsenic)할 것</v>
          </cell>
        </row>
        <row r="322">
          <cell r="B322" t="str">
            <v>12255-48-0</v>
          </cell>
          <cell r="C322" t="str">
            <v>비소화합물질</v>
          </cell>
          <cell r="D322" t="str">
            <v>97-1-119</v>
          </cell>
          <cell r="E322" t="str">
            <v>또는 그 화합물과 비소화합물을 0.1% 이상 함유한 혼합물질</v>
          </cell>
          <cell r="F322">
            <v>0.1</v>
          </cell>
          <cell r="G322" t="str">
            <v>- 열원, 산화제 및 강산화제와 격리하여 저장할 것
- 서늘하고 통풍이 잘되는 곳에 밀폐 보관할 것
- 저장용기는 물리적인 손상에 견딜 수 있어야 할 것
- 금속비소는 산화하기 쉬우므로 진공 또는 불활성가스 중에 보관(③ Arsenic)할 것
- 사고발생에 대비하여 눈이나 몸을 씻을 수 있는 세안시설과 샤워시설이 이용 가능한 장소에서 작업할 것
- 사용한 후 식사, 흡연, 화장실에 가기 전에 물과 비누로 손을 꼭 세척할 것
- 취급 또는 작업 시는 통풍이 잘되는 후드에서 행하고 불 침투성 바닥, 독성 흄 응축장치, 분말제거장치를 갖출 것
- 호흡보호구, 전면보호구, 내산성장갑, 고효율의 입자필터가 장착된 안면보호구, 보안경을 반드시 사용할 것
- 콘택트렌즈를 착용 금지할 것
- 국소배기장치 가동할 것
- 화재 시 산화비소(Ⅲ) 증기가 방출되어 심한 용혈작용을 유발하므로 주의(③Arsenic)할 것</v>
          </cell>
        </row>
        <row r="323">
          <cell r="B323" t="str">
            <v>12255-50-4</v>
          </cell>
          <cell r="C323" t="str">
            <v>비소화합물질</v>
          </cell>
          <cell r="D323" t="str">
            <v>97-1-119</v>
          </cell>
          <cell r="E323" t="str">
            <v>또는 그 화합물과 비소화합물을 0.1% 이상 함유한 혼합물질</v>
          </cell>
          <cell r="F323">
            <v>0.1</v>
          </cell>
          <cell r="G323" t="str">
            <v>- 열원, 산화제 및 강산화제와 격리하여 저장할 것
- 서늘하고 통풍이 잘되는 곳에 밀폐 보관할 것
- 저장용기는 물리적인 손상에 견딜 수 있어야 할 것
- 금속비소는 산화하기 쉬우므로 진공 또는 불활성가스 중에 보관(③ Arsenic)할 것
- 사고발생에 대비하여 눈이나 몸을 씻을 수 있는 세안시설과 샤워시설이 이용 가능한 장소에서 작업할 것
- 사용한 후 식사, 흡연, 화장실에 가기 전에 물과 비누로 손을 꼭 세척할 것
- 취급 또는 작업 시는 통풍이 잘되는 후드에서 행하고 불 침투성 바닥, 독성 흄 응축장치, 분말제거장치를 갖출 것
- 호흡보호구, 전면보호구, 내산성장갑, 고효율의 입자필터가 장착된 안면보호구, 보안경을 반드시 사용할 것
- 콘택트렌즈를 착용 금지할 것
- 국소배기장치 가동할 것
- 화재 시 산화비소(Ⅲ) 증기가 방출되어 심한 용혈작용을 유발하므로 주의(③Arsenic)할 것</v>
          </cell>
        </row>
        <row r="324">
          <cell r="B324" t="str">
            <v>12255-53-7</v>
          </cell>
          <cell r="C324" t="str">
            <v>비소화합물질</v>
          </cell>
          <cell r="D324" t="str">
            <v>97-1-119</v>
          </cell>
          <cell r="E324" t="str">
            <v>또는 그 화합물과 비소화합물을 0.1% 이상 함유한 혼합물질</v>
          </cell>
          <cell r="F324">
            <v>0.1</v>
          </cell>
          <cell r="G324" t="str">
            <v>- 열원, 산화제 및 강산화제와 격리하여 저장할 것
- 서늘하고 통풍이 잘되는 곳에 밀폐 보관할 것
- 저장용기는 물리적인 손상에 견딜 수 있어야 할 것
- 금속비소는 산화하기 쉬우므로 진공 또는 불활성가스 중에 보관(③ Arsenic)할 것
- 사고발생에 대비하여 눈이나 몸을 씻을 수 있는 세안시설과 샤워시설이 이용 가능한 장소에서 작업할 것
- 사용한 후 식사, 흡연, 화장실에 가기 전에 물과 비누로 손을 꼭 세척할 것
- 취급 또는 작업 시는 통풍이 잘되는 후드에서 행하고 불 침투성 바닥, 독성 흄 응축장치, 분말제거장치를 갖출 것
- 호흡보호구, 전면보호구, 내산성장갑, 고효율의 입자필터가 장착된 안면보호구, 보안경을 반드시 사용할 것
- 콘택트렌즈를 착용 금지할 것
- 국소배기장치 가동할 것
- 화재 시 산화비소(Ⅲ) 증기가 방출되어 심한 용혈작용을 유발하므로 주의(③Arsenic)할 것</v>
          </cell>
        </row>
        <row r="325">
          <cell r="B325" t="str">
            <v>12256-04-1</v>
          </cell>
          <cell r="C325" t="str">
            <v>비소화합물질</v>
          </cell>
          <cell r="D325" t="str">
            <v>97-1-119</v>
          </cell>
          <cell r="E325" t="str">
            <v>또는 그 화합물과 비소화합물을 0.1% 이상 함유한 혼합물질</v>
          </cell>
          <cell r="F325">
            <v>0.1</v>
          </cell>
          <cell r="G325" t="str">
            <v>- 열원, 산화제 및 강산화제와 격리하여 저장할 것
- 서늘하고 통풍이 잘되는 곳에 밀폐 보관할 것
- 저장용기는 물리적인 손상에 견딜 수 있어야 할 것
- 금속비소는 산화하기 쉬우므로 진공 또는 불활성가스 중에 보관(③ Arsenic)할 것
- 사고발생에 대비하여 눈이나 몸을 씻을 수 있는 세안시설과 샤워시설이 이용 가능한 장소에서 작업할 것
- 사용한 후 식사, 흡연, 화장실에 가기 전에 물과 비누로 손을 꼭 세척할 것
- 취급 또는 작업 시는 통풍이 잘되는 후드에서 행하고 불 침투성 바닥, 독성 흄 응축장치, 분말제거장치를 갖출 것
- 호흡보호구, 전면보호구, 내산성장갑, 고효율의 입자필터가 장착된 안면보호구, 보안경을 반드시 사용할 것
- 콘택트렌즈를 착용 금지할 것
- 국소배기장치 가동할 것
- 화재 시 산화비소(Ⅲ) 증기가 방출되어 심한 용혈작용을 유발하므로 주의(③Arsenic)할 것</v>
          </cell>
        </row>
        <row r="326">
          <cell r="B326" t="str">
            <v>12271-72-6</v>
          </cell>
          <cell r="C326" t="str">
            <v>비소화합물질</v>
          </cell>
          <cell r="D326" t="str">
            <v>97-1-119</v>
          </cell>
          <cell r="E326" t="str">
            <v>또는 그 화합물과 비소화합물을 0.1% 이상 함유한 혼합물질</v>
          </cell>
          <cell r="F326">
            <v>0.1</v>
          </cell>
          <cell r="G326" t="str">
            <v>- 열원, 산화제 및 강산화제와 격리하여 저장할 것
- 서늘하고 통풍이 잘되는 곳에 밀폐 보관할 것
- 저장용기는 물리적인 손상에 견딜 수 있어야 할 것
- 금속비소는 산화하기 쉬우므로 진공 또는 불활성가스 중에 보관(③ Arsenic)할 것
- 사고발생에 대비하여 눈이나 몸을 씻을 수 있는 세안시설과 샤워시설이 이용 가능한 장소에서 작업할 것
- 사용한 후 식사, 흡연, 화장실에 가기 전에 물과 비누로 손을 꼭 세척할 것
- 취급 또는 작업 시는 통풍이 잘되는 후드에서 행하고 불 침투성 바닥, 독성 흄 응축장치, 분말제거장치를 갖출 것
- 호흡보호구, 전면보호구, 내산성장갑, 고효율의 입자필터가 장착된 안면보호구, 보안경을 반드시 사용할 것
- 콘택트렌즈를 착용 금지할 것
- 국소배기장치 가동할 것
- 화재 시 산화비소(Ⅲ) 증기가 방출되어 심한 용혈작용을 유발하므로 주의(③Arsenic)할 것</v>
          </cell>
        </row>
        <row r="327">
          <cell r="B327" t="str">
            <v>12344-68-2</v>
          </cell>
          <cell r="C327" t="str">
            <v>비소화합물질</v>
          </cell>
          <cell r="D327" t="str">
            <v>97-1-119</v>
          </cell>
          <cell r="E327" t="str">
            <v>또는 그 화합물과 비소화합물을 0.1% 이상 함유한 혼합물질</v>
          </cell>
          <cell r="F327">
            <v>0.1</v>
          </cell>
          <cell r="G327" t="str">
            <v>- 열원, 산화제 및 강산화제와 격리하여 저장할 것
- 서늘하고 통풍이 잘되는 곳에 밀폐 보관할 것
- 저장용기는 물리적인 손상에 견딜 수 있어야 할 것
- 금속비소는 산화하기 쉬우므로 진공 또는 불활성가스 중에 보관(③ Arsenic)할 것
- 사고발생에 대비하여 눈이나 몸을 씻을 수 있는 세안시설과 샤워시설이 이용 가능한 장소에서 작업할 것
- 사용한 후 식사, 흡연, 화장실에 가기 전에 물과 비누로 손을 꼭 세척할 것
- 취급 또는 작업 시는 통풍이 잘되는 후드에서 행하고 불 침투성 바닥, 독성 흄 응축장치, 분말제거장치를 갖출 것
- 호흡보호구, 전면보호구, 내산성장갑, 고효율의 입자필터가 장착된 안면보호구, 보안경을 반드시 사용할 것
- 콘택트렌즈를 착용 금지할 것
- 국소배기장치 가동할 것
- 화재 시 산화비소(Ⅲ) 증기가 방출되어 심한 용혈작용을 유발하므로 주의(③Arsenic)할 것</v>
          </cell>
        </row>
        <row r="328">
          <cell r="B328" t="str">
            <v>124-58-3</v>
          </cell>
          <cell r="D328" t="str">
            <v>97-1-119</v>
          </cell>
          <cell r="E328" t="str">
            <v>또는 그 화합물과 비소화합물을 0.1% 이상 함유한 혼합물질</v>
          </cell>
          <cell r="F328">
            <v>0.1</v>
          </cell>
          <cell r="G328" t="str">
            <v>- 열원, 산화제 및 강산화제와 격리하여 저장할 것
- 서늘하고 통풍이 잘되는 곳에 밀폐 보관할 것
- 저장용기는 물리적인 손상에 견딜 수 있어야 할 것
- 금속비소는 산화하기 쉬우므로 진공 또는 불활성가스 중에 보관(③ Arsenic)할 것
- 사고발생에 대비하여 눈이나 몸을 씻을 수 있는 세안시설과 샤워시설이 이용 가능한 장소에서 작업할 것
- 사용한 후 식사, 흡연, 화장실에 가기 전에 물과 비누로 손을 꼭 세척할 것
- 취급 또는 작업 시는 통풍이 잘되는 후드에서 행하고 불 침투성 바닥, 독성 흄 응축장치, 분말제거장치를 갖출 것
- 호흡보호구, 전면보호구, 내산성장갑, 고효율의 입자필터가 장착된 안면보호구, 보안경을 반드시 사용할 것
- 콘택트렌즈를 착용 금지할 것
- 국소배기장치 가동할 것
- 화재 시 산화비소(Ⅲ) 증기가 방출되어 심한 용혈작용을 유발하므로 주의(③Arsenic)할 것</v>
          </cell>
        </row>
        <row r="329">
          <cell r="B329" t="str">
            <v>12417-99-1</v>
          </cell>
          <cell r="C329" t="str">
            <v>비소화합물질</v>
          </cell>
          <cell r="D329" t="str">
            <v>97-1-119</v>
          </cell>
          <cell r="E329" t="str">
            <v>또는 그 화합물과 비소화합물을 0.1% 이상 함유한 혼합물질</v>
          </cell>
          <cell r="F329">
            <v>0.1</v>
          </cell>
          <cell r="G329" t="str">
            <v>- 열원, 산화제 및 강산화제와 격리하여 저장할 것
- 서늘하고 통풍이 잘되는 곳에 밀폐 보관할 것
- 저장용기는 물리적인 손상에 견딜 수 있어야 할 것
- 금속비소는 산화하기 쉬우므로 진공 또는 불활성가스 중에 보관(③ Arsenic)할 것
- 사고발생에 대비하여 눈이나 몸을 씻을 수 있는 세안시설과 샤워시설이 이용 가능한 장소에서 작업할 것
- 사용한 후 식사, 흡연, 화장실에 가기 전에 물과 비누로 손을 꼭 세척할 것
- 취급 또는 작업 시는 통풍이 잘되는 후드에서 행하고 불 침투성 바닥, 독성 흄 응축장치, 분말제거장치를 갖출 것
- 호흡보호구, 전면보호구, 내산성장갑, 고효율의 입자필터가 장착된 안면보호구, 보안경을 반드시 사용할 것
- 콘택트렌즈를 착용 금지할 것
- 국소배기장치 가동할 것
- 화재 시 산화비소(Ⅲ) 증기가 방출되어 심한 용혈작용을 유발하므로 주의(③Arsenic)할 것</v>
          </cell>
        </row>
        <row r="330">
          <cell r="B330" t="str">
            <v>1303-00-0</v>
          </cell>
          <cell r="C330" t="str">
            <v>갈륨아르세니드</v>
          </cell>
          <cell r="D330" t="str">
            <v>97-1-119</v>
          </cell>
          <cell r="E330" t="str">
            <v>또는 그 화합물과 비소화합물을 0.1% 이상 함유한 혼합물질</v>
          </cell>
          <cell r="F330">
            <v>0.1</v>
          </cell>
          <cell r="G330" t="str">
            <v>- 열원, 산화제 및 강산화제와 격리하여 저장할 것
- 서늘하고 통풍이 잘되는 곳에 밀폐 보관할 것
- 저장용기는 물리적인 손상에 견딜 수 있어야 할 것
- 금속비소는 산화하기 쉬우므로 진공 또는 불활성가스 중에 보관(③ Arsenic)할 것
- 사고발생에 대비하여 눈이나 몸을 씻을 수 있는 세안시설과 샤워시설이 이용 가능한 장소에서 작업할 것
- 사용한 후 식사, 흡연, 화장실에 가기 전에 물과 비누로 손을 꼭 세척할 것
- 취급 또는 작업 시는 통풍이 잘되는 후드에서 행하고 불 침투성 바닥, 독성 흄 응축장치, 분말제거장치를 갖출 것
- 호흡보호구, 전면보호구, 내산성장갑, 고효율의 입자필터가 장착된 안면보호구, 보안경을 반드시 사용할 것
- 콘택트렌즈를 착용 금지할 것
- 국소배기장치 가동할 것
- 화재 시 산화비소(Ⅲ) 증기가 방출되어 심한 용혈작용을 유발하므로 주의(③Arsenic)할 것</v>
          </cell>
        </row>
        <row r="331">
          <cell r="B331" t="str">
            <v>1303-28-2</v>
          </cell>
          <cell r="C331" t="str">
            <v>오산화 비소</v>
          </cell>
          <cell r="D331" t="str">
            <v>97-1-119</v>
          </cell>
          <cell r="E331" t="str">
            <v>또는 그 화합물과 비소화합물을 0.1% 이상 함유한 혼합물질</v>
          </cell>
          <cell r="F331">
            <v>0.1</v>
          </cell>
          <cell r="G331" t="str">
            <v>- 열원, 산화제 및 강산화제와 격리하여 저장할 것
- 서늘하고 통풍이 잘되는 곳에 밀폐 보관할 것
- 저장용기는 물리적인 손상에 견딜 수 있어야 할 것
- 금속비소는 산화하기 쉬우므로 진공 또는 불활성가스 중에 보관(③ Arsenic)할 것
- 사고발생에 대비하여 눈이나 몸을 씻을 수 있는 세안시설과 샤워시설이 이용 가능한 장소에서 작업할 것
- 사용한 후 식사, 흡연, 화장실에 가기 전에 물과 비누로 손을 꼭 세척할 것
- 취급 또는 작업 시는 통풍이 잘되는 후드에서 행하고 불 침투성 바닥, 독성 흄 응축장치, 분말제거장치를 갖출 것
- 호흡보호구, 전면보호구, 내산성장갑, 고효율의 입자필터가 장착된 안면보호구, 보안경을 반드시 사용할 것
- 콘택트렌즈를 착용 금지할 것
- 국소배기장치 가동할 것
- 화재 시 산화비소(Ⅲ) 증기가 방출되어 심한 용혈작용을 유발하므로 주의(③Arsenic)할 것</v>
          </cell>
        </row>
        <row r="332">
          <cell r="B332" t="str">
            <v>1303-33-9</v>
          </cell>
          <cell r="C332" t="str">
            <v>삼황화비소</v>
          </cell>
          <cell r="D332" t="str">
            <v>97-1-119</v>
          </cell>
          <cell r="E332" t="str">
            <v>또는 그 화합물과 비소화합물을 0.1% 이상 함유한 혼합물질</v>
          </cell>
          <cell r="F332">
            <v>0.1</v>
          </cell>
          <cell r="G332" t="str">
            <v>- 열원, 산화제 및 강산화제와 격리하여 저장할 것
- 서늘하고 통풍이 잘되는 곳에 밀폐 보관할 것
- 저장용기는 물리적인 손상에 견딜 수 있어야 할 것
- 금속비소는 산화하기 쉬우므로 진공 또는 불활성가스 중에 보관(③ Arsenic)할 것
- 사고발생에 대비하여 눈이나 몸을 씻을 수 있는 세안시설과 샤워시설이 이용 가능한 장소에서 작업할 것
- 사용한 후 식사, 흡연, 화장실에 가기 전에 물과 비누로 손을 꼭 세척할 것
- 취급 또는 작업 시는 통풍이 잘되는 후드에서 행하고 불 침투성 바닥, 독성 흄 응축장치, 분말제거장치를 갖출 것
- 호흡보호구, 전면보호구, 내산성장갑, 고효율의 입자필터가 장착된 안면보호구, 보안경을 반드시 사용할 것
- 콘택트렌즈를 착용 금지할 것
- 국소배기장치 가동할 것
- 화재 시 산화비소(Ⅲ) 증기가 방출되어 심한 용혈작용을 유발하므로 주의(③Arsenic)할 것</v>
          </cell>
        </row>
        <row r="333">
          <cell r="B333" t="str">
            <v>1303-36-2</v>
          </cell>
          <cell r="C333" t="str">
            <v>비소셀레늄화합물</v>
          </cell>
          <cell r="D333" t="str">
            <v>97-1-119</v>
          </cell>
          <cell r="E333" t="str">
            <v>또는 그 화합물과 비소화합물을 0.1% 이상 함유한 혼합물질</v>
          </cell>
          <cell r="F333">
            <v>0.1</v>
          </cell>
          <cell r="G333" t="str">
            <v>- 열원, 산화제 및 강산화제와 격리하여 저장할 것
- 서늘하고 통풍이 잘되는 곳에 밀폐 보관할 것
- 저장용기는 물리적인 손상에 견딜 수 있어야 할 것
- 금속비소는 산화하기 쉬우므로 진공 또는 불활성가스 중에 보관(③ Arsenic)할 것
- 사고발생에 대비하여 눈이나 몸을 씻을 수 있는 세안시설과 샤워시설이 이용 가능한 장소에서 작업할 것
- 사용한 후 식사, 흡연, 화장실에 가기 전에 물과 비누로 손을 꼭 세척할 것
- 취급 또는 작업 시는 통풍이 잘되는 후드에서 행하고 불 침투성 바닥, 독성 흄 응축장치, 분말제거장치를 갖출 것
- 호흡보호구, 전면보호구, 내산성장갑, 고효율의 입자필터가 장착된 안면보호구, 보안경을 반드시 사용할 것
- 콘택트렌즈를 착용 금지할 것
- 국소배기장치 가동할 것
- 화재 시 산화비소(Ⅲ) 증기가 방출되어 심한 용혈작용을 유발하므로 주의(③Arsenic)할 것</v>
          </cell>
        </row>
        <row r="334">
          <cell r="B334" t="str">
            <v>1327-53-3</v>
          </cell>
          <cell r="C334" t="str">
            <v>삼산화비소</v>
          </cell>
          <cell r="D334" t="str">
            <v>97-1-119</v>
          </cell>
          <cell r="E334" t="str">
            <v>또는 그 화합물과 비소화합물을 0.1% 이상 함유한 혼합물질</v>
          </cell>
          <cell r="F334">
            <v>0.1</v>
          </cell>
          <cell r="G334" t="str">
            <v>- 열원, 산화제 및 강산화제와 격리하여 저장할 것
- 서늘하고 통풍이 잘되는 곳에 밀폐 보관할 것
- 저장용기는 물리적인 손상에 견딜 수 있어야 할 것
- 금속비소는 산화하기 쉬우므로 진공 또는 불활성가스 중에 보관(③ Arsenic)할 것
- 사고발생에 대비하여 눈이나 몸을 씻을 수 있는 세안시설과 샤워시설이 이용 가능한 장소에서 작업할 것
- 사용한 후 식사, 흡연, 화장실에 가기 전에 물과 비누로 손을 꼭 세척할 것
- 취급 또는 작업 시는 통풍이 잘되는 후드에서 행하고 불 침투성 바닥, 독성 흄 응축장치, 분말제거장치를 갖출 것
- 호흡보호구, 전면보호구, 내산성장갑, 고효율의 입자필터가 장착된 안면보호구, 보안경을 반드시 사용할 것
- 콘택트렌즈를 착용 금지할 것
- 국소배기장치 가동할 것
- 화재 시 산화비소(Ⅲ) 증기가 방출되어 심한 용혈작용을 유발하므로 주의(③Arsenic)할 것</v>
          </cell>
        </row>
        <row r="335">
          <cell r="B335" t="str">
            <v>13453-15-1</v>
          </cell>
          <cell r="C335" t="str">
            <v>비소화합물질</v>
          </cell>
          <cell r="D335" t="str">
            <v>97-1-119</v>
          </cell>
          <cell r="E335" t="str">
            <v>또는 그 화합물과 비소화합물을 0.1% 이상 함유한 혼합물질</v>
          </cell>
          <cell r="F335">
            <v>0.1</v>
          </cell>
          <cell r="G335" t="str">
            <v>- 열원, 산화제 및 강산화제와 격리하여 저장할 것
- 서늘하고 통풍이 잘되는 곳에 밀폐 보관할 것
- 저장용기는 물리적인 손상에 견딜 수 있어야 할 것
- 금속비소는 산화하기 쉬우므로 진공 또는 불활성가스 중에 보관(③ Arsenic)할 것
- 사고발생에 대비하여 눈이나 몸을 씻을 수 있는 세안시설과 샤워시설이 이용 가능한 장소에서 작업할 것
- 사용한 후 식사, 흡연, 화장실에 가기 전에 물과 비누로 손을 꼭 세척할 것
- 취급 또는 작업 시는 통풍이 잘되는 후드에서 행하고 불 침투성 바닥, 독성 흄 응축장치, 분말제거장치를 갖출 것
- 호흡보호구, 전면보호구, 내산성장갑, 고효율의 입자필터가 장착된 안면보호구, 보안경을 반드시 사용할 것
- 콘택트렌즈를 착용 금지할 것
- 국소배기장치 가동할 것
- 화재 시 산화비소(Ⅲ) 증기가 방출되어 심한 용혈작용을 유발하므로 주의(③Arsenic)할 것</v>
          </cell>
        </row>
        <row r="336">
          <cell r="B336" t="str">
            <v>13462-93-6</v>
          </cell>
          <cell r="C336" t="str">
            <v>비소화합물질</v>
          </cell>
          <cell r="D336" t="str">
            <v>97-1-119</v>
          </cell>
          <cell r="E336" t="str">
            <v>또는 그 화합물과 비소화합물을 0.1% 이상 함유한 혼합물질</v>
          </cell>
          <cell r="F336">
            <v>0.1</v>
          </cell>
          <cell r="G336" t="str">
            <v>- 열원, 산화제 및 강산화제와 격리하여 저장할 것
- 서늘하고 통풍이 잘되는 곳에 밀폐 보관할 것
- 저장용기는 물리적인 손상에 견딜 수 있어야 할 것
- 금속비소는 산화하기 쉬우므로 진공 또는 불활성가스 중에 보관(③ Arsenic)할 것
- 사고발생에 대비하여 눈이나 몸을 씻을 수 있는 세안시설과 샤워시설이 이용 가능한 장소에서 작업할 것
- 사용한 후 식사, 흡연, 화장실에 가기 전에 물과 비누로 손을 꼭 세척할 것
- 취급 또는 작업 시는 통풍이 잘되는 후드에서 행하고 불 침투성 바닥, 독성 흄 응축장치, 분말제거장치를 갖출 것
- 호흡보호구, 전면보호구, 내산성장갑, 고효율의 입자필터가 장착된 안면보호구, 보안경을 반드시 사용할 것
- 콘택트렌즈를 착용 금지할 것
- 국소배기장치 가동할 것
- 화재 시 산화비소(Ⅲ) 증기가 방출되어 심한 용혈작용을 유발하므로 주의(③Arsenic)할 것</v>
          </cell>
        </row>
        <row r="337">
          <cell r="B337" t="str">
            <v>13464-35-2</v>
          </cell>
          <cell r="C337" t="str">
            <v>아비산칼륨</v>
          </cell>
          <cell r="D337" t="str">
            <v>97-1-119</v>
          </cell>
          <cell r="E337" t="str">
            <v>또는 그 화합물과 비소화합물을 0.1% 이상 함유한 혼합물질</v>
          </cell>
          <cell r="F337">
            <v>0.1</v>
          </cell>
          <cell r="G337" t="str">
            <v>- 열원, 산화제 및 강산화제와 격리하여 저장할 것
- 서늘하고 통풍이 잘되는 곳에 밀폐 보관할 것
- 저장용기는 물리적인 손상에 견딜 수 있어야 할 것
- 금속비소는 산화하기 쉬우므로 진공 또는 불활성가스 중에 보관(③ Arsenic)할 것
- 사고발생에 대비하여 눈이나 몸을 씻을 수 있는 세안시설과 샤워시설이 이용 가능한 장소에서 작업할 것
- 사용한 후 식사, 흡연, 화장실에 가기 전에 물과 비누로 손을 꼭 세척할 것
- 취급 또는 작업 시는 통풍이 잘되는 후드에서 행하고 불 침투성 바닥, 독성 흄 응축장치, 분말제거장치를 갖출 것
- 호흡보호구, 전면보호구, 내산성장갑, 고효율의 입자필터가 장착된 안면보호구, 보안경을 반드시 사용할 것
- 콘택트렌즈를 착용 금지할 것
- 국소배기장치 가동할 것
- 화재 시 산화비소(Ⅲ) 증기가 방출되어 심한 용혈작용을 유발하므로 주의(③Arsenic)할 것</v>
          </cell>
        </row>
        <row r="338">
          <cell r="B338" t="str">
            <v>13464-37-4</v>
          </cell>
          <cell r="C338" t="str">
            <v>삼수화비소트리나트륨</v>
          </cell>
          <cell r="D338" t="str">
            <v>97-1-119</v>
          </cell>
          <cell r="E338" t="str">
            <v>또는 그 화합물과 비소화합물을 0.1% 이상 함유한 혼합물질</v>
          </cell>
          <cell r="F338">
            <v>0.1</v>
          </cell>
          <cell r="G338" t="str">
            <v>- 열원, 산화제 및 강산화제와 격리하여 저장할 것
- 서늘하고 통풍이 잘되는 곳에 밀폐 보관할 것
- 저장용기는 물리적인 손상에 견딜 수 있어야 할 것
- 금속비소는 산화하기 쉬우므로 진공 또는 불활성가스 중에 보관(③ Arsenic)할 것
- 사고발생에 대비하여 눈이나 몸을 씻을 수 있는 세안시설과 샤워시설이 이용 가능한 장소에서 작업할 것
- 사용한 후 식사, 흡연, 화장실에 가기 전에 물과 비누로 손을 꼭 세척할 것
- 취급 또는 작업 시는 통풍이 잘되는 후드에서 행하고 불 침투성 바닥, 독성 흄 응축장치, 분말제거장치를 갖출 것
- 호흡보호구, 전면보호구, 내산성장갑, 고효율의 입자필터가 장착된 안면보호구, 보안경을 반드시 사용할 것
- 콘택트렌즈를 착용 금지할 것
- 국소배기장치 가동할 것
- 화재 시 산화비소(Ⅲ) 증기가 방출되어 심한 용혈작용을 유발하므로 주의(③Arsenic)할 것</v>
          </cell>
        </row>
        <row r="339">
          <cell r="B339" t="str">
            <v>13464-38-5</v>
          </cell>
          <cell r="C339" t="str">
            <v>비소화합물질</v>
          </cell>
          <cell r="D339" t="str">
            <v>97-1-119</v>
          </cell>
          <cell r="E339" t="str">
            <v>또는 그 화합물과 비소화합물을 0.1% 이상 함유한 혼합물질</v>
          </cell>
          <cell r="F339">
            <v>0.1</v>
          </cell>
          <cell r="G339" t="str">
            <v>- 열원, 산화제 및 강산화제와 격리하여 저장할 것
- 서늘하고 통풍이 잘되는 곳에 밀폐 보관할 것
- 저장용기는 물리적인 손상에 견딜 수 있어야 할 것
- 금속비소는 산화하기 쉬우므로 진공 또는 불활성가스 중에 보관(③ Arsenic)할 것
- 사고발생에 대비하여 눈이나 몸을 씻을 수 있는 세안시설과 샤워시설이 이용 가능한 장소에서 작업할 것
- 사용한 후 식사, 흡연, 화장실에 가기 전에 물과 비누로 손을 꼭 세척할 것
- 취급 또는 작업 시는 통풍이 잘되는 후드에서 행하고 불 침투성 바닥, 독성 흄 응축장치, 분말제거장치를 갖출 것
- 호흡보호구, 전면보호구, 내산성장갑, 고효율의 입자필터가 장착된 안면보호구, 보안경을 반드시 사용할 것
- 콘택트렌즈를 착용 금지할 것
- 국소배기장치 가동할 것
- 화재 시 산화비소(Ⅲ) 증기가 방출되어 심한 용혈작용을 유발하므로 주의(③Arsenic)할 것</v>
          </cell>
        </row>
        <row r="340">
          <cell r="B340" t="str">
            <v>13464-44-3</v>
          </cell>
          <cell r="C340" t="str">
            <v>비소화합물질</v>
          </cell>
          <cell r="D340" t="str">
            <v>97-1-119</v>
          </cell>
          <cell r="E340" t="str">
            <v>또는 그 화합물과 비소화합물을 0.1% 이상 함유한 혼합물질</v>
          </cell>
          <cell r="F340">
            <v>0.1</v>
          </cell>
          <cell r="G340" t="str">
            <v>- 열원, 산화제 및 강산화제와 격리하여 저장할 것
- 서늘하고 통풍이 잘되는 곳에 밀폐 보관할 것
- 저장용기는 물리적인 손상에 견딜 수 있어야 할 것
- 금속비소는 산화하기 쉬우므로 진공 또는 불활성가스 중에 보관(③ Arsenic)할 것
- 사고발생에 대비하여 눈이나 몸을 씻을 수 있는 세안시설과 샤워시설이 이용 가능한 장소에서 작업할 것
- 사용한 후 식사, 흡연, 화장실에 가기 전에 물과 비누로 손을 꼭 세척할 것
- 취급 또는 작업 시는 통풍이 잘되는 후드에서 행하고 불 침투성 바닥, 독성 흄 응축장치, 분말제거장치를 갖출 것
- 호흡보호구, 전면보호구, 내산성장갑, 고효율의 입자필터가 장착된 안면보호구, 보안경을 반드시 사용할 것
- 콘택트렌즈를 착용 금지할 것
- 국소배기장치 가동할 것
- 화재 시 산화비소(Ⅲ) 증기가 방출되어 심한 용혈작용을 유발하므로 주의(③Arsenic)할 것</v>
          </cell>
        </row>
        <row r="341">
          <cell r="B341" t="str">
            <v>13464-68-1</v>
          </cell>
          <cell r="C341" t="str">
            <v>비소화합물질</v>
          </cell>
          <cell r="D341" t="str">
            <v>97-1-119</v>
          </cell>
          <cell r="E341" t="str">
            <v>또는 그 화합물과 비소화합물을 0.1% 이상 함유한 혼합물질</v>
          </cell>
          <cell r="F341">
            <v>0.1</v>
          </cell>
          <cell r="G341" t="str">
            <v>- 열원, 산화제 및 강산화제와 격리하여 저장할 것
- 서늘하고 통풍이 잘되는 곳에 밀폐 보관할 것
- 저장용기는 물리적인 손상에 견딜 수 있어야 할 것
- 금속비소는 산화하기 쉬우므로 진공 또는 불활성가스 중에 보관(③ Arsenic)할 것
- 사고발생에 대비하여 눈이나 몸을 씻을 수 있는 세안시설과 샤워시설이 이용 가능한 장소에서 작업할 것
- 사용한 후 식사, 흡연, 화장실에 가기 전에 물과 비누로 손을 꼭 세척할 것
- 취급 또는 작업 시는 통풍이 잘되는 후드에서 행하고 불 침투성 바닥, 독성 흄 응축장치, 분말제거장치를 갖출 것
- 호흡보호구, 전면보호구, 내산성장갑, 고효율의 입자필터가 장착된 안면보호구, 보안경을 반드시 사용할 것
- 콘택트렌즈를 착용 금지할 것
- 국소배기장치 가동할 것
- 화재 시 산화비소(Ⅲ) 증기가 방출되어 심한 용혈작용을 유발하므로 주의(③Arsenic)할 것</v>
          </cell>
        </row>
        <row r="342">
          <cell r="B342" t="str">
            <v>13477-04-8</v>
          </cell>
          <cell r="C342" t="str">
            <v>비소화합물질</v>
          </cell>
          <cell r="D342" t="str">
            <v>97-1-119</v>
          </cell>
          <cell r="E342" t="str">
            <v>또는 그 화합물과 비소화합물을 0.1% 이상 함유한 혼합물질</v>
          </cell>
          <cell r="F342">
            <v>0.1</v>
          </cell>
          <cell r="G342" t="str">
            <v>- 열원, 산화제 및 강산화제와 격리하여 저장할 것
- 서늘하고 통풍이 잘되는 곳에 밀폐 보관할 것
- 저장용기는 물리적인 손상에 견딜 수 있어야 할 것
- 금속비소는 산화하기 쉬우므로 진공 또는 불활성가스 중에 보관(③ Arsenic)할 것
- 사고발생에 대비하여 눈이나 몸을 씻을 수 있는 세안시설과 샤워시설이 이용 가능한 장소에서 작업할 것
- 사용한 후 식사, 흡연, 화장실에 가기 전에 물과 비누로 손을 꼭 세척할 것
- 취급 또는 작업 시는 통풍이 잘되는 후드에서 행하고 불 침투성 바닥, 독성 흄 응축장치, 분말제거장치를 갖출 것
- 호흡보호구, 전면보호구, 내산성장갑, 고효율의 입자필터가 장착된 안면보호구, 보안경을 반드시 사용할 것
- 콘택트렌즈를 착용 금지할 것
- 국소배기장치 가동할 것
- 화재 시 산화비소(Ⅲ) 증기가 방출되어 심한 용혈작용을 유발하므로 주의(③Arsenic)할 것</v>
          </cell>
        </row>
        <row r="343">
          <cell r="B343" t="str">
            <v>13477-70-8</v>
          </cell>
          <cell r="C343" t="str">
            <v>비소화합물질</v>
          </cell>
          <cell r="D343" t="str">
            <v>97-1-119</v>
          </cell>
          <cell r="E343" t="str">
            <v>또는 그 화합물과 비소화합물을 0.1% 이상 함유한 혼합물질</v>
          </cell>
          <cell r="F343">
            <v>0.1</v>
          </cell>
          <cell r="G343" t="str">
            <v>- 열원, 산화제 및 강산화제와 격리하여 저장할 것
- 서늘하고 통풍이 잘되는 곳에 밀폐 보관할 것
- 저장용기는 물리적인 손상에 견딜 수 있어야 할 것
- 금속비소는 산화하기 쉬우므로 진공 또는 불활성가스 중에 보관(③ Arsenic)할 것
- 사고발생에 대비하여 눈이나 몸을 씻을 수 있는 세안시설과 샤워시설이 이용 가능한 장소에서 작업할 것
- 사용한 후 식사, 흡연, 화장실에 가기 전에 물과 비누로 손을 꼭 세척할 것
- 취급 또는 작업 시는 통풍이 잘되는 후드에서 행하고 불 침투성 바닥, 독성 흄 응축장치, 분말제거장치를 갖출 것
- 호흡보호구, 전면보호구, 내산성장갑, 고효율의 입자필터가 장착된 안면보호구, 보안경을 반드시 사용할 것
- 콘택트렌즈를 착용 금지할 것
- 국소배기장치 가동할 것
- 화재 시 산화비소(Ⅲ) 증기가 방출되어 심한 용혈작용을 유발하므로 주의(③Arsenic)할 것</v>
          </cell>
        </row>
        <row r="344">
          <cell r="B344" t="str">
            <v>13478-14-3</v>
          </cell>
          <cell r="C344" t="str">
            <v>비소화합물질</v>
          </cell>
          <cell r="D344" t="str">
            <v>97-1-119</v>
          </cell>
          <cell r="E344" t="str">
            <v>또는 그 화합물과 비소화합물을 0.1% 이상 함유한 혼합물질</v>
          </cell>
          <cell r="F344">
            <v>0.1</v>
          </cell>
          <cell r="G344" t="str">
            <v>- 열원, 산화제 및 강산화제와 격리하여 저장할 것
- 서늘하고 통풍이 잘되는 곳에 밀폐 보관할 것
- 저장용기는 물리적인 손상에 견딜 수 있어야 할 것
- 금속비소는 산화하기 쉬우므로 진공 또는 불활성가스 중에 보관(③ Arsenic)할 것
- 사고발생에 대비하여 눈이나 몸을 씻을 수 있는 세안시설과 샤워시설이 이용 가능한 장소에서 작업할 것
- 사용한 후 식사, 흡연, 화장실에 가기 전에 물과 비누로 손을 꼭 세척할 것
- 취급 또는 작업 시는 통풍이 잘되는 후드에서 행하고 불 침투성 바닥, 독성 흄 응축장치, 분말제거장치를 갖출 것
- 호흡보호구, 전면보호구, 내산성장갑, 고효율의 입자필터가 장착된 안면보호구, 보안경을 반드시 사용할 것
- 콘택트렌즈를 착용 금지할 것
- 국소배기장치 가동할 것
- 화재 시 산화비소(Ⅲ) 증기가 방출되어 심한 용혈작용을 유발하므로 주의(③Arsenic)할 것</v>
          </cell>
        </row>
        <row r="345">
          <cell r="B345" t="str">
            <v>13510-31-1</v>
          </cell>
          <cell r="C345" t="str">
            <v>비소화합물질</v>
          </cell>
          <cell r="D345" t="str">
            <v>97-1-119</v>
          </cell>
          <cell r="E345" t="str">
            <v>또는 그 화합물과 비소화합물을 0.1% 이상 함유한 혼합물질</v>
          </cell>
          <cell r="F345">
            <v>0.1</v>
          </cell>
          <cell r="G345" t="str">
            <v>- 열원, 산화제 및 강산화제와 격리하여 저장할 것
- 서늘하고 통풍이 잘되는 곳에 밀폐 보관할 것
- 저장용기는 물리적인 손상에 견딜 수 있어야 할 것
- 금속비소는 산화하기 쉬우므로 진공 또는 불활성가스 중에 보관(③ Arsenic)할 것
- 사고발생에 대비하여 눈이나 몸을 씻을 수 있는 세안시설과 샤워시설이 이용 가능한 장소에서 작업할 것
- 사용한 후 식사, 흡연, 화장실에 가기 전에 물과 비누로 손을 꼭 세척할 것
- 취급 또는 작업 시는 통풍이 잘되는 후드에서 행하고 불 침투성 바닥, 독성 흄 응축장치, 분말제거장치를 갖출 것
- 호흡보호구, 전면보호구, 내산성장갑, 고효율의 입자필터가 장착된 안면보호구, 보안경을 반드시 사용할 것
- 콘택트렌즈를 착용 금지할 것
- 국소배기장치 가동할 것
- 화재 시 산화비소(Ⅲ) 증기가 방출되어 심한 용혈작용을 유발하므로 주의(③Arsenic)할 것</v>
          </cell>
        </row>
        <row r="346">
          <cell r="B346" t="str">
            <v>13510-44-6</v>
          </cell>
          <cell r="C346" t="str">
            <v>비소화합물질</v>
          </cell>
          <cell r="D346" t="str">
            <v>97-1-119</v>
          </cell>
          <cell r="E346" t="str">
            <v>또는 그 화합물과 비소화합물을 0.1% 이상 함유한 혼합물질</v>
          </cell>
          <cell r="F346">
            <v>0.1</v>
          </cell>
          <cell r="G346" t="str">
            <v>- 열원, 산화제 및 강산화제와 격리하여 저장할 것
- 서늘하고 통풍이 잘되는 곳에 밀폐 보관할 것
- 저장용기는 물리적인 손상에 견딜 수 있어야 할 것
- 금속비소는 산화하기 쉬우므로 진공 또는 불활성가스 중에 보관(③ Arsenic)할 것
- 사고발생에 대비하여 눈이나 몸을 씻을 수 있는 세안시설과 샤워시설이 이용 가능한 장소에서 작업할 것
- 사용한 후 식사, 흡연, 화장실에 가기 전에 물과 비누로 손을 꼭 세척할 것
- 취급 또는 작업 시는 통풍이 잘되는 후드에서 행하고 불 침투성 바닥, 독성 흄 응축장치, 분말제거장치를 갖출 것
- 호흡보호구, 전면보호구, 내산성장갑, 고효율의 입자필터가 장착된 안면보호구, 보안경을 반드시 사용할 것
- 콘택트렌즈를 착용 금지할 것
- 국소배기장치 가동할 것
- 화재 시 산화비소(Ⅲ) 증기가 방출되어 심한 용혈작용을 유발하므로 주의(③Arsenic)할 것</v>
          </cell>
        </row>
        <row r="347">
          <cell r="B347" t="str">
            <v>144-21-8</v>
          </cell>
          <cell r="D347" t="str">
            <v>97-1-119</v>
          </cell>
          <cell r="E347" t="str">
            <v>또는 그 화합물과 비소화합물을 0.1% 이상 함유한 혼합물질</v>
          </cell>
          <cell r="F347">
            <v>0.1</v>
          </cell>
          <cell r="G347" t="str">
            <v>- 열원, 산화제 및 강산화제와 격리하여 저장할 것
- 서늘하고 통풍이 잘되는 곳에 밀폐 보관할 것
- 저장용기는 물리적인 손상에 견딜 수 있어야 할 것
- 금속비소는 산화하기 쉬우므로 진공 또는 불활성가스 중에 보관(③ Arsenic)할 것
- 사고발생에 대비하여 눈이나 몸을 씻을 수 있는 세안시설과 샤워시설이 이용 가능한 장소에서 작업할 것
- 사용한 후 식사, 흡연, 화장실에 가기 전에 물과 비누로 손을 꼭 세척할 것
- 취급 또는 작업 시는 통풍이 잘되는 후드에서 행하고 불 침투성 바닥, 독성 흄 응축장치, 분말제거장치를 갖출 것
- 호흡보호구, 전면보호구, 내산성장갑, 고효율의 입자필터가 장착된 안면보호구, 보안경을 반드시 사용할 것
- 콘택트렌즈를 착용 금지할 것
- 국소배기장치 가동할 것
- 화재 시 산화비소(Ⅲ) 증기가 방출되어 심한 용혈작용을 유발하므로 주의(③Arsenic)할 것</v>
          </cell>
        </row>
        <row r="348">
          <cell r="B348" t="str">
            <v>15120-17-9</v>
          </cell>
          <cell r="C348" t="str">
            <v>비소화합물질</v>
          </cell>
          <cell r="D348" t="str">
            <v>97-1-119</v>
          </cell>
          <cell r="E348" t="str">
            <v>또는 그 화합물과 비소화합물을 0.1% 이상 함유한 혼합물질</v>
          </cell>
          <cell r="F348">
            <v>0.1</v>
          </cell>
          <cell r="G348" t="str">
            <v>- 열원, 산화제 및 강산화제와 격리하여 저장할 것
- 서늘하고 통풍이 잘되는 곳에 밀폐 보관할 것
- 저장용기는 물리적인 손상에 견딜 수 있어야 할 것
- 금속비소는 산화하기 쉬우므로 진공 또는 불활성가스 중에 보관(③ Arsenic)할 것
- 사고발생에 대비하여 눈이나 몸을 씻을 수 있는 세안시설과 샤워시설이 이용 가능한 장소에서 작업할 것
- 사용한 후 식사, 흡연, 화장실에 가기 전에 물과 비누로 손을 꼭 세척할 것
- 취급 또는 작업 시는 통풍이 잘되는 후드에서 행하고 불 침투성 바닥, 독성 흄 응축장치, 분말제거장치를 갖출 것
- 호흡보호구, 전면보호구, 내산성장갑, 고효율의 입자필터가 장착된 안면보호구, 보안경을 반드시 사용할 것
- 콘택트렌즈를 착용 금지할 것
- 국소배기장치 가동할 것
- 화재 시 산화비소(Ⅲ) 증기가 방출되어 심한 용혈작용을 유발하므로 주의(③Arsenic)할 것</v>
          </cell>
        </row>
        <row r="349">
          <cell r="B349" t="str">
            <v>1668-00-4</v>
          </cell>
          <cell r="C349" t="str">
            <v>아센아조III</v>
          </cell>
          <cell r="D349" t="str">
            <v>97-1-119</v>
          </cell>
          <cell r="E349" t="str">
            <v>또는 그 화합물과 비소화합물을 0.1% 이상 함유한 혼합물질</v>
          </cell>
          <cell r="F349">
            <v>0.1</v>
          </cell>
          <cell r="G349" t="str">
            <v>- 열원, 산화제 및 강산화제와 격리하여 저장할 것
- 서늘하고 통풍이 잘되는 곳에 밀폐 보관할 것
- 저장용기는 물리적인 손상에 견딜 수 있어야 할 것
- 금속비소는 산화하기 쉬우므로 진공 또는 불활성가스 중에 보관(③ Arsenic)할 것
- 사고발생에 대비하여 눈이나 몸을 씻을 수 있는 세안시설과 샤워시설이 이용 가능한 장소에서 작업할 것
- 사용한 후 식사, 흡연, 화장실에 가기 전에 물과 비누로 손을 꼭 세척할 것
- 취급 또는 작업 시는 통풍이 잘되는 후드에서 행하고 불 침투성 바닥, 독성 흄 응축장치, 분말제거장치를 갖출 것
- 호흡보호구, 전면보호구, 내산성장갑, 고효율의 입자필터가 장착된 안면보호구, 보안경을 반드시 사용할 것
- 콘택트렌즈를 착용 금지할 것
- 국소배기장치 가동할 것
- 화재 시 산화비소(Ⅲ) 증기가 방출되어 심한 용혈작용을 유발하므로 주의(③Arsenic)할 것</v>
          </cell>
        </row>
        <row r="350">
          <cell r="B350" t="str">
            <v>17029-22-0</v>
          </cell>
          <cell r="C350" t="str">
            <v>비소화합물질</v>
          </cell>
          <cell r="D350" t="str">
            <v>97-1-119</v>
          </cell>
          <cell r="E350" t="str">
            <v>또는 그 화합물과 비소화합물을 0.1% 이상 함유한 혼합물질</v>
          </cell>
          <cell r="F350">
            <v>0.1</v>
          </cell>
          <cell r="G350" t="str">
            <v>- 열원, 산화제 및 강산화제와 격리하여 저장할 것
- 서늘하고 통풍이 잘되는 곳에 밀폐 보관할 것
- 저장용기는 물리적인 손상에 견딜 수 있어야 할 것
- 금속비소는 산화하기 쉬우므로 진공 또는 불활성가스 중에 보관(③ Arsenic)할 것
- 사고발생에 대비하여 눈이나 몸을 씻을 수 있는 세안시설과 샤워시설이 이용 가능한 장소에서 작업할 것
- 사용한 후 식사, 흡연, 화장실에 가기 전에 물과 비누로 손을 꼭 세척할 것
- 취급 또는 작업 시는 통풍이 잘되는 후드에서 행하고 불 침투성 바닥, 독성 흄 응축장치, 분말제거장치를 갖출 것
- 호흡보호구, 전면보호구, 내산성장갑, 고효율의 입자필터가 장착된 안면보호구, 보안경을 반드시 사용할 것
- 콘택트렌즈를 착용 금지할 것
- 국소배기장치 가동할 것
- 화재 시 산화비소(Ⅲ) 증기가 방출되어 심한 용혈작용을 유발하므로 주의(③Arsenic)할 것</v>
          </cell>
        </row>
        <row r="351">
          <cell r="B351" t="str">
            <v>24719-19-5</v>
          </cell>
          <cell r="C351" t="str">
            <v>비소화합물질</v>
          </cell>
          <cell r="D351" t="str">
            <v>97-1-119</v>
          </cell>
          <cell r="E351" t="str">
            <v>또는 그 화합물과 비소화합물을 0.1% 이상 함유한 혼합물질</v>
          </cell>
          <cell r="F351">
            <v>0.1</v>
          </cell>
          <cell r="G351" t="str">
            <v>- 열원, 산화제 및 강산화제와 격리하여 저장할 것
- 서늘하고 통풍이 잘되는 곳에 밀폐 보관할 것
- 저장용기는 물리적인 손상에 견딜 수 있어야 할 것
- 금속비소는 산화하기 쉬우므로 진공 또는 불활성가스 중에 보관(③ Arsenic)할 것
- 사고발생에 대비하여 눈이나 몸을 씻을 수 있는 세안시설과 샤워시설이 이용 가능한 장소에서 작업할 것
- 사용한 후 식사, 흡연, 화장실에 가기 전에 물과 비누로 손을 꼭 세척할 것
- 취급 또는 작업 시는 통풍이 잘되는 후드에서 행하고 불 침투성 바닥, 독성 흄 응축장치, 분말제거장치를 갖출 것
- 호흡보호구, 전면보호구, 내산성장갑, 고효율의 입자필터가 장착된 안면보호구, 보안경을 반드시 사용할 것
- 콘택트렌즈를 착용 금지할 것
- 국소배기장치 가동할 것
- 화재 시 산화비소(Ⅲ) 증기가 방출되어 심한 용혈작용을 유발하므로 주의(③Arsenic)할 것</v>
          </cell>
        </row>
        <row r="352">
          <cell r="B352" t="str">
            <v>27016-73-5</v>
          </cell>
          <cell r="C352" t="str">
            <v>비소화합물질</v>
          </cell>
          <cell r="D352" t="str">
            <v>97-1-119</v>
          </cell>
          <cell r="E352" t="str">
            <v>또는 그 화합물과 비소화합물을 0.1% 이상 함유한 혼합물질</v>
          </cell>
          <cell r="F352">
            <v>0.1</v>
          </cell>
          <cell r="G352" t="str">
            <v>- 열원, 산화제 및 강산화제와 격리하여 저장할 것
- 서늘하고 통풍이 잘되는 곳에 밀폐 보관할 것
- 저장용기는 물리적인 손상에 견딜 수 있어야 할 것
- 금속비소는 산화하기 쉬우므로 진공 또는 불활성가스 중에 보관(③ Arsenic)할 것
- 사고발생에 대비하여 눈이나 몸을 씻을 수 있는 세안시설과 샤워시설이 이용 가능한 장소에서 작업할 것
- 사용한 후 식사, 흡연, 화장실에 가기 전에 물과 비누로 손을 꼭 세척할 것
- 취급 또는 작업 시는 통풍이 잘되는 후드에서 행하고 불 침투성 바닥, 독성 흄 응축장치, 분말제거장치를 갖출 것
- 호흡보호구, 전면보호구, 내산성장갑, 고효율의 입자필터가 장착된 안면보호구, 보안경을 반드시 사용할 것
- 콘택트렌즈를 착용 금지할 것
- 국소배기장치 가동할 것
- 화재 시 산화비소(Ⅲ) 증기가 방출되어 심한 용혈작용을 유발하므로 주의(③Arsenic)할 것</v>
          </cell>
        </row>
        <row r="353">
          <cell r="B353" t="str">
            <v>27016-75-7</v>
          </cell>
          <cell r="C353" t="str">
            <v>비소화합물질</v>
          </cell>
          <cell r="D353" t="str">
            <v>97-1-119</v>
          </cell>
          <cell r="E353" t="str">
            <v>또는 그 화합물과 비소화합물을 0.1% 이상 함유한 혼합물질</v>
          </cell>
          <cell r="F353">
            <v>0.1</v>
          </cell>
          <cell r="G353" t="str">
            <v>- 열원, 산화제 및 강산화제와 격리하여 저장할 것
- 서늘하고 통풍이 잘되는 곳에 밀폐 보관할 것
- 저장용기는 물리적인 손상에 견딜 수 있어야 할 것
- 금속비소는 산화하기 쉬우므로 진공 또는 불활성가스 중에 보관(③ Arsenic)할 것
- 사고발생에 대비하여 눈이나 몸을 씻을 수 있는 세안시설과 샤워시설이 이용 가능한 장소에서 작업할 것
- 사용한 후 식사, 흡연, 화장실에 가기 전에 물과 비누로 손을 꼭 세척할 것
- 취급 또는 작업 시는 통풍이 잘되는 후드에서 행하고 불 침투성 바닥, 독성 흄 응축장치, 분말제거장치를 갖출 것
- 호흡보호구, 전면보호구, 내산성장갑, 고효율의 입자필터가 장착된 안면보호구, 보안경을 반드시 사용할 것
- 콘택트렌즈를 착용 금지할 것
- 국소배기장치 가동할 것
- 화재 시 산화비소(Ⅲ) 증기가 방출되어 심한 용혈작용을 유발하므로 주의(③Arsenic)할 것</v>
          </cell>
        </row>
        <row r="354">
          <cell r="B354" t="str">
            <v>27526-45-0</v>
          </cell>
          <cell r="C354" t="str">
            <v>비소화합물질</v>
          </cell>
          <cell r="D354" t="str">
            <v>97-1-119</v>
          </cell>
          <cell r="E354" t="str">
            <v>또는 그 화합물과 비소화합물을 0.1% 이상 함유한 혼합물질</v>
          </cell>
          <cell r="F354">
            <v>0.1</v>
          </cell>
          <cell r="G354" t="str">
            <v>- 열원, 산화제 및 강산화제와 격리하여 저장할 것
- 서늘하고 통풍이 잘되는 곳에 밀폐 보관할 것
- 저장용기는 물리적인 손상에 견딜 수 있어야 할 것
- 금속비소는 산화하기 쉬우므로 진공 또는 불활성가스 중에 보관(③ Arsenic)할 것
- 사고발생에 대비하여 눈이나 몸을 씻을 수 있는 세안시설과 샤워시설이 이용 가능한 장소에서 작업할 것
- 사용한 후 식사, 흡연, 화장실에 가기 전에 물과 비누로 손을 꼭 세척할 것
- 취급 또는 작업 시는 통풍이 잘되는 후드에서 행하고 불 침투성 바닥, 독성 흄 응축장치, 분말제거장치를 갖출 것
- 호흡보호구, 전면보호구, 내산성장갑, 고효율의 입자필터가 장착된 안면보호구, 보안경을 반드시 사용할 것
- 콘택트렌즈를 착용 금지할 것
- 국소배기장치 가동할 것
- 화재 시 산화비소(Ⅲ) 증기가 방출되어 심한 용혈작용을 유발하므로 주의(③Arsenic)할 것</v>
          </cell>
        </row>
        <row r="355">
          <cell r="B355" t="str">
            <v>29935-35-1</v>
          </cell>
          <cell r="C355" t="str">
            <v>비소화합물질</v>
          </cell>
          <cell r="D355" t="str">
            <v>97-1-119</v>
          </cell>
          <cell r="E355" t="str">
            <v>또는 그 화합물과 비소화합물을 0.1% 이상 함유한 혼합물질</v>
          </cell>
          <cell r="F355">
            <v>0.1</v>
          </cell>
          <cell r="G355" t="str">
            <v>- 열원, 산화제 및 강산화제와 격리하여 저장할 것
- 서늘하고 통풍이 잘되는 곳에 밀폐 보관할 것
- 저장용기는 물리적인 손상에 견딜 수 있어야 할 것
- 금속비소는 산화하기 쉬우므로 진공 또는 불활성가스 중에 보관(③ Arsenic)할 것
- 사고발생에 대비하여 눈이나 몸을 씻을 수 있는 세안시설과 샤워시설이 이용 가능한 장소에서 작업할 것
- 사용한 후 식사, 흡연, 화장실에 가기 전에 물과 비누로 손을 꼭 세척할 것
- 취급 또는 작업 시는 통풍이 잘되는 후드에서 행하고 불 침투성 바닥, 독성 흄 응축장치, 분말제거장치를 갖출 것
- 호흡보호구, 전면보호구, 내산성장갑, 고효율의 입자필터가 장착된 안면보호구, 보안경을 반드시 사용할 것
- 콘택트렌즈를 착용 금지할 것
- 국소배기장치 가동할 것
- 화재 시 산화비소(Ⅲ) 증기가 방출되어 심한 용혈작용을 유발하므로 주의(③Arsenic)할 것</v>
          </cell>
        </row>
        <row r="356">
          <cell r="B356" t="str">
            <v>32775-46-5</v>
          </cell>
          <cell r="C356" t="str">
            <v>비소화합물질</v>
          </cell>
          <cell r="D356" t="str">
            <v>97-1-119</v>
          </cell>
          <cell r="E356" t="str">
            <v>또는 그 화합물과 비소화합물을 0.1% 이상 함유한 혼합물질</v>
          </cell>
          <cell r="F356">
            <v>0.1</v>
          </cell>
          <cell r="G356" t="str">
            <v>- 열원, 산화제 및 강산화제와 격리하여 저장할 것
- 서늘하고 통풍이 잘되는 곳에 밀폐 보관할 것
- 저장용기는 물리적인 손상에 견딜 수 있어야 할 것
- 금속비소는 산화하기 쉬우므로 진공 또는 불활성가스 중에 보관(③ Arsenic)할 것
- 사고발생에 대비하여 눈이나 몸을 씻을 수 있는 세안시설과 샤워시설이 이용 가능한 장소에서 작업할 것
- 사용한 후 식사, 흡연, 화장실에 가기 전에 물과 비누로 손을 꼭 세척할 것
- 취급 또는 작업 시는 통풍이 잘되는 후드에서 행하고 불 침투성 바닥, 독성 흄 응축장치, 분말제거장치를 갖출 것
- 호흡보호구, 전면보호구, 내산성장갑, 고효율의 입자필터가 장착된 안면보호구, 보안경을 반드시 사용할 것
- 콘택트렌즈를 착용 금지할 것
- 국소배기장치 가동할 것
- 화재 시 산화비소(Ⅲ) 증기가 방출되어 심한 용혈작용을 유발하므로 주의(③Arsenic)할 것</v>
          </cell>
        </row>
        <row r="357">
          <cell r="B357" t="str">
            <v>39297-24-0</v>
          </cell>
          <cell r="C357" t="str">
            <v>비소화합물질</v>
          </cell>
          <cell r="D357" t="str">
            <v>97-1-119</v>
          </cell>
          <cell r="E357" t="str">
            <v>또는 그 화합물과 비소화합물을 0.1% 이상 함유한 혼합물질</v>
          </cell>
          <cell r="F357">
            <v>0.1</v>
          </cell>
          <cell r="G357" t="str">
            <v>- 열원, 산화제 및 강산화제와 격리하여 저장할 것
- 서늘하고 통풍이 잘되는 곳에 밀폐 보관할 것
- 저장용기는 물리적인 손상에 견딜 수 있어야 할 것
- 금속비소는 산화하기 쉬우므로 진공 또는 불활성가스 중에 보관(③ Arsenic)할 것
- 사고발생에 대비하여 눈이나 몸을 씻을 수 있는 세안시설과 샤워시설이 이용 가능한 장소에서 작업할 것
- 사용한 후 식사, 흡연, 화장실에 가기 전에 물과 비누로 손을 꼭 세척할 것
- 취급 또는 작업 시는 통풍이 잘되는 후드에서 행하고 불 침투성 바닥, 독성 흄 응축장치, 분말제거장치를 갖출 것
- 호흡보호구, 전면보호구, 내산성장갑, 고효율의 입자필터가 장착된 안면보호구, 보안경을 반드시 사용할 것
- 콘택트렌즈를 착용 금지할 것
- 국소배기장치 가동할 것
- 화재 시 산화비소(Ⅲ) 증기가 방출되어 심한 용혈작용을 유발하므로 주의(③Arsenic)할 것</v>
          </cell>
        </row>
        <row r="358">
          <cell r="B358" t="str">
            <v>507-28-8</v>
          </cell>
          <cell r="C358" t="str">
            <v>사페닐비소염화물</v>
          </cell>
          <cell r="D358" t="str">
            <v>97-1-119</v>
          </cell>
          <cell r="E358" t="str">
            <v>또는 그 화합물과 비소화합물을 0.1% 이상 함유한 혼합물질</v>
          </cell>
          <cell r="F358">
            <v>0.1</v>
          </cell>
          <cell r="G358" t="str">
            <v>- 열원, 산화제 및 강산화제와 격리하여 저장할 것
- 서늘하고 통풍이 잘되는 곳에 밀폐 보관할 것
- 저장용기는 물리적인 손상에 견딜 수 있어야 할 것
- 금속비소는 산화하기 쉬우므로 진공 또는 불활성가스 중에 보관(③ Arsenic)할 것
- 사고발생에 대비하여 눈이나 몸을 씻을 수 있는 세안시설과 샤워시설이 이용 가능한 장소에서 작업할 것
- 사용한 후 식사, 흡연, 화장실에 가기 전에 물과 비누로 손을 꼭 세척할 것
- 취급 또는 작업 시는 통풍이 잘되는 후드에서 행하고 불 침투성 바닥, 독성 흄 응축장치, 분말제거장치를 갖출 것
- 호흡보호구, 전면보호구, 내산성장갑, 고효율의 입자필터가 장착된 안면보호구, 보안경을 반드시 사용할 것
- 콘택트렌즈를 착용 금지할 것
- 국소배기장치 가동할 것
- 화재 시 산화비소(Ⅲ) 증기가 방출되어 심한 용혈작용을 유발하므로 주의(③Arsenic)할 것</v>
          </cell>
        </row>
        <row r="359">
          <cell r="B359" t="str">
            <v>541-25-3</v>
          </cell>
          <cell r="C359" t="str">
            <v>알소노스디염화물</v>
          </cell>
          <cell r="D359" t="str">
            <v>97-1-119</v>
          </cell>
          <cell r="E359" t="str">
            <v>또는 그 화합물과 비소화합물을 0.1% 이상 함유한 혼합물질</v>
          </cell>
          <cell r="F359">
            <v>0.1</v>
          </cell>
          <cell r="G359" t="str">
            <v>- 열원, 산화제 및 강산화제와 격리하여 저장할 것
- 서늘하고 통풍이 잘되는 곳에 밀폐 보관할 것
- 저장용기는 물리적인 손상에 견딜 수 있어야 할 것
- 금속비소는 산화하기 쉬우므로 진공 또는 불활성가스 중에 보관(③ Arsenic)할 것
- 사고발생에 대비하여 눈이나 몸을 씻을 수 있는 세안시설과 샤워시설이 이용 가능한 장소에서 작업할 것
- 사용한 후 식사, 흡연, 화장실에 가기 전에 물과 비누로 손을 꼭 세척할 것
- 취급 또는 작업 시는 통풍이 잘되는 후드에서 행하고 불 침투성 바닥, 독성 흄 응축장치, 분말제거장치를 갖출 것
- 호흡보호구, 전면보호구, 내산성장갑, 고효율의 입자필터가 장착된 안면보호구, 보안경을 반드시 사용할 것
- 콘택트렌즈를 착용 금지할 것
- 국소배기장치 가동할 것
- 화재 시 산화비소(Ⅲ) 증기가 방출되어 심한 용혈작용을 유발하므로 주의(③Arsenic)할 것</v>
          </cell>
        </row>
        <row r="360">
          <cell r="B360" t="str">
            <v>56450-43-2</v>
          </cell>
          <cell r="C360" t="str">
            <v>비소화합물질</v>
          </cell>
          <cell r="D360" t="str">
            <v>97-1-119</v>
          </cell>
          <cell r="E360" t="str">
            <v>또는 그 화합물과 비소화합물을 0.1% 이상 함유한 혼합물질</v>
          </cell>
          <cell r="F360">
            <v>0.1</v>
          </cell>
          <cell r="G360" t="str">
            <v>- 열원, 산화제 및 강산화제와 격리하여 저장할 것
- 서늘하고 통풍이 잘되는 곳에 밀폐 보관할 것
- 저장용기는 물리적인 손상에 견딜 수 있어야 할 것
- 금속비소는 산화하기 쉬우므로 진공 또는 불활성가스 중에 보관(③ Arsenic)할 것
- 사고발생에 대비하여 눈이나 몸을 씻을 수 있는 세안시설과 샤워시설이 이용 가능한 장소에서 작업할 것
- 사용한 후 식사, 흡연, 화장실에 가기 전에 물과 비누로 손을 꼭 세척할 것
- 취급 또는 작업 시는 통풍이 잘되는 후드에서 행하고 불 침투성 바닥, 독성 흄 응축장치, 분말제거장치를 갖출 것
- 호흡보호구, 전면보호구, 내산성장갑, 고효율의 입자필터가 장착된 안면보호구, 보안경을 반드시 사용할 것
- 콘택트렌즈를 착용 금지할 것
- 국소배기장치 가동할 것
- 화재 시 산화비소(Ⅲ) 증기가 방출되어 심한 용혈작용을 유발하므로 주의(③Arsenic)할 것</v>
          </cell>
        </row>
        <row r="361">
          <cell r="B361" t="str">
            <v>58-36-6</v>
          </cell>
          <cell r="C361" t="str">
            <v>10,10'-옥시디페녹사르신</v>
          </cell>
          <cell r="D361" t="str">
            <v>97-1-119</v>
          </cell>
          <cell r="E361" t="str">
            <v>또는 그 화합물과 비소화합물을 0.1% 이상 함유한 혼합물질</v>
          </cell>
          <cell r="F361">
            <v>0.1</v>
          </cell>
          <cell r="G361" t="str">
            <v>- 열원, 산화제 및 강산화제와 격리하여 저장할 것
- 서늘하고 통풍이 잘되는 곳에 밀폐 보관할 것
- 저장용기는 물리적인 손상에 견딜 수 있어야 할 것
- 금속비소는 산화하기 쉬우므로 진공 또는 불활성가스 중에 보관(③ Arsenic)할 것
- 사고발생에 대비하여 눈이나 몸을 씻을 수 있는 세안시설과 샤워시설이 이용 가능한 장소에서 작업할 것
- 사용한 후 식사, 흡연, 화장실에 가기 전에 물과 비누로 손을 꼭 세척할 것
- 취급 또는 작업 시는 통풍이 잘되는 후드에서 행하고 불 침투성 바닥, 독성 흄 응축장치, 분말제거장치를 갖출 것
- 호흡보호구, 전면보호구, 내산성장갑, 고효율의 입자필터가 장착된 안면보호구, 보안경을 반드시 사용할 것
- 콘택트렌즈를 착용 금지할 것
- 국소배기장치 가동할 것
- 화재 시 산화비소(Ⅲ) 증기가 방출되어 심한 용혈작용을 유발하므로 주의(③Arsenic)할 것</v>
          </cell>
        </row>
        <row r="362">
          <cell r="B362" t="str">
            <v>60909-47-9</v>
          </cell>
          <cell r="C362" t="str">
            <v>비소화합물질</v>
          </cell>
          <cell r="D362" t="str">
            <v>97-1-119</v>
          </cell>
          <cell r="E362" t="str">
            <v>또는 그 화합물과 비소화합물을 0.1% 이상 함유한 혼합물질</v>
          </cell>
          <cell r="F362">
            <v>0.1</v>
          </cell>
          <cell r="G362" t="str">
            <v>- 열원, 산화제 및 강산화제와 격리하여 저장할 것
- 서늘하고 통풍이 잘되는 곳에 밀폐 보관할 것
- 저장용기는 물리적인 손상에 견딜 수 있어야 할 것
- 금속비소는 산화하기 쉬우므로 진공 또는 불활성가스 중에 보관(③ Arsenic)할 것
- 사고발생에 대비하여 눈이나 몸을 씻을 수 있는 세안시설과 샤워시설이 이용 가능한 장소에서 작업할 것
- 사용한 후 식사, 흡연, 화장실에 가기 전에 물과 비누로 손을 꼭 세척할 것
- 취급 또는 작업 시는 통풍이 잘되는 후드에서 행하고 불 침투성 바닥, 독성 흄 응축장치, 분말제거장치를 갖출 것
- 호흡보호구, 전면보호구, 내산성장갑, 고효율의 입자필터가 장착된 안면보호구, 보안경을 반드시 사용할 것
- 콘택트렌즈를 착용 금지할 것
- 국소배기장치 가동할 것
- 화재 시 산화비소(Ⅲ) 증기가 방출되어 심한 용혈작용을 유발하므로 주의(③Arsenic)할 것</v>
          </cell>
        </row>
        <row r="363">
          <cell r="B363" t="str">
            <v>68784-76-9</v>
          </cell>
          <cell r="C363" t="str">
            <v>비소화합물질</v>
          </cell>
          <cell r="D363" t="str">
            <v>97-1-119</v>
          </cell>
          <cell r="E363" t="str">
            <v>또는 그 화합물과 비소화합물을 0.1% 이상 함유한 혼합물질</v>
          </cell>
          <cell r="F363">
            <v>0.1</v>
          </cell>
          <cell r="G363" t="str">
            <v>- 열원, 산화제 및 강산화제와 격리하여 저장할 것
- 서늘하고 통풍이 잘되는 곳에 밀폐 보관할 것
- 저장용기는 물리적인 손상에 견딜 수 있어야 할 것
- 금속비소는 산화하기 쉬우므로 진공 또는 불활성가스 중에 보관(③ Arsenic)할 것
- 사고발생에 대비하여 눈이나 몸을 씻을 수 있는 세안시설과 샤워시설이 이용 가능한 장소에서 작업할 것
- 사용한 후 식사, 흡연, 화장실에 가기 전에 물과 비누로 손을 꼭 세척할 것
- 취급 또는 작업 시는 통풍이 잘되는 후드에서 행하고 불 침투성 바닥, 독성 흄 응축장치, 분말제거장치를 갖출 것
- 호흡보호구, 전면보호구, 내산성장갑, 고효율의 입자필터가 장착된 안면보호구, 보안경을 반드시 사용할 것
- 콘택트렌즈를 착용 금지할 것
- 국소배기장치 가동할 것
- 화재 시 산화비소(Ⅲ) 증기가 방출되어 심한 용혈작용을 유발하므로 주의(③Arsenic)할 것</v>
          </cell>
        </row>
        <row r="364">
          <cell r="B364" t="str">
            <v>70333-07-2</v>
          </cell>
          <cell r="C364" t="str">
            <v>비소화합물질</v>
          </cell>
          <cell r="D364" t="str">
            <v>97-1-119</v>
          </cell>
          <cell r="E364" t="str">
            <v>또는 그 화합물과 비소화합물을 0.1% 이상 함유한 혼합물질</v>
          </cell>
          <cell r="F364">
            <v>0.1</v>
          </cell>
          <cell r="G364" t="str">
            <v>- 열원, 산화제 및 강산화제와 격리하여 저장할 것
- 서늘하고 통풍이 잘되는 곳에 밀폐 보관할 것
- 저장용기는 물리적인 손상에 견딜 수 있어야 할 것
- 금속비소는 산화하기 쉬우므로 진공 또는 불활성가스 중에 보관(③ Arsenic)할 것
- 사고발생에 대비하여 눈이나 몸을 씻을 수 있는 세안시설과 샤워시설이 이용 가능한 장소에서 작업할 것
- 사용한 후 식사, 흡연, 화장실에 가기 전에 물과 비누로 손을 꼭 세척할 것
- 취급 또는 작업 시는 통풍이 잘되는 후드에서 행하고 불 침투성 바닥, 독성 흄 응축장치, 분말제거장치를 갖출 것
- 호흡보호구, 전면보호구, 내산성장갑, 고효율의 입자필터가 장착된 안면보호구, 보안경을 반드시 사용할 것
- 콘택트렌즈를 착용 금지할 것
- 국소배기장치 가동할 것
- 화재 시 산화비소(Ⅲ) 증기가 방출되어 심한 용혈작용을 유발하므로 주의(③Arsenic)할 것</v>
          </cell>
        </row>
        <row r="365">
          <cell r="B365" t="str">
            <v>72845-34-2</v>
          </cell>
          <cell r="C365" t="str">
            <v>비소화합물질</v>
          </cell>
          <cell r="D365" t="str">
            <v>97-1-119</v>
          </cell>
          <cell r="E365" t="str">
            <v>또는 그 화합물과 비소화합물을 0.1% 이상 함유한 혼합물질</v>
          </cell>
          <cell r="F365">
            <v>0.1</v>
          </cell>
          <cell r="G365" t="str">
            <v>- 열원, 산화제 및 강산화제와 격리하여 저장할 것
- 서늘하고 통풍이 잘되는 곳에 밀폐 보관할 것
- 저장용기는 물리적인 손상에 견딜 수 있어야 할 것
- 금속비소는 산화하기 쉬우므로 진공 또는 불활성가스 중에 보관(③ Arsenic)할 것
- 사고발생에 대비하여 눈이나 몸을 씻을 수 있는 세안시설과 샤워시설이 이용 가능한 장소에서 작업할 것
- 사용한 후 식사, 흡연, 화장실에 가기 전에 물과 비누로 손을 꼭 세척할 것
- 취급 또는 작업 시는 통풍이 잘되는 후드에서 행하고 불 침투성 바닥, 독성 흄 응축장치, 분말제거장치를 갖출 것
- 호흡보호구, 전면보호구, 내산성장갑, 고효율의 입자필터가 장착된 안면보호구, 보안경을 반드시 사용할 것
- 콘택트렌즈를 착용 금지할 것
- 국소배기장치 가동할 것
- 화재 시 산화비소(Ⅲ) 증기가 방출되어 심한 용혈작용을 유발하므로 주의(③Arsenic)할 것</v>
          </cell>
        </row>
        <row r="366">
          <cell r="B366" t="str">
            <v>7440-38-2</v>
          </cell>
          <cell r="C366" t="str">
            <v>비소</v>
          </cell>
          <cell r="D366" t="str">
            <v>97-1-119</v>
          </cell>
          <cell r="E366" t="str">
            <v>또는 그 화합물과 비소화합물을 0.1% 이상 함유한 혼합물질</v>
          </cell>
          <cell r="F366">
            <v>0.1</v>
          </cell>
          <cell r="G366" t="str">
            <v>- 열원, 산화제 및 강산화제와 격리하여 저장할 것
- 서늘하고 통풍이 잘되는 곳에 밀폐 보관할 것
- 저장용기는 물리적인 손상에 견딜 수 있어야 할 것
- 금속비소는 산화하기 쉬우므로 진공 또는 불활성가스 중에 보관(③ Arsenic)할 것
- 사고발생에 대비하여 눈이나 몸을 씻을 수 있는 세안시설과 샤워시설이 이용 가능한 장소에서 작업할 것
- 사용한 후 식사, 흡연, 화장실에 가기 전에 물과 비누로 손을 꼭 세척할 것
- 취급 또는 작업 시는 통풍이 잘되는 후드에서 행하고 불 침투성 바닥, 독성 흄 응축장치, 분말제거장치를 갖출 것
- 호흡보호구, 전면보호구, 내산성장갑, 고효율의 입자필터가 장착된 안면보호구, 보안경을 반드시 사용할 것
- 콘택트렌즈를 착용 금지할 것
- 국소배기장치 가동할 것
- 화재 시 산화비소(Ⅲ) 증기가 방출되어 심한 용혈작용을 유발하므로 주의(③Arsenic)할 것</v>
          </cell>
        </row>
        <row r="367">
          <cell r="B367" t="str">
            <v>7631-89-2</v>
          </cell>
          <cell r="C367" t="str">
            <v>비소화합물질</v>
          </cell>
          <cell r="D367" t="str">
            <v>97-1-119</v>
          </cell>
          <cell r="E367" t="str">
            <v>또는 그 화합물과 비소화합물을 0.1% 이상 함유한 혼합물질</v>
          </cell>
          <cell r="F367">
            <v>0.1</v>
          </cell>
          <cell r="G367" t="str">
            <v>- 열원, 산화제 및 강산화제와 격리하여 저장할 것
- 서늘하고 통풍이 잘되는 곳에 밀폐 보관할 것
- 저장용기는 물리적인 손상에 견딜 수 있어야 할 것
- 금속비소는 산화하기 쉬우므로 진공 또는 불활성가스 중에 보관(③ Arsenic)할 것
- 사고발생에 대비하여 눈이나 몸을 씻을 수 있는 세안시설과 샤워시설이 이용 가능한 장소에서 작업할 것
- 사용한 후 식사, 흡연, 화장실에 가기 전에 물과 비누로 손을 꼭 세척할 것
- 취급 또는 작업 시는 통풍이 잘되는 후드에서 행하고 불 침투성 바닥, 독성 흄 응축장치, 분말제거장치를 갖출 것
- 호흡보호구, 전면보호구, 내산성장갑, 고효율의 입자필터가 장착된 안면보호구, 보안경을 반드시 사용할 것
- 콘택트렌즈를 착용 금지할 것
- 국소배기장치 가동할 것
- 화재 시 산화비소(Ⅲ) 증기가 방출되어 심한 용혈작용을 유발하므로 주의(③Arsenic)할 것</v>
          </cell>
        </row>
        <row r="368">
          <cell r="B368" t="str">
            <v>7778-39-4</v>
          </cell>
          <cell r="C368" t="str">
            <v>비산</v>
          </cell>
          <cell r="D368" t="str">
            <v>97-1-119</v>
          </cell>
          <cell r="E368" t="str">
            <v>또는 그 화합물과 비소화합물을 0.1% 이상 함유한 혼합물질</v>
          </cell>
          <cell r="F368">
            <v>0.1</v>
          </cell>
          <cell r="G368" t="str">
            <v>- 열원, 산화제 및 강산화제와 격리하여 저장할 것
- 서늘하고 통풍이 잘되는 곳에 밀폐 보관할 것
- 저장용기는 물리적인 손상에 견딜 수 있어야 할 것
- 금속비소는 산화하기 쉬우므로 진공 또는 불활성가스 중에 보관(③ Arsenic)할 것
- 사고발생에 대비하여 눈이나 몸을 씻을 수 있는 세안시설과 샤워시설이 이용 가능한 장소에서 작업할 것
- 사용한 후 식사, 흡연, 화장실에 가기 전에 물과 비누로 손을 꼭 세척할 것
- 취급 또는 작업 시는 통풍이 잘되는 후드에서 행하고 불 침투성 바닥, 독성 흄 응축장치, 분말제거장치를 갖출 것
- 호흡보호구, 전면보호구, 내산성장갑, 고효율의 입자필터가 장착된 안면보호구, 보안경을 반드시 사용할 것
- 콘택트렌즈를 착용 금지할 것
- 국소배기장치 가동할 것
- 화재 시 산화비소(Ⅲ) 증기가 방출되어 심한 용혈작용을 유발하므로 주의(③Arsenic)할 것</v>
          </cell>
        </row>
        <row r="369">
          <cell r="B369" t="str">
            <v>7778-41-8</v>
          </cell>
          <cell r="C369" t="str">
            <v>구리아르세산염</v>
          </cell>
          <cell r="D369" t="str">
            <v>97-1-119</v>
          </cell>
          <cell r="E369" t="str">
            <v>또는 그 화합물과 비소화합물을 0.1% 이상 함유한 혼합물질</v>
          </cell>
          <cell r="F369">
            <v>0.1</v>
          </cell>
          <cell r="G369" t="str">
            <v>- 열원, 산화제 및 강산화제와 격리하여 저장할 것
- 서늘하고 통풍이 잘되는 곳에 밀폐 보관할 것
- 저장용기는 물리적인 손상에 견딜 수 있어야 할 것
- 금속비소는 산화하기 쉬우므로 진공 또는 불활성가스 중에 보관(③ Arsenic)할 것
- 사고발생에 대비하여 눈이나 몸을 씻을 수 있는 세안시설과 샤워시설이 이용 가능한 장소에서 작업할 것
- 사용한 후 식사, 흡연, 화장실에 가기 전에 물과 비누로 손을 꼭 세척할 것
- 취급 또는 작업 시는 통풍이 잘되는 후드에서 행하고 불 침투성 바닥, 독성 흄 응축장치, 분말제거장치를 갖출 것
- 호흡보호구, 전면보호구, 내산성장갑, 고효율의 입자필터가 장착된 안면보호구, 보안경을 반드시 사용할 것
- 콘택트렌즈를 착용 금지할 것
- 국소배기장치 가동할 것
- 화재 시 산화비소(Ⅲ) 증기가 방출되어 심한 용혈작용을 유발하므로 주의(③Arsenic)할 것</v>
          </cell>
        </row>
        <row r="370">
          <cell r="B370" t="str">
            <v>7778-43-0</v>
          </cell>
          <cell r="C370" t="str">
            <v>비산이나트륨</v>
          </cell>
          <cell r="D370" t="str">
            <v>97-1-119</v>
          </cell>
          <cell r="E370" t="str">
            <v>또는 그 화합물과 비소화합물을 0.1% 이상 함유한 혼합물질</v>
          </cell>
          <cell r="F370">
            <v>0.1</v>
          </cell>
          <cell r="G370" t="str">
            <v>- 열원, 산화제 및 강산화제와 격리하여 저장할 것
- 서늘하고 통풍이 잘되는 곳에 밀폐 보관할 것
- 저장용기는 물리적인 손상에 견딜 수 있어야 할 것
- 금속비소는 산화하기 쉬우므로 진공 또는 불활성가스 중에 보관(③ Arsenic)할 것
- 사고발생에 대비하여 눈이나 몸을 씻을 수 있는 세안시설과 샤워시설이 이용 가능한 장소에서 작업할 것
- 사용한 후 식사, 흡연, 화장실에 가기 전에 물과 비누로 손을 꼭 세척할 것
- 취급 또는 작업 시는 통풍이 잘되는 후드에서 행하고 불 침투성 바닥, 독성 흄 응축장치, 분말제거장치를 갖출 것
- 호흡보호구, 전면보호구, 내산성장갑, 고효율의 입자필터가 장착된 안면보호구, 보안경을 반드시 사용할 것
- 콘택트렌즈를 착용 금지할 것
- 국소배기장치 가동할 것
- 화재 시 산화비소(Ⅲ) 증기가 방출되어 심한 용혈작용을 유발하므로 주의(③Arsenic)할 것</v>
          </cell>
        </row>
        <row r="371">
          <cell r="B371" t="str">
            <v>7778-44-1</v>
          </cell>
          <cell r="C371" t="str">
            <v>비소화합물질</v>
          </cell>
          <cell r="D371" t="str">
            <v>97-1-119</v>
          </cell>
          <cell r="E371" t="str">
            <v>또는 그 화합물과 비소화합물을 0.1% 이상 함유한 혼합물질</v>
          </cell>
          <cell r="F371">
            <v>0.1</v>
          </cell>
          <cell r="G371" t="str">
            <v>- 열원, 산화제 및 강산화제와 격리하여 저장할 것
- 서늘하고 통풍이 잘되는 곳에 밀폐 보관할 것
- 저장용기는 물리적인 손상에 견딜 수 있어야 할 것
- 금속비소는 산화하기 쉬우므로 진공 또는 불활성가스 중에 보관(③ Arsenic)할 것
- 사고발생에 대비하여 눈이나 몸을 씻을 수 있는 세안시설과 샤워시설이 이용 가능한 장소에서 작업할 것
- 사용한 후 식사, 흡연, 화장실에 가기 전에 물과 비누로 손을 꼭 세척할 것
- 취급 또는 작업 시는 통풍이 잘되는 후드에서 행하고 불 침투성 바닥, 독성 흄 응축장치, 분말제거장치를 갖출 것
- 호흡보호구, 전면보호구, 내산성장갑, 고효율의 입자필터가 장착된 안면보호구, 보안경을 반드시 사용할 것
- 콘택트렌즈를 착용 금지할 것
- 국소배기장치 가동할 것
- 화재 시 산화비소(Ⅲ) 증기가 방출되어 심한 용혈작용을 유발하므로 주의(③Arsenic)할 것</v>
          </cell>
        </row>
        <row r="372">
          <cell r="B372" t="str">
            <v>7784-08-9</v>
          </cell>
          <cell r="C372" t="str">
            <v>비소화합물질</v>
          </cell>
          <cell r="D372" t="str">
            <v>97-1-119</v>
          </cell>
          <cell r="E372" t="str">
            <v>또는 그 화합물과 비소화합물을 0.1% 이상 함유한 혼합물질</v>
          </cell>
          <cell r="F372">
            <v>0.1</v>
          </cell>
          <cell r="G372" t="str">
            <v>- 열원, 산화제 및 강산화제와 격리하여 저장할 것
- 서늘하고 통풍이 잘되는 곳에 밀폐 보관할 것
- 저장용기는 물리적인 손상에 견딜 수 있어야 할 것
- 금속비소는 산화하기 쉬우므로 진공 또는 불활성가스 중에 보관(③ Arsenic)할 것
- 사고발생에 대비하여 눈이나 몸을 씻을 수 있는 세안시설과 샤워시설이 이용 가능한 장소에서 작업할 것
- 사용한 후 식사, 흡연, 화장실에 가기 전에 물과 비누로 손을 꼭 세척할 것
- 취급 또는 작업 시는 통풍이 잘되는 후드에서 행하고 불 침투성 바닥, 독성 흄 응축장치, 분말제거장치를 갖출 것
- 호흡보호구, 전면보호구, 내산성장갑, 고효율의 입자필터가 장착된 안면보호구, 보안경을 반드시 사용할 것
- 콘택트렌즈를 착용 금지할 것
- 국소배기장치 가동할 것
- 화재 시 산화비소(Ⅲ) 증기가 방출되어 심한 용혈작용을 유발하므로 주의(③Arsenic)할 것</v>
          </cell>
        </row>
        <row r="373">
          <cell r="B373" t="str">
            <v>7784-33-0</v>
          </cell>
          <cell r="C373" t="str">
            <v>비소트리브롬화물</v>
          </cell>
          <cell r="D373" t="str">
            <v>97-1-119</v>
          </cell>
          <cell r="E373" t="str">
            <v>또는 그 화합물과 비소화합물을 0.1% 이상 함유한 혼합물질</v>
          </cell>
          <cell r="F373">
            <v>0.1</v>
          </cell>
          <cell r="G373" t="str">
            <v>- 열원, 산화제 및 강산화제와 격리하여 저장할 것
- 서늘하고 통풍이 잘되는 곳에 밀폐 보관할 것
- 저장용기는 물리적인 손상에 견딜 수 있어야 할 것
- 금속비소는 산화하기 쉬우므로 진공 또는 불활성가스 중에 보관(③ Arsenic)할 것
- 사고발생에 대비하여 눈이나 몸을 씻을 수 있는 세안시설과 샤워시설이 이용 가능한 장소에서 작업할 것
- 사용한 후 식사, 흡연, 화장실에 가기 전에 물과 비누로 손을 꼭 세척할 것
- 취급 또는 작업 시는 통풍이 잘되는 후드에서 행하고 불 침투성 바닥, 독성 흄 응축장치, 분말제거장치를 갖출 것
- 호흡보호구, 전면보호구, 내산성장갑, 고효율의 입자필터가 장착된 안면보호구, 보안경을 반드시 사용할 것
- 콘택트렌즈를 착용 금지할 것
- 국소배기장치 가동할 것
- 화재 시 산화비소(Ⅲ) 증기가 방출되어 심한 용혈작용을 유발하므로 주의(③Arsenic)할 것</v>
          </cell>
        </row>
        <row r="374">
          <cell r="B374" t="str">
            <v>7784-34-1</v>
          </cell>
          <cell r="C374" t="str">
            <v>삼염화비소</v>
          </cell>
          <cell r="D374" t="str">
            <v>97-1-119</v>
          </cell>
          <cell r="E374" t="str">
            <v>또는 그 화합물과 비소화합물을 0.1% 이상 함유한 혼합물질</v>
          </cell>
          <cell r="F374">
            <v>0.1</v>
          </cell>
          <cell r="G374" t="str">
            <v>- 열원, 산화제 및 강산화제와 격리하여 저장할 것
- 서늘하고 통풍이 잘되는 곳에 밀폐 보관할 것
- 저장용기는 물리적인 손상에 견딜 수 있어야 할 것
- 금속비소는 산화하기 쉬우므로 진공 또는 불활성가스 중에 보관(③ Arsenic)할 것
- 사고발생에 대비하여 눈이나 몸을 씻을 수 있는 세안시설과 샤워시설이 이용 가능한 장소에서 작업할 것
- 사용한 후 식사, 흡연, 화장실에 가기 전에 물과 비누로 손을 꼭 세척할 것
- 취급 또는 작업 시는 통풍이 잘되는 후드에서 행하고 불 침투성 바닥, 독성 흄 응축장치, 분말제거장치를 갖출 것
- 호흡보호구, 전면보호구, 내산성장갑, 고효율의 입자필터가 장착된 안면보호구, 보안경을 반드시 사용할 것
- 콘택트렌즈를 착용 금지할 것
- 국소배기장치 가동할 것
- 화재 시 산화비소(Ⅲ) 증기가 방출되어 심한 용혈작용을 유발하므로 주의(③Arsenic)할 것</v>
          </cell>
        </row>
        <row r="375">
          <cell r="B375" t="str">
            <v>7784-35-2</v>
          </cell>
          <cell r="C375" t="str">
            <v>비소화합물질</v>
          </cell>
          <cell r="D375" t="str">
            <v>97-1-119</v>
          </cell>
          <cell r="E375" t="str">
            <v>또는 그 화합물과 비소화합물을 0.1% 이상 함유한 혼합물질</v>
          </cell>
          <cell r="F375">
            <v>0.1</v>
          </cell>
          <cell r="G375" t="str">
            <v>- 열원, 산화제 및 강산화제와 격리하여 저장할 것
- 서늘하고 통풍이 잘되는 곳에 밀폐 보관할 것
- 저장용기는 물리적인 손상에 견딜 수 있어야 할 것
- 금속비소는 산화하기 쉬우므로 진공 또는 불활성가스 중에 보관(③ Arsenic)할 것
- 사고발생에 대비하여 눈이나 몸을 씻을 수 있는 세안시설과 샤워시설이 이용 가능한 장소에서 작업할 것
- 사용한 후 식사, 흡연, 화장실에 가기 전에 물과 비누로 손을 꼭 세척할 것
- 취급 또는 작업 시는 통풍이 잘되는 후드에서 행하고 불 침투성 바닥, 독성 흄 응축장치, 분말제거장치를 갖출 것
- 호흡보호구, 전면보호구, 내산성장갑, 고효율의 입자필터가 장착된 안면보호구, 보안경을 반드시 사용할 것
- 콘택트렌즈를 착용 금지할 것
- 국소배기장치 가동할 것
- 화재 시 산화비소(Ⅲ) 증기가 방출되어 심한 용혈작용을 유발하므로 주의(③Arsenic)할 것</v>
          </cell>
        </row>
        <row r="376">
          <cell r="B376" t="str">
            <v>7784-36-3</v>
          </cell>
          <cell r="C376" t="str">
            <v>펜타플루오르화비소</v>
          </cell>
          <cell r="D376" t="str">
            <v>97-1-119</v>
          </cell>
          <cell r="E376" t="str">
            <v>또는 그 화합물과 비소화합물을 0.1% 이상 함유한 혼합물질</v>
          </cell>
          <cell r="F376">
            <v>0.1</v>
          </cell>
          <cell r="G376" t="str">
            <v>- 열원, 산화제 및 강산화제와 격리하여 저장할 것
- 서늘하고 통풍이 잘되는 곳에 밀폐 보관할 것
- 저장용기는 물리적인 손상에 견딜 수 있어야 할 것
- 금속비소는 산화하기 쉬우므로 진공 또는 불활성가스 중에 보관(③ Arsenic)할 것
- 사고발생에 대비하여 눈이나 몸을 씻을 수 있는 세안시설과 샤워시설이 이용 가능한 장소에서 작업할 것
- 사용한 후 식사, 흡연, 화장실에 가기 전에 물과 비누로 손을 꼭 세척할 것
- 취급 또는 작업 시는 통풍이 잘되는 후드에서 행하고 불 침투성 바닥, 독성 흄 응축장치, 분말제거장치를 갖출 것
- 호흡보호구, 전면보호구, 내산성장갑, 고효율의 입자필터가 장착된 안면보호구, 보안경을 반드시 사용할 것
- 콘택트렌즈를 착용 금지할 것
- 국소배기장치 가동할 것
- 화재 시 산화비소(Ⅲ) 증기가 방출되어 심한 용혈작용을 유발하므로 주의(③Arsenic)할 것</v>
          </cell>
        </row>
        <row r="377">
          <cell r="B377" t="str">
            <v>7784-38-5</v>
          </cell>
          <cell r="C377" t="str">
            <v>비소화합물질</v>
          </cell>
          <cell r="D377" t="str">
            <v>97-1-119</v>
          </cell>
          <cell r="E377" t="str">
            <v>또는 그 화합물과 비소화합물을 0.1% 이상 함유한 혼합물질</v>
          </cell>
          <cell r="F377">
            <v>0.1</v>
          </cell>
          <cell r="G377" t="str">
            <v>- 열원, 산화제 및 강산화제와 격리하여 저장할 것
- 서늘하고 통풍이 잘되는 곳에 밀폐 보관할 것
- 저장용기는 물리적인 손상에 견딜 수 있어야 할 것
- 금속비소는 산화하기 쉬우므로 진공 또는 불활성가스 중에 보관(③ Arsenic)할 것
- 사고발생에 대비하여 눈이나 몸을 씻을 수 있는 세안시설과 샤워시설이 이용 가능한 장소에서 작업할 것
- 사용한 후 식사, 흡연, 화장실에 가기 전에 물과 비누로 손을 꼭 세척할 것
- 취급 또는 작업 시는 통풍이 잘되는 후드에서 행하고 불 침투성 바닥, 독성 흄 응축장치, 분말제거장치를 갖출 것
- 호흡보호구, 전면보호구, 내산성장갑, 고효율의 입자필터가 장착된 안면보호구, 보안경을 반드시 사용할 것
- 콘택트렌즈를 착용 금지할 것
- 국소배기장치 가동할 것
- 화재 시 산화비소(Ⅲ) 증기가 방출되어 심한 용혈작용을 유발하므로 주의(③Arsenic)할 것</v>
          </cell>
        </row>
        <row r="378">
          <cell r="B378" t="str">
            <v>7784-40-9</v>
          </cell>
          <cell r="C378" t="str">
            <v>비산 납</v>
          </cell>
          <cell r="D378" t="str">
            <v>97-1-119</v>
          </cell>
          <cell r="E378" t="str">
            <v>또는 그 화합물과 비소화합물을 0.1% 이상 함유한 혼합물질</v>
          </cell>
          <cell r="F378">
            <v>0.1</v>
          </cell>
          <cell r="G378" t="str">
            <v>- 열원, 산화제 및 강산화제와 격리하여 저장할 것
- 서늘하고 통풍이 잘되는 곳에 밀폐 보관할 것
- 저장용기는 물리적인 손상에 견딜 수 있어야 할 것
- 금속비소는 산화하기 쉬우므로 진공 또는 불활성가스 중에 보관(③ Arsenic)할 것
- 사고발생에 대비하여 눈이나 몸을 씻을 수 있는 세안시설과 샤워시설이 이용 가능한 장소에서 작업할 것
- 사용한 후 식사, 흡연, 화장실에 가기 전에 물과 비누로 손을 꼭 세척할 것
- 취급 또는 작업 시는 통풍이 잘되는 후드에서 행하고 불 침투성 바닥, 독성 흄 응축장치, 분말제거장치를 갖출 것
- 호흡보호구, 전면보호구, 내산성장갑, 고효율의 입자필터가 장착된 안면보호구, 보안경을 반드시 사용할 것
- 콘택트렌즈를 착용 금지할 것
- 국소배기장치 가동할 것
- 화재 시 산화비소(Ⅲ) 증기가 방출되어 심한 용혈작용을 유발하므로 주의(③Arsenic)할 것</v>
          </cell>
        </row>
        <row r="379">
          <cell r="B379" t="str">
            <v>7784-41-0</v>
          </cell>
          <cell r="C379" t="str">
            <v>비소화합물질</v>
          </cell>
          <cell r="D379" t="str">
            <v>97-1-119</v>
          </cell>
          <cell r="E379" t="str">
            <v>또는 그 화합물과 비소화합물을 0.1% 이상 함유한 혼합물질</v>
          </cell>
          <cell r="F379">
            <v>0.1</v>
          </cell>
          <cell r="G379" t="str">
            <v>- 열원, 산화제 및 강산화제와 격리하여 저장할 것
- 서늘하고 통풍이 잘되는 곳에 밀폐 보관할 것
- 저장용기는 물리적인 손상에 견딜 수 있어야 할 것
- 금속비소는 산화하기 쉬우므로 진공 또는 불활성가스 중에 보관(③ Arsenic)할 것
- 사고발생에 대비하여 눈이나 몸을 씻을 수 있는 세안시설과 샤워시설이 이용 가능한 장소에서 작업할 것
- 사용한 후 식사, 흡연, 화장실에 가기 전에 물과 비누로 손을 꼭 세척할 것
- 취급 또는 작업 시는 통풍이 잘되는 후드에서 행하고 불 침투성 바닥, 독성 흄 응축장치, 분말제거장치를 갖출 것
- 호흡보호구, 전면보호구, 내산성장갑, 고효율의 입자필터가 장착된 안면보호구, 보안경을 반드시 사용할 것
- 콘택트렌즈를 착용 금지할 것
- 국소배기장치 가동할 것
- 화재 시 산화비소(Ⅲ) 증기가 방출되어 심한 용혈작용을 유발하므로 주의(③Arsenic)할 것</v>
          </cell>
        </row>
        <row r="380">
          <cell r="B380" t="str">
            <v>7784-42-1</v>
          </cell>
          <cell r="C380" t="str">
            <v>삼수화비소</v>
          </cell>
          <cell r="D380" t="str">
            <v>97-1-119</v>
          </cell>
          <cell r="E380" t="str">
            <v>또는 그 화합물과 비소화합물을 0.1% 이상 함유한 혼합물질</v>
          </cell>
          <cell r="F380">
            <v>0.1</v>
          </cell>
          <cell r="G380" t="str">
            <v>- 열원, 산화제 및 강산화제와 격리하여 저장할 것
- 서늘하고 통풍이 잘되는 곳에 밀폐 보관할 것
- 저장용기는 물리적인 손상에 견딜 수 있어야 할 것
- 금속비소는 산화하기 쉬우므로 진공 또는 불활성가스 중에 보관(③ Arsenic)할 것
- 사고발생에 대비하여 눈이나 몸을 씻을 수 있는 세안시설과 샤워시설이 이용 가능한 장소에서 작업할 것
- 사용한 후 식사, 흡연, 화장실에 가기 전에 물과 비누로 손을 꼭 세척할 것
- 취급 또는 작업 시는 통풍이 잘되는 후드에서 행하고 불 침투성 바닥, 독성 흄 응축장치, 분말제거장치를 갖출 것
- 호흡보호구, 전면보호구, 내산성장갑, 고효율의 입자필터가 장착된 안면보호구, 보안경을 반드시 사용할 것
- 콘택트렌즈를 착용 금지할 것
- 국소배기장치 가동할 것
- 화재 시 산화비소(Ⅲ) 증기가 방출되어 심한 용혈작용을 유발하므로 주의(③Arsenic)할 것</v>
          </cell>
        </row>
        <row r="381">
          <cell r="B381" t="str">
            <v>7784-44-3</v>
          </cell>
          <cell r="C381" t="str">
            <v>비소화합물질</v>
          </cell>
          <cell r="D381" t="str">
            <v>97-1-119</v>
          </cell>
          <cell r="E381" t="str">
            <v>또는 그 화합물과 비소화합물을 0.1% 이상 함유한 혼합물질</v>
          </cell>
          <cell r="F381">
            <v>0.1</v>
          </cell>
          <cell r="G381" t="str">
            <v>- 열원, 산화제 및 강산화제와 격리하여 저장할 것
- 서늘하고 통풍이 잘되는 곳에 밀폐 보관할 것
- 저장용기는 물리적인 손상에 견딜 수 있어야 할 것
- 금속비소는 산화하기 쉬우므로 진공 또는 불활성가스 중에 보관(③ Arsenic)할 것
- 사고발생에 대비하여 눈이나 몸을 씻을 수 있는 세안시설과 샤워시설이 이용 가능한 장소에서 작업할 것
- 사용한 후 식사, 흡연, 화장실에 가기 전에 물과 비누로 손을 꼭 세척할 것
- 취급 또는 작업 시는 통풍이 잘되는 후드에서 행하고 불 침투성 바닥, 독성 흄 응축장치, 분말제거장치를 갖출 것
- 호흡보호구, 전면보호구, 내산성장갑, 고효율의 입자필터가 장착된 안면보호구, 보안경을 반드시 사용할 것
- 콘택트렌즈를 착용 금지할 것
- 국소배기장치 가동할 것
- 화재 시 산화비소(Ⅲ) 증기가 방출되어 심한 용혈작용을 유발하므로 주의(③Arsenic)할 것</v>
          </cell>
        </row>
        <row r="382">
          <cell r="B382" t="str">
            <v>7784-45-4</v>
          </cell>
          <cell r="C382" t="str">
            <v>트리요오드비소</v>
          </cell>
          <cell r="D382" t="str">
            <v>97-1-119</v>
          </cell>
          <cell r="E382" t="str">
            <v>또는 그 화합물과 비소화합물을 0.1% 이상 함유한 혼합물질</v>
          </cell>
          <cell r="F382">
            <v>0.1</v>
          </cell>
          <cell r="G382" t="str">
            <v>- 열원, 산화제 및 강산화제와 격리하여 저장할 것
- 서늘하고 통풍이 잘되는 곳에 밀폐 보관할 것
- 저장용기는 물리적인 손상에 견딜 수 있어야 할 것
- 금속비소는 산화하기 쉬우므로 진공 또는 불활성가스 중에 보관(③ Arsenic)할 것
- 사고발생에 대비하여 눈이나 몸을 씻을 수 있는 세안시설과 샤워시설이 이용 가능한 장소에서 작업할 것
- 사용한 후 식사, 흡연, 화장실에 가기 전에 물과 비누로 손을 꼭 세척할 것
- 취급 또는 작업 시는 통풍이 잘되는 후드에서 행하고 불 침투성 바닥, 독성 흄 응축장치, 분말제거장치를 갖출 것
- 호흡보호구, 전면보호구, 내산성장갑, 고효율의 입자필터가 장착된 안면보호구, 보안경을 반드시 사용할 것
- 콘택트렌즈를 착용 금지할 것
- 국소배기장치 가동할 것
- 화재 시 산화비소(Ⅲ) 증기가 방출되어 심한 용혈작용을 유발하므로 주의(③Arsenic)할 것</v>
          </cell>
        </row>
        <row r="383">
          <cell r="B383" t="str">
            <v>7784-46-5</v>
          </cell>
          <cell r="C383" t="str">
            <v>아비산소다</v>
          </cell>
          <cell r="D383" t="str">
            <v>97-1-119</v>
          </cell>
          <cell r="E383" t="str">
            <v>또는 그 화합물과 비소화합물을 0.1% 이상 함유한 혼합물질</v>
          </cell>
          <cell r="F383">
            <v>0.1</v>
          </cell>
          <cell r="G383" t="str">
            <v>- 열원, 산화제 및 강산화제와 격리하여 저장할 것
- 서늘하고 통풍이 잘되는 곳에 밀폐 보관할 것
- 저장용기는 물리적인 손상에 견딜 수 있어야 할 것
- 금속비소는 산화하기 쉬우므로 진공 또는 불활성가스 중에 보관(③ Arsenic)할 것
- 사고발생에 대비하여 눈이나 몸을 씻을 수 있는 세안시설과 샤워시설이 이용 가능한 장소에서 작업할 것
- 사용한 후 식사, 흡연, 화장실에 가기 전에 물과 비누로 손을 꼭 세척할 것
- 취급 또는 작업 시는 통풍이 잘되는 후드에서 행하고 불 침투성 바닥, 독성 흄 응축장치, 분말제거장치를 갖출 것
- 호흡보호구, 전면보호구, 내산성장갑, 고효율의 입자필터가 장착된 안면보호구, 보안경을 반드시 사용할 것
- 콘택트렌즈를 착용 금지할 것
- 국소배기장치 가동할 것
- 화재 시 산화비소(Ⅲ) 증기가 방출되어 심한 용혈작용을 유발하므로 주의(③Arsenic)할 것</v>
          </cell>
        </row>
        <row r="384">
          <cell r="B384" t="str">
            <v>98106-56-0</v>
          </cell>
          <cell r="C384" t="str">
            <v>비소화합물질</v>
          </cell>
          <cell r="D384" t="str">
            <v>97-1-119</v>
          </cell>
          <cell r="E384" t="str">
            <v>또는 그 화합물과 비소화합물을 0.1% 이상 함유한 혼합물질</v>
          </cell>
          <cell r="F384">
            <v>0.1</v>
          </cell>
          <cell r="G384" t="str">
            <v>- 열원, 산화제 및 강산화제와 격리하여 저장할 것
- 서늘하고 통풍이 잘되는 곳에 밀폐 보관할 것
- 저장용기는 물리적인 손상에 견딜 수 있어야 할 것
- 금속비소는 산화하기 쉬우므로 진공 또는 불활성가스 중에 보관(③ Arsenic)할 것
- 사고발생에 대비하여 눈이나 몸을 씻을 수 있는 세안시설과 샤워시설이 이용 가능한 장소에서 작업할 것
- 사용한 후 식사, 흡연, 화장실에 가기 전에 물과 비누로 손을 꼭 세척할 것
- 취급 또는 작업 시는 통풍이 잘되는 후드에서 행하고 불 침투성 바닥, 독성 흄 응축장치, 분말제거장치를 갖출 것
- 호흡보호구, 전면보호구, 내산성장갑, 고효율의 입자필터가 장착된 안면보호구, 보안경을 반드시 사용할 것
- 콘택트렌즈를 착용 금지할 것
- 국소배기장치 가동할 것
- 화재 시 산화비소(Ⅲ) 증기가 방출되어 심한 용혈작용을 유발하므로 주의(③Arsenic)할 것</v>
          </cell>
        </row>
        <row r="385">
          <cell r="B385" t="str">
            <v>99035-51-5</v>
          </cell>
          <cell r="C385" t="str">
            <v>비소화합물질</v>
          </cell>
          <cell r="D385" t="str">
            <v>97-1-119</v>
          </cell>
          <cell r="E385" t="str">
            <v>또는 그 화합물과 비소화합물을 0.1% 이상 함유한 혼합물질</v>
          </cell>
          <cell r="F385">
            <v>0.1</v>
          </cell>
          <cell r="G385" t="str">
            <v>- 열원, 산화제 및 강산화제와 격리하여 저장할 것
- 서늘하고 통풍이 잘되는 곳에 밀폐 보관할 것
- 저장용기는 물리적인 손상에 견딜 수 있어야 할 것
- 금속비소는 산화하기 쉬우므로 진공 또는 불활성가스 중에 보관(③ Arsenic)할 것
- 사고발생에 대비하여 눈이나 몸을 씻을 수 있는 세안시설과 샤워시설이 이용 가능한 장소에서 작업할 것
- 사용한 후 식사, 흡연, 화장실에 가기 전에 물과 비누로 손을 꼭 세척할 것
- 취급 또는 작업 시는 통풍이 잘되는 후드에서 행하고 불 침투성 바닥, 독성 흄 응축장치, 분말제거장치를 갖출 것
- 호흡보호구, 전면보호구, 내산성장갑, 고효율의 입자필터가 장착된 안면보호구, 보안경을 반드시 사용할 것
- 콘택트렌즈를 착용 금지할 것
- 국소배기장치 가동할 것
- 화재 시 산화비소(Ⅲ) 증기가 방출되어 심한 용혈작용을 유발하므로 주의(③Arsenic)할 것</v>
          </cell>
        </row>
        <row r="386">
          <cell r="B386" t="str">
            <v>106-20-7</v>
          </cell>
          <cell r="C386" t="str">
            <v>비스(2-에틸헥실)아민</v>
          </cell>
          <cell r="D386" t="str">
            <v>97-1-120</v>
          </cell>
          <cell r="E386" t="str">
            <v>및 이를 25% 이상 함유한 혼합물질</v>
          </cell>
          <cell r="F386">
            <v>25</v>
          </cell>
          <cell r="G386" t="str">
            <v>- 건조하고 통풍이 잘 되는 그늘 및 서늘한 곳에 밀폐 보관할 것
- 식료품, 사료, 의약품, 음식과 혼합저장 금지할 것
- 필요에 따라 국소배기장치 가동할 것
- 저장용기는 물리적인 손상에 견딜 수 있어야 할 것
- 강산화제, 강산과 혼합위험성(incompatible)이 있으므로 격리하여 저장할 것
- 취급 또는 작업 시는 통풍이 잘 되는 후드에서 행하고 고글형 보안경, 보호의, 고무장갑, 고무앞치마, 양압자급식호흡 보호구를 착용하여 단기적인 접촉 및 반복적이고 장기적인 노출을 피할 것
- 노출기준 이상에서는 호흡보호구를 착용할 것
- 취급 후, 손을 철저하게 세척할 것</v>
          </cell>
        </row>
        <row r="387">
          <cell r="B387" t="str">
            <v>111-44-4</v>
          </cell>
          <cell r="C387" t="str">
            <v>비스(2-클로로에틸)에테르</v>
          </cell>
          <cell r="D387" t="str">
            <v>97-1-121,06-4-11</v>
          </cell>
          <cell r="E387" t="str">
            <v>및 이를 0.1% 이상 함유한 혼합물질</v>
          </cell>
          <cell r="F387">
            <v>0.1</v>
          </cell>
          <cell r="G387" t="str">
            <v>- 강산화제와 격리하고 빛과 열을 피해 저장할 것
- 스파크를 방지하기 위해 용기를 접지할 것
- 통풍이 잘 되는 그늘 및 서늘한 곳에 밀폐 보관할 것
- 건조한 곳에 저장할 것
- 저장용기는 물리적인 손상에 견딜 수 있어야 할 것
- 사고발생에 대비하여 눈이나 몸을 씻을 수 있는 세안시설과 샤워시설이 이용 가능한 장소에서 작업할 것
- 사용한 후 식사, 흡연, 화장실에 가기 전에 물과 비누로 손을 꼭 세척할 것
- 취급 시 안전피펫을 사용할 것
- 점화원을 제거할 것
- 취급 또는 작업 시는 통풍이 잘 되는 후드에서 행하고 내산성보호의, 고무장갑, 고무앞치마, 산성가스 카트리지가 장착된 전면호흡용보호구를 착용하여 단기적인 접촉 및 반복적이고 장기적인 노출을 피해야 할 것
- 콘택트렌즈를 착용 금지할 것
- 통풍장치 가동할 것
- 물질을 이동시킬 때 용기를 땅에 밀착하여 이동할 것
- 빈 용기를 가압, 절단, 용접, 납땜, 연마, 천공을 해서는 안 되며, 열, 스파크, 화염에 노출시키지 말 것
- 취급금지물질(이를 0.1% 이상 함유한 혼합물질)</v>
          </cell>
        </row>
        <row r="388">
          <cell r="B388" t="str">
            <v>542-88-1</v>
          </cell>
          <cell r="C388" t="str">
            <v>비스(클로로메틸)에테르</v>
          </cell>
          <cell r="D388" t="str">
            <v>97-1-122,06-4-12</v>
          </cell>
          <cell r="E388" t="str">
            <v>및 이를 0.1% 이상 함유한 혼합물질</v>
          </cell>
          <cell r="F388">
            <v>0.1</v>
          </cell>
          <cell r="G388" t="str">
            <v>- 서늘하고 건조하고 어두운 장소에서 밀폐된 용기나 실린더에 저장할 것
- 산, 산화제, 물, 습한 공기 또는 점화원과 격리시켜 보관할 것
- 실험실과 가까운 곳에 저장할 것
- 화학물질 흄 후드 내에서 취급할 것
- 취급 시 송기마스크를 갖춘 전면 보호 장비 또는 양압자급식호흡용 보호구를 반드시 착용할 것
- 취급 시 피부접촉을 피하고 보호의와 보호 장갑을 착용할 것
- 가능하면 본 물질을 저장한 원용기에서 반응용기를 자동기계로 옮길 것
- 용기의 개폐(開閉)시 스파크가 발생되지 않는 도구를 사용할 것
- 취급금지물질(이를 0.1% 이상 함유한 혼합물질)</v>
          </cell>
        </row>
        <row r="389">
          <cell r="B389" t="str">
            <v>39603-48-0</v>
          </cell>
          <cell r="C389" t="str">
            <v>비스티오세미</v>
          </cell>
          <cell r="D389" t="str">
            <v>97-1-123</v>
          </cell>
          <cell r="E389" t="str">
            <v>및 이를 2% 이상 함유한 혼합물질</v>
          </cell>
          <cell r="F389">
            <v>2</v>
          </cell>
          <cell r="G389" t="str">
            <v>- 통풍이 잘 되는 그늘 및 서늘한 곳에 보관할 것
- 의약품, 음식 등과 혼합저장 금지할 것
- 필요에 따라 국소배기장치 가동할 것
- 분진을 호흡 금지할 것
- 적절한 보호복과 보호장갑을 착용할 것
- 작업 후 온몸을 깨끗이 씻은 후 충분한 휴식할 것
- 눈과 접촉 시 즉시 다량의 물로 씻어내고 의사의 검진을 받을 것
- 양압자급식호흡용 보호구를 반드시 착용하고 보호의와 고글형보안경을 착용할 것</v>
          </cell>
        </row>
        <row r="390">
          <cell r="B390" t="str">
            <v>317-18-6</v>
          </cell>
          <cell r="C390" t="str">
            <v xml:space="preserve">비스티오시안산 메틸렌 </v>
          </cell>
          <cell r="D390" t="str">
            <v>97-1-124</v>
          </cell>
          <cell r="E390" t="str">
            <v>및 이를 1% 이상 함유한 혼합물질</v>
          </cell>
          <cell r="F390">
            <v>1</v>
          </cell>
          <cell r="G390" t="str">
            <v>- 통풍이 잘 되는 그늘 및 서늘한 곳에 밀폐 보관할 것
- 저장용기는 물리적인 손상에 견딜 수 있어야 할 것
- 필요에 따라 국소배기장치 가동할 것
- 혼합금지물질 및 점화원을 격리할 것
- 화학물질 흄 후드 내에서 취급할 것
- 취급 시 피부접촉을 피하고 보호의, 보안경, 보호장갑을 착용할 것
- 취급 시 양압자급식호흡용 보호구를 착용할 것
- 취급 시 콘택트렌즈를 착용 금지할 것</v>
          </cell>
        </row>
        <row r="391">
          <cell r="B391" t="str">
            <v>20816-12-0</v>
          </cell>
          <cell r="C391" t="str">
            <v>사산화 오스뮴</v>
          </cell>
          <cell r="D391" t="str">
            <v>97-1-125</v>
          </cell>
          <cell r="E391" t="str">
            <v>및 이를 25% 이상 함유한 혼합물질</v>
          </cell>
          <cell r="F391">
            <v>25</v>
          </cell>
          <cell r="G391" t="str">
            <v>- 환기가 잘 되는 곳에 저장할 것
- 확실하게 밀폐된 용기에 저장할 것
- 금속 및 인화성물질과 격리시켜 보관할 것
- 식료품, 사료, 의약품, 음식과 혼합저장 및 수송 금지할 것
- 열, 스파크, 화염, 점화원과 격리할 것
- 취급 시 안면보호구를 갖춘 양압자급식호흡용보호구를 착용할 것
- 취급 시 피부접촉을 피하고 보호의, 보호 장갑을 착용할 것
- 취급 후, 손을 철저하게 세척할 것
- 빈 용기를 가압, 절단, 용접, 납땜, 연마, 천공을 해서는 안 되며, 열, 스파크, 화염에 노출시키지 말 것</v>
          </cell>
        </row>
        <row r="392">
          <cell r="B392" t="str">
            <v>56-23-5</v>
          </cell>
          <cell r="C392" t="str">
            <v>사염화탄소</v>
          </cell>
          <cell r="D392" t="str">
            <v>97-1-126,06-5-3</v>
          </cell>
          <cell r="E392" t="str">
            <v>및 이를 1% 이상 함유한 혼합물질</v>
          </cell>
          <cell r="F392">
            <v>1</v>
          </cell>
          <cell r="G392" t="str">
            <v>- 환기가 잘 되는 그늘 및 서늘한 곳에 밀폐 보관할 것
- 식료품, 사료, 의약품, 인화성물질과 혼합저장 금지할 것
- 필요에 따라 국소배기장치 가동할 것
- 알칼리성 물질과 가까이 저장 금지할 것
- 화학물질 흄 후드 내에서만 취급할 것
- 취급 시 피부접촉을 피하고 보호의와 보호장갑을 착용할 것
- 취급 시 자급식호흡용보호구를 반드시 착용할 것
- 철이나 금속 또는 가죽재질의 보호장비는 착용 금지할 것
- 취급제한물질(이를 1% 이상 함유한 혼합물질)</v>
          </cell>
        </row>
        <row r="393">
          <cell r="C393" t="str">
            <v>산화 트리헥실포스핀, 산화 트리-n-옥틸포스핀, 산화 디옥틸 모노옥틸 디헥실포스핀의 혼합물질</v>
          </cell>
          <cell r="D393" t="str">
            <v>97-1-127</v>
          </cell>
          <cell r="E393" t="str">
            <v>및 이를 25% 이상 함유한 혼합물질</v>
          </cell>
          <cell r="G393" t="str">
            <v>- 통풍이 잘 되는 그늘 및 서늘한 곳에 밀폐 보관할 것
- 식료품, 사료, 의약품, 음식과 혼합저장 금지할 것
- 저장용기는 물리적인 손상에 견딜 수 있어야 할 것
- 사고발생에 대비하여 눈이나 몸을 씻을 수 있는 세안시설과 샤워시설이 이용 가능한 장소에서 작업할 것
- 사용한 후 식사, 흡연, 화장실에 가기 전에 물과 비누로 손을 꼭 세척할 것
- 호흡용보호구, 보안경, 보호의, 보호장갑(고무 또는 네오프렌 재질)을 반드시 사용할 것
- 콘택트렌즈를 착용 금지할 것
- 통풍장치 가동할 것</v>
          </cell>
        </row>
        <row r="394">
          <cell r="B394" t="str">
            <v>13356-08-6</v>
          </cell>
          <cell r="C394" t="str">
            <v>산화펜브타틴</v>
          </cell>
          <cell r="D394" t="str">
            <v>97-1-128</v>
          </cell>
          <cell r="E394" t="str">
            <v>및 이를 1% 이상 함유한 혼합물질</v>
          </cell>
          <cell r="F394">
            <v>1</v>
          </cell>
          <cell r="G394" t="str">
            <v>- 화학물질 흄 후드 내에서 취급할 것
- 점화원을 제거할 것
- 취급 시 피부접촉을 피하고 보호의(고무제)와 보호장갑을 착용할 것
- 양압자급식호흡용 보호구를 반드시 착용하고 보호구와 고글형 보안경을 착용할 것</v>
          </cell>
        </row>
        <row r="395">
          <cell r="B395" t="str">
            <v>75-56-9</v>
          </cell>
          <cell r="C395" t="str">
            <v>산화프로필렌</v>
          </cell>
          <cell r="D395" t="str">
            <v>97-1-129</v>
          </cell>
          <cell r="E395" t="str">
            <v>및 이를 0.1% 이상 함유한 혼합물질</v>
          </cell>
          <cell r="F395">
            <v>0.1</v>
          </cell>
          <cell r="G395" t="str">
            <v>- 저장용기는 물리적인 손상에 견딜 수 있어야 할 것
- 인화성이 매우 높으므로 가연성물질과 격리 보관할 것
- 취급시 안면자급식호흡용보호구, 고글형보안경, 고무(또는 플라스틱)보호장비, 송기마스크를 착용할 것
- 취급시 피부접촉을 피하고 보호의와 보호장갑, 안면보호구를 착용할 것
- 사고대비물질(이를 0.1% 이상 함유한 혼합물질)</v>
          </cell>
        </row>
        <row r="396">
          <cell r="B396" t="str">
            <v>12035-36-8</v>
          </cell>
          <cell r="C396" t="str">
            <v>산화니켈</v>
          </cell>
          <cell r="D396" t="str">
            <v>97-1-130</v>
          </cell>
          <cell r="E396" t="str">
            <v>및 황화니켈류와 그 중 하나를 0.1% 이상 함유한 혼합물질</v>
          </cell>
          <cell r="F396">
            <v>0.1</v>
          </cell>
          <cell r="G396" t="str">
            <v>- 통풍이 잘되는 그늘 및 서늘한 곳에 밀폐 보관할 것
- 저장용기는 물리적인 손상에 견딜 수 있어야 할 것
- 필요에 따라 국소배기장치 가동할 것
- 취급 시 피부접촉을 피하고 보호복, 보안경, 보호 장갑, 앞치마(플라스틱 재질)을 착용할 것
- 취급 시 양압자급식호흡 보호구를 착용할 것
- 취급 시 콘택트렌즈를 착용 금지할 것
- 작업장 부근에 비상시를 대비하여 샤워시설 및 세안시설을 갖출 것</v>
          </cell>
        </row>
        <row r="397">
          <cell r="B397" t="str">
            <v>12035-72-2</v>
          </cell>
          <cell r="C397" t="str">
            <v>황화니켈류</v>
          </cell>
          <cell r="D397" t="str">
            <v>97-1-130</v>
          </cell>
          <cell r="E397" t="str">
            <v>및 황화니켈류와 그 중 하나를 0.1% 이상 함유한 혼합물질</v>
          </cell>
          <cell r="F397">
            <v>0.1</v>
          </cell>
          <cell r="G397" t="str">
            <v>- 통풍이 잘되는 그늘 및 서늘한 곳에 밀폐 보관할 것
- 저장용기는 물리적인 손상에 견딜 수 있어야 할 것
- 필요에 따라 국소배기장치 가동할 것
- 취급 시 피부접촉을 피하고 보호복, 보안경, 보호 장갑, 앞치마(플라스틱 재질)을 착용할 것
- 취급 시 양압자급식호흡 보호구를 착용할 것
- 취급 시 콘택트렌즈를 착용 금지할 것
- 작업장 부근에 비상시를 대비하여 샤워시설 및 세안시설을 갖출 것</v>
          </cell>
        </row>
        <row r="398">
          <cell r="B398" t="str">
            <v>1313-99-1</v>
          </cell>
          <cell r="C398" t="str">
            <v>산화니켈/monoxide</v>
          </cell>
          <cell r="D398" t="str">
            <v>97-1-130</v>
          </cell>
          <cell r="E398" t="str">
            <v>및 황화니켈류와 그 중 하나를 0.1% 이상 함유한 혼합물질</v>
          </cell>
          <cell r="F398">
            <v>0.1</v>
          </cell>
          <cell r="G398" t="str">
            <v>- 통풍이 잘되는 그늘 및 서늘한 곳에 밀폐 보관할 것
- 저장용기는 물리적인 손상에 견딜 수 있어야 할 것
- 필요에 따라 국소배기장치 가동할 것
- 취급 시 피부접촉을 피하고 보호복, 보안경, 보호 장갑, 앞치마(플라스틱 재질)을 착용할 것
- 취급 시 양압자급식호흡 보호구를 착용할 것
- 취급 시 콘택트렌즈를 착용 금지할 것
- 작업장 부근에 비상시를 대비하여 샤워시설 및 세안시설을 갖출 것</v>
          </cell>
        </row>
        <row r="399">
          <cell r="B399" t="str">
            <v>16812-54-7</v>
          </cell>
          <cell r="C399" t="str">
            <v>황화니켈류</v>
          </cell>
          <cell r="D399" t="str">
            <v>97-1-130</v>
          </cell>
          <cell r="E399" t="str">
            <v>및 황화니켈류와 그 중 하나를 0.1% 이상 함유한 혼합물질</v>
          </cell>
          <cell r="F399">
            <v>0.1</v>
          </cell>
          <cell r="G399" t="str">
            <v>- 통풍이 잘되는 그늘 및 서늘한 곳에 밀폐 보관할 것
- 저장용기는 물리적인 손상에 견딜 수 있어야 할 것
- 필요에 따라 국소배기장치 가동할 것
- 취급 시 피부접촉을 피하고 보호복, 보안경, 보호 장갑, 앞치마(플라스틱 재질)을 착용할 것
- 취급 시 양압자급식호흡 보호구를 착용할 것
- 취급 시 콘택트렌즈를 착용 금지할 것
- 작업장 부근에 비상시를 대비하여 샤워시설 및 세안시설을 갖출 것</v>
          </cell>
        </row>
        <row r="400">
          <cell r="B400" t="str">
            <v>11099-02-8</v>
          </cell>
          <cell r="C400" t="str">
            <v>니켈산화물</v>
          </cell>
          <cell r="D400" t="str">
            <v>97-1-130</v>
          </cell>
          <cell r="E400" t="str">
            <v>및 황화니켈류와 그 중 하나를 0.1% 이상 함유한 혼합물질</v>
          </cell>
          <cell r="F400">
            <v>0.1</v>
          </cell>
          <cell r="G400" t="str">
            <v>- 통풍이 잘되는 그늘 및 서늘한 곳에 밀폐 보관할 것
- 저장용기는 물리적인 손상에 견딜 수 있어야 할 것
- 필요에 따라 국소배기장치 가동할 것
- 취급 시 피부접촉을 피하고 보호복, 보안경, 보호 장갑, 앞치마(플라스틱 재질)을 착용할 것
- 취급 시 양압자급식호흡 보호구를 착용할 것
- 취급 시 콘택트렌즈를 착용 금지할 것
- 작업장 부근에 비상시를 대비하여 샤워시설 및 세안시설을 갖출 것</v>
          </cell>
        </row>
        <row r="401">
          <cell r="B401" t="str">
            <v>53003-10-4</v>
          </cell>
          <cell r="C401" t="str">
            <v xml:space="preserve">살리노마이신 </v>
          </cell>
          <cell r="D401" t="str">
            <v>97-1-131</v>
          </cell>
          <cell r="E401" t="str">
            <v>및 이를 살리노마이신으로서 1% 이상 함유한 혼합물질</v>
          </cell>
          <cell r="F401">
            <v>1</v>
          </cell>
          <cell r="G401" t="str">
            <v>- 건조하고 통풍이 잘 되는 그늘 및 서늘한 곳에 밀폐 보관할 것
- 식료품, 사료, 의약품, 음식과 혼합저장 금지할 것
- 필요에 따라 국소배기장치 가동할 것
- 저장용기는 물리적인 손상에 견딜 수 있어야 할 것
- 산화제와의 반응을 피할 것
- 취급 또는 작업시는 통풍이 잘 되는 후드에서 행하고 고글형 보안경, 보호의, 보호장갑, 앞치마, 양압자급식호흡용 보호구를 착용하여 단기적인 접촉 및 반복적이고 장기적인 노출을 피할 것
- 노출기준 이상에서는 호흡보호구를 착용할 것
- 취급 후에는 항상 비누와 물로 손을 세척할 것
- 빈 용기에 잔류물질은 바닥에 쌓여서 축적될 수 있지만 잔류물질은 적당한 점화원이 존재하는 경우에 폭발할 수도 있으므로 그러한 용기에 절삭, 천공, 연마 또는 용접을 해서는 안될 것</v>
          </cell>
        </row>
        <row r="402">
          <cell r="B402" t="str">
            <v>7719-12-2</v>
          </cell>
          <cell r="C402" t="str">
            <v>삼염화 인</v>
          </cell>
          <cell r="D402" t="str">
            <v>97-1-132</v>
          </cell>
          <cell r="E402" t="str">
            <v>및 이를 25% 이상 함유한 혼합물질</v>
          </cell>
          <cell r="F402">
            <v>25</v>
          </cell>
          <cell r="G402" t="str">
            <v>- 저장용기는 물리적 손상 및 침식을 견딜 수 있어야 할 것
- 서늘하고 건조하고 통풍이 잘 되는 장소에서 혼합금지물질과 격리 저장할 것
- 부식장소를 피할 것
- 취급 시 안면보호구를 갖춘 송기마스크와 양압자급식호흡용보호구, 고무보호의, 고무장갑, 보안경을 반드시 착용할 것
- 콘택트렌즈를 착용 금지할 것
- 취급 후, 손을 철저하게 세척할 것
- 잔류물이 남아 있을 수 있기 때문에 용기가 비어도 모든 MSDS 와 예방조치를 따를 것
- 사고대비물질(이를 25% 이상 함유한 혼합물질)</v>
          </cell>
        </row>
        <row r="403">
          <cell r="B403" t="str">
            <v>2346-99-8</v>
          </cell>
          <cell r="C403" t="str">
            <v>세레진</v>
          </cell>
          <cell r="D403" t="str">
            <v>97-1-133</v>
          </cell>
          <cell r="E403" t="str">
            <v>및 이를 1% 이상 함유한 혼합물질</v>
          </cell>
          <cell r="F403">
            <v>1</v>
          </cell>
          <cell r="G403" t="str">
            <v>- 건조하고 통풍이 잘 되는 그늘 및 서늘한 곳에 밀폐 보관할 것
- 식료품, 사료, 의약품, 음식과 혼합저장 금지할 것
- 필요에 따라 국소배기장치 가동할 것
- 저장용기는 물리적인 손상에 견딜 수 있어야 할 것
- 화재 또는 폭발의 위험성이 있으므로 열원, 스파크, 불꽃, 가연성물질, 점화원과 격리하여 저장할 것
- 취급 또는 작업시는 통풍이 잘 되는 후드에서 행하고 고글형 보안경, 보호의, 보호장갑(고무 또는 네오프렌 제질), 앞치마, 양압자급식호흡용보호구를 착용하여 단기적인 접촉 및 반복적이고 장기적인 노출을 피할 것
- 가죽으로 만든 보호의, 장갑, 앞치마는 사용 금지할 것
- 노출기준 이상에서는 호흡보호구를 착용할 것
- 사용한 용기는 물과 표백제로 닦거나, 24 시간동안 알칼리성용액에 담근 후 뜨거운 물로 헹굴 것</v>
          </cell>
        </row>
        <row r="404">
          <cell r="B404" t="str">
            <v>7782-49-2</v>
          </cell>
          <cell r="C404" t="str">
            <v xml:space="preserve">셀레늄 </v>
          </cell>
          <cell r="D404" t="str">
            <v>97-1-134</v>
          </cell>
          <cell r="E404" t="str">
            <v>및 이를 1% 이상 함유한 혼합물질</v>
          </cell>
          <cell r="F404">
            <v>1</v>
          </cell>
          <cell r="G404" t="str">
            <v>- 염소, 불소, 브롬 등의 강산화제, 염산, 황산, 질산 등의 강산, 물과 격리하여 저장할 것
- 용기에 녹이 슬 수 있으므로 습기를 피해 건조한 곳에 저장할 것
- 빈 용기도 같은 장소에 저장할 것
- 암모니아, 할로겐화수소, 산, 강산화제, 유기물질과 격리하여 저장할 것
- 통풍이 잘 되는 그늘 및 서늘한 곳에 밀폐 보관할 것
- 식료품, 사료, 의약품, 음식과 혼합저장 금지할 것
- 필요에 따라 국소배기장치 가동할 것
- 저장용기는 물리적인 손상에 견딜 수 있어야 할 것
- 사고발생에 대비하여 눈이나 몸을 씻을 수 있는 세안시설과 샤워시설이 이용 가능한 장소에서 작업할 것
- 사용한 후 식사, 흡연, 화장실에 가기 전에 물과 비누로 손을 꼭 세척할 것
- 호흡용보호구, 전면보호구, 보안경, 보호 장갑(고무 또는 네오프렌 재질)을 반드시 사용할 것
- 콘택트렌즈를 착용 금지할 것</v>
          </cell>
        </row>
        <row r="405">
          <cell r="B405" t="str">
            <v>10026-03-6</v>
          </cell>
          <cell r="C405" t="str">
            <v>사염화셀레늄</v>
          </cell>
          <cell r="D405" t="str">
            <v>97-1-134</v>
          </cell>
          <cell r="E405" t="str">
            <v>및 이를 1% 이상 함유한 혼합물질</v>
          </cell>
          <cell r="F405">
            <v>1</v>
          </cell>
          <cell r="G405" t="str">
            <v>- 염소, 불소, 브롬 등의 강산화제, 염산, 황산, 질산 등의 강산, 물과 격리하여 저장할 것
- 용기에 녹이 슬 수 있으므로 습기를 피해 건조한 곳에 저장할 것
- 빈 용기도 같은 장소에 저장할 것
- 암모니아, 할로겐화수소, 산, 강산화제, 유기물질과 격리하여 저장할 것
- 통풍이 잘 되는 그늘 및 서늘한 곳에 밀폐 보관할 것
- 식료품, 사료, 의약품, 음식과 혼합저장 금지할 것
- 필요에 따라 국소배기장치 가동할 것
- 저장용기는 물리적인 손상에 견딜 수 있어야 할 것
- 사고발생에 대비하여 눈이나 몸을 씻을 수 있는 세안시설과 샤워시설이 이용 가능한 장소에서 작업할 것
- 사용한 후 식사, 흡연, 화장실에 가기 전에 물과 비누로 손을 꼭 세척할 것
- 호흡용보호구, 전면보호구, 보안경, 보호 장갑(고무 또는 네오프렌 재질)을 반드시 사용할 것
- 콘택트렌즈를 착용 금지할 것</v>
          </cell>
        </row>
        <row r="406">
          <cell r="B406" t="str">
            <v>10026-23-0</v>
          </cell>
          <cell r="C406" t="str">
            <v>셀레늄화합물질</v>
          </cell>
          <cell r="D406" t="str">
            <v>97-1-134</v>
          </cell>
          <cell r="E406" t="str">
            <v>및 이를 1% 이상 함유한 혼합물질</v>
          </cell>
          <cell r="F406">
            <v>1</v>
          </cell>
          <cell r="G406" t="str">
            <v>- 염소, 불소, 브롬 등의 강산화제, 염산, 황산, 질산 등의 강산, 물과 격리하여 저장할 것
- 용기에 녹이 슬 수 있으므로 습기를 피해 건조한 곳에 저장할 것
- 빈 용기도 같은 장소에 저장할 것
- 암모니아, 할로겐화수소, 산, 강산화제, 유기물질과 격리하여 저장할 것
- 통풍이 잘 되는 그늘 및 서늘한 곳에 밀폐 보관할 것
- 식료품, 사료, 의약품, 음식과 혼합저장 금지할 것
- 필요에 따라 국소배기장치 가동할 것
- 저장용기는 물리적인 손상에 견딜 수 있어야 할 것
- 사고발생에 대비하여 눈이나 몸을 씻을 수 있는 세안시설과 샤워시설이 이용 가능한 장소에서 작업할 것
- 사용한 후 식사, 흡연, 화장실에 가기 전에 물과 비누로 손을 꼭 세척할 것
- 호흡용보호구, 전면보호구, 보안경, 보호 장갑(고무 또는 네오프렌 재질)을 반드시 사용할 것
- 콘택트렌즈를 착용 금지할 것</v>
          </cell>
        </row>
        <row r="407">
          <cell r="B407" t="str">
            <v>10101-96-9</v>
          </cell>
          <cell r="C407" t="str">
            <v>셀레늄화합물질</v>
          </cell>
          <cell r="D407" t="str">
            <v>97-1-134</v>
          </cell>
          <cell r="E407" t="str">
            <v>및 이를 1% 이상 함유한 혼합물질</v>
          </cell>
          <cell r="F407">
            <v>1</v>
          </cell>
          <cell r="G407" t="str">
            <v>- 염소, 불소, 브롬 등의 강산화제, 염산, 황산, 질산 등의 강산, 물과 격리하여 저장할 것
- 용기에 녹이 슬 수 있으므로 습기를 피해 건조한 곳에 저장할 것
- 빈 용기도 같은 장소에 저장할 것
- 암모니아, 할로겐화수소, 산, 강산화제, 유기물질과 격리하여 저장할 것
- 통풍이 잘 되는 그늘 및 서늘한 곳에 밀폐 보관할 것
- 식료품, 사료, 의약품, 음식과 혼합저장 금지할 것
- 필요에 따라 국소배기장치 가동할 것
- 저장용기는 물리적인 손상에 견딜 수 있어야 할 것
- 사고발생에 대비하여 눈이나 몸을 씻을 수 있는 세안시설과 샤워시설이 이용 가능한 장소에서 작업할 것
- 사용한 후 식사, 흡연, 화장실에 가기 전에 물과 비누로 손을 꼭 세척할 것
- 호흡용보호구, 전면보호구, 보안경, 보호 장갑(고무 또는 네오프렌 재질)을 반드시 사용할 것
- 콘택트렌즈를 착용 금지할 것</v>
          </cell>
        </row>
        <row r="408">
          <cell r="B408" t="str">
            <v>10102-18-8</v>
          </cell>
          <cell r="C408" t="str">
            <v>아세렌산나트륨</v>
          </cell>
          <cell r="D408" t="str">
            <v>97-1-134</v>
          </cell>
          <cell r="E408" t="str">
            <v>및 이를 1% 이상 함유한 혼합물질</v>
          </cell>
          <cell r="F408">
            <v>1</v>
          </cell>
          <cell r="G408" t="str">
            <v>- 염소, 불소, 브롬 등의 강산화제, 염산, 황산, 질산 등의 강산, 물과 격리하여 저장할 것
- 용기에 녹이 슬 수 있으므로 습기를 피해 건조한 곳에 저장할 것
- 빈 용기도 같은 장소에 저장할 것
- 암모니아, 할로겐화수소, 산, 강산화제, 유기물질과 격리하여 저장할 것
- 통풍이 잘 되는 그늘 및 서늘한 곳에 밀폐 보관할 것
- 식료품, 사료, 의약품, 음식과 혼합저장 금지할 것
- 필요에 따라 국소배기장치 가동할 것
- 저장용기는 물리적인 손상에 견딜 수 있어야 할 것
- 사고발생에 대비하여 눈이나 몸을 씻을 수 있는 세안시설과 샤워시설이 이용 가능한 장소에서 작업할 것
- 사용한 후 식사, 흡연, 화장실에 가기 전에 물과 비누로 손을 꼭 세척할 것
- 호흡용보호구, 전면보호구, 보안경, 보호 장갑(고무 또는 네오프렌 재질)을 반드시 사용할 것
- 콘택트렌즈를 착용 금지할 것</v>
          </cell>
        </row>
        <row r="409">
          <cell r="B409" t="str">
            <v>10112-94-4</v>
          </cell>
          <cell r="C409" t="str">
            <v>셀레늄화합물질</v>
          </cell>
          <cell r="D409" t="str">
            <v>97-1-134</v>
          </cell>
          <cell r="E409" t="str">
            <v>및 이를 1% 이상 함유한 혼합물질</v>
          </cell>
          <cell r="F409">
            <v>1</v>
          </cell>
          <cell r="G409" t="str">
            <v>- 염소, 불소, 브롬 등의 강산화제, 염산, 황산, 질산 등의 강산, 물과 격리하여 저장할 것
- 용기에 녹이 슬 수 있으므로 습기를 피해 건조한 곳에 저장할 것
- 빈 용기도 같은 장소에 저장할 것
- 암모니아, 할로겐화수소, 산, 강산화제, 유기물질과 격리하여 저장할 것
- 통풍이 잘 되는 그늘 및 서늘한 곳에 밀폐 보관할 것
- 식료품, 사료, 의약품, 음식과 혼합저장 금지할 것
- 필요에 따라 국소배기장치 가동할 것
- 저장용기는 물리적인 손상에 견딜 수 있어야 할 것
- 사고발생에 대비하여 눈이나 몸을 씻을 수 있는 세안시설과 샤워시설이 이용 가능한 장소에서 작업할 것
- 사용한 후 식사, 흡연, 화장실에 가기 전에 물과 비누로 손을 꼭 세척할 것
- 호흡용보호구, 전면보호구, 보안경, 보호 장갑(고무 또는 네오프렌 재질)을 반드시 사용할 것
- 콘택트렌즈를 착용 금지할 것</v>
          </cell>
        </row>
        <row r="410">
          <cell r="B410" t="str">
            <v>101357-00-0</v>
          </cell>
          <cell r="C410" t="str">
            <v>셀레늄화합물질</v>
          </cell>
          <cell r="D410" t="str">
            <v>97-1-134</v>
          </cell>
          <cell r="E410" t="str">
            <v>및 이를 1% 이상 함유한 혼합물질</v>
          </cell>
          <cell r="F410">
            <v>1</v>
          </cell>
          <cell r="G410" t="str">
            <v>- 염소, 불소, 브롬 등의 강산화제, 염산, 황산, 질산 등의 강산, 물과 격리하여 저장할 것
- 용기에 녹이 슬 수 있으므로 습기를 피해 건조한 곳에 저장할 것
- 빈 용기도 같은 장소에 저장할 것
- 암모니아, 할로겐화수소, 산, 강산화제, 유기물질과 격리하여 저장할 것
- 통풍이 잘 되는 그늘 및 서늘한 곳에 밀폐 보관할 것
- 식료품, 사료, 의약품, 음식과 혼합저장 금지할 것
- 필요에 따라 국소배기장치 가동할 것
- 저장용기는 물리적인 손상에 견딜 수 있어야 할 것
- 사고발생에 대비하여 눈이나 몸을 씻을 수 있는 세안시설과 샤워시설이 이용 가능한 장소에서 작업할 것
- 사용한 후 식사, 흡연, 화장실에 가기 전에 물과 비누로 손을 꼭 세척할 것
- 호흡용보호구, 전면보호구, 보안경, 보호 장갑(고무 또는 네오프렌 재질)을 반드시 사용할 것
- 콘택트렌즈를 착용 금지할 것</v>
          </cell>
        </row>
        <row r="411">
          <cell r="B411" t="str">
            <v>101357-01-1</v>
          </cell>
          <cell r="C411" t="str">
            <v>셀레늄화합물질</v>
          </cell>
          <cell r="D411" t="str">
            <v>97-1-134</v>
          </cell>
          <cell r="E411" t="str">
            <v>및 이를 1% 이상 함유한 혼합물질</v>
          </cell>
          <cell r="F411">
            <v>1</v>
          </cell>
          <cell r="G411" t="str">
            <v>- 염소, 불소, 브롬 등의 강산화제, 염산, 황산, 질산 등의 강산, 물과 격리하여 저장할 것
- 용기에 녹이 슬 수 있으므로 습기를 피해 건조한 곳에 저장할 것
- 빈 용기도 같은 장소에 저장할 것
- 암모니아, 할로겐화수소, 산, 강산화제, 유기물질과 격리하여 저장할 것
- 통풍이 잘 되는 그늘 및 서늘한 곳에 밀폐 보관할 것
- 식료품, 사료, 의약품, 음식과 혼합저장 금지할 것
- 필요에 따라 국소배기장치 가동할 것
- 저장용기는 물리적인 손상에 견딜 수 있어야 할 것
- 사고발생에 대비하여 눈이나 몸을 씻을 수 있는 세안시설과 샤워시설이 이용 가능한 장소에서 작업할 것
- 사용한 후 식사, 흡연, 화장실에 가기 전에 물과 비누로 손을 꼭 세척할 것
- 호흡용보호구, 전면보호구, 보안경, 보호 장갑(고무 또는 네오프렌 재질)을 반드시 사용할 것
- 콘택트렌즈를 착용 금지할 것</v>
          </cell>
        </row>
        <row r="412">
          <cell r="B412" t="str">
            <v>101357-02-2</v>
          </cell>
          <cell r="C412" t="str">
            <v>셀레늄화합물질</v>
          </cell>
          <cell r="D412" t="str">
            <v>97-1-134</v>
          </cell>
          <cell r="E412" t="str">
            <v>및 이를 1% 이상 함유한 혼합물질</v>
          </cell>
          <cell r="F412">
            <v>1</v>
          </cell>
          <cell r="G412" t="str">
            <v>- 염소, 불소, 브롬 등의 강산화제, 염산, 황산, 질산 등의 강산, 물과 격리하여 저장할 것
- 용기에 녹이 슬 수 있으므로 습기를 피해 건조한 곳에 저장할 것
- 빈 용기도 같은 장소에 저장할 것
- 암모니아, 할로겐화수소, 산, 강산화제, 유기물질과 격리하여 저장할 것
- 통풍이 잘 되는 그늘 및 서늘한 곳에 밀폐 보관할 것
- 식료품, 사료, 의약품, 음식과 혼합저장 금지할 것
- 필요에 따라 국소배기장치 가동할 것
- 저장용기는 물리적인 손상에 견딜 수 있어야 할 것
- 사고발생에 대비하여 눈이나 몸을 씻을 수 있는 세안시설과 샤워시설이 이용 가능한 장소에서 작업할 것
- 사용한 후 식사, 흡연, 화장실에 가기 전에 물과 비누로 손을 꼭 세척할 것
- 호흡용보호구, 전면보호구, 보안경, 보호 장갑(고무 또는 네오프렌 재질)을 반드시 사용할 것
- 콘택트렌즈를 착용 금지할 것</v>
          </cell>
        </row>
        <row r="413">
          <cell r="B413" t="str">
            <v>101357-03-3</v>
          </cell>
          <cell r="C413" t="str">
            <v>셀레늄화합물질</v>
          </cell>
          <cell r="D413" t="str">
            <v>97-1-134</v>
          </cell>
          <cell r="E413" t="str">
            <v>및 이를 1% 이상 함유한 혼합물질</v>
          </cell>
          <cell r="F413">
            <v>1</v>
          </cell>
          <cell r="G413" t="str">
            <v>- 염소, 불소, 브롬 등의 강산화제, 염산, 황산, 질산 등의 강산, 물과 격리하여 저장할 것
- 용기에 녹이 슬 수 있으므로 습기를 피해 건조한 곳에 저장할 것
- 빈 용기도 같은 장소에 저장할 것
- 암모니아, 할로겐화수소, 산, 강산화제, 유기물질과 격리하여 저장할 것
- 통풍이 잘 되는 그늘 및 서늘한 곳에 밀폐 보관할 것
- 식료품, 사료, 의약품, 음식과 혼합저장 금지할 것
- 필요에 따라 국소배기장치 가동할 것
- 저장용기는 물리적인 손상에 견딜 수 있어야 할 것
- 사고발생에 대비하여 눈이나 몸을 씻을 수 있는 세안시설과 샤워시설이 이용 가능한 장소에서 작업할 것
- 사용한 후 식사, 흡연, 화장실에 가기 전에 물과 비누로 손을 꼭 세척할 것
- 호흡용보호구, 전면보호구, 보안경, 보호 장갑(고무 또는 네오프렌 재질)을 반드시 사용할 것
- 콘택트렌즈를 착용 금지할 것</v>
          </cell>
        </row>
        <row r="414">
          <cell r="B414" t="str">
            <v>101357-04-4</v>
          </cell>
          <cell r="C414" t="str">
            <v>셀레늄화합물질</v>
          </cell>
          <cell r="D414" t="str">
            <v>97-1-134</v>
          </cell>
          <cell r="E414" t="str">
            <v>및 이를 1% 이상 함유한 혼합물질</v>
          </cell>
          <cell r="F414">
            <v>1</v>
          </cell>
          <cell r="G414" t="str">
            <v>- 염소, 불소, 브롬 등의 강산화제, 염산, 황산, 질산 등의 강산, 물과 격리하여 저장할 것
- 용기에 녹이 슬 수 있으므로 습기를 피해 건조한 곳에 저장할 것
- 빈 용기도 같은 장소에 저장할 것
- 암모니아, 할로겐화수소, 산, 강산화제, 유기물질과 격리하여 저장할 것
- 통풍이 잘 되는 그늘 및 서늘한 곳에 밀폐 보관할 것
- 식료품, 사료, 의약품, 음식과 혼합저장 금지할 것
- 필요에 따라 국소배기장치 가동할 것
- 저장용기는 물리적인 손상에 견딜 수 있어야 할 것
- 사고발생에 대비하여 눈이나 몸을 씻을 수 있는 세안시설과 샤워시설이 이용 가능한 장소에서 작업할 것
- 사용한 후 식사, 흡연, 화장실에 가기 전에 물과 비누로 손을 꼭 세척할 것
- 호흡용보호구, 전면보호구, 보안경, 보호 장갑(고무 또는 네오프렌 재질)을 반드시 사용할 것
- 콘택트렌즈를 착용 금지할 것</v>
          </cell>
        </row>
        <row r="415">
          <cell r="B415" t="str">
            <v>10214-40-1</v>
          </cell>
          <cell r="C415" t="str">
            <v>셀레늄화합물질</v>
          </cell>
          <cell r="D415" t="str">
            <v>97-1-134</v>
          </cell>
          <cell r="E415" t="str">
            <v>및 이를 1% 이상 함유한 혼합물질</v>
          </cell>
          <cell r="F415">
            <v>1</v>
          </cell>
          <cell r="G415" t="str">
            <v>- 염소, 불소, 브롬 등의 강산화제, 염산, 황산, 질산 등의 강산, 물과 격리하여 저장할 것
- 용기에 녹이 슬 수 있으므로 습기를 피해 건조한 곳에 저장할 것
- 빈 용기도 같은 장소에 저장할 것
- 암모니아, 할로겐화수소, 산, 강산화제, 유기물질과 격리하여 저장할 것
- 통풍이 잘 되는 그늘 및 서늘한 곳에 밀폐 보관할 것
- 식료품, 사료, 의약품, 음식과 혼합저장 금지할 것
- 필요에 따라 국소배기장치 가동할 것
- 저장용기는 물리적인 손상에 견딜 수 있어야 할 것
- 사고발생에 대비하여 눈이나 몸을 씻을 수 있는 세안시설과 샤워시설이 이용 가능한 장소에서 작업할 것
- 사용한 후 식사, 흡연, 화장실에 가기 전에 물과 비누로 손을 꼭 세척할 것
- 호흡용보호구, 전면보호구, 보안경, 보호 장갑(고무 또는 네오프렌 재질)을 반드시 사용할 것
- 콘택트렌즈를 착용 금지할 것</v>
          </cell>
        </row>
        <row r="416">
          <cell r="B416" t="str">
            <v>10326-29-1</v>
          </cell>
          <cell r="C416" t="str">
            <v>셀레늄화합물질</v>
          </cell>
          <cell r="D416" t="str">
            <v>97-1-134</v>
          </cell>
          <cell r="E416" t="str">
            <v>및 이를 1% 이상 함유한 혼합물질</v>
          </cell>
          <cell r="F416">
            <v>1</v>
          </cell>
          <cell r="G416" t="str">
            <v>- 염소, 불소, 브롬 등의 강산화제, 염산, 황산, 질산 등의 강산, 물과 격리하여 저장할 것
- 용기에 녹이 슬 수 있으므로 습기를 피해 건조한 곳에 저장할 것
- 빈 용기도 같은 장소에 저장할 것
- 암모니아, 할로겐화수소, 산, 강산화제, 유기물질과 격리하여 저장할 것
- 통풍이 잘 되는 그늘 및 서늘한 곳에 밀폐 보관할 것
- 식료품, 사료, 의약품, 음식과 혼합저장 금지할 것
- 필요에 따라 국소배기장치 가동할 것
- 저장용기는 물리적인 손상에 견딜 수 있어야 할 것
- 사고발생에 대비하여 눈이나 몸을 씻을 수 있는 세안시설과 샤워시설이 이용 가능한 장소에서 작업할 것
- 사용한 후 식사, 흡연, 화장실에 가기 전에 물과 비누로 손을 꼭 세척할 것
- 호흡용보호구, 전면보호구, 보안경, 보호 장갑(고무 또는 네오프렌 재질)을 반드시 사용할 것
- 콘택트렌즈를 착용 금지할 것</v>
          </cell>
        </row>
        <row r="417">
          <cell r="B417" t="str">
            <v>10431-47-7</v>
          </cell>
          <cell r="C417" t="str">
            <v>셀레늄화합물질</v>
          </cell>
          <cell r="D417" t="str">
            <v>97-1-134</v>
          </cell>
          <cell r="E417" t="str">
            <v>및 이를 1% 이상 함유한 혼합물질</v>
          </cell>
          <cell r="F417">
            <v>1</v>
          </cell>
          <cell r="G417" t="str">
            <v>- 염소, 불소, 브롬 등의 강산화제, 염산, 황산, 질산 등의 강산, 물과 격리하여 저장할 것
- 용기에 녹이 슬 수 있으므로 습기를 피해 건조한 곳에 저장할 것
- 빈 용기도 같은 장소에 저장할 것
- 암모니아, 할로겐화수소, 산, 강산화제, 유기물질과 격리하여 저장할 것
- 통풍이 잘 되는 그늘 및 서늘한 곳에 밀폐 보관할 것
- 식료품, 사료, 의약품, 음식과 혼합저장 금지할 것
- 필요에 따라 국소배기장치 가동할 것
- 저장용기는 물리적인 손상에 견딜 수 있어야 할 것
- 사고발생에 대비하여 눈이나 몸을 씻을 수 있는 세안시설과 샤워시설이 이용 가능한 장소에서 작업할 것
- 사용한 후 식사, 흡연, 화장실에 가기 전에 물과 비누로 손을 꼭 세척할 것
- 호흡용보호구, 전면보호구, 보안경, 보호 장갑(고무 또는 네오프렌 재질)을 반드시 사용할 것
- 콘택트렌즈를 착용 금지할 것</v>
          </cell>
        </row>
        <row r="418">
          <cell r="B418" t="str">
            <v>11112-63-3</v>
          </cell>
          <cell r="C418" t="str">
            <v>셀레늄화합물질</v>
          </cell>
          <cell r="D418" t="str">
            <v>97-1-134</v>
          </cell>
          <cell r="E418" t="str">
            <v>및 이를 1% 이상 함유한 혼합물질</v>
          </cell>
          <cell r="F418">
            <v>1</v>
          </cell>
          <cell r="G418" t="str">
            <v>- 염소, 불소, 브롬 등의 강산화제, 염산, 황산, 질산 등의 강산, 물과 격리하여 저장할 것
- 용기에 녹이 슬 수 있으므로 습기를 피해 건조한 곳에 저장할 것
- 빈 용기도 같은 장소에 저장할 것
- 암모니아, 할로겐화수소, 산, 강산화제, 유기물질과 격리하여 저장할 것
- 통풍이 잘 되는 그늘 및 서늘한 곳에 밀폐 보관할 것
- 식료품, 사료, 의약품, 음식과 혼합저장 금지할 것
- 필요에 따라 국소배기장치 가동할 것
- 저장용기는 물리적인 손상에 견딜 수 있어야 할 것
- 사고발생에 대비하여 눈이나 몸을 씻을 수 있는 세안시설과 샤워시설이 이용 가능한 장소에서 작업할 것
- 사용한 후 식사, 흡연, 화장실에 가기 전에 물과 비누로 손을 꼭 세척할 것
- 호흡용보호구, 전면보호구, 보안경, 보호 장갑(고무 또는 네오프렌 재질)을 반드시 사용할 것
- 콘택트렌즈를 착용 금지할 것</v>
          </cell>
        </row>
        <row r="419">
          <cell r="B419" t="str">
            <v>12014-94-7</v>
          </cell>
          <cell r="C419" t="str">
            <v>셀레늄화합물질</v>
          </cell>
          <cell r="D419" t="str">
            <v>97-1-134</v>
          </cell>
          <cell r="E419" t="str">
            <v>및 이를 1% 이상 함유한 혼합물질</v>
          </cell>
          <cell r="F419">
            <v>1</v>
          </cell>
          <cell r="G419" t="str">
            <v>- 염소, 불소, 브롬 등의 강산화제, 염산, 황산, 질산 등의 강산, 물과 격리하여 저장할 것
- 용기에 녹이 슬 수 있으므로 습기를 피해 건조한 곳에 저장할 것
- 빈 용기도 같은 장소에 저장할 것
- 암모니아, 할로겐화수소, 산, 강산화제, 유기물질과 격리하여 저장할 것
- 통풍이 잘 되는 그늘 및 서늘한 곳에 밀폐 보관할 것
- 식료품, 사료, 의약품, 음식과 혼합저장 금지할 것
- 필요에 따라 국소배기장치 가동할 것
- 저장용기는 물리적인 손상에 견딜 수 있어야 할 것
- 사고발생에 대비하여 눈이나 몸을 씻을 수 있는 세안시설과 샤워시설이 이용 가능한 장소에서 작업할 것
- 사용한 후 식사, 흡연, 화장실에 가기 전에 물과 비누로 손을 꼭 세척할 것
- 호흡용보호구, 전면보호구, 보안경, 보호 장갑(고무 또는 네오프렌 재질)을 반드시 사용할 것
- 콘택트렌즈를 착용 금지할 것</v>
          </cell>
        </row>
        <row r="420">
          <cell r="B420" t="str">
            <v>12020-04-1</v>
          </cell>
          <cell r="C420" t="str">
            <v>셀레늄화합물질</v>
          </cell>
          <cell r="D420" t="str">
            <v>97-1-134</v>
          </cell>
          <cell r="E420" t="str">
            <v>및 이를 1% 이상 함유한 혼합물질</v>
          </cell>
          <cell r="F420">
            <v>1</v>
          </cell>
          <cell r="G420" t="str">
            <v>- 염소, 불소, 브롬 등의 강산화제, 염산, 황산, 질산 등의 강산, 물과 격리하여 저장할 것
- 용기에 녹이 슬 수 있으므로 습기를 피해 건조한 곳에 저장할 것
- 빈 용기도 같은 장소에 저장할 것
- 암모니아, 할로겐화수소, 산, 강산화제, 유기물질과 격리하여 저장할 것
- 통풍이 잘 되는 그늘 및 서늘한 곳에 밀폐 보관할 것
- 식료품, 사료, 의약품, 음식과 혼합저장 금지할 것
- 필요에 따라 국소배기장치 가동할 것
- 저장용기는 물리적인 손상에 견딜 수 있어야 할 것
- 사고발생에 대비하여 눈이나 몸을 씻을 수 있는 세안시설과 샤워시설이 이용 가능한 장소에서 작업할 것
- 사용한 후 식사, 흡연, 화장실에 가기 전에 물과 비누로 손을 꼭 세척할 것
- 호흡용보호구, 전면보호구, 보안경, 보호 장갑(고무 또는 네오프렌 재질)을 반드시 사용할 것
- 콘택트렌즈를 착용 금지할 것</v>
          </cell>
        </row>
        <row r="421">
          <cell r="B421" t="str">
            <v>12020-38-1</v>
          </cell>
          <cell r="C421" t="str">
            <v>셀레늄화합물질</v>
          </cell>
          <cell r="D421" t="str">
            <v>97-1-134</v>
          </cell>
          <cell r="E421" t="str">
            <v>및 이를 1% 이상 함유한 혼합물질</v>
          </cell>
          <cell r="F421">
            <v>1</v>
          </cell>
          <cell r="G421" t="str">
            <v>- 염소, 불소, 브롬 등의 강산화제, 염산, 황산, 질산 등의 강산, 물과 격리하여 저장할 것
- 용기에 녹이 슬 수 있으므로 습기를 피해 건조한 곳에 저장할 것
- 빈 용기도 같은 장소에 저장할 것
- 암모니아, 할로겐화수소, 산, 강산화제, 유기물질과 격리하여 저장할 것
- 통풍이 잘 되는 그늘 및 서늘한 곳에 밀폐 보관할 것
- 식료품, 사료, 의약품, 음식과 혼합저장 금지할 것
- 필요에 따라 국소배기장치 가동할 것
- 저장용기는 물리적인 손상에 견딜 수 있어야 할 것
- 사고발생에 대비하여 눈이나 몸을 씻을 수 있는 세안시설과 샤워시설이 이용 가능한 장소에서 작업할 것
- 사용한 후 식사, 흡연, 화장실에 가기 전에 물과 비누로 손을 꼭 세척할 것
- 호흡용보호구, 전면보호구, 보안경, 보호 장갑(고무 또는 네오프렌 재질)을 반드시 사용할 것
- 콘택트렌즈를 착용 금지할 것</v>
          </cell>
        </row>
        <row r="422">
          <cell r="B422" t="str">
            <v>12020-66-5</v>
          </cell>
          <cell r="C422" t="str">
            <v>셀레늄화합물질</v>
          </cell>
          <cell r="D422" t="str">
            <v>97-1-134</v>
          </cell>
          <cell r="E422" t="str">
            <v>및 이를 1% 이상 함유한 혼합물질</v>
          </cell>
          <cell r="F422">
            <v>1</v>
          </cell>
          <cell r="G422" t="str">
            <v>- 염소, 불소, 브롬 등의 강산화제, 염산, 황산, 질산 등의 강산, 물과 격리하여 저장할 것
- 용기에 녹이 슬 수 있으므로 습기를 피해 건조한 곳에 저장할 것
- 빈 용기도 같은 장소에 저장할 것
- 암모니아, 할로겐화수소, 산, 강산화제, 유기물질과 격리하여 저장할 것
- 통풍이 잘 되는 그늘 및 서늘한 곳에 밀폐 보관할 것
- 식료품, 사료, 의약품, 음식과 혼합저장 금지할 것
- 필요에 따라 국소배기장치 가동할 것
- 저장용기는 물리적인 손상에 견딜 수 있어야 할 것
- 사고발생에 대비하여 눈이나 몸을 씻을 수 있는 세안시설과 샤워시설이 이용 가능한 장소에서 작업할 것
- 사용한 후 식사, 흡연, 화장실에 가기 전에 물과 비누로 손을 꼭 세척할 것
- 호흡용보호구, 전면보호구, 보안경, 보호 장갑(고무 또는 네오프렌 재질)을 반드시 사용할 것
- 콘택트렌즈를 착용 금지할 것</v>
          </cell>
        </row>
        <row r="423">
          <cell r="B423" t="str">
            <v>12024-11-2</v>
          </cell>
          <cell r="C423" t="str">
            <v>셀레늄화합물질</v>
          </cell>
          <cell r="D423" t="str">
            <v>97-1-134</v>
          </cell>
          <cell r="E423" t="str">
            <v>및 이를 1% 이상 함유한 혼합물질</v>
          </cell>
          <cell r="F423">
            <v>1</v>
          </cell>
          <cell r="G423" t="str">
            <v>- 염소, 불소, 브롬 등의 강산화제, 염산, 황산, 질산 등의 강산, 물과 격리하여 저장할 것
- 용기에 녹이 슬 수 있으므로 습기를 피해 건조한 곳에 저장할 것
- 빈 용기도 같은 장소에 저장할 것
- 암모니아, 할로겐화수소, 산, 강산화제, 유기물질과 격리하여 저장할 것
- 통풍이 잘 되는 그늘 및 서늘한 곳에 밀폐 보관할 것
- 식료품, 사료, 의약품, 음식과 혼합저장 금지할 것
- 필요에 따라 국소배기장치 가동할 것
- 저장용기는 물리적인 손상에 견딜 수 있어야 할 것
- 사고발생에 대비하여 눈이나 몸을 씻을 수 있는 세안시설과 샤워시설이 이용 가능한 장소에서 작업할 것
- 사용한 후 식사, 흡연, 화장실에 가기 전에 물과 비누로 손을 꼭 세척할 것
- 호흡용보호구, 전면보호구, 보안경, 보호 장갑(고무 또는 네오프렌 재질)을 반드시 사용할 것
- 콘택트렌즈를 착용 금지할 것</v>
          </cell>
        </row>
        <row r="424">
          <cell r="B424" t="str">
            <v>12024-24-7</v>
          </cell>
          <cell r="C424" t="str">
            <v>셀레늄화합물질</v>
          </cell>
          <cell r="D424" t="str">
            <v>97-1-134</v>
          </cell>
          <cell r="E424" t="str">
            <v>및 이를 1% 이상 함유한 혼합물질</v>
          </cell>
          <cell r="F424">
            <v>1</v>
          </cell>
          <cell r="G424" t="str">
            <v>- 염소, 불소, 브롬 등의 강산화제, 염산, 황산, 질산 등의 강산, 물과 격리하여 저장할 것
- 용기에 녹이 슬 수 있으므로 습기를 피해 건조한 곳에 저장할 것
- 빈 용기도 같은 장소에 저장할 것
- 암모니아, 할로겐화수소, 산, 강산화제, 유기물질과 격리하여 저장할 것
- 통풍이 잘 되는 그늘 및 서늘한 곳에 밀폐 보관할 것
- 식료품, 사료, 의약품, 음식과 혼합저장 금지할 것
- 필요에 따라 국소배기장치 가동할 것
- 저장용기는 물리적인 손상에 견딜 수 있어야 할 것
- 사고발생에 대비하여 눈이나 몸을 씻을 수 있는 세안시설과 샤워시설이 이용 가능한 장소에서 작업할 것
- 사용한 후 식사, 흡연, 화장실에 가기 전에 물과 비누로 손을 꼭 세척할 것
- 호흡용보호구, 전면보호구, 보안경, 보호 장갑(고무 또는 네오프렌 재질)을 반드시 사용할 것
- 콘택트렌즈를 착용 금지할 것</v>
          </cell>
        </row>
        <row r="425">
          <cell r="B425" t="str">
            <v>12024-90-7</v>
          </cell>
          <cell r="C425" t="str">
            <v>셀레늄화합물질</v>
          </cell>
          <cell r="D425" t="str">
            <v>97-1-134</v>
          </cell>
          <cell r="E425" t="str">
            <v>및 이를 1% 이상 함유한 혼합물질</v>
          </cell>
          <cell r="F425">
            <v>1</v>
          </cell>
          <cell r="G425" t="str">
            <v>- 염소, 불소, 브롬 등의 강산화제, 염산, 황산, 질산 등의 강산, 물과 격리하여 저장할 것
- 용기에 녹이 슬 수 있으므로 습기를 피해 건조한 곳에 저장할 것
- 빈 용기도 같은 장소에 저장할 것
- 암모니아, 할로겐화수소, 산, 강산화제, 유기물질과 격리하여 저장할 것
- 통풍이 잘 되는 그늘 및 서늘한 곳에 밀폐 보관할 것
- 식료품, 사료, 의약품, 음식과 혼합저장 금지할 것
- 필요에 따라 국소배기장치 가동할 것
- 저장용기는 물리적인 손상에 견딜 수 있어야 할 것
- 사고발생에 대비하여 눈이나 몸을 씻을 수 있는 세안시설과 샤워시설이 이용 가능한 장소에서 작업할 것
- 사용한 후 식사, 흡연, 화장실에 가기 전에 물과 비누로 손을 꼭 세척할 것
- 호흡용보호구, 전면보호구, 보안경, 보호 장갑(고무 또는 네오프렌 재질)을 반드시 사용할 것
- 콘택트렌즈를 착용 금지할 것</v>
          </cell>
        </row>
        <row r="426">
          <cell r="B426" t="str">
            <v>12029-87-7</v>
          </cell>
          <cell r="C426" t="str">
            <v>셀레늄화합물질</v>
          </cell>
          <cell r="D426" t="str">
            <v>97-1-134</v>
          </cell>
          <cell r="E426" t="str">
            <v>및 이를 1% 이상 함유한 혼합물질</v>
          </cell>
          <cell r="F426">
            <v>1</v>
          </cell>
          <cell r="G426" t="str">
            <v>- 염소, 불소, 브롬 등의 강산화제, 염산, 황산, 질산 등의 강산, 물과 격리하여 저장할 것
- 용기에 녹이 슬 수 있으므로 습기를 피해 건조한 곳에 저장할 것
- 빈 용기도 같은 장소에 저장할 것
- 암모니아, 할로겐화수소, 산, 강산화제, 유기물질과 격리하여 저장할 것
- 통풍이 잘 되는 그늘 및 서늘한 곳에 밀폐 보관할 것
- 식료품, 사료, 의약품, 음식과 혼합저장 금지할 것
- 필요에 따라 국소배기장치 가동할 것
- 저장용기는 물리적인 손상에 견딜 수 있어야 할 것
- 사고발생에 대비하여 눈이나 몸을 씻을 수 있는 세안시설과 샤워시설이 이용 가능한 장소에서 작업할 것
- 사용한 후 식사, 흡연, 화장실에 가기 전에 물과 비누로 손을 꼭 세척할 것
- 호흡용보호구, 전면보호구, 보안경, 보호 장갑(고무 또는 네오프렌 재질)을 반드시 사용할 것
- 콘택트렌즈를 착용 금지할 것</v>
          </cell>
        </row>
        <row r="427">
          <cell r="B427" t="str">
            <v>12031-51-5</v>
          </cell>
          <cell r="C427" t="str">
            <v>셀레늄화합물질</v>
          </cell>
          <cell r="D427" t="str">
            <v>97-1-134</v>
          </cell>
          <cell r="E427" t="str">
            <v>및 이를 1% 이상 함유한 혼합물질</v>
          </cell>
          <cell r="F427">
            <v>1</v>
          </cell>
          <cell r="G427" t="str">
            <v>- 염소, 불소, 브롬 등의 강산화제, 염산, 황산, 질산 등의 강산, 물과 격리하여 저장할 것
- 용기에 녹이 슬 수 있으므로 습기를 피해 건조한 곳에 저장할 것
- 빈 용기도 같은 장소에 저장할 것
- 암모니아, 할로겐화수소, 산, 강산화제, 유기물질과 격리하여 저장할 것
- 통풍이 잘 되는 그늘 및 서늘한 곳에 밀폐 보관할 것
- 식료품, 사료, 의약품, 음식과 혼합저장 금지할 것
- 필요에 따라 국소배기장치 가동할 것
- 저장용기는 물리적인 손상에 견딜 수 있어야 할 것
- 사고발생에 대비하여 눈이나 몸을 씻을 수 있는 세안시설과 샤워시설이 이용 가능한 장소에서 작업할 것
- 사용한 후 식사, 흡연, 화장실에 가기 전에 물과 비누로 손을 꼭 세척할 것
- 호흡용보호구, 전면보호구, 보안경, 보호 장갑(고무 또는 네오프렌 재질)을 반드시 사용할 것
- 콘택트렌즈를 착용 금지할 것</v>
          </cell>
        </row>
        <row r="428">
          <cell r="B428" t="str">
            <v>12034-77-4</v>
          </cell>
          <cell r="C428" t="str">
            <v>셀레늄화합물질</v>
          </cell>
          <cell r="D428" t="str">
            <v>97-1-134</v>
          </cell>
          <cell r="E428" t="str">
            <v>및 이를 1% 이상 함유한 혼합물질</v>
          </cell>
          <cell r="F428">
            <v>1</v>
          </cell>
          <cell r="G428" t="str">
            <v>- 염소, 불소, 브롬 등의 강산화제, 염산, 황산, 질산 등의 강산, 물과 격리하여 저장할 것
- 용기에 녹이 슬 수 있으므로 습기를 피해 건조한 곳에 저장할 것
- 빈 용기도 같은 장소에 저장할 것
- 암모니아, 할로겐화수소, 산, 강산화제, 유기물질과 격리하여 저장할 것
- 통풍이 잘 되는 그늘 및 서늘한 곳에 밀폐 보관할 것
- 식료품, 사료, 의약품, 음식과 혼합저장 금지할 것
- 필요에 따라 국소배기장치 가동할 것
- 저장용기는 물리적인 손상에 견딜 수 있어야 할 것
- 사고발생에 대비하여 눈이나 몸을 씻을 수 있는 세안시설과 샤워시설이 이용 가능한 장소에서 작업할 것
- 사용한 후 식사, 흡연, 화장실에 가기 전에 물과 비누로 손을 꼭 세척할 것
- 호흡용보호구, 전면보호구, 보안경, 보호 장갑(고무 또는 네오프렌 재질)을 반드시 사용할 것
- 콘택트렌즈를 착용 금지할 것</v>
          </cell>
        </row>
        <row r="429">
          <cell r="B429" t="str">
            <v>12035-33-5</v>
          </cell>
          <cell r="C429" t="str">
            <v>셀레늄화합물질</v>
          </cell>
          <cell r="D429" t="str">
            <v>97-1-134</v>
          </cell>
          <cell r="E429" t="str">
            <v>및 이를 1% 이상 함유한 혼합물질</v>
          </cell>
          <cell r="F429">
            <v>1</v>
          </cell>
          <cell r="G429" t="str">
            <v>- 염소, 불소, 브롬 등의 강산화제, 염산, 황산, 질산 등의 강산, 물과 격리하여 저장할 것
- 용기에 녹이 슬 수 있으므로 습기를 피해 건조한 곳에 저장할 것
- 빈 용기도 같은 장소에 저장할 것
- 암모니아, 할로겐화수소, 산, 강산화제, 유기물질과 격리하여 저장할 것
- 통풍이 잘 되는 그늘 및 서늘한 곳에 밀폐 보관할 것
- 식료품, 사료, 의약품, 음식과 혼합저장 금지할 것
- 필요에 따라 국소배기장치 가동할 것
- 저장용기는 물리적인 손상에 견딜 수 있어야 할 것
- 사고발생에 대비하여 눈이나 몸을 씻을 수 있는 세안시설과 샤워시설이 이용 가능한 장소에서 작업할 것
- 사용한 후 식사, 흡연, 화장실에 가기 전에 물과 비누로 손을 꼭 세척할 것
- 호흡용보호구, 전면보호구, 보안경, 보호 장갑(고무 또는 네오프렌 재질)을 반드시 사용할 것
- 콘택트렌즈를 착용 금지할 것</v>
          </cell>
        </row>
        <row r="430">
          <cell r="B430" t="str">
            <v>12036-87-2</v>
          </cell>
          <cell r="C430" t="str">
            <v>셀레늄화합물질</v>
          </cell>
          <cell r="D430" t="str">
            <v>97-1-134</v>
          </cell>
          <cell r="E430" t="str">
            <v>및 이를 1% 이상 함유한 혼합물질</v>
          </cell>
          <cell r="F430">
            <v>1</v>
          </cell>
          <cell r="G430" t="str">
            <v>- 염소, 불소, 브롬 등의 강산화제, 염산, 황산, 질산 등의 강산, 물과 격리하여 저장할 것
- 용기에 녹이 슬 수 있으므로 습기를 피해 건조한 곳에 저장할 것
- 빈 용기도 같은 장소에 저장할 것
- 암모니아, 할로겐화수소, 산, 강산화제, 유기물질과 격리하여 저장할 것
- 통풍이 잘 되는 그늘 및 서늘한 곳에 밀폐 보관할 것
- 식료품, 사료, 의약품, 음식과 혼합저장 금지할 것
- 필요에 따라 국소배기장치 가동할 것
- 저장용기는 물리적인 손상에 견딜 수 있어야 할 것
- 사고발생에 대비하여 눈이나 몸을 씻을 수 있는 세안시설과 샤워시설이 이용 가능한 장소에서 작업할 것
- 사용한 후 식사, 흡연, 화장실에 가기 전에 물과 비누로 손을 꼭 세척할 것
- 호흡용보호구, 전면보호구, 보안경, 보호 장갑(고무 또는 네오프렌 재질)을 반드시 사용할 것
- 콘택트렌즈를 착용 금지할 것</v>
          </cell>
        </row>
        <row r="431">
          <cell r="B431" t="str">
            <v>12038-08-3</v>
          </cell>
          <cell r="C431" t="str">
            <v>셀레늄화합물질</v>
          </cell>
          <cell r="D431" t="str">
            <v>97-1-134</v>
          </cell>
          <cell r="E431" t="str">
            <v>및 이를 1% 이상 함유한 혼합물질</v>
          </cell>
          <cell r="F431">
            <v>1</v>
          </cell>
          <cell r="G431" t="str">
            <v>- 염소, 불소, 브롬 등의 강산화제, 염산, 황산, 질산 등의 강산, 물과 격리하여 저장할 것
- 용기에 녹이 슬 수 있으므로 습기를 피해 건조한 곳에 저장할 것
- 빈 용기도 같은 장소에 저장할 것
- 암모니아, 할로겐화수소, 산, 강산화제, 유기물질과 격리하여 저장할 것
- 통풍이 잘 되는 그늘 및 서늘한 곳에 밀폐 보관할 것
- 식료품, 사료, 의약품, 음식과 혼합저장 금지할 것
- 필요에 따라 국소배기장치 가동할 것
- 저장용기는 물리적인 손상에 견딜 수 있어야 할 것
- 사고발생에 대비하여 눈이나 몸을 씻을 수 있는 세안시설과 샤워시설이 이용 가능한 장소에서 작업할 것
- 사용한 후 식사, 흡연, 화장실에 가기 전에 물과 비누로 손을 꼭 세척할 것
- 호흡용보호구, 전면보호구, 보안경, 보호 장갑(고무 또는 네오프렌 재질)을 반드시 사용할 것
- 콘택트렌즈를 착용 금지할 것</v>
          </cell>
        </row>
        <row r="432">
          <cell r="B432" t="str">
            <v>12038-64-1</v>
          </cell>
          <cell r="C432" t="str">
            <v>셀레늄화합물질</v>
          </cell>
          <cell r="D432" t="str">
            <v>97-1-134</v>
          </cell>
          <cell r="E432" t="str">
            <v>및 이를 1% 이상 함유한 혼합물질</v>
          </cell>
          <cell r="F432">
            <v>1</v>
          </cell>
          <cell r="G432" t="str">
            <v>- 염소, 불소, 브롬 등의 강산화제, 염산, 황산, 질산 등의 강산, 물과 격리하여 저장할 것
- 용기에 녹이 슬 수 있으므로 습기를 피해 건조한 곳에 저장할 것
- 빈 용기도 같은 장소에 저장할 것
- 암모니아, 할로겐화수소, 산, 강산화제, 유기물질과 격리하여 저장할 것
- 통풍이 잘 되는 그늘 및 서늘한 곳에 밀폐 보관할 것
- 식료품, 사료, 의약품, 음식과 혼합저장 금지할 것
- 필요에 따라 국소배기장치 가동할 것
- 저장용기는 물리적인 손상에 견딜 수 있어야 할 것
- 사고발생에 대비하여 눈이나 몸을 씻을 수 있는 세안시설과 샤워시설이 이용 가능한 장소에서 작업할 것
- 사용한 후 식사, 흡연, 화장실에 가기 전에 물과 비누로 손을 꼭 세척할 것
- 호흡용보호구, 전면보호구, 보안경, 보호 장갑(고무 또는 네오프렌 재질)을 반드시 사용할 것
- 콘택트렌즈를 착용 금지할 것</v>
          </cell>
        </row>
        <row r="433">
          <cell r="B433" t="str">
            <v>12039-51-9</v>
          </cell>
          <cell r="C433" t="str">
            <v>셀레늄화합물질</v>
          </cell>
          <cell r="D433" t="str">
            <v>97-1-134</v>
          </cell>
          <cell r="E433" t="str">
            <v>및 이를 1% 이상 함유한 혼합물질</v>
          </cell>
          <cell r="F433">
            <v>1</v>
          </cell>
          <cell r="G433" t="str">
            <v>- 염소, 불소, 브롬 등의 강산화제, 염산, 황산, 질산 등의 강산, 물과 격리하여 저장할 것
- 용기에 녹이 슬 수 있으므로 습기를 피해 건조한 곳에 저장할 것
- 빈 용기도 같은 장소에 저장할 것
- 암모니아, 할로겐화수소, 산, 강산화제, 유기물질과 격리하여 저장할 것
- 통풍이 잘 되는 그늘 및 서늘한 곳에 밀폐 보관할 것
- 식료품, 사료, 의약품, 음식과 혼합저장 금지할 것
- 필요에 따라 국소배기장치 가동할 것
- 저장용기는 물리적인 손상에 견딜 수 있어야 할 것
- 사고발생에 대비하여 눈이나 몸을 씻을 수 있는 세안시설과 샤워시설이 이용 가능한 장소에서 작업할 것
- 사용한 후 식사, 흡연, 화장실에 가기 전에 물과 비누로 손을 꼭 세척할 것
- 호흡용보호구, 전면보호구, 보안경, 보호 장갑(고무 또는 네오프렌 재질)을 반드시 사용할 것
- 콘택트렌즈를 착용 금지할 것</v>
          </cell>
        </row>
        <row r="434">
          <cell r="B434" t="str">
            <v>12039-52-0</v>
          </cell>
          <cell r="C434" t="str">
            <v>셀레늄화합물질</v>
          </cell>
          <cell r="D434" t="str">
            <v>97-1-134</v>
          </cell>
          <cell r="E434" t="str">
            <v>및 이를 1% 이상 함유한 혼합물질</v>
          </cell>
          <cell r="F434">
            <v>1</v>
          </cell>
          <cell r="G434" t="str">
            <v>- 염소, 불소, 브롬 등의 강산화제, 염산, 황산, 질산 등의 강산, 물과 격리하여 저장할 것
- 용기에 녹이 슬 수 있으므로 습기를 피해 건조한 곳에 저장할 것
- 빈 용기도 같은 장소에 저장할 것
- 암모니아, 할로겐화수소, 산, 강산화제, 유기물질과 격리하여 저장할 것
- 통풍이 잘 되는 그늘 및 서늘한 곳에 밀폐 보관할 것
- 식료품, 사료, 의약품, 음식과 혼합저장 금지할 것
- 필요에 따라 국소배기장치 가동할 것
- 저장용기는 물리적인 손상에 견딜 수 있어야 할 것
- 사고발생에 대비하여 눈이나 몸을 씻을 수 있는 세안시설과 샤워시설이 이용 가능한 장소에서 작업할 것
- 사용한 후 식사, 흡연, 화장실에 가기 전에 물과 비누로 손을 꼭 세척할 것
- 호흡용보호구, 전면보호구, 보안경, 보호 장갑(고무 또는 네오프렌 재질)을 반드시 사용할 것
- 콘택트렌즈를 착용 금지할 것</v>
          </cell>
        </row>
        <row r="435">
          <cell r="B435" t="str">
            <v>12039-54-2</v>
          </cell>
          <cell r="C435" t="str">
            <v>셀레늄화합물질</v>
          </cell>
          <cell r="D435" t="str">
            <v>97-1-134</v>
          </cell>
          <cell r="E435" t="str">
            <v>및 이를 1% 이상 함유한 혼합물질</v>
          </cell>
          <cell r="F435">
            <v>1</v>
          </cell>
          <cell r="G435" t="str">
            <v>- 염소, 불소, 브롬 등의 강산화제, 염산, 황산, 질산 등의 강산, 물과 격리하여 저장할 것
- 용기에 녹이 슬 수 있으므로 습기를 피해 건조한 곳에 저장할 것
- 빈 용기도 같은 장소에 저장할 것
- 암모니아, 할로겐화수소, 산, 강산화제, 유기물질과 격리하여 저장할 것
- 통풍이 잘 되는 그늘 및 서늘한 곳에 밀폐 보관할 것
- 식료품, 사료, 의약품, 음식과 혼합저장 금지할 것
- 필요에 따라 국소배기장치 가동할 것
- 저장용기는 물리적인 손상에 견딜 수 있어야 할 것
- 사고발생에 대비하여 눈이나 몸을 씻을 수 있는 세안시설과 샤워시설이 이용 가능한 장소에서 작업할 것
- 사용한 후 식사, 흡연, 화장실에 가기 전에 물과 비누로 손을 꼭 세척할 것
- 호흡용보호구, 전면보호구, 보안경, 보호 장갑(고무 또는 네오프렌 재질)을 반드시 사용할 것
- 콘택트렌즈를 착용 금지할 것</v>
          </cell>
        </row>
        <row r="436">
          <cell r="B436" t="str">
            <v>12039-55-3</v>
          </cell>
          <cell r="C436" t="str">
            <v>셀레늄화합물질</v>
          </cell>
          <cell r="D436" t="str">
            <v>97-1-134</v>
          </cell>
          <cell r="E436" t="str">
            <v>및 이를 1% 이상 함유한 혼합물질</v>
          </cell>
          <cell r="F436">
            <v>1</v>
          </cell>
          <cell r="G436" t="str">
            <v>- 염소, 불소, 브롬 등의 강산화제, 염산, 황산, 질산 등의 강산, 물과 격리하여 저장할 것
- 용기에 녹이 슬 수 있으므로 습기를 피해 건조한 곳에 저장할 것
- 빈 용기도 같은 장소에 저장할 것
- 암모니아, 할로겐화수소, 산, 강산화제, 유기물질과 격리하여 저장할 것
- 통풍이 잘 되는 그늘 및 서늘한 곳에 밀폐 보관할 것
- 식료품, 사료, 의약품, 음식과 혼합저장 금지할 것
- 필요에 따라 국소배기장치 가동할 것
- 저장용기는 물리적인 손상에 견딜 수 있어야 할 것
- 사고발생에 대비하여 눈이나 몸을 씻을 수 있는 세안시설과 샤워시설이 이용 가능한 장소에서 작업할 것
- 사용한 후 식사, 흡연, 화장실에 가기 전에 물과 비누로 손을 꼭 세척할 것
- 호흡용보호구, 전면보호구, 보안경, 보호 장갑(고무 또는 네오프렌 재질)을 반드시 사용할 것
- 콘택트렌즈를 착용 금지할 것</v>
          </cell>
        </row>
        <row r="437">
          <cell r="B437" t="str">
            <v>12053-13-3</v>
          </cell>
          <cell r="C437" t="str">
            <v>셀레늄화합물질</v>
          </cell>
          <cell r="D437" t="str">
            <v>97-1-134</v>
          </cell>
          <cell r="E437" t="str">
            <v>및 이를 1% 이상 함유한 혼합물질</v>
          </cell>
          <cell r="F437">
            <v>1</v>
          </cell>
          <cell r="G437" t="str">
            <v>- 염소, 불소, 브롬 등의 강산화제, 염산, 황산, 질산 등의 강산, 물과 격리하여 저장할 것
- 용기에 녹이 슬 수 있으므로 습기를 피해 건조한 곳에 저장할 것
- 빈 용기도 같은 장소에 저장할 것
- 암모니아, 할로겐화수소, 산, 강산화제, 유기물질과 격리하여 저장할 것
- 통풍이 잘 되는 그늘 및 서늘한 곳에 밀폐 보관할 것
- 식료품, 사료, 의약품, 음식과 혼합저장 금지할 것
- 필요에 따라 국소배기장치 가동할 것
- 저장용기는 물리적인 손상에 견딜 수 있어야 할 것
- 사고발생에 대비하여 눈이나 몸을 씻을 수 있는 세안시설과 샤워시설이 이용 가능한 장소에서 작업할 것
- 사용한 후 식사, 흡연, 화장실에 가기 전에 물과 비누로 손을 꼭 세척할 것
- 호흡용보호구, 전면보호구, 보안경, 보호 장갑(고무 또는 네오프렌 재질)을 반드시 사용할 것
- 콘택트렌즈를 착용 금지할 것</v>
          </cell>
        </row>
        <row r="438">
          <cell r="B438" t="str">
            <v>12056-07-4</v>
          </cell>
          <cell r="C438" t="str">
            <v>셀레늄화합물질</v>
          </cell>
          <cell r="D438" t="str">
            <v>97-1-134</v>
          </cell>
          <cell r="E438" t="str">
            <v>및 이를 1% 이상 함유한 혼합물질</v>
          </cell>
          <cell r="F438">
            <v>1</v>
          </cell>
          <cell r="G438" t="str">
            <v>- 염소, 불소, 브롬 등의 강산화제, 염산, 황산, 질산 등의 강산, 물과 격리하여 저장할 것
- 용기에 녹이 슬 수 있으므로 습기를 피해 건조한 곳에 저장할 것
- 빈 용기도 같은 장소에 저장할 것
- 암모니아, 할로겐화수소, 산, 강산화제, 유기물질과 격리하여 저장할 것
- 통풍이 잘 되는 그늘 및 서늘한 곳에 밀폐 보관할 것
- 식료품, 사료, 의약품, 음식과 혼합저장 금지할 것
- 필요에 따라 국소배기장치 가동할 것
- 저장용기는 물리적인 손상에 견딜 수 있어야 할 것
- 사고발생에 대비하여 눈이나 몸을 씻을 수 있는 세안시설과 샤워시설이 이용 가능한 장소에서 작업할 것
- 사용한 후 식사, 흡연, 화장실에 가기 전에 물과 비누로 손을 꼭 세척할 것
- 호흡용보호구, 전면보호구, 보안경, 보호 장갑(고무 또는 네오프렌 재질)을 반드시 사용할 것
- 콘택트렌즈를 착용 금지할 것</v>
          </cell>
        </row>
        <row r="439">
          <cell r="B439" t="str">
            <v>12058-18-3</v>
          </cell>
          <cell r="C439" t="str">
            <v>셀레늄화합물질</v>
          </cell>
          <cell r="D439" t="str">
            <v>97-1-134</v>
          </cell>
          <cell r="E439" t="str">
            <v>및 이를 1% 이상 함유한 혼합물질</v>
          </cell>
          <cell r="F439">
            <v>1</v>
          </cell>
          <cell r="G439" t="str">
            <v>- 염소, 불소, 브롬 등의 강산화제, 염산, 황산, 질산 등의 강산, 물과 격리하여 저장할 것
- 용기에 녹이 슬 수 있으므로 습기를 피해 건조한 곳에 저장할 것
- 빈 용기도 같은 장소에 저장할 것
- 암모니아, 할로겐화수소, 산, 강산화제, 유기물질과 격리하여 저장할 것
- 통풍이 잘 되는 그늘 및 서늘한 곳에 밀폐 보관할 것
- 식료품, 사료, 의약품, 음식과 혼합저장 금지할 것
- 필요에 따라 국소배기장치 가동할 것
- 저장용기는 물리적인 손상에 견딜 수 있어야 할 것
- 사고발생에 대비하여 눈이나 몸을 씻을 수 있는 세안시설과 샤워시설이 이용 가능한 장소에서 작업할 것
- 사용한 후 식사, 흡연, 화장실에 가기 전에 물과 비누로 손을 꼭 세척할 것
- 호흡용보호구, 전면보호구, 보안경, 보호 장갑(고무 또는 네오프렌 재질)을 반드시 사용할 것
- 콘택트렌즈를 착용 금지할 것</v>
          </cell>
        </row>
        <row r="440">
          <cell r="B440" t="str">
            <v>12065-10-0</v>
          </cell>
          <cell r="C440" t="str">
            <v>셀레늄화합물질</v>
          </cell>
          <cell r="D440" t="str">
            <v>97-1-134</v>
          </cell>
          <cell r="E440" t="str">
            <v>및 이를 1% 이상 함유한 혼합물질</v>
          </cell>
          <cell r="F440">
            <v>1</v>
          </cell>
          <cell r="G440" t="str">
            <v>- 염소, 불소, 브롬 등의 강산화제, 염산, 황산, 질산 등의 강산, 물과 격리하여 저장할 것
- 용기에 녹이 슬 수 있으므로 습기를 피해 건조한 곳에 저장할 것
- 빈 용기도 같은 장소에 저장할 것
- 암모니아, 할로겐화수소, 산, 강산화제, 유기물질과 격리하여 저장할 것
- 통풍이 잘 되는 그늘 및 서늘한 곳에 밀폐 보관할 것
- 식료품, 사료, 의약품, 음식과 혼합저장 금지할 것
- 필요에 따라 국소배기장치 가동할 것
- 저장용기는 물리적인 손상에 견딜 수 있어야 할 것
- 사고발생에 대비하여 눈이나 몸을 씻을 수 있는 세안시설과 샤워시설이 이용 가능한 장소에서 작업할 것
- 사용한 후 식사, 흡연, 화장실에 가기 전에 물과 비누로 손을 꼭 세척할 것
- 호흡용보호구, 전면보호구, 보안경, 보호 장갑(고무 또는 네오프렌 재질)을 반드시 사용할 것
- 콘택트렌즈를 착용 금지할 것</v>
          </cell>
        </row>
        <row r="441">
          <cell r="B441" t="str">
            <v>12065-11-1</v>
          </cell>
          <cell r="C441" t="str">
            <v>셀레늄화합물질</v>
          </cell>
          <cell r="D441" t="str">
            <v>97-1-134</v>
          </cell>
          <cell r="E441" t="str">
            <v>및 이를 1% 이상 함유한 혼합물질</v>
          </cell>
          <cell r="F441">
            <v>1</v>
          </cell>
          <cell r="G441" t="str">
            <v>- 염소, 불소, 브롬 등의 강산화제, 염산, 황산, 질산 등의 강산, 물과 격리하여 저장할 것
- 용기에 녹이 슬 수 있으므로 습기를 피해 건조한 곳에 저장할 것
- 빈 용기도 같은 장소에 저장할 것
- 암모니아, 할로겐화수소, 산, 강산화제, 유기물질과 격리하여 저장할 것
- 통풍이 잘 되는 그늘 및 서늘한 곳에 밀폐 보관할 것
- 식료품, 사료, 의약품, 음식과 혼합저장 금지할 것
- 필요에 따라 국소배기장치 가동할 것
- 저장용기는 물리적인 손상에 견딜 수 있어야 할 것
- 사고발생에 대비하여 눈이나 몸을 씻을 수 있는 세안시설과 샤워시설이 이용 가능한 장소에서 작업할 것
- 사용한 후 식사, 흡연, 화장실에 가기 전에 물과 비누로 손을 꼭 세척할 것
- 호흡용보호구, 전면보호구, 보안경, 보호 장갑(고무 또는 네오프렌 재질)을 반드시 사용할 것
- 콘택트렌즈를 착용 금지할 것</v>
          </cell>
        </row>
        <row r="442">
          <cell r="B442" t="str">
            <v>12067-45-7</v>
          </cell>
          <cell r="C442" t="str">
            <v>셀레늄화합물질</v>
          </cell>
          <cell r="D442" t="str">
            <v>97-1-134</v>
          </cell>
          <cell r="E442" t="str">
            <v>및 이를 1% 이상 함유한 혼합물질</v>
          </cell>
          <cell r="F442">
            <v>1</v>
          </cell>
          <cell r="G442" t="str">
            <v>- 염소, 불소, 브롬 등의 강산화제, 염산, 황산, 질산 등의 강산, 물과 격리하여 저장할 것
- 용기에 녹이 슬 수 있으므로 습기를 피해 건조한 곳에 저장할 것
- 빈 용기도 같은 장소에 저장할 것
- 암모니아, 할로겐화수소, 산, 강산화제, 유기물질과 격리하여 저장할 것
- 통풍이 잘 되는 그늘 및 서늘한 곳에 밀폐 보관할 것
- 식료품, 사료, 의약품, 음식과 혼합저장 금지할 것
- 필요에 따라 국소배기장치 가동할 것
- 저장용기는 물리적인 손상에 견딜 수 있어야 할 것
- 사고발생에 대비하여 눈이나 몸을 씻을 수 있는 세안시설과 샤워시설이 이용 가능한 장소에서 작업할 것
- 사용한 후 식사, 흡연, 화장실에 가기 전에 물과 비누로 손을 꼭 세척할 것
- 호흡용보호구, 전면보호구, 보안경, 보호 장갑(고무 또는 네오프렌 재질)을 반드시 사용할 것
- 콘택트렌즈를 착용 금지할 것</v>
          </cell>
        </row>
        <row r="443">
          <cell r="B443" t="str">
            <v>12067-46-8</v>
          </cell>
          <cell r="C443" t="str">
            <v>셀레늄화합물질</v>
          </cell>
          <cell r="D443" t="str">
            <v>97-1-134</v>
          </cell>
          <cell r="E443" t="str">
            <v>및 이를 1% 이상 함유한 혼합물질</v>
          </cell>
          <cell r="F443">
            <v>1</v>
          </cell>
          <cell r="G443" t="str">
            <v>- 염소, 불소, 브롬 등의 강산화제, 염산, 황산, 질산 등의 강산, 물과 격리하여 저장할 것
- 용기에 녹이 슬 수 있으므로 습기를 피해 건조한 곳에 저장할 것
- 빈 용기도 같은 장소에 저장할 것
- 암모니아, 할로겐화수소, 산, 강산화제, 유기물질과 격리하여 저장할 것
- 통풍이 잘 되는 그늘 및 서늘한 곳에 밀폐 보관할 것
- 식료품, 사료, 의약품, 음식과 혼합저장 금지할 것
- 필요에 따라 국소배기장치 가동할 것
- 저장용기는 물리적인 손상에 견딜 수 있어야 할 것
- 사고발생에 대비하여 눈이나 몸을 씻을 수 있는 세안시설과 샤워시설이 이용 가능한 장소에서 작업할 것
- 사용한 후 식사, 흡연, 화장실에 가기 전에 물과 비누로 손을 꼭 세척할 것
- 호흡용보호구, 전면보호구, 보안경, 보호 장갑(고무 또는 네오프렌 재질)을 반드시 사용할 것
- 콘택트렌즈를 착용 금지할 것</v>
          </cell>
        </row>
        <row r="444">
          <cell r="B444" t="str">
            <v>12068-69-8</v>
          </cell>
          <cell r="C444" t="str">
            <v>셀레늄화합물질</v>
          </cell>
          <cell r="D444" t="str">
            <v>97-1-134</v>
          </cell>
          <cell r="E444" t="str">
            <v>및 이를 1% 이상 함유한 혼합물질</v>
          </cell>
          <cell r="F444">
            <v>1</v>
          </cell>
          <cell r="G444" t="str">
            <v>- 염소, 불소, 브롬 등의 강산화제, 염산, 황산, 질산 등의 강산, 물과 격리하여 저장할 것
- 용기에 녹이 슬 수 있으므로 습기를 피해 건조한 곳에 저장할 것
- 빈 용기도 같은 장소에 저장할 것
- 암모니아, 할로겐화수소, 산, 강산화제, 유기물질과 격리하여 저장할 것
- 통풍이 잘 되는 그늘 및 서늘한 곳에 밀폐 보관할 것
- 식료품, 사료, 의약품, 음식과 혼합저장 금지할 것
- 필요에 따라 국소배기장치 가동할 것
- 저장용기는 물리적인 손상에 견딜 수 있어야 할 것
- 사고발생에 대비하여 눈이나 몸을 씻을 수 있는 세안시설과 샤워시설이 이용 가능한 장소에서 작업할 것
- 사용한 후 식사, 흡연, 화장실에 가기 전에 물과 비누로 손을 꼭 세척할 것
- 호흡용보호구, 전면보호구, 보안경, 보호 장갑(고무 또는 네오프렌 재질)을 반드시 사용할 것
- 콘택트렌즈를 착용 금지할 것</v>
          </cell>
        </row>
        <row r="445">
          <cell r="B445" t="str">
            <v>12069-00-0</v>
          </cell>
          <cell r="C445" t="str">
            <v>셀레늄화합물질</v>
          </cell>
          <cell r="D445" t="str">
            <v>97-1-134</v>
          </cell>
          <cell r="E445" t="str">
            <v>및 이를 1% 이상 함유한 혼합물질</v>
          </cell>
          <cell r="F445">
            <v>1</v>
          </cell>
          <cell r="G445" t="str">
            <v>- 염소, 불소, 브롬 등의 강산화제, 염산, 황산, 질산 등의 강산, 물과 격리하여 저장할 것
- 용기에 녹이 슬 수 있으므로 습기를 피해 건조한 곳에 저장할 것
- 빈 용기도 같은 장소에 저장할 것
- 암모니아, 할로겐화수소, 산, 강산화제, 유기물질과 격리하여 저장할 것
- 통풍이 잘 되는 그늘 및 서늘한 곳에 밀폐 보관할 것
- 식료품, 사료, 의약품, 음식과 혼합저장 금지할 것
- 필요에 따라 국소배기장치 가동할 것
- 저장용기는 물리적인 손상에 견딜 수 있어야 할 것
- 사고발생에 대비하여 눈이나 몸을 씻을 수 있는 세안시설과 샤워시설이 이용 가능한 장소에서 작업할 것
- 사용한 후 식사, 흡연, 화장실에 가기 전에 물과 비누로 손을 꼭 세척할 것
- 호흡용보호구, 전면보호구, 보안경, 보호 장갑(고무 또는 네오프렌 재질)을 반드시 사용할 것
- 콘택트렌즈를 착용 금지할 것</v>
          </cell>
        </row>
        <row r="446">
          <cell r="B446" t="str">
            <v>12136-60-6</v>
          </cell>
          <cell r="C446" t="str">
            <v>셀레늄화합물질</v>
          </cell>
          <cell r="D446" t="str">
            <v>97-1-134</v>
          </cell>
          <cell r="E446" t="str">
            <v>및 이를 1% 이상 함유한 혼합물질</v>
          </cell>
          <cell r="F446">
            <v>1</v>
          </cell>
          <cell r="G446" t="str">
            <v>- 염소, 불소, 브롬 등의 강산화제, 염산, 황산, 질산 등의 강산, 물과 격리하여 저장할 것
- 용기에 녹이 슬 수 있으므로 습기를 피해 건조한 곳에 저장할 것
- 빈 용기도 같은 장소에 저장할 것
- 암모니아, 할로겐화수소, 산, 강산화제, 유기물질과 격리하여 저장할 것
- 통풍이 잘 되는 그늘 및 서늘한 곳에 밀폐 보관할 것
- 식료품, 사료, 의약품, 음식과 혼합저장 금지할 것
- 필요에 따라 국소배기장치 가동할 것
- 저장용기는 물리적인 손상에 견딜 수 있어야 할 것
- 사고발생에 대비하여 눈이나 몸을 씻을 수 있는 세안시설과 샤워시설이 이용 가능한 장소에서 작업할 것
- 사용한 후 식사, 흡연, 화장실에 가기 전에 물과 비누로 손을 꼭 세척할 것
- 호흡용보호구, 전면보호구, 보안경, 보호 장갑(고무 또는 네오프렌 재질)을 반드시 사용할 것
- 콘택트렌즈를 착용 금지할 것</v>
          </cell>
        </row>
        <row r="447">
          <cell r="B447" t="str">
            <v>12137-76-7</v>
          </cell>
          <cell r="C447" t="str">
            <v>셀레늄화합물질</v>
          </cell>
          <cell r="D447" t="str">
            <v>97-1-134</v>
          </cell>
          <cell r="E447" t="str">
            <v>및 이를 1% 이상 함유한 혼합물질</v>
          </cell>
          <cell r="F447">
            <v>1</v>
          </cell>
          <cell r="G447" t="str">
            <v>- 염소, 불소, 브롬 등의 강산화제, 염산, 황산, 질산 등의 강산, 물과 격리하여 저장할 것
- 용기에 녹이 슬 수 있으므로 습기를 피해 건조한 곳에 저장할 것
- 빈 용기도 같은 장소에 저장할 것
- 암모니아, 할로겐화수소, 산, 강산화제, 유기물질과 격리하여 저장할 것
- 통풍이 잘 되는 그늘 및 서늘한 곳에 밀폐 보관할 것
- 식료품, 사료, 의약품, 음식과 혼합저장 금지할 것
- 필요에 따라 국소배기장치 가동할 것
- 저장용기는 물리적인 손상에 견딜 수 있어야 할 것
- 사고발생에 대비하여 눈이나 몸을 씻을 수 있는 세안시설과 샤워시설이 이용 가능한 장소에서 작업할 것
- 사용한 후 식사, 흡연, 화장실에 가기 전에 물과 비누로 손을 꼭 세척할 것
- 호흡용보호구, 전면보호구, 보안경, 보호 장갑(고무 또는 네오프렌 재질)을 반드시 사용할 것
- 콘택트렌즈를 착용 금지할 것</v>
          </cell>
        </row>
        <row r="448">
          <cell r="B448" t="str">
            <v>12162-21-9</v>
          </cell>
          <cell r="C448" t="str">
            <v>셀레늄화합물질</v>
          </cell>
          <cell r="D448" t="str">
            <v>97-1-134</v>
          </cell>
          <cell r="E448" t="str">
            <v>및 이를 1% 이상 함유한 혼합물질</v>
          </cell>
          <cell r="F448">
            <v>1</v>
          </cell>
          <cell r="G448" t="str">
            <v>- 염소, 불소, 브롬 등의 강산화제, 염산, 황산, 질산 등의 강산, 물과 격리하여 저장할 것
- 용기에 녹이 슬 수 있으므로 습기를 피해 건조한 곳에 저장할 것
- 빈 용기도 같은 장소에 저장할 것
- 암모니아, 할로겐화수소, 산, 강산화제, 유기물질과 격리하여 저장할 것
- 통풍이 잘 되는 그늘 및 서늘한 곳에 밀폐 보관할 것
- 식료품, 사료, 의약품, 음식과 혼합저장 금지할 것
- 필요에 따라 국소배기장치 가동할 것
- 저장용기는 물리적인 손상에 견딜 수 있어야 할 것
- 사고발생에 대비하여 눈이나 몸을 씻을 수 있는 세안시설과 샤워시설이 이용 가능한 장소에서 작업할 것
- 사용한 후 식사, 흡연, 화장실에 가기 전에 물과 비누로 손을 꼭 세척할 것
- 호흡용보호구, 전면보호구, 보안경, 보호 장갑(고무 또는 네오프렌 재질)을 반드시 사용할 것
- 콘택트렌즈를 착용 금지할 것</v>
          </cell>
        </row>
        <row r="449">
          <cell r="B449" t="str">
            <v>12162-60-6</v>
          </cell>
          <cell r="C449" t="str">
            <v>셀레늄화합물질</v>
          </cell>
          <cell r="D449" t="str">
            <v>97-1-134</v>
          </cell>
          <cell r="E449" t="str">
            <v>및 이를 1% 이상 함유한 혼합물질</v>
          </cell>
          <cell r="F449">
            <v>1</v>
          </cell>
          <cell r="G449" t="str">
            <v>- 염소, 불소, 브롬 등의 강산화제, 염산, 황산, 질산 등의 강산, 물과 격리하여 저장할 것
- 용기에 녹이 슬 수 있으므로 습기를 피해 건조한 곳에 저장할 것
- 빈 용기도 같은 장소에 저장할 것
- 암모니아, 할로겐화수소, 산, 강산화제, 유기물질과 격리하여 저장할 것
- 통풍이 잘 되는 그늘 및 서늘한 곳에 밀폐 보관할 것
- 식료품, 사료, 의약품, 음식과 혼합저장 금지할 것
- 필요에 따라 국소배기장치 가동할 것
- 저장용기는 물리적인 손상에 견딜 수 있어야 할 것
- 사고발생에 대비하여 눈이나 몸을 씻을 수 있는 세안시설과 샤워시설이 이용 가능한 장소에서 작업할 것
- 사용한 후 식사, 흡연, 화장실에 가기 전에 물과 비누로 손을 꼭 세척할 것
- 호흡용보호구, 전면보호구, 보안경, 보호 장갑(고무 또는 네오프렌 재질)을 반드시 사용할 것
- 콘택트렌즈를 착용 금지할 것</v>
          </cell>
        </row>
        <row r="450">
          <cell r="B450" t="str">
            <v>12163-21-2</v>
          </cell>
          <cell r="C450" t="str">
            <v>셀레늄화합물질</v>
          </cell>
          <cell r="D450" t="str">
            <v>97-1-134</v>
          </cell>
          <cell r="E450" t="str">
            <v>및 이를 1% 이상 함유한 혼합물질</v>
          </cell>
          <cell r="F450">
            <v>1</v>
          </cell>
          <cell r="G450" t="str">
            <v>- 염소, 불소, 브롬 등의 강산화제, 염산, 황산, 질산 등의 강산, 물과 격리하여 저장할 것
- 용기에 녹이 슬 수 있으므로 습기를 피해 건조한 곳에 저장할 것
- 빈 용기도 같은 장소에 저장할 것
- 암모니아, 할로겐화수소, 산, 강산화제, 유기물질과 격리하여 저장할 것
- 통풍이 잘 되는 그늘 및 서늘한 곳에 밀폐 보관할 것
- 식료품, 사료, 의약품, 음식과 혼합저장 금지할 것
- 필요에 따라 국소배기장치 가동할 것
- 저장용기는 물리적인 손상에 견딜 수 있어야 할 것
- 사고발생에 대비하여 눈이나 몸을 씻을 수 있는 세안시설과 샤워시설이 이용 가능한 장소에서 작업할 것
- 사용한 후 식사, 흡연, 화장실에 가기 전에 물과 비누로 손을 꼭 세척할 것
- 호흡용보호구, 전면보호구, 보안경, 보호 장갑(고무 또는 네오프렌 재질)을 반드시 사용할 것
- 콘택트렌즈를 착용 금지할 것</v>
          </cell>
        </row>
        <row r="451">
          <cell r="B451" t="str">
            <v>12166-43-7</v>
          </cell>
          <cell r="C451" t="str">
            <v>셀레늄화합물질</v>
          </cell>
          <cell r="D451" t="str">
            <v>97-1-134</v>
          </cell>
          <cell r="E451" t="str">
            <v>및 이를 1% 이상 함유한 혼합물질</v>
          </cell>
          <cell r="F451">
            <v>1</v>
          </cell>
          <cell r="G451" t="str">
            <v>- 염소, 불소, 브롬 등의 강산화제, 염산, 황산, 질산 등의 강산, 물과 격리하여 저장할 것
- 용기에 녹이 슬 수 있으므로 습기를 피해 건조한 곳에 저장할 것
- 빈 용기도 같은 장소에 저장할 것
- 암모니아, 할로겐화수소, 산, 강산화제, 유기물질과 격리하여 저장할 것
- 통풍이 잘 되는 그늘 및 서늘한 곳에 밀폐 보관할 것
- 식료품, 사료, 의약품, 음식과 혼합저장 금지할 것
- 필요에 따라 국소배기장치 가동할 것
- 저장용기는 물리적인 손상에 견딜 수 있어야 할 것
- 사고발생에 대비하여 눈이나 몸을 씻을 수 있는 세안시설과 샤워시설이 이용 가능한 장소에서 작업할 것
- 사용한 후 식사, 흡연, 화장실에 가기 전에 물과 비누로 손을 꼭 세척할 것
- 호흡용보호구, 전면보호구, 보안경, 보호 장갑(고무 또는 네오프렌 재질)을 반드시 사용할 것
- 콘택트렌즈를 착용 금지할 것</v>
          </cell>
        </row>
        <row r="452">
          <cell r="B452" t="str">
            <v>12166-47-1</v>
          </cell>
          <cell r="C452" t="str">
            <v>셀레늄화합물질</v>
          </cell>
          <cell r="D452" t="str">
            <v>97-1-134</v>
          </cell>
          <cell r="E452" t="str">
            <v>및 이를 1% 이상 함유한 혼합물질</v>
          </cell>
          <cell r="F452">
            <v>1</v>
          </cell>
          <cell r="G452" t="str">
            <v>- 염소, 불소, 브롬 등의 강산화제, 염산, 황산, 질산 등의 강산, 물과 격리하여 저장할 것
- 용기에 녹이 슬 수 있으므로 습기를 피해 건조한 곳에 저장할 것
- 빈 용기도 같은 장소에 저장할 것
- 암모니아, 할로겐화수소, 산, 강산화제, 유기물질과 격리하여 저장할 것
- 통풍이 잘 되는 그늘 및 서늘한 곳에 밀폐 보관할 것
- 식료품, 사료, 의약품, 음식과 혼합저장 금지할 것
- 필요에 따라 국소배기장치 가동할 것
- 저장용기는 물리적인 손상에 견딜 수 있어야 할 것
- 사고발생에 대비하여 눈이나 몸을 씻을 수 있는 세안시설과 샤워시설이 이용 가능한 장소에서 작업할 것
- 사용한 후 식사, 흡연, 화장실에 가기 전에 물과 비누로 손을 꼭 세척할 것
- 호흡용보호구, 전면보호구, 보안경, 보호 장갑(고무 또는 네오프렌 재질)을 반드시 사용할 것
- 콘택트렌즈를 착용 금지할 것</v>
          </cell>
        </row>
        <row r="453">
          <cell r="B453" t="str">
            <v>12214-12-9</v>
          </cell>
          <cell r="C453" t="str">
            <v>셀레늄화합물질</v>
          </cell>
          <cell r="D453" t="str">
            <v>97-1-134</v>
          </cell>
          <cell r="E453" t="str">
            <v>및 이를 1% 이상 함유한 혼합물질</v>
          </cell>
          <cell r="F453">
            <v>1</v>
          </cell>
          <cell r="G453" t="str">
            <v>- 염소, 불소, 브롬 등의 강산화제, 염산, 황산, 질산 등의 강산, 물과 격리하여 저장할 것
- 용기에 녹이 슬 수 있으므로 습기를 피해 건조한 곳에 저장할 것
- 빈 용기도 같은 장소에 저장할 것
- 암모니아, 할로겐화수소, 산, 강산화제, 유기물질과 격리하여 저장할 것
- 통풍이 잘 되는 그늘 및 서늘한 곳에 밀폐 보관할 것
- 식료품, 사료, 의약품, 음식과 혼합저장 금지할 것
- 필요에 따라 국소배기장치 가동할 것
- 저장용기는 물리적인 손상에 견딜 수 있어야 할 것
- 사고발생에 대비하여 눈이나 몸을 씻을 수 있는 세안시설과 샤워시설이 이용 가능한 장소에서 작업할 것
- 사용한 후 식사, 흡연, 화장실에 가기 전에 물과 비누로 손을 꼭 세척할 것
- 호흡용보호구, 전면보호구, 보안경, 보호 장갑(고무 또는 네오프렌 재질)을 반드시 사용할 것
- 콘택트렌즈를 착용 금지할 것</v>
          </cell>
        </row>
        <row r="454">
          <cell r="B454" t="str">
            <v>12232-25-6</v>
          </cell>
          <cell r="C454" t="str">
            <v>셀레늄화합물질</v>
          </cell>
          <cell r="D454" t="str">
            <v>97-1-134</v>
          </cell>
          <cell r="E454" t="str">
            <v>및 이를 1% 이상 함유한 혼합물질</v>
          </cell>
          <cell r="F454">
            <v>1</v>
          </cell>
          <cell r="G454" t="str">
            <v>- 염소, 불소, 브롬 등의 강산화제, 염산, 황산, 질산 등의 강산, 물과 격리하여 저장할 것
- 용기에 녹이 슬 수 있으므로 습기를 피해 건조한 곳에 저장할 것
- 빈 용기도 같은 장소에 저장할 것
- 암모니아, 할로겐화수소, 산, 강산화제, 유기물질과 격리하여 저장할 것
- 통풍이 잘 되는 그늘 및 서늘한 곳에 밀폐 보관할 것
- 식료품, 사료, 의약품, 음식과 혼합저장 금지할 것
- 필요에 따라 국소배기장치 가동할 것
- 저장용기는 물리적인 손상에 견딜 수 있어야 할 것
- 사고발생에 대비하여 눈이나 몸을 씻을 수 있는 세안시설과 샤워시설이 이용 가능한 장소에서 작업할 것
- 사용한 후 식사, 흡연, 화장실에 가기 전에 물과 비누로 손을 꼭 세척할 것
- 호흡용보호구, 전면보호구, 보안경, 보호 장갑(고무 또는 네오프렌 재질)을 반드시 사용할 것
- 콘택트렌즈를 착용 금지할 것</v>
          </cell>
        </row>
        <row r="455">
          <cell r="B455" t="str">
            <v>12299-51-3</v>
          </cell>
          <cell r="C455" t="str">
            <v>셀레늄화합물질</v>
          </cell>
          <cell r="D455" t="str">
            <v>97-1-134</v>
          </cell>
          <cell r="E455" t="str">
            <v>및 이를 1% 이상 함유한 혼합물질</v>
          </cell>
          <cell r="F455">
            <v>1</v>
          </cell>
          <cell r="G455" t="str">
            <v>- 염소, 불소, 브롬 등의 강산화제, 염산, 황산, 질산 등의 강산, 물과 격리하여 저장할 것
- 용기에 녹이 슬 수 있으므로 습기를 피해 건조한 곳에 저장할 것
- 빈 용기도 같은 장소에 저장할 것
- 암모니아, 할로겐화수소, 산, 강산화제, 유기물질과 격리하여 저장할 것
- 통풍이 잘 되는 그늘 및 서늘한 곳에 밀폐 보관할 것
- 식료품, 사료, 의약품, 음식과 혼합저장 금지할 것
- 필요에 따라 국소배기장치 가동할 것
- 저장용기는 물리적인 손상에 견딜 수 있어야 할 것
- 사고발생에 대비하여 눈이나 몸을 씻을 수 있는 세안시설과 샤워시설이 이용 가능한 장소에서 작업할 것
- 사용한 후 식사, 흡연, 화장실에 가기 전에 물과 비누로 손을 꼭 세척할 것
- 호흡용보호구, 전면보호구, 보안경, 보호 장갑(고무 또는 네오프렌 재질)을 반드시 사용할 것
- 콘택트렌즈를 착용 금지할 것</v>
          </cell>
        </row>
        <row r="456">
          <cell r="B456" t="str">
            <v>12299-98-8</v>
          </cell>
          <cell r="C456" t="str">
            <v>셀레늄화합물질</v>
          </cell>
          <cell r="D456" t="str">
            <v>97-1-134</v>
          </cell>
          <cell r="E456" t="str">
            <v>및 이를 1% 이상 함유한 혼합물질</v>
          </cell>
          <cell r="F456">
            <v>1</v>
          </cell>
          <cell r="G456" t="str">
            <v>- 염소, 불소, 브롬 등의 강산화제, 염산, 황산, 질산 등의 강산, 물과 격리하여 저장할 것
- 용기에 녹이 슬 수 있으므로 습기를 피해 건조한 곳에 저장할 것
- 빈 용기도 같은 장소에 저장할 것
- 암모니아, 할로겐화수소, 산, 강산화제, 유기물질과 격리하여 저장할 것
- 통풍이 잘 되는 그늘 및 서늘한 곳에 밀폐 보관할 것
- 식료품, 사료, 의약품, 음식과 혼합저장 금지할 것
- 필요에 따라 국소배기장치 가동할 것
- 저장용기는 물리적인 손상에 견딜 수 있어야 할 것
- 사고발생에 대비하여 눈이나 몸을 씻을 수 있는 세안시설과 샤워시설이 이용 가능한 장소에서 작업할 것
- 사용한 후 식사, 흡연, 화장실에 가기 전에 물과 비누로 손을 꼭 세척할 것
- 호흡용보호구, 전면보호구, 보안경, 보호 장갑(고무 또는 네오프렌 재질)을 반드시 사용할 것
- 콘택트렌즈를 착용 금지할 것</v>
          </cell>
        </row>
        <row r="457">
          <cell r="B457" t="str">
            <v>12397-16-9</v>
          </cell>
          <cell r="C457" t="str">
            <v>셀레늄화합물질</v>
          </cell>
          <cell r="D457" t="str">
            <v>97-1-134</v>
          </cell>
          <cell r="E457" t="str">
            <v>및 이를 1% 이상 함유한 혼합물질</v>
          </cell>
          <cell r="F457">
            <v>1</v>
          </cell>
          <cell r="G457" t="str">
            <v>- 염소, 불소, 브롬 등의 강산화제, 염산, 황산, 질산 등의 강산, 물과 격리하여 저장할 것
- 용기에 녹이 슬 수 있으므로 습기를 피해 건조한 곳에 저장할 것
- 빈 용기도 같은 장소에 저장할 것
- 암모니아, 할로겐화수소, 산, 강산화제, 유기물질과 격리하여 저장할 것
- 통풍이 잘 되는 그늘 및 서늘한 곳에 밀폐 보관할 것
- 식료품, 사료, 의약품, 음식과 혼합저장 금지할 것
- 필요에 따라 국소배기장치 가동할 것
- 저장용기는 물리적인 손상에 견딜 수 있어야 할 것
- 사고발생에 대비하여 눈이나 몸을 씻을 수 있는 세안시설과 샤워시설이 이용 가능한 장소에서 작업할 것
- 사용한 후 식사, 흡연, 화장실에 가기 전에 물과 비누로 손을 꼭 세척할 것
- 호흡용보호구, 전면보호구, 보안경, 보호 장갑(고무 또는 네오프렌 재질)을 반드시 사용할 것
- 콘택트렌즈를 착용 금지할 것</v>
          </cell>
        </row>
        <row r="458">
          <cell r="B458" t="str">
            <v>12626-36-7</v>
          </cell>
          <cell r="C458" t="str">
            <v>카드뮴셀리니드황화물</v>
          </cell>
          <cell r="D458" t="str">
            <v>97-1-134</v>
          </cell>
          <cell r="E458" t="str">
            <v>및 이를 1% 이상 함유한 혼합물질</v>
          </cell>
          <cell r="F458">
            <v>1</v>
          </cell>
          <cell r="G458" t="str">
            <v>- 염소, 불소, 브롬 등의 강산화제, 염산, 황산, 질산 등의 강산, 물과 격리하여 저장할 것
- 용기에 녹이 슬 수 있으므로 습기를 피해 건조한 곳에 저장할 것
- 빈 용기도 같은 장소에 저장할 것
- 암모니아, 할로겐화수소, 산, 강산화제, 유기물질과 격리하여 저장할 것
- 통풍이 잘 되는 그늘 및 서늘한 곳에 밀폐 보관할 것
- 식료품, 사료, 의약품, 음식과 혼합저장 금지할 것
- 필요에 따라 국소배기장치 가동할 것
- 저장용기는 물리적인 손상에 견딜 수 있어야 할 것
- 사고발생에 대비하여 눈이나 몸을 씻을 수 있는 세안시설과 샤워시설이 이용 가능한 장소에서 작업할 것
- 사용한 후 식사, 흡연, 화장실에 가기 전에 물과 비누로 손을 꼭 세척할 것
- 호흡용보호구, 전면보호구, 보안경, 보호 장갑(고무 또는 네오프렌 재질)을 반드시 사용할 것
- 콘택트렌즈를 착용 금지할 것</v>
          </cell>
        </row>
        <row r="459">
          <cell r="B459" t="str">
            <v>12640-89-0</v>
          </cell>
          <cell r="C459" t="str">
            <v>셀레늄화합물질</v>
          </cell>
          <cell r="D459" t="str">
            <v>97-1-134</v>
          </cell>
          <cell r="E459" t="str">
            <v>및 이를 1% 이상 함유한 혼합물질</v>
          </cell>
          <cell r="F459">
            <v>1</v>
          </cell>
          <cell r="G459" t="str">
            <v>- 염소, 불소, 브롬 등의 강산화제, 염산, 황산, 질산 등의 강산, 물과 격리하여 저장할 것
- 용기에 녹이 슬 수 있으므로 습기를 피해 건조한 곳에 저장할 것
- 빈 용기도 같은 장소에 저장할 것
- 암모니아, 할로겐화수소, 산, 강산화제, 유기물질과 격리하여 저장할 것
- 통풍이 잘 되는 그늘 및 서늘한 곳에 밀폐 보관할 것
- 식료품, 사료, 의약품, 음식과 혼합저장 금지할 것
- 필요에 따라 국소배기장치 가동할 것
- 저장용기는 물리적인 손상에 견딜 수 있어야 할 것
- 사고발생에 대비하여 눈이나 몸을 씻을 수 있는 세안시설과 샤워시설이 이용 가능한 장소에서 작업할 것
- 사용한 후 식사, 흡연, 화장실에 가기 전에 물과 비누로 손을 꼭 세척할 것
- 호흡용보호구, 전면보호구, 보안경, 보호 장갑(고무 또는 네오프렌 재질)을 반드시 사용할 것
- 콘택트렌즈를 착용 금지할 것</v>
          </cell>
        </row>
        <row r="460">
          <cell r="B460" t="str">
            <v>12656-57-4</v>
          </cell>
          <cell r="C460" t="str">
            <v>카드뮴오렌지</v>
          </cell>
          <cell r="D460" t="str">
            <v>97-1-134</v>
          </cell>
          <cell r="E460" t="str">
            <v>및 이를 1% 이상 함유한 혼합물질</v>
          </cell>
          <cell r="F460">
            <v>1</v>
          </cell>
          <cell r="G460" t="str">
            <v>- 염소, 불소, 브롬 등의 강산화제, 염산, 황산, 질산 등의 강산, 물과 격리하여 저장할 것
- 용기에 녹이 슬 수 있으므로 습기를 피해 건조한 곳에 저장할 것
- 빈 용기도 같은 장소에 저장할 것
- 암모니아, 할로겐화수소, 산, 강산화제, 유기물질과 격리하여 저장할 것
- 통풍이 잘 되는 그늘 및 서늘한 곳에 밀폐 보관할 것
- 식료품, 사료, 의약품, 음식과 혼합저장 금지할 것
- 필요에 따라 국소배기장치 가동할 것
- 저장용기는 물리적인 손상에 견딜 수 있어야 할 것
- 사고발생에 대비하여 눈이나 몸을 씻을 수 있는 세안시설과 샤워시설이 이용 가능한 장소에서 작업할 것
- 사용한 후 식사, 흡연, 화장실에 가기 전에 물과 비누로 손을 꼭 세척할 것
- 호흡용보호구, 전면보호구, 보안경, 보호 장갑(고무 또는 네오프렌 재질)을 반드시 사용할 것
- 콘택트렌즈를 착용 금지할 것</v>
          </cell>
        </row>
        <row r="461">
          <cell r="B461" t="str">
            <v>1302-09-6</v>
          </cell>
          <cell r="C461" t="str">
            <v>셀레늄화합물질</v>
          </cell>
          <cell r="D461" t="str">
            <v>97-1-134</v>
          </cell>
          <cell r="E461" t="str">
            <v>및 이를 1% 이상 함유한 혼합물질</v>
          </cell>
          <cell r="F461">
            <v>1</v>
          </cell>
          <cell r="G461" t="str">
            <v>- 염소, 불소, 브롬 등의 강산화제, 염산, 황산, 질산 등의 강산, 물과 격리하여 저장할 것
- 용기에 녹이 슬 수 있으므로 습기를 피해 건조한 곳에 저장할 것
- 빈 용기도 같은 장소에 저장할 것
- 암모니아, 할로겐화수소, 산, 강산화제, 유기물질과 격리하여 저장할 것
- 통풍이 잘 되는 그늘 및 서늘한 곳에 밀폐 보관할 것
- 식료품, 사료, 의약품, 음식과 혼합저장 금지할 것
- 필요에 따라 국소배기장치 가동할 것
- 저장용기는 물리적인 손상에 견딜 수 있어야 할 것
- 사고발생에 대비하여 눈이나 몸을 씻을 수 있는 세안시설과 샤워시설이 이용 가능한 장소에서 작업할 것
- 사용한 후 식사, 흡연, 화장실에 가기 전에 물과 비누로 손을 꼭 세척할 것
- 호흡용보호구, 전면보호구, 보안경, 보호 장갑(고무 또는 네오프렌 재질)을 반드시 사용할 것
- 콘택트렌즈를 착용 금지할 것</v>
          </cell>
        </row>
        <row r="462">
          <cell r="B462" t="str">
            <v>1302-82-5</v>
          </cell>
          <cell r="C462" t="str">
            <v>셀레늄화합물질</v>
          </cell>
          <cell r="D462" t="str">
            <v>97-1-134</v>
          </cell>
          <cell r="E462" t="str">
            <v>및 이를 1% 이상 함유한 혼합물질</v>
          </cell>
          <cell r="F462">
            <v>1</v>
          </cell>
          <cell r="G462" t="str">
            <v>- 염소, 불소, 브롬 등의 강산화제, 염산, 황산, 질산 등의 강산, 물과 격리하여 저장할 것
- 용기에 녹이 슬 수 있으므로 습기를 피해 건조한 곳에 저장할 것
- 빈 용기도 같은 장소에 저장할 것
- 암모니아, 할로겐화수소, 산, 강산화제, 유기물질과 격리하여 저장할 것
- 통풍이 잘 되는 그늘 및 서늘한 곳에 밀폐 보관할 것
- 식료품, 사료, 의약품, 음식과 혼합저장 금지할 것
- 필요에 따라 국소배기장치 가동할 것
- 저장용기는 물리적인 손상에 견딜 수 있어야 할 것
- 사고발생에 대비하여 눈이나 몸을 씻을 수 있는 세안시설과 샤워시설이 이용 가능한 장소에서 작업할 것
- 사용한 후 식사, 흡연, 화장실에 가기 전에 물과 비누로 손을 꼭 세척할 것
- 호흡용보호구, 전면보호구, 보안경, 보호 장갑(고무 또는 네오프렌 재질)을 반드시 사용할 것
- 콘택트렌즈를 착용 금지할 것</v>
          </cell>
        </row>
        <row r="463">
          <cell r="B463" t="str">
            <v>1303-62-4</v>
          </cell>
          <cell r="C463" t="str">
            <v>셀레늄화합물질</v>
          </cell>
          <cell r="D463" t="str">
            <v>97-1-134</v>
          </cell>
          <cell r="E463" t="str">
            <v>및 이를 1% 이상 함유한 혼합물질</v>
          </cell>
          <cell r="F463">
            <v>1</v>
          </cell>
          <cell r="G463" t="str">
            <v>- 염소, 불소, 브롬 등의 강산화제, 염산, 황산, 질산 등의 강산, 물과 격리하여 저장할 것
- 용기에 녹이 슬 수 있으므로 습기를 피해 건조한 곳에 저장할 것
- 빈 용기도 같은 장소에 저장할 것
- 암모니아, 할로겐화수소, 산, 강산화제, 유기물질과 격리하여 저장할 것
- 통풍이 잘 되는 그늘 및 서늘한 곳에 밀폐 보관할 것
- 식료품, 사료, 의약품, 음식과 혼합저장 금지할 것
- 필요에 따라 국소배기장치 가동할 것
- 저장용기는 물리적인 손상에 견딜 수 있어야 할 것
- 사고발생에 대비하여 눈이나 몸을 씻을 수 있는 세안시설과 샤워시설이 이용 가능한 장소에서 작업할 것
- 사용한 후 식사, 흡연, 화장실에 가기 전에 물과 비누로 손을 꼭 세척할 것
- 호흡용보호구, 전면보호구, 보안경, 보호 장갑(고무 또는 네오프렌 재질)을 반드시 사용할 것
- 콘택트렌즈를 착용 금지할 것</v>
          </cell>
        </row>
        <row r="464">
          <cell r="B464" t="str">
            <v>1304-39-8</v>
          </cell>
          <cell r="C464" t="str">
            <v>셀레늄화합물질</v>
          </cell>
          <cell r="D464" t="str">
            <v>97-1-134</v>
          </cell>
          <cell r="E464" t="str">
            <v>및 이를 1% 이상 함유한 혼합물질</v>
          </cell>
          <cell r="F464">
            <v>1</v>
          </cell>
          <cell r="G464" t="str">
            <v>- 염소, 불소, 브롬 등의 강산화제, 염산, 황산, 질산 등의 강산, 물과 격리하여 저장할 것
- 용기에 녹이 슬 수 있으므로 습기를 피해 건조한 곳에 저장할 것
- 빈 용기도 같은 장소에 저장할 것
- 암모니아, 할로겐화수소, 산, 강산화제, 유기물질과 격리하여 저장할 것
- 통풍이 잘 되는 그늘 및 서늘한 곳에 밀폐 보관할 것
- 식료품, 사료, 의약품, 음식과 혼합저장 금지할 것
- 필요에 따라 국소배기장치 가동할 것
- 저장용기는 물리적인 손상에 견딜 수 있어야 할 것
- 사고발생에 대비하여 눈이나 몸을 씻을 수 있는 세안시설과 샤워시설이 이용 가능한 장소에서 작업할 것
- 사용한 후 식사, 흡연, 화장실에 가기 전에 물과 비누로 손을 꼭 세척할 것
- 호흡용보호구, 전면보호구, 보안경, 보호 장갑(고무 또는 네오프렌 재질)을 반드시 사용할 것
- 콘택트렌즈를 착용 금지할 것</v>
          </cell>
        </row>
        <row r="465">
          <cell r="B465" t="str">
            <v>1305-84-6</v>
          </cell>
          <cell r="C465" t="str">
            <v>셀레늄화합물질</v>
          </cell>
          <cell r="D465" t="str">
            <v>97-1-134</v>
          </cell>
          <cell r="E465" t="str">
            <v>및 이를 1% 이상 함유한 혼합물질</v>
          </cell>
          <cell r="F465">
            <v>1</v>
          </cell>
          <cell r="G465" t="str">
            <v>- 염소, 불소, 브롬 등의 강산화제, 염산, 황산, 질산 등의 강산, 물과 격리하여 저장할 것
- 용기에 녹이 슬 수 있으므로 습기를 피해 건조한 곳에 저장할 것
- 빈 용기도 같은 장소에 저장할 것
- 암모니아, 할로겐화수소, 산, 강산화제, 유기물질과 격리하여 저장할 것
- 통풍이 잘 되는 그늘 및 서늘한 곳에 밀폐 보관할 것
- 식료품, 사료, 의약품, 음식과 혼합저장 금지할 것
- 필요에 따라 국소배기장치 가동할 것
- 저장용기는 물리적인 손상에 견딜 수 있어야 할 것
- 사고발생에 대비하여 눈이나 몸을 씻을 수 있는 세안시설과 샤워시설이 이용 가능한 장소에서 작업할 것
- 사용한 후 식사, 흡연, 화장실에 가기 전에 물과 비누로 손을 꼭 세척할 것
- 호흡용보호구, 전면보호구, 보안경, 보호 장갑(고무 또는 네오프렌 재질)을 반드시 사용할 것
- 콘택트렌즈를 착용 금지할 것</v>
          </cell>
        </row>
        <row r="466">
          <cell r="B466" t="str">
            <v>1306-24-7</v>
          </cell>
          <cell r="C466" t="str">
            <v>카드뮴셀레늄화합물</v>
          </cell>
          <cell r="D466" t="str">
            <v>97-1-134</v>
          </cell>
          <cell r="E466" t="str">
            <v>및 이를 1% 이상 함유한 혼합물질</v>
          </cell>
          <cell r="F466">
            <v>1</v>
          </cell>
          <cell r="G466" t="str">
            <v>- 염소, 불소, 브롬 등의 강산화제, 염산, 황산, 질산 등의 강산, 물과 격리하여 저장할 것
- 용기에 녹이 슬 수 있으므로 습기를 피해 건조한 곳에 저장할 것
- 빈 용기도 같은 장소에 저장할 것
- 암모니아, 할로겐화수소, 산, 강산화제, 유기물질과 격리하여 저장할 것
- 통풍이 잘 되는 그늘 및 서늘한 곳에 밀폐 보관할 것
- 식료품, 사료, 의약품, 음식과 혼합저장 금지할 것
- 필요에 따라 국소배기장치 가동할 것
- 저장용기는 물리적인 손상에 견딜 수 있어야 할 것
- 사고발생에 대비하여 눈이나 몸을 씻을 수 있는 세안시설과 샤워시설이 이용 가능한 장소에서 작업할 것
- 사용한 후 식사, 흡연, 화장실에 가기 전에 물과 비누로 손을 꼭 세척할 것
- 호흡용보호구, 전면보호구, 보안경, 보호 장갑(고무 또는 네오프렌 재질)을 반드시 사용할 것
- 콘택트렌즈를 착용 금지할 것</v>
          </cell>
        </row>
        <row r="467">
          <cell r="B467" t="str">
            <v>1307-99-9</v>
          </cell>
          <cell r="C467" t="str">
            <v>셀레늄화합물질</v>
          </cell>
          <cell r="D467" t="str">
            <v>97-1-134</v>
          </cell>
          <cell r="E467" t="str">
            <v>및 이를 1% 이상 함유한 혼합물질</v>
          </cell>
          <cell r="F467">
            <v>1</v>
          </cell>
          <cell r="G467" t="str">
            <v>- 염소, 불소, 브롬 등의 강산화제, 염산, 황산, 질산 등의 강산, 물과 격리하여 저장할 것
- 용기에 녹이 슬 수 있으므로 습기를 피해 건조한 곳에 저장할 것
- 빈 용기도 같은 장소에 저장할 것
- 암모니아, 할로겐화수소, 산, 강산화제, 유기물질과 격리하여 저장할 것
- 통풍이 잘 되는 그늘 및 서늘한 곳에 밀폐 보관할 것
- 식료품, 사료, 의약품, 음식과 혼합저장 금지할 것
- 필요에 따라 국소배기장치 가동할 것
- 저장용기는 물리적인 손상에 견딜 수 있어야 할 것
- 사고발생에 대비하여 눈이나 몸을 씻을 수 있는 세안시설과 샤워시설이 이용 가능한 장소에서 작업할 것
- 사용한 후 식사, 흡연, 화장실에 가기 전에 물과 비누로 손을 꼭 세척할 것
- 호흡용보호구, 전면보호구, 보안경, 보호 장갑(고무 또는 네오프렌 재질)을 반드시 사용할 것
- 콘택트렌즈를 착용 금지할 것</v>
          </cell>
        </row>
        <row r="468">
          <cell r="B468" t="str">
            <v>1310-32-3</v>
          </cell>
          <cell r="C468" t="str">
            <v>셀레늄화합물질</v>
          </cell>
          <cell r="D468" t="str">
            <v>97-1-134</v>
          </cell>
          <cell r="E468" t="str">
            <v>및 이를 1% 이상 함유한 혼합물질</v>
          </cell>
          <cell r="F468">
            <v>1</v>
          </cell>
          <cell r="G468" t="str">
            <v>- 염소, 불소, 브롬 등의 강산화제, 염산, 황산, 질산 등의 강산, 물과 격리하여 저장할 것
- 용기에 녹이 슬 수 있으므로 습기를 피해 건조한 곳에 저장할 것
- 빈 용기도 같은 장소에 저장할 것
- 암모니아, 할로겐화수소, 산, 강산화제, 유기물질과 격리하여 저장할 것
- 통풍이 잘 되는 그늘 및 서늘한 곳에 밀폐 보관할 것
- 식료품, 사료, 의약품, 음식과 혼합저장 금지할 것
- 필요에 따라 국소배기장치 가동할 것
- 저장용기는 물리적인 손상에 견딜 수 있어야 할 것
- 사고발생에 대비하여 눈이나 몸을 씻을 수 있는 세안시설과 샤워시설이 이용 가능한 장소에서 작업할 것
- 사용한 후 식사, 흡연, 화장실에 가기 전에 물과 비누로 손을 꼭 세척할 것
- 호흡용보호구, 전면보호구, 보안경, 보호 장갑(고무 또는 네오프렌 재질)을 반드시 사용할 것
- 콘택트렌즈를 착용 금지할 것</v>
          </cell>
        </row>
        <row r="469">
          <cell r="B469" t="str">
            <v>1312-74-9</v>
          </cell>
          <cell r="C469" t="str">
            <v>셀레늄화합물질</v>
          </cell>
          <cell r="D469" t="str">
            <v>97-1-134</v>
          </cell>
          <cell r="E469" t="str">
            <v>및 이를 1% 이상 함유한 혼합물질</v>
          </cell>
          <cell r="F469">
            <v>1</v>
          </cell>
          <cell r="G469" t="str">
            <v>- 염소, 불소, 브롬 등의 강산화제, 염산, 황산, 질산 등의 강산, 물과 격리하여 저장할 것
- 용기에 녹이 슬 수 있으므로 습기를 피해 건조한 곳에 저장할 것
- 빈 용기도 같은 장소에 저장할 것
- 암모니아, 할로겐화수소, 산, 강산화제, 유기물질과 격리하여 저장할 것
- 통풍이 잘 되는 그늘 및 서늘한 곳에 밀폐 보관할 것
- 식료품, 사료, 의약품, 음식과 혼합저장 금지할 것
- 필요에 따라 국소배기장치 가동할 것
- 저장용기는 물리적인 손상에 견딜 수 있어야 할 것
- 사고발생에 대비하여 눈이나 몸을 씻을 수 있는 세안시설과 샤워시설이 이용 가능한 장소에서 작업할 것
- 사용한 후 식사, 흡연, 화장실에 가기 전에 물과 비누로 손을 꼭 세척할 것
- 호흡용보호구, 전면보호구, 보안경, 보호 장갑(고무 또는 네오프렌 재질)을 반드시 사용할 것
- 콘택트렌즈를 착용 금지할 것</v>
          </cell>
        </row>
        <row r="470">
          <cell r="B470" t="str">
            <v>1313-04-8</v>
          </cell>
          <cell r="C470" t="str">
            <v>셀레늄화합물질</v>
          </cell>
          <cell r="D470" t="str">
            <v>97-1-134</v>
          </cell>
          <cell r="E470" t="str">
            <v>및 이를 1% 이상 함유한 혼합물질</v>
          </cell>
          <cell r="F470">
            <v>1</v>
          </cell>
          <cell r="G470" t="str">
            <v>- 염소, 불소, 브롬 등의 강산화제, 염산, 황산, 질산 등의 강산, 물과 격리하여 저장할 것
- 용기에 녹이 슬 수 있으므로 습기를 피해 건조한 곳에 저장할 것
- 빈 용기도 같은 장소에 저장할 것
- 암모니아, 할로겐화수소, 산, 강산화제, 유기물질과 격리하여 저장할 것
- 통풍이 잘 되는 그늘 및 서늘한 곳에 밀폐 보관할 것
- 식료품, 사료, 의약품, 음식과 혼합저장 금지할 것
- 필요에 따라 국소배기장치 가동할 것
- 저장용기는 물리적인 손상에 견딜 수 있어야 할 것
- 사고발생에 대비하여 눈이나 몸을 씻을 수 있는 세안시설과 샤워시설이 이용 가능한 장소에서 작업할 것
- 사용한 후 식사, 흡연, 화장실에 가기 전에 물과 비누로 손을 꼭 세척할 것
- 호흡용보호구, 전면보호구, 보안경, 보호 장갑(고무 또는 네오프렌 재질)을 반드시 사용할 것
- 콘택트렌즈를 착용 금지할 것</v>
          </cell>
        </row>
        <row r="471">
          <cell r="B471" t="str">
            <v>1313-22-0</v>
          </cell>
          <cell r="C471" t="str">
            <v>셀레늄화합물질</v>
          </cell>
          <cell r="D471" t="str">
            <v>97-1-134</v>
          </cell>
          <cell r="E471" t="str">
            <v>및 이를 1% 이상 함유한 혼합물질</v>
          </cell>
          <cell r="F471">
            <v>1</v>
          </cell>
          <cell r="G471" t="str">
            <v>- 염소, 불소, 브롬 등의 강산화제, 염산, 황산, 질산 등의 강산, 물과 격리하여 저장할 것
- 용기에 녹이 슬 수 있으므로 습기를 피해 건조한 곳에 저장할 것
- 빈 용기도 같은 장소에 저장할 것
- 암모니아, 할로겐화수소, 산, 강산화제, 유기물질과 격리하여 저장할 것
- 통풍이 잘 되는 그늘 및 서늘한 곳에 밀폐 보관할 것
- 식료품, 사료, 의약품, 음식과 혼합저장 금지할 것
- 필요에 따라 국소배기장치 가동할 것
- 저장용기는 물리적인 손상에 견딜 수 있어야 할 것
- 사고발생에 대비하여 눈이나 몸을 씻을 수 있는 세안시설과 샤워시설이 이용 가능한 장소에서 작업할 것
- 사용한 후 식사, 흡연, 화장실에 가기 전에 물과 비누로 손을 꼭 세척할 것
- 호흡용보호구, 전면보호구, 보안경, 보호 장갑(고무 또는 네오프렌 재질)을 반드시 사용할 것
- 콘택트렌즈를 착용 금지할 것</v>
          </cell>
        </row>
        <row r="472">
          <cell r="B472" t="str">
            <v>1313-85-5</v>
          </cell>
          <cell r="C472" t="str">
            <v>나트륨셀레늄화합물</v>
          </cell>
          <cell r="D472" t="str">
            <v>97-1-134</v>
          </cell>
          <cell r="E472" t="str">
            <v>및 이를 1% 이상 함유한 혼합물질</v>
          </cell>
          <cell r="F472">
            <v>1</v>
          </cell>
          <cell r="G472" t="str">
            <v>- 염소, 불소, 브롬 등의 강산화제, 염산, 황산, 질산 등의 강산, 물과 격리하여 저장할 것
- 용기에 녹이 슬 수 있으므로 습기를 피해 건조한 곳에 저장할 것
- 빈 용기도 같은 장소에 저장할 것
- 암모니아, 할로겐화수소, 산, 강산화제, 유기물질과 격리하여 저장할 것
- 통풍이 잘 되는 그늘 및 서늘한 곳에 밀폐 보관할 것
- 식료품, 사료, 의약품, 음식과 혼합저장 금지할 것
- 필요에 따라 국소배기장치 가동할 것
- 저장용기는 물리적인 손상에 견딜 수 있어야 할 것
- 사고발생에 대비하여 눈이나 몸을 씻을 수 있는 세안시설과 샤워시설이 이용 가능한 장소에서 작업할 것
- 사용한 후 식사, 흡연, 화장실에 가기 전에 물과 비누로 손을 꼭 세척할 것
- 호흡용보호구, 전면보호구, 보안경, 보호 장갑(고무 또는 네오프렌 재질)을 반드시 사용할 것
- 콘택트렌즈를 착용 금지할 것</v>
          </cell>
        </row>
        <row r="473">
          <cell r="B473" t="str">
            <v>1314-05-2</v>
          </cell>
          <cell r="C473" t="str">
            <v>셀레늄화합물질</v>
          </cell>
          <cell r="D473" t="str">
            <v>97-1-134</v>
          </cell>
          <cell r="E473" t="str">
            <v>및 이를 1% 이상 함유한 혼합물질</v>
          </cell>
          <cell r="F473">
            <v>1</v>
          </cell>
          <cell r="G473" t="str">
            <v>- 염소, 불소, 브롬 등의 강산화제, 염산, 황산, 질산 등의 강산, 물과 격리하여 저장할 것
- 용기에 녹이 슬 수 있으므로 습기를 피해 건조한 곳에 저장할 것
- 빈 용기도 같은 장소에 저장할 것
- 암모니아, 할로겐화수소, 산, 강산화제, 유기물질과 격리하여 저장할 것
- 통풍이 잘 되는 그늘 및 서늘한 곳에 밀폐 보관할 것
- 식료품, 사료, 의약품, 음식과 혼합저장 금지할 것
- 필요에 따라 국소배기장치 가동할 것
- 저장용기는 물리적인 손상에 견딜 수 있어야 할 것
- 사고발생에 대비하여 눈이나 몸을 씻을 수 있는 세안시설과 샤워시설이 이용 가능한 장소에서 작업할 것
- 사용한 후 식사, 흡연, 화장실에 가기 전에 물과 비누로 손을 꼭 세척할 것
- 호흡용보호구, 전면보호구, 보안경, 보호 장갑(고무 또는 네오프렌 재질)을 반드시 사용할 것
- 콘택트렌즈를 착용 금지할 것</v>
          </cell>
        </row>
        <row r="474">
          <cell r="B474" t="str">
            <v>1315-06-6</v>
          </cell>
          <cell r="C474" t="str">
            <v>셀레늄화합물질</v>
          </cell>
          <cell r="D474" t="str">
            <v>97-1-134</v>
          </cell>
          <cell r="E474" t="str">
            <v>및 이를 1% 이상 함유한 혼합물질</v>
          </cell>
          <cell r="F474">
            <v>1</v>
          </cell>
          <cell r="G474" t="str">
            <v>- 염소, 불소, 브롬 등의 강산화제, 염산, 황산, 질산 등의 강산, 물과 격리하여 저장할 것
- 용기에 녹이 슬 수 있으므로 습기를 피해 건조한 곳에 저장할 것
- 빈 용기도 같은 장소에 저장할 것
- 암모니아, 할로겐화수소, 산, 강산화제, 유기물질과 격리하여 저장할 것
- 통풍이 잘 되는 그늘 및 서늘한 곳에 밀폐 보관할 것
- 식료품, 사료, 의약품, 음식과 혼합저장 금지할 것
- 필요에 따라 국소배기장치 가동할 것
- 저장용기는 물리적인 손상에 견딜 수 있어야 할 것
- 사고발생에 대비하여 눈이나 몸을 씻을 수 있는 세안시설과 샤워시설이 이용 가능한 장소에서 작업할 것
- 사용한 후 식사, 흡연, 화장실에 가기 전에 물과 비누로 손을 꼭 세척할 것
- 호흡용보호구, 전면보호구, 보안경, 보호 장갑(고무 또는 네오프렌 재질)을 반드시 사용할 것
- 콘택트렌즈를 착용 금지할 것</v>
          </cell>
        </row>
        <row r="475">
          <cell r="B475" t="str">
            <v>1315-07-7</v>
          </cell>
          <cell r="C475" t="str">
            <v>셀레늄화합물질</v>
          </cell>
          <cell r="D475" t="str">
            <v>97-1-134</v>
          </cell>
          <cell r="E475" t="str">
            <v>및 이를 1% 이상 함유한 혼합물질</v>
          </cell>
          <cell r="F475">
            <v>1</v>
          </cell>
          <cell r="G475" t="str">
            <v>- 염소, 불소, 브롬 등의 강산화제, 염산, 황산, 질산 등의 강산, 물과 격리하여 저장할 것
- 용기에 녹이 슬 수 있으므로 습기를 피해 건조한 곳에 저장할 것
- 빈 용기도 같은 장소에 저장할 것
- 암모니아, 할로겐화수소, 산, 강산화제, 유기물질과 격리하여 저장할 것
- 통풍이 잘 되는 그늘 및 서늘한 곳에 밀폐 보관할 것
- 식료품, 사료, 의약품, 음식과 혼합저장 금지할 것
- 필요에 따라 국소배기장치 가동할 것
- 저장용기는 물리적인 손상에 견딜 수 있어야 할 것
- 사고발생에 대비하여 눈이나 몸을 씻을 수 있는 세안시설과 샤워시설이 이용 가능한 장소에서 작업할 것
- 사용한 후 식사, 흡연, 화장실에 가기 전에 물과 비누로 손을 꼭 세척할 것
- 호흡용보호구, 전면보호구, 보안경, 보호 장갑(고무 또는 네오프렌 재질)을 반드시 사용할 것
- 콘택트렌즈를 착용 금지할 것</v>
          </cell>
        </row>
        <row r="476">
          <cell r="B476" t="str">
            <v>1315-09-9</v>
          </cell>
          <cell r="C476" t="str">
            <v>아연셀렌화물</v>
          </cell>
          <cell r="D476" t="str">
            <v>97-1-134</v>
          </cell>
          <cell r="E476" t="str">
            <v>및 이를 1% 이상 함유한 혼합물질</v>
          </cell>
          <cell r="F476">
            <v>1</v>
          </cell>
          <cell r="G476" t="str">
            <v>- 염소, 불소, 브롬 등의 강산화제, 염산, 황산, 질산 등의 강산, 물과 격리하여 저장할 것
- 용기에 녹이 슬 수 있으므로 습기를 피해 건조한 곳에 저장할 것
- 빈 용기도 같은 장소에 저장할 것
- 암모니아, 할로겐화수소, 산, 강산화제, 유기물질과 격리하여 저장할 것
- 통풍이 잘 되는 그늘 및 서늘한 곳에 밀폐 보관할 것
- 식료품, 사료, 의약품, 음식과 혼합저장 금지할 것
- 필요에 따라 국소배기장치 가동할 것
- 저장용기는 물리적인 손상에 견딜 수 있어야 할 것
- 사고발생에 대비하여 눈이나 몸을 씻을 수 있는 세안시설과 샤워시설이 이용 가능한 장소에서 작업할 것
- 사용한 후 식사, 흡연, 화장실에 가기 전에 물과 비누로 손을 꼭 세척할 것
- 호흡용보호구, 전면보호구, 보안경, 보호 장갑(고무 또는 네오프렌 재질)을 반드시 사용할 것
- 콘택트렌즈를 착용 금지할 것</v>
          </cell>
        </row>
        <row r="477">
          <cell r="B477" t="str">
            <v>1317-41-5</v>
          </cell>
          <cell r="C477" t="str">
            <v>셀레늄화합물질</v>
          </cell>
          <cell r="D477" t="str">
            <v>97-1-134</v>
          </cell>
          <cell r="E477" t="str">
            <v>및 이를 1% 이상 함유한 혼합물질</v>
          </cell>
          <cell r="F477">
            <v>1</v>
          </cell>
          <cell r="G477" t="str">
            <v>- 염소, 불소, 브롬 등의 강산화제, 염산, 황산, 질산 등의 강산, 물과 격리하여 저장할 것
- 용기에 녹이 슬 수 있으므로 습기를 피해 건조한 곳에 저장할 것
- 빈 용기도 같은 장소에 저장할 것
- 암모니아, 할로겐화수소, 산, 강산화제, 유기물질과 격리하여 저장할 것
- 통풍이 잘 되는 그늘 및 서늘한 곳에 밀폐 보관할 것
- 식료품, 사료, 의약품, 음식과 혼합저장 금지할 것
- 필요에 따라 국소배기장치 가동할 것
- 저장용기는 물리적인 손상에 견딜 수 있어야 할 것
- 사고발생에 대비하여 눈이나 몸을 씻을 수 있는 세안시설과 샤워시설이 이용 가능한 장소에서 작업할 것
- 사용한 후 식사, 흡연, 화장실에 가기 전에 물과 비누로 손을 꼭 세척할 것
- 호흡용보호구, 전면보호구, 보안경, 보호 장갑(고무 또는 네오프렌 재질)을 반드시 사용할 것
- 콘택트렌즈를 착용 금지할 것</v>
          </cell>
        </row>
        <row r="478">
          <cell r="B478" t="str">
            <v>13410-01-0</v>
          </cell>
          <cell r="C478" t="str">
            <v>나트륨셀렌산염</v>
          </cell>
          <cell r="D478" t="str">
            <v>97-1-134</v>
          </cell>
          <cell r="E478" t="str">
            <v>및 이를 1% 이상 함유한 혼합물질</v>
          </cell>
          <cell r="F478">
            <v>1</v>
          </cell>
          <cell r="G478" t="str">
            <v>- 염소, 불소, 브롬 등의 강산화제, 염산, 황산, 질산 등의 강산, 물과 격리하여 저장할 것
- 용기에 녹이 슬 수 있으므로 습기를 피해 건조한 곳에 저장할 것
- 빈 용기도 같은 장소에 저장할 것
- 암모니아, 할로겐화수소, 산, 강산화제, 유기물질과 격리하여 저장할 것
- 통풍이 잘 되는 그늘 및 서늘한 곳에 밀폐 보관할 것
- 식료품, 사료, 의약품, 음식과 혼합저장 금지할 것
- 필요에 따라 국소배기장치 가동할 것
- 저장용기는 물리적인 손상에 견딜 수 있어야 할 것
- 사고발생에 대비하여 눈이나 몸을 씻을 수 있는 세안시설과 샤워시설이 이용 가능한 장소에서 작업할 것
- 사용한 후 식사, 흡연, 화장실에 가기 전에 물과 비누로 손을 꼭 세척할 것
- 호흡용보호구, 전면보호구, 보안경, 보호 장갑(고무 또는 네오프렌 재질)을 반드시 사용할 것
- 콘택트렌즈를 착용 금지할 것</v>
          </cell>
        </row>
        <row r="479">
          <cell r="B479" t="str">
            <v>13465-66-2</v>
          </cell>
          <cell r="C479" t="str">
            <v>셀레늄화합물질</v>
          </cell>
          <cell r="D479" t="str">
            <v>97-1-134</v>
          </cell>
          <cell r="E479" t="str">
            <v>및 이를 1% 이상 함유한 혼합물질</v>
          </cell>
          <cell r="F479">
            <v>1</v>
          </cell>
          <cell r="G479" t="str">
            <v>- 염소, 불소, 브롬 등의 강산화제, 염산, 황산, 질산 등의 강산, 물과 격리하여 저장할 것
- 용기에 녹이 슬 수 있으므로 습기를 피해 건조한 곳에 저장할 것
- 빈 용기도 같은 장소에 저장할 것
- 암모니아, 할로겐화수소, 산, 강산화제, 유기물질과 격리하여 저장할 것
- 통풍이 잘 되는 그늘 및 서늘한 곳에 밀폐 보관할 것
- 식료품, 사료, 의약품, 음식과 혼합저장 금지할 것
- 필요에 따라 국소배기장치 가동할 것
- 저장용기는 물리적인 손상에 견딜 수 있어야 할 것
- 사고발생에 대비하여 눈이나 몸을 씻을 수 있는 세안시설과 샤워시설이 이용 가능한 장소에서 작업할 것
- 사용한 후 식사, 흡연, 화장실에 가기 전에 물과 비누로 손을 꼭 세척할 것
- 호흡용보호구, 전면보호구, 보안경, 보호 장갑(고무 또는 네오프렌 재질)을 반드시 사용할 것
- 콘택트렌즈를 착용 금지할 것</v>
          </cell>
        </row>
        <row r="480">
          <cell r="B480" t="str">
            <v>13597-46-1</v>
          </cell>
          <cell r="C480" t="str">
            <v>셀레늄 또는 그 화합물질</v>
          </cell>
          <cell r="D480" t="str">
            <v>97-1-134</v>
          </cell>
          <cell r="E480" t="str">
            <v>및 이를 1% 이상 함유한 혼합물질</v>
          </cell>
          <cell r="F480">
            <v>1</v>
          </cell>
          <cell r="G480" t="str">
            <v>- 염소, 불소, 브롬 등의 강산화제, 염산, 황산, 질산 등의 강산, 물과 격리하여 저장할 것
- 용기에 녹이 슬 수 있으므로 습기를 피해 건조한 곳에 저장할 것
- 빈 용기도 같은 장소에 저장할 것
- 암모니아, 할로겐화수소, 산, 강산화제, 유기물질과 격리하여 저장할 것
- 통풍이 잘 되는 그늘 및 서늘한 곳에 밀폐 보관할 것
- 식료품, 사료, 의약품, 음식과 혼합저장 금지할 것
- 필요에 따라 국소배기장치 가동할 것
- 저장용기는 물리적인 손상에 견딜 수 있어야 할 것
- 사고발생에 대비하여 눈이나 몸을 씻을 수 있는 세안시설과 샤워시설이 이용 가능한 장소에서 작업할 것
- 사용한 후 식사, 흡연, 화장실에 가기 전에 물과 비누로 손을 꼭 세척할 것
- 호흡용보호구, 전면보호구, 보안경, 보호 장갑(고무 또는 네오프렌 재질)을 반드시 사용할 것
- 콘택트렌즈를 착용 금지할 것</v>
          </cell>
        </row>
        <row r="481">
          <cell r="B481" t="str">
            <v>13718-59-7</v>
          </cell>
          <cell r="C481" t="str">
            <v>셀레늄화합물질</v>
          </cell>
          <cell r="D481" t="str">
            <v>97-1-134</v>
          </cell>
          <cell r="E481" t="str">
            <v>및 이를 1% 이상 함유한 혼합물질</v>
          </cell>
          <cell r="F481">
            <v>1</v>
          </cell>
          <cell r="G481" t="str">
            <v>- 염소, 불소, 브롬 등의 강산화제, 염산, 황산, 질산 등의 강산, 물과 격리하여 저장할 것
- 용기에 녹이 슬 수 있으므로 습기를 피해 건조한 곳에 저장할 것
- 빈 용기도 같은 장소에 저장할 것
- 암모니아, 할로겐화수소, 산, 강산화제, 유기물질과 격리하여 저장할 것
- 통풍이 잘 되는 그늘 및 서늘한 곳에 밀폐 보관할 것
- 식료품, 사료, 의약품, 음식과 혼합저장 금지할 것
- 필요에 따라 국소배기장치 가동할 것
- 저장용기는 물리적인 손상에 견딜 수 있어야 할 것
- 사고발생에 대비하여 눈이나 몸을 씻을 수 있는 세안시설과 샤워시설이 이용 가능한 장소에서 작업할 것
- 사용한 후 식사, 흡연, 화장실에 가기 전에 물과 비누로 손을 꼭 세척할 것
- 호흡용보호구, 전면보호구, 보안경, 보호 장갑(고무 또는 네오프렌 재질)을 반드시 사용할 것
- 콘택트렌즈를 착용 금지할 것</v>
          </cell>
        </row>
        <row r="482">
          <cell r="B482" t="str">
            <v>13780-18-2</v>
          </cell>
          <cell r="C482" t="str">
            <v>셀레늄화합물질</v>
          </cell>
          <cell r="D482" t="str">
            <v>97-1-134</v>
          </cell>
          <cell r="E482" t="str">
            <v>및 이를 1% 이상 함유한 혼합물질</v>
          </cell>
          <cell r="F482">
            <v>1</v>
          </cell>
          <cell r="G482" t="str">
            <v>- 염소, 불소, 브롬 등의 강산화제, 염산, 황산, 질산 등의 강산, 물과 격리하여 저장할 것
- 용기에 녹이 슬 수 있으므로 습기를 피해 건조한 곳에 저장할 것
- 빈 용기도 같은 장소에 저장할 것
- 암모니아, 할로겐화수소, 산, 강산화제, 유기물질과 격리하여 저장할 것
- 통풍이 잘 되는 그늘 및 서늘한 곳에 밀폐 보관할 것
- 식료품, 사료, 의약품, 음식과 혼합저장 금지할 것
- 필요에 따라 국소배기장치 가동할 것
- 저장용기는 물리적인 손상에 견딜 수 있어야 할 것
- 사고발생에 대비하여 눈이나 몸을 씻을 수 있는 세안시설과 샤워시설이 이용 가능한 장소에서 작업할 것
- 사용한 후 식사, 흡연, 화장실에 가기 전에 물과 비누로 손을 꼭 세척할 것
- 호흡용보호구, 전면보호구, 보안경, 보호 장갑(고무 또는 네오프렌 재질)을 반드시 사용할 것
- 콘택트렌즈를 착용 금지할 것</v>
          </cell>
        </row>
        <row r="483">
          <cell r="B483" t="str">
            <v>13814-59-0</v>
          </cell>
          <cell r="C483" t="str">
            <v>셀레늄화합물질</v>
          </cell>
          <cell r="D483" t="str">
            <v>97-1-134</v>
          </cell>
          <cell r="E483" t="str">
            <v>및 이를 1% 이상 함유한 혼합물질</v>
          </cell>
          <cell r="F483">
            <v>1</v>
          </cell>
          <cell r="G483" t="str">
            <v>- 염소, 불소, 브롬 등의 강산화제, 염산, 황산, 질산 등의 강산, 물과 격리하여 저장할 것
- 용기에 녹이 슬 수 있으므로 습기를 피해 건조한 곳에 저장할 것
- 빈 용기도 같은 장소에 저장할 것
- 암모니아, 할로겐화수소, 산, 강산화제, 유기물질과 격리하여 저장할 것
- 통풍이 잘 되는 그늘 및 서늘한 곳에 밀폐 보관할 것
- 식료품, 사료, 의약품, 음식과 혼합저장 금지할 것
- 필요에 따라 국소배기장치 가동할 것
- 저장용기는 물리적인 손상에 견딜 수 있어야 할 것
- 사고발생에 대비하여 눈이나 몸을 씻을 수 있는 세안시설과 샤워시설이 이용 가능한 장소에서 작업할 것
- 사용한 후 식사, 흡연, 화장실에 가기 전에 물과 비누로 손을 꼭 세척할 것
- 호흡용보호구, 전면보호구, 보안경, 보호 장갑(고무 또는 네오프렌 재질)을 반드시 사용할 것
- 콘택트렌즈를 착용 금지할 것</v>
          </cell>
        </row>
        <row r="484">
          <cell r="B484" t="str">
            <v>13814-62-5</v>
          </cell>
          <cell r="C484" t="str">
            <v>셀레늄화합물질</v>
          </cell>
          <cell r="D484" t="str">
            <v>97-1-134</v>
          </cell>
          <cell r="E484" t="str">
            <v>및 이를 1% 이상 함유한 혼합물질</v>
          </cell>
          <cell r="F484">
            <v>1</v>
          </cell>
          <cell r="G484" t="str">
            <v>- 염소, 불소, 브롬 등의 강산화제, 염산, 황산, 질산 등의 강산, 물과 격리하여 저장할 것
- 용기에 녹이 슬 수 있으므로 습기를 피해 건조한 곳에 저장할 것
- 빈 용기도 같은 장소에 저장할 것
- 암모니아, 할로겐화수소, 산, 강산화제, 유기물질과 격리하여 저장할 것
- 통풍이 잘 되는 그늘 및 서늘한 곳에 밀폐 보관할 것
- 식료품, 사료, 의약품, 음식과 혼합저장 금지할 것
- 필요에 따라 국소배기장치 가동할 것
- 저장용기는 물리적인 손상에 견딜 수 있어야 할 것
- 사고발생에 대비하여 눈이나 몸을 씻을 수 있는 세안시설과 샤워시설이 이용 가능한 장소에서 작업할 것
- 사용한 후 식사, 흡연, 화장실에 가기 전에 물과 비누로 손을 꼭 세척할 것
- 호흡용보호구, 전면보호구, 보안경, 보호 장갑(고무 또는 네오프렌 재질)을 반드시 사용할 것
- 콘택트렌즈를 착용 금지할 것</v>
          </cell>
        </row>
        <row r="485">
          <cell r="B485" t="str">
            <v>14019-91-1</v>
          </cell>
          <cell r="C485" t="str">
            <v>셀레늄화합물질</v>
          </cell>
          <cell r="D485" t="str">
            <v>97-1-134</v>
          </cell>
          <cell r="E485" t="str">
            <v>및 이를 1% 이상 함유한 혼합물질</v>
          </cell>
          <cell r="F485">
            <v>1</v>
          </cell>
          <cell r="G485" t="str">
            <v>- 염소, 불소, 브롬 등의 강산화제, 염산, 황산, 질산 등의 강산, 물과 격리하여 저장할 것
- 용기에 녹이 슬 수 있으므로 습기를 피해 건조한 곳에 저장할 것
- 빈 용기도 같은 장소에 저장할 것
- 암모니아, 할로겐화수소, 산, 강산화제, 유기물질과 격리하여 저장할 것
- 통풍이 잘 되는 그늘 및 서늘한 곳에 밀폐 보관할 것
- 식료품, 사료, 의약품, 음식과 혼합저장 금지할 것
- 필요에 따라 국소배기장치 가동할 것
- 저장용기는 물리적인 손상에 견딜 수 있어야 할 것
- 사고발생에 대비하여 눈이나 몸을 씻을 수 있는 세안시설과 샤워시설이 이용 가능한 장소에서 작업할 것
- 사용한 후 식사, 흡연, 화장실에 가기 전에 물과 비누로 손을 꼭 세척할 것
- 호흡용보호구, 전면보호구, 보안경, 보호 장갑(고무 또는 네오프렌 재질)을 반드시 사용할 것
- 콘택트렌즈를 착용 금지할 것</v>
          </cell>
        </row>
        <row r="486">
          <cell r="B486" t="str">
            <v>14590-19-3</v>
          </cell>
          <cell r="C486" t="str">
            <v>셀레늄화합물질</v>
          </cell>
          <cell r="D486" t="str">
            <v>97-1-134</v>
          </cell>
          <cell r="E486" t="str">
            <v>및 이를 1% 이상 함유한 혼합물질</v>
          </cell>
          <cell r="F486">
            <v>1</v>
          </cell>
          <cell r="G486" t="str">
            <v>- 염소, 불소, 브롬 등의 강산화제, 염산, 황산, 질산 등의 강산, 물과 격리하여 저장할 것
- 용기에 녹이 슬 수 있으므로 습기를 피해 건조한 곳에 저장할 것
- 빈 용기도 같은 장소에 저장할 것
- 암모니아, 할로겐화수소, 산, 강산화제, 유기물질과 격리하여 저장할 것
- 통풍이 잘 되는 그늘 및 서늘한 곳에 밀폐 보관할 것
- 식료품, 사료, 의약품, 음식과 혼합저장 금지할 것
- 필요에 따라 국소배기장치 가동할 것
- 저장용기는 물리적인 손상에 견딜 수 있어야 할 것
- 사고발생에 대비하여 눈이나 몸을 씻을 수 있는 세안시설과 샤워시설이 이용 가능한 장소에서 작업할 것
- 사용한 후 식사, 흡연, 화장실에 가기 전에 물과 비누로 손을 꼭 세척할 것
- 호흡용보호구, 전면보호구, 보안경, 보호 장갑(고무 또는 네오프렌 재질)을 반드시 사용할 것
- 콘택트렌즈를 착용 금지할 것</v>
          </cell>
        </row>
        <row r="487">
          <cell r="B487" t="str">
            <v>14590-38-6</v>
          </cell>
          <cell r="C487" t="str">
            <v>셀레늄화합물질</v>
          </cell>
          <cell r="D487" t="str">
            <v>97-1-134</v>
          </cell>
          <cell r="E487" t="str">
            <v>및 이를 1% 이상 함유한 혼합물질</v>
          </cell>
          <cell r="F487">
            <v>1</v>
          </cell>
          <cell r="G487" t="str">
            <v>- 염소, 불소, 브롬 등의 강산화제, 염산, 황산, 질산 등의 강산, 물과 격리하여 저장할 것
- 용기에 녹이 슬 수 있으므로 습기를 피해 건조한 곳에 저장할 것
- 빈 용기도 같은 장소에 저장할 것
- 암모니아, 할로겐화수소, 산, 강산화제, 유기물질과 격리하여 저장할 것
- 통풍이 잘 되는 그늘 및 서늘한 곳에 밀폐 보관할 것
- 식료품, 사료, 의약품, 음식과 혼합저장 금지할 것
- 필요에 따라 국소배기장치 가동할 것
- 저장용기는 물리적인 손상에 견딜 수 있어야 할 것
- 사고발생에 대비하여 눈이나 몸을 씻을 수 있는 세안시설과 샤워시설이 이용 가능한 장소에서 작업할 것
- 사용한 후 식사, 흡연, 화장실에 가기 전에 물과 비누로 손을 꼭 세척할 것
- 호흡용보호구, 전면보호구, 보안경, 보호 장갑(고무 또는 네오프렌 재질)을 반드시 사용할 것
- 콘택트렌즈를 착용 금지할 것</v>
          </cell>
        </row>
        <row r="488">
          <cell r="B488" t="str">
            <v>14696-77-6</v>
          </cell>
          <cell r="C488" t="str">
            <v>셀레늄화합물질</v>
          </cell>
          <cell r="D488" t="str">
            <v>97-1-134</v>
          </cell>
          <cell r="E488" t="str">
            <v>및 이를 1% 이상 함유한 혼합물질</v>
          </cell>
          <cell r="F488">
            <v>1</v>
          </cell>
          <cell r="G488" t="str">
            <v>- 염소, 불소, 브롬 등의 강산화제, 염산, 황산, 질산 등의 강산, 물과 격리하여 저장할 것
- 용기에 녹이 슬 수 있으므로 습기를 피해 건조한 곳에 저장할 것
- 빈 용기도 같은 장소에 저장할 것
- 암모니아, 할로겐화수소, 산, 강산화제, 유기물질과 격리하여 저장할 것
- 통풍이 잘 되는 그늘 및 서늘한 곳에 밀폐 보관할 것
- 식료품, 사료, 의약품, 음식과 혼합저장 금지할 것
- 필요에 따라 국소배기장치 가동할 것
- 저장용기는 물리적인 손상에 견딜 수 있어야 할 것
- 사고발생에 대비하여 눈이나 몸을 씻을 수 있는 세안시설과 샤워시설이 이용 가능한 장소에서 작업할 것
- 사용한 후 식사, 흡연, 화장실에 가기 전에 물과 비누로 손을 꼭 세척할 것
- 호흡용보호구, 전면보호구, 보안경, 보호 장갑(고무 또는 네오프렌 재질)을 반드시 사용할 것
- 콘택트렌즈를 착용 금지할 것</v>
          </cell>
        </row>
        <row r="489">
          <cell r="B489" t="str">
            <v>14986-91-5</v>
          </cell>
          <cell r="C489" t="str">
            <v>셀레늄화합물질</v>
          </cell>
          <cell r="D489" t="str">
            <v>97-1-134</v>
          </cell>
          <cell r="E489" t="str">
            <v>및 이를 1% 이상 함유한 혼합물질</v>
          </cell>
          <cell r="F489">
            <v>1</v>
          </cell>
          <cell r="G489" t="str">
            <v>- 염소, 불소, 브롬 등의 강산화제, 염산, 황산, 질산 등의 강산, 물과 격리하여 저장할 것
- 용기에 녹이 슬 수 있으므로 습기를 피해 건조한 곳에 저장할 것
- 빈 용기도 같은 장소에 저장할 것
- 암모니아, 할로겐화수소, 산, 강산화제, 유기물질과 격리하여 저장할 것
- 통풍이 잘 되는 그늘 및 서늘한 곳에 밀폐 보관할 것
- 식료품, 사료, 의약품, 음식과 혼합저장 금지할 것
- 필요에 따라 국소배기장치 가동할 것
- 저장용기는 물리적인 손상에 견딜 수 있어야 할 것
- 사고발생에 대비하여 눈이나 몸을 씻을 수 있는 세안시설과 샤워시설이 이용 가능한 장소에서 작업할 것
- 사용한 후 식사, 흡연, 화장실에 가기 전에 물과 비누로 손을 꼭 세척할 것
- 호흡용보호구, 전면보호구, 보안경, 보호 장갑(고무 또는 네오프렌 재질)을 반드시 사용할 것
- 콘택트렌즈를 착용 금지할 것</v>
          </cell>
        </row>
        <row r="490">
          <cell r="B490" t="str">
            <v>15060-62-5</v>
          </cell>
          <cell r="C490" t="str">
            <v>셀레늄화합물질</v>
          </cell>
          <cell r="D490" t="str">
            <v>97-1-134</v>
          </cell>
          <cell r="E490" t="str">
            <v>및 이를 1% 이상 함유한 혼합물질</v>
          </cell>
          <cell r="F490">
            <v>1</v>
          </cell>
          <cell r="G490" t="str">
            <v>- 염소, 불소, 브롬 등의 강산화제, 염산, 황산, 질산 등의 강산, 물과 격리하여 저장할 것
- 용기에 녹이 슬 수 있으므로 습기를 피해 건조한 곳에 저장할 것
- 빈 용기도 같은 장소에 저장할 것
- 암모니아, 할로겐화수소, 산, 강산화제, 유기물질과 격리하여 저장할 것
- 통풍이 잘 되는 그늘 및 서늘한 곳에 밀폐 보관할 것
- 식료품, 사료, 의약품, 음식과 혼합저장 금지할 것
- 필요에 따라 국소배기장치 가동할 것
- 저장용기는 물리적인 손상에 견딜 수 있어야 할 것
- 사고발생에 대비하여 눈이나 몸을 씻을 수 있는 세안시설과 샤워시설이 이용 가능한 장소에서 작업할 것
- 사용한 후 식사, 흡연, 화장실에 가기 전에 물과 비누로 손을 꼭 세척할 것
- 호흡용보호구, 전면보호구, 보안경, 보호 장갑(고무 또는 네오프렌 재질)을 반드시 사용할 것
- 콘택트렌즈를 착용 금지할 것</v>
          </cell>
        </row>
        <row r="491">
          <cell r="B491" t="str">
            <v>15123-69-0</v>
          </cell>
          <cell r="C491" t="str">
            <v>셀레늄화합물질</v>
          </cell>
          <cell r="D491" t="str">
            <v>97-1-134</v>
          </cell>
          <cell r="E491" t="str">
            <v>및 이를 1% 이상 함유한 혼합물질</v>
          </cell>
          <cell r="F491">
            <v>1</v>
          </cell>
          <cell r="G491" t="str">
            <v>- 염소, 불소, 브롬 등의 강산화제, 염산, 황산, 질산 등의 강산, 물과 격리하여 저장할 것
- 용기에 녹이 슬 수 있으므로 습기를 피해 건조한 곳에 저장할 것
- 빈 용기도 같은 장소에 저장할 것
- 암모니아, 할로겐화수소, 산, 강산화제, 유기물질과 격리하여 저장할 것
- 통풍이 잘 되는 그늘 및 서늘한 곳에 밀폐 보관할 것
- 식료품, 사료, 의약품, 음식과 혼합저장 금지할 것
- 필요에 따라 국소배기장치 가동할 것
- 저장용기는 물리적인 손상에 견딜 수 있어야 할 것
- 사고발생에 대비하여 눈이나 몸을 씻을 수 있는 세안시설과 샤워시설이 이용 가능한 장소에서 작업할 것
- 사용한 후 식사, 흡연, 화장실에 가기 전에 물과 비누로 손을 꼭 세척할 것
- 호흡용보호구, 전면보호구, 보안경, 보호 장갑(고무 또는 네오프렌 재질)을 반드시 사용할 것
- 콘택트렌즈를 착용 금지할 것</v>
          </cell>
        </row>
        <row r="492">
          <cell r="B492" t="str">
            <v>15572-25-5</v>
          </cell>
          <cell r="C492" t="str">
            <v>셀레늄화합물질</v>
          </cell>
          <cell r="D492" t="str">
            <v>97-1-134</v>
          </cell>
          <cell r="E492" t="str">
            <v>및 이를 1% 이상 함유한 혼합물질</v>
          </cell>
          <cell r="F492">
            <v>1</v>
          </cell>
          <cell r="G492" t="str">
            <v>- 염소, 불소, 브롬 등의 강산화제, 염산, 황산, 질산 등의 강산, 물과 격리하여 저장할 것
- 용기에 녹이 슬 수 있으므로 습기를 피해 건조한 곳에 저장할 것
- 빈 용기도 같은 장소에 저장할 것
- 암모니아, 할로겐화수소, 산, 강산화제, 유기물질과 격리하여 저장할 것
- 통풍이 잘 되는 그늘 및 서늘한 곳에 밀폐 보관할 것
- 식료품, 사료, 의약품, 음식과 혼합저장 금지할 것
- 필요에 따라 국소배기장치 가동할 것
- 저장용기는 물리적인 손상에 견딜 수 있어야 할 것
- 사고발생에 대비하여 눈이나 몸을 씻을 수 있는 세안시설과 샤워시설이 이용 가능한 장소에서 작업할 것
- 사용한 후 식사, 흡연, 화장실에 가기 전에 물과 비누로 손을 꼭 세척할 것
- 호흡용보호구, 전면보호구, 보안경, 보호 장갑(고무 또는 네오프렌 재질)을 반드시 사용할 것
- 콘택트렌즈를 착용 금지할 것</v>
          </cell>
        </row>
        <row r="493">
          <cell r="B493" t="str">
            <v>15586-47-7</v>
          </cell>
          <cell r="C493" t="str">
            <v>셀레늄화합물질</v>
          </cell>
          <cell r="D493" t="str">
            <v>97-1-134</v>
          </cell>
          <cell r="E493" t="str">
            <v>및 이를 1% 이상 함유한 혼합물질</v>
          </cell>
          <cell r="F493">
            <v>1</v>
          </cell>
          <cell r="G493" t="str">
            <v>- 염소, 불소, 브롬 등의 강산화제, 염산, 황산, 질산 등의 강산, 물과 격리하여 저장할 것
- 용기에 녹이 슬 수 있으므로 습기를 피해 건조한 곳에 저장할 것
- 빈 용기도 같은 장소에 저장할 것
- 암모니아, 할로겐화수소, 산, 강산화제, 유기물질과 격리하여 저장할 것
- 통풍이 잘 되는 그늘 및 서늘한 곳에 밀폐 보관할 것
- 식료품, 사료, 의약품, 음식과 혼합저장 금지할 것
- 필요에 따라 국소배기장치 가동할 것
- 저장용기는 물리적인 손상에 견딜 수 있어야 할 것
- 사고발생에 대비하여 눈이나 몸을 씻을 수 있는 세안시설과 샤워시설이 이용 가능한 장소에서 작업할 것
- 사용한 후 식사, 흡연, 화장실에 가기 전에 물과 비누로 손을 꼭 세척할 것
- 호흡용보호구, 전면보호구, 보안경, 보호 장갑(고무 또는 네오프렌 재질)을 반드시 사용할 것
- 콘택트렌즈를 착용 금지할 것</v>
          </cell>
        </row>
        <row r="494">
          <cell r="B494" t="str">
            <v>15593-51-8</v>
          </cell>
          <cell r="C494" t="str">
            <v>셀레늄화합물질</v>
          </cell>
          <cell r="D494" t="str">
            <v>97-1-134</v>
          </cell>
          <cell r="E494" t="str">
            <v>및 이를 1% 이상 함유한 혼합물질</v>
          </cell>
          <cell r="F494">
            <v>1</v>
          </cell>
          <cell r="G494" t="str">
            <v>- 염소, 불소, 브롬 등의 강산화제, 염산, 황산, 질산 등의 강산, 물과 격리하여 저장할 것
- 용기에 녹이 슬 수 있으므로 습기를 피해 건조한 곳에 저장할 것
- 빈 용기도 같은 장소에 저장할 것
- 암모니아, 할로겐화수소, 산, 강산화제, 유기물질과 격리하여 저장할 것
- 통풍이 잘 되는 그늘 및 서늘한 곳에 밀폐 보관할 것
- 식료품, 사료, 의약품, 음식과 혼합저장 금지할 것
- 필요에 따라 국소배기장치 가동할 것
- 저장용기는 물리적인 손상에 견딜 수 있어야 할 것
- 사고발생에 대비하여 눈이나 몸을 씻을 수 있는 세안시설과 샤워시설이 이용 가능한 장소에서 작업할 것
- 사용한 후 식사, 흡연, 화장실에 가기 전에 물과 비누로 손을 꼭 세척할 것
- 호흡용보호구, 전면보호구, 보안경, 보호 장갑(고무 또는 네오프렌 재질)을 반드시 사용할 것
- 콘택트렌즈를 착용 금지할 것</v>
          </cell>
        </row>
        <row r="495">
          <cell r="B495" t="str">
            <v>15593-52-9</v>
          </cell>
          <cell r="C495" t="str">
            <v>셀레늄화합물질</v>
          </cell>
          <cell r="D495" t="str">
            <v>97-1-134</v>
          </cell>
          <cell r="E495" t="str">
            <v>및 이를 1% 이상 함유한 혼합물질</v>
          </cell>
          <cell r="F495">
            <v>1</v>
          </cell>
          <cell r="G495" t="str">
            <v>- 염소, 불소, 브롬 등의 강산화제, 염산, 황산, 질산 등의 강산, 물과 격리하여 저장할 것
- 용기에 녹이 슬 수 있으므로 습기를 피해 건조한 곳에 저장할 것
- 빈 용기도 같은 장소에 저장할 것
- 암모니아, 할로겐화수소, 산, 강산화제, 유기물질과 격리하여 저장할 것
- 통풍이 잘 되는 그늘 및 서늘한 곳에 밀폐 보관할 것
- 식료품, 사료, 의약품, 음식과 혼합저장 금지할 것
- 필요에 따라 국소배기장치 가동할 것
- 저장용기는 물리적인 손상에 견딜 수 있어야 할 것
- 사고발생에 대비하여 눈이나 몸을 씻을 수 있는 세안시설과 샤워시설이 이용 가능한 장소에서 작업할 것
- 사용한 후 식사, 흡연, 화장실에 가기 전에 물과 비누로 손을 꼭 세척할 것
- 호흡용보호구, 전면보호구, 보안경, 보호 장갑(고무 또는 네오프렌 재질)을 반드시 사용할 것
- 콘택트렌즈를 착용 금지할 것</v>
          </cell>
        </row>
        <row r="496">
          <cell r="B496" t="str">
            <v>15702-34-8</v>
          </cell>
          <cell r="C496" t="str">
            <v>셀레늄화합물질</v>
          </cell>
          <cell r="D496" t="str">
            <v>97-1-134</v>
          </cell>
          <cell r="E496" t="str">
            <v>및 이를 1% 이상 함유한 혼합물질</v>
          </cell>
          <cell r="F496">
            <v>1</v>
          </cell>
          <cell r="G496" t="str">
            <v>- 염소, 불소, 브롬 등의 강산화제, 염산, 황산, 질산 등의 강산, 물과 격리하여 저장할 것
- 용기에 녹이 슬 수 있으므로 습기를 피해 건조한 곳에 저장할 것
- 빈 용기도 같은 장소에 저장할 것
- 암모니아, 할로겐화수소, 산, 강산화제, 유기물질과 격리하여 저장할 것
- 통풍이 잘 되는 그늘 및 서늘한 곳에 밀폐 보관할 것
- 식료품, 사료, 의약품, 음식과 혼합저장 금지할 것
- 필요에 따라 국소배기장치 가동할 것
- 저장용기는 물리적인 손상에 견딜 수 있어야 할 것
- 사고발생에 대비하여 눈이나 몸을 씻을 수 있는 세안시설과 샤워시설이 이용 가능한 장소에서 작업할 것
- 사용한 후 식사, 흡연, 화장실에 가기 전에 물과 비누로 손을 꼭 세척할 것
- 호흡용보호구, 전면보호구, 보안경, 보호 장갑(고무 또는 네오프렌 재질)을 반드시 사용할 것
- 콘택트렌즈를 착용 금지할 것</v>
          </cell>
        </row>
        <row r="497">
          <cell r="B497" t="str">
            <v>20405-64-5</v>
          </cell>
          <cell r="C497" t="str">
            <v>셀레늄화합물질</v>
          </cell>
          <cell r="D497" t="str">
            <v>97-1-134</v>
          </cell>
          <cell r="E497" t="str">
            <v>및 이를 1% 이상 함유한 혼합물질</v>
          </cell>
          <cell r="F497">
            <v>1</v>
          </cell>
          <cell r="G497" t="str">
            <v>- 염소, 불소, 브롬 등의 강산화제, 염산, 황산, 질산 등의 강산, 물과 격리하여 저장할 것
- 용기에 녹이 슬 수 있으므로 습기를 피해 건조한 곳에 저장할 것
- 빈 용기도 같은 장소에 저장할 것
- 암모니아, 할로겐화수소, 산, 강산화제, 유기물질과 격리하여 저장할 것
- 통풍이 잘 되는 그늘 및 서늘한 곳에 밀폐 보관할 것
- 식료품, 사료, 의약품, 음식과 혼합저장 금지할 것
- 필요에 따라 국소배기장치 가동할 것
- 저장용기는 물리적인 손상에 견딜 수 있어야 할 것
- 사고발생에 대비하여 눈이나 몸을 씻을 수 있는 세안시설과 샤워시설이 이용 가능한 장소에서 작업할 것
- 사용한 후 식사, 흡연, 화장실에 가기 전에 물과 비누로 손을 꼭 세척할 것
- 호흡용보호구, 전면보호구, 보안경, 보호 장갑(고무 또는 네오프렌 재질)을 반드시 사용할 것
- 콘택트렌즈를 착용 금지할 것</v>
          </cell>
        </row>
        <row r="498">
          <cell r="B498" t="str">
            <v>20960-77-4</v>
          </cell>
          <cell r="C498" t="str">
            <v>셀레늄화합물질</v>
          </cell>
          <cell r="D498" t="str">
            <v>97-1-134</v>
          </cell>
          <cell r="E498" t="str">
            <v>및 이를 1% 이상 함유한 혼합물질</v>
          </cell>
          <cell r="F498">
            <v>1</v>
          </cell>
          <cell r="G498" t="str">
            <v>- 염소, 불소, 브롬 등의 강산화제, 염산, 황산, 질산 등의 강산, 물과 격리하여 저장할 것
- 용기에 녹이 슬 수 있으므로 습기를 피해 건조한 곳에 저장할 것
- 빈 용기도 같은 장소에 저장할 것
- 암모니아, 할로겐화수소, 산, 강산화제, 유기물질과 격리하여 저장할 것
- 통풍이 잘 되는 그늘 및 서늘한 곳에 밀폐 보관할 것
- 식료품, 사료, 의약품, 음식과 혼합저장 금지할 것
- 필요에 따라 국소배기장치 가동할 것
- 저장용기는 물리적인 손상에 견딜 수 있어야 할 것
- 사고발생에 대비하여 눈이나 몸을 씻을 수 있는 세안시설과 샤워시설이 이용 가능한 장소에서 작업할 것
- 사용한 후 식사, 흡연, 화장실에 가기 전에 물과 비누로 손을 꼭 세척할 것
- 호흡용보호구, 전면보호구, 보안경, 보호 장갑(고무 또는 네오프렌 재질)을 반드시 사용할 것
- 콘택트렌즈를 착용 금지할 것</v>
          </cell>
        </row>
        <row r="499">
          <cell r="B499" t="str">
            <v>26970-82-1</v>
          </cell>
          <cell r="C499" t="str">
            <v>셀레산 나트륨 수화물</v>
          </cell>
          <cell r="D499" t="str">
            <v>97-1-134</v>
          </cell>
          <cell r="E499" t="str">
            <v>및 이를 1% 이상 함유한 혼합물질</v>
          </cell>
          <cell r="F499">
            <v>1</v>
          </cell>
          <cell r="G499" t="str">
            <v>- 염소, 불소, 브롬 등의 강산화제, 염산, 황산, 질산 등의 강산, 물과 격리하여 저장할 것
- 용기에 녹이 슬 수 있으므로 습기를 피해 건조한 곳에 저장할 것
- 빈 용기도 같은 장소에 저장할 것
- 암모니아, 할로겐화수소, 산, 강산화제, 유기물질과 격리하여 저장할 것
- 통풍이 잘 되는 그늘 및 서늘한 곳에 밀폐 보관할 것
- 식료품, 사료, 의약품, 음식과 혼합저장 금지할 것
- 필요에 따라 국소배기장치 가동할 것
- 저장용기는 물리적인 손상에 견딜 수 있어야 할 것
- 사고발생에 대비하여 눈이나 몸을 씻을 수 있는 세안시설과 샤워시설이 이용 가능한 장소에서 작업할 것
- 사용한 후 식사, 흡연, 화장실에 가기 전에 물과 비누로 손을 꼭 세척할 것
- 호흡용보호구, 전면보호구, 보안경, 보호 장갑(고무 또는 네오프렌 재질)을 반드시 사용할 것
- 콘택트렌즈를 착용 금지할 것</v>
          </cell>
        </row>
        <row r="500">
          <cell r="B500" t="str">
            <v>31052-43-4</v>
          </cell>
          <cell r="C500" t="str">
            <v>셀레늄화합물질</v>
          </cell>
          <cell r="D500" t="str">
            <v>97-1-134</v>
          </cell>
          <cell r="E500" t="str">
            <v>및 이를 1% 이상 함유한 혼합물질</v>
          </cell>
          <cell r="F500">
            <v>1</v>
          </cell>
          <cell r="G500" t="str">
            <v>- 염소, 불소, 브롬 등의 강산화제, 염산, 황산, 질산 등의 강산, 물과 격리하여 저장할 것
- 용기에 녹이 슬 수 있으므로 습기를 피해 건조한 곳에 저장할 것
- 빈 용기도 같은 장소에 저장할 것
- 암모니아, 할로겐화수소, 산, 강산화제, 유기물질과 격리하여 저장할 것
- 통풍이 잘 되는 그늘 및 서늘한 곳에 밀폐 보관할 것
- 식료품, 사료, 의약품, 음식과 혼합저장 금지할 것
- 필요에 따라 국소배기장치 가동할 것
- 저장용기는 물리적인 손상에 견딜 수 있어야 할 것
- 사고발생에 대비하여 눈이나 몸을 씻을 수 있는 세안시설과 샤워시설이 이용 가능한 장소에서 작업할 것
- 사용한 후 식사, 흡연, 화장실에 가기 전에 물과 비누로 손을 꼭 세척할 것
- 호흡용보호구, 전면보호구, 보안경, 보호 장갑(고무 또는 네오프렌 재질)을 반드시 사용할 것
- 콘택트렌즈를 착용 금지할 것</v>
          </cell>
        </row>
        <row r="501">
          <cell r="B501" t="str">
            <v>31052-46-7</v>
          </cell>
          <cell r="C501" t="str">
            <v>셀레늄화합물질</v>
          </cell>
          <cell r="D501" t="str">
            <v>97-1-134</v>
          </cell>
          <cell r="E501" t="str">
            <v>및 이를 1% 이상 함유한 혼합물질</v>
          </cell>
          <cell r="F501">
            <v>1</v>
          </cell>
          <cell r="G501" t="str">
            <v>- 염소, 불소, 브롬 등의 강산화제, 염산, 황산, 질산 등의 강산, 물과 격리하여 저장할 것
- 용기에 녹이 슬 수 있으므로 습기를 피해 건조한 곳에 저장할 것
- 빈 용기도 같은 장소에 저장할 것
- 암모니아, 할로겐화수소, 산, 강산화제, 유기물질과 격리하여 저장할 것
- 통풍이 잘 되는 그늘 및 서늘한 곳에 밀폐 보관할 것
- 식료품, 사료, 의약품, 음식과 혼합저장 금지할 것
- 필요에 따라 국소배기장치 가동할 것
- 저장용기는 물리적인 손상에 견딜 수 있어야 할 것
- 사고발생에 대비하여 눈이나 몸을 씻을 수 있는 세안시설과 샤워시설이 이용 가능한 장소에서 작업할 것
- 사용한 후 식사, 흡연, 화장실에 가기 전에 물과 비누로 손을 꼭 세척할 것
- 호흡용보호구, 전면보호구, 보안경, 보호 장갑(고무 또는 네오프렌 재질)을 반드시 사용할 것
- 콘택트렌즈를 착용 금지할 것</v>
          </cell>
        </row>
        <row r="502">
          <cell r="B502" t="str">
            <v>3425-46-5</v>
          </cell>
          <cell r="C502" t="str">
            <v>셀레노시안산칼륨염</v>
          </cell>
          <cell r="D502" t="str">
            <v>97-1-134</v>
          </cell>
          <cell r="E502" t="str">
            <v>및 이를 1% 이상 함유한 혼합물질</v>
          </cell>
          <cell r="F502">
            <v>1</v>
          </cell>
          <cell r="G502" t="str">
            <v>- 염소, 불소, 브롬 등의 강산화제, 염산, 황산, 질산 등의 강산, 물과 격리하여 저장할 것
- 용기에 녹이 슬 수 있으므로 습기를 피해 건조한 곳에 저장할 것
- 빈 용기도 같은 장소에 저장할 것
- 암모니아, 할로겐화수소, 산, 강산화제, 유기물질과 격리하여 저장할 것
- 통풍이 잘 되는 그늘 및 서늘한 곳에 밀폐 보관할 것
- 식료품, 사료, 의약품, 음식과 혼합저장 금지할 것
- 필요에 따라 국소배기장치 가동할 것
- 저장용기는 물리적인 손상에 견딜 수 있어야 할 것
- 사고발생에 대비하여 눈이나 몸을 씻을 수 있는 세안시설과 샤워시설이 이용 가능한 장소에서 작업할 것
- 사용한 후 식사, 흡연, 화장실에 가기 전에 물과 비누로 손을 꼭 세척할 것
- 호흡용보호구, 전면보호구, 보안경, 보호 장갑(고무 또는 네오프렌 재질)을 반드시 사용할 것
- 콘택트렌즈를 착용 금지할 것</v>
          </cell>
        </row>
        <row r="503">
          <cell r="B503" t="str">
            <v>506-80-9</v>
          </cell>
          <cell r="C503" t="str">
            <v>셀레늄화합물질</v>
          </cell>
          <cell r="D503" t="str">
            <v>97-1-134</v>
          </cell>
          <cell r="E503" t="str">
            <v>및 이를 1% 이상 함유한 혼합물질</v>
          </cell>
          <cell r="F503">
            <v>1</v>
          </cell>
          <cell r="G503" t="str">
            <v>- 염소, 불소, 브롬 등의 강산화제, 염산, 황산, 질산 등의 강산, 물과 격리하여 저장할 것
- 용기에 녹이 슬 수 있으므로 습기를 피해 건조한 곳에 저장할 것
- 빈 용기도 같은 장소에 저장할 것
- 암모니아, 할로겐화수소, 산, 강산화제, 유기물질과 격리하여 저장할 것
- 통풍이 잘 되는 그늘 및 서늘한 곳에 밀폐 보관할 것
- 식료품, 사료, 의약품, 음식과 혼합저장 금지할 것
- 필요에 따라 국소배기장치 가동할 것
- 저장용기는 물리적인 손상에 견딜 수 있어야 할 것
- 사고발생에 대비하여 눈이나 몸을 씻을 수 있는 세안시설과 샤워시설이 이용 가능한 장소에서 작업할 것
- 사용한 후 식사, 흡연, 화장실에 가기 전에 물과 비누로 손을 꼭 세척할 것
- 호흡용보호구, 전면보호구, 보안경, 보호 장갑(고무 또는 네오프렌 재질)을 반드시 사용할 것
- 콘택트렌즈를 착용 금지할 것</v>
          </cell>
        </row>
        <row r="504">
          <cell r="B504" t="str">
            <v>58127-88-1</v>
          </cell>
          <cell r="C504" t="str">
            <v>셀레늄화합물질</v>
          </cell>
          <cell r="D504" t="str">
            <v>97-1-134</v>
          </cell>
          <cell r="E504" t="str">
            <v>및 이를 1% 이상 함유한 혼합물질</v>
          </cell>
          <cell r="F504">
            <v>1</v>
          </cell>
          <cell r="G504" t="str">
            <v>- 염소, 불소, 브롬 등의 강산화제, 염산, 황산, 질산 등의 강산, 물과 격리하여 저장할 것
- 용기에 녹이 슬 수 있으므로 습기를 피해 건조한 곳에 저장할 것
- 빈 용기도 같은 장소에 저장할 것
- 암모니아, 할로겐화수소, 산, 강산화제, 유기물질과 격리하여 저장할 것
- 통풍이 잘 되는 그늘 및 서늘한 곳에 밀폐 보관할 것
- 식료품, 사료, 의약품, 음식과 혼합저장 금지할 것
- 필요에 따라 국소배기장치 가동할 것
- 저장용기는 물리적인 손상에 견딜 수 있어야 할 것
- 사고발생에 대비하여 눈이나 몸을 씻을 수 있는 세안시설과 샤워시설이 이용 가능한 장소에서 작업할 것
- 사용한 후 식사, 흡연, 화장실에 가기 전에 물과 비누로 손을 꼭 세척할 것
- 호흡용보호구, 전면보호구, 보안경, 보호 장갑(고무 또는 네오프렌 재질)을 반드시 사용할 것
- 콘택트렌즈를 착용 금지할 것</v>
          </cell>
        </row>
        <row r="505">
          <cell r="B505" t="str">
            <v>58339-34-7</v>
          </cell>
          <cell r="C505" t="str">
            <v>카드뮴술포셀렌화합물</v>
          </cell>
          <cell r="D505" t="str">
            <v>97-1-134</v>
          </cell>
          <cell r="E505" t="str">
            <v>및 이를 1% 이상 함유한 혼합물질</v>
          </cell>
          <cell r="F505">
            <v>1</v>
          </cell>
          <cell r="G505" t="str">
            <v>- 염소, 불소, 브롬 등의 강산화제, 염산, 황산, 질산 등의 강산, 물과 격리하여 저장할 것
- 용기에 녹이 슬 수 있으므로 습기를 피해 건조한 곳에 저장할 것
- 빈 용기도 같은 장소에 저장할 것
- 암모니아, 할로겐화수소, 산, 강산화제, 유기물질과 격리하여 저장할 것
- 통풍이 잘 되는 그늘 및 서늘한 곳에 밀폐 보관할 것
- 식료품, 사료, 의약품, 음식과 혼합저장 금지할 것
- 필요에 따라 국소배기장치 가동할 것
- 저장용기는 물리적인 손상에 견딜 수 있어야 할 것
- 사고발생에 대비하여 눈이나 몸을 씻을 수 있는 세안시설과 샤워시설이 이용 가능한 장소에서 작업할 것
- 사용한 후 식사, 흡연, 화장실에 가기 전에 물과 비누로 손을 꼭 세척할 것
- 호흡용보호구, 전면보호구, 보안경, 보호 장갑(고무 또는 네오프렌 재질)을 반드시 사용할 것
- 콘택트렌즈를 착용 금지할 것</v>
          </cell>
        </row>
        <row r="506">
          <cell r="B506" t="str">
            <v>60763-24-8</v>
          </cell>
          <cell r="C506" t="str">
            <v>셀레늄화합물질</v>
          </cell>
          <cell r="D506" t="str">
            <v>97-1-134</v>
          </cell>
          <cell r="E506" t="str">
            <v>및 이를 1% 이상 함유한 혼합물질</v>
          </cell>
          <cell r="F506">
            <v>1</v>
          </cell>
          <cell r="G506" t="str">
            <v>- 염소, 불소, 브롬 등의 강산화제, 염산, 황산, 질산 등의 강산, 물과 격리하여 저장할 것
- 용기에 녹이 슬 수 있으므로 습기를 피해 건조한 곳에 저장할 것
- 빈 용기도 같은 장소에 저장할 것
- 암모니아, 할로겐화수소, 산, 강산화제, 유기물질과 격리하여 저장할 것
- 통풍이 잘 되는 그늘 및 서늘한 곳에 밀폐 보관할 것
- 식료품, 사료, 의약품, 음식과 혼합저장 금지할 것
- 필요에 따라 국소배기장치 가동할 것
- 저장용기는 물리적인 손상에 견딜 수 있어야 할 것
- 사고발생에 대비하여 눈이나 몸을 씻을 수 있는 세안시설과 샤워시설이 이용 가능한 장소에서 작업할 것
- 사용한 후 식사, 흡연, 화장실에 가기 전에 물과 비누로 손을 꼭 세척할 것
- 호흡용보호구, 전면보호구, 보안경, 보호 장갑(고무 또는 네오프렌 재질)을 반드시 사용할 것
- 콘택트렌즈를 착용 금지할 것</v>
          </cell>
        </row>
        <row r="507">
          <cell r="B507" t="str">
            <v>70714-63-5</v>
          </cell>
          <cell r="C507" t="str">
            <v>셀레늄화합물질</v>
          </cell>
          <cell r="D507" t="str">
            <v>97-1-134</v>
          </cell>
          <cell r="E507" t="str">
            <v>및 이를 1% 이상 함유한 혼합물질</v>
          </cell>
          <cell r="F507">
            <v>1</v>
          </cell>
          <cell r="G507" t="str">
            <v>- 염소, 불소, 브롬 등의 강산화제, 염산, 황산, 질산 등의 강산, 물과 격리하여 저장할 것
- 용기에 녹이 슬 수 있으므로 습기를 피해 건조한 곳에 저장할 것
- 빈 용기도 같은 장소에 저장할 것
- 암모니아, 할로겐화수소, 산, 강산화제, 유기물질과 격리하여 저장할 것
- 통풍이 잘 되는 그늘 및 서늘한 곳에 밀폐 보관할 것
- 식료품, 사료, 의약품, 음식과 혼합저장 금지할 것
- 필요에 따라 국소배기장치 가동할 것
- 저장용기는 물리적인 손상에 견딜 수 있어야 할 것
- 사고발생에 대비하여 눈이나 몸을 씻을 수 있는 세안시설과 샤워시설이 이용 가능한 장소에서 작업할 것
- 사용한 후 식사, 흡연, 화장실에 가기 전에 물과 비누로 손을 꼭 세척할 것
- 호흡용보호구, 전면보호구, 보안경, 보호 장갑(고무 또는 네오프렌 재질)을 반드시 사용할 것
- 콘택트렌즈를 착용 금지할 것</v>
          </cell>
        </row>
        <row r="508">
          <cell r="B508" t="str">
            <v>71243-75-9</v>
          </cell>
          <cell r="C508" t="str">
            <v>셀레늄화합물질</v>
          </cell>
          <cell r="D508" t="str">
            <v>97-1-134</v>
          </cell>
          <cell r="E508" t="str">
            <v>및 이를 1% 이상 함유한 혼합물질</v>
          </cell>
          <cell r="F508">
            <v>1</v>
          </cell>
          <cell r="G508" t="str">
            <v>- 염소, 불소, 브롬 등의 강산화제, 염산, 황산, 질산 등의 강산, 물과 격리하여 저장할 것
- 용기에 녹이 슬 수 있으므로 습기를 피해 건조한 곳에 저장할 것
- 빈 용기도 같은 장소에 저장할 것
- 암모니아, 할로겐화수소, 산, 강산화제, 유기물질과 격리하여 저장할 것
- 통풍이 잘 되는 그늘 및 서늘한 곳에 밀폐 보관할 것
- 식료품, 사료, 의약품, 음식과 혼합저장 금지할 것
- 필요에 따라 국소배기장치 가동할 것
- 저장용기는 물리적인 손상에 견딜 수 있어야 할 것
- 사고발생에 대비하여 눈이나 몸을 씻을 수 있는 세안시설과 샤워시설이 이용 가능한 장소에서 작업할 것
- 사용한 후 식사, 흡연, 화장실에 가기 전에 물과 비누로 손을 꼭 세척할 것
- 호흡용보호구, 전면보호구, 보안경, 보호 장갑(고무 또는 네오프렌 재질)을 반드시 사용할 것
- 콘택트렌즈를 착용 금지할 것</v>
          </cell>
        </row>
        <row r="509">
          <cell r="B509" t="str">
            <v>7446-08-4</v>
          </cell>
          <cell r="C509" t="str">
            <v>이산화셀렌</v>
          </cell>
          <cell r="D509" t="str">
            <v>97-1-134</v>
          </cell>
          <cell r="E509" t="str">
            <v>및 이를 1% 이상 함유한 혼합물질</v>
          </cell>
          <cell r="F509">
            <v>1</v>
          </cell>
          <cell r="G509" t="str">
            <v>- 염소, 불소, 브롬 등의 강산화제, 염산, 황산, 질산 등의 강산, 물과 격리하여 저장할 것
- 용기에 녹이 슬 수 있으므로 습기를 피해 건조한 곳에 저장할 것
- 빈 용기도 같은 장소에 저장할 것
- 암모니아, 할로겐화수소, 산, 강산화제, 유기물질과 격리하여 저장할 것
- 통풍이 잘 되는 그늘 및 서늘한 곳에 밀폐 보관할 것
- 식료품, 사료, 의약품, 음식과 혼합저장 금지할 것
- 필요에 따라 국소배기장치 가동할 것
- 저장용기는 물리적인 손상에 견딜 수 있어야 할 것
- 사고발생에 대비하여 눈이나 몸을 씻을 수 있는 세안시설과 샤워시설이 이용 가능한 장소에서 작업할 것
- 사용한 후 식사, 흡연, 화장실에 가기 전에 물과 비누로 손을 꼭 세척할 것
- 호흡용보호구, 전면보호구, 보안경, 보호 장갑(고무 또는 네오프렌 재질)을 반드시 사용할 것
- 콘택트렌즈를 착용 금지할 것</v>
          </cell>
        </row>
        <row r="510">
          <cell r="B510" t="str">
            <v>7446-15-3</v>
          </cell>
          <cell r="C510" t="str">
            <v>셀레늄화합물질</v>
          </cell>
          <cell r="D510" t="str">
            <v>97-1-134</v>
          </cell>
          <cell r="E510" t="str">
            <v>및 이를 1% 이상 함유한 혼합물질</v>
          </cell>
          <cell r="F510">
            <v>1</v>
          </cell>
          <cell r="G510" t="str">
            <v>- 염소, 불소, 브롬 등의 강산화제, 염산, 황산, 질산 등의 강산, 물과 격리하여 저장할 것
- 용기에 녹이 슬 수 있으므로 습기를 피해 건조한 곳에 저장할 것
- 빈 용기도 같은 장소에 저장할 것
- 암모니아, 할로겐화수소, 산, 강산화제, 유기물질과 격리하여 저장할 것
- 통풍이 잘 되는 그늘 및 서늘한 곳에 밀폐 보관할 것
- 식료품, 사료, 의약품, 음식과 혼합저장 금지할 것
- 필요에 따라 국소배기장치 가동할 것
- 저장용기는 물리적인 손상에 견딜 수 있어야 할 것
- 사고발생에 대비하여 눈이나 몸을 씻을 수 있는 세안시설과 샤워시설이 이용 가능한 장소에서 작업할 것
- 사용한 후 식사, 흡연, 화장실에 가기 전에 물과 비누로 손을 꼭 세척할 것
- 호흡용보호구, 전면보호구, 보안경, 보호 장갑(고무 또는 네오프렌 재질)을 반드시 사용할 것
- 콘택트렌즈를 착용 금지할 것</v>
          </cell>
        </row>
        <row r="511">
          <cell r="B511" t="str">
            <v>7446-17-5</v>
          </cell>
          <cell r="C511" t="str">
            <v>셀레늄화합물질</v>
          </cell>
          <cell r="D511" t="str">
            <v>97-1-134</v>
          </cell>
          <cell r="E511" t="str">
            <v>및 이를 1% 이상 함유한 혼합물질</v>
          </cell>
          <cell r="F511">
            <v>1</v>
          </cell>
          <cell r="G511" t="str">
            <v>- 염소, 불소, 브롬 등의 강산화제, 염산, 황산, 질산 등의 강산, 물과 격리하여 저장할 것
- 용기에 녹이 슬 수 있으므로 습기를 피해 건조한 곳에 저장할 것
- 빈 용기도 같은 장소에 저장할 것
- 암모니아, 할로겐화수소, 산, 강산화제, 유기물질과 격리하여 저장할 것
- 통풍이 잘 되는 그늘 및 서늘한 곳에 밀폐 보관할 것
- 식료품, 사료, 의약품, 음식과 혼합저장 금지할 것
- 필요에 따라 국소배기장치 가동할 것
- 저장용기는 물리적인 손상에 견딜 수 있어야 할 것
- 사고발생에 대비하여 눈이나 몸을 씻을 수 있는 세안시설과 샤워시설이 이용 가능한 장소에서 작업할 것
- 사용한 후 식사, 흡연, 화장실에 가기 전에 물과 비누로 손을 꼭 세척할 것
- 호흡용보호구, 전면보호구, 보안경, 보호 장갑(고무 또는 네오프렌 재질)을 반드시 사용할 것
- 콘택트렌즈를 착용 금지할 것</v>
          </cell>
        </row>
        <row r="512">
          <cell r="B512" t="str">
            <v>7446-21-1</v>
          </cell>
          <cell r="C512" t="str">
            <v>셀레늄화합물질</v>
          </cell>
          <cell r="D512" t="str">
            <v>97-1-134</v>
          </cell>
          <cell r="E512" t="str">
            <v>및 이를 1% 이상 함유한 혼합물질</v>
          </cell>
          <cell r="F512">
            <v>1</v>
          </cell>
          <cell r="G512" t="str">
            <v>- 염소, 불소, 브롬 등의 강산화제, 염산, 황산, 질산 등의 강산, 물과 격리하여 저장할 것
- 용기에 녹이 슬 수 있으므로 습기를 피해 건조한 곳에 저장할 것
- 빈 용기도 같은 장소에 저장할 것
- 암모니아, 할로겐화수소, 산, 강산화제, 유기물질과 격리하여 저장할 것
- 통풍이 잘 되는 그늘 및 서늘한 곳에 밀폐 보관할 것
- 식료품, 사료, 의약품, 음식과 혼합저장 금지할 것
- 필요에 따라 국소배기장치 가동할 것
- 저장용기는 물리적인 손상에 견딜 수 있어야 할 것
- 사고발생에 대비하여 눈이나 몸을 씻을 수 있는 세안시설과 샤워시설이 이용 가능한 장소에서 작업할 것
- 사용한 후 식사, 흡연, 화장실에 가기 전에 물과 비누로 손을 꼭 세척할 것
- 호흡용보호구, 전면보호구, 보안경, 보호 장갑(고무 또는 네오프렌 재질)을 반드시 사용할 것
- 콘택트렌즈를 착용 금지할 것</v>
          </cell>
        </row>
        <row r="513">
          <cell r="B513" t="str">
            <v>7488-51-9</v>
          </cell>
          <cell r="C513" t="str">
            <v>셀레늄화합물질</v>
          </cell>
          <cell r="D513" t="str">
            <v>97-1-134</v>
          </cell>
          <cell r="E513" t="str">
            <v>및 이를 1% 이상 함유한 혼합물질</v>
          </cell>
          <cell r="F513">
            <v>1</v>
          </cell>
          <cell r="G513" t="str">
            <v>- 염소, 불소, 브롬 등의 강산화제, 염산, 황산, 질산 등의 강산, 물과 격리하여 저장할 것
- 용기에 녹이 슬 수 있으므로 습기를 피해 건조한 곳에 저장할 것
- 빈 용기도 같은 장소에 저장할 것
- 암모니아, 할로겐화수소, 산, 강산화제, 유기물질과 격리하여 저장할 것
- 통풍이 잘 되는 그늘 및 서늘한 곳에 밀폐 보관할 것
- 식료품, 사료, 의약품, 음식과 혼합저장 금지할 것
- 필요에 따라 국소배기장치 가동할 것
- 저장용기는 물리적인 손상에 견딜 수 있어야 할 것
- 사고발생에 대비하여 눈이나 몸을 씻을 수 있는 세안시설과 샤워시설이 이용 가능한 장소에서 작업할 것
- 사용한 후 식사, 흡연, 화장실에 가기 전에 물과 비누로 손을 꼭 세척할 것
- 호흡용보호구, 전면보호구, 보안경, 보호 장갑(고무 또는 네오프렌 재질)을 반드시 사용할 것
- 콘택트렌즈를 착용 금지할 것</v>
          </cell>
        </row>
        <row r="514">
          <cell r="B514" t="str">
            <v>7488-56-4</v>
          </cell>
          <cell r="C514" t="str">
            <v>셀렌황화물</v>
          </cell>
          <cell r="D514" t="str">
            <v>97-1-134</v>
          </cell>
          <cell r="E514" t="str">
            <v>및 이를 1% 이상 함유한 혼합물질</v>
          </cell>
          <cell r="F514">
            <v>1</v>
          </cell>
          <cell r="G514" t="str">
            <v>- 염소, 불소, 브롬 등의 강산화제, 염산, 황산, 질산 등의 강산, 물과 격리하여 저장할 것
- 용기에 녹이 슬 수 있으므로 습기를 피해 건조한 곳에 저장할 것
- 빈 용기도 같은 장소에 저장할 것
- 암모니아, 할로겐화수소, 산, 강산화제, 유기물질과 격리하여 저장할 것
- 통풍이 잘 되는 그늘 및 서늘한 곳에 밀폐 보관할 것
- 식료품, 사료, 의약품, 음식과 혼합저장 금지할 것
- 필요에 따라 국소배기장치 가동할 것
- 저장용기는 물리적인 손상에 견딜 수 있어야 할 것
- 사고발생에 대비하여 눈이나 몸을 씻을 수 있는 세안시설과 샤워시설이 이용 가능한 장소에서 작업할 것
- 사용한 후 식사, 흡연, 화장실에 가기 전에 물과 비누로 손을 꼭 세척할 것
- 호흡용보호구, 전면보호구, 보안경, 보호 장갑(고무 또는 네오프렌 재질)을 반드시 사용할 것
- 콘택트렌즈를 착용 금지할 것</v>
          </cell>
        </row>
        <row r="515">
          <cell r="B515" t="str">
            <v>7782-49-2</v>
          </cell>
          <cell r="C515" t="str">
            <v>셀레늄</v>
          </cell>
          <cell r="D515" t="str">
            <v>97-1-134</v>
          </cell>
          <cell r="E515" t="str">
            <v>및 이를 1% 이상 함유한 혼합물질</v>
          </cell>
          <cell r="F515">
            <v>1</v>
          </cell>
          <cell r="G515" t="str">
            <v>- 염소, 불소, 브롬 등의 강산화제, 염산, 황산, 질산 등의 강산, 물과 격리하여 저장할 것
- 용기에 녹이 슬 수 있으므로 습기를 피해 건조한 곳에 저장할 것
- 빈 용기도 같은 장소에 저장할 것
- 암모니아, 할로겐화수소, 산, 강산화제, 유기물질과 격리하여 저장할 것
- 통풍이 잘 되는 그늘 및 서늘한 곳에 밀폐 보관할 것
- 식료품, 사료, 의약품, 음식과 혼합저장 금지할 것
- 필요에 따라 국소배기장치 가동할 것
- 저장용기는 물리적인 손상에 견딜 수 있어야 할 것
- 사고발생에 대비하여 눈이나 몸을 씻을 수 있는 세안시설과 샤워시설이 이용 가능한 장소에서 작업할 것
- 사용한 후 식사, 흡연, 화장실에 가기 전에 물과 비누로 손을 꼭 세척할 것
- 호흡용보호구, 전면보호구, 보안경, 보호 장갑(고무 또는 네오프렌 재질)을 반드시 사용할 것
- 콘택트렌즈를 착용 금지할 것</v>
          </cell>
        </row>
        <row r="516">
          <cell r="B516" t="str">
            <v>7782-82-3</v>
          </cell>
          <cell r="C516" t="str">
            <v>셀레늄화합물질</v>
          </cell>
          <cell r="D516" t="str">
            <v>97-1-134</v>
          </cell>
          <cell r="E516" t="str">
            <v>및 이를 1% 이상 함유한 혼합물질</v>
          </cell>
          <cell r="F516">
            <v>1</v>
          </cell>
          <cell r="G516" t="str">
            <v>- 염소, 불소, 브롬 등의 강산화제, 염산, 황산, 질산 등의 강산, 물과 격리하여 저장할 것
- 용기에 녹이 슬 수 있으므로 습기를 피해 건조한 곳에 저장할 것
- 빈 용기도 같은 장소에 저장할 것
- 암모니아, 할로겐화수소, 산, 강산화제, 유기물질과 격리하여 저장할 것
- 통풍이 잘 되는 그늘 및 서늘한 곳에 밀폐 보관할 것
- 식료품, 사료, 의약품, 음식과 혼합저장 금지할 것
- 필요에 따라 국소배기장치 가동할 것
- 저장용기는 물리적인 손상에 견딜 수 있어야 할 것
- 사고발생에 대비하여 눈이나 몸을 씻을 수 있는 세안시설과 샤워시설이 이용 가능한 장소에서 작업할 것
- 사용한 후 식사, 흡연, 화장실에 가기 전에 물과 비누로 손을 꼭 세척할 것
- 호흡용보호구, 전면보호구, 보안경, 보호 장갑(고무 또는 네오프렌 재질)을 반드시 사용할 것
- 콘택트렌즈를 착용 금지할 것</v>
          </cell>
        </row>
        <row r="517">
          <cell r="B517" t="str">
            <v>7783-00-8</v>
          </cell>
          <cell r="C517" t="str">
            <v>아셀렌산</v>
          </cell>
          <cell r="D517" t="str">
            <v>97-1-134</v>
          </cell>
          <cell r="E517" t="str">
            <v>및 이를 1% 이상 함유한 혼합물질</v>
          </cell>
          <cell r="F517">
            <v>1</v>
          </cell>
          <cell r="G517" t="str">
            <v>- 염소, 불소, 브롬 등의 강산화제, 염산, 황산, 질산 등의 강산, 물과 격리하여 저장할 것
- 용기에 녹이 슬 수 있으므로 습기를 피해 건조한 곳에 저장할 것
- 빈 용기도 같은 장소에 저장할 것
- 암모니아, 할로겐화수소, 산, 강산화제, 유기물질과 격리하여 저장할 것
- 통풍이 잘 되는 그늘 및 서늘한 곳에 밀폐 보관할 것
- 식료품, 사료, 의약품, 음식과 혼합저장 금지할 것
- 필요에 따라 국소배기장치 가동할 것
- 저장용기는 물리적인 손상에 견딜 수 있어야 할 것
- 사고발생에 대비하여 눈이나 몸을 씻을 수 있는 세안시설과 샤워시설이 이용 가능한 장소에서 작업할 것
- 사용한 후 식사, 흡연, 화장실에 가기 전에 물과 비누로 손을 꼭 세척할 것
- 호흡용보호구, 전면보호구, 보안경, 보호 장갑(고무 또는 네오프렌 재질)을 반드시 사용할 것
- 콘택트렌즈를 착용 금지할 것</v>
          </cell>
        </row>
        <row r="518">
          <cell r="B518" t="str">
            <v>7783-07-5</v>
          </cell>
          <cell r="C518" t="str">
            <v>셀레늄화합물질</v>
          </cell>
          <cell r="D518" t="str">
            <v>97-1-134</v>
          </cell>
          <cell r="E518" t="str">
            <v>및 이를 1% 이상 함유한 혼합물질</v>
          </cell>
          <cell r="F518">
            <v>1</v>
          </cell>
          <cell r="G518" t="str">
            <v>- 염소, 불소, 브롬 등의 강산화제, 염산, 황산, 질산 등의 강산, 물과 격리하여 저장할 것
- 용기에 녹이 슬 수 있으므로 습기를 피해 건조한 곳에 저장할 것
- 빈 용기도 같은 장소에 저장할 것
- 암모니아, 할로겐화수소, 산, 강산화제, 유기물질과 격리하여 저장할 것
- 통풍이 잘 되는 그늘 및 서늘한 곳에 밀폐 보관할 것
- 식료품, 사료, 의약품, 음식과 혼합저장 금지할 것
- 필요에 따라 국소배기장치 가동할 것
- 저장용기는 물리적인 손상에 견딜 수 있어야 할 것
- 사고발생에 대비하여 눈이나 몸을 씻을 수 있는 세안시설과 샤워시설이 이용 가능한 장소에서 작업할 것
- 사용한 후 식사, 흡연, 화장실에 가기 전에 물과 비누로 손을 꼭 세척할 것
- 호흡용보호구, 전면보호구, 보안경, 보호 장갑(고무 또는 네오프렌 재질)을 반드시 사용할 것
- 콘택트렌즈를 착용 금지할 것</v>
          </cell>
        </row>
        <row r="519">
          <cell r="B519" t="str">
            <v>7783-08-6</v>
          </cell>
          <cell r="C519" t="str">
            <v>셀레늄화합물질</v>
          </cell>
          <cell r="D519" t="str">
            <v>97-1-134</v>
          </cell>
          <cell r="E519" t="str">
            <v>및 이를 1% 이상 함유한 혼합물질</v>
          </cell>
          <cell r="F519">
            <v>1</v>
          </cell>
          <cell r="G519" t="str">
            <v>- 염소, 불소, 브롬 등의 강산화제, 염산, 황산, 질산 등의 강산, 물과 격리하여 저장할 것
- 용기에 녹이 슬 수 있으므로 습기를 피해 건조한 곳에 저장할 것
- 빈 용기도 같은 장소에 저장할 것
- 암모니아, 할로겐화수소, 산, 강산화제, 유기물질과 격리하여 저장할 것
- 통풍이 잘 되는 그늘 및 서늘한 곳에 밀폐 보관할 것
- 식료품, 사료, 의약품, 음식과 혼합저장 금지할 것
- 필요에 따라 국소배기장치 가동할 것
- 저장용기는 물리적인 손상에 견딜 수 있어야 할 것
- 사고발생에 대비하여 눈이나 몸을 씻을 수 있는 세안시설과 샤워시설이 이용 가능한 장소에서 작업할 것
- 사용한 후 식사, 흡연, 화장실에 가기 전에 물과 비누로 손을 꼭 세척할 것
- 호흡용보호구, 전면보호구, 보안경, 보호 장갑(고무 또는 네오프렌 재질)을 반드시 사용할 것
- 콘택트렌즈를 착용 금지할 것</v>
          </cell>
        </row>
        <row r="520">
          <cell r="B520" t="str">
            <v>7783-19-9</v>
          </cell>
          <cell r="C520" t="str">
            <v>셀레늄화합물질</v>
          </cell>
          <cell r="D520" t="str">
            <v>97-1-134</v>
          </cell>
          <cell r="E520" t="str">
            <v>및 이를 1% 이상 함유한 혼합물질</v>
          </cell>
          <cell r="F520">
            <v>1</v>
          </cell>
          <cell r="G520" t="str">
            <v>- 염소, 불소, 브롬 등의 강산화제, 염산, 황산, 질산 등의 강산, 물과 격리하여 저장할 것
- 용기에 녹이 슬 수 있으므로 습기를 피해 건조한 곳에 저장할 것
- 빈 용기도 같은 장소에 저장할 것
- 암모니아, 할로겐화수소, 산, 강산화제, 유기물질과 격리하여 저장할 것
- 통풍이 잘 되는 그늘 및 서늘한 곳에 밀폐 보관할 것
- 식료품, 사료, 의약품, 음식과 혼합저장 금지할 것
- 필요에 따라 국소배기장치 가동할 것
- 저장용기는 물리적인 손상에 견딜 수 있어야 할 것
- 사고발생에 대비하여 눈이나 몸을 씻을 수 있는 세안시설과 샤워시설이 이용 가능한 장소에서 작업할 것
- 사용한 후 식사, 흡연, 화장실에 가기 전에 물과 비누로 손을 꼭 세척할 것
- 호흡용보호구, 전면보호구, 보안경, 보호 장갑(고무 또는 네오프렌 재질)을 반드시 사용할 것
- 콘택트렌즈를 착용 금지할 것</v>
          </cell>
        </row>
        <row r="521">
          <cell r="B521" t="str">
            <v>7783-21-3</v>
          </cell>
          <cell r="C521" t="str">
            <v>셀레늄화합물질</v>
          </cell>
          <cell r="D521" t="str">
            <v>97-1-134</v>
          </cell>
          <cell r="E521" t="str">
            <v>및 이를 1% 이상 함유한 혼합물질</v>
          </cell>
          <cell r="F521">
            <v>1</v>
          </cell>
          <cell r="G521" t="str">
            <v>- 염소, 불소, 브롬 등의 강산화제, 염산, 황산, 질산 등의 강산, 물과 격리하여 저장할 것
- 용기에 녹이 슬 수 있으므로 습기를 피해 건조한 곳에 저장할 것
- 빈 용기도 같은 장소에 저장할 것
- 암모니아, 할로겐화수소, 산, 강산화제, 유기물질과 격리하여 저장할 것
- 통풍이 잘 되는 그늘 및 서늘한 곳에 밀폐 보관할 것
- 식료품, 사료, 의약품, 음식과 혼합저장 금지할 것
- 필요에 따라 국소배기장치 가동할 것
- 저장용기는 물리적인 손상에 견딜 수 있어야 할 것
- 사고발생에 대비하여 눈이나 몸을 씻을 수 있는 세안시설과 샤워시설이 이용 가능한 장소에서 작업할 것
- 사용한 후 식사, 흡연, 화장실에 가기 전에 물과 비누로 손을 꼭 세척할 것
- 호흡용보호구, 전면보호구, 보안경, 보호 장갑(고무 또는 네오프렌 재질)을 반드시 사용할 것
- 콘택트렌즈를 착용 금지할 것</v>
          </cell>
        </row>
        <row r="522">
          <cell r="B522" t="str">
            <v>7783-79-1</v>
          </cell>
          <cell r="C522" t="str">
            <v>셀레늄화합물질</v>
          </cell>
          <cell r="D522" t="str">
            <v>97-1-134</v>
          </cell>
          <cell r="E522" t="str">
            <v>및 이를 1% 이상 함유한 혼합물질</v>
          </cell>
          <cell r="F522">
            <v>1</v>
          </cell>
          <cell r="G522" t="str">
            <v>- 염소, 불소, 브롬 등의 강산화제, 염산, 황산, 질산 등의 강산, 물과 격리하여 저장할 것
- 용기에 녹이 슬 수 있으므로 습기를 피해 건조한 곳에 저장할 것
- 빈 용기도 같은 장소에 저장할 것
- 암모니아, 할로겐화수소, 산, 강산화제, 유기물질과 격리하여 저장할 것
- 통풍이 잘 되는 그늘 및 서늘한 곳에 밀폐 보관할 것
- 식료품, 사료, 의약품, 음식과 혼합저장 금지할 것
- 필요에 따라 국소배기장치 가동할 것
- 저장용기는 물리적인 손상에 견딜 수 있어야 할 것
- 사고발생에 대비하여 눈이나 몸을 씻을 수 있는 세안시설과 샤워시설이 이용 가능한 장소에서 작업할 것
- 사용한 후 식사, 흡연, 화장실에 가기 전에 물과 비누로 손을 꼭 세척할 것
- 호흡용보호구, 전면보호구, 보안경, 보호 장갑(고무 또는 네오프렌 재질)을 반드시 사용할 것
- 콘택트렌즈를 착용 금지할 것</v>
          </cell>
        </row>
        <row r="523">
          <cell r="B523" t="str">
            <v>7784-05-6</v>
          </cell>
          <cell r="C523" t="str">
            <v>셀레늄화합물질</v>
          </cell>
          <cell r="D523" t="str">
            <v>97-1-134</v>
          </cell>
          <cell r="E523" t="str">
            <v>및 이를 1% 이상 함유한 혼합물질</v>
          </cell>
          <cell r="F523">
            <v>1</v>
          </cell>
          <cell r="G523" t="str">
            <v>- 염소, 불소, 브롬 등의 강산화제, 염산, 황산, 질산 등의 강산, 물과 격리하여 저장할 것
- 용기에 녹이 슬 수 있으므로 습기를 피해 건조한 곳에 저장할 것
- 빈 용기도 같은 장소에 저장할 것
- 암모니아, 할로겐화수소, 산, 강산화제, 유기물질과 격리하여 저장할 것
- 통풍이 잘 되는 그늘 및 서늘한 곳에 밀폐 보관할 것
- 식료품, 사료, 의약품, 음식과 혼합저장 금지할 것
- 필요에 따라 국소배기장치 가동할 것
- 저장용기는 물리적인 손상에 견딜 수 있어야 할 것
- 사고발생에 대비하여 눈이나 몸을 씻을 수 있는 세안시설과 샤워시설이 이용 가능한 장소에서 작업할 것
- 사용한 후 식사, 흡연, 화장실에 가기 전에 물과 비누로 손을 꼭 세척할 것
- 호흡용보호구, 전면보호구, 보안경, 보호 장갑(고무 또는 네오프렌 재질)을 반드시 사용할 것
- 콘택트렌즈를 착용 금지할 것</v>
          </cell>
        </row>
        <row r="524">
          <cell r="B524" t="str">
            <v>7787-41-9</v>
          </cell>
          <cell r="C524" t="str">
            <v>셀레늄화합물질</v>
          </cell>
          <cell r="D524" t="str">
            <v>97-1-134</v>
          </cell>
          <cell r="E524" t="str">
            <v>및 이를 1% 이상 함유한 혼합물질</v>
          </cell>
          <cell r="F524">
            <v>1</v>
          </cell>
          <cell r="G524" t="str">
            <v>- 염소, 불소, 브롬 등의 강산화제, 염산, 황산, 질산 등의 강산, 물과 격리하여 저장할 것
- 용기에 녹이 슬 수 있으므로 습기를 피해 건조한 곳에 저장할 것
- 빈 용기도 같은 장소에 저장할 것
- 암모니아, 할로겐화수소, 산, 강산화제, 유기물질과 격리하여 저장할 것
- 통풍이 잘 되는 그늘 및 서늘한 곳에 밀폐 보관할 것
- 식료품, 사료, 의약품, 음식과 혼합저장 금지할 것
- 필요에 따라 국소배기장치 가동할 것
- 저장용기는 물리적인 손상에 견딜 수 있어야 할 것
- 사고발생에 대비하여 눈이나 몸을 씻을 수 있는 세안시설과 샤워시설이 이용 가능한 장소에서 작업할 것
- 사용한 후 식사, 흡연, 화장실에 가기 전에 물과 비누로 손을 꼭 세척할 것
- 호흡용보호구, 전면보호구, 보안경, 보호 장갑(고무 또는 네오프렌 재질)을 반드시 사용할 것
- 콘택트렌즈를 착용 금지할 것</v>
          </cell>
        </row>
        <row r="525">
          <cell r="B525" t="str">
            <v>7789-51-7</v>
          </cell>
          <cell r="C525" t="str">
            <v>셀레늄화합물질</v>
          </cell>
          <cell r="D525" t="str">
            <v>97-1-134</v>
          </cell>
          <cell r="E525" t="str">
            <v>및 이를 1% 이상 함유한 혼합물질</v>
          </cell>
          <cell r="F525">
            <v>1</v>
          </cell>
          <cell r="G525" t="str">
            <v>- 염소, 불소, 브롬 등의 강산화제, 염산, 황산, 질산 등의 강산, 물과 격리하여 저장할 것
- 용기에 녹이 슬 수 있으므로 습기를 피해 건조한 곳에 저장할 것
- 빈 용기도 같은 장소에 저장할 것
- 암모니아, 할로겐화수소, 산, 강산화제, 유기물질과 격리하여 저장할 것
- 통풍이 잘 되는 그늘 및 서늘한 곳에 밀폐 보관할 것
- 식료품, 사료, 의약품, 음식과 혼합저장 금지할 것
- 필요에 따라 국소배기장치 가동할 것
- 저장용기는 물리적인 손상에 견딜 수 있어야 할 것
- 사고발생에 대비하여 눈이나 몸을 씻을 수 있는 세안시설과 샤워시설이 이용 가능한 장소에서 작업할 것
- 사용한 후 식사, 흡연, 화장실에 가기 전에 물과 비누로 손을 꼭 세척할 것
- 호흡용보호구, 전면보호구, 보안경, 보호 장갑(고무 또는 네오프렌 재질)을 반드시 사용할 것
- 콘택트렌즈를 착용 금지할 것</v>
          </cell>
        </row>
        <row r="526">
          <cell r="B526" t="str">
            <v>7789-52-8</v>
          </cell>
          <cell r="C526" t="str">
            <v>셀레늄화합물질</v>
          </cell>
          <cell r="D526" t="str">
            <v>97-1-134</v>
          </cell>
          <cell r="E526" t="str">
            <v>및 이를 1% 이상 함유한 혼합물질</v>
          </cell>
          <cell r="F526">
            <v>1</v>
          </cell>
          <cell r="G526" t="str">
            <v>- 염소, 불소, 브롬 등의 강산화제, 염산, 황산, 질산 등의 강산, 물과 격리하여 저장할 것
- 용기에 녹이 슬 수 있으므로 습기를 피해 건조한 곳에 저장할 것
- 빈 용기도 같은 장소에 저장할 것
- 암모니아, 할로겐화수소, 산, 강산화제, 유기물질과 격리하여 저장할 것
- 통풍이 잘 되는 그늘 및 서늘한 곳에 밀폐 보관할 것
- 식료품, 사료, 의약품, 음식과 혼합저장 금지할 것
- 필요에 따라 국소배기장치 가동할 것
- 저장용기는 물리적인 손상에 견딜 수 있어야 할 것
- 사고발생에 대비하여 눈이나 몸을 씻을 수 있는 세안시설과 샤워시설이 이용 가능한 장소에서 작업할 것
- 사용한 후 식사, 흡연, 화장실에 가기 전에 물과 비누로 손을 꼭 세척할 것
- 호흡용보호구, 전면보호구, 보안경, 보호 장갑(고무 또는 네오프렌 재질)을 반드시 사용할 것
- 콘택트렌즈를 착용 금지할 것</v>
          </cell>
        </row>
        <row r="527">
          <cell r="B527" t="str">
            <v>7789-65-3</v>
          </cell>
          <cell r="C527" t="str">
            <v>셀레늄화합물질</v>
          </cell>
          <cell r="D527" t="str">
            <v>97-1-134</v>
          </cell>
          <cell r="E527" t="str">
            <v>및 이를 1% 이상 함유한 혼합물질</v>
          </cell>
          <cell r="F527">
            <v>1</v>
          </cell>
          <cell r="G527" t="str">
            <v>- 염소, 불소, 브롬 등의 강산화제, 염산, 황산, 질산 등의 강산, 물과 격리하여 저장할 것
- 용기에 녹이 슬 수 있으므로 습기를 피해 건조한 곳에 저장할 것
- 빈 용기도 같은 장소에 저장할 것
- 암모니아, 할로겐화수소, 산, 강산화제, 유기물질과 격리하여 저장할 것
- 통풍이 잘 되는 그늘 및 서늘한 곳에 밀폐 보관할 것
- 식료품, 사료, 의약품, 음식과 혼합저장 금지할 것
- 필요에 따라 국소배기장치 가동할 것
- 저장용기는 물리적인 손상에 견딜 수 있어야 할 것
- 사고발생에 대비하여 눈이나 몸을 씻을 수 있는 세안시설과 샤워시설이 이용 가능한 장소에서 작업할 것
- 사용한 후 식사, 흡연, 화장실에 가기 전에 물과 비누로 손을 꼭 세척할 것
- 호흡용보호구, 전면보호구, 보안경, 보호 장갑(고무 또는 네오프렌 재질)을 반드시 사용할 것
- 콘택트렌즈를 착용 금지할 것</v>
          </cell>
        </row>
        <row r="528">
          <cell r="B528" t="str">
            <v>7790-59-2</v>
          </cell>
          <cell r="C528" t="str">
            <v>셀레늄화합물질</v>
          </cell>
          <cell r="D528" t="str">
            <v>97-1-134</v>
          </cell>
          <cell r="E528" t="str">
            <v>및 이를 1% 이상 함유한 혼합물질</v>
          </cell>
          <cell r="F528">
            <v>1</v>
          </cell>
          <cell r="G528" t="str">
            <v>- 염소, 불소, 브롬 등의 강산화제, 염산, 황산, 질산 등의 강산, 물과 격리하여 저장할 것
- 용기에 녹이 슬 수 있으므로 습기를 피해 건조한 곳에 저장할 것
- 빈 용기도 같은 장소에 저장할 것
- 암모니아, 할로겐화수소, 산, 강산화제, 유기물질과 격리하여 저장할 것
- 통풍이 잘 되는 그늘 및 서늘한 곳에 밀폐 보관할 것
- 식료품, 사료, 의약품, 음식과 혼합저장 금지할 것
- 필요에 따라 국소배기장치 가동할 것
- 저장용기는 물리적인 손상에 견딜 수 있어야 할 것
- 사고발생에 대비하여 눈이나 몸을 씻을 수 있는 세안시설과 샤워시설이 이용 가능한 장소에서 작업할 것
- 사용한 후 식사, 흡연, 화장실에 가기 전에 물과 비누로 손을 꼭 세척할 것
- 호흡용보호구, 전면보호구, 보안경, 보호 장갑(고무 또는 네오프렌 재질)을 반드시 사용할 것
- 콘택트렌즈를 착용 금지할 것</v>
          </cell>
        </row>
        <row r="529">
          <cell r="B529" t="str">
            <v>7791-23-3</v>
          </cell>
          <cell r="C529" t="str">
            <v>셀레늄화합물질</v>
          </cell>
          <cell r="D529" t="str">
            <v>97-1-134</v>
          </cell>
          <cell r="E529" t="str">
            <v>및 이를 1% 이상 함유한 혼합물질</v>
          </cell>
          <cell r="F529">
            <v>1</v>
          </cell>
          <cell r="G529" t="str">
            <v>- 염소, 불소, 브롬 등의 강산화제, 염산, 황산, 질산 등의 강산, 물과 격리하여 저장할 것
- 용기에 녹이 슬 수 있으므로 습기를 피해 건조한 곳에 저장할 것
- 빈 용기도 같은 장소에 저장할 것
- 암모니아, 할로겐화수소, 산, 강산화제, 유기물질과 격리하여 저장할 것
- 통풍이 잘 되는 그늘 및 서늘한 곳에 밀폐 보관할 것
- 식료품, 사료, 의약품, 음식과 혼합저장 금지할 것
- 필요에 따라 국소배기장치 가동할 것
- 저장용기는 물리적인 손상에 견딜 수 있어야 할 것
- 사고발생에 대비하여 눈이나 몸을 씻을 수 있는 세안시설과 샤워시설이 이용 가능한 장소에서 작업할 것
- 사용한 후 식사, 흡연, 화장실에 가기 전에 물과 비누로 손을 꼭 세척할 것
- 호흡용보호구, 전면보호구, 보안경, 보호 장갑(고무 또는 네오프렌 재질)을 반드시 사용할 것
- 콘택트렌즈를 착용 금지할 것</v>
          </cell>
        </row>
        <row r="530">
          <cell r="B530" t="str">
            <v>88608-76-8</v>
          </cell>
          <cell r="C530" t="str">
            <v>셀레늄화합물질</v>
          </cell>
          <cell r="D530" t="str">
            <v>97-1-134</v>
          </cell>
          <cell r="E530" t="str">
            <v>및 이를 1% 이상 함유한 혼합물질</v>
          </cell>
          <cell r="F530">
            <v>1</v>
          </cell>
          <cell r="G530" t="str">
            <v>- 염소, 불소, 브롬 등의 강산화제, 염산, 황산, 질산 등의 강산, 물과 격리하여 저장할 것
- 용기에 녹이 슬 수 있으므로 습기를 피해 건조한 곳에 저장할 것
- 빈 용기도 같은 장소에 저장할 것
- 암모니아, 할로겐화수소, 산, 강산화제, 유기물질과 격리하여 저장할 것
- 통풍이 잘 되는 그늘 및 서늘한 곳에 밀폐 보관할 것
- 식료품, 사료, 의약품, 음식과 혼합저장 금지할 것
- 필요에 따라 국소배기장치 가동할 것
- 저장용기는 물리적인 손상에 견딜 수 있어야 할 것
- 사고발생에 대비하여 눈이나 몸을 씻을 수 있는 세안시설과 샤워시설이 이용 가능한 장소에서 작업할 것
- 사용한 후 식사, 흡연, 화장실에 가기 전에 물과 비누로 손을 꼭 세척할 것
- 호흡용보호구, 전면보호구, 보안경, 보호 장갑(고무 또는 네오프렌 재질)을 반드시 사용할 것
- 콘택트렌즈를 착용 금지할 것</v>
          </cell>
        </row>
        <row r="531">
          <cell r="B531" t="str">
            <v>99811-54-8</v>
          </cell>
          <cell r="C531" t="str">
            <v>셀레늄화합물질</v>
          </cell>
          <cell r="D531" t="str">
            <v>97-1-134</v>
          </cell>
          <cell r="E531" t="str">
            <v>및 이를 1% 이상 함유한 혼합물질</v>
          </cell>
          <cell r="F531">
            <v>1</v>
          </cell>
          <cell r="G531" t="str">
            <v>- 염소, 불소, 브롬 등의 강산화제, 염산, 황산, 질산 등의 강산, 물과 격리하여 저장할 것
- 용기에 녹이 슬 수 있으므로 습기를 피해 건조한 곳에 저장할 것
- 빈 용기도 같은 장소에 저장할 것
- 암모니아, 할로겐화수소, 산, 강산화제, 유기물질과 격리하여 저장할 것
- 통풍이 잘 되는 그늘 및 서늘한 곳에 밀폐 보관할 것
- 식료품, 사료, 의약품, 음식과 혼합저장 금지할 것
- 필요에 따라 국소배기장치 가동할 것
- 저장용기는 물리적인 손상에 견딜 수 있어야 할 것
- 사고발생에 대비하여 눈이나 몸을 씻을 수 있는 세안시설과 샤워시설이 이용 가능한 장소에서 작업할 것
- 사용한 후 식사, 흡연, 화장실에 가기 전에 물과 비누로 손을 꼭 세척할 것
- 호흡용보호구, 전면보호구, 보안경, 보호 장갑(고무 또는 네오프렌 재질)을 반드시 사용할 것
- 콘택트렌즈를 착용 금지할 것</v>
          </cell>
        </row>
        <row r="532">
          <cell r="B532" t="str">
            <v>543-21-5</v>
          </cell>
          <cell r="C532" t="str">
            <v>셀로시딘</v>
          </cell>
          <cell r="D532" t="str">
            <v>97-1-135</v>
          </cell>
          <cell r="E532" t="str">
            <v>및 이를 1% 이상 함유한 혼합물질</v>
          </cell>
          <cell r="F532">
            <v>1</v>
          </cell>
          <cell r="G532" t="str">
            <v>- 건조하고 통풍이 잘 되는 그늘 및 서늘한 곳에 밀폐 보관할 것
- 식료품, 사료, 의약품, 음식과 혼합저장 금지할 것
- 필요에 따라 국소배기장치 가동할 것
- 저장용기는 물리적인 손상에 견딜 수 있어야 할 것
- 취급 또는 작업시는 통풍이 잘 되는 후드에서 행하고 고글형 보안경,  보호의,  보호장갑,  앞치마,  양압자급식호흡용보호구를 착용하여 단기적인 접촉 및 반복적이고 장기적인 노출을 피할 것
- 노출기준 이상에서는 호흡보호구를 착용할 것
- 취급 후, 손을 철저하게 세척할 것</v>
          </cell>
        </row>
        <row r="533">
          <cell r="B533" t="str">
            <v>1310-73-2</v>
          </cell>
          <cell r="C533" t="str">
            <v>수산화 나트륨</v>
          </cell>
          <cell r="D533" t="str">
            <v>97-1-136</v>
          </cell>
          <cell r="E533" t="str">
            <v>및 이를 5% 이상 함유한 혼합물질</v>
          </cell>
          <cell r="F533">
            <v>5</v>
          </cell>
          <cell r="G533" t="str">
            <v>- 건조하고 통풍이 잘 되는 그늘 및 서늘한 곳에 밀폐 보관할 것 공기 중의 이산화탄소나 습기가 용기내로 들어가서는 안될 것
- 식료품, 사료, 의약품, 음식과 혼합저장 및 수송 금지할 것
- 필요에 따라 국소배기장치 가동할 것
- 저장용기는 물리적인 손상에 견딜 수 있어야 할 것
- 철, 구리, 주석, 알루미늄 또는 이와 관련된 합금물(alloy)로 제조된 저장용기는 사용금지(부식 위험성) (단, 해당함량과 온도에 적합한 내식성재료를 사용하는 경우는 예외로 함)
- 산, 유기물(모직, 가죽 등), 금속, 니트로메탄(nitromethane), chlorinated solvent 와 격리하여 저장할 것
- 수산화나트륨 수용액은 겨울철에 동결하지 않도록 보온상태로 보관할 것
- 수산화나트륨 희석액을 만드는 경우 반드시 수산화나트륨을 물에 가해야 (절대로 물을 수산화나트륨에 가하면 안 됨)할 것
- 취급 또는 작업시는 통풍이 잘 되는 후드에서 행하고 고글형 보안경, 내산성보호의, 고무장갑(네오프렌 또는 니트릴 재질, 스틸렌/부타디엔코팅 섬유), 고무앞치마, 양압자급식호흡용보호구를 착용하여 단기적인 접촉 및 반복적이고 장기적인 노출을 피할 것
- 노출기준 이상에서는 호흡보호구를 착용할 것
- 취급 후, 손을 철저하게 세척할 것
- 격렬한 반응이 일어나기 때문에 용기 안으로 물이 들어가지 않도록 할 것</v>
          </cell>
        </row>
        <row r="534">
          <cell r="B534" t="str">
            <v>1310-58-3</v>
          </cell>
          <cell r="C534" t="str">
            <v xml:space="preserve">수산화 칼륨 </v>
          </cell>
          <cell r="D534" t="str">
            <v>97-1-137</v>
          </cell>
          <cell r="E534" t="str">
            <v>및 이를 5% 이상 함유한 혼합물질</v>
          </cell>
          <cell r="F534">
            <v>5</v>
          </cell>
          <cell r="G534" t="str">
            <v>- 물리적인 손상에 견딜 수 있는 용기에 넣어 건조하고 통풍이 잘 되는 그늘 및 서늘한 곳에서 공기 중의 이산화탄소나 습기와 접촉하지 않도록 밀폐 보관할 것
- 식료품, 사료, 의약품, 음식과 혼합저장 및 수송 금지할 것 필요에 따라 국소배기장치 가동할 것
- 철, 구리, 주석, 알루미늄 또는 이와 관련된 합금 재질의 저장용기는 사용금지(부식 위험성)할 것
- 산, 유기물(모직, 가죽 등), 금속, 니트로메탄(nitromethane), 염소처리용매(chlorinated solvent)와 격리하여 저장할 것
- 수산화칼륨 수용액은 겨울철에 얼지 않도록 보관할 것
- 수산화칼륨 희석액을 만드는 경우 반드시 수산화칼륨을 물에 가해야 할 것(절대로 물을 수산화칼륨에 가하면 안됨)
- 취급 또는 작업시는 양압자급식호흡용 보호구를 착용하고 고글형 보안경, 보호의, 고무(네오프렌 또는 니트릴 재질, 스티렌/부타디엔 코팅섬유)재질의 장갑 및 고무장화, 고무앞치마와 전면보호구, 소매가 긴 면셔츠 등을 착용하여 단기적인 접촉 및 반복적이고 장기적인 노출을 피할 것
- 접촉 즉시 조직을 파괴하므로 절대 맨손으로 작업 금지할 것
- 취급 후, 손을 철저하게 세척할 것</v>
          </cell>
        </row>
        <row r="535">
          <cell r="B535" t="str">
            <v>3644-29-9</v>
          </cell>
          <cell r="C535" t="str">
            <v>수산화 트리아릴주석</v>
          </cell>
          <cell r="D535" t="str">
            <v>97-1-138</v>
          </cell>
          <cell r="E535" t="str">
            <v>및 그 염류(수산화트리아릴 주석의 무수물을 포함한다)와 그 중 하나를 2% 이상 함유한 혼합물질</v>
          </cell>
          <cell r="F535">
            <v>2</v>
          </cell>
          <cell r="G535" t="str">
            <v>- 통풍이 잘 되는 그늘 및 서늘한 곳에 밀폐 보관할 것
- 식료품, 사료, 의약품, 음식과 혼합저장 금지할 것
- 필요에 따라 국소배기장치를 설치하여 환기할 것
- 점화원을 제거할 것
- 취급 시 피부접촉을 피하고 보호의(고무제)와 보호장갑을 착용할 것
- 양압자급식호흡용 보호구를 반드시 착용하고 보호의와 고글형 보안경을 착용할 것
- 적절한 보호복과 보호장갑을 착용할 것
- 환경에 배출을 피할 것</v>
          </cell>
        </row>
        <row r="536">
          <cell r="B536" t="str">
            <v>379-52-2</v>
          </cell>
          <cell r="C536" t="str">
            <v>수산화 트리아릴주석</v>
          </cell>
          <cell r="D536" t="str">
            <v>97-1-138</v>
          </cell>
          <cell r="E536" t="str">
            <v>및 그 염류(수산화트리아릴 주석의 무수물을 포함한다)와 그 중 하나를 2% 이상 함유한 혼합물질</v>
          </cell>
          <cell r="F536">
            <v>2</v>
          </cell>
          <cell r="G536" t="str">
            <v>- 통풍이 잘 되는 그늘 및 서늘한 곳에 밀폐 보관할 것
- 식료품, 사료, 의약품, 음식과 혼합저장 금지할 것
- 필요에 따라 국소배기장치를 설치하여 환기할 것
- 점화원을 제거할 것
- 취급 시 피부접촉을 피하고 보호의(고무제)와 보호장갑을 착용할 것
- 양압자급식호흡용 보호구를 반드시 착용하고 보호의와 고글형 보안경을 착용할 것
- 적절한 보호복과 보호장갑을 착용할 것
- 환경에 배출을 피할 것</v>
          </cell>
        </row>
        <row r="537">
          <cell r="B537" t="str">
            <v>639-58-7</v>
          </cell>
          <cell r="C537" t="str">
            <v>수산화 트리아릴주석</v>
          </cell>
          <cell r="D537" t="str">
            <v>97-1-138</v>
          </cell>
          <cell r="E537" t="str">
            <v>및 그 염류(수산화트리아릴 주석의 무수물을 포함한다)와 그 중 하나를 2% 이상 함유한 혼합물질</v>
          </cell>
          <cell r="F537">
            <v>2</v>
          </cell>
          <cell r="G537" t="str">
            <v>- 통풍이 잘 되는 그늘 및 서늘한 곳에 밀폐 보관할 것
- 식료품, 사료, 의약품, 음식과 혼합저장 금지할 것
- 필요에 따라 국소배기장치를 설치하여 환기할 것
- 점화원을 제거할 것
- 취급 시 피부접촉을 피하고 보호의(고무제)와 보호장갑을 착용할 것
- 양압자급식호흡용 보호구를 반드시 착용하고 보호의와 고글형 보안경을 착용할 것
- 적절한 보호복과 보호장갑을 착용할 것
- 환경에 배출을 피할 것</v>
          </cell>
        </row>
        <row r="538">
          <cell r="B538" t="str">
            <v>76-87-9</v>
          </cell>
          <cell r="C538" t="str">
            <v>수산화 트리아릴주석</v>
          </cell>
          <cell r="D538" t="str">
            <v>97-1-138</v>
          </cell>
          <cell r="E538" t="str">
            <v>및 그 염류(수산화트리아릴 주석의 무수물을 포함한다)와 그 중 하나를 2% 이상 함유한 혼합물질</v>
          </cell>
          <cell r="F538">
            <v>2</v>
          </cell>
          <cell r="G538" t="str">
            <v>- 통풍이 잘 되는 그늘 및 서늘한 곳에 밀폐 보관할 것
- 식료품, 사료, 의약품, 음식과 혼합저장 금지할 것
- 필요에 따라 국소배기장치를 설치하여 환기할 것
- 점화원을 제거할 것
- 취급 시 피부접촉을 피하고 보호의(고무제)와 보호장갑을 착용할 것
- 양압자급식호흡용 보호구를 반드시 착용하고 보호의와 고글형 보안경을 착용할 것
- 적절한 보호복과 보호장갑을 착용할 것
- 환경에 배출을 피할 것</v>
          </cell>
        </row>
        <row r="539">
          <cell r="B539" t="str">
            <v>900-95-8</v>
          </cell>
          <cell r="C539" t="str">
            <v>수산화 트리아릴주석</v>
          </cell>
          <cell r="D539" t="str">
            <v>97-1-138</v>
          </cell>
          <cell r="E539" t="str">
            <v>및 그 염류(수산화트리아릴 주석의 무수물을 포함한다)와 그 중 하나를 2% 이상 함유한 혼합물질</v>
          </cell>
          <cell r="F539">
            <v>2</v>
          </cell>
          <cell r="G539" t="str">
            <v>- 통풍이 잘 되는 그늘 및 서늘한 곳에 밀폐 보관할 것
- 식료품, 사료, 의약품, 음식과 혼합저장 금지할 것
- 필요에 따라 국소배기장치를 설치하여 환기할 것
- 점화원을 제거할 것
- 취급 시 피부접촉을 피하고 보호의(고무제)와 보호장갑을 착용할 것
- 양압자급식호흡용 보호구를 반드시 착용하고 보호의와 고글형 보안경을 착용할 것
- 적절한 보호복과 보호장갑을 착용할 것
- 환경에 배출을 피할 것</v>
          </cell>
        </row>
        <row r="540">
          <cell r="C540" t="str">
            <v>수산화 트리아릴주석</v>
          </cell>
          <cell r="D540" t="str">
            <v>97-1-138</v>
          </cell>
          <cell r="E540" t="str">
            <v>및 그 염류(수산화트리아릴 주석의 무수물을 포함한다)와 그 중 하나를 2% 이상 함유한 혼합물질</v>
          </cell>
          <cell r="F540">
            <v>2</v>
          </cell>
          <cell r="G540" t="str">
            <v>- 통풍이 잘 되는 그늘 및 서늘한 곳에 밀폐 보관할 것
- 식료품, 사료, 의약품, 음식과 혼합저장 금지할 것
- 필요에 따라 국소배기장치를 설치하여 환기할 것
- 점화원을 제거할 것
- 취급 시 피부접촉을 피하고 보호의(고무제)와 보호장갑을 착용할 것
- 양압자급식호흡용 보호구를 반드시 착용하고 보호의와 고글형 보안경을 착용할 것
- 적절한 보호복과 보호장갑을 착용할 것
- 환경에 배출을 피할 것</v>
          </cell>
        </row>
        <row r="541">
          <cell r="B541" t="str">
            <v>1067-97-6</v>
          </cell>
          <cell r="C541" t="str">
            <v>수산화 트리알킬주석</v>
          </cell>
          <cell r="D541" t="str">
            <v>97-1-139,06-5-4</v>
          </cell>
          <cell r="E541" t="str">
            <v>및 트리부틸주석화합물(tributyltin compound), 또는 그 중 하나를 0.1% 이상 함유한 혼합물질</v>
          </cell>
          <cell r="F541">
            <v>0.1</v>
          </cell>
          <cell r="G541" t="str">
            <v>- 통풍이 좋은 그늘 및 서늘한 곳에 밀폐 보관할 것
- 식료품, 사료, 의약품, 음식과 혼합저장 금지할 것
- 필요에 따라 국소배기장치를 설치하여 환기할 것
- 점화원을 제거할 것
- 취급시 피부접촉을 피하고 보호의(고무제)와 보호장갑을 착용할 것
- 적절한 보호복과 보호장갑을 착용할 것
- 환경에 배출을 피할 것
- 양압자급식호흡용 보호구를 반드시 착용하고 보호의와 고글형 보안경을 착용할 것
- 취급제한물질(이를 0.1% 이상 함유한 혼합물질)</v>
          </cell>
        </row>
        <row r="542">
          <cell r="B542" t="str">
            <v>1461-22-9</v>
          </cell>
          <cell r="C542" t="str">
            <v>수산화 트리알킬주석</v>
          </cell>
          <cell r="D542" t="str">
            <v>97-1-139,06-5-4</v>
          </cell>
          <cell r="E542" t="str">
            <v>및 트리부틸주석화합물(tributyltin compound), 또는 그 중 하나를 0.1% 이상 함유한 혼합물질</v>
          </cell>
          <cell r="F542">
            <v>0.1</v>
          </cell>
          <cell r="G542" t="str">
            <v>- 통풍이 좋은 그늘 및 서늘한 곳에 밀폐 보관할 것
- 식료품, 사료, 의약품, 음식과 혼합저장 금지할 것
- 필요에 따라 국소배기장치를 설치하여 환기할 것
- 점화원을 제거할 것
- 취급시 피부접촉을 피하고 보호의(고무제)와 보호장갑을 착용할 것
- 적절한 보호복과 보호장갑을 착용할 것
- 환경에 배출을 피할 것
- 양압자급식호흡용 보호구를 반드시 착용하고 보호의와 고글형 보안경을 착용할 것
- 취급제한물질(이를 0.1% 이상 함유한 혼합물질)</v>
          </cell>
        </row>
        <row r="543">
          <cell r="B543" t="str">
            <v>1983-10-4</v>
          </cell>
          <cell r="C543" t="str">
            <v>수산화 트리알킬주석</v>
          </cell>
          <cell r="D543" t="str">
            <v>97-1-139,06-5-4</v>
          </cell>
          <cell r="E543" t="str">
            <v>및 트리부틸주석화합물(tributyltin compound), 또는 그 중 하나를 0.1% 이상 함유한 혼합물질</v>
          </cell>
          <cell r="F543">
            <v>0.1</v>
          </cell>
          <cell r="G543" t="str">
            <v>- 통풍이 좋은 그늘 및 서늘한 곳에 밀폐 보관할 것
- 식료품, 사료, 의약품, 음식과 혼합저장 금지할 것
- 필요에 따라 국소배기장치를 설치하여 환기할 것
- 점화원을 제거할 것
- 취급시 피부접촉을 피하고 보호의(고무제)와 보호장갑을 착용할 것
- 적절한 보호복과 보호장갑을 착용할 것
- 환경에 배출을 피할 것
- 양압자급식호흡용 보호구를 반드시 착용하고 보호의와 고글형 보안경을 착용할 것
- 취급제한물질(이를 0.1% 이상 함유한 혼합물질)</v>
          </cell>
        </row>
        <row r="544">
          <cell r="B544" t="str">
            <v>2155-70-6</v>
          </cell>
          <cell r="C544" t="str">
            <v>수산화 트리알킬주석</v>
          </cell>
          <cell r="D544" t="str">
            <v>97-1-139,06-5-4</v>
          </cell>
          <cell r="E544" t="str">
            <v>및 트리부틸주석화합물(tributyltin compound), 또는 그 중 하나를 0.1% 이상 함유한 혼합물질</v>
          </cell>
          <cell r="F544">
            <v>0.1</v>
          </cell>
          <cell r="G544" t="str">
            <v>- 통풍이 좋은 그늘 및 서늘한 곳에 밀폐 보관할 것
- 식료품, 사료, 의약품, 음식과 혼합저장 금지할 것
- 필요에 따라 국소배기장치를 설치하여 환기할 것
- 점화원을 제거할 것
- 취급시 피부접촉을 피하고 보호의(고무제)와 보호장갑을 착용할 것
- 적절한 보호복과 보호장갑을 착용할 것
- 환경에 배출을 피할 것
- 양압자급식호흡용 보호구를 반드시 착용하고 보호의와 고글형 보안경을 착용할 것
- 취급제한물질(이를 0.1% 이상 함유한 혼합물질)</v>
          </cell>
        </row>
        <row r="545">
          <cell r="B545" t="str">
            <v>28089-34-1</v>
          </cell>
          <cell r="C545" t="str">
            <v>수산화 트리알킬주석</v>
          </cell>
          <cell r="D545" t="str">
            <v>97-1-139,06-5-4</v>
          </cell>
          <cell r="E545" t="str">
            <v>및 트리부틸주석화합물(tributyltin compound), 또는 그 중 하나를 0.1% 이상 함유한 혼합물질</v>
          </cell>
          <cell r="F545">
            <v>0.1</v>
          </cell>
          <cell r="G545" t="str">
            <v>- 통풍이 좋은 그늘 및 서늘한 곳에 밀폐 보관할 것
- 식료품, 사료, 의약품, 음식과 혼합저장 금지할 것
- 필요에 따라 국소배기장치를 설치하여 환기할 것
- 점화원을 제거할 것
- 취급시 피부접촉을 피하고 보호의(고무제)와 보호장갑을 착용할 것
- 적절한 보호복과 보호장갑을 착용할 것
- 환경에 배출을 피할 것
- 양압자급식호흡용 보호구를 반드시 착용하고 보호의와 고글형 보안경을 착용할 것
- 취급제한물질(이를 0.1% 이상 함유한 혼합물질)</v>
          </cell>
        </row>
        <row r="546">
          <cell r="B546" t="str">
            <v>3090-36-6</v>
          </cell>
          <cell r="C546" t="str">
            <v>수산화 트리알킬주석</v>
          </cell>
          <cell r="D546" t="str">
            <v>97-1-139,06-5-4</v>
          </cell>
          <cell r="E546" t="str">
            <v>및 트리부틸주석화합물(tributyltin compound), 또는 그 중 하나를 0.1% 이상 함유한 혼합물질</v>
          </cell>
          <cell r="F546">
            <v>0.1</v>
          </cell>
          <cell r="G546" t="str">
            <v>- 통풍이 좋은 그늘 및 서늘한 곳에 밀폐 보관할 것
- 식료품, 사료, 의약품, 음식과 혼합저장 금지할 것
- 필요에 따라 국소배기장치를 설치하여 환기할 것
- 점화원을 제거할 것
- 취급시 피부접촉을 피하고 보호의(고무제)와 보호장갑을 착용할 것
- 적절한 보호복과 보호장갑을 착용할 것
- 환경에 배출을 피할 것
- 양압자급식호흡용 보호구를 반드시 착용하고 보호의와 고글형 보안경을 착용할 것
- 취급제한물질(이를 0.1% 이상 함유한 혼합물질)</v>
          </cell>
        </row>
        <row r="547">
          <cell r="B547" t="str">
            <v>31732-71-5</v>
          </cell>
          <cell r="C547" t="str">
            <v>수산화 트리알킬주석</v>
          </cell>
          <cell r="D547" t="str">
            <v>97-1-139,06-5-4</v>
          </cell>
          <cell r="E547" t="str">
            <v>및 트리부틸주석화합물(tributyltin compound), 또는 그 중 하나를 0.1% 이상 함유한 혼합물질</v>
          </cell>
          <cell r="F547">
            <v>0.1</v>
          </cell>
          <cell r="G547" t="str">
            <v>- 통풍이 좋은 그늘 및 서늘한 곳에 밀폐 보관할 것
- 식료품, 사료, 의약품, 음식과 혼합저장 금지할 것
- 필요에 따라 국소배기장치를 설치하여 환기할 것
- 점화원을 제거할 것
- 취급시 피부접촉을 피하고 보호의(고무제)와 보호장갑을 착용할 것
- 적절한 보호복과 보호장갑을 착용할 것
- 환경에 배출을 피할 것
- 양압자급식호흡용 보호구를 반드시 착용하고 보호의와 고글형 보안경을 착용할 것
- 취급제한물질(이를 0.1% 이상 함유한 혼합물질)</v>
          </cell>
        </row>
        <row r="548">
          <cell r="B548" t="str">
            <v>4027-18-3</v>
          </cell>
          <cell r="C548" t="str">
            <v>수산화 트리알킬주석</v>
          </cell>
          <cell r="D548" t="str">
            <v>97-1-139,06-5-4</v>
          </cell>
          <cell r="E548" t="str">
            <v>및 트리부틸주석화합물(tributyltin compound), 또는 그 중 하나를 0.1% 이상 함유한 혼합물질</v>
          </cell>
          <cell r="F548">
            <v>0.1</v>
          </cell>
          <cell r="G548" t="str">
            <v>- 통풍이 좋은 그늘 및 서늘한 곳에 밀폐 보관할 것
- 식료품, 사료, 의약품, 음식과 혼합저장 금지할 것
- 필요에 따라 국소배기장치를 설치하여 환기할 것
- 점화원을 제거할 것
- 취급시 피부접촉을 피하고 보호의(고무제)와 보호장갑을 착용할 것
- 적절한 보호복과 보호장갑을 착용할 것
- 환경에 배출을 피할 것
- 양압자급식호흡용 보호구를 반드시 착용하고 보호의와 고글형 보안경을 착용할 것
- 취급제한물질(이를 0.1% 이상 함유한 혼합물질)</v>
          </cell>
        </row>
        <row r="549">
          <cell r="B549" t="str">
            <v>4342-30-7</v>
          </cell>
          <cell r="C549" t="str">
            <v>수산화 트리알킬주석</v>
          </cell>
          <cell r="D549" t="str">
            <v>97-1-139,06-5-4</v>
          </cell>
          <cell r="E549" t="str">
            <v>및 트리부틸주석화합물(tributyltin compound), 또는 그 중 하나를 0.1% 이상 함유한 혼합물질</v>
          </cell>
          <cell r="F549">
            <v>0.1</v>
          </cell>
          <cell r="G549" t="str">
            <v>- 통풍이 좋은 그늘 및 서늘한 곳에 밀폐 보관할 것
- 식료품, 사료, 의약품, 음식과 혼합저장 금지할 것
- 필요에 따라 국소배기장치를 설치하여 환기할 것
- 점화원을 제거할 것
- 취급시 피부접촉을 피하고 보호의(고무제)와 보호장갑을 착용할 것
- 적절한 보호복과 보호장갑을 착용할 것
- 환경에 배출을 피할 것
- 양압자급식호흡용 보호구를 반드시 착용하고 보호의와 고글형 보안경을 착용할 것
- 취급제한물질(이를 0.1% 이상 함유한 혼합물질)</v>
          </cell>
        </row>
        <row r="550">
          <cell r="B550" t="str">
            <v>4782-29-0</v>
          </cell>
          <cell r="C550" t="str">
            <v>수산화 트리알킬주석</v>
          </cell>
          <cell r="D550" t="str">
            <v>97-1-139,06-5-4</v>
          </cell>
          <cell r="E550" t="str">
            <v>및 트리부틸주석화합물(tributyltin compound), 또는 그 중 하나를 0.1% 이상 함유한 혼합물질</v>
          </cell>
          <cell r="F550">
            <v>0.1</v>
          </cell>
          <cell r="G550" t="str">
            <v>- 통풍이 좋은 그늘 및 서늘한 곳에 밀폐 보관할 것
- 식료품, 사료, 의약품, 음식과 혼합저장 금지할 것
- 필요에 따라 국소배기장치를 설치하여 환기할 것
- 점화원을 제거할 것
- 취급시 피부접촉을 피하고 보호의(고무제)와 보호장갑을 착용할 것
- 적절한 보호복과 보호장갑을 착용할 것
- 환경에 배출을 피할 것
- 양압자급식호흡용 보호구를 반드시 착용하고 보호의와 고글형 보안경을 착용할 것
- 취급제한물질(이를 0.1% 이상 함유한 혼합물질)</v>
          </cell>
        </row>
        <row r="551">
          <cell r="B551" t="str">
            <v>56-35-9</v>
          </cell>
          <cell r="C551" t="str">
            <v>수산화 트리알킬주석</v>
          </cell>
          <cell r="D551" t="str">
            <v>97-1-139,06-5-4</v>
          </cell>
          <cell r="E551" t="str">
            <v>및 트리부틸주석화합물(tributyltin compound), 또는 그 중 하나를 0.1% 이상 함유한 혼합물질</v>
          </cell>
          <cell r="F551">
            <v>0.1</v>
          </cell>
          <cell r="G551" t="str">
            <v>- 통풍이 좋은 그늘 및 서늘한 곳에 밀폐 보관할 것
- 식료품, 사료, 의약품, 음식과 혼합저장 금지할 것
- 필요에 따라 국소배기장치를 설치하여 환기할 것
- 점화원을 제거할 것
- 취급시 피부접촉을 피하고 보호의(고무제)와 보호장갑을 착용할 것
- 적절한 보호복과 보호장갑을 착용할 것
- 환경에 배출을 피할 것
- 양압자급식호흡용 보호구를 반드시 착용하고 보호의와 고글형 보안경을 착용할 것
- 취급제한물질(이를 0.1% 이상 함유한 혼합물질)</v>
          </cell>
        </row>
        <row r="552">
          <cell r="B552" t="str">
            <v>688-73-3</v>
          </cell>
          <cell r="C552" t="str">
            <v>수산화 트리알킬주석</v>
          </cell>
          <cell r="D552" t="str">
            <v>97-1-139,06-5-4</v>
          </cell>
          <cell r="E552" t="str">
            <v>및 트리부틸주석화합물(tributyltin compound), 또는 그 중 하나를 0.1% 이상 함유한 혼합물질</v>
          </cell>
          <cell r="F552">
            <v>0.1</v>
          </cell>
          <cell r="G552" t="str">
            <v>- 통풍이 좋은 그늘 및 서늘한 곳에 밀폐 보관할 것
- 식료품, 사료, 의약품, 음식과 혼합저장 금지할 것
- 필요에 따라 국소배기장치를 설치하여 환기할 것
- 점화원을 제거할 것
- 취급시 피부접촉을 피하고 보호의(고무제)와 보호장갑을 착용할 것
- 적절한 보호복과 보호장갑을 착용할 것
- 환경에 배출을 피할 것
- 양압자급식호흡용 보호구를 반드시 착용하고 보호의와 고글형 보안경을 착용할 것
- 취급제한물질(이를 0.1% 이상 함유한 혼합물질)</v>
          </cell>
        </row>
        <row r="553">
          <cell r="C553" t="str">
            <v>수산화 트리알킬주석</v>
          </cell>
          <cell r="D553" t="str">
            <v>97-1-139,06-5-4</v>
          </cell>
          <cell r="E553" t="str">
            <v>및 트리부틸주석화합물(tributyltin compound), 또는 그 중 하나를 0.1% 이상 함유한 혼합물질</v>
          </cell>
          <cell r="F553">
            <v>0.1</v>
          </cell>
          <cell r="G553" t="str">
            <v>- 통풍이 좋은 그늘 및 서늘한 곳에 밀폐 보관할 것
- 식료품, 사료, 의약품, 음식과 혼합저장 금지할 것
- 필요에 따라 국소배기장치를 설치하여 환기할 것
- 점화원을 제거할 것
- 취급시 피부접촉을 피하고 보호의(고무제)와 보호장갑을 착용할 것
- 적절한 보호복과 보호장갑을 착용할 것
- 환경에 배출을 피할 것
- 양압자급식호흡용 보호구를 반드시 착용하고 보호의와 고글형 보안경을 착용할 것
- 취급제한물질(이를 0.1% 이상 함유한 혼합물질)</v>
          </cell>
        </row>
        <row r="554">
          <cell r="B554" t="str">
            <v>7439-97-6</v>
          </cell>
          <cell r="C554" t="str">
            <v>수은</v>
          </cell>
          <cell r="D554" t="str">
            <v>97-1-140</v>
          </cell>
          <cell r="E554" t="str">
            <v>또는 그 화합물질과 수은 화합물질을 1% 이상 함유한 혼합물질. 다만 황화제이수은(Mercuric sulfide), 요오드화제일수은(Mercuric iodide), 오레인산수은(Mercuric oleate), 아미노염화제이수은(Amino mercury(II) chloride), 뇌산제이수은 (Mercury(II) fulminate) 및 그 중 하나를 함유한 혼합물질은 제외</v>
          </cell>
          <cell r="F554">
            <v>1</v>
          </cell>
          <cell r="G554" t="str">
            <v>- 건조하고 통풍이 잘되는 그늘 및 서늘한 곳에 열원, 아지드화물 등과 격리하여 밀폐 보관할 것
- 식료품, 사료, 의약품, 음식과 혼합저장 금지할 것
- 필요에 따라 국소배기장치 가동할 것
- 제일수은 염은 용기에 알루미늄 포일을 사용 금지할 것
- 상온에서 약간 휘발성을 띰(② Mercury chloride)할 것
- 유기물질이 존재하면 분해되어 염화제일수은을 거쳐 금속수은으로 분해됨(② Mercury chloride)할 것
- 빛에 민감하며 황색침전을 생성하며 분해될 수 있으므로 주의할 것(③ Mercury acetate)
- 빛에 민감하며 나무나 종이와 접촉하지 않도록 할 것(④ Mercury nitrate)
- 취급 또는 작업 시는 양압자급식호흡 보호구를 착용하고 고글형 보안경, 내화학성보호의, 고무(또는 네오프렌)재질의 장갑 및 고무장화 등을 착용하여 단기적인 접촉 및 반복적이고 장기적인 노출을 피할 것
- 작업 시에는 콘택트렌즈 착용금지할 것
- 작업장 부근에 비상시를 대비하여 샤워시설 및 세안시설을 갖출 것</v>
          </cell>
        </row>
        <row r="555">
          <cell r="B555" t="str">
            <v>100-57-2</v>
          </cell>
          <cell r="D555" t="str">
            <v>97-1-140</v>
          </cell>
          <cell r="E555" t="str">
            <v>또는 그 화합물질과 수은 화합물질을 1% 이상 함유한 혼합물질. 다만 황화제이수은(Mercuric sulfide), 요오드화제일수은(Mercuric iodide), 오레인산수은(Mercuric oleate), 아미노염화제이수은(Amino mercury(II) chloride), 뇌산제이수은 (Mercury(II) fulminate) 및 그 중 하나를 함유한 혼합물질은 제외</v>
          </cell>
          <cell r="F555">
            <v>1</v>
          </cell>
          <cell r="G555" t="str">
            <v>- 건조하고 통풍이 잘되는 그늘 및 서늘한 곳에 열원, 아지드화물 등과 격리하여 밀폐 보관할 것
- 식료품, 사료, 의약품, 음식과 혼합저장 금지할 것
- 필요에 따라 국소배기장치 가동할 것
- 제일수은 염은 용기에 알루미늄 포일을 사용 금지할 것
- 상온에서 약간 휘발성을 띰(② Mercury chloride)할 것
- 유기물질이 존재하면 분해되어 염화제일수은을 거쳐 금속수은으로 분해됨(② Mercury chloride)할 것
- 빛에 민감하며 황색침전을 생성하며 분해될 수 있으므로 주의할 것(③ Mercury acetate)
- 빛에 민감하며 나무나 종이와 접촉하지 않도록 할 것(④ Mercury nitrate)
- 취급 또는 작업 시는 양압자급식호흡 보호구를 착용하고 고글형 보안경, 내화학성보호의, 고무(또는 네오프렌)재질의 장갑 및 고무장화 등을 착용하여 단기적인 접촉 및 반복적이고 장기적인 노출을 피할 것
- 작업 시에는 콘택트렌즈 착용금지할 것
- 작업장 부근에 비상시를 대비하여 샤워시설 및 세안시설을 갖출 것</v>
          </cell>
        </row>
        <row r="556">
          <cell r="B556" t="str">
            <v>10045-94-0</v>
          </cell>
          <cell r="C556" t="str">
            <v>질산제이수은</v>
          </cell>
          <cell r="D556" t="str">
            <v>97-1-140</v>
          </cell>
          <cell r="E556" t="str">
            <v>또는 그 화합물질과 수은 화합물질을 1% 이상 함유한 혼합물질. 다만 황화제이수은(Mercuric sulfide), 요오드화제일수은(Mercuric iodide), 오레인산수은(Mercuric oleate), 아미노염화제이수은(Amino mercury(II) chloride), 뇌산제이수은 (Mercury(II) fulminate) 및 그 중 하나를 함유한 혼합물질은 제외</v>
          </cell>
          <cell r="F556">
            <v>1</v>
          </cell>
          <cell r="G556" t="str">
            <v>- 건조하고 통풍이 잘되는 그늘 및 서늘한 곳에 열원, 아지드화물 등과 격리하여 밀폐 보관할 것
- 식료품, 사료, 의약품, 음식과 혼합저장 금지할 것
- 필요에 따라 국소배기장치 가동할 것
- 제일수은 염은 용기에 알루미늄 포일을 사용 금지할 것
- 상온에서 약간 휘발성을 띰(② Mercury chloride)할 것
- 유기물질이 존재하면 분해되어 염화제일수은을 거쳐 금속수은으로 분해됨(② Mercury chloride)할 것
- 빛에 민감하며 황색침전을 생성하며 분해될 수 있으므로 주의할 것(③ Mercury acetate)
- 빛에 민감하며 나무나 종이와 접촉하지 않도록 할 것(④ Mercury nitrate)
- 취급 또는 작업 시는 양압자급식호흡 보호구를 착용하고 고글형 보안경, 내화학성보호의, 고무(또는 네오프렌)재질의 장갑 및 고무장화 등을 착용하여 단기적인 접촉 및 반복적이고 장기적인 노출을 피할 것
- 작업 시에는 콘택트렌즈 착용금지할 것
- 작업장 부근에 비상시를 대비하여 샤워시설 및 세안시설을 갖출 것</v>
          </cell>
        </row>
        <row r="557">
          <cell r="B557" t="str">
            <v>10048-99-4</v>
          </cell>
          <cell r="C557" t="str">
            <v>수은화합물질</v>
          </cell>
          <cell r="D557" t="str">
            <v>97-1-140</v>
          </cell>
          <cell r="E557" t="str">
            <v>또는 그 화합물질과 수은 화합물질을 1% 이상 함유한 혼합물질. 다만 황화제이수은(Mercuric sulfide), 요오드화제일수은(Mercuric iodide), 오레인산수은(Mercuric oleate), 아미노염화제이수은(Amino mercury(II) chloride), 뇌산제이수은 (Mercury(II) fulminate) 및 그 중 하나를 함유한 혼합물질은 제외</v>
          </cell>
          <cell r="F557">
            <v>1</v>
          </cell>
          <cell r="G557" t="str">
            <v>- 건조하고 통풍이 잘되는 그늘 및 서늘한 곳에 열원, 아지드화물 등과 격리하여 밀폐 보관할 것
- 식료품, 사료, 의약품, 음식과 혼합저장 금지할 것
- 필요에 따라 국소배기장치 가동할 것
- 제일수은 염은 용기에 알루미늄 포일을 사용 금지할 것
- 상온에서 약간 휘발성을 띰(② Mercury chloride)할 것
- 유기물질이 존재하면 분해되어 염화제일수은을 거쳐 금속수은으로 분해됨(② Mercury chloride)할 것
- 빛에 민감하며 황색침전을 생성하며 분해될 수 있으므로 주의할 것(③ Mercury acetate)
- 빛에 민감하며 나무나 종이와 접촉하지 않도록 할 것(④ Mercury nitrate)
- 취급 또는 작업 시는 양압자급식호흡 보호구를 착용하고 고글형 보안경, 내화학성보호의, 고무(또는 네오프렌)재질의 장갑 및 고무장화 등을 착용하여 단기적인 접촉 및 반복적이고 장기적인 노출을 피할 것
- 작업 시에는 콘택트렌즈 착용금지할 것
- 작업장 부근에 비상시를 대비하여 샤워시설 및 세안시설을 갖출 것</v>
          </cell>
        </row>
        <row r="558">
          <cell r="B558" t="str">
            <v>10112-91-1</v>
          </cell>
          <cell r="C558" t="str">
            <v>염화수은</v>
          </cell>
          <cell r="D558" t="str">
            <v>97-1-140</v>
          </cell>
          <cell r="E558" t="str">
            <v>또는 그 화합물질과 수은 화합물질을 1% 이상 함유한 혼합물질. 다만 황화제이수은(Mercuric sulfide), 요오드화제일수은(Mercuric iodide), 오레인산수은(Mercuric oleate), 아미노염화제이수은(Amino mercury(II) chloride), 뇌산제이수은 (Mercury(II) fulminate) 및 그 중 하나를 함유한 혼합물질은 제외</v>
          </cell>
          <cell r="F558">
            <v>1</v>
          </cell>
          <cell r="G558" t="str">
            <v>- 건조하고 통풍이 잘되는 그늘 및 서늘한 곳에 열원, 아지드화물 등과 격리하여 밀폐 보관할 것
- 식료품, 사료, 의약품, 음식과 혼합저장 금지할 것
- 필요에 따라 국소배기장치 가동할 것
- 제일수은 염은 용기에 알루미늄 포일을 사용 금지할 것
- 상온에서 약간 휘발성을 띰(② Mercury chloride)할 것
- 유기물질이 존재하면 분해되어 염화제일수은을 거쳐 금속수은으로 분해됨(② Mercury chloride)할 것
- 빛에 민감하며 황색침전을 생성하며 분해될 수 있으므로 주의할 것(③ Mercury acetate)
- 빛에 민감하며 나무나 종이와 접촉하지 않도록 할 것(④ Mercury nitrate)
- 취급 또는 작업 시는 양압자급식호흡 보호구를 착용하고 고글형 보안경, 내화학성보호의, 고무(또는 네오프렌)재질의 장갑 및 고무장화 등을 착용하여 단기적인 접촉 및 반복적이고 장기적인 노출을 피할 것
- 작업 시에는 콘택트렌즈 착용금지할 것
- 작업장 부근에 비상시를 대비하여 샤워시설 및 세안시설을 갖출 것</v>
          </cell>
        </row>
        <row r="559">
          <cell r="B559" t="str">
            <v>102110-61-2</v>
          </cell>
          <cell r="C559" t="str">
            <v>수은화합물질</v>
          </cell>
          <cell r="D559" t="str">
            <v>97-1-140</v>
          </cell>
          <cell r="E559" t="str">
            <v>또는 그 화합물질과 수은 화합물질을 1% 이상 함유한 혼합물질. 다만 황화제이수은(Mercuric sulfide), 요오드화제일수은(Mercuric iodide), 오레인산수은(Mercuric oleate), 아미노염화제이수은(Amino mercury(II) chloride), 뇌산제이수은 (Mercury(II) fulminate) 및 그 중 하나를 함유한 혼합물질은 제외</v>
          </cell>
          <cell r="F559">
            <v>1</v>
          </cell>
          <cell r="G559" t="str">
            <v>- 건조하고 통풍이 잘되는 그늘 및 서늘한 곳에 열원, 아지드화물 등과 격리하여 밀폐 보관할 것
- 식료품, 사료, 의약품, 음식과 혼합저장 금지할 것
- 필요에 따라 국소배기장치 가동할 것
- 제일수은 염은 용기에 알루미늄 포일을 사용 금지할 것
- 상온에서 약간 휘발성을 띰(② Mercury chloride)할 것
- 유기물질이 존재하면 분해되어 염화제일수은을 거쳐 금속수은으로 분해됨(② Mercury chloride)할 것
- 빛에 민감하며 황색침전을 생성하며 분해될 수 있으므로 주의할 것(③ Mercury acetate)
- 빛에 민감하며 나무나 종이와 접촉하지 않도록 할 것(④ Mercury nitrate)
- 취급 또는 작업 시는 양압자급식호흡 보호구를 착용하고 고글형 보안경, 내화학성보호의, 고무(또는 네오프렌)재질의 장갑 및 고무장화 등을 착용하여 단기적인 접촉 및 반복적이고 장기적인 노출을 피할 것
- 작업 시에는 콘택트렌즈 착용금지할 것
- 작업장 부근에 비상시를 대비하여 샤워시설 및 세안시설을 갖출 것</v>
          </cell>
        </row>
        <row r="560">
          <cell r="B560" t="str">
            <v>10415-75-5</v>
          </cell>
          <cell r="C560" t="str">
            <v>질산제일수은</v>
          </cell>
          <cell r="D560" t="str">
            <v>97-1-140</v>
          </cell>
          <cell r="E560" t="str">
            <v>또는 그 화합물질과 수은 화합물질을 1% 이상 함유한 혼합물질. 다만 황화제이수은(Mercuric sulfide), 요오드화제일수은(Mercuric iodide), 오레인산수은(Mercuric oleate), 아미노염화제이수은(Amino mercury(II) chloride), 뇌산제이수은 (Mercury(II) fulminate) 및 그 중 하나를 함유한 혼합물질은 제외</v>
          </cell>
          <cell r="F560">
            <v>1</v>
          </cell>
          <cell r="G560" t="str">
            <v>- 건조하고 통풍이 잘되는 그늘 및 서늘한 곳에 열원, 아지드화물 등과 격리하여 밀폐 보관할 것
- 식료품, 사료, 의약품, 음식과 혼합저장 금지할 것
- 필요에 따라 국소배기장치 가동할 것
- 제일수은 염은 용기에 알루미늄 포일을 사용 금지할 것
- 상온에서 약간 휘발성을 띰(② Mercury chloride)할 것
- 유기물질이 존재하면 분해되어 염화제일수은을 거쳐 금속수은으로 분해됨(② Mercury chloride)할 것
- 빛에 민감하며 황색침전을 생성하며 분해될 수 있으므로 주의할 것(③ Mercury acetate)
- 빛에 민감하며 나무나 종이와 접촉하지 않도록 할 것(④ Mercury nitrate)
- 취급 또는 작업 시는 양압자급식호흡 보호구를 착용하고 고글형 보안경, 내화학성보호의, 고무(또는 네오프렌)재질의 장갑 및 고무장화 등을 착용하여 단기적인 접촉 및 반복적이고 장기적인 노출을 피할 것
- 작업 시에는 콘택트렌즈 착용금지할 것
- 작업장 부근에 비상시를 대비하여 샤워시설 및 세안시설을 갖출 것</v>
          </cell>
        </row>
        <row r="561">
          <cell r="B561" t="str">
            <v>115-09-3</v>
          </cell>
          <cell r="C561" t="str">
            <v>메틸수은클로라이드</v>
          </cell>
          <cell r="D561" t="str">
            <v>97-1-140</v>
          </cell>
          <cell r="E561" t="str">
            <v>또는 그 화합물질과 수은 화합물질을 1% 이상 함유한 혼합물질. 다만 황화제이수은(Mercuric sulfide), 요오드화제일수은(Mercuric iodide), 오레인산수은(Mercuric oleate), 아미노염화제이수은(Amino mercury(II) chloride), 뇌산제이수은 (Mercury(II) fulminate) 및 그 중 하나를 함유한 혼합물질은 제외</v>
          </cell>
          <cell r="F561">
            <v>1</v>
          </cell>
          <cell r="G561" t="str">
            <v>- 건조하고 통풍이 잘되는 그늘 및 서늘한 곳에 열원, 아지드화물 등과 격리하여 밀폐 보관할 것
- 식료품, 사료, 의약품, 음식과 혼합저장 금지할 것
- 필요에 따라 국소배기장치 가동할 것
- 제일수은 염은 용기에 알루미늄 포일을 사용 금지할 것
- 상온에서 약간 휘발성을 띰(② Mercury chloride)할 것
- 유기물질이 존재하면 분해되어 염화제일수은을 거쳐 금속수은으로 분해됨(② Mercury chloride)할 것
- 빛에 민감하며 황색침전을 생성하며 분해될 수 있으므로 주의할 것(③ Mercury acetate)
- 빛에 민감하며 나무나 종이와 접촉하지 않도록 할 것(④ Mercury nitrate)
- 취급 또는 작업 시는 양압자급식호흡 보호구를 착용하고 고글형 보안경, 내화학성보호의, 고무(또는 네오프렌)재질의 장갑 및 고무장화 등을 착용하여 단기적인 접촉 및 반복적이고 장기적인 노출을 피할 것
- 작업 시에는 콘택트렌즈 착용금지할 것
- 작업장 부근에 비상시를 대비하여 샤워시설 및 세안시설을 갖출 것</v>
          </cell>
        </row>
        <row r="562">
          <cell r="B562" t="str">
            <v>123-88-6</v>
          </cell>
          <cell r="D562" t="str">
            <v>97-1-140</v>
          </cell>
          <cell r="E562" t="str">
            <v>또는 그 화합물질과 수은 화합물질을 1% 이상 함유한 혼합물질. 다만 황화제이수은(Mercuric sulfide), 요오드화제일수은(Mercuric iodide), 오레인산수은(Mercuric oleate), 아미노염화제이수은(Amino mercury(II) chloride), 뇌산제이수은 (Mercury(II) fulminate) 및 그 중 하나를 함유한 혼합물질은 제외</v>
          </cell>
          <cell r="F562">
            <v>1</v>
          </cell>
          <cell r="G562" t="str">
            <v>- 건조하고 통풍이 잘되는 그늘 및 서늘한 곳에 열원, 아지드화물 등과 격리하여 밀폐 보관할 것
- 식료품, 사료, 의약품, 음식과 혼합저장 금지할 것
- 필요에 따라 국소배기장치 가동할 것
- 제일수은 염은 용기에 알루미늄 포일을 사용 금지할 것
- 상온에서 약간 휘발성을 띰(② Mercury chloride)할 것
- 유기물질이 존재하면 분해되어 염화제일수은을 거쳐 금속수은으로 분해됨(② Mercury chloride)할 것
- 빛에 민감하며 황색침전을 생성하며 분해될 수 있으므로 주의할 것(③ Mercury acetate)
- 빛에 민감하며 나무나 종이와 접촉하지 않도록 할 것(④ Mercury nitrate)
- 취급 또는 작업 시는 양압자급식호흡 보호구를 착용하고 고글형 보안경, 내화학성보호의, 고무(또는 네오프렌)재질의 장갑 및 고무장화 등을 착용하여 단기적인 접촉 및 반복적이고 장기적인 노출을 피할 것
- 작업 시에는 콘택트렌즈 착용금지할 것
- 작업장 부근에 비상시를 대비하여 샤워시설 및 세안시설을 갖출 것</v>
          </cell>
        </row>
        <row r="563">
          <cell r="B563" t="str">
            <v>12344-40-0</v>
          </cell>
          <cell r="C563" t="str">
            <v>수은화합물</v>
          </cell>
          <cell r="D563" t="str">
            <v>97-1-140</v>
          </cell>
          <cell r="E563" t="str">
            <v>또는 그 화합물질과 수은 화합물질을 1% 이상 함유한 혼합물질. 다만 황화제이수은(Mercuric sulfide), 요오드화제일수은(Mercuric iodide), 오레인산수은(Mercuric oleate), 아미노염화제이수은(Amino mercury(II) chloride), 뇌산제이수은 (Mercury(II) fulminate) 및 그 중 하나를 함유한 혼합물질은 제외</v>
          </cell>
          <cell r="F563">
            <v>1</v>
          </cell>
          <cell r="G563" t="str">
            <v>- 건조하고 통풍이 잘되는 그늘 및 서늘한 곳에 열원, 아지드화물 등과 격리하여 밀폐 보관할 것
- 식료품, 사료, 의약품, 음식과 혼합저장 금지할 것
- 필요에 따라 국소배기장치 가동할 것
- 제일수은 염은 용기에 알루미늄 포일을 사용 금지할 것
- 상온에서 약간 휘발성을 띰(② Mercury chloride)할 것
- 유기물질이 존재하면 분해되어 염화제일수은을 거쳐 금속수은으로 분해됨(② Mercury chloride)할 것
- 빛에 민감하며 황색침전을 생성하며 분해될 수 있으므로 주의할 것(③ Mercury acetate)
- 빛에 민감하며 나무나 종이와 접촉하지 않도록 할 것(④ Mercury nitrate)
- 취급 또는 작업 시는 양압자급식호흡 보호구를 착용하고 고글형 보안경, 내화학성보호의, 고무(또는 네오프렌)재질의 장갑 및 고무장화 등을 착용하여 단기적인 접촉 및 반복적이고 장기적인 노출을 피할 것
- 작업 시에는 콘택트렌즈 착용금지할 것
- 작업장 부근에 비상시를 대비하여 샤워시설 및 세안시설을 갖출 것</v>
          </cell>
        </row>
        <row r="564">
          <cell r="B564" t="str">
            <v>13222-52-1</v>
          </cell>
          <cell r="C564" t="str">
            <v>수은화합물질</v>
          </cell>
          <cell r="D564" t="str">
            <v>97-1-140</v>
          </cell>
          <cell r="E564" t="str">
            <v>또는 그 화합물질과 수은 화합물질을 1% 이상 함유한 혼합물질. 다만 황화제이수은(Mercuric sulfide), 요오드화제일수은(Mercuric iodide), 오레인산수은(Mercuric oleate), 아미노염화제이수은(Amino mercury(II) chloride), 뇌산제이수은 (Mercury(II) fulminate) 및 그 중 하나를 함유한 혼합물질은 제외</v>
          </cell>
          <cell r="F564">
            <v>1</v>
          </cell>
          <cell r="G564" t="str">
            <v>- 건조하고 통풍이 잘되는 그늘 및 서늘한 곳에 열원, 아지드화물 등과 격리하여 밀폐 보관할 것
- 식료품, 사료, 의약품, 음식과 혼합저장 금지할 것
- 필요에 따라 국소배기장치 가동할 것
- 제일수은 염은 용기에 알루미늄 포일을 사용 금지할 것
- 상온에서 약간 휘발성을 띰(② Mercury chloride)할 것
- 유기물질이 존재하면 분해되어 염화제일수은을 거쳐 금속수은으로 분해됨(② Mercury chloride)할 것
- 빛에 민감하며 황색침전을 생성하며 분해될 수 있으므로 주의할 것(③ Mercury acetate)
- 빛에 민감하며 나무나 종이와 접촉하지 않도록 할 것(④ Mercury nitrate)
- 취급 또는 작업 시는 양압자급식호흡 보호구를 착용하고 고글형 보안경, 내화학성보호의, 고무(또는 네오프렌)재질의 장갑 및 고무장화 등을 착용하여 단기적인 접촉 및 반복적이고 장기적인 노출을 피할 것
- 작업 시에는 콘택트렌즈 착용금지할 것
- 작업장 부근에 비상시를 대비하여 샤워시설 및 세안시설을 갖출 것</v>
          </cell>
        </row>
        <row r="565">
          <cell r="B565" t="str">
            <v>1345-09-1</v>
          </cell>
          <cell r="C565" t="str">
            <v>카드뮴수은황화물</v>
          </cell>
          <cell r="D565" t="str">
            <v>97-1-140</v>
          </cell>
          <cell r="E565" t="str">
            <v>또는 그 화합물질과 수은 화합물질을 1% 이상 함유한 혼합물질. 다만 황화제이수은(Mercuric sulfide), 요오드화제일수은(Mercuric iodide), 오레인산수은(Mercuric oleate), 아미노염화제이수은(Amino mercury(II) chloride), 뇌산제이수은 (Mercury(II) fulminate) 및 그 중 하나를 함유한 혼합물질은 제외</v>
          </cell>
          <cell r="F565">
            <v>1</v>
          </cell>
          <cell r="G565" t="str">
            <v>- 건조하고 통풍이 잘되는 그늘 및 서늘한 곳에 열원, 아지드화물 등과 격리하여 밀폐 보관할 것
- 식료품, 사료, 의약품, 음식과 혼합저장 금지할 것
- 필요에 따라 국소배기장치 가동할 것
- 제일수은 염은 용기에 알루미늄 포일을 사용 금지할 것
- 상온에서 약간 휘발성을 띰(② Mercury chloride)할 것
- 유기물질이 존재하면 분해되어 염화제일수은을 거쳐 금속수은으로 분해됨(② Mercury chloride)할 것
- 빛에 민감하며 황색침전을 생성하며 분해될 수 있으므로 주의할 것(③ Mercury acetate)
- 빛에 민감하며 나무나 종이와 접촉하지 않도록 할 것(④ Mercury nitrate)
- 취급 또는 작업 시는 양압자급식호흡 보호구를 착용하고 고글형 보안경, 내화학성보호의, 고무(또는 네오프렌)재질의 장갑 및 고무장화 등을 착용하여 단기적인 접촉 및 반복적이고 장기적인 노출을 피할 것
- 작업 시에는 콘택트렌즈 착용금지할 것
- 작업장 부근에 비상시를 대비하여 샤워시설 및 세안시설을 갖출 것</v>
          </cell>
        </row>
        <row r="566">
          <cell r="B566" t="str">
            <v>13465-33-3</v>
          </cell>
          <cell r="C566" t="str">
            <v>수은브로메이트</v>
          </cell>
          <cell r="D566" t="str">
            <v>97-1-140</v>
          </cell>
          <cell r="E566" t="str">
            <v>또는 그 화합물질과 수은 화합물질을 1% 이상 함유한 혼합물질. 다만 황화제이수은(Mercuric sulfide), 요오드화제일수은(Mercuric iodide), 오레인산수은(Mercuric oleate), 아미노염화제이수은(Amino mercury(II) chloride), 뇌산제이수은 (Mercury(II) fulminate) 및 그 중 하나를 함유한 혼합물질은 제외</v>
          </cell>
          <cell r="F566">
            <v>1</v>
          </cell>
          <cell r="G566" t="str">
            <v>- 건조하고 통풍이 잘되는 그늘 및 서늘한 곳에 열원, 아지드화물 등과 격리하여 밀폐 보관할 것
- 식료품, 사료, 의약품, 음식과 혼합저장 금지할 것
- 필요에 따라 국소배기장치 가동할 것
- 제일수은 염은 용기에 알루미늄 포일을 사용 금지할 것
- 상온에서 약간 휘발성을 띰(② Mercury chloride)할 것
- 유기물질이 존재하면 분해되어 염화제일수은을 거쳐 금속수은으로 분해됨(② Mercury chloride)할 것
- 빛에 민감하며 황색침전을 생성하며 분해될 수 있으므로 주의할 것(③ Mercury acetate)
- 빛에 민감하며 나무나 종이와 접촉하지 않도록 할 것(④ Mercury nitrate)
- 취급 또는 작업 시는 양압자급식호흡 보호구를 착용하고 고글형 보안경, 내화학성보호의, 고무(또는 네오프렌)재질의 장갑 및 고무장화 등을 착용하여 단기적인 접촉 및 반복적이고 장기적인 노출을 피할 것
- 작업 시에는 콘택트렌즈 착용금지할 것
- 작업장 부근에 비상시를 대비하여 샤워시설 및 세안시설을 갖출 것</v>
          </cell>
        </row>
        <row r="567">
          <cell r="B567" t="str">
            <v>14836-60-3</v>
          </cell>
          <cell r="C567" t="str">
            <v>질산수은염수화물</v>
          </cell>
          <cell r="D567" t="str">
            <v>97-1-140</v>
          </cell>
          <cell r="E567" t="str">
            <v>또는 그 화합물질과 수은 화합물질을 1% 이상 함유한 혼합물질. 다만 황화제이수은(Mercuric sulfide), 요오드화제일수은(Mercuric iodide), 오레인산수은(Mercuric oleate), 아미노염화제이수은(Amino mercury(II) chloride), 뇌산제이수은 (Mercury(II) fulminate) 및 그 중 하나를 함유한 혼합물질은 제외</v>
          </cell>
          <cell r="F567">
            <v>1</v>
          </cell>
          <cell r="G567" t="str">
            <v>- 건조하고 통풍이 잘되는 그늘 및 서늘한 곳에 열원, 아지드화물 등과 격리하여 밀폐 보관할 것
- 식료품, 사료, 의약품, 음식과 혼합저장 금지할 것
- 필요에 따라 국소배기장치 가동할 것
- 제일수은 염은 용기에 알루미늄 포일을 사용 금지할 것
- 상온에서 약간 휘발성을 띰(② Mercury chloride)할 것
- 유기물질이 존재하면 분해되어 염화제일수은을 거쳐 금속수은으로 분해됨(② Mercury chloride)할 것
- 빛에 민감하며 황색침전을 생성하며 분해될 수 있으므로 주의할 것(③ Mercury acetate)
- 빛에 민감하며 나무나 종이와 접촉하지 않도록 할 것(④ Mercury nitrate)
- 취급 또는 작업 시는 양압자급식호흡 보호구를 착용하고 고글형 보안경, 내화학성보호의, 고무(또는 네오프렌)재질의 장갑 및 고무장화 등을 착용하여 단기적인 접촉 및 반복적이고 장기적인 노출을 피할 것
- 작업 시에는 콘택트렌즈 착용금지할 것
- 작업장 부근에 비상시를 대비하여 샤워시설 및 세안시설을 갖출 것</v>
          </cell>
        </row>
        <row r="568">
          <cell r="B568" t="str">
            <v>15385-58-7</v>
          </cell>
          <cell r="C568" t="str">
            <v>수은브로마이트</v>
          </cell>
          <cell r="D568" t="str">
            <v>97-1-140</v>
          </cell>
          <cell r="E568" t="str">
            <v>또는 그 화합물질과 수은 화합물질을 1% 이상 함유한 혼합물질. 다만 황화제이수은(Mercuric sulfide), 요오드화제일수은(Mercuric iodide), 오레인산수은(Mercuric oleate), 아미노염화제이수은(Amino mercury(II) chloride), 뇌산제이수은 (Mercury(II) fulminate) 및 그 중 하나를 함유한 혼합물질은 제외</v>
          </cell>
          <cell r="F568">
            <v>1</v>
          </cell>
          <cell r="G568" t="str">
            <v>- 건조하고 통풍이 잘되는 그늘 및 서늘한 곳에 열원, 아지드화물 등과 격리하여 밀폐 보관할 것
- 식료품, 사료, 의약품, 음식과 혼합저장 금지할 것
- 필요에 따라 국소배기장치 가동할 것
- 제일수은 염은 용기에 알루미늄 포일을 사용 금지할 것
- 상온에서 약간 휘발성을 띰(② Mercury chloride)할 것
- 유기물질이 존재하면 분해되어 염화제일수은을 거쳐 금속수은으로 분해됨(② Mercury chloride)할 것
- 빛에 민감하며 황색침전을 생성하며 분해될 수 있으므로 주의할 것(③ Mercury acetate)
- 빛에 민감하며 나무나 종이와 접촉하지 않도록 할 것(④ Mercury nitrate)
- 취급 또는 작업 시는 양압자급식호흡 보호구를 착용하고 고글형 보안경, 내화학성보호의, 고무(또는 네오프렌)재질의 장갑 및 고무장화 등을 착용하여 단기적인 접촉 및 반복적이고 장기적인 노출을 피할 것
- 작업 시에는 콘택트렌즈 착용금지할 것
- 작업장 부근에 비상시를 대비하여 샤워시설 및 세안시설을 갖출 것</v>
          </cell>
        </row>
        <row r="569">
          <cell r="B569" t="str">
            <v>15829-53-5</v>
          </cell>
          <cell r="C569" t="str">
            <v>수은산화물</v>
          </cell>
          <cell r="D569" t="str">
            <v>97-1-140</v>
          </cell>
          <cell r="E569" t="str">
            <v>또는 그 화합물질과 수은 화합물질을 1% 이상 함유한 혼합물질. 다만 황화제이수은(Mercuric sulfide), 요오드화제일수은(Mercuric iodide), 오레인산수은(Mercuric oleate), 아미노염화제이수은(Amino mercury(II) chloride), 뇌산제이수은 (Mercury(II) fulminate) 및 그 중 하나를 함유한 혼합물질은 제외</v>
          </cell>
          <cell r="F569">
            <v>1</v>
          </cell>
          <cell r="G569" t="str">
            <v>- 건조하고 통풍이 잘되는 그늘 및 서늘한 곳에 열원, 아지드화물 등과 격리하여 밀폐 보관할 것
- 식료품, 사료, 의약품, 음식과 혼합저장 금지할 것
- 필요에 따라 국소배기장치 가동할 것
- 제일수은 염은 용기에 알루미늄 포일을 사용 금지할 것
- 상온에서 약간 휘발성을 띰(② Mercury chloride)할 것
- 유기물질이 존재하면 분해되어 염화제일수은을 거쳐 금속수은으로 분해됨(② Mercury chloride)할 것
- 빛에 민감하며 황색침전을 생성하며 분해될 수 있으므로 주의할 것(③ Mercury acetate)
- 빛에 민감하며 나무나 종이와 접촉하지 않도록 할 것(④ Mercury nitrate)
- 취급 또는 작업 시는 양압자급식호흡 보호구를 착용하고 고글형 보안경, 내화학성보호의, 고무(또는 네오프렌)재질의 장갑 및 고무장화 등을 착용하여 단기적인 접촉 및 반복적이고 장기적인 노출을 피할 것
- 작업 시에는 콘택트렌즈 착용금지할 것
- 작업장 부근에 비상시를 대비하여 샤워시설 및 세안시설을 갖출 것</v>
          </cell>
        </row>
        <row r="570">
          <cell r="B570" t="str">
            <v>1600-27-7</v>
          </cell>
          <cell r="C570" t="str">
            <v>초산수은(II)</v>
          </cell>
          <cell r="D570" t="str">
            <v>97-1-140</v>
          </cell>
          <cell r="E570" t="str">
            <v>또는 그 화합물질과 수은 화합물질을 1% 이상 함유한 혼합물질. 다만 황화제이수은(Mercuric sulfide), 요오드화제일수은(Mercuric iodide), 오레인산수은(Mercuric oleate), 아미노염화제이수은(Amino mercury(II) chloride), 뇌산제이수은 (Mercury(II) fulminate) 및 그 중 하나를 함유한 혼합물질은 제외</v>
          </cell>
          <cell r="F570">
            <v>1</v>
          </cell>
          <cell r="G570" t="str">
            <v>- 건조하고 통풍이 잘되는 그늘 및 서늘한 곳에 열원, 아지드화물 등과 격리하여 밀폐 보관할 것
- 식료품, 사료, 의약품, 음식과 혼합저장 금지할 것
- 필요에 따라 국소배기장치 가동할 것
- 제일수은 염은 용기에 알루미늄 포일을 사용 금지할 것
- 상온에서 약간 휘발성을 띰(② Mercury chloride)할 것
- 유기물질이 존재하면 분해되어 염화제일수은을 거쳐 금속수은으로 분해됨(② Mercury chloride)할 것
- 빛에 민감하며 황색침전을 생성하며 분해될 수 있으므로 주의할 것(③ Mercury acetate)
- 빛에 민감하며 나무나 종이와 접촉하지 않도록 할 것(④ Mercury nitrate)
- 취급 또는 작업 시는 양압자급식호흡 보호구를 착용하고 고글형 보안경, 내화학성보호의, 고무(또는 네오프렌)재질의 장갑 및 고무장화 등을 착용하여 단기적인 접촉 및 반복적이고 장기적인 노출을 피할 것
- 작업 시에는 콘택트렌즈 착용금지할 것
- 작업장 부근에 비상시를 대비하여 샤워시설 및 세안시설을 갖출 것</v>
          </cell>
        </row>
        <row r="571">
          <cell r="B571" t="str">
            <v>21908-53-2</v>
          </cell>
          <cell r="C571" t="str">
            <v>산화제2수은</v>
          </cell>
          <cell r="D571" t="str">
            <v>97-1-140</v>
          </cell>
          <cell r="E571" t="str">
            <v>또는 그 화합물질과 수은 화합물질을 1% 이상 함유한 혼합물질. 다만 황화제이수은(Mercuric sulfide), 요오드화제일수은(Mercuric iodide), 오레인산수은(Mercuric oleate), 아미노염화제이수은(Amino mercury(II) chloride), 뇌산제이수은 (Mercury(II) fulminate) 및 그 중 하나를 함유한 혼합물질은 제외</v>
          </cell>
          <cell r="F571">
            <v>1</v>
          </cell>
          <cell r="G571" t="str">
            <v>- 건조하고 통풍이 잘되는 그늘 및 서늘한 곳에 열원, 아지드화물 등과 격리하여 밀폐 보관할 것
- 식료품, 사료, 의약품, 음식과 혼합저장 금지할 것
- 필요에 따라 국소배기장치 가동할 것
- 제일수은 염은 용기에 알루미늄 포일을 사용 금지할 것
- 상온에서 약간 휘발성을 띰(② Mercury chloride)할 것
- 유기물질이 존재하면 분해되어 염화제일수은을 거쳐 금속수은으로 분해됨(② Mercury chloride)할 것
- 빛에 민감하며 황색침전을 생성하며 분해될 수 있으므로 주의할 것(③ Mercury acetate)
- 빛에 민감하며 나무나 종이와 접촉하지 않도록 할 것(④ Mercury nitrate)
- 취급 또는 작업 시는 양압자급식호흡 보호구를 착용하고 고글형 보안경, 내화학성보호의, 고무(또는 네오프렌)재질의 장갑 및 고무장화 등을 착용하여 단기적인 접촉 및 반복적이고 장기적인 노출을 피할 것
- 작업 시에는 콘택트렌즈 착용금지할 것
- 작업장 부근에 비상시를 대비하여 샤워시설 및 세안시설을 갖출 것</v>
          </cell>
        </row>
        <row r="572">
          <cell r="B572" t="str">
            <v>26545-49-3</v>
          </cell>
          <cell r="C572" t="str">
            <v>페닐수은네오데칸산염</v>
          </cell>
          <cell r="D572" t="str">
            <v>97-1-140</v>
          </cell>
          <cell r="E572" t="str">
            <v>또는 그 화합물질과 수은 화합물질을 1% 이상 함유한 혼합물질. 다만 황화제이수은(Mercuric sulfide), 요오드화제일수은(Mercuric iodide), 오레인산수은(Mercuric oleate), 아미노염화제이수은(Amino mercury(II) chloride), 뇌산제이수은 (Mercury(II) fulminate) 및 그 중 하나를 함유한 혼합물질은 제외</v>
          </cell>
          <cell r="F572">
            <v>1</v>
          </cell>
          <cell r="G572" t="str">
            <v>- 건조하고 통풍이 잘되는 그늘 및 서늘한 곳에 열원, 아지드화물 등과 격리하여 밀폐 보관할 것
- 식료품, 사료, 의약품, 음식과 혼합저장 금지할 것
- 필요에 따라 국소배기장치 가동할 것
- 제일수은 염은 용기에 알루미늄 포일을 사용 금지할 것
- 상온에서 약간 휘발성을 띰(② Mercury chloride)할 것
- 유기물질이 존재하면 분해되어 염화제일수은을 거쳐 금속수은으로 분해됨(② Mercury chloride)할 것
- 빛에 민감하며 황색침전을 생성하며 분해될 수 있으므로 주의할 것(③ Mercury acetate)
- 빛에 민감하며 나무나 종이와 접촉하지 않도록 할 것(④ Mercury nitrate)
- 취급 또는 작업 시는 양압자급식호흡 보호구를 착용하고 고글형 보안경, 내화학성보호의, 고무(또는 네오프렌)재질의 장갑 및 고무장화 등을 착용하여 단기적인 접촉 및 반복적이고 장기적인 노출을 피할 것
- 작업 시에는 콘택트렌즈 착용금지할 것
- 작업장 부근에 비상시를 대비하여 샤워시설 및 세안시설을 갖출 것</v>
          </cell>
        </row>
        <row r="573">
          <cell r="B573" t="str">
            <v>54-64-8</v>
          </cell>
          <cell r="C573" t="str">
            <v>티메로살</v>
          </cell>
          <cell r="D573" t="str">
            <v>97-1-140</v>
          </cell>
          <cell r="E573" t="str">
            <v>또는 그 화합물질과 수은 화합물질을 1% 이상 함유한 혼합물질. 다만 황화제이수은(Mercuric sulfide), 요오드화제일수은(Mercuric iodide), 오레인산수은(Mercuric oleate), 아미노염화제이수은(Amino mercury(II) chloride), 뇌산제이수은 (Mercury(II) fulminate) 및 그 중 하나를 함유한 혼합물질은 제외</v>
          </cell>
          <cell r="F573">
            <v>1</v>
          </cell>
          <cell r="G573" t="str">
            <v>- 건조하고 통풍이 잘되는 그늘 및 서늘한 곳에 열원, 아지드화물 등과 격리하여 밀폐 보관할 것
- 식료품, 사료, 의약품, 음식과 혼합저장 금지할 것
- 필요에 따라 국소배기장치 가동할 것
- 제일수은 염은 용기에 알루미늄 포일을 사용 금지할 것
- 상온에서 약간 휘발성을 띰(② Mercury chloride)할 것
- 유기물질이 존재하면 분해되어 염화제일수은을 거쳐 금속수은으로 분해됨(② Mercury chloride)할 것
- 빛에 민감하며 황색침전을 생성하며 분해될 수 있으므로 주의할 것(③ Mercury acetate)
- 빛에 민감하며 나무나 종이와 접촉하지 않도록 할 것(④ Mercury nitrate)
- 취급 또는 작업 시는 양압자급식호흡 보호구를 착용하고 고글형 보안경, 내화학성보호의, 고무(또는 네오프렌)재질의 장갑 및 고무장화 등을 착용하여 단기적인 접촉 및 반복적이고 장기적인 노출을 피할 것
- 작업 시에는 콘택트렌즈 착용금지할 것
- 작업장 부근에 비상시를 대비하여 샤워시설 및 세안시설을 갖출 것</v>
          </cell>
        </row>
        <row r="574">
          <cell r="B574" t="str">
            <v>55-68-5</v>
          </cell>
          <cell r="D574" t="str">
            <v>97-1-140</v>
          </cell>
          <cell r="E574" t="str">
            <v>또는 그 화합물질과 수은 화합물질을 1% 이상 함유한 혼합물질. 다만 황화제이수은(Mercuric sulfide), 요오드화제일수은(Mercuric iodide), 오레인산수은(Mercuric oleate), 아미노염화제이수은(Amino mercury(II) chloride), 뇌산제이수은 (Mercury(II) fulminate) 및 그 중 하나를 함유한 혼합물질은 제외</v>
          </cell>
          <cell r="F574">
            <v>1</v>
          </cell>
          <cell r="G574" t="str">
            <v>- 건조하고 통풍이 잘되는 그늘 및 서늘한 곳에 열원, 아지드화물 등과 격리하여 밀폐 보관할 것
- 식료품, 사료, 의약품, 음식과 혼합저장 금지할 것
- 필요에 따라 국소배기장치 가동할 것
- 제일수은 염은 용기에 알루미늄 포일을 사용 금지할 것
- 상온에서 약간 휘발성을 띰(② Mercury chloride)할 것
- 유기물질이 존재하면 분해되어 염화제일수은을 거쳐 금속수은으로 분해됨(② Mercury chloride)할 것
- 빛에 민감하며 황색침전을 생성하며 분해될 수 있으므로 주의할 것(③ Mercury acetate)
- 빛에 민감하며 나무나 종이와 접촉하지 않도록 할 것(④ Mercury nitrate)
- 취급 또는 작업 시는 양압자급식호흡 보호구를 착용하고 고글형 보안경, 내화학성보호의, 고무(또는 네오프렌)재질의 장갑 및 고무장화 등을 착용하여 단기적인 접촉 및 반복적이고 장기적인 노출을 피할 것
- 작업 시에는 콘택트렌즈 착용금지할 것
- 작업장 부근에 비상시를 대비하여 샤워시설 및 세안시설을 갖출 것</v>
          </cell>
        </row>
        <row r="575">
          <cell r="B575" t="str">
            <v>592-04-1</v>
          </cell>
          <cell r="C575" t="str">
            <v>시안화수은</v>
          </cell>
          <cell r="D575" t="str">
            <v>97-1-140</v>
          </cell>
          <cell r="E575" t="str">
            <v>또는 그 화합물질과 수은 화합물질을 1% 이상 함유한 혼합물질. 다만 황화제이수은(Mercuric sulfide), 요오드화제일수은(Mercuric iodide), 오레인산수은(Mercuric oleate), 아미노염화제이수은(Amino mercury(II) chloride), 뇌산제이수은 (Mercury(II) fulminate) 및 그 중 하나를 함유한 혼합물질은 제외</v>
          </cell>
          <cell r="F575">
            <v>1</v>
          </cell>
          <cell r="G575" t="str">
            <v>- 건조하고 통풍이 잘되는 그늘 및 서늘한 곳에 열원, 아지드화물 등과 격리하여 밀폐 보관할 것
- 식료품, 사료, 의약품, 음식과 혼합저장 금지할 것
- 필요에 따라 국소배기장치 가동할 것
- 제일수은 염은 용기에 알루미늄 포일을 사용 금지할 것
- 상온에서 약간 휘발성을 띰(② Mercury chloride)할 것
- 유기물질이 존재하면 분해되어 염화제일수은을 거쳐 금속수은으로 분해됨(② Mercury chloride)할 것
- 빛에 민감하며 황색침전을 생성하며 분해될 수 있으므로 주의할 것(③ Mercury acetate)
- 빛에 민감하며 나무나 종이와 접촉하지 않도록 할 것(④ Mercury nitrate)
- 취급 또는 작업 시는 양압자급식호흡 보호구를 착용하고 고글형 보안경, 내화학성보호의, 고무(또는 네오프렌)재질의 장갑 및 고무장화 등을 착용하여 단기적인 접촉 및 반복적이고 장기적인 노출을 피할 것
- 작업 시에는 콘택트렌즈 착용금지할 것
- 작업장 부근에 비상시를 대비하여 샤워시설 및 세안시설을 갖출 것</v>
          </cell>
        </row>
        <row r="576">
          <cell r="B576" t="str">
            <v>592-85-8</v>
          </cell>
          <cell r="C576" t="str">
            <v>티오시안산수은(II)</v>
          </cell>
          <cell r="D576" t="str">
            <v>97-1-140</v>
          </cell>
          <cell r="E576" t="str">
            <v>또는 그 화합물질과 수은 화합물질을 1% 이상 함유한 혼합물질. 다만 황화제이수은(Mercuric sulfide), 요오드화제일수은(Mercuric iodide), 오레인산수은(Mercuric oleate), 아미노염화제이수은(Amino mercury(II) chloride), 뇌산제이수은 (Mercury(II) fulminate) 및 그 중 하나를 함유한 혼합물질은 제외</v>
          </cell>
          <cell r="F576">
            <v>1</v>
          </cell>
          <cell r="G576" t="str">
            <v>- 건조하고 통풍이 잘되는 그늘 및 서늘한 곳에 열원, 아지드화물 등과 격리하여 밀폐 보관할 것
- 식료품, 사료, 의약품, 음식과 혼합저장 금지할 것
- 필요에 따라 국소배기장치 가동할 것
- 제일수은 염은 용기에 알루미늄 포일을 사용 금지할 것
- 상온에서 약간 휘발성을 띰(② Mercury chloride)할 것
- 유기물질이 존재하면 분해되어 염화제일수은을 거쳐 금속수은으로 분해됨(② Mercury chloride)할 것
- 빛에 민감하며 황색침전을 생성하며 분해될 수 있으므로 주의할 것(③ Mercury acetate)
- 빛에 민감하며 나무나 종이와 접촉하지 않도록 할 것(④ Mercury nitrate)
- 취급 또는 작업 시는 양압자급식호흡 보호구를 착용하고 고글형 보안경, 내화학성보호의, 고무(또는 네오프렌)재질의 장갑 및 고무장화 등을 착용하여 단기적인 접촉 및 반복적이고 장기적인 노출을 피할 것
- 작업 시에는 콘택트렌즈 착용금지할 것
- 작업장 부근에 비상시를 대비하여 샤워시설 및 세안시설을 갖출 것</v>
          </cell>
        </row>
        <row r="577">
          <cell r="B577" t="str">
            <v>62-38-4</v>
          </cell>
          <cell r="C577" t="str">
            <v>아세트산 페닐수은</v>
          </cell>
          <cell r="D577" t="str">
            <v>97-1-140</v>
          </cell>
          <cell r="E577" t="str">
            <v>또는 그 화합물질과 수은 화합물질을 1% 이상 함유한 혼합물질. 다만 황화제이수은(Mercuric sulfide), 요오드화제일수은(Mercuric iodide), 오레인산수은(Mercuric oleate), 아미노염화제이수은(Amino mercury(II) chloride), 뇌산제이수은 (Mercury(II) fulminate) 및 그 중 하나를 함유한 혼합물질은 제외</v>
          </cell>
          <cell r="F577">
            <v>1</v>
          </cell>
          <cell r="G577" t="str">
            <v>- 건조하고 통풍이 잘되는 그늘 및 서늘한 곳에 열원, 아지드화물 등과 격리하여 밀폐 보관할 것
- 식료품, 사료, 의약품, 음식과 혼합저장 금지할 것
- 필요에 따라 국소배기장치 가동할 것
- 제일수은 염은 용기에 알루미늄 포일을 사용 금지할 것
- 상온에서 약간 휘발성을 띰(② Mercury chloride)할 것
- 유기물질이 존재하면 분해되어 염화제일수은을 거쳐 금속수은으로 분해됨(② Mercury chloride)할 것
- 빛에 민감하며 황색침전을 생성하며 분해될 수 있으므로 주의할 것(③ Mercury acetate)
- 빛에 민감하며 나무나 종이와 접촉하지 않도록 할 것(④ Mercury nitrate)
- 취급 또는 작업 시는 양압자급식호흡 보호구를 착용하고 고글형 보안경, 내화학성보호의, 고무(또는 네오프렌)재질의 장갑 및 고무장화 등을 착용하여 단기적인 접촉 및 반복적이고 장기적인 노출을 피할 것
- 작업 시에는 콘택트렌즈 착용금지할 것
- 작업장 부근에 비상시를 대비하여 샤워시설 및 세안시설을 갖출 것</v>
          </cell>
        </row>
        <row r="578">
          <cell r="B578" t="str">
            <v>631-60-7</v>
          </cell>
          <cell r="C578" t="str">
            <v>수은(I)아세트산</v>
          </cell>
          <cell r="D578" t="str">
            <v>97-1-140</v>
          </cell>
          <cell r="E578" t="str">
            <v>또는 그 화합물질과 수은 화합물질을 1% 이상 함유한 혼합물질. 다만 황화제이수은(Mercuric sulfide), 요오드화제일수은(Mercuric iodide), 오레인산수은(Mercuric oleate), 아미노염화제이수은(Amino mercury(II) chloride), 뇌산제이수은 (Mercury(II) fulminate) 및 그 중 하나를 함유한 혼합물질은 제외</v>
          </cell>
          <cell r="F578">
            <v>1</v>
          </cell>
          <cell r="G578" t="str">
            <v>- 건조하고 통풍이 잘되는 그늘 및 서늘한 곳에 열원, 아지드화물 등과 격리하여 밀폐 보관할 것
- 식료품, 사료, 의약품, 음식과 혼합저장 금지할 것
- 필요에 따라 국소배기장치 가동할 것
- 제일수은 염은 용기에 알루미늄 포일을 사용 금지할 것
- 상온에서 약간 휘발성을 띰(② Mercury chloride)할 것
- 유기물질이 존재하면 분해되어 염화제일수은을 거쳐 금속수은으로 분해됨(② Mercury chloride)할 것
- 빛에 민감하며 황색침전을 생성하며 분해될 수 있으므로 주의할 것(③ Mercury acetate)
- 빛에 민감하며 나무나 종이와 접촉하지 않도록 할 것(④ Mercury nitrate)
- 취급 또는 작업 시는 양압자급식호흡 보호구를 착용하고 고글형 보안경, 내화학성보호의, 고무(또는 네오프렌)재질의 장갑 및 고무장화 등을 착용하여 단기적인 접촉 및 반복적이고 장기적인 노출을 피할 것
- 작업 시에는 콘택트렌즈 착용금지할 것
- 작업장 부근에 비상시를 대비하여 샤워시설 및 세안시설을 갖출 것</v>
          </cell>
        </row>
        <row r="579">
          <cell r="B579" t="str">
            <v>7439-97-6</v>
          </cell>
          <cell r="C579" t="str">
            <v>수은</v>
          </cell>
          <cell r="D579" t="str">
            <v>97-1-140</v>
          </cell>
          <cell r="E579" t="str">
            <v>또는 그 화합물질과 수은 화합물질을 1% 이상 함유한 혼합물질. 다만 황화제이수은(Mercuric sulfide), 요오드화제일수은(Mercuric iodide), 오레인산수은(Mercuric oleate), 아미노염화제이수은(Amino mercury(II) chloride), 뇌산제이수은 (Mercury(II) fulminate) 및 그 중 하나를 함유한 혼합물질은 제외</v>
          </cell>
          <cell r="F579">
            <v>1</v>
          </cell>
          <cell r="G579" t="str">
            <v>- 건조하고 통풍이 잘되는 그늘 및 서늘한 곳에 열원, 아지드화물 등과 격리하여 밀폐 보관할 것
- 식료품, 사료, 의약품, 음식과 혼합저장 금지할 것
- 필요에 따라 국소배기장치 가동할 것
- 제일수은 염은 용기에 알루미늄 포일을 사용 금지할 것
- 상온에서 약간 휘발성을 띰(② Mercury chloride)할 것
- 유기물질이 존재하면 분해되어 염화제일수은을 거쳐 금속수은으로 분해됨(② Mercury chloride)할 것
- 빛에 민감하며 황색침전을 생성하며 분해될 수 있으므로 주의할 것(③ Mercury acetate)
- 빛에 민감하며 나무나 종이와 접촉하지 않도록 할 것(④ Mercury nitrate)
- 취급 또는 작업 시는 양압자급식호흡 보호구를 착용하고 고글형 보안경, 내화학성보호의, 고무(또는 네오프렌)재질의 장갑 및 고무장화 등을 착용하여 단기적인 접촉 및 반복적이고 장기적인 노출을 피할 것
- 작업 시에는 콘택트렌즈 착용금지할 것
- 작업장 부근에 비상시를 대비하여 샤워시설 및 세안시설을 갖출 것</v>
          </cell>
        </row>
        <row r="580">
          <cell r="B580" t="str">
            <v>7487-94-7</v>
          </cell>
          <cell r="C580" t="str">
            <v>염화제2수은</v>
          </cell>
          <cell r="D580" t="str">
            <v>97-1-140</v>
          </cell>
          <cell r="E580" t="str">
            <v>또는 그 화합물질과 수은 화합물질을 1% 이상 함유한 혼합물질. 다만 황화제이수은(Mercuric sulfide), 요오드화제일수은(Mercuric iodide), 오레인산수은(Mercuric oleate), 아미노염화제이수은(Amino mercury(II) chloride), 뇌산제이수은 (Mercury(II) fulminate) 및 그 중 하나를 함유한 혼합물질은 제외</v>
          </cell>
          <cell r="F580">
            <v>1</v>
          </cell>
          <cell r="G580" t="str">
            <v>- 건조하고 통풍이 잘되는 그늘 및 서늘한 곳에 열원, 아지드화물 등과 격리하여 밀폐 보관할 것
- 식료품, 사료, 의약품, 음식과 혼합저장 금지할 것
- 필요에 따라 국소배기장치 가동할 것
- 제일수은 염은 용기에 알루미늄 포일을 사용 금지할 것
- 상온에서 약간 휘발성을 띰(② Mercury chloride)할 것
- 유기물질이 존재하면 분해되어 염화제일수은을 거쳐 금속수은으로 분해됨(② Mercury chloride)할 것
- 빛에 민감하며 황색침전을 생성하며 분해될 수 있으므로 주의할 것(③ Mercury acetate)
- 빛에 민감하며 나무나 종이와 접촉하지 않도록 할 것(④ Mercury nitrate)
- 취급 또는 작업 시는 양압자급식호흡 보호구를 착용하고 고글형 보안경, 내화학성보호의, 고무(또는 네오프렌)재질의 장갑 및 고무장화 등을 착용하여 단기적인 접촉 및 반복적이고 장기적인 노출을 피할 것
- 작업 시에는 콘택트렌즈 착용금지할 것
- 작업장 부근에 비상시를 대비하여 샤워시설 및 세안시설을 갖출 것</v>
          </cell>
        </row>
        <row r="581">
          <cell r="B581" t="str">
            <v>7546-30-7</v>
          </cell>
          <cell r="C581" t="str">
            <v>수은염화물</v>
          </cell>
          <cell r="D581" t="str">
            <v>97-1-140</v>
          </cell>
          <cell r="E581" t="str">
            <v>또는 그 화합물질과 수은 화합물질을 1% 이상 함유한 혼합물질. 다만 황화제이수은(Mercuric sulfide), 요오드화제일수은(Mercuric iodide), 오레인산수은(Mercuric oleate), 아미노염화제이수은(Amino mercury(II) chloride), 뇌산제이수은 (Mercury(II) fulminate) 및 그 중 하나를 함유한 혼합물질은 제외</v>
          </cell>
          <cell r="F581">
            <v>1</v>
          </cell>
          <cell r="G581" t="str">
            <v>- 건조하고 통풍이 잘되는 그늘 및 서늘한 곳에 열원, 아지드화물 등과 격리하여 밀폐 보관할 것
- 식료품, 사료, 의약품, 음식과 혼합저장 금지할 것
- 필요에 따라 국소배기장치 가동할 것
- 제일수은 염은 용기에 알루미늄 포일을 사용 금지할 것
- 상온에서 약간 휘발성을 띰(② Mercury chloride)할 것
- 유기물질이 존재하면 분해되어 염화제일수은을 거쳐 금속수은으로 분해됨(② Mercury chloride)할 것
- 빛에 민감하며 황색침전을 생성하며 분해될 수 있으므로 주의할 것(③ Mercury acetate)
- 빛에 민감하며 나무나 종이와 접촉하지 않도록 할 것(④ Mercury nitrate)
- 취급 또는 작업 시는 양압자급식호흡 보호구를 착용하고 고글형 보안경, 내화학성보호의, 고무(또는 네오프렌)재질의 장갑 및 고무장화 등을 착용하여 단기적인 접촉 및 반복적이고 장기적인 노출을 피할 것
- 작업 시에는 콘택트렌즈 착용금지할 것
- 작업장 부근에 비상시를 대비하여 샤워시설 및 세안시설을 갖출 것</v>
          </cell>
        </row>
        <row r="582">
          <cell r="B582" t="str">
            <v>7616-83-3</v>
          </cell>
          <cell r="C582" t="str">
            <v>수은화합물질</v>
          </cell>
          <cell r="D582" t="str">
            <v>97-1-140</v>
          </cell>
          <cell r="E582" t="str">
            <v>또는 그 화합물질과 수은 화합물질을 1% 이상 함유한 혼합물질. 다만 황화제이수은(Mercuric sulfide), 요오드화제일수은(Mercuric iodide), 오레인산수은(Mercuric oleate), 아미노염화제이수은(Amino mercury(II) chloride), 뇌산제이수은 (Mercury(II) fulminate) 및 그 중 하나를 함유한 혼합물질은 제외</v>
          </cell>
          <cell r="F582">
            <v>1</v>
          </cell>
          <cell r="G582" t="str">
            <v>- 건조하고 통풍이 잘되는 그늘 및 서늘한 곳에 열원, 아지드화물 등과 격리하여 밀폐 보관할 것
- 식료품, 사료, 의약품, 음식과 혼합저장 금지할 것
- 필요에 따라 국소배기장치 가동할 것
- 제일수은 염은 용기에 알루미늄 포일을 사용 금지할 것
- 상온에서 약간 휘발성을 띰(② Mercury chloride)할 것
- 유기물질이 존재하면 분해되어 염화제일수은을 거쳐 금속수은으로 분해됨(② Mercury chloride)할 것
- 빛에 민감하며 황색침전을 생성하며 분해될 수 있으므로 주의할 것(③ Mercury acetate)
- 빛에 민감하며 나무나 종이와 접촉하지 않도록 할 것(④ Mercury nitrate)
- 취급 또는 작업 시는 양압자급식호흡 보호구를 착용하고 고글형 보안경, 내화학성보호의, 고무(또는 네오프렌)재질의 장갑 및 고무장화 등을 착용하여 단기적인 접촉 및 반복적이고 장기적인 노출을 피할 것
- 작업 시에는 콘택트렌즈 착용금지할 것
- 작업장 부근에 비상시를 대비하여 샤워시설 및 세안시설을 갖출 것</v>
          </cell>
        </row>
        <row r="583">
          <cell r="B583" t="str">
            <v>7774-29-0</v>
          </cell>
          <cell r="D583" t="str">
            <v>97-1-140</v>
          </cell>
          <cell r="E583" t="str">
            <v>또는 그 화합물질과 수은 화합물질을 1% 이상 함유한 혼합물질. 다만 황화제이수은(Mercuric sulfide), 요오드화제일수은(Mercuric iodide), 오레인산수은(Mercuric oleate), 아미노염화제이수은(Amino mercury(II) chloride), 뇌산제이수은 (Mercury(II) fulminate) 및 그 중 하나를 함유한 혼합물질은 제외</v>
          </cell>
          <cell r="F583">
            <v>1</v>
          </cell>
          <cell r="G583" t="str">
            <v>- 건조하고 통풍이 잘되는 그늘 및 서늘한 곳에 열원, 아지드화물 등과 격리하여 밀폐 보관할 것
- 식료품, 사료, 의약품, 음식과 혼합저장 금지할 것
- 필요에 따라 국소배기장치 가동할 것
- 제일수은 염은 용기에 알루미늄 포일을 사용 금지할 것
- 상온에서 약간 휘발성을 띰(② Mercury chloride)할 것
- 유기물질이 존재하면 분해되어 염화제일수은을 거쳐 금속수은으로 분해됨(② Mercury chloride)할 것
- 빛에 민감하며 황색침전을 생성하며 분해될 수 있으므로 주의할 것(③ Mercury acetate)
- 빛에 민감하며 나무나 종이와 접촉하지 않도록 할 것(④ Mercury nitrate)
- 취급 또는 작업 시는 양압자급식호흡 보호구를 착용하고 고글형 보안경, 내화학성보호의, 고무(또는 네오프렌)재질의 장갑 및 고무장화 등을 착용하여 단기적인 접촉 및 반복적이고 장기적인 노출을 피할 것
- 작업 시에는 콘택트렌즈 착용금지할 것
- 작업장 부근에 비상시를 대비하여 샤워시설 및 세안시설을 갖출 것</v>
          </cell>
        </row>
        <row r="584">
          <cell r="B584" t="str">
            <v>7782-86-7</v>
          </cell>
          <cell r="C584" t="str">
            <v>질산제일수은(1수화물); 질산제1수은(1수화물)</v>
          </cell>
          <cell r="D584" t="str">
            <v>97-1-140</v>
          </cell>
          <cell r="E584" t="str">
            <v>또는 그 화합물질과 수은 화합물질을 1% 이상 함유한 혼합물질. 다만 황화제이수은(Mercuric sulfide), 요오드화제일수은(Mercuric iodide), 오레인산수은(Mercuric oleate), 아미노염화제이수은(Amino mercury(II) chloride), 뇌산제이수은 (Mercury(II) fulminate) 및 그 중 하나를 함유한 혼합물질은 제외</v>
          </cell>
          <cell r="F584">
            <v>1</v>
          </cell>
          <cell r="G584" t="str">
            <v>- 건조하고 통풍이 잘되는 그늘 및 서늘한 곳에 열원, 아지드화물 등과 격리하여 밀폐 보관할 것
- 식료품, 사료, 의약품, 음식과 혼합저장 금지할 것
- 필요에 따라 국소배기장치 가동할 것
- 제일수은 염은 용기에 알루미늄 포일을 사용 금지할 것
- 상온에서 약간 휘발성을 띰(② Mercury chloride)할 것
- 유기물질이 존재하면 분해되어 염화제일수은을 거쳐 금속수은으로 분해됨(② Mercury chloride)할 것
- 빛에 민감하며 황색침전을 생성하며 분해될 수 있으므로 주의할 것(③ Mercury acetate)
- 빛에 민감하며 나무나 종이와 접촉하지 않도록 할 것(④ Mercury nitrate)
- 취급 또는 작업 시는 양압자급식호흡 보호구를 착용하고 고글형 보안경, 내화학성보호의, 고무(또는 네오프렌)재질의 장갑 및 고무장화 등을 착용하여 단기적인 접촉 및 반복적이고 장기적인 노출을 피할 것
- 작업 시에는 콘택트렌즈 착용금지할 것
- 작업장 부근에 비상시를 대비하여 샤워시설 및 세안시설을 갖출 것</v>
          </cell>
        </row>
        <row r="585">
          <cell r="B585" t="str">
            <v>7783-32-6</v>
          </cell>
          <cell r="C585" t="str">
            <v>수은화합물질</v>
          </cell>
          <cell r="D585" t="str">
            <v>97-1-140</v>
          </cell>
          <cell r="E585" t="str">
            <v>또는 그 화합물질과 수은 화합물질을 1% 이상 함유한 혼합물질. 다만 황화제이수은(Mercuric sulfide), 요오드화제일수은(Mercuric iodide), 오레인산수은(Mercuric oleate), 아미노염화제이수은(Amino mercury(II) chloride), 뇌산제이수은 (Mercury(II) fulminate) 및 그 중 하나를 함유한 혼합물질은 제외</v>
          </cell>
          <cell r="F585">
            <v>1</v>
          </cell>
          <cell r="G585" t="str">
            <v>- 건조하고 통풍이 잘되는 그늘 및 서늘한 곳에 열원, 아지드화물 등과 격리하여 밀폐 보관할 것
- 식료품, 사료, 의약품, 음식과 혼합저장 금지할 것
- 필요에 따라 국소배기장치 가동할 것
- 제일수은 염은 용기에 알루미늄 포일을 사용 금지할 것
- 상온에서 약간 휘발성을 띰(② Mercury chloride)할 것
- 유기물질이 존재하면 분해되어 염화제일수은을 거쳐 금속수은으로 분해됨(② Mercury chloride)할 것
- 빛에 민감하며 황색침전을 생성하며 분해될 수 있으므로 주의할 것(③ Mercury acetate)
- 빛에 민감하며 나무나 종이와 접촉하지 않도록 할 것(④ Mercury nitrate)
- 취급 또는 작업 시는 양압자급식호흡 보호구를 착용하고 고글형 보안경, 내화학성보호의, 고무(또는 네오프렌)재질의 장갑 및 고무장화 등을 착용하여 단기적인 접촉 및 반복적이고 장기적인 노출을 피할 것
- 작업 시에는 콘택트렌즈 착용금지할 것
- 작업장 부근에 비상시를 대비하여 샤워시설 및 세안시설을 갖출 것</v>
          </cell>
        </row>
        <row r="586">
          <cell r="B586" t="str">
            <v>7783-33-7</v>
          </cell>
          <cell r="C586" t="str">
            <v>수은칼륨요오드화물</v>
          </cell>
          <cell r="D586" t="str">
            <v>97-1-140</v>
          </cell>
          <cell r="E586" t="str">
            <v>또는 그 화합물질과 수은 화합물질을 1% 이상 함유한 혼합물질. 다만 황화제이수은(Mercuric sulfide), 요오드화제일수은(Mercuric iodide), 오레인산수은(Mercuric oleate), 아미노염화제이수은(Amino mercury(II) chloride), 뇌산제이수은 (Mercury(II) fulminate) 및 그 중 하나를 함유한 혼합물질은 제외</v>
          </cell>
          <cell r="F586">
            <v>1</v>
          </cell>
          <cell r="G586" t="str">
            <v>- 건조하고 통풍이 잘되는 그늘 및 서늘한 곳에 열원, 아지드화물 등과 격리하여 밀폐 보관할 것
- 식료품, 사료, 의약품, 음식과 혼합저장 금지할 것
- 필요에 따라 국소배기장치 가동할 것
- 제일수은 염은 용기에 알루미늄 포일을 사용 금지할 것
- 상온에서 약간 휘발성을 띰(② Mercury chloride)할 것
- 유기물질이 존재하면 분해되어 염화제일수은을 거쳐 금속수은으로 분해됨(② Mercury chloride)할 것
- 빛에 민감하며 황색침전을 생성하며 분해될 수 있으므로 주의할 것(③ Mercury acetate)
- 빛에 민감하며 나무나 종이와 접촉하지 않도록 할 것(④ Mercury nitrate)
- 취급 또는 작업 시는 양압자급식호흡 보호구를 착용하고 고글형 보안경, 내화학성보호의, 고무(또는 네오프렌)재질의 장갑 및 고무장화 등을 착용하여 단기적인 접촉 및 반복적이고 장기적인 노출을 피할 것
- 작업 시에는 콘택트렌즈 착용금지할 것
- 작업장 부근에 비상시를 대비하여 샤워시설 및 세안시설을 갖출 것</v>
          </cell>
        </row>
        <row r="587">
          <cell r="B587" t="str">
            <v>7783-34-8</v>
          </cell>
          <cell r="C587" t="str">
            <v>질산제이수은 수화물</v>
          </cell>
          <cell r="D587" t="str">
            <v>97-1-140</v>
          </cell>
          <cell r="E587" t="str">
            <v>또는 그 화합물질과 수은 화합물질을 1% 이상 함유한 혼합물질. 다만 황화제이수은(Mercuric sulfide), 요오드화제일수은(Mercuric iodide), 오레인산수은(Mercuric oleate), 아미노염화제이수은(Amino mercury(II) chloride), 뇌산제이수은 (Mercury(II) fulminate) 및 그 중 하나를 함유한 혼합물질은 제외</v>
          </cell>
          <cell r="F587">
            <v>1</v>
          </cell>
          <cell r="G587" t="str">
            <v>- 건조하고 통풍이 잘되는 그늘 및 서늘한 곳에 열원, 아지드화물 등과 격리하여 밀폐 보관할 것
- 식료품, 사료, 의약품, 음식과 혼합저장 금지할 것
- 필요에 따라 국소배기장치 가동할 것
- 제일수은 염은 용기에 알루미늄 포일을 사용 금지할 것
- 상온에서 약간 휘발성을 띰(② Mercury chloride)할 것
- 유기물질이 존재하면 분해되어 염화제일수은을 거쳐 금속수은으로 분해됨(② Mercury chloride)할 것
- 빛에 민감하며 황색침전을 생성하며 분해될 수 있으므로 주의할 것(③ Mercury acetate)
- 빛에 민감하며 나무나 종이와 접촉하지 않도록 할 것(④ Mercury nitrate)
- 취급 또는 작업 시는 양압자급식호흡 보호구를 착용하고 고글형 보안경, 내화학성보호의, 고무(또는 네오프렌)재질의 장갑 및 고무장화 등을 착용하여 단기적인 접촉 및 반복적이고 장기적인 노출을 피할 것
- 작업 시에는 콘택트렌즈 착용금지할 것
- 작업장 부근에 비상시를 대비하여 샤워시설 및 세안시설을 갖출 것</v>
          </cell>
        </row>
        <row r="588">
          <cell r="B588" t="str">
            <v>7783-35-9</v>
          </cell>
          <cell r="C588" t="str">
            <v>황산수은(II)</v>
          </cell>
          <cell r="D588" t="str">
            <v>97-1-140</v>
          </cell>
          <cell r="E588" t="str">
            <v>또는 그 화합물질과 수은 화합물질을 1% 이상 함유한 혼합물질. 다만 황화제이수은(Mercuric sulfide), 요오드화제일수은(Mercuric iodide), 오레인산수은(Mercuric oleate), 아미노염화제이수은(Amino mercury(II) chloride), 뇌산제이수은 (Mercury(II) fulminate) 및 그 중 하나를 함유한 혼합물질은 제외</v>
          </cell>
          <cell r="F588">
            <v>1</v>
          </cell>
          <cell r="G588" t="str">
            <v>- 건조하고 통풍이 잘되는 그늘 및 서늘한 곳에 열원, 아지드화물 등과 격리하여 밀폐 보관할 것
- 식료품, 사료, 의약품, 음식과 혼합저장 금지할 것
- 필요에 따라 국소배기장치 가동할 것
- 제일수은 염은 용기에 알루미늄 포일을 사용 금지할 것
- 상온에서 약간 휘발성을 띰(② Mercury chloride)할 것
- 유기물질이 존재하면 분해되어 염화제일수은을 거쳐 금속수은으로 분해됨(② Mercury chloride)할 것
- 빛에 민감하며 황색침전을 생성하며 분해될 수 있으므로 주의할 것(③ Mercury acetate)
- 빛에 민감하며 나무나 종이와 접촉하지 않도록 할 것(④ Mercury nitrate)
- 취급 또는 작업 시는 양압자급식호흡 보호구를 착용하고 고글형 보안경, 내화학성보호의, 고무(또는 네오프렌)재질의 장갑 및 고무장화 등을 착용하여 단기적인 접촉 및 반복적이고 장기적인 노출을 피할 것
- 작업 시에는 콘택트렌즈 착용금지할 것
- 작업장 부근에 비상시를 대비하여 샤워시설 및 세안시설을 갖출 것</v>
          </cell>
        </row>
        <row r="589">
          <cell r="B589" t="str">
            <v>7783-36-0</v>
          </cell>
          <cell r="C589" t="str">
            <v>머큐로스황산염</v>
          </cell>
          <cell r="D589" t="str">
            <v>97-1-140</v>
          </cell>
          <cell r="E589" t="str">
            <v>또는 그 화합물질과 수은 화합물질을 1% 이상 함유한 혼합물질. 다만 황화제이수은(Mercuric sulfide), 요오드화제일수은(Mercuric iodide), 오레인산수은(Mercuric oleate), 아미노염화제이수은(Amino mercury(II) chloride), 뇌산제이수은 (Mercury(II) fulminate) 및 그 중 하나를 함유한 혼합물질은 제외</v>
          </cell>
          <cell r="F589">
            <v>1</v>
          </cell>
          <cell r="G589" t="str">
            <v>- 건조하고 통풍이 잘되는 그늘 및 서늘한 곳에 열원, 아지드화물 등과 격리하여 밀폐 보관할 것
- 식료품, 사료, 의약품, 음식과 혼합저장 금지할 것
- 필요에 따라 국소배기장치 가동할 것
- 제일수은 염은 용기에 알루미늄 포일을 사용 금지할 것
- 상온에서 약간 휘발성을 띰(② Mercury chloride)할 것
- 유기물질이 존재하면 분해되어 염화제일수은을 거쳐 금속수은으로 분해됨(② Mercury chloride)할 것
- 빛에 민감하며 황색침전을 생성하며 분해될 수 있으므로 주의할 것(③ Mercury acetate)
- 빛에 민감하며 나무나 종이와 접촉하지 않도록 할 것(④ Mercury nitrate)
- 취급 또는 작업 시는 양압자급식호흡 보호구를 착용하고 고글형 보안경, 내화학성보호의, 고무(또는 네오프렌)재질의 장갑 및 고무장화 등을 착용하여 단기적인 접촉 및 반복적이고 장기적인 노출을 피할 것
- 작업 시에는 콘택트렌즈 착용금지할 것
- 작업장 부근에 비상시를 대비하여 샤워시설 및 세안시설을 갖출 것</v>
          </cell>
        </row>
        <row r="590">
          <cell r="B590" t="str">
            <v>7783-39-3</v>
          </cell>
          <cell r="C590" t="str">
            <v>수은화합물질</v>
          </cell>
          <cell r="D590" t="str">
            <v>97-1-140</v>
          </cell>
          <cell r="E590" t="str">
            <v>또는 그 화합물질과 수은 화합물질을 1% 이상 함유한 혼합물질. 다만 황화제이수은(Mercuric sulfide), 요오드화제일수은(Mercuric iodide), 오레인산수은(Mercuric oleate), 아미노염화제이수은(Amino mercury(II) chloride), 뇌산제이수은 (Mercury(II) fulminate) 및 그 중 하나를 함유한 혼합물질은 제외</v>
          </cell>
          <cell r="F590">
            <v>1</v>
          </cell>
          <cell r="G590" t="str">
            <v>- 건조하고 통풍이 잘되는 그늘 및 서늘한 곳에 열원, 아지드화물 등과 격리하여 밀폐 보관할 것
- 식료품, 사료, 의약품, 음식과 혼합저장 금지할 것
- 필요에 따라 국소배기장치 가동할 것
- 제일수은 염은 용기에 알루미늄 포일을 사용 금지할 것
- 상온에서 약간 휘발성을 띰(② Mercury chloride)할 것
- 유기물질이 존재하면 분해되어 염화제일수은을 거쳐 금속수은으로 분해됨(② Mercury chloride)할 것
- 빛에 민감하며 황색침전을 생성하며 분해될 수 있으므로 주의할 것(③ Mercury acetate)
- 빛에 민감하며 나무나 종이와 접촉하지 않도록 할 것(④ Mercury nitrate)
- 취급 또는 작업 시는 양압자급식호흡 보호구를 착용하고 고글형 보안경, 내화학성보호의, 고무(또는 네오프렌)재질의 장갑 및 고무장화 등을 착용하여 단기적인 접촉 및 반복적이고 장기적인 노출을 피할 것
- 작업 시에는 콘택트렌즈 착용금지할 것
- 작업장 부근에 비상시를 대비하여 샤워시설 및 세안시설을 갖출 것</v>
          </cell>
        </row>
        <row r="591">
          <cell r="B591" t="str">
            <v>7784-03-4</v>
          </cell>
          <cell r="C591" t="str">
            <v>수은화합물질</v>
          </cell>
          <cell r="D591" t="str">
            <v>97-1-140</v>
          </cell>
          <cell r="E591" t="str">
            <v>또는 그 화합물질과 수은 화합물질을 1% 이상 함유한 혼합물질. 다만 황화제이수은(Mercuric sulfide), 요오드화제일수은(Mercuric iodide), 오레인산수은(Mercuric oleate), 아미노염화제이수은(Amino mercury(II) chloride), 뇌산제이수은 (Mercury(II) fulminate) 및 그 중 하나를 함유한 혼합물질은 제외</v>
          </cell>
          <cell r="F591">
            <v>1</v>
          </cell>
          <cell r="G591" t="str">
            <v>- 건조하고 통풍이 잘되는 그늘 및 서늘한 곳에 열원, 아지드화물 등과 격리하여 밀폐 보관할 것
- 식료품, 사료, 의약품, 음식과 혼합저장 금지할 것
- 필요에 따라 국소배기장치 가동할 것
- 제일수은 염은 용기에 알루미늄 포일을 사용 금지할 것
- 상온에서 약간 휘발성을 띰(② Mercury chloride)할 것
- 유기물질이 존재하면 분해되어 염화제일수은을 거쳐 금속수은으로 분해됨(② Mercury chloride)할 것
- 빛에 민감하며 황색침전을 생성하며 분해될 수 있으므로 주의할 것(③ Mercury acetate)
- 빛에 민감하며 나무나 종이와 접촉하지 않도록 할 것(④ Mercury nitrate)
- 취급 또는 작업 시는 양압자급식호흡 보호구를 착용하고 고글형 보안경, 내화학성보호의, 고무(또는 네오프렌)재질의 장갑 및 고무장화 등을 착용하여 단기적인 접촉 및 반복적이고 장기적인 노출을 피할 것
- 작업 시에는 콘택트렌즈 착용금지할 것
- 작업장 부근에 비상시를 대비하여 샤워시설 및 세안시설을 갖출 것</v>
          </cell>
        </row>
        <row r="592">
          <cell r="B592" t="str">
            <v>7789-47-1</v>
          </cell>
          <cell r="C592" t="str">
            <v>브롬화수은</v>
          </cell>
          <cell r="D592" t="str">
            <v>97-1-140</v>
          </cell>
          <cell r="E592" t="str">
            <v>또는 그 화합물질과 수은 화합물질을 1% 이상 함유한 혼합물질. 다만 황화제이수은(Mercuric sulfide), 요오드화제일수은(Mercuric iodide), 오레인산수은(Mercuric oleate), 아미노염화제이수은(Amino mercury(II) chloride), 뇌산제이수은 (Mercury(II) fulminate) 및 그 중 하나를 함유한 혼합물질은 제외</v>
          </cell>
          <cell r="F592">
            <v>1</v>
          </cell>
          <cell r="G592" t="str">
            <v>- 건조하고 통풍이 잘되는 그늘 및 서늘한 곳에 열원, 아지드화물 등과 격리하여 밀폐 보관할 것
- 식료품, 사료, 의약품, 음식과 혼합저장 금지할 것
- 필요에 따라 국소배기장치 가동할 것
- 제일수은 염은 용기에 알루미늄 포일을 사용 금지할 것
- 상온에서 약간 휘발성을 띰(② Mercury chloride)할 것
- 유기물질이 존재하면 분해되어 염화제일수은을 거쳐 금속수은으로 분해됨(② Mercury chloride)할 것
- 빛에 민감하며 황색침전을 생성하며 분해될 수 있으므로 주의할 것(③ Mercury acetate)
- 빛에 민감하며 나무나 종이와 접촉하지 않도록 할 것(④ Mercury nitrate)
- 취급 또는 작업 시는 양압자급식호흡 보호구를 착용하고 고글형 보안경, 내화학성보호의, 고무(또는 네오프렌)재질의 장갑 및 고무장화 등을 착용하여 단기적인 접촉 및 반복적이고 장기적인 노출을 피할 것
- 작업 시에는 콘택트렌즈 착용금지할 것
- 작업장 부근에 비상시를 대비하여 샤워시설 및 세안시설을 갖출 것</v>
          </cell>
        </row>
        <row r="593">
          <cell r="D593" t="str">
            <v>97-1-140</v>
          </cell>
          <cell r="E593" t="str">
            <v>또는 그 화합물질과 수은 화합물질을 1% 이상 함유한 혼합물질. 다만 황화제이수은(Mercuric sulfide), 요오드화제일수은(Mercuric iodide), 오레인산수은(Mercuric oleate), 아미노염화제이수은(Amino mercury(II) chloride), 뇌산제이수은 (Mercury(II) fulminate) 및 그 중 하나를 함유한 혼합물질은 제외</v>
          </cell>
          <cell r="F593">
            <v>1</v>
          </cell>
          <cell r="G593" t="str">
            <v>- 건조하고 통풍이 잘되는 그늘 및 서늘한 곳에 열원, 아지드화물 등과 격리하여 밀폐 보관할 것
- 식료품, 사료, 의약품, 음식과 혼합저장 금지할 것
- 필요에 따라 국소배기장치 가동할 것
- 제일수은 염은 용기에 알루미늄 포일을 사용 금지할 것
- 상온에서 약간 휘발성을 띰(② Mercury chloride)할 것
- 유기물질이 존재하면 분해되어 염화제일수은을 거쳐 금속수은으로 분해됨(② Mercury chloride)할 것
- 빛에 민감하며 황색침전을 생성하며 분해될 수 있으므로 주의할 것(③ Mercury acetate)
- 빛에 민감하며 나무나 종이와 접촉하지 않도록 할 것(④ Mercury nitrate)
- 취급 또는 작업 시는 양압자급식호흡 보호구를 착용하고 고글형 보안경, 내화학성보호의, 고무(또는 네오프렌)재질의 장갑 및 고무장화 등을 착용하여 단기적인 접촉 및 반복적이고 장기적인 노출을 피할 것
- 작업 시에는 콘택트렌즈 착용금지할 것
- 작업장 부근에 비상시를 대비하여 샤워시설 및 세안시설을 갖출 것</v>
          </cell>
        </row>
        <row r="594">
          <cell r="D594" t="str">
            <v>97-1-140</v>
          </cell>
          <cell r="E594" t="str">
            <v>또는 그 화합물질과 수은 화합물질을 1% 이상 함유한 혼합물질. 다만 황화제이수은(Mercuric sulfide), 요오드화제일수은(Mercuric iodide), 오레인산수은(Mercuric oleate), 아미노염화제이수은(Amino mercury(II) chloride), 뇌산제이수은 (Mercury(II) fulminate) 및 그 중 하나를 함유한 혼합물질은 제외</v>
          </cell>
          <cell r="F594">
            <v>1</v>
          </cell>
          <cell r="G594" t="str">
            <v>- 건조하고 통풍이 잘되는 그늘 및 서늘한 곳에 열원, 아지드화물 등과 격리하여 밀폐 보관할 것
- 식료품, 사료, 의약품, 음식과 혼합저장 금지할 것
- 필요에 따라 국소배기장치 가동할 것
- 제일수은 염은 용기에 알루미늄 포일을 사용 금지할 것
- 상온에서 약간 휘발성을 띰(② Mercury chloride)할 것
- 유기물질이 존재하면 분해되어 염화제일수은을 거쳐 금속수은으로 분해됨(② Mercury chloride)할 것
- 빛에 민감하며 황색침전을 생성하며 분해될 수 있으므로 주의할 것(③ Mercury acetate)
- 빛에 민감하며 나무나 종이와 접촉하지 않도록 할 것(④ Mercury nitrate)
- 취급 또는 작업 시는 양압자급식호흡 보호구를 착용하고 고글형 보안경, 내화학성보호의, 고무(또는 네오프렌)재질의 장갑 및 고무장화 등을 착용하여 단기적인 접촉 및 반복적이고 장기적인 노출을 피할 것
- 작업 시에는 콘택트렌즈 착용금지할 것
- 작업장 부근에 비상시를 대비하여 샤워시설 및 세안시설을 갖출 것</v>
          </cell>
        </row>
        <row r="595">
          <cell r="C595" t="str">
            <v>페닐수은 트리에탄올 암모늄 붕산</v>
          </cell>
          <cell r="D595" t="str">
            <v>97-1-140</v>
          </cell>
          <cell r="E595" t="str">
            <v>또는 그 화합물질과 수은 화합물질을 1% 이상 함유한 혼합물질. 다만 황화제이수은(Mercuric sulfide), 요오드화제일수은(Mercuric iodide), 오레인산수은(Mercuric oleate), 아미노염화제이수은(Amino mercury(II) chloride), 뇌산제이수은 (Mercury(II) fulminate) 및 그 중 하나를 함유한 혼합물질은 제외</v>
          </cell>
          <cell r="F595">
            <v>1</v>
          </cell>
          <cell r="G595" t="str">
            <v>- 건조하고 통풍이 잘되는 그늘 및 서늘한 곳에 열원, 아지드화물 등과 격리하여 밀폐 보관할 것
- 식료품, 사료, 의약품, 음식과 혼합저장 금지할 것
- 필요에 따라 국소배기장치 가동할 것
- 제일수은 염은 용기에 알루미늄 포일을 사용 금지할 것
- 상온에서 약간 휘발성을 띰(② Mercury chloride)할 것
- 유기물질이 존재하면 분해되어 염화제일수은을 거쳐 금속수은으로 분해됨(② Mercury chloride)할 것
- 빛에 민감하며 황색침전을 생성하며 분해될 수 있으므로 주의할 것(③ Mercury acetate)
- 빛에 민감하며 나무나 종이와 접촉하지 않도록 할 것(④ Mercury nitrate)
- 취급 또는 작업 시는 양압자급식호흡 보호구를 착용하고 고글형 보안경, 내화학성보호의, 고무(또는 네오프렌)재질의 장갑 및 고무장화 등을 착용하여 단기적인 접촉 및 반복적이고 장기적인 노출을 피할 것
- 작업 시에는 콘택트렌즈 착용금지할 것
- 작업장 부근에 비상시를 대비하여 샤워시설 및 세안시설을 갖출 것</v>
          </cell>
        </row>
        <row r="596">
          <cell r="B596" t="str">
            <v>3689-24-5</v>
          </cell>
          <cell r="C596" t="str">
            <v>술포텝</v>
          </cell>
          <cell r="D596" t="str">
            <v>97-1-141</v>
          </cell>
          <cell r="E596" t="str">
            <v>및 이를 1% 이상 함유한 혼합물질</v>
          </cell>
          <cell r="F596">
            <v>1</v>
          </cell>
          <cell r="G596" t="str">
            <v>- 환기가 잘 되는 곳에 보관할 것
- 강산화제, 스파크, 불꽃 및 기타 점화원과 격리하여 보관할 것
- 화학물질 흄 후드내에서 취급할 것
- 취급시 활성탄소가스여과카트리지를 갖춘 보호구 또는 양압호흡용 보호구를 착용할 것
- 취급시 보호장갑, 고무부츠, 눈보호장비(섬유 또는 염화폴리비닐 재질의 장비)를 착용할 것</v>
          </cell>
        </row>
        <row r="597">
          <cell r="B597" t="str">
            <v>35400-43-2</v>
          </cell>
          <cell r="C597" t="str">
            <v>술프로포스</v>
          </cell>
          <cell r="D597" t="str">
            <v>97-1-142</v>
          </cell>
          <cell r="E597" t="str">
            <v>및 이를 3% 이상 함유한 혼합물질</v>
          </cell>
          <cell r="F597">
            <v>3</v>
          </cell>
          <cell r="G597" t="str">
            <v>- 통풍이 잘 되는 그늘 및 서늘한 곳에 밀폐 보관할 것
- 식료품, 사료, 의약품, 음식과 혼합저장 및 수송금지할 것
- 필요에 따라 국소배기장치 가동할 것
- 혼합금지물질 및 점화원을 격리할 것
- 취급 또는 작업 시는 통풍이 잘 되는 후드에서 행하고 고글형 보안경, 내산성보호의, 고무장갑, 고무앞치마, 양압자급식호흡용 보호구를 착용하여 단기적인 접촉 및 반복적이고 장기적인 노출을 피할 것
- 노출기준 이상에서는 호흡보호구를 착용할 것</v>
          </cell>
        </row>
        <row r="598">
          <cell r="B598" t="str">
            <v>152-16-9</v>
          </cell>
          <cell r="C598" t="str">
            <v>쉬라단</v>
          </cell>
          <cell r="D598" t="str">
            <v>97-1-143</v>
          </cell>
          <cell r="E598" t="str">
            <v>및 이를 1% 이상 함유한 혼합물질</v>
          </cell>
          <cell r="F598">
            <v>1</v>
          </cell>
          <cell r="G598" t="str">
            <v>- 통풍이 잘 되는 그늘 및 서늘한 곳에 밀폐 보관할 것
- 식료품, 사료, 의약품, 음식과 혼합저장 및 수송금지할 것
- 필요에 따라 국소배기장치 가동할 것
- 저장용기는 물리적인 손상에 견딜 수 있어야 할 것
- 열, 스파크, 불꽃, 점화원과 격리하여 저장할 것
- 취급 또는 작업시는 통풍이 잘 되는 후드에서 행하고 내산성보호의, 고무장갑(또는 염화 폴리비닐 재질) 고무앞치마, 양압자급식호흡용 보호구를 착용하여 단기적인 접촉 및 반복적이고 장기적인 노출을 피할 것
- 가죽으로 만든 보호의, 장갑, 앞치마는 사용 금지할 것
- 열이나 스파크, 불꽃에 의해 쉽게 발화됨할 것
- 노출기준 이상에서는 호흡보호구를 착용할 것
- 사용한 용기는 물과 표백제로 닦거나, 24 시간 알칼리성용액에 담근 후 뜨거운 물로 헹굴 것</v>
          </cell>
        </row>
        <row r="599">
          <cell r="B599" t="str">
            <v>57-24-9</v>
          </cell>
          <cell r="C599" t="str">
            <v>스트리시닌</v>
          </cell>
          <cell r="D599" t="str">
            <v>97-1-144,06-4-14</v>
          </cell>
          <cell r="E599" t="str">
            <v>및 그 중 하나를 1% 이상 함유한 혼합물질</v>
          </cell>
          <cell r="F599">
            <v>1</v>
          </cell>
          <cell r="G599" t="str">
            <v>- 건조하고 통풍이 잘 되는 그늘 및 서늘한 곳에 밀폐 보관할 것
- 식료품, 사료, 의약품, 음식과 혼합저장 및 수송 금지할 것 필요에 따라 국소배기장치 가동할 것
- 화학물질 흄 후드 내에서만 취급할 것
- 취급 또는 작업 시는 양압자급식호흡용 보호구를 착용하고 고글형 보안경, 보호의, 부틸고무재질의 장갑 및 고무장화와 전면보호구 등을 착용하여 단기적인 접촉 및 반복적이고 장기적인 노출을 피할 것
- 취급 후, 손을 철저하게 세척할 것
- 재사용 전에 옷을 세탁할 것
- 취급금지물질(이를 1% 이상 함유한 혼합물질)</v>
          </cell>
        </row>
        <row r="600">
          <cell r="B600" t="str">
            <v>420-04-2</v>
          </cell>
          <cell r="C600" t="str">
            <v>시안아미드</v>
          </cell>
          <cell r="D600" t="str">
            <v>97-1-145</v>
          </cell>
          <cell r="E600" t="str">
            <v>및 이를 25% 이상 함유한 혼합물질</v>
          </cell>
          <cell r="F600">
            <v>25</v>
          </cell>
          <cell r="G600" t="str">
            <v>- 요소로 가수 분해되기 쉬우므로 주의할 것
- 용액은 인산, 아세트산, 황산 또는 붕산을 가하여 pH  4 로 맞추어 저장함을 권장할 것
- 건조하고 통풍이 잘 되는 그늘 및 서늘한 곳에 밀폐 보관할 것
- 식료품, 사료, 의약품, 음식과 혼합저장 및 수송 금지할 것 필요에 따라 국소배기장치 가동할 것
- 취급 또는 작업시는 양압자급식호흡용 보호구를 착용하고 고글형 보안경, 보호의, 고무(또는 네오프렌)재질의 장갑 및 고무장화와 전면보호구 등을 착용하여 단기적인 접촉 및 반복적이고 장기적인 노출을 피할 것
- 취급 후, 손을 철저하게 세척할 것
- 적절한 환기장치를 사용할 것</v>
          </cell>
        </row>
        <row r="601">
          <cell r="B601" t="str">
            <v>121-82-4</v>
          </cell>
          <cell r="C601" t="str">
            <v>시클로니트</v>
          </cell>
          <cell r="D601" t="str">
            <v>97-1-146</v>
          </cell>
          <cell r="E601" t="str">
            <v>및 이를 1% 이상 함유한 혼합물질</v>
          </cell>
          <cell r="F601">
            <v>1</v>
          </cell>
          <cell r="G601" t="str">
            <v>- 산화제, 기폭제, 가연성물질 및 열원과 격리 저장할 것
- 화약고에만 저장할 것
- 번개에 대비한 안전시설을 설치할 것
- 외부에서 물리적인 충격을 가하지 말 것
- 작업공간과 바닥을 깨끗이 유지할 것
- 외부에서 금속분말과 모래를 묻혀 올 수 있는 위험을 방지하기 위해 신발 청소매트를 설치할 것
- 공장은 도시와 먼 곳에 위치시키고, 폭발의 영향을 최소화하기 위해 건물크기를 제한하고 다수의 작은 건물에서 취급할 것
- 사고발생에 대비하여 눈이나 몸을 씻을 수 있는 세안시설과 샤워시설이 이용 가능한 장소에서 작업할 것
- 사용한 후 식사, 흡연, 화장실에 가기 전에 물과 비누로 손을 꼭 세척할 것
- 호흡용보호구, 안면보호구, 보안경, 보호의, 네오프렌장갑을 반드시 사용할 것
- 콘택트렌즈를 착용 금지할 것
- 필요에 따라 국소배기장치 가동할 것</v>
          </cell>
        </row>
        <row r="602">
          <cell r="B602" t="str">
            <v>66-81-9</v>
          </cell>
          <cell r="C602" t="str">
            <v>시클로헥시미드</v>
          </cell>
          <cell r="D602" t="str">
            <v>97-1-147</v>
          </cell>
          <cell r="E602" t="str">
            <v>및 이를 0.2% 이상 함유한 혼합물질</v>
          </cell>
          <cell r="F602">
            <v>0.2</v>
          </cell>
          <cell r="G602" t="str">
            <v>- 건조하고 통풍이 잘 되는 그늘 및 서늘한 곳에 밀폐 보관할 것
- 식료품, 사료, 의약품, 음식과 혼합저장 금지할 것
- 취급 또는 작업시는 양압자급식호흡용보호구를 착용하고 고글형 보안경, 보호의, 고무(또는 네오프렌)재질의 장갑 및 고무장화와 전면보호구 등을 착용하여 단기적인 접촉 및 반복적이고 장기적인 노출을 피할 것
- 취급 후, 손을 철저하게 세척할 것
- 통풍이 잘 되는 장소에서만 사용할 것</v>
          </cell>
        </row>
        <row r="603">
          <cell r="B603" t="str">
            <v>108-91-8</v>
          </cell>
          <cell r="C603" t="str">
            <v>시클로헥실아민</v>
          </cell>
          <cell r="D603" t="str">
            <v>97-1-148</v>
          </cell>
          <cell r="E603" t="str">
            <v>및 이를 25% 이상 함유한 혼합물질</v>
          </cell>
          <cell r="F603">
            <v>25</v>
          </cell>
          <cell r="G603" t="str">
            <v>- 통풍이 잘 되는 그늘 및 서늘한 곳에 보관할 것
- 식료품, 사료, 의약품, 인화성물질, 알칼리물질과 혼합저장 금지할 것
- 필요에 따라 국소배기장치 가동할 것
- 점화원, 유기 할로겐, 산성 물질과 격리할 것
- 산화물질과 접촉을 피할 것
- 작업 후 온몸을 깨끗이 씻은 후 충분한 휴식할 것
- 양압자급식호흡용 보호구를 반드시 착용하고 보호의와 고글형 보안경을 착용할 것
- 통풍이 잘 되는 장소에서만 사용할 것
- 물질을 이동시킬 때 용기를 땅에 밀착하여 이동할 것
- 스파크를 막는 기계와 폭발을 막는 장치를 사용할 것
- 빈 용기를 가압, 절단, 용접, 납땜, 연마, 천공을 해서는 안 되며, 열, 스파크, 화염에 노출시키지 말 것</v>
          </cell>
        </row>
        <row r="604">
          <cell r="B604" t="str">
            <v>115-93-5</v>
          </cell>
          <cell r="C604" t="str">
            <v xml:space="preserve">싸이티오산 </v>
          </cell>
          <cell r="D604" t="str">
            <v>97-1-149</v>
          </cell>
          <cell r="E604" t="str">
            <v>및 이를 1% 이상 함유한 혼합물질</v>
          </cell>
          <cell r="F604">
            <v>1</v>
          </cell>
          <cell r="G604" t="str">
            <v>- 통풍이 잘 되는 그늘 및 서늘한 곳에 밀폐 보관할 것
- 저장용기는 물리적인 손상에 견딜 수 있어야 할 것
- 필요에 따라 국소배기장치 가동할 것
- 취급시 피부접촉을 피하고 보호의, 보안경, 보호 장갑을 착용할 것
- 취급시 양압자급식 호흡용 보호 장비를 착용할 것
- 취급시 콘택트렌즈를 착용 금지할 것</v>
          </cell>
        </row>
        <row r="605">
          <cell r="B605" t="str">
            <v>121552-61-2</v>
          </cell>
          <cell r="C605" t="str">
            <v>싸이프로디닐</v>
          </cell>
          <cell r="D605" t="str">
            <v>97-1-150</v>
          </cell>
          <cell r="E605" t="str">
            <v>및 이를 25% 이상 함유한 혼합물질</v>
          </cell>
          <cell r="F605">
            <v>25</v>
          </cell>
          <cell r="G605" t="str">
            <v>- 통풍이 잘 되는 그늘 및 서늘한 곳에 밀폐 보관할 것
- 식료품, 사료, 의약품, 음식과 혼합저장 금지할 것
- 저장용기는 물리적인 손상에 견딜 수 있어야 할 것
- 강산류, 염기류를 피할 것
- 산화제류와의 반응을 피할 것
- 사고발생에 대비하여 눈이나 몸을 씻을 수 있는 세안시설과 샤워시설이 이용 가능한 장소에서 작업할 것
- 사용한 후 식사, 흡연, 화장실에 가기 전에 물과 비누로 손을 꼭 세척할 것
- 호흡용보호구, 보안경, 보호장갑(고무 또는 네오프렌 재질)을 반드시 사용할 것
- 콘택트렌즈를 착용 금지할 것
- 통풍장치 가동할 것
- 취급 시 먹거나 마시거나 흡연 금지할 것
- 빈 용기에 잔류물질은 바닥에 쌓여서 축적될 수 있어서 이러한 잔류물질은 적당한 발화원이 존재하는 경우에 폭발할 수도 있으므로 용기에 절삭, 천공, 연마 또는 용접을 해서는 안될 것</v>
          </cell>
        </row>
        <row r="606">
          <cell r="B606" t="str">
            <v>69581-33-5</v>
          </cell>
          <cell r="C606" t="str">
            <v>싸이프로푸람</v>
          </cell>
          <cell r="D606" t="str">
            <v>97-1-151</v>
          </cell>
          <cell r="E606" t="str">
            <v>및 이를 1% 이상 함유한 혼합물질</v>
          </cell>
          <cell r="F606">
            <v>1</v>
          </cell>
          <cell r="G606" t="str">
            <v>- 통풍이 잘 되는 그늘 및 서늘한 곳에 밀폐 보관할 것
- 식료품, 사료, 의약품, 음식과 혼합저장 금지할 것
- 저장용기는 물리적인 손상에 견딜 수 있어야 할 것
- 사고발생에 대비하여 눈이나 몸을 씻을 수 있는 세안시설과 샤워시설이 이용 가능한 장소에서 작업할 것
- 사용한 후 식사, 흡연, 화장실에 가기 전에 물과 비누로 손을 꼭 세척할 것
- 호흡용보호구, 보안경, 보호장갑(고무 또는 네오프렌재질)을 반드시 사용할 것
- 콘택트렌즈를 착용 금지할 것
- 통풍장치 가동할 것</v>
          </cell>
        </row>
        <row r="607">
          <cell r="B607" t="str">
            <v>68359-37-5</v>
          </cell>
          <cell r="C607" t="str">
            <v>싸이플루트린</v>
          </cell>
          <cell r="D607" t="str">
            <v>97-1-152</v>
          </cell>
          <cell r="E607" t="str">
            <v>및 이를 0.5% 이상 함유한 혼합물질</v>
          </cell>
          <cell r="F607">
            <v>0.5</v>
          </cell>
          <cell r="G607" t="str">
            <v>- 부톡시화 피페로닐(piperonyl butoxide)과 40℃ 이하(15~30℃)에서 밀폐 보관할 것
- 식료품, 사료, 의약품, 음식과 혼합저장 및 수송 금지할 것 필요에 따라 국소배기장치 가동할 것
- 화학물질 흄 후드 내에서 취급할 것
- 취급 또는 작업 시는 양압자급식호흡용 보호구를 착용하고 보안경, 보호의, 고무(또는 네오프렌)재질의 장갑 및 고무장화와 전면보호구 등을 착용하여 단기적인 접촉 및 반복적이고 장기적인 노출을 피할 것</v>
          </cell>
        </row>
        <row r="608">
          <cell r="B608" t="str">
            <v>68085-85-8</v>
          </cell>
          <cell r="C608" t="str">
            <v>싸이할로트린</v>
          </cell>
          <cell r="D608" t="str">
            <v>97-1-153</v>
          </cell>
          <cell r="E608" t="str">
            <v>및 이를 1.0% 이상 함유한 혼합물질</v>
          </cell>
          <cell r="F608">
            <v>1</v>
          </cell>
          <cell r="G608" t="str">
            <v>- 강산화제와 격리하고 빛을 피해 저장할 것
- 15~30℃의 온도로 밀폐 보관할 것
- 통풍이 잘되는 그늘 및 서늘한 곳에 밀폐 보관할 것
- 건조한 곳에 저장할 것
- 식료품, 사료, 의약품, 음식과 혼합저장 금지할 것
- 사고발생에 대비하여 눈이나 몸을 씻을 수 있는 세안시설과 샤워시설이 이용 가능한 장소에서 작업할 것
- 사용한 후 식사, 흡연, 화장실에 가기 전에 물과 비누로 손을 꼭 세척할 것
- 호흡용보호구, 전면보호구, 보안경, 고무장갑을 반드시 사용할 것
- 콘택트렌즈를 착용 금지할 것
- 통풍장치 가동할 것</v>
          </cell>
        </row>
        <row r="609">
          <cell r="B609" t="str">
            <v>13121-70-5</v>
          </cell>
          <cell r="C609" t="str">
            <v>싸이헥사틴</v>
          </cell>
          <cell r="D609" t="str">
            <v>97-1-154</v>
          </cell>
          <cell r="E609" t="str">
            <v>및 이를 5% 이상 함유한 혼합물질</v>
          </cell>
          <cell r="F609">
            <v>5</v>
          </cell>
          <cell r="G609" t="str">
            <v>- 강산화제와 격리하여 자외선이 닿지 않는 곳에 보관할 것
- 건조하고 통풍이 잘 되는 그늘 및 서늘한 곳에 밀폐 보관할 것
- 식료품, 시료, 의약품, 음식과 혼합저장 및 수송 금지할 것 필요에 따라 국소배기장치 가동할 것
- 화학물질 흄 후드 내에서 취급할 것
- 취급 또는 작업 시는 양압자급식호흡용 보호구를 착용하고 고글형 보안경, 보호의, 고무(또는 네오프렌)재질의 장갑 및 고무장화와 전면보호구 등을 착용하여 단기적인 접촉 및 반복적이고 장기적인 노출을 피할 것</v>
          </cell>
        </row>
        <row r="610">
          <cell r="B610" t="str">
            <v>494-52-0</v>
          </cell>
          <cell r="C610" t="str">
            <v>아나바신</v>
          </cell>
          <cell r="D610" t="str">
            <v>97-1-155</v>
          </cell>
          <cell r="E610" t="str">
            <v>및 그 중 하나를 1% 이상 함유한 혼합물질</v>
          </cell>
          <cell r="F610">
            <v>1</v>
          </cell>
          <cell r="G610" t="str">
            <v>- 통풍이 잘 되는 그늘 및 서늘한 곳에 밀폐 보관할 것
- 식료품, 사료, 의약품, 음식과 혼합저장 및 수송 금지할 것
- 필요에 따라 국소배기장치 가동할 것
- 점화원과 격리할 것
- 취급 또는 작업시는 통풍이 잘 되는 후드에서 행하고 고글형 보안경, 내산성보호의, 고무장갑, 고무앞치마, 자급식호흡용보호구를 착용하여 단기적인 접촉 및 반복적이고 장기적인 노출을 피할 것
- 노출기준 이상에서는 호흡보호구를 착용할 것</v>
          </cell>
        </row>
        <row r="611">
          <cell r="B611" t="str">
            <v>62-53-3</v>
          </cell>
          <cell r="C611" t="str">
            <v>아닐린</v>
          </cell>
          <cell r="D611" t="str">
            <v>97-1-156</v>
          </cell>
          <cell r="E611" t="str">
            <v>및 그 염류를 25% 이상 함유한 혼합물질</v>
          </cell>
          <cell r="F611">
            <v>25</v>
          </cell>
          <cell r="G611" t="str">
            <v>- 건조하고 통풍이 잘 되는 그늘 및 서늘한 곳에 밀폐 보관할 것
- 식료품, 사료, 의약품, 음식과 혼합저장 금지할 것
- 필요에 따라 국소배기장치 가동할 것
- 저장용기는 물리적인 손상에 견딜 수 있어야 할 것
- 산화제(과염소산염, 과산화물, 과망간산염, 염소산염, 질소산염), 알루미늄, 금속(철, 아연, 알루미늄)수용액, 산, 알칼리와 격리하여 저장할 것
- 화재 또는 폭발의 위험이 있으므로 열원, 스파크, 불꽃, 가연성물질, 점화원과 격리하여 저장할 것
- 취급 또는 작업 시는 통풍이 잘 되는 후드에서 행하고 고글형 보안경, 보호의, 보호장갑(고무 또는 Butyl rubber), 고무앞치마, 양압자급식호흡용보호구를 착용하여 단기적인 접촉 및 반복적이고 장기적인 노출을 피할 것
- 노출기준 이상에서는 호흡보호구를 착용할 것
- 취급 후, 손을 철저하게 세척할 것
- 빈 용기를 가압, 절단, 용접, 납땜, 연마, 천공을 해서는 안 되며, 열, 스파크, 화염에 노출시키지 말 것</v>
          </cell>
        </row>
        <row r="612">
          <cell r="B612" t="str">
            <v>142-04-1</v>
          </cell>
          <cell r="C612" t="str">
            <v>아닐린염화물</v>
          </cell>
          <cell r="D612" t="str">
            <v>97-1-156</v>
          </cell>
          <cell r="E612" t="str">
            <v>및 그 염류를 25% 이상 함유한 혼합물질</v>
          </cell>
          <cell r="F612">
            <v>25</v>
          </cell>
          <cell r="G612" t="str">
            <v>- 건조하고 통풍이 잘 되는 그늘 및 서늘한 곳에 밀폐 보관할 것
- 식료품, 사료, 의약품, 음식과 혼합저장 금지할 것
- 필요에 따라 국소배기장치 가동할 것
- 저장용기는 물리적인 손상에 견딜 수 있어야 할 것
- 산화제(과염소산염, 과산화물, 과망간산염, 염소산염, 질소산염), 알루미늄, 금속(철, 아연, 알루미늄)수용액, 산, 알칼리와 격리하여 저장할 것
- 화재 또는 폭발의 위험이 있으므로 열원, 스파크, 불꽃, 가연성물질, 점화원과 격리하여 저장할 것
- 취급 또는 작업 시는 통풍이 잘 되는 후드에서 행하고 고글형 보안경, 보호의, 보호장갑(고무 또는 Butyl rubber), 고무앞치마, 양압자급식호흡용보호구를 착용하여 단기적인 접촉 및 반복적이고 장기적인 노출을 피할 것
- 노출기준 이상에서는 호흡보호구를 착용할 것
- 취급 후, 손을 철저하게 세척할 것
- 빈 용기를 가압, 절단, 용접, 납땜, 연마, 천공을 해서는 안 되며, 열, 스파크, 화염에 노출시키지 말 것</v>
          </cell>
        </row>
        <row r="613">
          <cell r="B613" t="str">
            <v>2424-53-5</v>
          </cell>
          <cell r="C613" t="str">
            <v>아닐린 염류</v>
          </cell>
          <cell r="D613" t="str">
            <v>97-1-156</v>
          </cell>
          <cell r="E613" t="str">
            <v>및 그 염류를 25% 이상 함유한 혼합물질</v>
          </cell>
          <cell r="F613">
            <v>25</v>
          </cell>
          <cell r="G613" t="str">
            <v>- 건조하고 통풍이 잘 되는 그늘 및 서늘한 곳에 밀폐 보관할 것
- 식료품, 사료, 의약품, 음식과 혼합저장 금지할 것
- 필요에 따라 국소배기장치 가동할 것
- 저장용기는 물리적인 손상에 견딜 수 있어야 할 것
- 산화제(과염소산염, 과산화물, 과망간산염, 염소산염, 질소산염), 알루미늄, 금속(철, 아연, 알루미늄)수용액, 산, 알칼리와 격리하여 저장할 것
- 화재 또는 폭발의 위험이 있으므로 열원, 스파크, 불꽃, 가연성물질, 점화원과 격리하여 저장할 것
- 취급 또는 작업 시는 통풍이 잘 되는 후드에서 행하고 고글형 보안경, 보호의, 보호장갑(고무 또는 Butyl rubber), 고무앞치마, 양압자급식호흡용보호구를 착용하여 단기적인 접촉 및 반복적이고 장기적인 노출을 피할 것
- 노출기준 이상에서는 호흡보호구를 착용할 것
- 취급 후, 손을 철저하게 세척할 것
- 빈 용기를 가압, 절단, 용접, 납땜, 연마, 천공을 해서는 안 되며, 열, 스파크, 화염에 노출시키지 말 것</v>
          </cell>
        </row>
        <row r="614">
          <cell r="B614" t="str">
            <v>2032-59-9</v>
          </cell>
          <cell r="C614" t="str">
            <v>아미노캅</v>
          </cell>
          <cell r="D614" t="str">
            <v>97-1-157</v>
          </cell>
          <cell r="E614" t="str">
            <v>및 이를 1% 이상 함유한 혼합물질</v>
          </cell>
          <cell r="F614">
            <v>1</v>
          </cell>
          <cell r="G614" t="str">
            <v>- 그늘 및 서늘한 곳에 밀폐 보관할 것
- 식료품, 사료, 의약품, 음식과 혼합저장 금지할 것
- 필요에 따라 국소배기장치를 설치하여 환기할 것
- 혼합금지물질 및 점화원을 격리할 것
- 화학물질 흄 후드내에서 취급할 것
- 취급시 고글형 보안경과 마스크를 착용할 것</v>
          </cell>
        </row>
        <row r="615">
          <cell r="B615" t="str">
            <v>54381-26-9</v>
          </cell>
          <cell r="C615" t="str">
            <v>아미도티오산</v>
          </cell>
          <cell r="D615" t="str">
            <v>97-1-158</v>
          </cell>
          <cell r="E615" t="str">
            <v>및 이를 1% 이상 함유한 혼합물질</v>
          </cell>
          <cell r="F615">
            <v>1</v>
          </cell>
          <cell r="G615" t="str">
            <v>- 통풍이 잘 되는 그늘 및 서늘한 곳에 밀폐 보관할 것
- 식료품, 사료, 의약품, 음식과 혼합저장 금지할 것
- 저장용기는 물리적인 손상에 견딜 수 있어야 할 것
- 사고발생에 대비하여 눈이나 몸을 씻을 수 있는 세안시설과 샤워시설이 이용 가능한 장소에서 작업할 것
- 사용한 후 식사, 흡연, 화장실에 가기 전에 물과 비누로 손을 꼭 세척할 것
- 호흡용보호구, 보안경, 보호의, 보호장갑(고무 또는 네오프렌 재질)을 반드시 사용할 것
- 콘택트렌즈를 착용 금지할 것
- 통풍장치 가동할 것</v>
          </cell>
        </row>
        <row r="616">
          <cell r="B616" t="str">
            <v>78-53-5</v>
          </cell>
          <cell r="C616" t="str">
            <v>아미톤</v>
          </cell>
          <cell r="D616" t="str">
            <v>97-1-159</v>
          </cell>
          <cell r="E616" t="str">
            <v>및 그 중 하나를 1% 이상 함유한 혼합물질</v>
          </cell>
          <cell r="F616">
            <v>1</v>
          </cell>
          <cell r="G616" t="str">
            <v>- 통풍이 잘 되는 그늘 및 서늘한 곳에서 보관할 것
- 식료품, 사료, 의약품, 인화성물질, 음식과 혼합저장 금지할 것
- 필요에 따라 국소배기장치 가동할 것
- 혼합금지물질 및 점화원을 격리할 것
- 화학물질 흄 후드 내에서 취급할 것
- 가죽으로 만든 보호의, 장갑, 앞치마는 사용 금지할 것
- 작업 후 온몸을 깨끗이 씻은 후 충분한 휴식할 것
- 양압자급식호흡용보호구를 반드시 착용하고 보호의와 고글형 보안경, 고무장갑을 착용할 것
- 피부와의 접촉시 즉시 제조자에 의해 지정된 물질로 충분히 씻어 낼 것
- 적절한 보호복과 보호 장갑을 착용할 것
- 환경에 배출을 피할 것</v>
          </cell>
        </row>
        <row r="617">
          <cell r="B617" t="str">
            <v>2813-95-8</v>
          </cell>
          <cell r="C617" t="str">
            <v xml:space="preserve">아세트산 디노셉 </v>
          </cell>
          <cell r="D617" t="str">
            <v>97-1-160</v>
          </cell>
          <cell r="E617" t="str">
            <v>및 이를 1% 이상 함유한 혼합물질</v>
          </cell>
          <cell r="F617">
            <v>1</v>
          </cell>
          <cell r="G617" t="str">
            <v>- 건조하고 통풍이 잘 되는 그늘 및 서늘한 곳에 밀폐 보관할 것
- 식료품, 사료, 의약품, 음식과 혼합저장 금지할 것
- 필요에 따라 국소배기장치 가동할 것
- 저장용기는 물리적인 손상에 견딜 수 있어야 할 것
- 혼합금지물질 및 점화원을 격리할 것
- 취급 또는 작업시는 통풍이 잘 되는 후드에서 행하고 고글형 보안경, 보호의, 고무장갑, 고무앞치마, 양압자급식호흡용보호구를 착용하여 단기적인 접촉 및 반복적이고 장기적인 노출을 피할 것
- 노출기준 이상에서는 호흡보호구를 착용할 것</v>
          </cell>
        </row>
        <row r="618">
          <cell r="B618" t="str">
            <v>141-78-6</v>
          </cell>
          <cell r="C618" t="str">
            <v>아세트산 에틸</v>
          </cell>
          <cell r="D618" t="str">
            <v>97-1-161</v>
          </cell>
          <cell r="E618" t="str">
            <v>및 이를 85% 이상 함유한 혼합물질</v>
          </cell>
          <cell r="F618">
            <v>85</v>
          </cell>
          <cell r="G618" t="str">
            <v>- 건조하고 통풍이 잘 되는 그늘 및 서늘한 곳에 밀폐 보관할 것
- 식료품, 사료, 의약품, 음식과 혼합저장 금지할 것
- 필요에 따라 국소배기장치 가동할 것
- 질산염, 강염기, 강산화제, 강산과 격리하여 저장할 것
- 화재, 폭발위험성이 있으므로 열, 스파크, 불꽃, 가연성물질 및 점화원과 격리하여 저장할 것
- 취급 또는 작업시는 통풍이 잘 되는 후드에서 행하고 고글형 보안경, 보호의, 고무장갑(PVC, 또는 네오프렌), 고무앞치마, 양압자급식호흡용보호구를 착용하여 단기적인 접촉 및 반복적이고 장기적인 노출을 피할 것
- 노출기준 이상에서는 호흡보호구를 착용할 것
- 취급 후, 손을 철저하게 세척할 것
- 물질을 이동시킬 때 용기를 땅에 밀착하여 이동할 것
- 빈 용기를 가압, 절단, 용접, 납땜, 연마, 천공을 해서는 안 되며, 열, 스파크, 화염에 노출시키지 말 것
- 사고대비물질(이를 25% 이상 함유한 혼합물질)</v>
          </cell>
        </row>
        <row r="619">
          <cell r="B619" t="str">
            <v>563-68-8</v>
          </cell>
          <cell r="C619" t="str">
            <v>아세트산 탈륨</v>
          </cell>
          <cell r="D619" t="str">
            <v>97-1-162,06-4-15</v>
          </cell>
          <cell r="E619" t="str">
            <v>및 이를 1% 이상 함유한 혼합물질</v>
          </cell>
          <cell r="F619">
            <v>1</v>
          </cell>
          <cell r="G619" t="str">
            <v>- 통풍이 잘 되는 그늘 및 서늘한 곳에 밀폐 보관할 것
- 혼합금지물질과 떨어진 곳에 저장할 것
- 사고발생에 대비하여 눈이나 몸을 씻을 수 있는 세안시설과 샤워시설이 이용 가능한 장소에서 작업할 것
- 사용한 후 식사, 흡연, 화장실에 가기 전에 물과 비누로 손을 꼭 세척할 것
- 호흡용보호구, 안면보호구, 보안경, 고무장갑을 반드시 사용할 것
- 콘택트렌즈를 착용 금지할 것
- 작업장내의 농도를 허용농도이하로 유지할 것
- 필요에 따라 국소배기장치 가동할 것
- 취급금지물질(이를 1% 이상 함유한 혼합물질)</v>
          </cell>
        </row>
        <row r="620">
          <cell r="B620" t="str">
            <v>7758-19-2</v>
          </cell>
          <cell r="C620" t="str">
            <v>아염소산나트륨</v>
          </cell>
          <cell r="D620" t="str">
            <v>97-1-163</v>
          </cell>
          <cell r="E620" t="str">
            <v>및 이를 25% 이상 함유한 혼합물질</v>
          </cell>
          <cell r="F620">
            <v>25</v>
          </cell>
          <cell r="G620" t="str">
            <v>- 건조하고 통풍이 잘 되는 그늘 및 서늘한 곳에 밀폐 보관할 것
- 식료품, 사료, 의약품, 음식과 혼합저장 및 수송 금지할 것 필요에 따라 국소배기장치 가동할 것
- 화재, 폭발 위험성이 있으므로 스파크, 불꽃, 가연성물질, 점화원과 격리하여 저장할 것
- 충격을 피하고, 열, 산화제, 암모니아, 아민류, 산, 옥살산(oxalic acid),  환원제, 인, 황, 디티온산 나트륨(sodium dithionate)과 격리 저장할 것
- 취급 또는 작업시는 통풍이 잘 되는 후드에서 행하고 고글형 보안경, 내산성보호의, 고무장갑, 고무앞치마, 양압자급식호흡용보호구를 착용하여 단기적인 접촉 및 반복적이고 장기적인 노출을 피할 것
- 발암성, 생식독성물질이므로 취급시 매우 주의할 것
- 노출기준 이상에서는 호흡보호구를 착용할 것
- 취급 후, 손을 철저하게 세척할 것</v>
          </cell>
        </row>
        <row r="621">
          <cell r="B621" t="str">
            <v>41083-11-8</v>
          </cell>
          <cell r="C621" t="str">
            <v>아조시클로틴</v>
          </cell>
          <cell r="D621" t="str">
            <v>97-1-164</v>
          </cell>
          <cell r="E621" t="str">
            <v>및 이를 1% 이상 함유한 혼합물질</v>
          </cell>
          <cell r="F621">
            <v>1</v>
          </cell>
          <cell r="G621" t="str">
            <v>- 건조하고 통풍이 잘 되는 그늘 및 서늘한 곳에 밀폐 보관할 것
- 식료품, 사료, 의약품, 음식과 혼합저장 금지할 것
- 필요에 따라 국소배기장치 가동할 것
- 저장용기는 물리적인 손상에 견딜 수 있어야 할 것
- 취급 또는 작업 시는 통풍이 잘 되는 후드에서 행하고 고글형 보안경, 보호의, 보호장갑, 앞치마, 양압자급식호흡용보호구를 착용하여 단기적인 접촉 및 반복적이고 장기적인 노출을 피할 것
- 노출기준 이상에서는 호흡보호구를 착용할 것</v>
          </cell>
        </row>
        <row r="622">
          <cell r="B622" t="str">
            <v>26628-22-8</v>
          </cell>
          <cell r="C622" t="str">
            <v>아지드화 나트륨</v>
          </cell>
          <cell r="D622" t="str">
            <v>97-1-165</v>
          </cell>
          <cell r="E622" t="str">
            <v>및 이를 1.0% 이상 함유한 혼합물질</v>
          </cell>
          <cell r="F622">
            <v>1</v>
          </cell>
          <cell r="G622" t="str">
            <v>- 300℃이하에서 안정하며 장기간 보관할 수 있음할 것
- 서늘하고 건조하고 통풍이 잘 되는 장소에서 혼합금지물질과 격리 저장할 것
- 식료품, 사료, 의약품, 음식과 혼합저장 금지할 것
- 필요에 따라 국소배기장치 가동할 것
- 취급 또는 작업시는 양압자급식호흡용보호구를 착용하고 고글형 보안경, 보호의, 고무(또는 네오프렌) 재질의 장갑 및 고무장화와 전면보호구 등을 착용하여 단기적인 접촉 및 반복적이고 장기적인 노출을 피할 것
- 취급 후, 손을 철저하게 세척할 것
- 통풍이 잘 되는 장소에서만 사용할 것</v>
          </cell>
        </row>
        <row r="623">
          <cell r="B623" t="str">
            <v>86-50-0</v>
          </cell>
          <cell r="C623" t="str">
            <v>아진포스-메틸</v>
          </cell>
          <cell r="D623" t="str">
            <v>97-1-166</v>
          </cell>
          <cell r="E623" t="str">
            <v>및 이를 1% 이상 함유한 혼합물질</v>
          </cell>
          <cell r="F623">
            <v>1</v>
          </cell>
          <cell r="G623" t="str">
            <v>- 건조하고 통풍이 잘 되는 그늘 및 서늘한 곳에 밀폐 보관할 것
- 식료품, 사료, 의약품, 음식과 혼합저장 금지할 것
- 필요에 따라 국소배기장치 가동할 것
- 강산화제와 혼합위험성(incompatible)이 있으므로 격리하여 저장할 것
- 열, 산화제, 스파크, 불꽃, 가연성물질, 점화원과 격리하여 저장[화재,  폭발 위험성]할 것
- 취급 또는 작업시는 통풍이 잘 되는 후드에서 행하고 고글형 보안경, 보호의, 고무장갑, 고무앞치마, 양압자급식호흡용보호구를 착용하여 단기적인 접촉 및 반복적이고 장기적인 노출을 피할 것
- 가죽으로 만든 보호의, 장갑, 앞치마는 사용 금지할 것
- 노출기준 이상에서는 호흡보호구를 착용할 것</v>
          </cell>
        </row>
        <row r="624">
          <cell r="B624" t="str">
            <v>13138-45-9</v>
          </cell>
          <cell r="C624" t="str">
            <v xml:space="preserve">아질산 염류 </v>
          </cell>
          <cell r="D624" t="str">
            <v>97-1-167</v>
          </cell>
          <cell r="E624" t="str">
            <v>및 이를 25% 이상 함유한 혼합물질</v>
          </cell>
          <cell r="F624">
            <v>25</v>
          </cell>
          <cell r="G624" t="str">
            <v>- 통풍이 잘 되고 빛과 열기에서 분리된 시멘트바닥의 그늘 및 서늘한 곳에 밀폐 보관할 것
- 식료품, 사료, 의약품, 음식, 알칼리성물질과 혼합저장 금지할 것
- 필요에 따라 국소배기장치를 설치하여 환기할 것
- 취급시 양압자급식호흡용보호구, 보호의, 보호장갑을 착용할 것</v>
          </cell>
        </row>
        <row r="625">
          <cell r="B625" t="str">
            <v>13446-48-5</v>
          </cell>
          <cell r="C625" t="str">
            <v xml:space="preserve">아질산 염류 </v>
          </cell>
          <cell r="D625" t="str">
            <v>97-1-167</v>
          </cell>
          <cell r="E625" t="str">
            <v>및 이를 25% 이상 함유한 혼합물질</v>
          </cell>
          <cell r="F625">
            <v>25</v>
          </cell>
          <cell r="G625" t="str">
            <v>- 통풍이 잘 되고 빛과 열기에서 분리된 시멘트바닥의 그늘 및 서늘한 곳에 밀폐 보관할 것
- 식료품, 사료, 의약품, 음식, 알칼리성물질과 혼합저장 금지할 것
- 필요에 따라 국소배기장치를 설치하여 환기할 것
- 취급시 양압자급식호흡용보호구, 보호의, 보호장갑을 착용할 것</v>
          </cell>
        </row>
        <row r="626">
          <cell r="B626" t="str">
            <v>13465-94-6</v>
          </cell>
          <cell r="C626" t="str">
            <v xml:space="preserve">아질산 염류 </v>
          </cell>
          <cell r="D626" t="str">
            <v>97-1-167</v>
          </cell>
          <cell r="E626" t="str">
            <v>및 이를 25% 이상 함유한 혼합물질</v>
          </cell>
          <cell r="F626">
            <v>25</v>
          </cell>
          <cell r="G626" t="str">
            <v>- 통풍이 잘 되고 빛과 열기에서 분리된 시멘트바닥의 그늘 및 서늘한 곳에 밀폐 보관할 것
- 식료품, 사료, 의약품, 음식, 알칼리성물질과 혼합저장 금지할 것
- 필요에 따라 국소배기장치를 설치하여 환기할 것
- 취급시 양압자급식호흡용보호구, 보호의, 보호장갑을 착용할 것</v>
          </cell>
        </row>
        <row r="627">
          <cell r="B627" t="str">
            <v>13470-06-9</v>
          </cell>
          <cell r="C627" t="str">
            <v xml:space="preserve">아질산 염류 </v>
          </cell>
          <cell r="D627" t="str">
            <v>97-1-167</v>
          </cell>
          <cell r="E627" t="str">
            <v>및 이를 25% 이상 함유한 혼합물질</v>
          </cell>
          <cell r="F627">
            <v>25</v>
          </cell>
          <cell r="G627" t="str">
            <v>- 통풍이 잘 되고 빛과 열기에서 분리된 시멘트바닥의 그늘 및 서늘한 곳에 밀폐 보관할 것
- 식료품, 사료, 의약품, 음식, 알칼리성물질과 혼합저장 금지할 것
- 필요에 따라 국소배기장치를 설치하여 환기할 것
- 취급시 양압자급식호흡용보호구, 보호의, 보호장갑을 착용할 것</v>
          </cell>
        </row>
        <row r="628">
          <cell r="B628" t="str">
            <v>13568-33-7</v>
          </cell>
          <cell r="C628" t="str">
            <v xml:space="preserve">아질산 염류 </v>
          </cell>
          <cell r="D628" t="str">
            <v>97-1-167</v>
          </cell>
          <cell r="E628" t="str">
            <v>및 이를 25% 이상 함유한 혼합물질</v>
          </cell>
          <cell r="F628">
            <v>25</v>
          </cell>
          <cell r="G628" t="str">
            <v>- 통풍이 잘 되고 빛과 열기에서 분리된 시멘트바닥의 그늘 및 서늘한 곳에 밀폐 보관할 것
- 식료품, 사료, 의약품, 음식, 알칼리성물질과 혼합저장 금지할 것
- 필요에 따라 국소배기장치를 설치하여 환기할 것
- 취급시 양압자급식호흡용보호구, 보호의, 보호장갑을 착용할 것</v>
          </cell>
        </row>
        <row r="629">
          <cell r="B629" t="str">
            <v>13780-06-8</v>
          </cell>
          <cell r="C629" t="str">
            <v xml:space="preserve">아질산 염류 </v>
          </cell>
          <cell r="D629" t="str">
            <v>97-1-167</v>
          </cell>
          <cell r="E629" t="str">
            <v>및 이를 25% 이상 함유한 혼합물질</v>
          </cell>
          <cell r="F629">
            <v>25</v>
          </cell>
          <cell r="G629" t="str">
            <v>- 통풍이 잘 되고 빛과 열기에서 분리된 시멘트바닥의 그늘 및 서늘한 곳에 밀폐 보관할 것
- 식료품, 사료, 의약품, 음식, 알칼리성물질과 혼합저장 금지할 것
- 필요에 따라 국소배기장치를 설치하여 환기할 것
- 취급시 양압자급식호흡용보호구, 보호의, 보호장갑을 착용할 것</v>
          </cell>
        </row>
        <row r="630">
          <cell r="B630" t="str">
            <v>13826-65-8</v>
          </cell>
          <cell r="C630" t="str">
            <v xml:space="preserve">아질산 염류 </v>
          </cell>
          <cell r="D630" t="str">
            <v>97-1-167</v>
          </cell>
          <cell r="E630" t="str">
            <v>및 이를 25% 이상 함유한 혼합물질</v>
          </cell>
          <cell r="F630">
            <v>25</v>
          </cell>
          <cell r="G630" t="str">
            <v>- 통풍이 잘 되고 빛과 열기에서 분리된 시멘트바닥의 그늘 및 서늘한 곳에 밀폐 보관할 것
- 식료품, 사료, 의약품, 음식, 알칼리성물질과 혼합저장 금지할 것
- 필요에 따라 국소배기장치를 설치하여 환기할 것
- 취급시 양압자급식호흡용보호구, 보호의, 보호장갑을 착용할 것</v>
          </cell>
        </row>
        <row r="631">
          <cell r="B631" t="str">
            <v>14216-75-2</v>
          </cell>
          <cell r="C631" t="str">
            <v xml:space="preserve">아질산 염류 </v>
          </cell>
          <cell r="D631" t="str">
            <v>97-1-167</v>
          </cell>
          <cell r="E631" t="str">
            <v>및 이를 25% 이상 함유한 혼합물질</v>
          </cell>
          <cell r="F631">
            <v>25</v>
          </cell>
          <cell r="G631" t="str">
            <v>- 통풍이 잘 되고 빛과 열기에서 분리된 시멘트바닥의 그늘 및 서늘한 곳에 밀폐 보관할 것
- 식료품, 사료, 의약품, 음식, 알칼리성물질과 혼합저장 금지할 것
- 필요에 따라 국소배기장치를 설치하여 환기할 것
- 취급시 양압자급식호흡용보호구, 보호의, 보호장갑을 착용할 것</v>
          </cell>
        </row>
        <row r="632">
          <cell r="B632" t="str">
            <v>14984-71-5</v>
          </cell>
          <cell r="C632" t="str">
            <v xml:space="preserve">아질산 염류 </v>
          </cell>
          <cell r="D632" t="str">
            <v>97-1-167</v>
          </cell>
          <cell r="E632" t="str">
            <v>및 이를 25% 이상 함유한 혼합물질</v>
          </cell>
          <cell r="F632">
            <v>25</v>
          </cell>
          <cell r="G632" t="str">
            <v>- 통풍이 잘 되고 빛과 열기에서 분리된 시멘트바닥의 그늘 및 서늘한 곳에 밀폐 보관할 것
- 식료품, 사료, 의약품, 음식, 알칼리성물질과 혼합저장 금지할 것
- 필요에 따라 국소배기장치를 설치하여 환기할 것
- 취급시 양압자급식호흡용보호구, 보호의, 보호장갑을 착용할 것</v>
          </cell>
        </row>
        <row r="633">
          <cell r="B633" t="str">
            <v>7632-00-0</v>
          </cell>
          <cell r="C633" t="str">
            <v xml:space="preserve">아질산 염류 </v>
          </cell>
          <cell r="D633" t="str">
            <v>97-1-167</v>
          </cell>
          <cell r="E633" t="str">
            <v>및 이를 25% 이상 함유한 혼합물질</v>
          </cell>
          <cell r="F633">
            <v>25</v>
          </cell>
          <cell r="G633" t="str">
            <v>- 통풍이 잘 되고 빛과 열기에서 분리된 시멘트바닥의 그늘 및 서늘한 곳에 밀폐 보관할 것
- 식료품, 사료, 의약품, 음식, 알칼리성물질과 혼합저장 금지할 것
- 필요에 따라 국소배기장치를 설치하여 환기할 것
- 취급시 양압자급식호흡용보호구, 보호의, 보호장갑을 착용할 것</v>
          </cell>
        </row>
        <row r="634">
          <cell r="B634" t="str">
            <v>7758-09-0</v>
          </cell>
          <cell r="C634" t="str">
            <v xml:space="preserve">아질산 염류 </v>
          </cell>
          <cell r="D634" t="str">
            <v>97-1-167</v>
          </cell>
          <cell r="E634" t="str">
            <v>및 이를 25% 이상 함유한 혼합물질</v>
          </cell>
          <cell r="F634">
            <v>25</v>
          </cell>
          <cell r="G634" t="str">
            <v>- 통풍이 잘 되고 빛과 열기에서 분리된 시멘트바닥의 그늘 및 서늘한 곳에 밀폐 보관할 것
- 식료품, 사료, 의약품, 음식, 알칼리성물질과 혼합저장 금지할 것
- 필요에 따라 국소배기장치를 설치하여 환기할 것
- 취급시 양압자급식호흡용보호구, 보호의, 보호장갑을 착용할 것</v>
          </cell>
        </row>
        <row r="635">
          <cell r="B635" t="str">
            <v>7783-99-5</v>
          </cell>
          <cell r="C635" t="str">
            <v xml:space="preserve">아질산 염류 </v>
          </cell>
          <cell r="D635" t="str">
            <v>97-1-167</v>
          </cell>
          <cell r="E635" t="str">
            <v>및 이를 25% 이상 함유한 혼합물질</v>
          </cell>
          <cell r="F635">
            <v>25</v>
          </cell>
          <cell r="G635" t="str">
            <v>- 통풍이 잘 되고 빛과 열기에서 분리된 시멘트바닥의 그늘 및 서늘한 곳에 밀폐 보관할 것
- 식료품, 사료, 의약품, 음식, 알칼리성물질과 혼합저장 금지할 것
- 필요에 따라 국소배기장치를 설치하여 환기할 것
- 취급시 양압자급식호흡용보호구, 보호의, 보호장갑을 착용할 것</v>
          </cell>
        </row>
        <row r="636">
          <cell r="B636" t="str">
            <v>7790-83-2</v>
          </cell>
          <cell r="C636" t="str">
            <v xml:space="preserve">아질산 염류 </v>
          </cell>
          <cell r="D636" t="str">
            <v>97-1-167</v>
          </cell>
          <cell r="E636" t="str">
            <v>및 이를 25% 이상 함유한 혼합물질</v>
          </cell>
          <cell r="F636">
            <v>25</v>
          </cell>
          <cell r="G636" t="str">
            <v>- 통풍이 잘 되고 빛과 열기에서 분리된 시멘트바닥의 그늘 및 서늘한 곳에 밀폐 보관할 것
- 식료품, 사료, 의약품, 음식, 알칼리성물질과 혼합저장 금지할 것
- 필요에 따라 국소배기장치를 설치하여 환기할 것
- 취급시 양압자급식호흡용보호구, 보호의, 보호장갑을 착용할 것</v>
          </cell>
        </row>
        <row r="637">
          <cell r="B637" t="str">
            <v>107-02-8</v>
          </cell>
          <cell r="C637" t="str">
            <v>아크롤레인</v>
          </cell>
          <cell r="D637" t="str">
            <v>97-1-168</v>
          </cell>
          <cell r="E637" t="str">
            <v>및 이를 1.0% 이상 함유한 혼합물질</v>
          </cell>
          <cell r="F637">
            <v>1</v>
          </cell>
          <cell r="G637" t="str">
            <v>- 통풍이 잘 되는 그늘 및 서늘한 곳에 밀폐 보관할 것
- 알칼리와 격리하여 보관할 것
- 식료품, 사료, 의약품, 음식과 혼합저장 금지할 것
- 필요에 따라 국소배기장치 가동할 것
- 열, 스파크, 화염, 점화원과 격리할 것
- 질소가스를 충전하여 보관할 것
- 취급 또는 작업 시는 양압자급식호흡용보호구를 착용하고 고글형 보안경, 보호의, 니트릴고무재질의 장갑 및 고무장화와 전면보호구 등을 착용하여 단기적인 접촉 및 반복적이고 장기적인 노출을 피할 것
- 취급 후, 손을 철저하게 세척할 것
- 통풍이 잘 되는 장소에서만 사용할 것
- 물질을 이동시킬 때 용기를 땅에 밀착하여 이동할 것
- 스파크를 막는 기계와 폭발을 막는 장치를 사용할 것
- 사고대비물질(이를 1% 이상 함유한 혼합물질)</v>
          </cell>
        </row>
        <row r="638">
          <cell r="B638" t="str">
            <v>101007-06-1</v>
          </cell>
          <cell r="C638" t="str">
            <v>아크린아트린</v>
          </cell>
          <cell r="D638" t="str">
            <v>97-1-169,06-4-17</v>
          </cell>
          <cell r="E638" t="str">
            <v>및 이를 25% 이상 함유한 혼합물질</v>
          </cell>
          <cell r="F638">
            <v>25</v>
          </cell>
          <cell r="G638" t="str">
            <v>- 건조하고 통풍이 잘 되는 그늘 및 서늘한 곳에 밀폐 보관할 것
- 식료품, 사료, 의약품, 음식과 혼합저장 금지할 것
- 필요에 따라 국소배기장치 가동할 것
- 저장용기는 물리적인 손상에 견딜 수 있어야 할 것
- 화재 또는 폭발의 위험성이 있으므로 열원, 스파크, 불꽃, 가연성물질, 점화원과 격리하여 저장할 것
- 취급 또는 작업시는 통풍이 잘 되는 후드에서 행하고 고글형 보안경, 보호의, 보호장갑, 앞치마, 고무장화, 양압자급식호흡용보호구를 착용하여 단기적인 접촉 및 반복적이고 장기적인 노출을 피할 것
- 노출기준 이상에서는 호흡보호구를 착용할 것
- 취급금지물질(이를 25% 이상 함유한 혼합물질)</v>
          </cell>
        </row>
        <row r="639">
          <cell r="B639" t="str">
            <v>107-13-1</v>
          </cell>
          <cell r="C639" t="str">
            <v>아크릴로니트릴</v>
          </cell>
          <cell r="D639" t="str">
            <v>97-1-170</v>
          </cell>
          <cell r="E639" t="str">
            <v>및 이를 0.1% 이상 함유한 혼합물질.</v>
          </cell>
          <cell r="F639">
            <v>0.1</v>
          </cell>
          <cell r="G639" t="str">
            <v>- 물리적인 손상에 견딜 수 있는 용기에 넣어 알칼리, 산화제 및 인화성물질과 격리하여 실외에 보관할 것
- 건조하고 통풍이 잘 되는 그늘 및 서늘한 곳에 밀폐 보관할 것
- 식료품, 사료, 의약품, 음식과 혼합저장 금지할 것
- 필요에 따라 국소배기장치 가동할 것
- 취급 또는 작업 시는 양압자급식호흡용보호구를 착용하고 고글형 안경, 보호의, 고무(또는 네오프렌)재질의 장갑 및 고무장화와 전면보호구 등을 착용하여 단기적인 접촉 및 반복적이고 장기적인 노출을 피할 것
- 취급 후, 손을 철저하게 세척할 것
- 통풍이 잘 되는 장소에서만 사용할 것
- 물질을 이동시킬 때 용기를 땅에 밀착하여 이동할 것
- 스파크를 막는 기계와 폭발을 막는 장치를 사용할 것
- 빈 용기를 가압, 절단, 용접, 납땜, 연마, 천공을 해서는 안 되며, 열, 스파크, 화염에 노출시키지 말 것
- 사고대비물질(이를 0.1% 이상 함유한 혼합물질)</v>
          </cell>
        </row>
        <row r="640">
          <cell r="B640" t="str">
            <v>79-06-1</v>
          </cell>
          <cell r="C640" t="str">
            <v xml:space="preserve">아크릴아미드 </v>
          </cell>
          <cell r="D640" t="str">
            <v>97-1-171</v>
          </cell>
          <cell r="E640" t="str">
            <v>및 이를 0.1% 이상 함유한 혼합물질</v>
          </cell>
          <cell r="F640">
            <v>0.1</v>
          </cell>
          <cell r="G640" t="str">
            <v>- 건조하고 통풍이 잘 되는 20~30℃의 그늘 및 서늘한 곳에 밀폐 보관할 것
- 식료품, 사료, 의약품, 음식과 혼합저장 금지할 것
- 필요에 따라 국소배기장치 가동할 것
- 열, 스파크, 화염과 격리할 것
- 직사광선, 산화물질과의 접촉을 피할 것
- 산성 물질, 알칼리성 물질과 가까이 저장 금지할 것
- 취급 또는 작업시는 양압자급식 호흡용 보호구를 착용하고 고글형 보안경, 보호의, 고무(또는 네오프렌)재질의 장갑 및 고무장화와 전면보호구 등을 착용하여 단기적인 접촉 및 반복적이고 장기적인 노출을 피할 것
- 취급 후, 손을 철저하게 세척할 것</v>
          </cell>
        </row>
        <row r="641">
          <cell r="B641" t="str">
            <v>545-55-1</v>
          </cell>
          <cell r="C641" t="str">
            <v>아폭사이드</v>
          </cell>
          <cell r="D641" t="str">
            <v>97-1-172</v>
          </cell>
          <cell r="E641" t="str">
            <v>및 이를 1% 이상 함유한 혼합물질</v>
          </cell>
          <cell r="F641">
            <v>1</v>
          </cell>
          <cell r="G641" t="str">
            <v>- 통풍이 잘 되는 그늘 및 서늘한 곳에 밀폐 보관할 것
- 식료품, 사료, 의약품, 음식과 혼합저장 금지할 것
- 필요에 따라 국소배기장치 가동할 것
- 혼합금지물질 및 점화원을 격리할 것
- 사고발생에 대비하여 눈이나 몸을 씻을 수 있는 세안시설과 샤워시설이 이용 가능한 장소에서 작업할 것
- 사용한 후 식사, 흡연, 화장실에 가기 전에 물과 비누로 손을 꼭 세척할 것
- 호흡용보호구, 전면보호구, 보안경, 고무장갑을 반드시 사용할 것
- 콘택트렌즈를 착용 금지할 것
- 통풍장치 가동할 것</v>
          </cell>
        </row>
        <row r="642">
          <cell r="B642" t="str">
            <v>52-46-0</v>
          </cell>
          <cell r="C642" t="str">
            <v>아폴레이트</v>
          </cell>
          <cell r="D642" t="str">
            <v>97-1-173</v>
          </cell>
          <cell r="E642" t="str">
            <v>및 이를 1% 이상 함유한 혼합물질</v>
          </cell>
          <cell r="F642">
            <v>1</v>
          </cell>
          <cell r="G642" t="str">
            <v>- 통풍이 잘 되는 그늘 및 서늘한 곳에 밀폐 보관할 것
- 식료품, 사료, 의약품, 음식과 혼합저장 금지할 것
- 필요에 따라 국소배기장치 가동할 것
- 사고발생에 대비하여 눈이나 몸을 씻을 수 있는 세안시설과 샤워시설이 이용 가능한 장소에서 작업할 것
- 사용한 후 식사, 흡연, 화장실에 가기 전에 물과 비누로 손을 꼭 세척할 것
- 호흡용보호구, 전면보호구, 보안경, 고무장갑을 반드시 사용할 것
- 콘택트렌즈를 착용 금지할 것
- 통풍장치 가동할 것</v>
          </cell>
        </row>
        <row r="643">
          <cell r="B643" t="str">
            <v>5827-05-4</v>
          </cell>
          <cell r="C643" t="str">
            <v>아피단</v>
          </cell>
          <cell r="D643" t="str">
            <v>97-1-174</v>
          </cell>
          <cell r="E643" t="str">
            <v>및 이를 5% 이상 함유한 혼합물질</v>
          </cell>
          <cell r="F643">
            <v>5</v>
          </cell>
          <cell r="G643" t="str">
            <v>- 통풍이 잘 되는 그늘 및 서늘한 곳에 밀폐 보관할 것
- 저장용기는 물리적인 손상에 견딜 수 있어야 할 것
- 필요에 따라 국소배기장치 가동할 것
- 취급시 피부접촉을 피하고 보호의, 보안경, 보호장갑을 착용할 것
- 취급시 양압자급식호흡용 보호 장비를 착용할 것
- 취급시 콘택트렌즈를 착용 금지할 것</v>
          </cell>
        </row>
        <row r="644">
          <cell r="B644" t="str">
            <v>86-88-4</v>
          </cell>
          <cell r="C644" t="str">
            <v>안투</v>
          </cell>
          <cell r="D644" t="str">
            <v>97-1-175,06-4-18</v>
          </cell>
          <cell r="E644" t="str">
            <v>및 이를 1% 이상 함유한 혼합물질</v>
          </cell>
          <cell r="F644">
            <v>1</v>
          </cell>
          <cell r="G644" t="str">
            <v>- 통풍이 잘 되는 그늘 및 서늘한 곳에 밀폐 보관할 것
- 식료품, 사료, 의약품, 음식과 혼합저장 금지할 것
- 필요에 따라 국소배기장치 가동할 것
- 산화제(과염소산염(perchlorates), 과산화물(peroxides), 과망간산염(permanganates), 질산염(nitrates), 염소, 브롬, 플루오르), 질산은과 격리하여 저장할 것
- 취급 또는 작업시는 통풍이 잘 되는 후드에서 행하고 고글형 보안경, 내산성보호의, 고무장갑(또는 네오프렌), 고무앞치마, 유기증기(organic vapor) 카트리지나 먼지, 흄, 미스트 필터가 장착된 전면호흡용보호구, 또는 양압자급식호흡용 보호구를 착용하여 단기적인 접촉 및 반복적이고 장기적인 노출을 피할 것
- 발암성물질이므로 취급시 매우 주의할 것
- 노출기준 이상에서는 호흡보호구를 착용할 것
- 취급 후, 손을 철저하게 세척할 것
- 취급금지물질(이를 1% 이상 함유한 혼합물질)</v>
          </cell>
        </row>
        <row r="645">
          <cell r="B645" t="str">
            <v>10025-91-9</v>
          </cell>
          <cell r="C645" t="str">
            <v>무기 안티몬 화합물질</v>
          </cell>
          <cell r="D645" t="str">
            <v>97-1-176</v>
          </cell>
          <cell r="E645" t="str">
            <v>및 이를 1% 이상 함유한 혼합물질. 다만, 산화안티몬(Antimony(Ⅴ) pentoxide, Antimony(Ⅳ) tetroxide), 황화안티몬(Antimony(Ⅴ) pentasulfide,Antimony(Ⅲ) trisulfide), 안티몬산(HSbO3), 염류 (antimonic(Ⅴ) acid, salts) 및 이를 함유한 혼합물질과 산화안티몬 (Antimony(III) trioxide)을 함유한 혼합물질은 제외</v>
          </cell>
          <cell r="F645">
            <v>1</v>
          </cell>
          <cell r="G645" t="str">
            <v>- 통풍이 잘되는 그늘 및 서늘한 곳에 밀폐 보관할 것
- 저장용기는 물리적인 손상에 견딜 수 있어야 할 것
- 필요에 따라 국소배기장치 가동할 것
- 취급 시 피부접촉을 피하고 보호복, 보안경, 보호 장갑(고무 재질)을 착용할 것
- 취급 시 양압자급식호흡 보호구를 착용할 것
- 취급 시 콘택트렌즈를 착용 금지할 것
- 작업장 부근에 비상시를 대비하여 샤워시설 및 세안시설을 갖출 것</v>
          </cell>
        </row>
        <row r="646">
          <cell r="B646" t="str">
            <v>102110-60-1</v>
          </cell>
          <cell r="C646" t="str">
            <v>무기 안티몬 화합물질</v>
          </cell>
          <cell r="D646" t="str">
            <v>97-1-176</v>
          </cell>
          <cell r="E646" t="str">
            <v>및 이를 1% 이상 함유한 혼합물질. 다만, 산화안티몬(Antimony(Ⅴ) pentoxide, Antimony(Ⅳ) tetroxide), 황화안티몬(Antimony(Ⅴ) pentasulfide,Antimony(Ⅲ) trisulfide), 안티몬산(HSbO3), 염류 (antimonic(Ⅴ) acid, salts) 및 이를 함유한 혼합물질과 산화안티몬 (Antimony(III) trioxide)을 함유한 혼합물질은 제외</v>
          </cell>
          <cell r="F646">
            <v>1</v>
          </cell>
          <cell r="G646" t="str">
            <v>- 통풍이 잘되는 그늘 및 서늘한 곳에 밀폐 보관할 것
- 저장용기는 물리적인 손상에 견딜 수 있어야 할 것
- 필요에 따라 국소배기장치 가동할 것
- 취급 시 피부접촉을 피하고 보호복, 보안경, 보호 장갑(고무 재질)을 착용할 것
- 취급 시 양압자급식호흡 보호구를 착용할 것
- 취급 시 콘택트렌즈를 착용 금지할 것
- 작업장 부근에 비상시를 대비하여 샤워시설 및 세안시설을 갖출 것</v>
          </cell>
        </row>
        <row r="647">
          <cell r="B647" t="str">
            <v>12014-29-8</v>
          </cell>
          <cell r="C647" t="str">
            <v>무기 안티몬 화합물질</v>
          </cell>
          <cell r="D647" t="str">
            <v>97-1-176</v>
          </cell>
          <cell r="E647" t="str">
            <v>및 이를 1% 이상 함유한 혼합물질. 다만, 산화안티몬(Antimony(Ⅴ) pentoxide, Antimony(Ⅳ) tetroxide), 황화안티몬(Antimony(Ⅴ) pentasulfide,Antimony(Ⅲ) trisulfide), 안티몬산(HSbO3), 염류 (antimonic(Ⅴ) acid, salts) 및 이를 함유한 혼합물질과 산화안티몬 (Antimony(III) trioxide)을 함유한 혼합물질은 제외</v>
          </cell>
          <cell r="F647">
            <v>1</v>
          </cell>
          <cell r="G647" t="str">
            <v>- 통풍이 잘되는 그늘 및 서늘한 곳에 밀폐 보관할 것
- 저장용기는 물리적인 손상에 견딜 수 있어야 할 것
- 필요에 따라 국소배기장치 가동할 것
- 취급 시 피부접촉을 피하고 보호복, 보안경, 보호 장갑(고무 재질)을 착용할 것
- 취급 시 양압자급식호흡 보호구를 착용할 것
- 취급 시 콘택트렌즈를 착용 금지할 것
- 작업장 부근에 비상시를 대비하여 샤워시설 및 세안시설을 갖출 것</v>
          </cell>
        </row>
        <row r="648">
          <cell r="B648" t="str">
            <v>12018-68-7</v>
          </cell>
          <cell r="C648" t="str">
            <v>무기 안티몬 화합물질</v>
          </cell>
          <cell r="D648" t="str">
            <v>97-1-176</v>
          </cell>
          <cell r="E648" t="str">
            <v>및 이를 1% 이상 함유한 혼합물질. 다만, 산화안티몬(Antimony(Ⅴ) pentoxide, Antimony(Ⅳ) tetroxide), 황화안티몬(Antimony(Ⅴ) pentasulfide,Antimony(Ⅲ) trisulfide), 안티몬산(HSbO3), 염류 (antimonic(Ⅴ) acid, salts) 및 이를 함유한 혼합물질과 산화안티몬 (Antimony(III) trioxide)을 함유한 혼합물질은 제외</v>
          </cell>
          <cell r="F648">
            <v>1</v>
          </cell>
          <cell r="G648" t="str">
            <v>- 통풍이 잘되는 그늘 및 서늘한 곳에 밀폐 보관할 것
- 저장용기는 물리적인 손상에 견딜 수 있어야 할 것
- 필요에 따라 국소배기장치 가동할 것
- 취급 시 피부접촉을 피하고 보호복, 보안경, 보호 장갑(고무 재질)을 착용할 것
- 취급 시 양압자급식호흡 보호구를 착용할 것
- 취급 시 콘택트렌즈를 착용 금지할 것
- 작업장 부근에 비상시를 대비하여 샤워시설 및 세안시설을 갖출 것</v>
          </cell>
        </row>
        <row r="649">
          <cell r="B649" t="str">
            <v>12019-92-0</v>
          </cell>
          <cell r="C649" t="str">
            <v>무기 안티몬 화합물질</v>
          </cell>
          <cell r="D649" t="str">
            <v>97-1-176</v>
          </cell>
          <cell r="E649" t="str">
            <v>및 이를 1% 이상 함유한 혼합물질. 다만, 산화안티몬(Antimony(Ⅴ) pentoxide, Antimony(Ⅳ) tetroxide), 황화안티몬(Antimony(Ⅴ) pentasulfide,Antimony(Ⅲ) trisulfide), 안티몬산(HSbO3), 염류 (antimonic(Ⅴ) acid, salts) 및 이를 함유한 혼합물질과 산화안티몬 (Antimony(III) trioxide)을 함유한 혼합물질은 제외</v>
          </cell>
          <cell r="F649">
            <v>1</v>
          </cell>
          <cell r="G649" t="str">
            <v>- 통풍이 잘되는 그늘 및 서늘한 곳에 밀폐 보관할 것
- 저장용기는 물리적인 손상에 견딜 수 있어야 할 것
- 필요에 따라 국소배기장치 가동할 것
- 취급 시 피부접촉을 피하고 보호복, 보안경, 보호 장갑(고무 재질)을 착용할 것
- 취급 시 양압자급식호흡 보호구를 착용할 것
- 취급 시 콘택트렌즈를 착용 금지할 것
- 작업장 부근에 비상시를 대비하여 샤워시설 및 세안시설을 갖출 것</v>
          </cell>
        </row>
        <row r="650">
          <cell r="B650" t="str">
            <v>12020-24-5</v>
          </cell>
          <cell r="C650" t="str">
            <v>무기 안티몬 화합물질</v>
          </cell>
          <cell r="D650" t="str">
            <v>97-1-176</v>
          </cell>
          <cell r="E650" t="str">
            <v>및 이를 1% 이상 함유한 혼합물질. 다만, 산화안티몬(Antimony(Ⅴ) pentoxide, Antimony(Ⅳ) tetroxide), 황화안티몬(Antimony(Ⅴ) pentasulfide,Antimony(Ⅲ) trisulfide), 안티몬산(HSbO3), 염류 (antimonic(Ⅴ) acid, salts) 및 이를 함유한 혼합물질과 산화안티몬 (Antimony(III) trioxide)을 함유한 혼합물질은 제외</v>
          </cell>
          <cell r="F650">
            <v>1</v>
          </cell>
          <cell r="G650" t="str">
            <v>- 통풍이 잘되는 그늘 및 서늘한 곳에 밀폐 보관할 것
- 저장용기는 물리적인 손상에 견딜 수 있어야 할 것
- 필요에 따라 국소배기장치 가동할 것
- 취급 시 피부접촉을 피하고 보호복, 보안경, 보호 장갑(고무 재질)을 착용할 것
- 취급 시 양압자급식호흡 보호구를 착용할 것
- 취급 시 콘택트렌즈를 착용 금지할 것
- 작업장 부근에 비상시를 대비하여 샤워시설 및 세안시설을 갖출 것</v>
          </cell>
        </row>
        <row r="651">
          <cell r="B651" t="str">
            <v>12022-92-3</v>
          </cell>
          <cell r="C651" t="str">
            <v>무기 안티몬 화합물질</v>
          </cell>
          <cell r="D651" t="str">
            <v>97-1-176</v>
          </cell>
          <cell r="E651" t="str">
            <v>및 이를 1% 이상 함유한 혼합물질. 다만, 산화안티몬(Antimony(Ⅴ) pentoxide, Antimony(Ⅳ) tetroxide), 황화안티몬(Antimony(Ⅴ) pentasulfide,Antimony(Ⅲ) trisulfide), 안티몬산(HSbO3), 염류 (antimonic(Ⅴ) acid, salts) 및 이를 함유한 혼합물질과 산화안티몬 (Antimony(III) trioxide)을 함유한 혼합물질은 제외</v>
          </cell>
          <cell r="F651">
            <v>1</v>
          </cell>
          <cell r="G651" t="str">
            <v>- 통풍이 잘되는 그늘 및 서늘한 곳에 밀폐 보관할 것
- 저장용기는 물리적인 손상에 견딜 수 있어야 할 것
- 필요에 따라 국소배기장치 가동할 것
- 취급 시 피부접촉을 피하고 보호복, 보안경, 보호 장갑(고무 재질)을 착용할 것
- 취급 시 양압자급식호흡 보호구를 착용할 것
- 취급 시 콘택트렌즈를 착용 금지할 것
- 작업장 부근에 비상시를 대비하여 샤워시설 및 세안시설을 갖출 것</v>
          </cell>
        </row>
        <row r="652">
          <cell r="B652" t="str">
            <v>12022-93-4</v>
          </cell>
          <cell r="C652" t="str">
            <v>무기 안티몬 화합물질</v>
          </cell>
          <cell r="D652" t="str">
            <v>97-1-176</v>
          </cell>
          <cell r="E652" t="str">
            <v>및 이를 1% 이상 함유한 혼합물질. 다만, 산화안티몬(Antimony(Ⅴ) pentoxide, Antimony(Ⅳ) tetroxide), 황화안티몬(Antimony(Ⅴ) pentasulfide,Antimony(Ⅲ) trisulfide), 안티몬산(HSbO3), 염류 (antimonic(Ⅴ) acid, salts) 및 이를 함유한 혼합물질과 산화안티몬 (Antimony(III) trioxide)을 함유한 혼합물질은 제외</v>
          </cell>
          <cell r="F652">
            <v>1</v>
          </cell>
          <cell r="G652" t="str">
            <v>- 통풍이 잘되는 그늘 및 서늘한 곳에 밀폐 보관할 것
- 저장용기는 물리적인 손상에 견딜 수 있어야 할 것
- 필요에 따라 국소배기장치 가동할 것
- 취급 시 피부접촉을 피하고 보호복, 보안경, 보호 장갑(고무 재질)을 착용할 것
- 취급 시 양압자급식호흡 보호구를 착용할 것
- 취급 시 콘택트렌즈를 착용 금지할 것
- 작업장 부근에 비상시를 대비하여 샤워시설 및 세안시설을 갖출 것</v>
          </cell>
        </row>
        <row r="653">
          <cell r="B653" t="str">
            <v>12024-80-5</v>
          </cell>
          <cell r="C653" t="str">
            <v>무기 안티몬 화합물질</v>
          </cell>
          <cell r="D653" t="str">
            <v>97-1-176</v>
          </cell>
          <cell r="E653" t="str">
            <v>및 이를 1% 이상 함유한 혼합물질. 다만, 산화안티몬(Antimony(Ⅴ) pentoxide, Antimony(Ⅳ) tetroxide), 황화안티몬(Antimony(Ⅴ) pentasulfide,Antimony(Ⅲ) trisulfide), 안티몬산(HSbO3), 염류 (antimonic(Ⅴ) acid, salts) 및 이를 함유한 혼합물질과 산화안티몬 (Antimony(III) trioxide)을 함유한 혼합물질은 제외</v>
          </cell>
          <cell r="F653">
            <v>1</v>
          </cell>
          <cell r="G653" t="str">
            <v>- 통풍이 잘되는 그늘 및 서늘한 곳에 밀폐 보관할 것
- 저장용기는 물리적인 손상에 견딜 수 있어야 할 것
- 필요에 따라 국소배기장치 가동할 것
- 취급 시 피부접촉을 피하고 보호복, 보안경, 보호 장갑(고무 재질)을 착용할 것
- 취급 시 양압자급식호흡 보호구를 착용할 것
- 취급 시 콘택트렌즈를 착용 금지할 것
- 작업장 부근에 비상시를 대비하여 샤워시설 및 세안시설을 갖출 것</v>
          </cell>
        </row>
        <row r="654">
          <cell r="B654" t="str">
            <v>12029-86-6</v>
          </cell>
          <cell r="C654" t="str">
            <v>무기 안티몬 화합물질</v>
          </cell>
          <cell r="D654" t="str">
            <v>97-1-176</v>
          </cell>
          <cell r="E654" t="str">
            <v>및 이를 1% 이상 함유한 혼합물질. 다만, 산화안티몬(Antimony(Ⅴ) pentoxide, Antimony(Ⅳ) tetroxide), 황화안티몬(Antimony(Ⅴ) pentasulfide,Antimony(Ⅲ) trisulfide), 안티몬산(HSbO3), 염류 (antimonic(Ⅴ) acid, salts) 및 이를 함유한 혼합물질과 산화안티몬 (Antimony(III) trioxide)을 함유한 혼합물질은 제외</v>
          </cell>
          <cell r="F654">
            <v>1</v>
          </cell>
          <cell r="G654" t="str">
            <v>- 통풍이 잘되는 그늘 및 서늘한 곳에 밀폐 보관할 것
- 저장용기는 물리적인 손상에 견딜 수 있어야 할 것
- 필요에 따라 국소배기장치 가동할 것
- 취급 시 피부접촉을 피하고 보호복, 보안경, 보호 장갑(고무 재질)을 착용할 것
- 취급 시 양압자급식호흡 보호구를 착용할 것
- 취급 시 콘택트렌즈를 착용 금지할 것
- 작업장 부근에 비상시를 대비하여 샤워시설 및 세안시설을 갖출 것</v>
          </cell>
        </row>
        <row r="655">
          <cell r="B655" t="str">
            <v>12032-10-9</v>
          </cell>
          <cell r="C655" t="str">
            <v>무기 안티몬 화합물질</v>
          </cell>
          <cell r="D655" t="str">
            <v>97-1-176</v>
          </cell>
          <cell r="E655" t="str">
            <v>및 이를 1% 이상 함유한 혼합물질. 다만, 산화안티몬(Antimony(Ⅴ) pentoxide, Antimony(Ⅳ) tetroxide), 황화안티몬(Antimony(Ⅴ) pentasulfide,Antimony(Ⅲ) trisulfide), 안티몬산(HSbO3), 염류 (antimonic(Ⅴ) acid, salts) 및 이를 함유한 혼합물질과 산화안티몬 (Antimony(III) trioxide)을 함유한 혼합물질은 제외</v>
          </cell>
          <cell r="F655">
            <v>1</v>
          </cell>
          <cell r="G655" t="str">
            <v>- 통풍이 잘되는 그늘 및 서늘한 곳에 밀폐 보관할 것
- 저장용기는 물리적인 손상에 견딜 수 있어야 할 것
- 필요에 따라 국소배기장치 가동할 것
- 취급 시 피부접촉을 피하고 보호복, 보안경, 보호 장갑(고무 재질)을 착용할 것
- 취급 시 양압자급식호흡 보호구를 착용할 것
- 취급 시 콘택트렌즈를 착용 금지할 것
- 작업장 부근에 비상시를 대비하여 샤워시설 및 세안시설을 갖출 것</v>
          </cell>
        </row>
        <row r="656">
          <cell r="B656" t="str">
            <v>12032-82-5</v>
          </cell>
          <cell r="C656" t="str">
            <v>무기 안티몬 화합물질</v>
          </cell>
          <cell r="D656" t="str">
            <v>97-1-176</v>
          </cell>
          <cell r="E656" t="str">
            <v>및 이를 1% 이상 함유한 혼합물질. 다만, 산화안티몬(Antimony(Ⅴ) pentoxide, Antimony(Ⅳ) tetroxide), 황화안티몬(Antimony(Ⅴ) pentasulfide,Antimony(Ⅲ) trisulfide), 안티몬산(HSbO3), 염류 (antimonic(Ⅴ) acid, salts) 및 이를 함유한 혼합물질과 산화안티몬 (Antimony(III) trioxide)을 함유한 혼합물질은 제외</v>
          </cell>
          <cell r="F656">
            <v>1</v>
          </cell>
          <cell r="G656" t="str">
            <v>- 통풍이 잘되는 그늘 및 서늘한 곳에 밀폐 보관할 것
- 저장용기는 물리적인 손상에 견딜 수 있어야 할 것
- 필요에 따라 국소배기장치 가동할 것
- 취급 시 피부접촉을 피하고 보호복, 보안경, 보호 장갑(고무 재질)을 착용할 것
- 취급 시 양압자급식호흡 보호구를 착용할 것
- 취급 시 콘택트렌즈를 착용 금지할 것
- 작업장 부근에 비상시를 대비하여 샤워시설 및 세안시설을 갖출 것</v>
          </cell>
        </row>
        <row r="657">
          <cell r="B657" t="str">
            <v>12032-97-2</v>
          </cell>
          <cell r="C657" t="str">
            <v>무기 안티몬 화합물질</v>
          </cell>
          <cell r="D657" t="str">
            <v>97-1-176</v>
          </cell>
          <cell r="E657" t="str">
            <v>및 이를 1% 이상 함유한 혼합물질. 다만, 산화안티몬(Antimony(Ⅴ) pentoxide, Antimony(Ⅳ) tetroxide), 황화안티몬(Antimony(Ⅴ) pentasulfide,Antimony(Ⅲ) trisulfide), 안티몬산(HSbO3), 염류 (antimonic(Ⅴ) acid, salts) 및 이를 함유한 혼합물질과 산화안티몬 (Antimony(III) trioxide)을 함유한 혼합물질은 제외</v>
          </cell>
          <cell r="F657">
            <v>1</v>
          </cell>
          <cell r="G657" t="str">
            <v>- 통풍이 잘되는 그늘 및 서늘한 곳에 밀폐 보관할 것
- 저장용기는 물리적인 손상에 견딜 수 있어야 할 것
- 필요에 따라 국소배기장치 가동할 것
- 취급 시 피부접촉을 피하고 보호복, 보안경, 보호 장갑(고무 재질)을 착용할 것
- 취급 시 양압자급식호흡 보호구를 착용할 것
- 취급 시 콘택트렌즈를 착용 금지할 것
- 작업장 부근에 비상시를 대비하여 샤워시설 및 세안시설을 갖출 것</v>
          </cell>
        </row>
        <row r="658">
          <cell r="B658" t="str">
            <v>12035-23-3</v>
          </cell>
          <cell r="C658" t="str">
            <v>무기 안티몬 화합물질</v>
          </cell>
          <cell r="D658" t="str">
            <v>97-1-176</v>
          </cell>
          <cell r="E658" t="str">
            <v>및 이를 1% 이상 함유한 혼합물질. 다만, 산화안티몬(Antimony(Ⅴ) pentoxide, Antimony(Ⅳ) tetroxide), 황화안티몬(Antimony(Ⅴ) pentasulfide,Antimony(Ⅲ) trisulfide), 안티몬산(HSbO3), 염류 (antimonic(Ⅴ) acid, salts) 및 이를 함유한 혼합물질과 산화안티몬 (Antimony(III) trioxide)을 함유한 혼합물질은 제외</v>
          </cell>
          <cell r="F658">
            <v>1</v>
          </cell>
          <cell r="G658" t="str">
            <v>- 통풍이 잘되는 그늘 및 서늘한 곳에 밀폐 보관할 것
- 저장용기는 물리적인 손상에 견딜 수 있어야 할 것
- 필요에 따라 국소배기장치 가동할 것
- 취급 시 피부접촉을 피하고 보호복, 보안경, 보호 장갑(고무 재질)을 착용할 것
- 취급 시 양압자급식호흡 보호구를 착용할 것
- 취급 시 콘택트렌즈를 착용 금지할 것
- 작업장 부근에 비상시를 대비하여 샤워시설 및 세안시설을 갖출 것</v>
          </cell>
        </row>
        <row r="659">
          <cell r="B659" t="str">
            <v>12035-52-8</v>
          </cell>
          <cell r="C659" t="str">
            <v>무기 안티몬 화합물질</v>
          </cell>
          <cell r="D659" t="str">
            <v>97-1-176</v>
          </cell>
          <cell r="E659" t="str">
            <v>및 이를 1% 이상 함유한 혼합물질. 다만, 산화안티몬(Antimony(Ⅴ) pentoxide, Antimony(Ⅳ) tetroxide), 황화안티몬(Antimony(Ⅴ) pentasulfide,Antimony(Ⅲ) trisulfide), 안티몬산(HSbO3), 염류 (antimonic(Ⅴ) acid, salts) 및 이를 함유한 혼합물질과 산화안티몬 (Antimony(III) trioxide)을 함유한 혼합물질은 제외</v>
          </cell>
          <cell r="F659">
            <v>1</v>
          </cell>
          <cell r="G659" t="str">
            <v>- 통풍이 잘되는 그늘 및 서늘한 곳에 밀폐 보관할 것
- 저장용기는 물리적인 손상에 견딜 수 있어야 할 것
- 필요에 따라 국소배기장치 가동할 것
- 취급 시 피부접촉을 피하고 보호복, 보안경, 보호 장갑(고무 재질)을 착용할 것
- 취급 시 양압자급식호흡 보호구를 착용할 것
- 취급 시 콘택트렌즈를 착용 금지할 것
- 작업장 부근에 비상시를 대비하여 샤워시설 및 세안시설을 갖출 것</v>
          </cell>
        </row>
        <row r="660">
          <cell r="B660" t="str">
            <v>12038-62-9</v>
          </cell>
          <cell r="C660" t="str">
            <v>무기 안티몬 화합물질</v>
          </cell>
          <cell r="D660" t="str">
            <v>97-1-176</v>
          </cell>
          <cell r="E660" t="str">
            <v>및 이를 1% 이상 함유한 혼합물질. 다만, 산화안티몬(Antimony(Ⅴ) pentoxide, Antimony(Ⅳ) tetroxide), 황화안티몬(Antimony(Ⅴ) pentasulfide,Antimony(Ⅲ) trisulfide), 안티몬산(HSbO3), 염류 (antimonic(Ⅴ) acid, salts) 및 이를 함유한 혼합물질과 산화안티몬 (Antimony(III) trioxide)을 함유한 혼합물질은 제외</v>
          </cell>
          <cell r="F660">
            <v>1</v>
          </cell>
          <cell r="G660" t="str">
            <v>- 통풍이 잘되는 그늘 및 서늘한 곳에 밀폐 보관할 것
- 저장용기는 물리적인 손상에 견딜 수 있어야 할 것
- 필요에 따라 국소배기장치 가동할 것
- 취급 시 피부접촉을 피하고 보호복, 보안경, 보호 장갑(고무 재질)을 착용할 것
- 취급 시 양압자급식호흡 보호구를 착용할 것
- 취급 시 콘택트렌즈를 착용 금지할 것
- 작업장 부근에 비상시를 대비하여 샤워시설 및 세안시설을 갖출 것</v>
          </cell>
        </row>
        <row r="661">
          <cell r="B661" t="str">
            <v>12039-31-5</v>
          </cell>
          <cell r="C661" t="str">
            <v>무기 안티몬 화합물질</v>
          </cell>
          <cell r="D661" t="str">
            <v>97-1-176</v>
          </cell>
          <cell r="E661" t="str">
            <v>및 이를 1% 이상 함유한 혼합물질. 다만, 산화안티몬(Antimony(Ⅴ) pentoxide, Antimony(Ⅳ) tetroxide), 황화안티몬(Antimony(Ⅴ) pentasulfide,Antimony(Ⅲ) trisulfide), 안티몬산(HSbO3), 염류 (antimonic(Ⅴ) acid, salts) 및 이를 함유한 혼합물질과 산화안티몬 (Antimony(III) trioxide)을 함유한 혼합물질은 제외</v>
          </cell>
          <cell r="F661">
            <v>1</v>
          </cell>
          <cell r="G661" t="str">
            <v>- 통풍이 잘되는 그늘 및 서늘한 곳에 밀폐 보관할 것
- 저장용기는 물리적인 손상에 견딜 수 있어야 할 것
- 필요에 따라 국소배기장치 가동할 것
- 취급 시 피부접촉을 피하고 보호복, 보안경, 보호 장갑(고무 재질)을 착용할 것
- 취급 시 양압자급식호흡 보호구를 착용할 것
- 취급 시 콘택트렌즈를 착용 금지할 것
- 작업장 부근에 비상시를 대비하여 샤워시설 및 세안시설을 갖출 것</v>
          </cell>
        </row>
        <row r="662">
          <cell r="B662" t="str">
            <v>12039-33-7</v>
          </cell>
          <cell r="C662" t="str">
            <v>무기 안티몬 화합물질</v>
          </cell>
          <cell r="D662" t="str">
            <v>97-1-176</v>
          </cell>
          <cell r="E662" t="str">
            <v>및 이를 1% 이상 함유한 혼합물질. 다만, 산화안티몬(Antimony(Ⅴ) pentoxide, Antimony(Ⅳ) tetroxide), 황화안티몬(Antimony(Ⅴ) pentasulfide,Antimony(Ⅲ) trisulfide), 안티몬산(HSbO3), 염류 (antimonic(Ⅴ) acid, salts) 및 이를 함유한 혼합물질과 산화안티몬 (Antimony(III) trioxide)을 함유한 혼합물질은 제외</v>
          </cell>
          <cell r="F662">
            <v>1</v>
          </cell>
          <cell r="G662" t="str">
            <v>- 통풍이 잘되는 그늘 및 서늘한 곳에 밀폐 보관할 것
- 저장용기는 물리적인 손상에 견딜 수 있어야 할 것
- 필요에 따라 국소배기장치 가동할 것
- 취급 시 피부접촉을 피하고 보호복, 보안경, 보호 장갑(고무 재질)을 착용할 것
- 취급 시 양압자급식호흡 보호구를 착용할 것
- 취급 시 콘택트렌즈를 착용 금지할 것
- 작업장 부근에 비상시를 대비하여 샤워시설 및 세안시설을 갖출 것</v>
          </cell>
        </row>
        <row r="663">
          <cell r="B663" t="str">
            <v>12039-34-8</v>
          </cell>
          <cell r="C663" t="str">
            <v>무기 안티몬 화합물질</v>
          </cell>
          <cell r="D663" t="str">
            <v>97-1-176</v>
          </cell>
          <cell r="E663" t="str">
            <v>및 이를 1% 이상 함유한 혼합물질. 다만, 산화안티몬(Antimony(Ⅴ) pentoxide, Antimony(Ⅳ) tetroxide), 황화안티몬(Antimony(Ⅴ) pentasulfide,Antimony(Ⅲ) trisulfide), 안티몬산(HSbO3), 염류 (antimonic(Ⅴ) acid, salts) 및 이를 함유한 혼합물질과 산화안티몬 (Antimony(III) trioxide)을 함유한 혼합물질은 제외</v>
          </cell>
          <cell r="F663">
            <v>1</v>
          </cell>
          <cell r="G663" t="str">
            <v>- 통풍이 잘되는 그늘 및 서늘한 곳에 밀폐 보관할 것
- 저장용기는 물리적인 손상에 견딜 수 있어야 할 것
- 필요에 따라 국소배기장치 가동할 것
- 취급 시 피부접촉을 피하고 보호복, 보안경, 보호 장갑(고무 재질)을 착용할 것
- 취급 시 양압자급식호흡 보호구를 착용할 것
- 취급 시 콘택트렌즈를 착용 금지할 것
- 작업장 부근에 비상시를 대비하여 샤워시설 및 세안시설을 갖출 것</v>
          </cell>
        </row>
        <row r="664">
          <cell r="B664" t="str">
            <v>12039-35-9</v>
          </cell>
          <cell r="C664" t="str">
            <v>무기 안티몬 화합물질</v>
          </cell>
          <cell r="D664" t="str">
            <v>97-1-176</v>
          </cell>
          <cell r="E664" t="str">
            <v>및 이를 1% 이상 함유한 혼합물질. 다만, 산화안티몬(Antimony(Ⅴ) pentoxide, Antimony(Ⅳ) tetroxide), 황화안티몬(Antimony(Ⅴ) pentasulfide,Antimony(Ⅲ) trisulfide), 안티몬산(HSbO3), 염류 (antimonic(Ⅴ) acid, salts) 및 이를 함유한 혼합물질과 산화안티몬 (Antimony(III) trioxide)을 함유한 혼합물질은 제외</v>
          </cell>
          <cell r="F664">
            <v>1</v>
          </cell>
          <cell r="G664" t="str">
            <v>- 통풍이 잘되는 그늘 및 서늘한 곳에 밀폐 보관할 것
- 저장용기는 물리적인 손상에 견딜 수 있어야 할 것
- 필요에 따라 국소배기장치 가동할 것
- 취급 시 피부접촉을 피하고 보호복, 보안경, 보호 장갑(고무 재질)을 착용할 것
- 취급 시 양압자급식호흡 보호구를 착용할 것
- 취급 시 콘택트렌즈를 착용 금지할 것
- 작업장 부근에 비상시를 대비하여 샤워시설 및 세안시설을 갖출 것</v>
          </cell>
        </row>
        <row r="665">
          <cell r="B665" t="str">
            <v>12052-42-5</v>
          </cell>
          <cell r="C665" t="str">
            <v>무기 안티몬 화합물질</v>
          </cell>
          <cell r="D665" t="str">
            <v>97-1-176</v>
          </cell>
          <cell r="E665" t="str">
            <v>및 이를 1% 이상 함유한 혼합물질. 다만, 산화안티몬(Antimony(Ⅴ) pentoxide, Antimony(Ⅳ) tetroxide), 황화안티몬(Antimony(Ⅴ) pentasulfide,Antimony(Ⅲ) trisulfide), 안티몬산(HSbO3), 염류 (antimonic(Ⅴ) acid, salts) 및 이를 함유한 혼합물질과 산화안티몬 (Antimony(III) trioxide)을 함유한 혼합물질은 제외</v>
          </cell>
          <cell r="F665">
            <v>1</v>
          </cell>
          <cell r="G665" t="str">
            <v>- 통풍이 잘되는 그늘 및 서늘한 곳에 밀폐 보관할 것
- 저장용기는 물리적인 손상에 견딜 수 있어야 할 것
- 필요에 따라 국소배기장치 가동할 것
- 취급 시 피부접촉을 피하고 보호복, 보안경, 보호 장갑(고무 재질)을 착용할 것
- 취급 시 양압자급식호흡 보호구를 착용할 것
- 취급 시 콘택트렌즈를 착용 금지할 것
- 작업장 부근에 비상시를 대비하여 샤워시설 및 세안시설을 갖출 것</v>
          </cell>
        </row>
        <row r="666">
          <cell r="B666" t="str">
            <v>12053-12-2</v>
          </cell>
          <cell r="C666" t="str">
            <v>무기 안티몬 화합물질</v>
          </cell>
          <cell r="D666" t="str">
            <v>97-1-176</v>
          </cell>
          <cell r="E666" t="str">
            <v>및 이를 1% 이상 함유한 혼합물질. 다만, 산화안티몬(Antimony(Ⅴ) pentoxide, Antimony(Ⅳ) tetroxide), 황화안티몬(Antimony(Ⅴ) pentasulfide,Antimony(Ⅲ) trisulfide), 안티몬산(HSbO3), 염류 (antimonic(Ⅴ) acid, salts) 및 이를 함유한 혼합물질과 산화안티몬 (Antimony(III) trioxide)을 함유한 혼합물질은 제외</v>
          </cell>
          <cell r="F666">
            <v>1</v>
          </cell>
          <cell r="G666" t="str">
            <v>- 통풍이 잘되는 그늘 및 서늘한 곳에 밀폐 보관할 것
- 저장용기는 물리적인 손상에 견딜 수 있어야 할 것
- 필요에 따라 국소배기장치 가동할 것
- 취급 시 피부접촉을 피하고 보호복, 보안경, 보호 장갑(고무 재질)을 착용할 것
- 취급 시 양압자급식호흡 보호구를 착용할 것
- 취급 시 콘택트렌즈를 착용 금지할 것
- 작업장 부근에 비상시를 대비하여 샤워시설 및 세안시설을 갖출 것</v>
          </cell>
        </row>
        <row r="667">
          <cell r="B667" t="str">
            <v>12054-21-6</v>
          </cell>
          <cell r="C667" t="str">
            <v>무기 안티몬 화합물질</v>
          </cell>
          <cell r="D667" t="str">
            <v>97-1-176</v>
          </cell>
          <cell r="E667" t="str">
            <v>및 이를 1% 이상 함유한 혼합물질. 다만, 산화안티몬(Antimony(Ⅴ) pentoxide, Antimony(Ⅳ) tetroxide), 황화안티몬(Antimony(Ⅴ) pentasulfide,Antimony(Ⅲ) trisulfide), 안티몬산(HSbO3), 염류 (antimonic(Ⅴ) acid, salts) 및 이를 함유한 혼합물질과 산화안티몬 (Antimony(III) trioxide)을 함유한 혼합물질은 제외</v>
          </cell>
          <cell r="F667">
            <v>1</v>
          </cell>
          <cell r="G667" t="str">
            <v>- 통풍이 잘되는 그늘 및 서늘한 곳에 밀폐 보관할 것
- 저장용기는 물리적인 손상에 견딜 수 있어야 할 것
- 필요에 따라 국소배기장치 가동할 것
- 취급 시 피부접촉을 피하고 보호복, 보안경, 보호 장갑(고무 재질)을 착용할 것
- 취급 시 양압자급식호흡 보호구를 착용할 것
- 취급 시 콘택트렌즈를 착용 금지할 것
- 작업장 부근에 비상시를 대비하여 샤워시설 및 세안시설을 갖출 것</v>
          </cell>
        </row>
        <row r="668">
          <cell r="B668" t="str">
            <v>12054-25-0</v>
          </cell>
          <cell r="C668" t="str">
            <v>무기 안티몬 화합물질</v>
          </cell>
          <cell r="D668" t="str">
            <v>97-1-176</v>
          </cell>
          <cell r="E668" t="str">
            <v>및 이를 1% 이상 함유한 혼합물질. 다만, 산화안티몬(Antimony(Ⅴ) pentoxide, Antimony(Ⅳ) tetroxide), 황화안티몬(Antimony(Ⅴ) pentasulfide,Antimony(Ⅲ) trisulfide), 안티몬산(HSbO3), 염류 (antimonic(Ⅴ) acid, salts) 및 이를 함유한 혼합물질과 산화안티몬 (Antimony(III) trioxide)을 함유한 혼합물질은 제외</v>
          </cell>
          <cell r="F668">
            <v>1</v>
          </cell>
          <cell r="G668" t="str">
            <v>- 통풍이 잘되는 그늘 및 서늘한 곳에 밀폐 보관할 것
- 저장용기는 물리적인 손상에 견딜 수 있어야 할 것
- 필요에 따라 국소배기장치 가동할 것
- 취급 시 피부접촉을 피하고 보호복, 보안경, 보호 장갑(고무 재질)을 착용할 것
- 취급 시 양압자급식호흡 보호구를 착용할 것
- 취급 시 콘택트렌즈를 착용 금지할 것
- 작업장 부근에 비상시를 대비하여 샤워시설 및 세안시설을 갖출 것</v>
          </cell>
        </row>
        <row r="669">
          <cell r="B669" t="str">
            <v>12057-30-6</v>
          </cell>
          <cell r="C669" t="str">
            <v>무기 안티몬 화합물질</v>
          </cell>
          <cell r="D669" t="str">
            <v>97-1-176</v>
          </cell>
          <cell r="E669" t="str">
            <v>및 이를 1% 이상 함유한 혼합물질. 다만, 산화안티몬(Antimony(Ⅴ) pentoxide, Antimony(Ⅳ) tetroxide), 황화안티몬(Antimony(Ⅴ) pentasulfide,Antimony(Ⅲ) trisulfide), 안티몬산(HSbO3), 염류 (antimonic(Ⅴ) acid, salts) 및 이를 함유한 혼합물질과 산화안티몬 (Antimony(III) trioxide)을 함유한 혼합물질은 제외</v>
          </cell>
          <cell r="F669">
            <v>1</v>
          </cell>
          <cell r="G669" t="str">
            <v>- 통풍이 잘되는 그늘 및 서늘한 곳에 밀폐 보관할 것
- 저장용기는 물리적인 손상에 견딜 수 있어야 할 것
- 필요에 따라 국소배기장치 가동할 것
- 취급 시 피부접촉을 피하고 보호복, 보안경, 보호 장갑(고무 재질)을 착용할 것
- 취급 시 양압자급식호흡 보호구를 착용할 것
- 취급 시 콘택트렌즈를 착용 금지할 것
- 작업장 부근에 비상시를 대비하여 샤워시설 및 세안시설을 갖출 것</v>
          </cell>
        </row>
        <row r="670">
          <cell r="B670" t="str">
            <v>12057-75-9</v>
          </cell>
          <cell r="C670" t="str">
            <v>무기 안티몬 화합물질</v>
          </cell>
          <cell r="D670" t="str">
            <v>97-1-176</v>
          </cell>
          <cell r="E670" t="str">
            <v>및 이를 1% 이상 함유한 혼합물질. 다만, 산화안티몬(Antimony(Ⅴ) pentoxide, Antimony(Ⅳ) tetroxide), 황화안티몬(Antimony(Ⅴ) pentasulfide,Antimony(Ⅲ) trisulfide), 안티몬산(HSbO3), 염류 (antimonic(Ⅴ) acid, salts) 및 이를 함유한 혼합물질과 산화안티몬 (Antimony(III) trioxide)을 함유한 혼합물질은 제외</v>
          </cell>
          <cell r="F670">
            <v>1</v>
          </cell>
          <cell r="G670" t="str">
            <v>- 통풍이 잘되는 그늘 및 서늘한 곳에 밀폐 보관할 것
- 저장용기는 물리적인 손상에 견딜 수 있어야 할 것
- 필요에 따라 국소배기장치 가동할 것
- 취급 시 피부접촉을 피하고 보호복, 보안경, 보호 장갑(고무 재질)을 착용할 것
- 취급 시 양압자급식호흡 보호구를 착용할 것
- 취급 시 콘택트렌즈를 착용 금지할 것
- 작업장 부근에 비상시를 대비하여 샤워시설 및 세안시설을 갖출 것</v>
          </cell>
        </row>
        <row r="671">
          <cell r="B671" t="str">
            <v>12058-86-5</v>
          </cell>
          <cell r="C671" t="str">
            <v>무기 안티몬 화합물질</v>
          </cell>
          <cell r="D671" t="str">
            <v>97-1-176</v>
          </cell>
          <cell r="E671" t="str">
            <v>및 이를 1% 이상 함유한 혼합물질. 다만, 산화안티몬(Antimony(Ⅴ) pentoxide, Antimony(Ⅳ) tetroxide), 황화안티몬(Antimony(Ⅴ) pentasulfide,Antimony(Ⅲ) trisulfide), 안티몬산(HSbO3), 염류 (antimonic(Ⅴ) acid, salts) 및 이를 함유한 혼합물질과 산화안티몬 (Antimony(III) trioxide)을 함유한 혼합물질은 제외</v>
          </cell>
          <cell r="F671">
            <v>1</v>
          </cell>
          <cell r="G671" t="str">
            <v>- 통풍이 잘되는 그늘 및 서늘한 곳에 밀폐 보관할 것
- 저장용기는 물리적인 손상에 견딜 수 있어야 할 것
- 필요에 따라 국소배기장치 가동할 것
- 취급 시 피부접촉을 피하고 보호복, 보안경, 보호 장갑(고무 재질)을 착용할 것
- 취급 시 양압자급식호흡 보호구를 착용할 것
- 취급 시 콘택트렌즈를 착용 금지할 것
- 작업장 부근에 비상시를 대비하여 샤워시설 및 세안시설을 갖출 것</v>
          </cell>
        </row>
        <row r="672">
          <cell r="B672" t="str">
            <v>12064-03-8</v>
          </cell>
          <cell r="C672" t="str">
            <v>무기 안티몬 화합물질</v>
          </cell>
          <cell r="D672" t="str">
            <v>97-1-176</v>
          </cell>
          <cell r="E672" t="str">
            <v>및 이를 1% 이상 함유한 혼합물질. 다만, 산화안티몬(Antimony(Ⅴ) pentoxide, Antimony(Ⅳ) tetroxide), 황화안티몬(Antimony(Ⅴ) pentasulfide,Antimony(Ⅲ) trisulfide), 안티몬산(HSbO3), 염류 (antimonic(Ⅴ) acid, salts) 및 이를 함유한 혼합물질과 산화안티몬 (Antimony(III) trioxide)을 함유한 혼합물질은 제외</v>
          </cell>
          <cell r="F672">
            <v>1</v>
          </cell>
          <cell r="G672" t="str">
            <v>- 통풍이 잘되는 그늘 및 서늘한 곳에 밀폐 보관할 것
- 저장용기는 물리적인 손상에 견딜 수 있어야 할 것
- 필요에 따라 국소배기장치 가동할 것
- 취급 시 피부접촉을 피하고 보호복, 보안경, 보호 장갑(고무 재질)을 착용할 것
- 취급 시 양압자급식호흡 보호구를 착용할 것
- 취급 시 콘택트렌즈를 착용 금지할 것
- 작업장 부근에 비상시를 대비하여 샤워시설 및 세안시설을 갖출 것</v>
          </cell>
        </row>
        <row r="673">
          <cell r="B673" t="str">
            <v>12066-81-8</v>
          </cell>
          <cell r="C673" t="str">
            <v>무기 안티몬 화합물질</v>
          </cell>
          <cell r="D673" t="str">
            <v>97-1-176</v>
          </cell>
          <cell r="E673" t="str">
            <v>및 이를 1% 이상 함유한 혼합물질. 다만, 산화안티몬(Antimony(Ⅴ) pentoxide, Antimony(Ⅳ) tetroxide), 황화안티몬(Antimony(Ⅴ) pentasulfide,Antimony(Ⅲ) trisulfide), 안티몬산(HSbO3), 염류 (antimonic(Ⅴ) acid, salts) 및 이를 함유한 혼합물질과 산화안티몬 (Antimony(III) trioxide)을 함유한 혼합물질은 제외</v>
          </cell>
          <cell r="F673">
            <v>1</v>
          </cell>
          <cell r="G673" t="str">
            <v>- 통풍이 잘되는 그늘 및 서늘한 곳에 밀폐 보관할 것
- 저장용기는 물리적인 손상에 견딜 수 있어야 할 것
- 필요에 따라 국소배기장치 가동할 것
- 취급 시 피부접촉을 피하고 보호복, 보안경, 보호 장갑(고무 재질)을 착용할 것
- 취급 시 양압자급식호흡 보호구를 착용할 것
- 취급 시 콘택트렌즈를 착용 금지할 것
- 작업장 부근에 비상시를 대비하여 샤워시설 및 세안시설을 갖출 것</v>
          </cell>
        </row>
        <row r="674">
          <cell r="B674" t="str">
            <v>12142-69-7</v>
          </cell>
          <cell r="C674" t="str">
            <v>무기 안티몬 화합물질</v>
          </cell>
          <cell r="D674" t="str">
            <v>97-1-176</v>
          </cell>
          <cell r="E674" t="str">
            <v>및 이를 1% 이상 함유한 혼합물질. 다만, 산화안티몬(Antimony(Ⅴ) pentoxide, Antimony(Ⅳ) tetroxide), 황화안티몬(Antimony(Ⅴ) pentasulfide,Antimony(Ⅲ) trisulfide), 안티몬산(HSbO3), 염류 (antimonic(Ⅴ) acid, salts) 및 이를 함유한 혼합물질과 산화안티몬 (Antimony(III) trioxide)을 함유한 혼합물질은 제외</v>
          </cell>
          <cell r="F674">
            <v>1</v>
          </cell>
          <cell r="G674" t="str">
            <v>- 통풍이 잘되는 그늘 및 서늘한 곳에 밀폐 보관할 것
- 저장용기는 물리적인 손상에 견딜 수 있어야 할 것
- 필요에 따라 국소배기장치 가동할 것
- 취급 시 피부접촉을 피하고 보호복, 보안경, 보호 장갑(고무 재질)을 착용할 것
- 취급 시 양압자급식호흡 보호구를 착용할 것
- 취급 시 콘택트렌즈를 착용 금지할 것
- 작업장 부근에 비상시를 대비하여 샤워시설 및 세안시설을 갖출 것</v>
          </cell>
        </row>
        <row r="675">
          <cell r="B675" t="str">
            <v>12166-36-8</v>
          </cell>
          <cell r="C675" t="str">
            <v>무기 안티몬 화합물질</v>
          </cell>
          <cell r="D675" t="str">
            <v>97-1-176</v>
          </cell>
          <cell r="E675" t="str">
            <v>및 이를 1% 이상 함유한 혼합물질. 다만, 산화안티몬(Antimony(Ⅴ) pentoxide, Antimony(Ⅳ) tetroxide), 황화안티몬(Antimony(Ⅴ) pentasulfide,Antimony(Ⅲ) trisulfide), 안티몬산(HSbO3), 염류 (antimonic(Ⅴ) acid, salts) 및 이를 함유한 혼합물질과 산화안티몬 (Antimony(III) trioxide)을 함유한 혼합물질은 제외</v>
          </cell>
          <cell r="F675">
            <v>1</v>
          </cell>
          <cell r="G675" t="str">
            <v>- 통풍이 잘되는 그늘 및 서늘한 곳에 밀폐 보관할 것
- 저장용기는 물리적인 손상에 견딜 수 있어야 할 것
- 필요에 따라 국소배기장치 가동할 것
- 취급 시 피부접촉을 피하고 보호복, 보안경, 보호 장갑(고무 재질)을 착용할 것
- 취급 시 양압자급식호흡 보호구를 착용할 것
- 취급 시 콘택트렌즈를 착용 금지할 것
- 작업장 부근에 비상시를 대비하여 샤워시설 및 세안시설을 갖출 것</v>
          </cell>
        </row>
        <row r="676">
          <cell r="B676" t="str">
            <v>12182-69-3</v>
          </cell>
          <cell r="C676" t="str">
            <v>무기 안티몬 화합물질</v>
          </cell>
          <cell r="D676" t="str">
            <v>97-1-176</v>
          </cell>
          <cell r="E676" t="str">
            <v>및 이를 1% 이상 함유한 혼합물질. 다만, 산화안티몬(Antimony(Ⅴ) pentoxide, Antimony(Ⅳ) tetroxide), 황화안티몬(Antimony(Ⅴ) pentasulfide,Antimony(Ⅲ) trisulfide), 안티몬산(HSbO3), 염류 (antimonic(Ⅴ) acid, salts) 및 이를 함유한 혼합물질과 산화안티몬 (Antimony(III) trioxide)을 함유한 혼합물질은 제외</v>
          </cell>
          <cell r="F676">
            <v>1</v>
          </cell>
          <cell r="G676" t="str">
            <v>- 통풍이 잘되는 그늘 및 서늘한 곳에 밀폐 보관할 것
- 저장용기는 물리적인 손상에 견딜 수 있어야 할 것
- 필요에 따라 국소배기장치 가동할 것
- 취급 시 피부접촉을 피하고 보호복, 보안경, 보호 장갑(고무 재질)을 착용할 것
- 취급 시 양압자급식호흡 보호구를 착용할 것
- 취급 시 콘택트렌즈를 착용 금지할 것
- 작업장 부근에 비상시를 대비하여 샤워시설 및 세안시설을 갖출 것</v>
          </cell>
        </row>
        <row r="677">
          <cell r="B677" t="str">
            <v>12186-97-9</v>
          </cell>
          <cell r="C677" t="str">
            <v>무기 안티몬 화합물질</v>
          </cell>
          <cell r="D677" t="str">
            <v>97-1-176</v>
          </cell>
          <cell r="E677" t="str">
            <v>및 이를 1% 이상 함유한 혼합물질. 다만, 산화안티몬(Antimony(Ⅴ) pentoxide, Antimony(Ⅳ) tetroxide), 황화안티몬(Antimony(Ⅴ) pentasulfide,Antimony(Ⅲ) trisulfide), 안티몬산(HSbO3), 염류 (antimonic(Ⅴ) acid, salts) 및 이를 함유한 혼합물질과 산화안티몬 (Antimony(III) trioxide)을 함유한 혼합물질은 제외</v>
          </cell>
          <cell r="F677">
            <v>1</v>
          </cell>
          <cell r="G677" t="str">
            <v>- 통풍이 잘되는 그늘 및 서늘한 곳에 밀폐 보관할 것
- 저장용기는 물리적인 손상에 견딜 수 있어야 할 것
- 필요에 따라 국소배기장치 가동할 것
- 취급 시 피부접촉을 피하고 보호복, 보안경, 보호 장갑(고무 재질)을 착용할 것
- 취급 시 양압자급식호흡 보호구를 착용할 것
- 취급 시 콘택트렌즈를 착용 금지할 것
- 작업장 부근에 비상시를 대비하여 샤워시설 및 세안시설을 갖출 것</v>
          </cell>
        </row>
        <row r="678">
          <cell r="B678" t="str">
            <v>12208-13-8</v>
          </cell>
          <cell r="C678" t="str">
            <v>무기 안티몬 화합물질</v>
          </cell>
          <cell r="D678" t="str">
            <v>97-1-176</v>
          </cell>
          <cell r="E678" t="str">
            <v>및 이를 1% 이상 함유한 혼합물질. 다만, 산화안티몬(Antimony(Ⅴ) pentoxide, Antimony(Ⅳ) tetroxide), 황화안티몬(Antimony(Ⅴ) pentasulfide,Antimony(Ⅲ) trisulfide), 안티몬산(HSbO3), 염류 (antimonic(Ⅴ) acid, salts) 및 이를 함유한 혼합물질과 산화안티몬 (Antimony(III) trioxide)을 함유한 혼합물질은 제외</v>
          </cell>
          <cell r="F678">
            <v>1</v>
          </cell>
          <cell r="G678" t="str">
            <v>- 통풍이 잘되는 그늘 및 서늘한 곳에 밀폐 보관할 것
- 저장용기는 물리적인 손상에 견딜 수 있어야 할 것
- 필요에 따라 국소배기장치 가동할 것
- 취급 시 피부접촉을 피하고 보호복, 보안경, 보호 장갑(고무 재질)을 착용할 것
- 취급 시 양압자급식호흡 보호구를 착용할 것
- 취급 시 콘택트렌즈를 착용 금지할 것
- 작업장 부근에 비상시를 대비하여 샤워시설 및 세안시설을 갖출 것</v>
          </cell>
        </row>
        <row r="679">
          <cell r="B679" t="str">
            <v>12266-38-5</v>
          </cell>
          <cell r="C679" t="str">
            <v>무기 안티몬 화합물질</v>
          </cell>
          <cell r="D679" t="str">
            <v>97-1-176</v>
          </cell>
          <cell r="E679" t="str">
            <v>및 이를 1% 이상 함유한 혼합물질. 다만, 산화안티몬(Antimony(Ⅴ) pentoxide, Antimony(Ⅳ) tetroxide), 황화안티몬(Antimony(Ⅴ) pentasulfide,Antimony(Ⅲ) trisulfide), 안티몬산(HSbO3), 염류 (antimonic(Ⅴ) acid, salts) 및 이를 함유한 혼합물질과 산화안티몬 (Antimony(III) trioxide)을 함유한 혼합물질은 제외</v>
          </cell>
          <cell r="F679">
            <v>1</v>
          </cell>
          <cell r="G679" t="str">
            <v>- 통풍이 잘되는 그늘 및 서늘한 곳에 밀폐 보관할 것
- 저장용기는 물리적인 손상에 견딜 수 있어야 할 것
- 필요에 따라 국소배기장치 가동할 것
- 취급 시 피부접촉을 피하고 보호복, 보안경, 보호 장갑(고무 재질)을 착용할 것
- 취급 시 양압자급식호흡 보호구를 착용할 것
- 취급 시 콘택트렌즈를 착용 금지할 것
- 작업장 부근에 비상시를 대비하여 샤워시설 및 세안시설을 갖출 것</v>
          </cell>
        </row>
        <row r="680">
          <cell r="B680" t="str">
            <v>12323-32-9</v>
          </cell>
          <cell r="C680" t="str">
            <v>무기 안티몬 화합물질</v>
          </cell>
          <cell r="D680" t="str">
            <v>97-1-176</v>
          </cell>
          <cell r="E680" t="str">
            <v>및 이를 1% 이상 함유한 혼합물질. 다만, 산화안티몬(Antimony(Ⅴ) pentoxide, Antimony(Ⅳ) tetroxide), 황화안티몬(Antimony(Ⅴ) pentasulfide,Antimony(Ⅲ) trisulfide), 안티몬산(HSbO3), 염류 (antimonic(Ⅴ) acid, salts) 및 이를 함유한 혼합물질과 산화안티몬 (Antimony(III) trioxide)을 함유한 혼합물질은 제외</v>
          </cell>
          <cell r="F680">
            <v>1</v>
          </cell>
          <cell r="G680" t="str">
            <v>- 통풍이 잘되는 그늘 및 서늘한 곳에 밀폐 보관할 것
- 저장용기는 물리적인 손상에 견딜 수 있어야 할 것
- 필요에 따라 국소배기장치 가동할 것
- 취급 시 피부접촉을 피하고 보호복, 보안경, 보호 장갑(고무 재질)을 착용할 것
- 취급 시 양압자급식호흡 보호구를 착용할 것
- 취급 시 콘택트렌즈를 착용 금지할 것
- 작업장 부근에 비상시를 대비하여 샤워시설 및 세안시설을 갖출 것</v>
          </cell>
        </row>
        <row r="681">
          <cell r="B681" t="str">
            <v>12345-15-2</v>
          </cell>
          <cell r="C681" t="str">
            <v>무기 안티몬 화합물질</v>
          </cell>
          <cell r="D681" t="str">
            <v>97-1-176</v>
          </cell>
          <cell r="E681" t="str">
            <v>및 이를 1% 이상 함유한 혼합물질. 다만, 산화안티몬(Antimony(Ⅴ) pentoxide, Antimony(Ⅳ) tetroxide), 황화안티몬(Antimony(Ⅴ) pentasulfide,Antimony(Ⅲ) trisulfide), 안티몬산(HSbO3), 염류 (antimonic(Ⅴ) acid, salts) 및 이를 함유한 혼합물질과 산화안티몬 (Antimony(III) trioxide)을 함유한 혼합물질은 제외</v>
          </cell>
          <cell r="F681">
            <v>1</v>
          </cell>
          <cell r="G681" t="str">
            <v>- 통풍이 잘되는 그늘 및 서늘한 곳에 밀폐 보관할 것
- 저장용기는 물리적인 손상에 견딜 수 있어야 할 것
- 필요에 따라 국소배기장치 가동할 것
- 취급 시 피부접촉을 피하고 보호복, 보안경, 보호 장갑(고무 재질)을 착용할 것
- 취급 시 양압자급식호흡 보호구를 착용할 것
- 취급 시 콘택트렌즈를 착용 금지할 것
- 작업장 부근에 비상시를 대비하여 샤워시설 및 세안시설을 갖출 것</v>
          </cell>
        </row>
        <row r="682">
          <cell r="B682" t="str">
            <v>12359-48-7</v>
          </cell>
          <cell r="C682" t="str">
            <v>무기 안티몬 화합물질</v>
          </cell>
          <cell r="D682" t="str">
            <v>97-1-176</v>
          </cell>
          <cell r="E682" t="str">
            <v>및 이를 1% 이상 함유한 혼합물질. 다만, 산화안티몬(Antimony(Ⅴ) pentoxide, Antimony(Ⅳ) tetroxide), 황화안티몬(Antimony(Ⅴ) pentasulfide,Antimony(Ⅲ) trisulfide), 안티몬산(HSbO3), 염류 (antimonic(Ⅴ) acid, salts) 및 이를 함유한 혼합물질과 산화안티몬 (Antimony(III) trioxide)을 함유한 혼합물질은 제외</v>
          </cell>
          <cell r="F682">
            <v>1</v>
          </cell>
          <cell r="G682" t="str">
            <v>- 통풍이 잘되는 그늘 및 서늘한 곳에 밀폐 보관할 것
- 저장용기는 물리적인 손상에 견딜 수 있어야 할 것
- 필요에 따라 국소배기장치 가동할 것
- 취급 시 피부접촉을 피하고 보호복, 보안경, 보호 장갑(고무 재질)을 착용할 것
- 취급 시 양압자급식호흡 보호구를 착용할 것
- 취급 시 콘택트렌즈를 착용 금지할 것
- 작업장 부근에 비상시를 대비하여 샤워시설 및 세안시설을 갖출 것</v>
          </cell>
        </row>
        <row r="683">
          <cell r="B683" t="str">
            <v>12503-49-0</v>
          </cell>
          <cell r="C683" t="str">
            <v>무기 안티몬 화합물질</v>
          </cell>
          <cell r="D683" t="str">
            <v>97-1-176</v>
          </cell>
          <cell r="E683" t="str">
            <v>및 이를 1% 이상 함유한 혼합물질. 다만, 산화안티몬(Antimony(Ⅴ) pentoxide, Antimony(Ⅳ) tetroxide), 황화안티몬(Antimony(Ⅴ) pentasulfide,Antimony(Ⅲ) trisulfide), 안티몬산(HSbO3), 염류 (antimonic(Ⅴ) acid, salts) 및 이를 함유한 혼합물질과 산화안티몬 (Antimony(III) trioxide)을 함유한 혼합물질은 제외</v>
          </cell>
          <cell r="F683">
            <v>1</v>
          </cell>
          <cell r="G683" t="str">
            <v>- 통풍이 잘되는 그늘 및 서늘한 곳에 밀폐 보관할 것
- 저장용기는 물리적인 손상에 견딜 수 있어야 할 것
- 필요에 따라 국소배기장치 가동할 것
- 취급 시 피부접촉을 피하고 보호복, 보안경, 보호 장갑(고무 재질)을 착용할 것
- 취급 시 양압자급식호흡 보호구를 착용할 것
- 취급 시 콘택트렌즈를 착용 금지할 것
- 작업장 부근에 비상시를 대비하여 샤워시설 및 세안시설을 갖출 것</v>
          </cell>
        </row>
        <row r="684">
          <cell r="B684" t="str">
            <v>1309-64-4</v>
          </cell>
          <cell r="C684" t="str">
            <v>무기 안티몬 화합물질</v>
          </cell>
          <cell r="D684" t="str">
            <v>97-1-176</v>
          </cell>
          <cell r="E684" t="str">
            <v>및 이를 1% 이상 함유한 혼합물질. 다만, 산화안티몬(Antimony(Ⅴ) pentoxide, Antimony(Ⅳ) tetroxide), 황화안티몬(Antimony(Ⅴ) pentasulfide,Antimony(Ⅲ) trisulfide), 안티몬산(HSbO3), 염류 (antimonic(Ⅴ) acid, salts) 및 이를 함유한 혼합물질과 산화안티몬 (Antimony(III) trioxide)을 함유한 혼합물질은 제외</v>
          </cell>
          <cell r="F684">
            <v>1</v>
          </cell>
          <cell r="G684" t="str">
            <v>- 통풍이 잘되는 그늘 및 서늘한 곳에 밀폐 보관할 것
- 저장용기는 물리적인 손상에 견딜 수 있어야 할 것
- 필요에 따라 국소배기장치 가동할 것
- 취급 시 피부접촉을 피하고 보호복, 보안경, 보호 장갑(고무 재질)을 착용할 것
- 취급 시 양압자급식호흡 보호구를 착용할 것
- 취급 시 콘택트렌즈를 착용 금지할 것
- 작업장 부근에 비상시를 대비하여 샤워시설 및 세안시설을 갖출 것</v>
          </cell>
        </row>
        <row r="685">
          <cell r="B685" t="str">
            <v>1312-41-0</v>
          </cell>
          <cell r="C685" t="str">
            <v>무기 안티몬 화합물질</v>
          </cell>
          <cell r="D685" t="str">
            <v>97-1-176</v>
          </cell>
          <cell r="E685" t="str">
            <v>및 이를 1% 이상 함유한 혼합물질. 다만, 산화안티몬(Antimony(Ⅴ) pentoxide, Antimony(Ⅳ) tetroxide), 황화안티몬(Antimony(Ⅴ) pentasulfide,Antimony(Ⅲ) trisulfide), 안티몬산(HSbO3), 염류 (antimonic(Ⅴ) acid, salts) 및 이를 함유한 혼합물질과 산화안티몬 (Antimony(III) trioxide)을 함유한 혼합물질은 제외</v>
          </cell>
          <cell r="F685">
            <v>1</v>
          </cell>
          <cell r="G685" t="str">
            <v>- 통풍이 잘되는 그늘 및 서늘한 곳에 밀폐 보관할 것
- 저장용기는 물리적인 손상에 견딜 수 있어야 할 것
- 필요에 따라 국소배기장치 가동할 것
- 취급 시 피부접촉을 피하고 보호복, 보안경, 보호 장갑(고무 재질)을 착용할 것
- 취급 시 양압자급식호흡 보호구를 착용할 것
- 취급 시 콘택트렌즈를 착용 금지할 것
- 작업장 부근에 비상시를 대비하여 샤워시설 및 세안시설을 갖출 것</v>
          </cell>
        </row>
        <row r="686">
          <cell r="B686" t="str">
            <v>1315-05-5</v>
          </cell>
          <cell r="C686" t="str">
            <v>무기 안티몬 화합물질</v>
          </cell>
          <cell r="D686" t="str">
            <v>97-1-176</v>
          </cell>
          <cell r="E686" t="str">
            <v>및 이를 1% 이상 함유한 혼합물질. 다만, 산화안티몬(Antimony(Ⅴ) pentoxide, Antimony(Ⅳ) tetroxide), 황화안티몬(Antimony(Ⅴ) pentasulfide,Antimony(Ⅲ) trisulfide), 안티몬산(HSbO3), 염류 (antimonic(Ⅴ) acid, salts) 및 이를 함유한 혼합물질과 산화안티몬 (Antimony(III) trioxide)을 함유한 혼합물질은 제외</v>
          </cell>
          <cell r="F686">
            <v>1</v>
          </cell>
          <cell r="G686" t="str">
            <v>- 통풍이 잘되는 그늘 및 서늘한 곳에 밀폐 보관할 것
- 저장용기는 물리적인 손상에 견딜 수 있어야 할 것
- 필요에 따라 국소배기장치 가동할 것
- 취급 시 피부접촉을 피하고 보호복, 보안경, 보호 장갑(고무 재질)을 착용할 것
- 취급 시 양압자급식호흡 보호구를 착용할 것
- 취급 시 콘택트렌즈를 착용 금지할 것
- 작업장 부근에 비상시를 대비하여 샤워시설 및 세안시설을 갖출 것</v>
          </cell>
        </row>
        <row r="687">
          <cell r="B687" t="str">
            <v>1327-33-9</v>
          </cell>
          <cell r="C687" t="str">
            <v>무기 안티몬 화합물질</v>
          </cell>
          <cell r="D687" t="str">
            <v>97-1-176</v>
          </cell>
          <cell r="E687" t="str">
            <v>및 이를 1% 이상 함유한 혼합물질. 다만, 산화안티몬(Antimony(Ⅴ) pentoxide, Antimony(Ⅳ) tetroxide), 황화안티몬(Antimony(Ⅴ) pentasulfide,Antimony(Ⅲ) trisulfide), 안티몬산(HSbO3), 염류 (antimonic(Ⅴ) acid, salts) 및 이를 함유한 혼합물질과 산화안티몬 (Antimony(III) trioxide)을 함유한 혼합물질은 제외</v>
          </cell>
          <cell r="F687">
            <v>1</v>
          </cell>
          <cell r="G687" t="str">
            <v>- 통풍이 잘되는 그늘 및 서늘한 곳에 밀폐 보관할 것
- 저장용기는 물리적인 손상에 견딜 수 있어야 할 것
- 필요에 따라 국소배기장치 가동할 것
- 취급 시 피부접촉을 피하고 보호복, 보안경, 보호 장갑(고무 재질)을 착용할 것
- 취급 시 양압자급식호흡 보호구를 착용할 것
- 취급 시 콘택트렌즈를 착용 금지할 것
- 작업장 부근에 비상시를 대비하여 샤워시설 및 세안시설을 갖출 것</v>
          </cell>
        </row>
        <row r="688">
          <cell r="B688" t="str">
            <v>1333-78-4</v>
          </cell>
          <cell r="C688" t="str">
            <v>무기 안티몬 화합물질</v>
          </cell>
          <cell r="D688" t="str">
            <v>97-1-176</v>
          </cell>
          <cell r="E688" t="str">
            <v>및 이를 1% 이상 함유한 혼합물질. 다만, 산화안티몬(Antimony(Ⅴ) pentoxide, Antimony(Ⅳ) tetroxide), 황화안티몬(Antimony(Ⅴ) pentasulfide,Antimony(Ⅲ) trisulfide), 안티몬산(HSbO3), 염류 (antimonic(Ⅴ) acid, salts) 및 이를 함유한 혼합물질과 산화안티몬 (Antimony(III) trioxide)을 함유한 혼합물질은 제외</v>
          </cell>
          <cell r="F688">
            <v>1</v>
          </cell>
          <cell r="G688" t="str">
            <v>- 통풍이 잘되는 그늘 및 서늘한 곳에 밀폐 보관할 것
- 저장용기는 물리적인 손상에 견딜 수 있어야 할 것
- 필요에 따라 국소배기장치 가동할 것
- 취급 시 피부접촉을 피하고 보호복, 보안경, 보호 장갑(고무 재질)을 착용할 것
- 취급 시 양압자급식호흡 보호구를 착용할 것
- 취급 시 콘택트렌즈를 착용 금지할 것
- 작업장 부근에 비상시를 대비하여 샤워시설 및 세안시설을 갖출 것</v>
          </cell>
        </row>
        <row r="689">
          <cell r="B689" t="str">
            <v>13510-89-9</v>
          </cell>
          <cell r="C689" t="str">
            <v>무기 안티몬 화합물질</v>
          </cell>
          <cell r="D689" t="str">
            <v>97-1-176</v>
          </cell>
          <cell r="E689" t="str">
            <v>및 이를 1% 이상 함유한 혼합물질. 다만, 산화안티몬(Antimony(Ⅴ) pentoxide, Antimony(Ⅳ) tetroxide), 황화안티몬(Antimony(Ⅴ) pentasulfide,Antimony(Ⅲ) trisulfide), 안티몬산(HSbO3), 염류 (antimonic(Ⅴ) acid, salts) 및 이를 함유한 혼합물질과 산화안티몬 (Antimony(III) trioxide)을 함유한 혼합물질은 제외</v>
          </cell>
          <cell r="F689">
            <v>1</v>
          </cell>
          <cell r="G689" t="str">
            <v>- 통풍이 잘되는 그늘 및 서늘한 곳에 밀폐 보관할 것
- 저장용기는 물리적인 손상에 견딜 수 있어야 할 것
- 필요에 따라 국소배기장치 가동할 것
- 취급 시 피부접촉을 피하고 보호복, 보안경, 보호 장갑(고무 재질)을 착용할 것
- 취급 시 양압자급식호흡 보호구를 착용할 것
- 취급 시 콘택트렌즈를 착용 금지할 것
- 작업장 부근에 비상시를 대비하여 샤워시설 및 세안시설을 갖출 것</v>
          </cell>
        </row>
        <row r="690">
          <cell r="B690" t="str">
            <v>13816-38-1</v>
          </cell>
          <cell r="C690" t="str">
            <v>무기 안티몬 화합물질</v>
          </cell>
          <cell r="D690" t="str">
            <v>97-1-176</v>
          </cell>
          <cell r="E690" t="str">
            <v>및 이를 1% 이상 함유한 혼합물질. 다만, 산화안티몬(Antimony(Ⅴ) pentoxide, Antimony(Ⅳ) tetroxide), 황화안티몬(Antimony(Ⅴ) pentasulfide,Antimony(Ⅲ) trisulfide), 안티몬산(HSbO3), 염류 (antimonic(Ⅴ) acid, salts) 및 이를 함유한 혼합물질과 산화안티몬 (Antimony(III) trioxide)을 함유한 혼합물질은 제외</v>
          </cell>
          <cell r="F690">
            <v>1</v>
          </cell>
          <cell r="G690" t="str">
            <v>- 통풍이 잘되는 그늘 및 서늘한 곳에 밀폐 보관할 것
- 저장용기는 물리적인 손상에 견딜 수 있어야 할 것
- 필요에 따라 국소배기장치 가동할 것
- 취급 시 피부접촉을 피하고 보호복, 보안경, 보호 장갑(고무 재질)을 착용할 것
- 취급 시 양압자급식호흡 보호구를 착용할 것
- 취급 시 콘택트렌즈를 착용 금지할 것
- 작업장 부근에 비상시를 대비하여 샤워시설 및 세안시설을 갖출 것</v>
          </cell>
        </row>
        <row r="691">
          <cell r="B691" t="str">
            <v>14486-20-5</v>
          </cell>
          <cell r="C691" t="str">
            <v>무기 안티몬 화합물질</v>
          </cell>
          <cell r="D691" t="str">
            <v>97-1-176</v>
          </cell>
          <cell r="E691" t="str">
            <v>및 이를 1% 이상 함유한 혼합물질. 다만, 산화안티몬(Antimony(Ⅴ) pentoxide, Antimony(Ⅳ) tetroxide), 황화안티몬(Antimony(Ⅴ) pentasulfide,Antimony(Ⅲ) trisulfide), 안티몬산(HSbO3), 염류 (antimonic(Ⅴ) acid, salts) 및 이를 함유한 혼합물질과 산화안티몬 (Antimony(III) trioxide)을 함유한 혼합물질은 제외</v>
          </cell>
          <cell r="F691">
            <v>1</v>
          </cell>
          <cell r="G691" t="str">
            <v>- 통풍이 잘되는 그늘 및 서늘한 곳에 밀폐 보관할 것
- 저장용기는 물리적인 손상에 견딜 수 있어야 할 것
- 필요에 따라 국소배기장치 가동할 것
- 취급 시 피부접촉을 피하고 보호복, 보안경, 보호 장갑(고무 재질)을 착용할 것
- 취급 시 양압자급식호흡 보호구를 착용할 것
- 취급 시 콘택트렌즈를 착용 금지할 것
- 작업장 부근에 비상시를 대비하여 샤워시설 및 세안시설을 갖출 것</v>
          </cell>
        </row>
        <row r="692">
          <cell r="B692" t="str">
            <v>15593-75-6</v>
          </cell>
          <cell r="C692" t="str">
            <v>무기 안티몬 화합물질</v>
          </cell>
          <cell r="D692" t="str">
            <v>97-1-176</v>
          </cell>
          <cell r="E692" t="str">
            <v>및 이를 1% 이상 함유한 혼합물질. 다만, 산화안티몬(Antimony(Ⅴ) pentoxide, Antimony(Ⅳ) tetroxide), 황화안티몬(Antimony(Ⅴ) pentasulfide,Antimony(Ⅲ) trisulfide), 안티몬산(HSbO3), 염류 (antimonic(Ⅴ) acid, salts) 및 이를 함유한 혼합물질과 산화안티몬 (Antimony(III) trioxide)을 함유한 혼합물질은 제외</v>
          </cell>
          <cell r="F692">
            <v>1</v>
          </cell>
          <cell r="G692" t="str">
            <v>- 통풍이 잘되는 그늘 및 서늘한 곳에 밀폐 보관할 것
- 저장용기는 물리적인 손상에 견딜 수 있어야 할 것
- 필요에 따라 국소배기장치 가동할 것
- 취급 시 피부접촉을 피하고 보호복, 보안경, 보호 장갑(고무 재질)을 착용할 것
- 취급 시 양압자급식호흡 보호구를 착용할 것
- 취급 시 콘택트렌즈를 착용 금지할 것
- 작업장 부근에 비상시를 대비하여 샤워시설 및 세안시설을 갖출 것</v>
          </cell>
        </row>
        <row r="693">
          <cell r="B693" t="str">
            <v>15600-71-2</v>
          </cell>
          <cell r="C693" t="str">
            <v>무기 안티몬 화합물질</v>
          </cell>
          <cell r="D693" t="str">
            <v>97-1-176</v>
          </cell>
          <cell r="E693" t="str">
            <v>및 이를 1% 이상 함유한 혼합물질. 다만, 산화안티몬(Antimony(Ⅴ) pentoxide, Antimony(Ⅳ) tetroxide), 황화안티몬(Antimony(Ⅴ) pentasulfide,Antimony(Ⅲ) trisulfide), 안티몬산(HSbO3), 염류 (antimonic(Ⅴ) acid, salts) 및 이를 함유한 혼합물질과 산화안티몬 (Antimony(III) trioxide)을 함유한 혼합물질은 제외</v>
          </cell>
          <cell r="F693">
            <v>1</v>
          </cell>
          <cell r="G693" t="str">
            <v>- 통풍이 잘되는 그늘 및 서늘한 곳에 밀폐 보관할 것
- 저장용기는 물리적인 손상에 견딜 수 있어야 할 것
- 필요에 따라 국소배기장치 가동할 것
- 취급 시 피부접촉을 피하고 보호복, 보안경, 보호 장갑(고무 재질)을 착용할 것
- 취급 시 양압자급식호흡 보호구를 착용할 것
- 취급 시 콘택트렌즈를 착용 금지할 것
- 작업장 부근에 비상시를 대비하여 샤워시설 및 세안시설을 갖출 것</v>
          </cell>
        </row>
        <row r="694">
          <cell r="B694" t="str">
            <v>2155-74-0</v>
          </cell>
          <cell r="C694" t="str">
            <v>무기 안티몬 화합물질</v>
          </cell>
          <cell r="D694" t="str">
            <v>97-1-176</v>
          </cell>
          <cell r="E694" t="str">
            <v>및 이를 1% 이상 함유한 혼합물질. 다만, 산화안티몬(Antimony(Ⅴ) pentoxide, Antimony(Ⅳ) tetroxide), 황화안티몬(Antimony(Ⅴ) pentasulfide,Antimony(Ⅲ) trisulfide), 안티몬산(HSbO3), 염류 (antimonic(Ⅴ) acid, salts) 및 이를 함유한 혼합물질과 산화안티몬 (Antimony(III) trioxide)을 함유한 혼합물질은 제외</v>
          </cell>
          <cell r="F694">
            <v>1</v>
          </cell>
          <cell r="G694" t="str">
            <v>- 통풍이 잘되는 그늘 및 서늘한 곳에 밀폐 보관할 것
- 저장용기는 물리적인 손상에 견딜 수 있어야 할 것
- 필요에 따라 국소배기장치 가동할 것
- 취급 시 피부접촉을 피하고 보호복, 보안경, 보호 장갑(고무 재질)을 착용할 것
- 취급 시 양압자급식호흡 보호구를 착용할 것
- 취급 시 콘택트렌즈를 착용 금지할 것
- 작업장 부근에 비상시를 대비하여 샤워시설 및 세안시설을 갖출 것</v>
          </cell>
        </row>
        <row r="695">
          <cell r="B695" t="str">
            <v>23854-38-8</v>
          </cell>
          <cell r="C695" t="str">
            <v>무기 안티몬 화합물질</v>
          </cell>
          <cell r="D695" t="str">
            <v>97-1-176</v>
          </cell>
          <cell r="E695" t="str">
            <v>및 이를 1% 이상 함유한 혼합물질. 다만, 산화안티몬(Antimony(Ⅴ) pentoxide, Antimony(Ⅳ) tetroxide), 황화안티몬(Antimony(Ⅴ) pentasulfide,Antimony(Ⅲ) trisulfide), 안티몬산(HSbO3), 염류 (antimonic(Ⅴ) acid, salts) 및 이를 함유한 혼합물질과 산화안티몬 (Antimony(III) trioxide)을 함유한 혼합물질은 제외</v>
          </cell>
          <cell r="F695">
            <v>1</v>
          </cell>
          <cell r="G695" t="str">
            <v>- 통풍이 잘되는 그늘 및 서늘한 곳에 밀폐 보관할 것
- 저장용기는 물리적인 손상에 견딜 수 있어야 할 것
- 필요에 따라 국소배기장치 가동할 것
- 취급 시 피부접촉을 피하고 보호복, 보안경, 보호 장갑(고무 재질)을 착용할 것
- 취급 시 양압자급식호흡 보호구를 착용할 것
- 취급 시 콘택트렌즈를 착용 금지할 것
- 작업장 부근에 비상시를 대비하여 샤워시설 및 세안시설을 갖출 것</v>
          </cell>
        </row>
        <row r="696">
          <cell r="B696" t="str">
            <v>24626-20-8</v>
          </cell>
          <cell r="C696" t="str">
            <v>무기 안티몬 화합물질</v>
          </cell>
          <cell r="D696" t="str">
            <v>97-1-176</v>
          </cell>
          <cell r="E696" t="str">
            <v>및 이를 1% 이상 함유한 혼합물질. 다만, 산화안티몬(Antimony(Ⅴ) pentoxide, Antimony(Ⅳ) tetroxide), 황화안티몬(Antimony(Ⅴ) pentasulfide,Antimony(Ⅲ) trisulfide), 안티몬산(HSbO3), 염류 (antimonic(Ⅴ) acid, salts) 및 이를 함유한 혼합물질과 산화안티몬 (Antimony(III) trioxide)을 함유한 혼합물질은 제외</v>
          </cell>
          <cell r="F696">
            <v>1</v>
          </cell>
          <cell r="G696" t="str">
            <v>- 통풍이 잘되는 그늘 및 서늘한 곳에 밀폐 보관할 것
- 저장용기는 물리적인 손상에 견딜 수 있어야 할 것
- 필요에 따라 국소배기장치 가동할 것
- 취급 시 피부접촉을 피하고 보호복, 보안경, 보호 장갑(고무 재질)을 착용할 것
- 취급 시 양압자급식호흡 보호구를 착용할 것
- 취급 시 콘택트렌즈를 착용 금지할 것
- 작업장 부근에 비상시를 대비하여 샤워시설 및 세안시설을 갖출 것</v>
          </cell>
        </row>
        <row r="697">
          <cell r="B697" t="str">
            <v>25152-52-7</v>
          </cell>
          <cell r="C697" t="str">
            <v>무기 안티몬 화합물질</v>
          </cell>
          <cell r="D697" t="str">
            <v>97-1-176</v>
          </cell>
          <cell r="E697" t="str">
            <v>및 이를 1% 이상 함유한 혼합물질. 다만, 산화안티몬(Antimony(Ⅴ) pentoxide, Antimony(Ⅳ) tetroxide), 황화안티몬(Antimony(Ⅴ) pentasulfide,Antimony(Ⅲ) trisulfide), 안티몬산(HSbO3), 염류 (antimonic(Ⅴ) acid, salts) 및 이를 함유한 혼합물질과 산화안티몬 (Antimony(III) trioxide)을 함유한 혼합물질은 제외</v>
          </cell>
          <cell r="F697">
            <v>1</v>
          </cell>
          <cell r="G697" t="str">
            <v>- 통풍이 잘되는 그늘 및 서늘한 곳에 밀폐 보관할 것
- 저장용기는 물리적인 손상에 견딜 수 있어야 할 것
- 필요에 따라 국소배기장치 가동할 것
- 취급 시 피부접촉을 피하고 보호복, 보안경, 보호 장갑(고무 재질)을 착용할 것
- 취급 시 양압자급식호흡 보호구를 착용할 것
- 취급 시 콘택트렌즈를 착용 금지할 것
- 작업장 부근에 비상시를 대비하여 샤워시설 및 세안시설을 갖출 것</v>
          </cell>
        </row>
        <row r="698">
          <cell r="B698" t="str">
            <v>29095-38-3</v>
          </cell>
          <cell r="C698" t="str">
            <v>무기 안티몬 화합물질</v>
          </cell>
          <cell r="D698" t="str">
            <v>97-1-176</v>
          </cell>
          <cell r="E698" t="str">
            <v>및 이를 1% 이상 함유한 혼합물질. 다만, 산화안티몬(Antimony(Ⅴ) pentoxide, Antimony(Ⅳ) tetroxide), 황화안티몬(Antimony(Ⅴ) pentasulfide,Antimony(Ⅲ) trisulfide), 안티몬산(HSbO3), 염류 (antimonic(Ⅴ) acid, salts) 및 이를 함유한 혼합물질과 산화안티몬 (Antimony(III) trioxide)을 함유한 혼합물질은 제외</v>
          </cell>
          <cell r="F698">
            <v>1</v>
          </cell>
          <cell r="G698" t="str">
            <v>- 통풍이 잘되는 그늘 및 서늘한 곳에 밀폐 보관할 것
- 저장용기는 물리적인 손상에 견딜 수 있어야 할 것
- 필요에 따라 국소배기장치 가동할 것
- 취급 시 피부접촉을 피하고 보호복, 보안경, 보호 장갑(고무 재질)을 착용할 것
- 취급 시 양압자급식호흡 보호구를 착용할 것
- 취급 시 콘택트렌즈를 착용 금지할 것
- 작업장 부근에 비상시를 대비하여 샤워시설 및 세안시설을 갖출 것</v>
          </cell>
        </row>
        <row r="699">
          <cell r="B699" t="str">
            <v>29638-69-5</v>
          </cell>
          <cell r="C699" t="str">
            <v>무기 안티몬 화합물질</v>
          </cell>
          <cell r="D699" t="str">
            <v>97-1-176</v>
          </cell>
          <cell r="E699" t="str">
            <v>및 이를 1% 이상 함유한 혼합물질. 다만, 산화안티몬(Antimony(Ⅴ) pentoxide, Antimony(Ⅳ) tetroxide), 황화안티몬(Antimony(Ⅴ) pentasulfide,Antimony(Ⅲ) trisulfide), 안티몬산(HSbO3), 염류 (antimonic(Ⅴ) acid, salts) 및 이를 함유한 혼합물질과 산화안티몬 (Antimony(III) trioxide)을 함유한 혼합물질은 제외</v>
          </cell>
          <cell r="F699">
            <v>1</v>
          </cell>
          <cell r="G699" t="str">
            <v>- 통풍이 잘되는 그늘 및 서늘한 곳에 밀폐 보관할 것
- 저장용기는 물리적인 손상에 견딜 수 있어야 할 것
- 필요에 따라 국소배기장치 가동할 것
- 취급 시 피부접촉을 피하고 보호복, 보안경, 보호 장갑(고무 재질)을 착용할 것
- 취급 시 양압자급식호흡 보호구를 착용할 것
- 취급 시 콘택트렌즈를 착용 금지할 것
- 작업장 부근에 비상시를 대비하여 샤워시설 및 세안시설을 갖출 것</v>
          </cell>
        </row>
        <row r="700">
          <cell r="B700" t="str">
            <v>29664-84-4</v>
          </cell>
          <cell r="C700" t="str">
            <v>무기 안티몬 화합물질</v>
          </cell>
          <cell r="D700" t="str">
            <v>97-1-176</v>
          </cell>
          <cell r="E700" t="str">
            <v>및 이를 1% 이상 함유한 혼합물질. 다만, 산화안티몬(Antimony(Ⅴ) pentoxide, Antimony(Ⅳ) tetroxide), 황화안티몬(Antimony(Ⅴ) pentasulfide,Antimony(Ⅲ) trisulfide), 안티몬산(HSbO3), 염류 (antimonic(Ⅴ) acid, salts) 및 이를 함유한 혼합물질과 산화안티몬 (Antimony(III) trioxide)을 함유한 혼합물질은 제외</v>
          </cell>
          <cell r="F700">
            <v>1</v>
          </cell>
          <cell r="G700" t="str">
            <v>- 통풍이 잘되는 그늘 및 서늘한 곳에 밀폐 보관할 것
- 저장용기는 물리적인 손상에 견딜 수 있어야 할 것
- 필요에 따라 국소배기장치 가동할 것
- 취급 시 피부접촉을 피하고 보호복, 보안경, 보호 장갑(고무 재질)을 착용할 것
- 취급 시 양압자급식호흡 보호구를 착용할 것
- 취급 시 콘택트렌즈를 착용 금지할 것
- 작업장 부근에 비상시를 대비하여 샤워시설 및 세안시설을 갖출 것</v>
          </cell>
        </row>
        <row r="701">
          <cell r="B701" t="str">
            <v>33908-66-6</v>
          </cell>
          <cell r="C701" t="str">
            <v>무기 안티몬 화합물질</v>
          </cell>
          <cell r="D701" t="str">
            <v>97-1-176</v>
          </cell>
          <cell r="E701" t="str">
            <v>및 이를 1% 이상 함유한 혼합물질. 다만, 산화안티몬(Antimony(Ⅴ) pentoxide, Antimony(Ⅳ) tetroxide), 황화안티몬(Antimony(Ⅴ) pentasulfide,Antimony(Ⅲ) trisulfide), 안티몬산(HSbO3), 염류 (antimonic(Ⅴ) acid, salts) 및 이를 함유한 혼합물질과 산화안티몬 (Antimony(III) trioxide)을 함유한 혼합물질은 제외</v>
          </cell>
          <cell r="F701">
            <v>1</v>
          </cell>
          <cell r="G701" t="str">
            <v>- 통풍이 잘되는 그늘 및 서늘한 곳에 밀폐 보관할 것
- 저장용기는 물리적인 손상에 견딜 수 있어야 할 것
- 필요에 따라 국소배기장치 가동할 것
- 취급 시 피부접촉을 피하고 보호복, 보안경, 보호 장갑(고무 재질)을 착용할 것
- 취급 시 양압자급식호흡 보호구를 착용할 것
- 취급 시 콘택트렌즈를 착용 금지할 것
- 작업장 부근에 비상시를 대비하여 샤워시설 및 세안시설을 갖출 것</v>
          </cell>
        </row>
        <row r="702">
          <cell r="B702" t="str">
            <v>33910-86-0</v>
          </cell>
          <cell r="C702" t="str">
            <v>무기 안티몬 화합물질</v>
          </cell>
          <cell r="D702" t="str">
            <v>97-1-176</v>
          </cell>
          <cell r="E702" t="str">
            <v>및 이를 1% 이상 함유한 혼합물질. 다만, 산화안티몬(Antimony(Ⅴ) pentoxide, Antimony(Ⅳ) tetroxide), 황화안티몬(Antimony(Ⅴ) pentasulfide,Antimony(Ⅲ) trisulfide), 안티몬산(HSbO3), 염류 (antimonic(Ⅴ) acid, salts) 및 이를 함유한 혼합물질과 산화안티몬 (Antimony(III) trioxide)을 함유한 혼합물질은 제외</v>
          </cell>
          <cell r="F702">
            <v>1</v>
          </cell>
          <cell r="G702" t="str">
            <v>- 통풍이 잘되는 그늘 및 서늘한 곳에 밀폐 보관할 것
- 저장용기는 물리적인 손상에 견딜 수 있어야 할 것
- 필요에 따라 국소배기장치 가동할 것
- 취급 시 피부접촉을 피하고 보호복, 보안경, 보호 장갑(고무 재질)을 착용할 것
- 취급 시 양압자급식호흡 보호구를 착용할 것
- 취급 시 콘택트렌즈를 착용 금지할 것
- 작업장 부근에 비상시를 대비하여 샤워시설 및 세안시설을 갖출 것</v>
          </cell>
        </row>
        <row r="703">
          <cell r="B703" t="str">
            <v>39294-08-1</v>
          </cell>
          <cell r="C703" t="str">
            <v>무기 안티몬 화합물질</v>
          </cell>
          <cell r="D703" t="str">
            <v>97-1-176</v>
          </cell>
          <cell r="E703" t="str">
            <v>및 이를 1% 이상 함유한 혼합물질. 다만, 산화안티몬(Antimony(Ⅴ) pentoxide, Antimony(Ⅳ) tetroxide), 황화안티몬(Antimony(Ⅴ) pentasulfide,Antimony(Ⅲ) trisulfide), 안티몬산(HSbO3), 염류 (antimonic(Ⅴ) acid, salts) 및 이를 함유한 혼합물질과 산화안티몬 (Antimony(III) trioxide)을 함유한 혼합물질은 제외</v>
          </cell>
          <cell r="F703">
            <v>1</v>
          </cell>
          <cell r="G703" t="str">
            <v>- 통풍이 잘되는 그늘 및 서늘한 곳에 밀폐 보관할 것
- 저장용기는 물리적인 손상에 견딜 수 있어야 할 것
- 필요에 따라 국소배기장치 가동할 것
- 취급 시 피부접촉을 피하고 보호복, 보안경, 보호 장갑(고무 재질)을 착용할 것
- 취급 시 양압자급식호흡 보호구를 착용할 것
- 취급 시 콘택트렌즈를 착용 금지할 것
- 작업장 부근에 비상시를 대비하여 샤워시설 및 세안시설을 갖출 것</v>
          </cell>
        </row>
        <row r="704">
          <cell r="B704" t="str">
            <v>39427-02-6</v>
          </cell>
          <cell r="C704" t="str">
            <v>무기 안티몬 화합물질</v>
          </cell>
          <cell r="D704" t="str">
            <v>97-1-176</v>
          </cell>
          <cell r="E704" t="str">
            <v>및 이를 1% 이상 함유한 혼합물질. 다만, 산화안티몬(Antimony(Ⅴ) pentoxide, Antimony(Ⅳ) tetroxide), 황화안티몬(Antimony(Ⅴ) pentasulfide,Antimony(Ⅲ) trisulfide), 안티몬산(HSbO3), 염류 (antimonic(Ⅴ) acid, salts) 및 이를 함유한 혼합물질과 산화안티몬 (Antimony(III) trioxide)을 함유한 혼합물질은 제외</v>
          </cell>
          <cell r="F704">
            <v>1</v>
          </cell>
          <cell r="G704" t="str">
            <v>- 통풍이 잘되는 그늘 및 서늘한 곳에 밀폐 보관할 것
- 저장용기는 물리적인 손상에 견딜 수 있어야 할 것
- 필요에 따라 국소배기장치 가동할 것
- 취급 시 피부접촉을 피하고 보호복, 보안경, 보호 장갑(고무 재질)을 착용할 것
- 취급 시 양압자급식호흡 보호구를 착용할 것
- 취급 시 콘택트렌즈를 착용 금지할 것
- 작업장 부근에 비상시를 대비하여 샤워시설 및 세안시설을 갖출 것</v>
          </cell>
        </row>
        <row r="705">
          <cell r="B705" t="str">
            <v>52503-06-7</v>
          </cell>
          <cell r="C705" t="str">
            <v>무기 안티몬 화합물질</v>
          </cell>
          <cell r="D705" t="str">
            <v>97-1-176</v>
          </cell>
          <cell r="E705" t="str">
            <v>및 이를 1% 이상 함유한 혼합물질. 다만, 산화안티몬(Antimony(Ⅴ) pentoxide, Antimony(Ⅳ) tetroxide), 황화안티몬(Antimony(Ⅴ) pentasulfide,Antimony(Ⅲ) trisulfide), 안티몬산(HSbO3), 염류 (antimonic(Ⅴ) acid, salts) 및 이를 함유한 혼합물질과 산화안티몬 (Antimony(III) trioxide)을 함유한 혼합물질은 제외</v>
          </cell>
          <cell r="F705">
            <v>1</v>
          </cell>
          <cell r="G705" t="str">
            <v>- 통풍이 잘되는 그늘 및 서늘한 곳에 밀폐 보관할 것
- 저장용기는 물리적인 손상에 견딜 수 있어야 할 것
- 필요에 따라 국소배기장치 가동할 것
- 취급 시 피부접촉을 피하고 보호복, 보안경, 보호 장갑(고무 재질)을 착용할 것
- 취급 시 양압자급식호흡 보호구를 착용할 것
- 취급 시 콘택트렌즈를 착용 금지할 것
- 작업장 부근에 비상시를 대비하여 샤워시설 및 세안시설을 갖출 것</v>
          </cell>
        </row>
        <row r="706">
          <cell r="B706" t="str">
            <v>54576-53-3</v>
          </cell>
          <cell r="C706" t="str">
            <v>무기 안티몬 화합물질</v>
          </cell>
          <cell r="D706" t="str">
            <v>97-1-176</v>
          </cell>
          <cell r="E706" t="str">
            <v>및 이를 1% 이상 함유한 혼합물질. 다만, 산화안티몬(Antimony(Ⅴ) pentoxide, Antimony(Ⅳ) tetroxide), 황화안티몬(Antimony(Ⅴ) pentasulfide,Antimony(Ⅲ) trisulfide), 안티몬산(HSbO3), 염류 (antimonic(Ⅴ) acid, salts) 및 이를 함유한 혼합물질과 산화안티몬 (Antimony(III) trioxide)을 함유한 혼합물질은 제외</v>
          </cell>
          <cell r="F706">
            <v>1</v>
          </cell>
          <cell r="G706" t="str">
            <v>- 통풍이 잘되는 그늘 및 서늘한 곳에 밀폐 보관할 것
- 저장용기는 물리적인 손상에 견딜 수 있어야 할 것
- 필요에 따라 국소배기장치 가동할 것
- 취급 시 피부접촉을 피하고 보호복, 보안경, 보호 장갑(고무 재질)을 착용할 것
- 취급 시 양압자급식호흡 보호구를 착용할 것
- 취급 시 콘택트렌즈를 착용 금지할 것
- 작업장 부근에 비상시를 대비하여 샤워시설 및 세안시설을 갖출 것</v>
          </cell>
        </row>
        <row r="707">
          <cell r="B707" t="str">
            <v>54847-25-5</v>
          </cell>
          <cell r="C707" t="str">
            <v>무기 안티몬 화합물질</v>
          </cell>
          <cell r="D707" t="str">
            <v>97-1-176</v>
          </cell>
          <cell r="E707" t="str">
            <v>및 이를 1% 이상 함유한 혼합물질. 다만, 산화안티몬(Antimony(Ⅴ) pentoxide, Antimony(Ⅳ) tetroxide), 황화안티몬(Antimony(Ⅴ) pentasulfide,Antimony(Ⅲ) trisulfide), 안티몬산(HSbO3), 염류 (antimonic(Ⅴ) acid, salts) 및 이를 함유한 혼합물질과 산화안티몬 (Antimony(III) trioxide)을 함유한 혼합물질은 제외</v>
          </cell>
          <cell r="F707">
            <v>1</v>
          </cell>
          <cell r="G707" t="str">
            <v>- 통풍이 잘되는 그늘 및 서늘한 곳에 밀폐 보관할 것
- 저장용기는 물리적인 손상에 견딜 수 있어야 할 것
- 필요에 따라 국소배기장치 가동할 것
- 취급 시 피부접촉을 피하고 보호복, 보안경, 보호 장갑(고무 재질)을 착용할 것
- 취급 시 양압자급식호흡 보호구를 착용할 것
- 취급 시 콘택트렌즈를 착용 금지할 것
- 작업장 부근에 비상시를 대비하여 샤워시설 및 세안시설을 갖출 것</v>
          </cell>
        </row>
        <row r="708">
          <cell r="B708" t="str">
            <v>55467-74-8</v>
          </cell>
          <cell r="C708" t="str">
            <v>무기 안티몬 화합물질</v>
          </cell>
          <cell r="D708" t="str">
            <v>97-1-176</v>
          </cell>
          <cell r="E708" t="str">
            <v>및 이를 1% 이상 함유한 혼합물질. 다만, 산화안티몬(Antimony(Ⅴ) pentoxide, Antimony(Ⅳ) tetroxide), 황화안티몬(Antimony(Ⅴ) pentasulfide,Antimony(Ⅲ) trisulfide), 안티몬산(HSbO3), 염류 (antimonic(Ⅴ) acid, salts) 및 이를 함유한 혼합물질과 산화안티몬 (Antimony(III) trioxide)을 함유한 혼합물질은 제외</v>
          </cell>
          <cell r="F708">
            <v>1</v>
          </cell>
          <cell r="G708" t="str">
            <v>- 통풍이 잘되는 그늘 및 서늘한 곳에 밀폐 보관할 것
- 저장용기는 물리적인 손상에 견딜 수 있어야 할 것
- 필요에 따라 국소배기장치 가동할 것
- 취급 시 피부접촉을 피하고 보호복, 보안경, 보호 장갑(고무 재질)을 착용할 것
- 취급 시 양압자급식호흡 보호구를 착용할 것
- 취급 시 콘택트렌즈를 착용 금지할 것
- 작업장 부근에 비상시를 대비하여 샤워시설 및 세안시설을 갖출 것</v>
          </cell>
        </row>
        <row r="709">
          <cell r="B709" t="str">
            <v>57762-28-4</v>
          </cell>
          <cell r="C709" t="str">
            <v>무기 안티몬 화합물질</v>
          </cell>
          <cell r="D709" t="str">
            <v>97-1-176</v>
          </cell>
          <cell r="E709" t="str">
            <v>및 이를 1% 이상 함유한 혼합물질. 다만, 산화안티몬(Antimony(Ⅴ) pentoxide, Antimony(Ⅳ) tetroxide), 황화안티몬(Antimony(Ⅴ) pentasulfide,Antimony(Ⅲ) trisulfide), 안티몬산(HSbO3), 염류 (antimonic(Ⅴ) acid, salts) 및 이를 함유한 혼합물질과 산화안티몬 (Antimony(III) trioxide)을 함유한 혼합물질은 제외</v>
          </cell>
          <cell r="F709">
            <v>1</v>
          </cell>
          <cell r="G709" t="str">
            <v>- 통풍이 잘되는 그늘 및 서늘한 곳에 밀폐 보관할 것
- 저장용기는 물리적인 손상에 견딜 수 있어야 할 것
- 필요에 따라 국소배기장치 가동할 것
- 취급 시 피부접촉을 피하고 보호복, 보안경, 보호 장갑(고무 재질)을 착용할 것
- 취급 시 양압자급식호흡 보호구를 착용할 것
- 취급 시 콘택트렌즈를 착용 금지할 것
- 작업장 부근에 비상시를 대비하여 샤워시설 및 세안시설을 갖출 것</v>
          </cell>
        </row>
        <row r="710">
          <cell r="B710" t="str">
            <v>68187-54-2</v>
          </cell>
          <cell r="C710" t="str">
            <v>무기 안티몬 화합물질</v>
          </cell>
          <cell r="D710" t="str">
            <v>97-1-176</v>
          </cell>
          <cell r="E710" t="str">
            <v>및 이를 1% 이상 함유한 혼합물질. 다만, 산화안티몬(Antimony(Ⅴ) pentoxide, Antimony(Ⅳ) tetroxide), 황화안티몬(Antimony(Ⅴ) pentasulfide,Antimony(Ⅲ) trisulfide), 안티몬산(HSbO3), 염류 (antimonic(Ⅴ) acid, salts) 및 이를 함유한 혼합물질과 산화안티몬 (Antimony(III) trioxide)을 함유한 혼합물질은 제외</v>
          </cell>
          <cell r="F710">
            <v>1</v>
          </cell>
          <cell r="G710" t="str">
            <v>- 통풍이 잘되는 그늘 및 서늘한 곳에 밀폐 보관할 것
- 저장용기는 물리적인 손상에 견딜 수 있어야 할 것
- 필요에 따라 국소배기장치 가동할 것
- 취급 시 피부접촉을 피하고 보호복, 보안경, 보호 장갑(고무 재질)을 착용할 것
- 취급 시 양압자급식호흡 보호구를 착용할 것
- 취급 시 콘택트렌즈를 착용 금지할 것
- 작업장 부근에 비상시를 대비하여 샤워시설 및 세안시설을 갖출 것</v>
          </cell>
        </row>
        <row r="711">
          <cell r="B711" t="str">
            <v>68412-38-4</v>
          </cell>
          <cell r="C711" t="str">
            <v>무기 안티몬 화합물질</v>
          </cell>
          <cell r="D711" t="str">
            <v>97-1-176</v>
          </cell>
          <cell r="E711" t="str">
            <v>및 이를 1% 이상 함유한 혼합물질. 다만, 산화안티몬(Antimony(Ⅴ) pentoxide, Antimony(Ⅳ) tetroxide), 황화안티몬(Antimony(Ⅴ) pentasulfide,Antimony(Ⅲ) trisulfide), 안티몬산(HSbO3), 염류 (antimonic(Ⅴ) acid, salts) 및 이를 함유한 혼합물질과 산화안티몬 (Antimony(III) trioxide)을 함유한 혼합물질은 제외</v>
          </cell>
          <cell r="F711">
            <v>1</v>
          </cell>
          <cell r="G711" t="str">
            <v>- 통풍이 잘되는 그늘 및 서늘한 곳에 밀폐 보관할 것
- 저장용기는 물리적인 손상에 견딜 수 있어야 할 것
- 필요에 따라 국소배기장치 가동할 것
- 취급 시 피부접촉을 피하고 보호복, 보안경, 보호 장갑(고무 재질)을 착용할 것
- 취급 시 양압자급식호흡 보호구를 착용할 것
- 취급 시 콘택트렌즈를 착용 금지할 것
- 작업장 부근에 비상시를 대비하여 샤워시설 및 세안시설을 갖출 것</v>
          </cell>
        </row>
        <row r="712">
          <cell r="B712" t="str">
            <v>68784-78-1</v>
          </cell>
          <cell r="C712" t="str">
            <v>무기 안티몬 화합물질</v>
          </cell>
          <cell r="D712" t="str">
            <v>97-1-176</v>
          </cell>
          <cell r="E712" t="str">
            <v>및 이를 1% 이상 함유한 혼합물질. 다만, 산화안티몬(Antimony(Ⅴ) pentoxide, Antimony(Ⅳ) tetroxide), 황화안티몬(Antimony(Ⅴ) pentasulfide,Antimony(Ⅲ) trisulfide), 안티몬산(HSbO3), 염류 (antimonic(Ⅴ) acid, salts) 및 이를 함유한 혼합물질과 산화안티몬 (Antimony(III) trioxide)을 함유한 혼합물질은 제외</v>
          </cell>
          <cell r="F712">
            <v>1</v>
          </cell>
          <cell r="G712" t="str">
            <v>- 통풍이 잘되는 그늘 및 서늘한 곳에 밀폐 보관할 것
- 저장용기는 물리적인 손상에 견딜 수 있어야 할 것
- 필요에 따라 국소배기장치 가동할 것
- 취급 시 피부접촉을 피하고 보호복, 보안경, 보호 장갑(고무 재질)을 착용할 것
- 취급 시 양압자급식호흡 보호구를 착용할 것
- 취급 시 콘택트렌즈를 착용 금지할 것
- 작업장 부근에 비상시를 대비하여 샤워시설 및 세안시설을 갖출 것</v>
          </cell>
        </row>
        <row r="713">
          <cell r="B713" t="str">
            <v>68956-96-7</v>
          </cell>
          <cell r="C713" t="str">
            <v>무기 안티몬 화합물질</v>
          </cell>
          <cell r="D713" t="str">
            <v>97-1-176</v>
          </cell>
          <cell r="E713" t="str">
            <v>및 이를 1% 이상 함유한 혼합물질. 다만, 산화안티몬(Antimony(Ⅴ) pentoxide, Antimony(Ⅳ) tetroxide), 황화안티몬(Antimony(Ⅴ) pentasulfide,Antimony(Ⅲ) trisulfide), 안티몬산(HSbO3), 염류 (antimonic(Ⅴ) acid, salts) 및 이를 함유한 혼합물질과 산화안티몬 (Antimony(III) trioxide)을 함유한 혼합물질은 제외</v>
          </cell>
          <cell r="F713">
            <v>1</v>
          </cell>
          <cell r="G713" t="str">
            <v>- 통풍이 잘되는 그늘 및 서늘한 곳에 밀폐 보관할 것
- 저장용기는 물리적인 손상에 견딜 수 있어야 할 것
- 필요에 따라 국소배기장치 가동할 것
- 취급 시 피부접촉을 피하고 보호복, 보안경, 보호 장갑(고무 재질)을 착용할 것
- 취급 시 양압자급식호흡 보호구를 착용할 것
- 취급 시 콘택트렌즈를 착용 금지할 것
- 작업장 부근에 비상시를 대비하여 샤워시설 및 세안시설을 갖출 것</v>
          </cell>
        </row>
        <row r="714">
          <cell r="B714" t="str">
            <v>69011-08-1</v>
          </cell>
          <cell r="C714" t="str">
            <v>무기 안티몬 화합물질</v>
          </cell>
          <cell r="D714" t="str">
            <v>97-1-176</v>
          </cell>
          <cell r="E714" t="str">
            <v>및 이를 1% 이상 함유한 혼합물질. 다만, 산화안티몬(Antimony(Ⅴ) pentoxide, Antimony(Ⅳ) tetroxide), 황화안티몬(Antimony(Ⅴ) pentasulfide,Antimony(Ⅲ) trisulfide), 안티몬산(HSbO3), 염류 (antimonic(Ⅴ) acid, salts) 및 이를 함유한 혼합물질과 산화안티몬 (Antimony(III) trioxide)을 함유한 혼합물질은 제외</v>
          </cell>
          <cell r="F714">
            <v>1</v>
          </cell>
          <cell r="G714" t="str">
            <v>- 통풍이 잘되는 그늘 및 서늘한 곳에 밀폐 보관할 것
- 저장용기는 물리적인 손상에 견딜 수 있어야 할 것
- 필요에 따라 국소배기장치 가동할 것
- 취급 시 피부접촉을 피하고 보호복, 보안경, 보호 장갑(고무 재질)을 착용할 것
- 취급 시 양압자급식호흡 보호구를 착용할 것
- 취급 시 콘택트렌즈를 착용 금지할 것
- 작업장 부근에 비상시를 대비하여 샤워시설 및 세안시설을 갖출 것</v>
          </cell>
        </row>
        <row r="715">
          <cell r="B715" t="str">
            <v>69991-68-0</v>
          </cell>
          <cell r="C715" t="str">
            <v>무기 안티몬 화합물질</v>
          </cell>
          <cell r="D715" t="str">
            <v>97-1-176</v>
          </cell>
          <cell r="E715" t="str">
            <v>및 이를 1% 이상 함유한 혼합물질. 다만, 산화안티몬(Antimony(Ⅴ) pentoxide, Antimony(Ⅳ) tetroxide), 황화안티몬(Antimony(Ⅴ) pentasulfide,Antimony(Ⅲ) trisulfide), 안티몬산(HSbO3), 염류 (antimonic(Ⅴ) acid, salts) 및 이를 함유한 혼합물질과 산화안티몬 (Antimony(III) trioxide)을 함유한 혼합물질은 제외</v>
          </cell>
          <cell r="F715">
            <v>1</v>
          </cell>
          <cell r="G715" t="str">
            <v>- 통풍이 잘되는 그늘 및 서늘한 곳에 밀폐 보관할 것
- 저장용기는 물리적인 손상에 견딜 수 있어야 할 것
- 필요에 따라 국소배기장치 가동할 것
- 취급 시 피부접촉을 피하고 보호복, 보안경, 보호 장갑(고무 재질)을 착용할 것
- 취급 시 양압자급식호흡 보호구를 착용할 것
- 취급 시 콘택트렌즈를 착용 금지할 것
- 작업장 부근에 비상시를 대비하여 샤워시설 및 세안시설을 갖출 것</v>
          </cell>
        </row>
        <row r="716">
          <cell r="B716" t="str">
            <v>70495-28-2</v>
          </cell>
          <cell r="C716" t="str">
            <v>무기 안티몬 화합물질</v>
          </cell>
          <cell r="D716" t="str">
            <v>97-1-176</v>
          </cell>
          <cell r="E716" t="str">
            <v>및 이를 1% 이상 함유한 혼합물질. 다만, 산화안티몬(Antimony(Ⅴ) pentoxide, Antimony(Ⅳ) tetroxide), 황화안티몬(Antimony(Ⅴ) pentasulfide,Antimony(Ⅲ) trisulfide), 안티몬산(HSbO3), 염류 (antimonic(Ⅴ) acid, salts) 및 이를 함유한 혼합물질과 산화안티몬 (Antimony(III) trioxide)을 함유한 혼합물질은 제외</v>
          </cell>
          <cell r="F716">
            <v>1</v>
          </cell>
          <cell r="G716" t="str">
            <v>- 통풍이 잘되는 그늘 및 서늘한 곳에 밀폐 보관할 것
- 저장용기는 물리적인 손상에 견딜 수 있어야 할 것
- 필요에 따라 국소배기장치 가동할 것
- 취급 시 피부접촉을 피하고 보호복, 보안경, 보호 장갑(고무 재질)을 착용할 것
- 취급 시 양압자급식호흡 보호구를 착용할 것
- 취급 시 콘택트렌즈를 착용 금지할 것
- 작업장 부근에 비상시를 대비하여 샤워시설 및 세안시설을 갖출 것</v>
          </cell>
        </row>
        <row r="717">
          <cell r="B717" t="str">
            <v>7446-32-4</v>
          </cell>
          <cell r="C717" t="str">
            <v>무기 안티몬 화합물질</v>
          </cell>
          <cell r="D717" t="str">
            <v>97-1-176</v>
          </cell>
          <cell r="E717" t="str">
            <v>및 이를 1% 이상 함유한 혼합물질. 다만, 산화안티몬(Antimony(Ⅴ) pentoxide, Antimony(Ⅳ) tetroxide), 황화안티몬(Antimony(Ⅴ) pentasulfide,Antimony(Ⅲ) trisulfide), 안티몬산(HSbO3), 염류 (antimonic(Ⅴ) acid, salts) 및 이를 함유한 혼합물질과 산화안티몬 (Antimony(III) trioxide)을 함유한 혼합물질은 제외</v>
          </cell>
          <cell r="F717">
            <v>1</v>
          </cell>
          <cell r="G717" t="str">
            <v>- 통풍이 잘되는 그늘 및 서늘한 곳에 밀폐 보관할 것
- 저장용기는 물리적인 손상에 견딜 수 있어야 할 것
- 필요에 따라 국소배기장치 가동할 것
- 취급 시 피부접촉을 피하고 보호복, 보안경, 보호 장갑(고무 재질)을 착용할 것
- 취급 시 양압자급식호흡 보호구를 착용할 것
- 취급 시 콘택트렌즈를 착용 금지할 것
- 작업장 부근에 비상시를 대비하여 샤워시설 및 세안시설을 갖출 것</v>
          </cell>
        </row>
        <row r="718">
          <cell r="B718" t="str">
            <v>7647-18-9</v>
          </cell>
          <cell r="C718" t="str">
            <v>무기 안티몬 화합물질</v>
          </cell>
          <cell r="D718" t="str">
            <v>97-1-176</v>
          </cell>
          <cell r="E718" t="str">
            <v>및 이를 1% 이상 함유한 혼합물질. 다만, 산화안티몬(Antimony(Ⅴ) pentoxide, Antimony(Ⅳ) tetroxide), 황화안티몬(Antimony(Ⅴ) pentasulfide,Antimony(Ⅲ) trisulfide), 안티몬산(HSbO3), 염류 (antimonic(Ⅴ) acid, salts) 및 이를 함유한 혼합물질과 산화안티몬 (Antimony(III) trioxide)을 함유한 혼합물질은 제외</v>
          </cell>
          <cell r="F718">
            <v>1</v>
          </cell>
          <cell r="G718" t="str">
            <v>- 통풍이 잘되는 그늘 및 서늘한 곳에 밀폐 보관할 것
- 저장용기는 물리적인 손상에 견딜 수 있어야 할 것
- 필요에 따라 국소배기장치 가동할 것
- 취급 시 피부접촉을 피하고 보호복, 보안경, 보호 장갑(고무 재질)을 착용할 것
- 취급 시 양압자급식호흡 보호구를 착용할 것
- 취급 시 콘택트렌즈를 착용 금지할 것
- 작업장 부근에 비상시를 대비하여 샤워시설 및 세안시설을 갖출 것</v>
          </cell>
        </row>
        <row r="719">
          <cell r="B719" t="str">
            <v>7783-56-4</v>
          </cell>
          <cell r="C719" t="str">
            <v>무기 안티몬 화합물질</v>
          </cell>
          <cell r="D719" t="str">
            <v>97-1-176</v>
          </cell>
          <cell r="E719" t="str">
            <v>및 이를 1% 이상 함유한 혼합물질. 다만, 산화안티몬(Antimony(Ⅴ) pentoxide, Antimony(Ⅳ) tetroxide), 황화안티몬(Antimony(Ⅴ) pentasulfide,Antimony(Ⅲ) trisulfide), 안티몬산(HSbO3), 염류 (antimonic(Ⅴ) acid, salts) 및 이를 함유한 혼합물질과 산화안티몬 (Antimony(III) trioxide)을 함유한 혼합물질은 제외</v>
          </cell>
          <cell r="F719">
            <v>1</v>
          </cell>
          <cell r="G719" t="str">
            <v>- 통풍이 잘되는 그늘 및 서늘한 곳에 밀폐 보관할 것
- 저장용기는 물리적인 손상에 견딜 수 있어야 할 것
- 필요에 따라 국소배기장치 가동할 것
- 취급 시 피부접촉을 피하고 보호복, 보안경, 보호 장갑(고무 재질)을 착용할 것
- 취급 시 양압자급식호흡 보호구를 착용할 것
- 취급 시 콘택트렌즈를 착용 금지할 것
- 작업장 부근에 비상시를 대비하여 샤워시설 및 세안시설을 갖출 것</v>
          </cell>
        </row>
        <row r="720">
          <cell r="B720" t="str">
            <v>7783-70-2</v>
          </cell>
          <cell r="C720" t="str">
            <v>무기 안티몬 화합물질</v>
          </cell>
          <cell r="D720" t="str">
            <v>97-1-176</v>
          </cell>
          <cell r="E720" t="str">
            <v>및 이를 1% 이상 함유한 혼합물질. 다만, 산화안티몬(Antimony(Ⅴ) pentoxide, Antimony(Ⅳ) tetroxide), 황화안티몬(Antimony(Ⅴ) pentasulfide,Antimony(Ⅲ) trisulfide), 안티몬산(HSbO3), 염류 (antimonic(Ⅴ) acid, salts) 및 이를 함유한 혼합물질과 산화안티몬 (Antimony(III) trioxide)을 함유한 혼합물질은 제외</v>
          </cell>
          <cell r="F720">
            <v>1</v>
          </cell>
          <cell r="G720" t="str">
            <v>- 통풍이 잘되는 그늘 및 서늘한 곳에 밀폐 보관할 것
- 저장용기는 물리적인 손상에 견딜 수 있어야 할 것
- 필요에 따라 국소배기장치 가동할 것
- 취급 시 피부접촉을 피하고 보호복, 보안경, 보호 장갑(고무 재질)을 착용할 것
- 취급 시 양압자급식호흡 보호구를 착용할 것
- 취급 시 콘택트렌즈를 착용 금지할 것
- 작업장 부근에 비상시를 대비하여 샤워시설 및 세안시설을 갖출 것</v>
          </cell>
        </row>
        <row r="721">
          <cell r="B721" t="str">
            <v>7789-61-9</v>
          </cell>
          <cell r="C721" t="str">
            <v>무기 안티몬 화합물질</v>
          </cell>
          <cell r="D721" t="str">
            <v>97-1-176</v>
          </cell>
          <cell r="E721" t="str">
            <v>및 이를 1% 이상 함유한 혼합물질. 다만, 산화안티몬(Antimony(Ⅴ) pentoxide, Antimony(Ⅳ) tetroxide), 황화안티몬(Antimony(Ⅴ) pentasulfide,Antimony(Ⅲ) trisulfide), 안티몬산(HSbO3), 염류 (antimonic(Ⅴ) acid, salts) 및 이를 함유한 혼합물질과 산화안티몬 (Antimony(III) trioxide)을 함유한 혼합물질은 제외</v>
          </cell>
          <cell r="F721">
            <v>1</v>
          </cell>
          <cell r="G721" t="str">
            <v>- 통풍이 잘되는 그늘 및 서늘한 곳에 밀폐 보관할 것
- 저장용기는 물리적인 손상에 견딜 수 있어야 할 것
- 필요에 따라 국소배기장치 가동할 것
- 취급 시 피부접촉을 피하고 보호복, 보안경, 보호 장갑(고무 재질)을 착용할 것
- 취급 시 양압자급식호흡 보호구를 착용할 것
- 취급 시 콘택트렌즈를 착용 금지할 것
- 작업장 부근에 비상시를 대비하여 샤워시설 및 세안시설을 갖출 것</v>
          </cell>
        </row>
        <row r="722">
          <cell r="B722" t="str">
            <v>7790-44-5</v>
          </cell>
          <cell r="C722" t="str">
            <v>무기 안티몬 화합물질</v>
          </cell>
          <cell r="D722" t="str">
            <v>97-1-176</v>
          </cell>
          <cell r="E722" t="str">
            <v>및 이를 1% 이상 함유한 혼합물질. 다만, 산화안티몬(Antimony(Ⅴ) pentoxide, Antimony(Ⅳ) tetroxide), 황화안티몬(Antimony(Ⅴ) pentasulfide,Antimony(Ⅲ) trisulfide), 안티몬산(HSbO3), 염류 (antimonic(Ⅴ) acid, salts) 및 이를 함유한 혼합물질과 산화안티몬 (Antimony(III) trioxide)을 함유한 혼합물질은 제외</v>
          </cell>
          <cell r="F722">
            <v>1</v>
          </cell>
          <cell r="G722" t="str">
            <v>- 통풍이 잘되는 그늘 및 서늘한 곳에 밀폐 보관할 것
- 저장용기는 물리적인 손상에 견딜 수 있어야 할 것
- 필요에 따라 국소배기장치 가동할 것
- 취급 시 피부접촉을 피하고 보호복, 보안경, 보호 장갑(고무 재질)을 착용할 것
- 취급 시 양압자급식호흡 보호구를 착용할 것
- 취급 시 콘택트렌즈를 착용 금지할 것
- 작업장 부근에 비상시를 대비하여 샤워시설 및 세안시설을 갖출 것</v>
          </cell>
        </row>
        <row r="723">
          <cell r="B723" t="str">
            <v>7791-08-4</v>
          </cell>
          <cell r="C723" t="str">
            <v>무기 안티몬 화합물질</v>
          </cell>
          <cell r="D723" t="str">
            <v>97-1-176</v>
          </cell>
          <cell r="E723" t="str">
            <v>및 이를 1% 이상 함유한 혼합물질. 다만, 산화안티몬(Antimony(Ⅴ) pentoxide, Antimony(Ⅳ) tetroxide), 황화안티몬(Antimony(Ⅴ) pentasulfide,Antimony(Ⅲ) trisulfide), 안티몬산(HSbO3), 염류 (antimonic(Ⅴ) acid, salts) 및 이를 함유한 혼합물질과 산화안티몬 (Antimony(III) trioxide)을 함유한 혼합물질은 제외</v>
          </cell>
          <cell r="F723">
            <v>1</v>
          </cell>
          <cell r="G723" t="str">
            <v>- 통풍이 잘되는 그늘 및 서늘한 곳에 밀폐 보관할 것
- 저장용기는 물리적인 손상에 견딜 수 있어야 할 것
- 필요에 따라 국소배기장치 가동할 것
- 취급 시 피부접촉을 피하고 보호복, 보안경, 보호 장갑(고무 재질)을 착용할 것
- 취급 시 양압자급식호흡 보호구를 착용할 것
- 취급 시 콘택트렌즈를 착용 금지할 것
- 작업장 부근에 비상시를 대비하여 샤워시설 및 세안시설을 갖출 것</v>
          </cell>
        </row>
        <row r="724">
          <cell r="B724" t="str">
            <v>8012-00-8</v>
          </cell>
          <cell r="C724" t="str">
            <v>무기 안티몬 화합물질</v>
          </cell>
          <cell r="D724" t="str">
            <v>97-1-176</v>
          </cell>
          <cell r="E724" t="str">
            <v>및 이를 1% 이상 함유한 혼합물질. 다만, 산화안티몬(Antimony(Ⅴ) pentoxide, Antimony(Ⅳ) tetroxide), 황화안티몬(Antimony(Ⅴ) pentasulfide,Antimony(Ⅲ) trisulfide), 안티몬산(HSbO3), 염류 (antimonic(Ⅴ) acid, salts) 및 이를 함유한 혼합물질과 산화안티몬 (Antimony(III) trioxide)을 함유한 혼합물질은 제외</v>
          </cell>
          <cell r="F724">
            <v>1</v>
          </cell>
          <cell r="G724" t="str">
            <v>- 통풍이 잘되는 그늘 및 서늘한 곳에 밀폐 보관할 것
- 저장용기는 물리적인 손상에 견딜 수 있어야 할 것
- 필요에 따라 국소배기장치 가동할 것
- 취급 시 피부접촉을 피하고 보호복, 보안경, 보호 장갑(고무 재질)을 착용할 것
- 취급 시 양압자급식호흡 보호구를 착용할 것
- 취급 시 콘택트렌즈를 착용 금지할 것
- 작업장 부근에 비상시를 대비하여 샤워시설 및 세안시설을 갖출 것</v>
          </cell>
        </row>
        <row r="725">
          <cell r="B725" t="str">
            <v>95193-93-4</v>
          </cell>
          <cell r="C725" t="str">
            <v>무기 안티몬 화합물질</v>
          </cell>
          <cell r="D725" t="str">
            <v>97-1-176</v>
          </cell>
          <cell r="E725" t="str">
            <v>및 이를 1% 이상 함유한 혼합물질. 다만, 산화안티몬(Antimony(Ⅴ) pentoxide, Antimony(Ⅳ) tetroxide), 황화안티몬(Antimony(Ⅴ) pentasulfide,Antimony(Ⅲ) trisulfide), 안티몬산(HSbO3), 염류 (antimonic(Ⅴ) acid, salts) 및 이를 함유한 혼합물질과 산화안티몬 (Antimony(III) trioxide)을 함유한 혼합물질은 제외</v>
          </cell>
          <cell r="F725">
            <v>1</v>
          </cell>
          <cell r="G725" t="str">
            <v>- 통풍이 잘되는 그늘 및 서늘한 곳에 밀폐 보관할 것
- 저장용기는 물리적인 손상에 견딜 수 있어야 할 것
- 필요에 따라 국소배기장치 가동할 것
- 취급 시 피부접촉을 피하고 보호복, 보안경, 보호 장갑(고무 재질)을 착용할 것
- 취급 시 양압자급식호흡 보호구를 착용할 것
- 취급 시 콘택트렌즈를 착용 금지할 것
- 작업장 부근에 비상시를 대비하여 샤워시설 및 세안시설을 갖출 것</v>
          </cell>
        </row>
        <row r="726">
          <cell r="B726" t="str">
            <v>1646-88-4</v>
          </cell>
          <cell r="C726" t="str">
            <v>알독시캅</v>
          </cell>
          <cell r="D726" t="str">
            <v>97-1-177</v>
          </cell>
          <cell r="E726" t="str">
            <v>및 이를 1% 이상 함유한 혼합물질</v>
          </cell>
          <cell r="F726">
            <v>1</v>
          </cell>
          <cell r="G726" t="str">
            <v>- 그늘 및 서늘한 곳에 밀폐 보관할 것
- 식료품, 사료, 의약품, 음식과 혼합저장 금지할 것
- 필요에 따라 국소배기장치를 설치하여 환기할 것
- 취급시 고글형 보안경과 마스크를 착용할 것
- 콘택트렌즈 착용 금지할 것</v>
          </cell>
        </row>
        <row r="727">
          <cell r="B727" t="str">
            <v>309-00-2</v>
          </cell>
          <cell r="C727" t="str">
            <v>알드린</v>
          </cell>
          <cell r="D727" t="str">
            <v>97-1-178,06-4-19</v>
          </cell>
          <cell r="E727" t="str">
            <v>및 이를 0.1% 이상 함유한 혼합물질</v>
          </cell>
          <cell r="F727">
            <v>0.1</v>
          </cell>
          <cell r="G727" t="str">
            <v>- 통풍이 잘 되는 그늘 및 서늘한 곳에 밀폐 보관할 것
- 식료품, 사료, 의약품, 음식과 혼합저장 금지할 것
- 필요에 따라 국소배기장치 가동할 것
- 강산(염산, 황산, 질산), 산촉매, 산화제(염소, 페놀), 활성금속(나트륨, 칼륨, 마그네슘)과 혼합위험성이 있어 폭발할 수 있으므로 격리하여 저장할 것
- 저장용기는 물리적인 손상에 견딜 수 있어야 할 것
- 용액을 저장할 경우 점화원(열, 스파크, 불꽃)과 격리하여 저장할 것
- 발암 가능성이 있으므로 취급시 매우 주의할 것
- 취급 또는 작업시는 통풍이 잘 되는 후드에서 행하고 고글형 보안경, 필터마스크(filter  mask),  보호의, 고무장갑(또는 PVC 재질), 고무앞치마, 양압자급식호흡용 보호구를 착용하여 단기적인 접촉 및 반복적이고 장기적인 노출을 피할 것
- 노출기준 이상에서는 호흡보호구를 착용할 것
- 취급금지물질(이를 0.1% 이상 함유한 혼합물질)</v>
          </cell>
        </row>
        <row r="728">
          <cell r="B728" t="str">
            <v>116-06-3</v>
          </cell>
          <cell r="C728" t="str">
            <v>알디캅</v>
          </cell>
          <cell r="D728" t="str">
            <v>97-1-179,06-4-20</v>
          </cell>
          <cell r="E728" t="str">
            <v>및 이를 1% 이상 함유한 혼합물질</v>
          </cell>
          <cell r="F728">
            <v>1</v>
          </cell>
          <cell r="G728" t="str">
            <v>- 통풍이 잘 되는 그늘 및 서늘한 곳에 밀폐 보관할 것
- 식료품, 사료, 의약품, 음식과 혼합저장 금지할 것
- 필요에 따라 국소배기장치를 설치하여 환기할 것
- 화학물질 흄 후드 내에서 취급할 것
- 취급 시 양압자급식호흡용보호구, 보호의, 보호장갑을 착용할 것
- 취급금지물질(이를 1% 이상 함유한 혼합물질)</v>
          </cell>
        </row>
        <row r="729">
          <cell r="B729" t="str">
            <v>83130-01-2</v>
          </cell>
          <cell r="C729" t="str">
            <v>알라니캅</v>
          </cell>
          <cell r="D729" t="str">
            <v>97-1-180</v>
          </cell>
          <cell r="E729" t="str">
            <v>및 이를 25% 이상 함유한 혼합물질</v>
          </cell>
          <cell r="F729">
            <v>25</v>
          </cell>
          <cell r="G729" t="str">
            <v>- 통풍이 잘 되는 그늘 및 서늘한 곳에 밀폐 보관할 것
- 식료품, 사료, 의약품과 혼합저장 금지할 것
- 필요에 따라 국소배기장치를 설치하여 환기할 것
- 적절한 보호복을 착용할 것
- 환경에 배출을 피할 것</v>
          </cell>
        </row>
        <row r="730">
          <cell r="B730" t="str">
            <v>6392-46-7</v>
          </cell>
          <cell r="C730" t="str">
            <v>알릭시캅</v>
          </cell>
          <cell r="D730" t="str">
            <v>97-1-181</v>
          </cell>
          <cell r="E730" t="str">
            <v>및 이를 1% 이상 함유한 혼합물질</v>
          </cell>
          <cell r="F730">
            <v>1</v>
          </cell>
          <cell r="G730" t="str">
            <v>- 그늘 및 서늘한 곳에 밀폐 보관할 것
- 식료품, 사료, 의약품, 음식과 혼합저장 금지할 것
- 필요에 따라 국소배기장치를 설치하여 환기할 것
- 취급시 고글형 보안경과 마스크를 착용할 것</v>
          </cell>
        </row>
        <row r="731">
          <cell r="B731" t="str">
            <v>107-18-6</v>
          </cell>
          <cell r="C731" t="str">
            <v>알릴 알콜</v>
          </cell>
          <cell r="D731" t="str">
            <v>97-1-182</v>
          </cell>
          <cell r="E731" t="str">
            <v>및 이를 25% 이상 함유한 혼합물질</v>
          </cell>
          <cell r="F731">
            <v>25</v>
          </cell>
          <cell r="G731" t="str">
            <v>- 환기가 잘 되는 그늘 및 서늘한 곳에 밀폐 보관할 것
- 저장용기는 물리적인 손상에 견딜 수 있어야 할 것
- 필요에 따라 국소배기장치 가동할 것
- 열, 스파크, 화염, 점화원과 격리할 것
- 취급 시 피부접촉을 피하고 보호의와 보호장갑을 착용할 것
- 취급 시 양압자급식호흡용 보호장비를 착용할 것
- 취급 후, 손을 철저하게 세척할 것
- 물질을 이동시킬 때 용기를 땅에 밀착하여 이동할 것
- 스파크를 막는 기계와 폭발을 막는 장치를 사용할 것
- 빈 용기를 가압, 절단, 용접, 납땜, 연마, 천공을 해서는 안 되며, 열, 스파크, 화염에 노출시키지 말 것
- 사고대비물질(이를 25% 이상 함유한 혼합물질)</v>
          </cell>
        </row>
        <row r="732">
          <cell r="B732" t="str">
            <v>100-61-8</v>
          </cell>
          <cell r="C732" t="str">
            <v>알킬 아닐린</v>
          </cell>
          <cell r="D732" t="str">
            <v>97-1-183</v>
          </cell>
          <cell r="E732" t="str">
            <v>및 그 염류를 25% 이상 함유한 혼합물질</v>
          </cell>
          <cell r="F732">
            <v>25</v>
          </cell>
          <cell r="G732" t="str">
            <v>- 직사광선을 피하고 건조하며 통풍이 잘되는 그늘 및 서늘한 곳에 밀폐 보관할 것
- 식료품, 사료, 의약품, 음식과 혼합저장 금지할 것
- 필요에 따라 국소배기장치 가동할 것
- 저장용기는 물리적인 손상에 견딜 수 있어야 할 것
- 열원, 스파크, 불꽃, 가연성물질, 점화원과 격리하여 저장할 것
- 강산, 강산화제와 혼합위험성(incompatible)이 있으므로 격리하여 저장할 것
- 취급 또는 작업 시는 통풍이 잘되는 후드에서 행하고 고글형 보안경, 보호복, 보호 장갑, 앞치마, 양압자급식호흡 보호구를 착용하여 단기적인 접촉 및 반복적이고 장기적인 노출을 피할 것
- 노출기준 이상에서는 호흡보호구를 착용할 것
- 작업장 부근에 비상시를 대비하여 샤워시설 및 세안시설을 갖출 것
- 작업 시에는 콘택트렌즈 착용금지할 것</v>
          </cell>
        </row>
        <row r="733">
          <cell r="B733" t="str">
            <v>103-69-5</v>
          </cell>
          <cell r="C733" t="str">
            <v>알킬 아닐린</v>
          </cell>
          <cell r="D733" t="str">
            <v>97-1-183</v>
          </cell>
          <cell r="E733" t="str">
            <v>및 그 염류를 25% 이상 함유한 혼합물질</v>
          </cell>
          <cell r="F733">
            <v>25</v>
          </cell>
          <cell r="G733" t="str">
            <v>- 직사광선을 피하고 건조하며 통풍이 잘되는 그늘 및 서늘한 곳에 밀폐 보관할 것
- 식료품, 사료, 의약품, 음식과 혼합저장 금지할 것
- 필요에 따라 국소배기장치 가동할 것
- 저장용기는 물리적인 손상에 견딜 수 있어야 할 것
- 열원, 스파크, 불꽃, 가연성물질, 점화원과 격리하여 저장할 것
- 강산, 강산화제와 혼합위험성(incompatible)이 있으므로 격리하여 저장할 것
- 취급 또는 작업 시는 통풍이 잘되는 후드에서 행하고 고글형 보안경, 보호복, 보호 장갑, 앞치마, 양압자급식호흡 보호구를 착용하여 단기적인 접촉 및 반복적이고 장기적인 노출을 피할 것
- 노출기준 이상에서는 호흡보호구를 착용할 것
- 작업장 부근에 비상시를 대비하여 샤워시설 및 세안시설을 갖출 것
- 작업 시에는 콘택트렌즈 착용금지할 것</v>
          </cell>
        </row>
        <row r="734">
          <cell r="B734" t="str">
            <v>121-69-7</v>
          </cell>
          <cell r="C734" t="str">
            <v>알킬 아닐린</v>
          </cell>
          <cell r="D734" t="str">
            <v>97-1-183</v>
          </cell>
          <cell r="E734" t="str">
            <v>및 그 염류를 25% 이상 함유한 혼합물질</v>
          </cell>
          <cell r="F734">
            <v>25</v>
          </cell>
          <cell r="G734" t="str">
            <v>- 직사광선을 피하고 건조하며 통풍이 잘되는 그늘 및 서늘한 곳에 밀폐 보관할 것
- 식료품, 사료, 의약품, 음식과 혼합저장 금지할 것
- 필요에 따라 국소배기장치 가동할 것
- 저장용기는 물리적인 손상에 견딜 수 있어야 할 것
- 열원, 스파크, 불꽃, 가연성물질, 점화원과 격리하여 저장할 것
- 강산, 강산화제와 혼합위험성(incompatible)이 있으므로 격리하여 저장할 것
- 취급 또는 작업 시는 통풍이 잘되는 후드에서 행하고 고글형 보안경, 보호복, 보호 장갑, 앞치마, 양압자급식호흡 보호구를 착용하여 단기적인 접촉 및 반복적이고 장기적인 노출을 피할 것
- 노출기준 이상에서는 호흡보호구를 착용할 것
- 작업장 부근에 비상시를 대비하여 샤워시설 및 세안시설을 갖출 것
- 작업 시에는 콘택트렌즈 착용금지할 것</v>
          </cell>
        </row>
        <row r="735">
          <cell r="B735" t="str">
            <v>622-80-0</v>
          </cell>
          <cell r="C735" t="str">
            <v>알킬 아닐린</v>
          </cell>
          <cell r="D735" t="str">
            <v>97-1-183</v>
          </cell>
          <cell r="E735" t="str">
            <v>및 그 염류를 25% 이상 함유한 혼합물질</v>
          </cell>
          <cell r="F735">
            <v>25</v>
          </cell>
          <cell r="G735" t="str">
            <v>- 직사광선을 피하고 건조하며 통풍이 잘되는 그늘 및 서늘한 곳에 밀폐 보관할 것
- 식료품, 사료, 의약품, 음식과 혼합저장 금지할 것
- 필요에 따라 국소배기장치 가동할 것
- 저장용기는 물리적인 손상에 견딜 수 있어야 할 것
- 열원, 스파크, 불꽃, 가연성물질, 점화원과 격리하여 저장할 것
- 강산, 강산화제와 혼합위험성(incompatible)이 있으므로 격리하여 저장할 것
- 취급 또는 작업 시는 통풍이 잘되는 후드에서 행하고 고글형 보안경, 보호복, 보호 장갑, 앞치마, 양압자급식호흡 보호구를 착용하여 단기적인 접촉 및 반복적이고 장기적인 노출을 피할 것
- 노출기준 이상에서는 호흡보호구를 착용할 것
- 작업장 부근에 비상시를 대비하여 샤워시설 및 세안시설을 갖출 것
- 작업 시에는 콘택트렌즈 착용금지할 것</v>
          </cell>
        </row>
        <row r="736">
          <cell r="B736" t="str">
            <v>768-52-5</v>
          </cell>
          <cell r="C736" t="str">
            <v>알킬 아닐린</v>
          </cell>
          <cell r="D736" t="str">
            <v>97-1-183</v>
          </cell>
          <cell r="E736" t="str">
            <v>및 그 염류를 25% 이상 함유한 혼합물질</v>
          </cell>
          <cell r="F736">
            <v>25</v>
          </cell>
          <cell r="G736" t="str">
            <v>- 직사광선을 피하고 건조하며 통풍이 잘되는 그늘 및 서늘한 곳에 밀폐 보관할 것
- 식료품, 사료, 의약품, 음식과 혼합저장 금지할 것
- 필요에 따라 국소배기장치 가동할 것
- 저장용기는 물리적인 손상에 견딜 수 있어야 할 것
- 열원, 스파크, 불꽃, 가연성물질, 점화원과 격리하여 저장할 것
- 강산, 강산화제와 혼합위험성(incompatible)이 있으므로 격리하여 저장할 것
- 취급 또는 작업 시는 통풍이 잘되는 후드에서 행하고 고글형 보안경, 보호복, 보호 장갑, 앞치마, 양압자급식호흡 보호구를 착용하여 단기적인 접촉 및 반복적이고 장기적인 노출을 피할 것
- 노출기준 이상에서는 호흡보호구를 착용할 것
- 작업장 부근에 비상시를 대비하여 샤워시설 및 세안시설을 갖출 것
- 작업 시에는 콘택트렌즈 착용금지할 것</v>
          </cell>
        </row>
        <row r="737">
          <cell r="B737" t="str">
            <v>87-59-2</v>
          </cell>
          <cell r="C737" t="str">
            <v>알킬 아닐린</v>
          </cell>
          <cell r="D737" t="str">
            <v>97-1-183</v>
          </cell>
          <cell r="E737" t="str">
            <v>및 그 염류를 25% 이상 함유한 혼합물질</v>
          </cell>
          <cell r="F737">
            <v>25</v>
          </cell>
          <cell r="G737" t="str">
            <v>- 직사광선을 피하고 건조하며 통풍이 잘되는 그늘 및 서늘한 곳에 밀폐 보관할 것
- 식료품, 사료, 의약품, 음식과 혼합저장 금지할 것
- 필요에 따라 국소배기장치 가동할 것
- 저장용기는 물리적인 손상에 견딜 수 있어야 할 것
- 열원, 스파크, 불꽃, 가연성물질, 점화원과 격리하여 저장할 것
- 강산, 강산화제와 혼합위험성(incompatible)이 있으므로 격리하여 저장할 것
- 취급 또는 작업 시는 통풍이 잘되는 후드에서 행하고 고글형 보안경, 보호복, 보호 장갑, 앞치마, 양압자급식호흡 보호구를 착용하여 단기적인 접촉 및 반복적이고 장기적인 노출을 피할 것
- 노출기준 이상에서는 호흡보호구를 착용할 것
- 작업장 부근에 비상시를 대비하여 샤워시설 및 세안시설을 갖출 것
- 작업 시에는 콘택트렌즈 착용금지할 것</v>
          </cell>
        </row>
        <row r="738">
          <cell r="B738" t="str">
            <v>91-66-7</v>
          </cell>
          <cell r="C738" t="str">
            <v>알킬 아닐린</v>
          </cell>
          <cell r="D738" t="str">
            <v>97-1-183</v>
          </cell>
          <cell r="E738" t="str">
            <v>및 그 염류를 25% 이상 함유한 혼합물질</v>
          </cell>
          <cell r="F738">
            <v>25</v>
          </cell>
          <cell r="G738" t="str">
            <v>- 직사광선을 피하고 건조하며 통풍이 잘되는 그늘 및 서늘한 곳에 밀폐 보관할 것
- 식료품, 사료, 의약품, 음식과 혼합저장 금지할 것
- 필요에 따라 국소배기장치 가동할 것
- 저장용기는 물리적인 손상에 견딜 수 있어야 할 것
- 열원, 스파크, 불꽃, 가연성물질, 점화원과 격리하여 저장할 것
- 강산, 강산화제와 혼합위험성(incompatible)이 있으므로 격리하여 저장할 것
- 취급 또는 작업 시는 통풍이 잘되는 후드에서 행하고 고글형 보안경, 보호복, 보호 장갑, 앞치마, 양압자급식호흡 보호구를 착용하여 단기적인 접촉 및 반복적이고 장기적인 노출을 피할 것
- 노출기준 이상에서는 호흡보호구를 착용할 것
- 작업장 부근에 비상시를 대비하여 샤워시설 및 세안시설을 갖출 것
- 작업 시에는 콘택트렌즈 착용금지할 것</v>
          </cell>
        </row>
        <row r="739">
          <cell r="B739" t="str">
            <v>7664-41-7</v>
          </cell>
          <cell r="C739" t="str">
            <v>암모니아</v>
          </cell>
          <cell r="D739" t="str">
            <v>97-1-184</v>
          </cell>
          <cell r="E739" t="str">
            <v>및 이를 10% 이상 함유한 혼합물질</v>
          </cell>
          <cell r="F739">
            <v>10</v>
          </cell>
          <cell r="G739" t="str">
            <v>- 빛, 열원, 습기를 차단하기 위해서는 건조하고 통풍이 잘되는 그늘 및 서늘한 곳에 밀폐 보관할 것
- 식료품, 사료, 의약품, 음식과 혼합저장 금지할 것
- 필요에 따라 국소배기장치 가동할 것
- 저장용기는 물리적인 손상에 견딜 수 있어야 할 것
- 할로겐(염소, 브롬, 요오드), Bromine pentaflouride, Chlorine trifluoride 와 폭발적으로 반응하므로, 격리하여 저장할 것
- 아연, 알루미늄, 주석, 구리 등의 금속과, 산, 강산화제, 산무수물(acid anhydrides), 산염화물(acid  chlorides), Chloroformates, Galvanized  iron 은 혼합위험성(incompatible)이 있으므로 격리하여 저장할 것
- 취급 또는 작업 시는 통풍이 잘 되는 후드에서 행하고 고글형 보안경, 보호의, 보호 장갑(고무, 네오프렌 또는 염화폴리비닐 재질) 고무앞치마, 양압자급식호흡용보호구를 착용하여 단기적인 접촉 및 반복적이고 장기적인 노출을 피할 것
- 노출기준 이상에서는 호흡보호구를 착용할 것
- 사고대비물질(이를 10% 이상 함유한 혼합물질)</v>
          </cell>
        </row>
        <row r="740">
          <cell r="B740" t="str">
            <v>1336-21-6</v>
          </cell>
          <cell r="C740" t="str">
            <v>암모늄수산화물</v>
          </cell>
          <cell r="D740" t="str">
            <v>97-1-184</v>
          </cell>
          <cell r="E740" t="str">
            <v>및 이를 10% 이상 함유한 혼합물질</v>
          </cell>
          <cell r="F740">
            <v>10</v>
          </cell>
          <cell r="G740" t="str">
            <v>- 빛, 열원, 습기를 차단하기 위해서는 건조하고 통풍이 잘되는 그늘 및 서늘한 곳에 밀폐 보관할 것
- 식료품, 사료, 의약품, 음식과 혼합저장 금지할 것
- 필요에 따라 국소배기장치 가동할 것
- 저장용기는 물리적인 손상에 견딜 수 있어야 할 것
- 할로겐(염소, 브롬, 요오드), Bromine pentaflouride, Chlorine trifluoride 와 폭발적으로 반응하므로, 격리하여 저장할 것
- 아연, 알루미늄, 주석, 구리 등의 금속과, 산, 강산화제, 산무수물(acid anhydrides), 산염화물(acid  chlorides), Chloroformates, Galvanized  iron 은 혼합위험성(incompatible)이 있으므로 격리하여 저장할 것
- 취급 또는 작업 시는 통풍이 잘 되는 후드에서 행하고 고글형 보안경, 보호의, 보호 장갑(고무, 네오프렌 또는 염화폴리비닐 재질) 고무앞치마, 양압자급식호흡용보호구를 착용하여 단기적인 접촉 및 반복적이고 장기적인 노출을 피할 것
- 노출기준 이상에서는 호흡보호구를 착용할 것
- 사고대비물질(이를 10% 이상 함유한 혼합물질)</v>
          </cell>
        </row>
        <row r="741">
          <cell r="B741" t="str">
            <v>17109-49-8</v>
          </cell>
          <cell r="C741" t="str">
            <v>에디펜포스</v>
          </cell>
          <cell r="D741" t="str">
            <v>97-1-185</v>
          </cell>
          <cell r="E741" t="str">
            <v>및 이를 2% 이상 함유한 혼합물질</v>
          </cell>
          <cell r="F741">
            <v>2</v>
          </cell>
          <cell r="G741" t="str">
            <v>- 통풍이 잘 되는 그늘 및 서늘한 곳(2-8℃)에 보관할 것
- 식료품, 사료, 의약품, 인화성물질, 알칼리물질과 혼합저장 금지할 것
- 필요에 따라 국소배기장치 가동할 것
- 가죽으로 만든 보호의, 장갑, 앞치마는 사용 금지할 것
- 물질에 젖은 옷을 착용한 상태로 피부접촉 금지할 것
- 작업 후 온몸을 깨끗이 씻은 후 충분한 휴식할 것
- 양압자급식호흡용 보호구를 반드시 착용하고 보호구와 고글형 보안경을 착용할 것
- 취급 시 먹거나 마시거나 흡연 금지할 것
- 사용하지 않을 때에는 용기를 안전하게 밀폐할 것</v>
          </cell>
        </row>
        <row r="742">
          <cell r="B742" t="str">
            <v>50-14-6</v>
          </cell>
          <cell r="C742" t="str">
            <v>에르고칼시페롤</v>
          </cell>
          <cell r="D742" t="str">
            <v>97-1-186</v>
          </cell>
          <cell r="E742" t="str">
            <v>및 이를 1% 이상함유한 혼합물질</v>
          </cell>
          <cell r="F742">
            <v>1</v>
          </cell>
          <cell r="G742" t="str">
            <v>- 15~30℃를 유지하고 40℃를 넘지 않도록 할 것
- 빛과 공기에 의해 분해되므로 밀폐 보관할 것
- 식료품, 사료, 의약품, 음식과 혼합저장 금지할 것
- 필요에 따라 국소배기장치 가동할 것
- 산화제, 점화원으로부터 격리하여 저장할 것
- 취급 또는 작업 시는 통풍이 잘 되는 후드에서 행하고 보호의, 고무장갑, 고무앞치마, 양압자급식호흡용 보호구를 착용하여 단기적인 접촉 및 반복적이고 장기적인 노출을 피할 것
- 노출기준 이상에서는 호흡보호구를 착용할 것
- 취급 후, 손을 철저하게 세척할 것</v>
          </cell>
        </row>
        <row r="743">
          <cell r="B743" t="str">
            <v>67-97-0</v>
          </cell>
          <cell r="C743" t="str">
            <v>에비비트</v>
          </cell>
          <cell r="D743" t="str">
            <v>97-1-187</v>
          </cell>
          <cell r="E743" t="str">
            <v>및 이를 1% 이상 함유한 혼합물질</v>
          </cell>
          <cell r="F743">
            <v>1</v>
          </cell>
          <cell r="G743" t="str">
            <v>- 통풍이 잘 되는 그늘 및 서늘한 곳에 밀폐 보관할 것
- 혼합금지물질과 떨어진 곳에 저장할 것
- 빛과 공기를 피해서 저장할 것
- 취급 후, 손을 철저하게 세척할 것
- 적절한 환기장치를 사용할 것
- 눈, 피부 및 옷과 접촉하지 않도록 할 것
- 용기를 밀폐시킬 것</v>
          </cell>
        </row>
        <row r="744">
          <cell r="B744" t="str">
            <v>79456-26-1</v>
          </cell>
          <cell r="C744" t="str">
            <v>에이시티피</v>
          </cell>
          <cell r="D744" t="str">
            <v>97-1-188</v>
          </cell>
          <cell r="E744" t="str">
            <v>및 이를 25% 이상 함유한 혼합물질</v>
          </cell>
          <cell r="F744">
            <v>25</v>
          </cell>
          <cell r="G744" t="str">
            <v>- 통풍이 잘 되는 그늘 및 서늘한 곳에 밀폐 보관할 것
- 저장용기는 물리적인 손상에 견딜 수 있어야 할 것
- 필요에 따라 국소배기장치 가동할 것
- 취급 시 피부접촉을 피하고 보호의, 보안경, 보호장갑을 착용할 것
- 취급 시 양압자급식호흡용 보호장비를 착용할 것
- 취급 시 콘택트렌즈를 착용 금지할 것</v>
          </cell>
        </row>
        <row r="745">
          <cell r="B745" t="str">
            <v>13194-48-4</v>
          </cell>
          <cell r="C745" t="str">
            <v>에토프로포스</v>
          </cell>
          <cell r="D745" t="str">
            <v>97-1-189</v>
          </cell>
          <cell r="E745" t="str">
            <v>및 이를 1% 이상 함유한 혼합물질</v>
          </cell>
          <cell r="F745">
            <v>1</v>
          </cell>
          <cell r="G745" t="str">
            <v>- 통풍이 잘 되는 그늘 및 서늘한 곳에 밀폐 보관할 것
- 식료품, 사료, 의약품, 음식과 혼합저장 금지할 것
- 필요에 따라 국소배기장치 가동할 것
- 알칼리와 혼합위험성(incompatible)이 있으므로 격리하여 저장할 것
- 화재, 폭발 위험성이 있으므로 열, 스파크, 불꽃, 가연성물질, 점화원과 격리하여 저장할 것
- 취급 또는 작업 시는 통풍이 잘 되는 후드에서 행하고 고글향보안경, 보호의, 고무장갑(또는 네오프렌재질), 고무앞치마, 양압자급식호흡용 보호구를 착용하여 단기적인 접촉 및 반복적이고 장기적인 노출을 피할 것
- 가죽으로 만든 보호의, 장갑, 앞치마는 사용 금지할 것
- 노출기준 이상에서는 호흡보호구를 착용할 것</v>
          </cell>
        </row>
        <row r="746">
          <cell r="B746" t="str">
            <v>29973-13-5</v>
          </cell>
          <cell r="C746" t="str">
            <v>에티오펜캅</v>
          </cell>
          <cell r="D746" t="str">
            <v>97-1-190</v>
          </cell>
          <cell r="E746" t="str">
            <v>및 이를 1% 이상 함유한 혼합물질</v>
          </cell>
          <cell r="F746">
            <v>1</v>
          </cell>
          <cell r="G746" t="str">
            <v>- 통풍이 잘 되는 그늘 및 서늘한 곳(2~8 ℃)에 밀폐 보관할 것
- 식료품, 사료, 의약품, 음식, 알칼리성물질과 혼합저장 금지할 것
- 필요에 따라 국소배기장치를 설치하여 환기할 것
- 취급 시 양압자급식호흡용보호구, 보호의, 보호장갑을 착용할 것</v>
          </cell>
        </row>
        <row r="747">
          <cell r="B747" t="str">
            <v>563-12-2</v>
          </cell>
          <cell r="C747" t="str">
            <v>에티온</v>
          </cell>
          <cell r="D747" t="str">
            <v>97-1-191</v>
          </cell>
          <cell r="E747" t="str">
            <v>및 이를 1% 이상 함유한 혼합물질</v>
          </cell>
          <cell r="F747">
            <v>1</v>
          </cell>
          <cell r="G747" t="str">
            <v>- 완전히 밀폐하여 건조하고 통풍이 잘 되는 그늘 및 서늘한 곳에 산, 알칼리, 열원 등과 격리 보관할 것
- 식료품, 사료, 의약품, 음식과 혼합저장 금지할 것
- 필요에 따라 국소배기장치 가동할 것
- 화학물질 흄 후드 내에서 취급할 것
- 취급 또는 작업 시는 활성탄카트리지가 장착된 자급식호흡용보호구를 착용하고 고글형 보안경, 보호의, 고무(또는 PVC)재질의 장갑 및 고무장화 등을 착용하여 단기적인 접촉 및 반복적이고 장기적인 노출을 피할 것</v>
          </cell>
        </row>
        <row r="748">
          <cell r="B748" t="str">
            <v>106-89-8</v>
          </cell>
          <cell r="C748" t="str">
            <v>에피클로로히드린</v>
          </cell>
          <cell r="D748" t="str">
            <v>97-1-192</v>
          </cell>
          <cell r="E748" t="str">
            <v>및 이를 0.1% 이상 함유한 혼합물질</v>
          </cell>
          <cell r="F748">
            <v>0.1</v>
          </cell>
          <cell r="G748" t="str">
            <v>- 통풍이 잘 되는 그늘 및 서늘한 곳에 밀폐 보관할 것
- 식료품, 사료, 의약품, 음식과 혼합저장 금지할 것
- 필요에 따라 국소배기장치 가동할 것
- 저장용기는 물리적인 손상에 견딜 수 있어야 할 것
- 점화원, 산, 염기, 무수금속할로겐화물(Anhydrous metal halides)과 격리하여 저장할 것
- 취급 또는 작업 시는 통풍이 잘 되는 후드에서 행하고 고글형 보안경, 보호의, 고무장갑, 고무앞치마, 네오프렌이나 PVC 재질의 장화, 양압자급식호흡용보호구를 착용하여단기적인 접촉 및 반복적이고 장기적인 노출을 피할 것
- 발암성 물질이므로 매우 주의할 것
- 노출기준 이상에서는 호흡보호구를 착용할 것
- 취급 후, 손을 철저하게 세척할 것
- 물질을 이동시킬 때 용기를 땅에 밀착하여 이동할 것
- 스파크를 막는 기계와 폭발을 막는 장치를 사용할 것
- 빈 용기를 가압, 절단, 용접, 납땜, 연마, 천공을 해서는 안 되며, 열, 스파크, 화염에 노출시키지 말 것</v>
          </cell>
        </row>
        <row r="749">
          <cell r="B749" t="str">
            <v>115-29-7</v>
          </cell>
          <cell r="C749" t="str">
            <v>엔도술판</v>
          </cell>
          <cell r="D749" t="str">
            <v>97-1-193,06-4-24</v>
          </cell>
          <cell r="E749" t="str">
            <v>및 이를 1% 이상 함유한 혼합물질</v>
          </cell>
          <cell r="F749">
            <v>1</v>
          </cell>
          <cell r="G749" t="str">
            <v>- 환기가 잘 되는 그늘 및 서늘한 곳에 밀폐 보관할 것
- 저장온도는 6.7℃ 이상이어야 할 것
- 공기 중에서 서서히 산화할 것
- 열원이나 물과 격리하여 보관할 것
- 화학물질 흄 후드 내에서 취급할 것
- 취급 시 피부접촉을 피하고 보호의와 보호장갑을 착용할 것
- 취급 시 자급식호흡용 보호장비를 착용할 것
- 가죽으로 만든 보호의, 장갑, 앞치마는 사용 금지할 것
- 취급금지물질(이를 1% 이상 함유한 혼합물질)</v>
          </cell>
        </row>
        <row r="750">
          <cell r="B750" t="str">
            <v>33213-65-9</v>
          </cell>
          <cell r="C750" t="str">
            <v>β-엔도술판</v>
          </cell>
          <cell r="D750" t="str">
            <v>97-1-193,06-4-24</v>
          </cell>
          <cell r="E750" t="str">
            <v>및 이를 1% 이상 함유한 혼합물질</v>
          </cell>
          <cell r="F750">
            <v>1</v>
          </cell>
          <cell r="G750" t="str">
            <v>- 환기가 잘 되는 그늘 및 서늘한 곳에 밀폐 보관할 것
- 저장온도는 6.7℃ 이상이어야 할 것
- 공기 중에서 서서히 산화할 것
- 열원이나 물과 격리하여 보관할 것
- 화학물질 흄 후드 내에서 취급할 것
- 취급 시 피부접촉을 피하고 보호의와 보호장갑을 착용할 것
- 취급 시 자급식호흡용 보호장비를 착용할 것
- 가죽으로 만든 보호의, 장갑, 앞치마는 사용 금지할 것
- 취급금지물질(이를 1% 이상 함유한 혼합물질)</v>
          </cell>
        </row>
        <row r="751">
          <cell r="B751" t="str">
            <v>959-98-8</v>
          </cell>
          <cell r="C751" t="str">
            <v>α-엔도술판</v>
          </cell>
          <cell r="D751" t="str">
            <v>97-1-193,06-4-24</v>
          </cell>
          <cell r="E751" t="str">
            <v>및 이를 1% 이상 함유한 혼합물질</v>
          </cell>
          <cell r="F751">
            <v>1</v>
          </cell>
          <cell r="G751" t="str">
            <v>- 환기가 잘 되는 그늘 및 서늘한 곳에 밀폐 보관할 것
- 저장온도는 6.7℃ 이상이어야 할 것
- 공기 중에서 서서히 산화할 것
- 열원이나 물과 격리하여 보관할 것
- 화학물질 흄 후드 내에서 취급할 것
- 취급 시 피부접촉을 피하고 보호의와 보호장갑을 착용할 것
- 취급 시 자급식호흡용 보호장비를 착용할 것
- 가죽으로 만든 보호의, 장갑, 앞치마는 사용 금지할 것
- 취급금지물질(이를 1% 이상 함유한 혼합물질)</v>
          </cell>
        </row>
        <row r="752">
          <cell r="B752" t="str">
            <v>145-73-3</v>
          </cell>
          <cell r="C752" t="str">
            <v>엔도탈</v>
          </cell>
          <cell r="D752" t="str">
            <v>97-1-194</v>
          </cell>
          <cell r="E752" t="str">
            <v>및 이를 1% 이상 함유한 혼합물질</v>
          </cell>
          <cell r="F752">
            <v>1</v>
          </cell>
          <cell r="G752" t="str">
            <v>- 통풍이 잘 되는 그늘 및 서늘한 곳에 밀폐 보관할 것
- 식료품, 사료, 의약품, 음식과 혼합저장 금지할 것
- 필요에 따라 국소배기장치 가동할 것
- 액체상태일 때는 0℃이하에서 보관할 것
- 취급 또는 작업 시는 통풍이 잘 되는 후드에서 행하고 보호의,  고무장갑(또는 PVC 재질), 고무앞치마, 자급식호흡용 보호구을 착용하여 단기적인 접촉 및 반복적이고 장기적인 노출을 피할 것
- 노출기준 이상에서는 호흡보호구를 착용할 것</v>
          </cell>
        </row>
        <row r="753">
          <cell r="B753" t="str">
            <v>2778-04-3</v>
          </cell>
          <cell r="C753" t="str">
            <v>엔도티온</v>
          </cell>
          <cell r="D753" t="str">
            <v>97-1-195</v>
          </cell>
          <cell r="E753" t="str">
            <v>및 이를 1% 이상 함유한 혼합물질</v>
          </cell>
          <cell r="F753">
            <v>1</v>
          </cell>
          <cell r="G753" t="str">
            <v>- 서늘하고 건조하고 어두운 장소, 환기가 잘 되는 곳에 밀폐 보관할 것
- 저장온도는 25~30℃를 유지할 것
- 혼합금지물질 및 발화원을 격리할 것
- 화학물질 흄 후드 내에서 취급할 것
- 취급 시 피부접촉을 피하고 보호의와 보호장갑을 착용할 것
- 취급 시 양압자급식호흡용 보호장비를 착용할 것
- 가죽으로 만든 보호의, 장갑, 앞치마는 사용 금지할 것</v>
          </cell>
        </row>
        <row r="754">
          <cell r="B754" t="str">
            <v>72-20-8</v>
          </cell>
          <cell r="C754" t="str">
            <v>엔드린</v>
          </cell>
          <cell r="D754" t="str">
            <v>97-1-196,06-4-25</v>
          </cell>
          <cell r="E754" t="str">
            <v>및 이를 1% 이상 함유한 혼합물질</v>
          </cell>
          <cell r="F754">
            <v>1</v>
          </cell>
          <cell r="G754" t="str">
            <v>- 통풍이 잘 되는 그늘 및 서늘한 곳에 보관할 것
- 강산화제, 강산, 파라티온과 혼합저장 금지할 것
- 필요에 따라 국소배기장치 가동할 것
- 혼합금지물질 및 발화원을 격리할 것
- 화학물질 흄 후드 내에서 취급할 것
- 작업 후 온몸을 깨끗이 씻은 후 충분한 휴식할 것
- 양압자급식호흡용 보호구를 반드시 착용하고 보호의와 고글형 보안경을 착용할 것
- 취급금지물질(이를 1% 이상 함유한 혼합물질)</v>
          </cell>
        </row>
        <row r="755">
          <cell r="B755" t="str">
            <v>5903-13-9</v>
          </cell>
          <cell r="C755" t="str">
            <v>엠엔에프에이</v>
          </cell>
          <cell r="D755" t="str">
            <v>97-1-197</v>
          </cell>
          <cell r="E755" t="str">
            <v>및 이를 1% 이상 함유한 혼합물질</v>
          </cell>
          <cell r="F755">
            <v>1</v>
          </cell>
          <cell r="G755" t="str">
            <v>- 통풍이 잘 되는 그늘 및 서늘한 곳에 밀폐 보관할 것
- 식료품, 사료, 의약품, 음식과 혼합저장 금지할 것
- 저장용기는 물리적인 손상에 견딜 수 있어야 할 것</v>
          </cell>
        </row>
        <row r="756">
          <cell r="B756" t="str">
            <v>10137-74-3</v>
          </cell>
          <cell r="C756" t="str">
            <v>염소산 염류</v>
          </cell>
          <cell r="D756" t="str">
            <v>97-1-198</v>
          </cell>
          <cell r="E756" t="str">
            <v>및 이를 1% 이상 함유한 혼합물질. 다만 폭발약은 제외.</v>
          </cell>
          <cell r="F756">
            <v>1</v>
          </cell>
          <cell r="G756" t="str">
            <v>- 건조하고 통풍이 잘되는 그늘 및 서늘한 곳에 밀폐 보관할 것
- 식료품, 사료, 의약품, 음식과 혼합저장 금지할 것
- 필요에 따라 국소배기장치 가동할 것
- 저장용기는 물리적인 손상에 견딜 수 있어야 할 것
- 화재 또는 폭발의 위험이 있으므로 가연성물질, 알칼리, 산, 환원제, 황,  황화물, 금속분말,  암모니아, 아민류와 격리하여 저장할 것
- 취급 또는 작업 시는 통풍이 잘되는 후드에서 행하고 고글형 보안경, 보호복, 보호 장갑(고무 또는 플라스틱 재질), 앞치마, 양압자급식호흡 보호구를 착용하여 단기적인 접촉 및 반복적이고 장기적인 노출을 피할 것
- 노출기준 이상에서는 호흡보호구를 착용할 것
- 가연성물질과 접촉하면 연소될 수 있으므로 취급 시 주의할 것
- 가죽으로 만든 보호복, 장갑, 앞치마는 사용 금지할 것
- 작업장 부근에 비상시를 대비하여 샤워시설 및 세안시설을 갖출 것
- 작업 시에는 콘택트렌즈를 뺄 것</v>
          </cell>
        </row>
        <row r="757">
          <cell r="B757" t="str">
            <v>10192-29-7</v>
          </cell>
          <cell r="C757" t="str">
            <v>염소산 염류</v>
          </cell>
          <cell r="D757" t="str">
            <v>97-1-198</v>
          </cell>
          <cell r="E757" t="str">
            <v>및 이를 1% 이상 함유한 혼합물질. 다만 폭발약은 제외.</v>
          </cell>
          <cell r="F757">
            <v>1</v>
          </cell>
          <cell r="G757" t="str">
            <v>- 건조하고 통풍이 잘되는 그늘 및 서늘한 곳에 밀폐 보관할 것
- 식료품, 사료, 의약품, 음식과 혼합저장 금지할 것
- 필요에 따라 국소배기장치 가동할 것
- 저장용기는 물리적인 손상에 견딜 수 있어야 할 것
- 화재 또는 폭발의 위험이 있으므로 가연성물질, 알칼리, 산, 환원제, 황,  황화물, 금속분말,  암모니아, 아민류와 격리하여 저장할 것
- 취급 또는 작업 시는 통풍이 잘되는 후드에서 행하고 고글형 보안경, 보호복, 보호 장갑(고무 또는 플라스틱 재질), 앞치마, 양압자급식호흡 보호구를 착용하여 단기적인 접촉 및 반복적이고 장기적인 노출을 피할 것
- 노출기준 이상에서는 호흡보호구를 착용할 것
- 가연성물질과 접촉하면 연소될 수 있으므로 취급 시 주의할 것
- 가죽으로 만든 보호복, 장갑, 앞치마는 사용 금지할 것
- 작업장 부근에 비상시를 대비하여 샤워시설 및 세안시설을 갖출 것
- 작업 시에는 콘택트렌즈를 뺄 것</v>
          </cell>
        </row>
        <row r="758">
          <cell r="B758" t="str">
            <v>10326-21-3</v>
          </cell>
          <cell r="C758" t="str">
            <v>염소산 염류</v>
          </cell>
          <cell r="D758" t="str">
            <v>97-1-198</v>
          </cell>
          <cell r="E758" t="str">
            <v>및 이를 1% 이상 함유한 혼합물질. 다만 폭발약은 제외.</v>
          </cell>
          <cell r="F758">
            <v>1</v>
          </cell>
          <cell r="G758" t="str">
            <v>- 건조하고 통풍이 잘되는 그늘 및 서늘한 곳에 밀폐 보관할 것
- 식료품, 사료, 의약품, 음식과 혼합저장 금지할 것
- 필요에 따라 국소배기장치 가동할 것
- 저장용기는 물리적인 손상에 견딜 수 있어야 할 것
- 화재 또는 폭발의 위험이 있으므로 가연성물질, 알칼리, 산, 환원제, 황,  황화물, 금속분말,  암모니아, 아민류와 격리하여 저장할 것
- 취급 또는 작업 시는 통풍이 잘되는 후드에서 행하고 고글형 보안경, 보호복, 보호 장갑(고무 또는 플라스틱 재질), 앞치마, 양압자급식호흡 보호구를 착용하여 단기적인 접촉 및 반복적이고 장기적인 노출을 피할 것
- 노출기준 이상에서는 호흡보호구를 착용할 것
- 가연성물질과 접촉하면 연소될 수 있으므로 취급 시 주의할 것
- 가죽으로 만든 보호복, 장갑, 앞치마는 사용 금지할 것
- 작업장 부근에 비상시를 대비하여 샤워시설 및 세안시설을 갖출 것
- 작업 시에는 콘택트렌즈를 뺄 것</v>
          </cell>
        </row>
        <row r="759">
          <cell r="B759" t="str">
            <v>10361-95-2</v>
          </cell>
          <cell r="C759" t="str">
            <v>염소산 염류</v>
          </cell>
          <cell r="D759" t="str">
            <v>97-1-198</v>
          </cell>
          <cell r="E759" t="str">
            <v>및 이를 1% 이상 함유한 혼합물질. 다만 폭발약은 제외.</v>
          </cell>
          <cell r="F759">
            <v>1</v>
          </cell>
          <cell r="G759" t="str">
            <v>- 건조하고 통풍이 잘되는 그늘 및 서늘한 곳에 밀폐 보관할 것
- 식료품, 사료, 의약품, 음식과 혼합저장 금지할 것
- 필요에 따라 국소배기장치 가동할 것
- 저장용기는 물리적인 손상에 견딜 수 있어야 할 것
- 화재 또는 폭발의 위험이 있으므로 가연성물질, 알칼리, 산, 환원제, 황,  황화물, 금속분말,  암모니아, 아민류와 격리하여 저장할 것
- 취급 또는 작업 시는 통풍이 잘되는 후드에서 행하고 고글형 보안경, 보호복, 보호 장갑(고무 또는 플라스틱 재질), 앞치마, 양압자급식호흡 보호구를 착용하여 단기적인 접촉 및 반복적이고 장기적인 노출을 피할 것
- 노출기준 이상에서는 호흡보호구를 착용할 것
- 가연성물질과 접촉하면 연소될 수 있으므로 취급 시 주의할 것
- 가죽으로 만든 보호복, 장갑, 앞치마는 사용 금지할 것
- 작업장 부근에 비상시를 대비하여 샤워시설 및 세안시설을 갖출 것
- 작업 시에는 콘택트렌즈를 뺄 것</v>
          </cell>
        </row>
        <row r="760">
          <cell r="B760" t="str">
            <v>13453-71-9</v>
          </cell>
          <cell r="C760" t="str">
            <v>염소산 염류</v>
          </cell>
          <cell r="D760" t="str">
            <v>97-1-198</v>
          </cell>
          <cell r="E760" t="str">
            <v>및 이를 1% 이상 함유한 혼합물질. 다만 폭발약은 제외.</v>
          </cell>
          <cell r="F760">
            <v>1</v>
          </cell>
          <cell r="G760" t="str">
            <v>- 건조하고 통풍이 잘되는 그늘 및 서늘한 곳에 밀폐 보관할 것
- 식료품, 사료, 의약품, 음식과 혼합저장 금지할 것
- 필요에 따라 국소배기장치 가동할 것
- 저장용기는 물리적인 손상에 견딜 수 있어야 할 것
- 화재 또는 폭발의 위험이 있으므로 가연성물질, 알칼리, 산, 환원제, 황,  황화물, 금속분말,  암모니아, 아민류와 격리하여 저장할 것
- 취급 또는 작업 시는 통풍이 잘되는 후드에서 행하고 고글형 보안경, 보호복, 보호 장갑(고무 또는 플라스틱 재질), 앞치마, 양압자급식호흡 보호구를 착용하여 단기적인 접촉 및 반복적이고 장기적인 노출을 피할 것
- 노출기준 이상에서는 호흡보호구를 착용할 것
- 가연성물질과 접촉하면 연소될 수 있으므로 취급 시 주의할 것
- 가죽으로 만든 보호복, 장갑, 앞치마는 사용 금지할 것
- 작업장 부근에 비상시를 대비하여 샤워시설 및 세안시설을 갖출 것
- 작업 시에는 콘택트렌즈를 뺄 것</v>
          </cell>
        </row>
        <row r="761">
          <cell r="B761" t="str">
            <v>13477-00-4</v>
          </cell>
          <cell r="C761" t="str">
            <v>염소산 염류</v>
          </cell>
          <cell r="D761" t="str">
            <v>97-1-198</v>
          </cell>
          <cell r="E761" t="str">
            <v>및 이를 1% 이상 함유한 혼합물질. 다만 폭발약은 제외.</v>
          </cell>
          <cell r="F761">
            <v>1</v>
          </cell>
          <cell r="G761" t="str">
            <v>- 건조하고 통풍이 잘되는 그늘 및 서늘한 곳에 밀폐 보관할 것
- 식료품, 사료, 의약품, 음식과 혼합저장 금지할 것
- 필요에 따라 국소배기장치 가동할 것
- 저장용기는 물리적인 손상에 견딜 수 있어야 할 것
- 화재 또는 폭발의 위험이 있으므로 가연성물질, 알칼리, 산, 환원제, 황,  황화물, 금속분말,  암모니아, 아민류와 격리하여 저장할 것
- 취급 또는 작업 시는 통풍이 잘되는 후드에서 행하고 고글형 보안경, 보호복, 보호 장갑(고무 또는 플라스틱 재질), 앞치마, 양압자급식호흡 보호구를 착용하여 단기적인 접촉 및 반복적이고 장기적인 노출을 피할 것
- 노출기준 이상에서는 호흡보호구를 착용할 것
- 가연성물질과 접촉하면 연소될 수 있으므로 취급 시 주의할 것
- 가죽으로 만든 보호복, 장갑, 앞치마는 사용 금지할 것
- 작업장 부근에 비상시를 대비하여 샤워시설 및 세안시설을 갖출 것
- 작업 시에는 콘택트렌즈를 뺄 것</v>
          </cell>
        </row>
        <row r="762">
          <cell r="B762" t="str">
            <v>14013-71-9</v>
          </cell>
          <cell r="C762" t="str">
            <v>염소산 염류</v>
          </cell>
          <cell r="D762" t="str">
            <v>97-1-198</v>
          </cell>
          <cell r="E762" t="str">
            <v>및 이를 1% 이상 함유한 혼합물질. 다만 폭발약은 제외.</v>
          </cell>
          <cell r="F762">
            <v>1</v>
          </cell>
          <cell r="G762" t="str">
            <v>- 건조하고 통풍이 잘되는 그늘 및 서늘한 곳에 밀폐 보관할 것
- 식료품, 사료, 의약품, 음식과 혼합저장 금지할 것
- 필요에 따라 국소배기장치 가동할 것
- 저장용기는 물리적인 손상에 견딜 수 있어야 할 것
- 화재 또는 폭발의 위험이 있으므로 가연성물질, 알칼리, 산, 환원제, 황,  황화물, 금속분말,  암모니아, 아민류와 격리하여 저장할 것
- 취급 또는 작업 시는 통풍이 잘되는 후드에서 행하고 고글형 보안경, 보호복, 보호 장갑(고무 또는 플라스틱 재질), 앞치마, 양압자급식호흡 보호구를 착용하여 단기적인 접촉 및 반복적이고 장기적인 노출을 피할 것
- 노출기준 이상에서는 호흡보호구를 착용할 것
- 가연성물질과 접촉하면 연소될 수 있으므로 취급 시 주의할 것
- 가죽으로 만든 보호복, 장갑, 앞치마는 사용 금지할 것
- 작업장 부근에 비상시를 대비하여 샤워시설 및 세안시설을 갖출 것
- 작업 시에는 콘택트렌즈를 뺄 것</v>
          </cell>
        </row>
        <row r="763">
          <cell r="B763" t="str">
            <v>14721-21-2</v>
          </cell>
          <cell r="C763" t="str">
            <v>염소산 염류</v>
          </cell>
          <cell r="D763" t="str">
            <v>97-1-198</v>
          </cell>
          <cell r="E763" t="str">
            <v>및 이를 1% 이상 함유한 혼합물질. 다만 폭발약은 제외.</v>
          </cell>
          <cell r="F763">
            <v>1</v>
          </cell>
          <cell r="G763" t="str">
            <v>- 건조하고 통풍이 잘되는 그늘 및 서늘한 곳에 밀폐 보관할 것
- 식료품, 사료, 의약품, 음식과 혼합저장 금지할 것
- 필요에 따라 국소배기장치 가동할 것
- 저장용기는 물리적인 손상에 견딜 수 있어야 할 것
- 화재 또는 폭발의 위험이 있으므로 가연성물질, 알칼리, 산, 환원제, 황,  황화물, 금속분말,  암모니아, 아민류와 격리하여 저장할 것
- 취급 또는 작업 시는 통풍이 잘되는 후드에서 행하고 고글형 보안경, 보호복, 보호 장갑(고무 또는 플라스틱 재질), 앞치마, 양압자급식호흡 보호구를 착용하여 단기적인 접촉 및 반복적이고 장기적인 노출을 피할 것
- 노출기준 이상에서는 호흡보호구를 착용할 것
- 가연성물질과 접촉하면 연소될 수 있으므로 취급 시 주의할 것
- 가죽으로 만든 보호복, 장갑, 앞치마는 사용 금지할 것
- 작업장 부근에 비상시를 대비하여 샤워시설 및 세안시설을 갖출 것
- 작업 시에는 콘택트렌즈를 뺄 것</v>
          </cell>
        </row>
        <row r="764">
          <cell r="B764" t="str">
            <v>15477-33-5</v>
          </cell>
          <cell r="C764" t="str">
            <v>염소산 염류</v>
          </cell>
          <cell r="D764" t="str">
            <v>97-1-198</v>
          </cell>
          <cell r="E764" t="str">
            <v>및 이를 1% 이상 함유한 혼합물질. 다만 폭발약은 제외.</v>
          </cell>
          <cell r="F764">
            <v>1</v>
          </cell>
          <cell r="G764" t="str">
            <v>- 건조하고 통풍이 잘되는 그늘 및 서늘한 곳에 밀폐 보관할 것
- 식료품, 사료, 의약품, 음식과 혼합저장 금지할 것
- 필요에 따라 국소배기장치 가동할 것
- 저장용기는 물리적인 손상에 견딜 수 있어야 할 것
- 화재 또는 폭발의 위험이 있으므로 가연성물질, 알칼리, 산, 환원제, 황,  황화물, 금속분말,  암모니아, 아민류와 격리하여 저장할 것
- 취급 또는 작업 시는 통풍이 잘되는 후드에서 행하고 고글형 보안경, 보호복, 보호 장갑(고무 또는 플라스틱 재질), 앞치마, 양압자급식호흡 보호구를 착용하여 단기적인 접촉 및 반복적이고 장기적인 노출을 피할 것
- 노출기준 이상에서는 호흡보호구를 착용할 것
- 가연성물질과 접촉하면 연소될 수 있으므로 취급 시 주의할 것
- 가죽으로 만든 보호복, 장갑, 앞치마는 사용 금지할 것
- 작업장 부근에 비상시를 대비하여 샤워시설 및 세안시설을 갖출 것
- 작업 시에는 콘택트렌즈를 뺄 것</v>
          </cell>
        </row>
        <row r="765">
          <cell r="B765" t="str">
            <v>3811-04-9</v>
          </cell>
          <cell r="C765" t="str">
            <v>염소산 염류</v>
          </cell>
          <cell r="D765" t="str">
            <v>97-1-198</v>
          </cell>
          <cell r="E765" t="str">
            <v>및 이를 1% 이상 함유한 혼합물질. 다만 폭발약은 제외.</v>
          </cell>
          <cell r="F765">
            <v>1</v>
          </cell>
          <cell r="G765" t="str">
            <v>- 건조하고 통풍이 잘되는 그늘 및 서늘한 곳에 밀폐 보관할 것
- 식료품, 사료, 의약품, 음식과 혼합저장 금지할 것
- 필요에 따라 국소배기장치 가동할 것
- 저장용기는 물리적인 손상에 견딜 수 있어야 할 것
- 화재 또는 폭발의 위험이 있으므로 가연성물질, 알칼리, 산, 환원제, 황,  황화물, 금속분말,  암모니아, 아민류와 격리하여 저장할 것
- 취급 또는 작업 시는 통풍이 잘되는 후드에서 행하고 고글형 보안경, 보호복, 보호 장갑(고무 또는 플라스틱 재질), 앞치마, 양압자급식호흡 보호구를 착용하여 단기적인 접촉 및 반복적이고 장기적인 노출을 피할 것
- 노출기준 이상에서는 호흡보호구를 착용할 것
- 가연성물질과 접촉하면 연소될 수 있으므로 취급 시 주의할 것
- 가죽으로 만든 보호복, 장갑, 앞치마는 사용 금지할 것
- 작업장 부근에 비상시를 대비하여 샤워시설 및 세안시설을 갖출 것
- 작업 시에는 콘택트렌즈를 뺄 것</v>
          </cell>
        </row>
        <row r="766">
          <cell r="B766" t="str">
            <v>67952-43-6</v>
          </cell>
          <cell r="C766" t="str">
            <v>염소산 염류</v>
          </cell>
          <cell r="D766" t="str">
            <v>97-1-198</v>
          </cell>
          <cell r="E766" t="str">
            <v>및 이를 1% 이상 함유한 혼합물질. 다만 폭발약은 제외.</v>
          </cell>
          <cell r="F766">
            <v>1</v>
          </cell>
          <cell r="G766" t="str">
            <v>- 건조하고 통풍이 잘되는 그늘 및 서늘한 곳에 밀폐 보관할 것
- 식료품, 사료, 의약품, 음식과 혼합저장 금지할 것
- 필요에 따라 국소배기장치 가동할 것
- 저장용기는 물리적인 손상에 견딜 수 있어야 할 것
- 화재 또는 폭발의 위험이 있으므로 가연성물질, 알칼리, 산, 환원제, 황,  황화물, 금속분말,  암모니아, 아민류와 격리하여 저장할 것
- 취급 또는 작업 시는 통풍이 잘되는 후드에서 행하고 고글형 보안경, 보호복, 보호 장갑(고무 또는 플라스틱 재질), 앞치마, 양압자급식호흡 보호구를 착용하여 단기적인 접촉 및 반복적이고 장기적인 노출을 피할 것
- 노출기준 이상에서는 호흡보호구를 착용할 것
- 가연성물질과 접촉하면 연소될 수 있으므로 취급 시 주의할 것
- 가죽으로 만든 보호복, 장갑, 앞치마는 사용 금지할 것
- 작업장 부근에 비상시를 대비하여 샤워시설 및 세안시설을 갖출 것
- 작업 시에는 콘택트렌즈를 뺄 것</v>
          </cell>
        </row>
        <row r="767">
          <cell r="B767" t="str">
            <v>7775-09-9</v>
          </cell>
          <cell r="C767" t="str">
            <v>염소산 염류</v>
          </cell>
          <cell r="D767" t="str">
            <v>97-1-198</v>
          </cell>
          <cell r="E767" t="str">
            <v>및 이를 1% 이상 함유한 혼합물질. 다만 폭발약은 제외.</v>
          </cell>
          <cell r="F767">
            <v>1</v>
          </cell>
          <cell r="G767" t="str">
            <v>- 건조하고 통풍이 잘되는 그늘 및 서늘한 곳에 밀폐 보관할 것
- 식료품, 사료, 의약품, 음식과 혼합저장 금지할 것
- 필요에 따라 국소배기장치 가동할 것
- 저장용기는 물리적인 손상에 견딜 수 있어야 할 것
- 화재 또는 폭발의 위험이 있으므로 가연성물질, 알칼리, 산, 환원제, 황,  황화물, 금속분말,  암모니아, 아민류와 격리하여 저장할 것
- 취급 또는 작업 시는 통풍이 잘되는 후드에서 행하고 고글형 보안경, 보호복, 보호 장갑(고무 또는 플라스틱 재질), 앞치마, 양압자급식호흡 보호구를 착용하여 단기적인 접촉 및 반복적이고 장기적인 노출을 피할 것
- 노출기준 이상에서는 호흡보호구를 착용할 것
- 가연성물질과 접촉하면 연소될 수 있으므로 취급 시 주의할 것
- 가죽으로 만든 보호복, 장갑, 앞치마는 사용 금지할 것
- 작업장 부근에 비상시를 대비하여 샤워시설 및 세안시설을 갖출 것
- 작업 시에는 콘택트렌즈를 뺄 것</v>
          </cell>
        </row>
        <row r="768">
          <cell r="B768" t="str">
            <v>7783-92-8</v>
          </cell>
          <cell r="C768" t="str">
            <v>염소산 염류</v>
          </cell>
          <cell r="D768" t="str">
            <v>97-1-198</v>
          </cell>
          <cell r="E768" t="str">
            <v>및 이를 1% 이상 함유한 혼합물질. 다만 폭발약은 제외.</v>
          </cell>
          <cell r="F768">
            <v>1</v>
          </cell>
          <cell r="G768" t="str">
            <v>- 건조하고 통풍이 잘되는 그늘 및 서늘한 곳에 밀폐 보관할 것
- 식료품, 사료, 의약품, 음식과 혼합저장 금지할 것
- 필요에 따라 국소배기장치 가동할 것
- 저장용기는 물리적인 손상에 견딜 수 있어야 할 것
- 화재 또는 폭발의 위험이 있으므로 가연성물질, 알칼리, 산, 환원제, 황,  황화물, 금속분말,  암모니아, 아민류와 격리하여 저장할 것
- 취급 또는 작업 시는 통풍이 잘되는 후드에서 행하고 고글형 보안경, 보호복, 보호 장갑(고무 또는 플라스틱 재질), 앞치마, 양압자급식호흡 보호구를 착용하여 단기적인 접촉 및 반복적이고 장기적인 노출을 피할 것
- 노출기준 이상에서는 호흡보호구를 착용할 것
- 가연성물질과 접촉하면 연소될 수 있으므로 취급 시 주의할 것
- 가죽으로 만든 보호복, 장갑, 앞치마는 사용 금지할 것
- 작업장 부근에 비상시를 대비하여 샤워시설 및 세안시설을 갖출 것
- 작업 시에는 콘택트렌즈를 뺄 것</v>
          </cell>
        </row>
        <row r="769">
          <cell r="B769" t="str">
            <v>7791-10-8</v>
          </cell>
          <cell r="C769" t="str">
            <v>염소산 염류</v>
          </cell>
          <cell r="D769" t="str">
            <v>97-1-198</v>
          </cell>
          <cell r="E769" t="str">
            <v>및 이를 1% 이상 함유한 혼합물질. 다만 폭발약은 제외.</v>
          </cell>
          <cell r="F769">
            <v>1</v>
          </cell>
          <cell r="G769" t="str">
            <v>- 건조하고 통풍이 잘되는 그늘 및 서늘한 곳에 밀폐 보관할 것
- 식료품, 사료, 의약품, 음식과 혼합저장 금지할 것
- 필요에 따라 국소배기장치 가동할 것
- 저장용기는 물리적인 손상에 견딜 수 있어야 할 것
- 화재 또는 폭발의 위험이 있으므로 가연성물질, 알칼리, 산, 환원제, 황,  황화물, 금속분말,  암모니아, 아민류와 격리하여 저장할 것
- 취급 또는 작업 시는 통풍이 잘되는 후드에서 행하고 고글형 보안경, 보호복, 보호 장갑(고무 또는 플라스틱 재질), 앞치마, 양압자급식호흡 보호구를 착용하여 단기적인 접촉 및 반복적이고 장기적인 노출을 피할 것
- 노출기준 이상에서는 호흡보호구를 착용할 것
- 가연성물질과 접촉하면 연소될 수 있으므로 취급 시 주의할 것
- 가죽으로 만든 보호복, 장갑, 앞치마는 사용 금지할 것
- 작업장 부근에 비상시를 대비하여 샤워시설 및 세안시설을 갖출 것
- 작업 시에는 콘택트렌즈를 뺄 것</v>
          </cell>
        </row>
        <row r="770">
          <cell r="B770" t="str">
            <v>3033-77-0</v>
          </cell>
          <cell r="C770" t="str">
            <v xml:space="preserve">염화 2,3-에폭시프로필트리메틸암모늄 </v>
          </cell>
          <cell r="D770" t="str">
            <v>97-1-199</v>
          </cell>
          <cell r="E770" t="str">
            <v>및 이를 0.1% 이상 함유한 혼합물질</v>
          </cell>
          <cell r="F770">
            <v>0.1</v>
          </cell>
          <cell r="G770" t="str">
            <v>- 통풍이 잘 되는 그늘 및 서늘한 곳에 밀폐 보관할 것
- 저장온도는 10~15℃를 유지할 것
- 폴리에틸렌, PVC, 스테인레스 재질의 용기를 사용할 것
- 필요에 따라 국소배기장치 가동할 것
- 취급 시 피부접촉을 피하고 보호의, 보안경, 보호장갑을 착용할 것
- 취급 시 양압자급식호흡용 보호장비를 착용할 것
- 취급 시 콘택트렌즈를 착용 금지할 것</v>
          </cell>
        </row>
        <row r="771">
          <cell r="B771" t="str">
            <v>139-07-1</v>
          </cell>
          <cell r="C771" t="str">
            <v xml:space="preserve">염화 N-알킬디메틸벤질 암모늄 </v>
          </cell>
          <cell r="D771" t="str">
            <v>97-1-200</v>
          </cell>
          <cell r="E771" t="str">
            <v>및 이를 1% 이상 함유한 혼합물질</v>
          </cell>
          <cell r="F771">
            <v>1</v>
          </cell>
          <cell r="G771" t="str">
            <v>- 통풍이 잘 되는 곳에 밀폐 보관할 것
- 저장온도는 15~30℃를 유지하고 40℃를 넘지 않도록 할 것
- 냉각시키지 말 것
- 저장용기는 물리적인 손상에 견딜 수 있어야 할 것
- 필요에 따라 국소배기장치 가동할 것
- 화학물질 흄 후드 내에서 취급할 것
- 취급 시 피부접촉을 피하고 보호의, 보안경, 보호장갑을 착용할 것
- 취급 시 양압자급식호흡용 보호장비를 착용할 것
- 취급 시 콘택트렌즈를 착용 금지할 것</v>
          </cell>
        </row>
        <row r="772">
          <cell r="B772" t="str">
            <v>139-08-2</v>
          </cell>
          <cell r="C772" t="str">
            <v xml:space="preserve">염화 N-알킬디메틸벤질 암모늄 </v>
          </cell>
          <cell r="D772" t="str">
            <v>97-1-200</v>
          </cell>
          <cell r="E772" t="str">
            <v>및 이를 1% 이상 함유한 혼합물질</v>
          </cell>
          <cell r="F772">
            <v>1</v>
          </cell>
          <cell r="G772" t="str">
            <v>- 통풍이 잘 되는 곳에 밀폐 보관할 것
- 저장온도는 15~30℃를 유지하고 40℃를 넘지 않도록 할 것
- 냉각시키지 말 것
- 저장용기는 물리적인 손상에 견딜 수 있어야 할 것
- 필요에 따라 국소배기장치 가동할 것
- 화학물질 흄 후드 내에서 취급할 것
- 취급 시 피부접촉을 피하고 보호의, 보안경, 보호장갑을 착용할 것
- 취급 시 양압자급식호흡용 보호장비를 착용할 것
- 취급 시 콘택트렌즈를 착용 금지할 것</v>
          </cell>
        </row>
        <row r="773">
          <cell r="B773" t="str">
            <v>160402-23-3</v>
          </cell>
          <cell r="C773" t="str">
            <v xml:space="preserve">염화 N-알킬디메틸벤질 암모늄 </v>
          </cell>
          <cell r="D773" t="str">
            <v>97-1-200</v>
          </cell>
          <cell r="E773" t="str">
            <v>및 이를 1% 이상 함유한 혼합물질</v>
          </cell>
          <cell r="F773">
            <v>1</v>
          </cell>
          <cell r="G773" t="str">
            <v>- 통풍이 잘 되는 곳에 밀폐 보관할 것
- 저장온도는 15~30℃를 유지하고 40℃를 넘지 않도록 할 것
- 냉각시키지 말 것
- 저장용기는 물리적인 손상에 견딜 수 있어야 할 것
- 필요에 따라 국소배기장치 가동할 것
- 화학물질 흄 후드 내에서 취급할 것
- 취급 시 피부접촉을 피하고 보호의, 보안경, 보호장갑을 착용할 것
- 취급 시 양압자급식호흡용 보호장비를 착용할 것
- 취급 시 콘택트렌즈를 착용 금지할 것</v>
          </cell>
        </row>
        <row r="774">
          <cell r="B774" t="str">
            <v>3024-71-3</v>
          </cell>
          <cell r="C774" t="str">
            <v xml:space="preserve">염화 N-알킬디메틸벤질 암모늄 </v>
          </cell>
          <cell r="D774" t="str">
            <v>97-1-200</v>
          </cell>
          <cell r="E774" t="str">
            <v>및 이를 1% 이상 함유한 혼합물질</v>
          </cell>
          <cell r="F774">
            <v>1</v>
          </cell>
          <cell r="G774" t="str">
            <v>- 통풍이 잘 되는 곳에 밀폐 보관할 것
- 저장온도는 15~30℃를 유지하고 40℃를 넘지 않도록 할 것
- 냉각시키지 말 것
- 저장용기는 물리적인 손상에 견딜 수 있어야 할 것
- 필요에 따라 국소배기장치 가동할 것
- 화학물질 흄 후드 내에서 취급할 것
- 취급 시 피부접촉을 피하고 보호의, 보안경, 보호장갑을 착용할 것
- 취급 시 양압자급식호흡용 보호장비를 착용할 것
- 취급 시 콘택트렌즈를 착용 금지할 것</v>
          </cell>
        </row>
        <row r="775">
          <cell r="B775" t="str">
            <v>5197-80-8</v>
          </cell>
          <cell r="C775" t="str">
            <v xml:space="preserve">염화 N-알킬디메틸벤질 암모늄 </v>
          </cell>
          <cell r="D775" t="str">
            <v>97-1-200</v>
          </cell>
          <cell r="E775" t="str">
            <v>및 이를 1% 이상 함유한 혼합물질</v>
          </cell>
          <cell r="F775">
            <v>1</v>
          </cell>
          <cell r="G775" t="str">
            <v>- 통풍이 잘 되는 곳에 밀폐 보관할 것
- 저장온도는 15~30℃를 유지하고 40℃를 넘지 않도록 할 것
- 냉각시키지 말 것
- 저장용기는 물리적인 손상에 견딜 수 있어야 할 것
- 필요에 따라 국소배기장치 가동할 것
- 화학물질 흄 후드 내에서 취급할 것
- 취급 시 피부접촉을 피하고 보호의, 보안경, 보호장갑을 착용할 것
- 취급 시 양압자급식호흡용 보호장비를 착용할 것
- 취급 시 콘택트렌즈를 착용 금지할 것</v>
          </cell>
        </row>
        <row r="776">
          <cell r="B776" t="str">
            <v>56-93-9</v>
          </cell>
          <cell r="C776" t="str">
            <v xml:space="preserve">염화 N-알킬디메틸벤질 암모늄 </v>
          </cell>
          <cell r="D776" t="str">
            <v>97-1-200</v>
          </cell>
          <cell r="E776" t="str">
            <v>및 이를 1% 이상 함유한 혼합물질</v>
          </cell>
          <cell r="F776">
            <v>1</v>
          </cell>
          <cell r="G776" t="str">
            <v>- 통풍이 잘 되는 곳에 밀폐 보관할 것
- 저장온도는 15~30℃를 유지하고 40℃를 넘지 않도록 할 것
- 냉각시키지 말 것
- 저장용기는 물리적인 손상에 견딜 수 있어야 할 것
- 필요에 따라 국소배기장치 가동할 것
- 화학물질 흄 후드 내에서 취급할 것
- 취급 시 피부접촉을 피하고 보호의, 보안경, 보호장갑을 착용할 것
- 취급 시 양압자급식호흡용 보호장비를 착용할 것
- 취급 시 콘택트렌즈를 착용 금지할 것</v>
          </cell>
        </row>
        <row r="777">
          <cell r="B777" t="str">
            <v>61789-71-7</v>
          </cell>
          <cell r="C777" t="str">
            <v xml:space="preserve">염화 N-알킬디메틸벤질 암모늄 </v>
          </cell>
          <cell r="D777" t="str">
            <v>97-1-200</v>
          </cell>
          <cell r="E777" t="str">
            <v>및 이를 1% 이상 함유한 혼합물질</v>
          </cell>
          <cell r="F777">
            <v>1</v>
          </cell>
          <cell r="G777" t="str">
            <v>- 통풍이 잘 되는 곳에 밀폐 보관할 것
- 저장온도는 15~30℃를 유지하고 40℃를 넘지 않도록 할 것
- 냉각시키지 말 것
- 저장용기는 물리적인 손상에 견딜 수 있어야 할 것
- 필요에 따라 국소배기장치 가동할 것
- 화학물질 흄 후드 내에서 취급할 것
- 취급 시 피부접촉을 피하고 보호의, 보안경, 보호장갑을 착용할 것
- 취급 시 양압자급식호흡용 보호장비를 착용할 것
- 취급 시 콘택트렌즈를 착용 금지할 것</v>
          </cell>
        </row>
        <row r="778">
          <cell r="B778" t="str">
            <v>63449-41-2</v>
          </cell>
          <cell r="C778" t="str">
            <v xml:space="preserve">염화 N-알킬디메틸벤질 암모늄 </v>
          </cell>
          <cell r="D778" t="str">
            <v>97-1-200</v>
          </cell>
          <cell r="E778" t="str">
            <v>및 이를 1% 이상 함유한 혼합물질</v>
          </cell>
          <cell r="F778">
            <v>1</v>
          </cell>
          <cell r="G778" t="str">
            <v>- 통풍이 잘 되는 곳에 밀폐 보관할 것
- 저장온도는 15~30℃를 유지하고 40℃를 넘지 않도록 할 것
- 냉각시키지 말 것
- 저장용기는 물리적인 손상에 견딜 수 있어야 할 것
- 필요에 따라 국소배기장치 가동할 것
- 화학물질 흄 후드 내에서 취급할 것
- 취급 시 피부접촉을 피하고 보호의, 보안경, 보호장갑을 착용할 것
- 취급 시 양압자급식호흡용 보호장비를 착용할 것
- 취급 시 콘택트렌즈를 착용 금지할 것</v>
          </cell>
        </row>
        <row r="779">
          <cell r="B779" t="str">
            <v>68391-01-5</v>
          </cell>
          <cell r="C779" t="str">
            <v xml:space="preserve">염화 N-알킬디메틸벤질 암모늄 </v>
          </cell>
          <cell r="D779" t="str">
            <v>97-1-200</v>
          </cell>
          <cell r="E779" t="str">
            <v>및 이를 1% 이상 함유한 혼합물질</v>
          </cell>
          <cell r="F779">
            <v>1</v>
          </cell>
          <cell r="G779" t="str">
            <v>- 통풍이 잘 되는 곳에 밀폐 보관할 것
- 저장온도는 15~30℃를 유지하고 40℃를 넘지 않도록 할 것
- 냉각시키지 말 것
- 저장용기는 물리적인 손상에 견딜 수 있어야 할 것
- 필요에 따라 국소배기장치 가동할 것
- 화학물질 흄 후드 내에서 취급할 것
- 취급 시 피부접촉을 피하고 보호의, 보안경, 보호장갑을 착용할 것
- 취급 시 양압자급식호흡용 보호장비를 착용할 것
- 취급 시 콘택트렌즈를 착용 금지할 것</v>
          </cell>
        </row>
        <row r="780">
          <cell r="B780" t="str">
            <v>68424-85-1</v>
          </cell>
          <cell r="C780" t="str">
            <v xml:space="preserve">염화 N-알킬디메틸벤질 암모늄 </v>
          </cell>
          <cell r="D780" t="str">
            <v>97-1-200</v>
          </cell>
          <cell r="E780" t="str">
            <v>및 이를 1% 이상 함유한 혼합물질</v>
          </cell>
          <cell r="F780">
            <v>1</v>
          </cell>
          <cell r="G780" t="str">
            <v>- 통풍이 잘 되는 곳에 밀폐 보관할 것
- 저장온도는 15~30℃를 유지하고 40℃를 넘지 않도록 할 것
- 냉각시키지 말 것
- 저장용기는 물리적인 손상에 견딜 수 있어야 할 것
- 필요에 따라 국소배기장치 가동할 것
- 화학물질 흄 후드 내에서 취급할 것
- 취급 시 피부접촉을 피하고 보호의, 보안경, 보호장갑을 착용할 것
- 취급 시 양압자급식호흡용 보호장비를 착용할 것
- 취급 시 콘택트렌즈를 착용 금지할 것</v>
          </cell>
        </row>
        <row r="781">
          <cell r="B781" t="str">
            <v>8001-54-5</v>
          </cell>
          <cell r="C781" t="str">
            <v xml:space="preserve">염화 N-알킬디메틸벤질 암모늄 </v>
          </cell>
          <cell r="D781" t="str">
            <v>97-1-200</v>
          </cell>
          <cell r="E781" t="str">
            <v>및 이를 1% 이상 함유한 혼합물질</v>
          </cell>
          <cell r="F781">
            <v>1</v>
          </cell>
          <cell r="G781" t="str">
            <v>- 통풍이 잘 되는 곳에 밀폐 보관할 것
- 저장온도는 15~30℃를 유지하고 40℃를 넘지 않도록 할 것
- 냉각시키지 말 것
- 저장용기는 물리적인 손상에 견딜 수 있어야 할 것
- 필요에 따라 국소배기장치 가동할 것
- 화학물질 흄 후드 내에서 취급할 것
- 취급 시 피부접촉을 피하고 보호의, 보안경, 보호장갑을 착용할 것
- 취급 시 양압자급식호흡용 보호장비를 착용할 것
- 취급 시 콘택트렌즈를 착용 금지할 것</v>
          </cell>
        </row>
        <row r="782">
          <cell r="B782" t="str">
            <v>85409-22-9</v>
          </cell>
          <cell r="C782" t="str">
            <v xml:space="preserve">염화 N-알킬디메틸벤질 암모늄 </v>
          </cell>
          <cell r="D782" t="str">
            <v>97-1-200</v>
          </cell>
          <cell r="E782" t="str">
            <v>및 이를 1% 이상 함유한 혼합물질</v>
          </cell>
          <cell r="F782">
            <v>1</v>
          </cell>
          <cell r="G782" t="str">
            <v>- 통풍이 잘 되는 곳에 밀폐 보관할 것
- 저장온도는 15~30℃를 유지하고 40℃를 넘지 않도록 할 것
- 냉각시키지 말 것
- 저장용기는 물리적인 손상에 견딜 수 있어야 할 것
- 필요에 따라 국소배기장치 가동할 것
- 화학물질 흄 후드 내에서 취급할 것
- 취급 시 피부접촉을 피하고 보호의, 보안경, 보호장갑을 착용할 것
- 취급 시 양압자급식호흡용 보호장비를 착용할 것
- 취급 시 콘택트렌즈를 착용 금지할 것</v>
          </cell>
        </row>
        <row r="783">
          <cell r="B783" t="str">
            <v>74-87-3</v>
          </cell>
          <cell r="C783" t="str">
            <v>염화 메틸</v>
          </cell>
          <cell r="D783" t="str">
            <v>97-1-201</v>
          </cell>
          <cell r="E783" t="str">
            <v>및 이를 1.0% 이상 함유한 혼합물질</v>
          </cell>
          <cell r="F783">
            <v>1</v>
          </cell>
          <cell r="G783" t="str">
            <v>- 환기가 잘 되는 건조한 그늘 및 서늘한 곳에 밀폐 보관할 것
- 저장온도는 400℃ 이하로 유지할 것
- 직사광선을 피할 것
- 저장용기는 물리적인 손상을 견딜 수 있어야 할 것
- 필요에 따라 국소배기장치 가동할 것
- 화학물질 흄 후드내에서 취급할 것
- 취급 시 피부접촉을 피하고 보호의, 보안경과 보호장갑을 착용할 것
- 취급 시 양압자급식호흡용 보호장비를 착용할 것
- 가죽으로 만든 보호의, 장갑, 앞치마는 사용 금지할 것
- 사고대비물질(이를 1% 이상 함유한 혼합물질)</v>
          </cell>
        </row>
        <row r="784">
          <cell r="B784" t="str">
            <v>13371-17-0</v>
          </cell>
          <cell r="C784" t="str">
            <v xml:space="preserve">염화 부틸트리페닐포스포늄 </v>
          </cell>
          <cell r="D784" t="str">
            <v>97-1-202</v>
          </cell>
          <cell r="E784" t="str">
            <v>및 이를 25% 이상 함유한 혼합물질</v>
          </cell>
          <cell r="F784">
            <v>25</v>
          </cell>
          <cell r="G784" t="str">
            <v>- 건조하고 통풍이 잘 되는 그늘 및 서늘한 곳에 보관할 것
- 식료품, 사료, 의약품, 음식과 혼합저장 금지할 것
- 필요에 따라 국소배기장치 가동할 것
- 취급 또는 작업 시에는 보호의, 보호장갑 등을 착용하여 단기적인 접촉 및 반복적이고 장기적인 노출을 피할 것</v>
          </cell>
        </row>
        <row r="785">
          <cell r="B785" t="str">
            <v>7647-01-0</v>
          </cell>
          <cell r="C785" t="str">
            <v>염화 수소</v>
          </cell>
          <cell r="D785" t="str">
            <v>97-1-203</v>
          </cell>
          <cell r="E785" t="str">
            <v>및 이를 10% 이상 함유한 혼합물질</v>
          </cell>
          <cell r="F785">
            <v>10</v>
          </cell>
          <cell r="G785" t="str">
            <v>- 통풍이 잘 되는 52℃ 이하의 저장소에 밀폐 보관할 것
- 직사광선을 피하고 식료품, 사료, 의약품, 음식과 혼합저장 금지할 것
- 필요에 따라 국소배기장치 가동할 것
- 저장용기는 유리, 스테인레스, 무쇠(cast), 연철(mild  steel), FRP 등으로 제조된 것이어야 할 것 단, 상기재질이 아니더라도 부식과 물리적인 손상에 견딜 수 있는 용기는 가능함
- 수산화물, 아민류, 구리, 황동(brass),  아연과 혼합위험성(incompatible)이 있으므로 격리하여 저장할 것
- 산화제(질산, 염화물), 강산, 강염기, 포름알데히드와 격리하여 저장할 것
- 화재 또는 폭발의 위험성이 있으므로 열원, 스파크, 불꽃, 가연성물질, 점화원과 격리하여 저장할 것
- 염산 희석액을 만드는 경우 반드시 염산을 물에 가해야 함(절대로 물을 염산에 가하면 안 됨)할 것
- 취급 또는 작업 시는 통풍이 잘 되는 후드에서 행하고 고글형 보안경, 내산성보호의, 보호장갑(고무, 네오프렌 또는 PVC 재질), 보호앞치마, 양압자급식호흡용 보호구를 착용하여 단기적인 접촉 및 반복적이고 장기적인 노출을 피할 것
- 노출기준 이상에서는 호흡보호구를 착용할 것
- 빈 용기에는 잔류물(증기, 액체 및 고체)이 남아있어 위험할 수 있으므로, 용기에 구멍을 뚫거나 용기를 태우지 말 것
- 사고대비물질(이를 10% 이상 함유한 혼합물질)</v>
          </cell>
        </row>
        <row r="786">
          <cell r="B786" t="str">
            <v>506-77-4</v>
          </cell>
          <cell r="C786" t="str">
            <v>염화 시안</v>
          </cell>
          <cell r="D786" t="str">
            <v>97-1-204</v>
          </cell>
          <cell r="E786" t="str">
            <v>및 이를 1% 이상 함유한 혼합물질</v>
          </cell>
          <cell r="F786">
            <v>1</v>
          </cell>
          <cell r="G786" t="str">
            <v>- 환기가 잘 되는 그늘 및 서늘한 곳에 밀폐 보관할 것
- 직사광선을 피할 것
- 필요에 따라 국소배기장치 가동할 것
- 혼합금지물질 및 점화원을 격리할 것
- 화학물질 흄 후드 내에서 취급할 것
- 취급 시 피부접촉을 피하고 보호의와 보호장갑을 착용할 것
- 취급 시 양압자급식호흡용 보호장비를 착용할 것
- 가죽으로 만든 보호의, 장갑, 앞치마는 사용 금지할 것
- 사고대비물질(이를 1% 이상 함유한 혼합물질)</v>
          </cell>
        </row>
        <row r="787">
          <cell r="B787" t="str">
            <v>75-00-3</v>
          </cell>
          <cell r="C787" t="str">
            <v>염화 에틸</v>
          </cell>
          <cell r="D787" t="str">
            <v>97-1-205</v>
          </cell>
          <cell r="E787" t="str">
            <v>및 이를 25% 이상 함유한 혼합물질</v>
          </cell>
          <cell r="F787">
            <v>25</v>
          </cell>
          <cell r="G787" t="str">
            <v>- 환기가 잘 되는 그늘 및 서늘한 곳에 밀폐 보관할 것
- 필요에 따라 국소배기장치 가동할 것
- 저장용기는 물리적인 손상을 견딜 수 있어야 할 것
- 열, 스파크, 화염, 발화원과 격리할 것
- 취급 시 피부접촉을 피하고 보호의, 보호장갑, 안전장화, 보안경을 착용할 것
- 취급 시 통풍이 잘 되는 후드에서 행하고 안면보호구를 갖춘 송기마스크, 헬멧, 양압자극식호흡용 보호구를 반드시 착용할 것
- 취급 후, 손을 철저하게 세척할 것
- 물질을 이동시킬 때 용기를 땅에 밀착하여 이동할 것
- 빈 용기를 가압, 절단, 용접, 납땜, 연마, 천공을 해서는 안 되며, 열, 스파크, 화염에 노출시키지 말 것</v>
          </cell>
        </row>
        <row r="788">
          <cell r="B788" t="str">
            <v>115-78-6</v>
          </cell>
          <cell r="C788" t="str">
            <v>염화클로르포늄</v>
          </cell>
          <cell r="D788" t="str">
            <v>97-1-206</v>
          </cell>
          <cell r="E788" t="str">
            <v>및 이를 1% 이상 함유한 혼합물질</v>
          </cell>
          <cell r="F788">
            <v>1</v>
          </cell>
          <cell r="G788" t="str">
            <v>- 건조하고 통풍이 잘 되는 그늘 및 서늘한 곳에 보관할 것
- 식료품, 사료, 의약품, 음식과 혼합저장 금지할 것- 필요에 따라 국소배기장치 가동할 것
- 취급 또는 작업시는 보호의, 보호장갑 등을 착용하여 단기적인 접촉 및 반복적이고 장기적인 노출을 피할 것</v>
          </cell>
        </row>
        <row r="789">
          <cell r="B789" t="str">
            <v>133-59-5</v>
          </cell>
          <cell r="C789" t="str">
            <v>염화o-톨루엔술폰산</v>
          </cell>
          <cell r="D789" t="str">
            <v>97-1-207</v>
          </cell>
          <cell r="E789" t="str">
            <v>및 이를 25% 이상 함유한 혼합물질</v>
          </cell>
          <cell r="F789">
            <v>25</v>
          </cell>
          <cell r="G789" t="str">
            <v>- 건조하고 통풍이 잘 되는 그늘 및 서늘한 곳에 보관할 것
- 식료품, 사료, 의약품, 음식과 혼합저장 금지할 것
- 필요에 따라 국소배기장치 가동할 것
- 취급 또는 작업 시는 보호의, 보호장갑 등을 착용하여 단기적인 접촉 및 반복적이고 장기적인 노출을 피할 것</v>
          </cell>
        </row>
        <row r="790">
          <cell r="B790" t="str">
            <v>7719-09-7</v>
          </cell>
          <cell r="C790" t="str">
            <v>염화 티오닐</v>
          </cell>
          <cell r="D790" t="str">
            <v>97-1-208</v>
          </cell>
          <cell r="E790" t="str">
            <v>및 이를 25% 이상 함유한 혼합물질</v>
          </cell>
          <cell r="F790">
            <v>25</v>
          </cell>
          <cell r="G790" t="str">
            <v>- 통풍이 잘 되는 그늘 및 서늘한 곳에 밀폐 보관할 것
- 산, 알칼리, 알코올, 아민과 격리하여 보관할 것
- 식료품, 사료, 의약품, 음식과 혼합저장 금지할 것
- 필요에 따라 국소배기장치 가동할 것
- 취급 또는 작업 시는 자급식호흡용 보호구을 착용하고 고글형 보안경, 보호의, 니트릴고무재질의 장갑 및 고무장화와 전면보호구 등을 착용하여 단기적인 접촉 및 반복적이고 장기적인 노출을 피할 것
- 피부, 눈과 접촉하지 않도록 할 것</v>
          </cell>
        </row>
        <row r="791">
          <cell r="B791" t="str">
            <v>10025-67-9</v>
          </cell>
          <cell r="C791" t="str">
            <v>염화황</v>
          </cell>
          <cell r="D791" t="str">
            <v>97-1-209</v>
          </cell>
          <cell r="E791" t="str">
            <v>및 이를 25 % 이상 함유한 혼합물질</v>
          </cell>
          <cell r="F791">
            <v>25</v>
          </cell>
          <cell r="G791" t="str">
            <v>- 건조한 염화 황은 금속에 부식성을 나타내지 않으나 철과 반응하여 황화철을 생성하면 변색될 수 있으므로 스테인레스 스틸용기에 보관할 것
- 습기가 있으면 염산과 유사하게 주철, 알루미늄, 스테인레스 스틸, 구리 및 구리합금 등의 금속을 침식하므로 특수합금용기에 보관할 것
- 건조하고 통풍이 잘 되는 그늘 및 서늘한 곳에 밀폐 보관할 것
- 식료품, 사료, 의약품, 음식과 혼합저장 금지할 것
- 필요에 따라 국소배기장치 가동할 것
- 화학물질 흄 후드 내에서 취급할 것
- 취급 또는 작업 시는 자급식호흡용보호구를 착용하고 고글형 보안경, 보호의, 고무(또는 네오프렌)재질의 장갑 및 고무장화와 전면보호구 등을 착용하여 단기적인 접촉 및 반복적이고 장기적인 노출을 피할 것</v>
          </cell>
        </row>
        <row r="792">
          <cell r="B792" t="str">
            <v>1121-31-9</v>
          </cell>
          <cell r="C792" t="str">
            <v>오마딘</v>
          </cell>
          <cell r="D792" t="str">
            <v>97-1-210</v>
          </cell>
          <cell r="E792" t="str">
            <v>및 이를 1% 이상 함유한 혼합물질</v>
          </cell>
          <cell r="F792">
            <v>1</v>
          </cell>
          <cell r="G792" t="str">
            <v>- 건조하고 통풍이 잘 되는 그늘 및 서늘한 곳에 보관할 것
- 식료품, 사료, 의약품, 음식과 혼합저장 금지할 것
- 필요에 따라 국소배기장치 가동할 것
- 취급 또는 작업시는 보호의, 보호장갑 등을 착용하여 단기적인 접촉 및 반복적이고 장기적인 노출을 피할 것
- 취급 후, 손을 철저하게 세척할 것</v>
          </cell>
        </row>
        <row r="793">
          <cell r="B793" t="str">
            <v>1113-02-6</v>
          </cell>
          <cell r="C793" t="str">
            <v>오메토에이트</v>
          </cell>
          <cell r="D793" t="str">
            <v>97-1-211</v>
          </cell>
          <cell r="E793" t="str">
            <v>및 이를 1% 이상 함유한 혼합물질</v>
          </cell>
          <cell r="F793">
            <v>1</v>
          </cell>
          <cell r="G793" t="str">
            <v>- 통풍이 잘 되는 그늘 및 서늘한 곳에 보관할 것
- 식료품, 사료, 의약품, 인화성물질, 알칼리물질과 혼합저장 금지할 것
- 필요에 따라 국소배기장치 가동할 것
- 바닥은 어떠한 물질도 침투할 수 없고, 안전해야 할 것
- 식품 옆이나 위에 이 물질을 옮기거나 저장 금지할 것 모든 누출을 즉시 기록할 것
- 화학물질 흄 후드내에서 취급할 것
- 가죽으로 만든 보호의, 장갑, 앞치마는 사용 금지할 것
- 작업 후 온몸을 깨끗이 씻은 후 충분한 휴식할 것
- 양압자급식호흡용보호구를 반드시 착용하고 보호의와 고글형 보안경을 착용할 것</v>
          </cell>
        </row>
        <row r="794">
          <cell r="B794" t="str">
            <v>1314-56-3</v>
          </cell>
          <cell r="C794" t="str">
            <v>오산화 인</v>
          </cell>
          <cell r="D794" t="str">
            <v>97-1-212</v>
          </cell>
          <cell r="E794" t="str">
            <v>및 이를 25% 이상 함유한 혼합물질</v>
          </cell>
          <cell r="F794">
            <v>25</v>
          </cell>
          <cell r="G794" t="str">
            <v>- 통풍이 잘 되고 건조한 그늘 및 서늘한 곳에 보관할 것
- 고지대에 위치하고 다른 물질들과 분리된 방수성 저장소에 보관할 것
- 확실하게 밀폐된 용기에 저장할 것
- 강한 염기성 물질 등 혼합금지물질과 떨어진 곳에 저장할 것
- 작업후 온몸을 깨끗이 씻은 후 충분한 휴식할 것
- 전면보호구를 부착한 송기식 보호마스크와 자급식호흡용보호구, 헬멧, 후드를 반드시 착용할 것
- 격렬한 반응이 일어나기 때문에 용기 안으로 물이 들어가지 않도록 할 것
- 눈, 피부 및 옷과 접촉하지 않도록 할 것</v>
          </cell>
        </row>
        <row r="795">
          <cell r="B795" t="str">
            <v>10026-13-8</v>
          </cell>
          <cell r="C795" t="str">
            <v>오염화인</v>
          </cell>
          <cell r="D795" t="str">
            <v>97-1-213</v>
          </cell>
          <cell r="E795" t="str">
            <v>및 이를 25% 이상 함유한 혼합물질</v>
          </cell>
          <cell r="F795">
            <v>25</v>
          </cell>
          <cell r="G795" t="str">
            <v>- 유리용기에 넣어 질소와 함께 밀폐 보관할 것
- 건조하고 통풍이 잘 되는 그늘 및 서늘한 곳에 산, 알칼리, 알칼리금속 등과 격리 보관할 것
- 식료품, 사료, 의약품, 음식과 혼합저장 금지할 것
- 필요에 따라 국소배기장치 가동할 것
- 취급 또는 작업시는 고글형 보안경, 화학보호의, 고무장갑 및 고무장화 등을 착용하여 단기적인 접촉 및 반복적이고 장기적인 노출을 피할 것
- 취급 후, 손을 철저하게 세척할 것
- 분진 발생과 축적을 최소화할 것</v>
          </cell>
        </row>
        <row r="796">
          <cell r="B796" t="str">
            <v>1314-80-3</v>
          </cell>
          <cell r="C796" t="str">
            <v>오황화 인</v>
          </cell>
          <cell r="D796" t="str">
            <v>97-1-214</v>
          </cell>
          <cell r="E796" t="str">
            <v>및 이를 1% 이상 함유한 혼합물질</v>
          </cell>
          <cell r="F796">
            <v>1</v>
          </cell>
          <cell r="G796" t="str">
            <v>- 유리용기에 넣어 질소와 함께 밀폐 보관할 것
- 건조하고 통풍이 잘 되는 그늘 및 서늘한 곳에 산, 알칼리, 알칼리금속 등과 격리 보관할 것
- 식료품, 사료, 의약품, 음식과 혼합저장 금지할 것
- 필요에 따라 국소배기장치 가동할 것
- 취급 또는 작업시는 고글형 보안경, 화학보호의, 고무장갑 및 고무장화 등을 착용하여 단기적인 접촉 및 반복적이고 장기적인 노출을 피할 것
- 취급 후, 손을 철저하게 세척할 것
- 분진 발생과 축적을 최소화할 것</v>
          </cell>
        </row>
        <row r="797">
          <cell r="B797" t="str">
            <v>23135-22-0</v>
          </cell>
          <cell r="C797" t="str">
            <v>옥사밀</v>
          </cell>
          <cell r="D797" t="str">
            <v>97-1-215</v>
          </cell>
          <cell r="E797" t="str">
            <v>및 이를 1% 이상 함유한 혼합물질</v>
          </cell>
          <cell r="F797">
            <v>1</v>
          </cell>
          <cell r="G797" t="str">
            <v>- 통풍이 잘 되는 그늘 및 서늘한 곳에 밀폐 보관할 것
- 식료품, 사료, 의약품, 음식과 혼합저장 금지할 것
- 필요에 따라 국소배기장치를 설치하여 환기할 것
- 혼합금지물질 및 점화원을 격리할 것
- 화학물질 흄 후드내에서 취급할 것
- 취급시 양압자급식호흡용 보호구, 보호의, 보호장갑을 착용할 것</v>
          </cell>
        </row>
        <row r="798">
          <cell r="B798" t="str">
            <v>301-12-2</v>
          </cell>
          <cell r="C798" t="str">
            <v>옥시디메톤-메틸</v>
          </cell>
          <cell r="D798" t="str">
            <v>97-1-216</v>
          </cell>
          <cell r="E798" t="str">
            <v>및 이를 1% 이상 함유한 혼합물질</v>
          </cell>
          <cell r="F798">
            <v>1</v>
          </cell>
          <cell r="G798" t="str">
            <v>- 통풍이 잘 되는 그늘 및 서늘한 곳에 밀폐 보관할 것
- 식료품, 사료, 의약품, 음식과 혼합저장 금지할 것
- 필요에 따라 국소배기장치 가동할 것
- 혼합금지물질 및 점화원을 격리할 것
- 화학물질 흄 후드 내에서 취급할 것
- 사고발생에 대비하여 눈이나 몸을 씻을 수 있는 세안시설과 샤워시설이 이용 가능한 장소에서 작업할 것
- 사용한 후 식사, 흡연, 화장실에 가기 전에 물과 비누로 손을 꼭 세척할 것
- 호흡용보호구, 전면보호구, 보안경, 고무장갑을 반드시 사용할 것
- 콘택트렌즈를 착용 금지할 것
- 통풍장치 가동할 것</v>
          </cell>
        </row>
        <row r="799">
          <cell r="B799" t="str">
            <v>2674-91-1</v>
          </cell>
          <cell r="C799" t="str">
            <v>옥시디프로포스</v>
          </cell>
          <cell r="D799" t="str">
            <v>97-1-217</v>
          </cell>
          <cell r="E799" t="str">
            <v>및 이를 1% 이상 함유한 혼합물질</v>
          </cell>
          <cell r="F799">
            <v>1</v>
          </cell>
          <cell r="G799" t="str">
            <v>- 통풍이 잘 되는 그늘 및 서늘한 곳에 밀폐 보관할 것
- 식료품, 사료, 의약품, 음식과 혼합저장 금지할 것
- 필요에 따라 국소배기장치 가동할 것
- 저장용기는 물리적인 손상에 견딜 수 있어야 할 것
- 사고발생에 대비하여 눈이나 몸을 씻을 수 있는 세안시설과 샤워시설이 이용 가능한 장소에서 작업할 것
- 사용한 후 식사, 흡연, 화장실에 가기 전에 물과 비누로 손을 꼭 세척할 것
- 호흡용보호구, 전면보호구, 보안경, 보호장갑(고무 또는 네오프렌 재질)을 반드시 사용할 것
- 콘택트렌즈를 착용 금지할 것
- 통풍장치 가동할 것
- 가죽으로 만든 보호의, 장갑, 앞치마는 사용 금지할 것</v>
          </cell>
        </row>
        <row r="800">
          <cell r="B800" t="str">
            <v>10025-87-3</v>
          </cell>
          <cell r="C800" t="str">
            <v xml:space="preserve">옥시염화인 </v>
          </cell>
          <cell r="D800" t="str">
            <v>97-1-218</v>
          </cell>
          <cell r="E800" t="str">
            <v>및 이를 25% 이상 함유한 혼합물질</v>
          </cell>
          <cell r="F800">
            <v>25</v>
          </cell>
          <cell r="G800" t="str">
            <v>- 건조하고 통풍이 잘 되는 1℃ 이상의 그늘 및 서늘한 곳에 산, 알칼리, 금속 등과 격리하여 밀폐 보관할 것
- 식료품, 사료, 의약품, 음식과 혼합저장 금지할 것
- 필요에 따라 국소배기장치 가동할 것
- 취급 또는 작업시는 전면보호구를 착용하고 고글형 보안경, 보호의, 고무장갑 및 고무장화 등을 착용하여 단기적인 접촉 및 반복적이고 장기적인 노출을 피할 것
- 취급 후, 손을 철저하게 세척할 것
- 통풍이 잘 되는 장소에서만 사용할 것
- 사고대비물질(이를 25% 이상 함유한 혼합물질)</v>
          </cell>
        </row>
        <row r="801">
          <cell r="B801" t="str">
            <v>81-81-2</v>
          </cell>
          <cell r="C801" t="str">
            <v>왈파린</v>
          </cell>
          <cell r="D801" t="str">
            <v>97-1-219</v>
          </cell>
          <cell r="E801" t="str">
            <v>및 그 중 하나를 0.1% 이상 함유한 혼합물질</v>
          </cell>
          <cell r="F801">
            <v>0.1</v>
          </cell>
          <cell r="G801" t="str">
            <v>- 환기가 잘 되는 그늘 및 서늘한 곳에 밀폐 보관할 것
- 왈파린 칼륨과 왈파린 나트륨은 빛에 노출되면 변색되므로 내광제용기에 넣어 저장할 것
- 저장온도는 15~30℃ 로 유지할 것
- 필요에 따라 국소배기장치 가동할 것
- 화학물질 흄 후드내에서 취급할 것
- 취급시 피부접촉을 피하고 보호의와 보호장갑을 착용할 것
- 취급시 양압자급식호흡용 보호장비를 착용할 것
- 가죽으로 만든 보호의, 장갑, 앞치마는 사용 금지할 것</v>
          </cell>
        </row>
        <row r="802">
          <cell r="B802" t="str">
            <v>5543-57-7</v>
          </cell>
          <cell r="D802" t="str">
            <v>97-1-219</v>
          </cell>
          <cell r="E802" t="str">
            <v>및 그 중 하나를 0.1% 이상 함유한 혼합물질</v>
          </cell>
          <cell r="F802">
            <v>0.1</v>
          </cell>
          <cell r="G802" t="str">
            <v>- 환기가 잘 되는 그늘 및 서늘한 곳에 밀폐 보관할 것
- 왈파린 칼륨과 왈파린 나트륨은 빛에 노출되면 변색되므로 내광제용기에 넣어 저장할 것
- 저장온도는 15~30℃ 로 유지할 것
- 필요에 따라 국소배기장치 가동할 것
- 화학물질 흄 후드내에서 취급할 것
- 취급시 피부접촉을 피하고 보호의와 보호장갑을 착용할 것
- 취급시 양압자급식호흡용 보호장비를 착용할 것
- 가죽으로 만든 보호의, 장갑, 앞치마는 사용 금지할 것</v>
          </cell>
        </row>
        <row r="803">
          <cell r="B803" t="str">
            <v>5543-58-8</v>
          </cell>
          <cell r="D803" t="str">
            <v>97-1-219</v>
          </cell>
          <cell r="E803" t="str">
            <v>및 그 중 하나를 0.1% 이상 함유한 혼합물질</v>
          </cell>
          <cell r="F803">
            <v>0.1</v>
          </cell>
          <cell r="G803" t="str">
            <v>- 환기가 잘 되는 그늘 및 서늘한 곳에 밀폐 보관할 것
- 왈파린 칼륨과 왈파린 나트륨은 빛에 노출되면 변색되므로 내광제용기에 넣어 저장할 것
- 저장온도는 15~30℃ 로 유지할 것
- 필요에 따라 국소배기장치 가동할 것
- 화학물질 흄 후드내에서 취급할 것
- 취급시 피부접촉을 피하고 보호의와 보호장갑을 착용할 것
- 취급시 양압자급식호흡용 보호장비를 착용할 것
- 가죽으로 만든 보호의, 장갑, 앞치마는 사용 금지할 것</v>
          </cell>
        </row>
        <row r="804">
          <cell r="B804" t="str">
            <v>74-88-4</v>
          </cell>
          <cell r="C804" t="str">
            <v>요오드화 메틸</v>
          </cell>
          <cell r="D804" t="str">
            <v>97-1-220</v>
          </cell>
          <cell r="E804" t="str">
            <v>및 이를 0.1% 이상함유한 혼합물질</v>
          </cell>
          <cell r="F804">
            <v>0.1</v>
          </cell>
          <cell r="G804" t="str">
            <v>- 건조하고 통풍이 잘 되는 그늘 및 서늘한 곳에 열, 습기, 산 등과 접촉하지 않게 밀폐 보관할 것
- 식료품, 사료, 의약품, 음식과 혼합저장 금지할 것
- 필요에 따라 국소배기장치 가동할 것
- 화학물질 흄 후드 내에서만 취급할 것
- 취급 또는 작업시는 양압자급식호흡용 보호구를 착용하고 고글형 보안경, 내화학성보호의, 고무(또는 네오프렌) 재질의 장갑 및 고무장화와 마스크 등을 착용하여 단기적인 접촉 및 반복적이고 장기적인 노출을 피할 것
- 취급 후, 손을 철저하게 세척할 것</v>
          </cell>
        </row>
        <row r="805">
          <cell r="B805" t="str">
            <v>10034-85-2</v>
          </cell>
          <cell r="C805" t="str">
            <v>요오드화수소</v>
          </cell>
          <cell r="D805" t="str">
            <v>97-1-221</v>
          </cell>
          <cell r="E805" t="str">
            <v>및 이를 1% 이상 함유한 혼합물질</v>
          </cell>
          <cell r="F805">
            <v>1</v>
          </cell>
          <cell r="G805" t="str">
            <v>- 건조하고 통풍이 잘 되는 그늘 및 서늘한 곳에 밀폐 보관할 것
- 식료품, 사료, 의약품, 음식과 혼합저장 금지할 것
- 필요에 따라 국소배기장치 가동할 것
- 혼합금지물질 및 점화원을 격리할 것
- 화학물질 흄 후드내에서 취급할 것
- 취급 또는 작업시는 자급식호흡용보호구를 착용하고 고글형 보안경, 내화학성보호의, 고무(또는 네오프렌)재질의 장갑 및 고무장화와 마스크 등을 착용하여 단기적인 접촉 및 반복적이고 장기적인 노출을 피할 것</v>
          </cell>
        </row>
        <row r="806">
          <cell r="B806" t="str">
            <v>105827-78-9</v>
          </cell>
          <cell r="C806" t="str">
            <v>이미다클로프리드</v>
          </cell>
          <cell r="D806" t="str">
            <v>97-1-222</v>
          </cell>
          <cell r="E806" t="str">
            <v>및 이를 25% 이상 함유한 혼합물질</v>
          </cell>
          <cell r="F806">
            <v>25</v>
          </cell>
          <cell r="G806" t="str">
            <v>- 통풍이 잘 되는 그늘 및 서늘한 곳에 밀폐 보관할 것
- 저장용기는 물리적인 손상에 견딜 수 있어야 할 것
- 필요에 따라 국소배기장치 가동할 것
- 취급시 피부접촉을 피하고 보호의, 보안경, 보호장갑을 착용할 것
- 취급시 양압자급식호흡용 보호장비를 착용할 것
- 취급시 콘택트렌즈를 착용 금지할 것</v>
          </cell>
        </row>
        <row r="807">
          <cell r="B807" t="str">
            <v>86598-92-7</v>
          </cell>
          <cell r="C807" t="str">
            <v>이미벤코나졸</v>
          </cell>
          <cell r="D807" t="str">
            <v>97-1-223</v>
          </cell>
          <cell r="E807" t="str">
            <v>및 이를 25% 이상 함유한 혼합물질</v>
          </cell>
          <cell r="F807">
            <v>25</v>
          </cell>
          <cell r="G807" t="str">
            <v>- 통풍이 잘 되는 그늘 및 서늘한 곳에 보관할 것
- 식료품, 사료, 의약품, 음식과 혼합저장 금지할 것
- 필요에 따라 국소배기장치를 설치하여 환기할 것
- 취급시 고글형 보안경과 마스크를 착용할 것</v>
          </cell>
        </row>
        <row r="808">
          <cell r="B808" t="str">
            <v>2552-55-8</v>
          </cell>
          <cell r="C808" t="str">
            <v>이보텐산</v>
          </cell>
          <cell r="D808" t="str">
            <v>97-1-224</v>
          </cell>
          <cell r="E808" t="str">
            <v>및 이를 1% 이상 함유한 혼합물질</v>
          </cell>
          <cell r="F808">
            <v>1</v>
          </cell>
          <cell r="G808" t="str">
            <v>- 통풍이 좋은 그늘 및 서늘한 곳에 밀폐 보관할 것
- 식료품, 사료, 의약품, 음식과 혼합저장 금지할 것
- 필요에 따라 국소배기장치를 설치하여 환기할 것
- 화학물질 흄 후드 내에서만 취급할 것
- 점화원을 제거할 것
- 취급시 피부접촉을 피하고 보호의(고무제)와 보호장갑을 착용할 것
- 양압자급식호흡용 보호구를 반드시 착용하고 보호의와 고글형 보안경을 착용할 것</v>
          </cell>
        </row>
        <row r="809">
          <cell r="B809" t="str">
            <v>42509-80-8</v>
          </cell>
          <cell r="C809" t="str">
            <v>이사조포스</v>
          </cell>
          <cell r="D809" t="str">
            <v>97-1-225</v>
          </cell>
          <cell r="E809" t="str">
            <v>및 이를 1% 이상 함유한 혼합물질</v>
          </cell>
          <cell r="F809">
            <v>1</v>
          </cell>
          <cell r="G809" t="str">
            <v>- 건조하고 통풍이 잘 되는 그늘 및 서늘한 곳에 보관할 것
- 식료품, 사료, 의약품, 음식과 혼합저장 금지할 것
- 필요에 따라 국소배기장치 가동할 것
- 혼합금지물질 및 점화원을 격리할 것
- 화학물질 흄 후드내에서 취급할 것
- 취급 또는 작업시는 보호의, 보호장갑 등을 착용하여 단기적인 접촉 및 반복적이고 장기적인 노출을 피할 것</v>
          </cell>
        </row>
        <row r="810">
          <cell r="B810" t="str">
            <v>297-78-9</v>
          </cell>
          <cell r="C810" t="str">
            <v>이소벤잔</v>
          </cell>
          <cell r="D810" t="str">
            <v>97-1-226,06-4-22</v>
          </cell>
          <cell r="E810" t="str">
            <v>및 이를 1% 이상 함유한 혼합물질</v>
          </cell>
          <cell r="F810">
            <v>1</v>
          </cell>
          <cell r="G810" t="str">
            <v>- 통풍이 잘 되는 그늘 및 서늘한 곳에 밀폐 보관할 것
- 식료품, 사료, 의약품, 음식과 혼합저장 금지할 것
- 필요에 따라 국소배기장치 가동할 것
- 화재나 폭발의 위험성이 있으므로 열원, 산화제, 스파크, 불꽃, 가연성물질, 점화원과 격리하여 저장할 것
- 취급 또는 작업시는 통풍이 잘 되는 후드에서 행하고 보호의, 고무장갑, 고무앞치마, 양압자급식호흡용 보호구를 착용하여 단기적인 접촉 및 반복적이고 장기적인 노출을 피할 것
- 노출기준 이상에서는 호흡보호구를 착용할 것
- 취급금지물질(이를 1% 이상 함유한 혼합물질)</v>
          </cell>
        </row>
        <row r="811">
          <cell r="B811" t="str">
            <v>78-81-9</v>
          </cell>
          <cell r="C811" t="str">
            <v>이소부틸아민</v>
          </cell>
          <cell r="D811" t="str">
            <v>97-1-227</v>
          </cell>
          <cell r="E811" t="str">
            <v>및 이를 25% 이상함유한 혼합물질</v>
          </cell>
          <cell r="F811">
            <v>25</v>
          </cell>
          <cell r="G811" t="str">
            <v>- 산화제, 열원과 격리하여 저장할 것
- 통풍이 잘 되는 그늘 및 서늘한 곳에 밀폐 보관할 것
- 식료품, 사료, 의약품, 음식과 혼합저장 금지할 것
- 필요에 따라 국소배기장치 가동할 것
- 저장용기는 물리적인 손상에 견딜 수 있어야 할 것
- 사고발생에 대비하여 눈이나 몸을 씻을 수 있는 세안시설과 샤워시설이 이용 가능한 장소에서 작업할 것
- 사용한 후 식사, 흡연, 화장실에 가기 전에 물과 비누로 손을 꼭 세척할 것
- 호흡용보호구, 전면보호구, 보안경, 불침투성 보호의, 보호장갑(부틸고무 재질)을 반드시 사용할 것
- 콘택트렌즈를 착용 금지할 것
- 통풍장치 가동할 것
- 빈 용기에는 잔류물이 있을 수 있어 위험할 수 있으므로 가압, 절단, 용접, 납땜, 연마, 천공을 해서는 안 되며, 열, 스파크, 화염에 빈 용기를 노출시키지 말 것</v>
          </cell>
        </row>
        <row r="812">
          <cell r="B812" t="str">
            <v>556-61-6</v>
          </cell>
          <cell r="C812" t="str">
            <v>이소티오시안산 메틸</v>
          </cell>
          <cell r="D812" t="str">
            <v>97-1-228</v>
          </cell>
          <cell r="E812" t="str">
            <v>및 이를 1% 이상 함유한 혼합물질</v>
          </cell>
          <cell r="F812">
            <v>1</v>
          </cell>
          <cell r="G812" t="str">
            <v>- 통풍이 잘 되는 그늘 및 서늘한 곳에 보관할 것
- 식료품, 사료, 의약품, 인화성물질, 알칼리물질과 혼합저장 금지할 것
- 필요에 따라 국소배기장치 가동할 것
- 취급시 피부접촉을 피하고 보호의와 보호장갑을 착용할 것
- 양압자급식호흡용보호구와 폴리우레탄제 장갑을 반드시 착용하고 보호의와 고글형보안경을 착용할 것
- 이소티오시안산 메틸을 담았던 용기는 재활용하지 말고 폐기할 것
- 고무로 만든 보호의, 장갑, 앞치마는 사용 금지할 것
- 취급 후, 손을 철저하게 세척할 것</v>
          </cell>
        </row>
        <row r="813">
          <cell r="B813" t="str">
            <v>36614-38-7</v>
          </cell>
          <cell r="C813" t="str">
            <v>이소티오에이트</v>
          </cell>
          <cell r="D813" t="str">
            <v>97-1-229</v>
          </cell>
          <cell r="E813" t="str">
            <v>및 이를 1% 이상 함유한 혼합물질</v>
          </cell>
          <cell r="F813">
            <v>1</v>
          </cell>
          <cell r="G813" t="str">
            <v>- 통풍이 잘 되는 그늘 및 서늘한 곳에 밀폐 보관할 것
- 필요에 따라 국소배기장치 가동할 것
- 저장용기는 물리적인 손상에 견딜 수 있어야 할 것
- 취급 또는 작업시는 통풍이 잘 되는 후드에서 행하고 내산성보호의, 보호장갑(고무 또는 네오프렌 재질), 고무앞치마, 양압자급식호흡용보호구를 착용하여 단기적인 접촉 및 반복적이고 장기적인 노출을 피할 것
- 가죽으로 만든 보호의, 장갑, 앞치마는 사용 금지할 것
- 노출기준 이상에서는 호흡보호구를 착용할 것</v>
          </cell>
        </row>
        <row r="814">
          <cell r="B814" t="str">
            <v>25311-71-1</v>
          </cell>
          <cell r="C814" t="str">
            <v>이소펜포스</v>
          </cell>
          <cell r="D814" t="str">
            <v>97-1-230</v>
          </cell>
          <cell r="E814" t="str">
            <v>및 이를 1% 이상 함유한 혼합물질</v>
          </cell>
          <cell r="F814">
            <v>1</v>
          </cell>
          <cell r="G814" t="str">
            <v>- 통풍이 잘 되는 그늘 및 서늘한 곳(2-8℃)에 밀폐 보관할 것
- 식료품, 사료, 의약품, 음식과 혼합저장 금지할 것
- 필요에 따라 국소배기장치 가동할 것
- 사고발생에 대비하여 눈이나 몸을 씻을 수 있는 세안시설과 샤워시설이 이용 가능한 장소에서 작업할 것
- 사용한 후 식사, 흡연, 화장실에 가기 전에 물과 비누로 손을 꼭 세척할 것
- 호흡용보호구, 전면보호구, 보안경, 고무장갑을 반드시 사용할 것
- 콘택트렌즈를 착용 금지할 것
- 통풍장치 가동할 것
- 취급 시 먹거나 마시거나 흡연 금지할 것
- 사용하지 않을 때에는 용기를 안전하게 밀폐할 것</v>
          </cell>
        </row>
        <row r="815">
          <cell r="B815" t="str">
            <v>55-91-4</v>
          </cell>
          <cell r="C815" t="str">
            <v>이소플루오르페이트</v>
          </cell>
          <cell r="D815" t="str">
            <v>97-1-231</v>
          </cell>
          <cell r="E815" t="str">
            <v>및 이를 1% 이상 함유한 혼합물질</v>
          </cell>
          <cell r="F815">
            <v>1</v>
          </cell>
          <cell r="G815" t="str">
            <v>- 통풍이 잘 되고 25~30℃를 넘지 않는 그늘 및 서늘한 곳에 밀폐 보관할 것
- 식료품, 사료, 의약품과 혼합저장 금지할 것
- 필요에 따라 국소배기장치 가동할 것
- 화학물질 흄 후드 내에서만 취급할 것
- 가죽으로 만든 보호의, 장갑, 앞치마는 사용 금지할 것
- 작업 후 온몸을 깨끗이 씻은 후 충분한 휴식할 것
- 양압자급식호흡용 보호구를 반드시 착용하고 보호의와 고글형 보안경을 착용할 것</v>
          </cell>
        </row>
        <row r="816">
          <cell r="B816" t="str">
            <v>18854-01-8</v>
          </cell>
          <cell r="C816" t="str">
            <v>이속사티온</v>
          </cell>
          <cell r="D816" t="str">
            <v>97-1-232</v>
          </cell>
          <cell r="E816" t="str">
            <v>및 이를 1% 이상 함유한 혼합물질</v>
          </cell>
          <cell r="F816">
            <v>1</v>
          </cell>
          <cell r="G816" t="str">
            <v>- 통풍이 잘 되는 그늘 및 서늘한 곳에 밀폐 보관할 것
- 식료품, 사료, 의약품, 음식과 혼합저장 금지할 것
- 필요에 따라 국소배기장치 가동할 것
- 사고발생에 대비하여 눈이나 몸을 씻을 수 있는 세안시설과 샤워시설이 이용 가능한 장소에서 작업할 것
- 사용한 후 식사, 흡연, 화장실에 가기 전에 물과 비누로 손을 꼭 세척할 것
- 호흡용보호구, 전면보호구, 보안경, 고무장갑을 반드시 사용할 것
- 콘택트렌즈를 착용 금지할 것
- 통풍장치 가동할 것</v>
          </cell>
        </row>
        <row r="817">
          <cell r="B817" t="str">
            <v>119-38-0</v>
          </cell>
          <cell r="C817" t="str">
            <v>이솔란</v>
          </cell>
          <cell r="D817" t="str">
            <v>97-1-233</v>
          </cell>
          <cell r="E817" t="str">
            <v>및 이를 1% 이상 함유한 혼합물질</v>
          </cell>
          <cell r="F817">
            <v>1</v>
          </cell>
          <cell r="G817" t="str">
            <v>- 통풍이 잘 되는 그늘 및 서늘한 곳에 밀폐 보관할 것
- 식료품, 사료, 의약품, 음식과 혼합저장 금지할 것
- 필요에 따라 국소배기장치를 설치하여 환기할 것
- 혼합금지물질 및 점화원을 격리할 것
- 화학물질 흄 후드 내에서 취급할 것
- 취급 시 양압자급식호흡용보호구, 보호의, 보호장갑을 착용할 것</v>
          </cell>
        </row>
        <row r="818">
          <cell r="B818" t="str">
            <v>163831-67-2</v>
          </cell>
          <cell r="C818" t="str">
            <v>이염화1-[2-[에틸[4-[4-[4-[4-[에틸(2-피리디노에틸)아미노]-2-메틸페닐아조]벤조일아미노]페닐아조]-3-메틸페닐]아미노]에틸]피리디늄</v>
          </cell>
          <cell r="D818" t="str">
            <v>97-1-234</v>
          </cell>
          <cell r="E818" t="str">
            <v>및 이를 25% 이상 함유한 혼합물질</v>
          </cell>
          <cell r="F818">
            <v>25</v>
          </cell>
          <cell r="G818" t="str">
            <v>- 중성 및 알칼리성이나 수중에서 안정할 것
- 건조하고 통풍이 잘 되는 그늘 및 서늘한 곳에 보관할 것
- 식료품, 사료, 의약품, 음식과 혼합저장 금지할 것
- 필요에 따라 국소배기장치 가동할 것
- 취급 또는 작업 시는 보호의, 보호장갑 등을 착용하여 단기적인 접촉 및 반복적이고 장기적인 노출을 피할 것</v>
          </cell>
        </row>
        <row r="819">
          <cell r="B819" t="str">
            <v>1689-83-4</v>
          </cell>
          <cell r="C819" t="str">
            <v>이옥시닐</v>
          </cell>
          <cell r="D819" t="str">
            <v>97-1-235</v>
          </cell>
          <cell r="E819" t="str">
            <v>및 이를 3% 이상 함유한 혼합물질</v>
          </cell>
          <cell r="F819">
            <v>3</v>
          </cell>
          <cell r="G819" t="str">
            <v>- 건조하고 통풍이 잘 되는 그늘 및 서늘한 곳에 밀폐 보관할 것
- 식료품, 사료, 의약품, 음식과 혼합저장 금지할 것
- 필요에 따라 국소배기장치 가동할 것
- 취급 또는 작업 시는 자급식호흡용보호구를 착용하고 고글형 보안경, 내화학성보호의, 고무(또는 네오프렌) 재질의 장갑 및 고무장화와 마스크 등을 착용하여 단기적인 접촉 및 반복적이고 장기적인 노출을 피할 것
- 취급 후, 손을 철저하게 세척할 것
- 적절한 환기장치를 사용할 것</v>
          </cell>
        </row>
        <row r="820">
          <cell r="B820" t="str">
            <v>26087-47-8</v>
          </cell>
          <cell r="C820" t="str">
            <v>이프로벤포스</v>
          </cell>
          <cell r="D820" t="str">
            <v>97-1-236</v>
          </cell>
          <cell r="E820" t="str">
            <v>및 이를 1% 이상 함유한 혼합물질</v>
          </cell>
          <cell r="F820">
            <v>1</v>
          </cell>
          <cell r="G820" t="str">
            <v>- 통풍이 잘 되는 그늘 및 서늘한 곳에 밀폐 보관할 것
- 식료품, 사료, 의약품, 음식과 혼합저장 금지할 것
- 필요에 따라 국소배기장치 가동할 것
- 사고발생에 대비하여 눈이나 몸을 씻을 수 있는 세안시설과 샤워시설이 이용 가능한 장소에서 작업할 것
- 사용한 후 식사, 흡연, 화장실에 가기 전에 물과 비누로 손을 꼭 세척할 것
- 호흡용보호구, 전면보호구, 보안경, 고무장갑을 반드시 사용할 것
- 콘택트렌즈를 착용 금지할 것
- 통풍장치 가동할 것</v>
          </cell>
        </row>
        <row r="821">
          <cell r="B821" t="str">
            <v>1341-49-7</v>
          </cell>
          <cell r="C821" t="str">
            <v>이플루오르화 암모늄</v>
          </cell>
          <cell r="D821" t="str">
            <v>97-1-237</v>
          </cell>
          <cell r="E821" t="str">
            <v>및 이를 1% 이상 함유한 혼합물질</v>
          </cell>
          <cell r="F821">
            <v>1</v>
          </cell>
          <cell r="G821" t="str">
            <v>- 건조하고 통풍이 잘 되는 그늘 및 서늘한 곳에 밀폐 보관할 것
- 식료품, 사료, 의약품, 음식과 혼합저장 금지할 것
- 필요에 따라 국소배기장치 가동할 것
- 저장용기는 플라스틱, 고무, 나무재질로 물리적인 손상에 견딜 수 있어야 할 것
- 열원, 강산화제(플루오르, 염소, 브롬), 산, 알칼리에 의해 플루오르화수소를 생성할 수 있으므로 격리하여 저장할 것
- 취급 또는 작업 시는 통풍이 잘 되는 후드에서 행하고 고글형보안경, 보호의, 고무장갑, 고무앞치마, 양압자급식호흡용보호구를 착용하여 단기적인 접촉 및 반복적이고 장기적인 노출을 피할 것
- 노출기준 이상에서는 호흡보호구를 착용할 것
- 취급 후, 손을 철저하게 세척할 것</v>
          </cell>
        </row>
        <row r="822">
          <cell r="B822" t="str">
            <v>2104-64-5</v>
          </cell>
          <cell r="C822" t="str">
            <v>이피엔</v>
          </cell>
          <cell r="D822" t="str">
            <v>97-1-238</v>
          </cell>
          <cell r="E822" t="str">
            <v>및 이를 1% 이상 함유한 혼합물질</v>
          </cell>
          <cell r="F822">
            <v>1</v>
          </cell>
          <cell r="G822" t="str">
            <v>- 통풍이 잘 되는 18~38℃의 저장소에 밀폐 보관할 것
- 식료품, 사료, 의약품, 음식과 혼합저장 금지할 것
- 필요에 따라 국소배기장치 가동할 것
- 열원, 산화제, 스파크, 불꽃, 가연성물질, 점화원과 격리하여 저장할 것
- 취급 또는 작업 시는 통풍이 잘 되는 후드에서 행하고 고글형 보안경, 보호의, 고무장갑, 고무앞치마, 양압자급식호흡용보호구를 착용하여 단기적인 접촉 및 반복적이고 장기적인 노출을 피할 것
- 노출기준 이상에서는 호흡보호구를 착용할 것
- 가죽으로 만든 보호의, 장갑, 앞치마는 사용 금지할 것
- 열이나 스파크, 불꽃에 의해 쉽게 점화됨할 것</v>
          </cell>
        </row>
        <row r="823">
          <cell r="B823" t="str">
            <v>75-15-0</v>
          </cell>
          <cell r="C823" t="str">
            <v>이황화탄소</v>
          </cell>
          <cell r="D823" t="str">
            <v>97-1-239</v>
          </cell>
          <cell r="E823" t="str">
            <v>및 이를 0.1% 이상함유한 혼합물질</v>
          </cell>
          <cell r="F823">
            <v>0.1</v>
          </cell>
          <cell r="G823" t="str">
            <v>- 통풍이 잘 되는 그늘 및 서늘한 곳에 밀폐 보관할 것
- 물을 뿌려 압력이 증가하는 것을 막을 것
- 다량일 때는 물속에 보관할 것
- 저장용기는 물리적인 손상에 견딜 수 있어야 할 것
- 필요에 따라 국소배기장치 가동할 것
- 열, 스파크, 화염, 발화원과 격리할 것
- 취급 시 피부접촉을 피하고 보호의, 고글형 보안경, 가스마스크, 앞치마, 보호장갑(고무)을 착용할 것
- 취급 시 양압자급식호흡용보호장비를 착용할 것
- 취급 시 콘택트렌즈를 착용 금지할 것
- 취급 후, 손을 철저하게 세척할 것
- 적절한 환기장치를 사용할 것
- 물질을 이동시킬 때 용기를 땅에 밀착하여 이동할 것
- 빈 용기를 가압, 절단, 용접, 납땜, 연마, 천공을 해서는 안되며, 열, 스파크, 화염에 노출시키지 말 것
- 사고대비물질(이를 0.1% 이상 함유한 혼합물질)</v>
          </cell>
        </row>
        <row r="824">
          <cell r="B824" t="str">
            <v>12185-10-3</v>
          </cell>
          <cell r="C824" t="str">
            <v>인</v>
          </cell>
          <cell r="D824" t="str">
            <v>97-1-240</v>
          </cell>
          <cell r="E824" t="str">
            <v>및 이를 1% 이상 함유한 혼합물질</v>
          </cell>
          <cell r="F824">
            <v>1</v>
          </cell>
          <cell r="G824" t="str">
            <v>- 검은색은 공기 중에서 안정하며 흰색은 빛에 노출되면 검게 변하며, 황색은 공기에 노출되면 자극성 흄을 발생하므로 주의할 것
- 통풍이 잘 되는 서늘한 그늘 및 서늘한 곳에 물과 함께 보관할 것
- 식료품, 사료, 의약품, 음식과 혼합저장 금지할 것
- 필요에 따라 국소배기장치 가동할 것
- 화학물질 흄 후드 내에서 취급할 것
- 취급 또는 작업 시는 양압자급식호흡용보호구를 착용하고 고글형 보안경, 보호의, 고무장갑 및 고무장화와 마스크 등을 착용하여 단기적인 접촉 및 반복적이고 장기적인 노출을 피할 것</v>
          </cell>
        </row>
        <row r="825">
          <cell r="B825" t="str">
            <v>1314-84-7</v>
          </cell>
          <cell r="C825" t="str">
            <v>인화아연</v>
          </cell>
          <cell r="D825" t="str">
            <v>97-1-241</v>
          </cell>
          <cell r="E825" t="str">
            <v>및 이를 1% 이상 함유한 혼합물질</v>
          </cell>
          <cell r="F825">
            <v>1</v>
          </cell>
          <cell r="G825" t="str">
            <v>- 산이 존재하지 않으면 장기간 활성이 유지됨할 것
- 건조한 공기에서는 안정하나 습기가 있으면 서서히 분해됨할 것
- 플라스틱 백에 넣어 통풍이 잘 되는 서늘한 그늘 및 서늘한 곳에 보관할 것
- 식료품, 사료, 의약품, 음식과 혼합저장 금지할 것
- 필요에 따라 국소배기장치 가동할 것
- 물과 열로부터 격리할 것
- 화학물질 흄 후드 내에서 취급할 것
- 취급 또는 작업 시는 양압자급식호흡용보호구를 착용하고 고글형 보안경, 보호의, 고무장갑 및 고무장화와 마스크 등을 착용하여 단기적인 접촉 및 반복적이고 장기적인 노출을 피할 것
- 사고대비물질(이를 1% 이상 함유한 혼합물질)</v>
          </cell>
        </row>
        <row r="826">
          <cell r="B826" t="str">
            <v>20859-73-8</v>
          </cell>
          <cell r="C826" t="str">
            <v>인화 알루미늄</v>
          </cell>
          <cell r="D826" t="str">
            <v>97-1-242,06-4-23</v>
          </cell>
          <cell r="E826" t="str">
            <v>및 그의 분해촉진제를 1% 이상 함유한 혼합물질</v>
          </cell>
          <cell r="F826">
            <v>1</v>
          </cell>
          <cell r="G826" t="str">
            <v>- 통풍이 잘 되는 서늘한 건냉소에 보관할 것
- 식료품, 사료, 의약품, 음식과 혼합저장 금지할 것
- 필요에 따라 국소배기장치 가동할 것
- 산류, 습기로부터 멀리할 것
- 화학물질 흄 후드 내에서 취급할 것
- 취급 또는 작업 시는 양압자급식 호흡용보호구를 착용하고 고글형 보안경, 보호의, 고무장갑 및 고무장화와 마스크 등을 착용하여 단기적인 접촉 및 반복적이고 장기적인 노출을 피할 것
- 취급금지물질(이를 1% 이상 함유한 혼합물질)</v>
          </cell>
        </row>
        <row r="827">
          <cell r="B827" t="str">
            <v>52315-07-8</v>
          </cell>
          <cell r="C827" t="str">
            <v>제타 싸이퍼메트린</v>
          </cell>
          <cell r="D827" t="str">
            <v>97-1-243</v>
          </cell>
          <cell r="E827" t="str">
            <v>및 이를 25% 이상 함유한 혼합물질</v>
          </cell>
          <cell r="F827">
            <v>25</v>
          </cell>
          <cell r="G827" t="str">
            <v>- 강산화제와 격리하여 저장할 것
- 15~30℃의 온도로 밀폐 보관할 것
- 50℃에서 1 년 동안 안정하며 220℃까지도 안정할 것
- 건조한 곳에 저장할 것
- 사료, 의약품, 음식과 혼합저장 및 수송을 금지할 것
- 점화원을 피하고 하수구나 수도근처를 피할 것
- 사고발생에 대비하여 눈이나 몸을 씻을 수 있는 세안시설과 샤워시설이 이용 가능한 장소에서 작업할 것
- 사용한 후 식사, 흡연, 화장실에 가기 전에 물과 비누로 손을 꼭 세척할 것
- 호흡용보호구, 전면보호구, 보안경, 고무장갑을 반드시 사용할 것
- 콘택트렌즈를 착용 금지할 것
- 통풍장치 가동할 것</v>
          </cell>
        </row>
        <row r="828">
          <cell r="B828" t="str">
            <v>137-30-4</v>
          </cell>
          <cell r="C828" t="str">
            <v>지람</v>
          </cell>
          <cell r="D828" t="str">
            <v>97-1-244</v>
          </cell>
          <cell r="E828" t="str">
            <v>및 이를 1% 이상 함유한 혼합물질</v>
          </cell>
          <cell r="F828">
            <v>1</v>
          </cell>
          <cell r="G828" t="str">
            <v>- 통풍이 잘 되는 그늘 및 서늘한 곳에 밀폐 보관할 것
- 식료품, 사료, 의약품, 음식과 혼합저장 금지할 것
- 필요에 따라 국소배기장치를 설치하여 환기할 것
- 혼합금지물질 및 점화원을 격리할 것
- 화학물질 흄 후드 내에서 취급 할 것
- 취급 시 양압자급식호흡용보호구, 보호의, 보호장갑을 착용할 것</v>
          </cell>
        </row>
        <row r="829">
          <cell r="B829" t="str">
            <v>10102-45-1</v>
          </cell>
          <cell r="C829" t="str">
            <v>질산 탈륨</v>
          </cell>
          <cell r="D829" t="str">
            <v>97-1-245,06-4-26</v>
          </cell>
          <cell r="E829" t="str">
            <v>및 이를 1% 이상 함유한 혼합물질</v>
          </cell>
          <cell r="F829">
            <v>1</v>
          </cell>
          <cell r="G829" t="str">
            <v>- 사용한 후 식사, 흡연, 화장실에 가기 전에 물과 비누로 손을 꼭 세척할 것
- 호흡용보호구, 안면보호구, 보안경, 고무장갑을 반드시 사용할 것
- 콘택트렌즈를 착용 금지할 것
- 작업장내의 농도를 허용농도이하로 유지할 것
- 국소배기장치 가동할 것
- 취급금지물질(이를 1% 이상 함유한 혼합물질)</v>
          </cell>
        </row>
        <row r="830">
          <cell r="B830" t="str">
            <v>7697-37-2</v>
          </cell>
          <cell r="C830" t="str">
            <v>질산</v>
          </cell>
          <cell r="D830" t="str">
            <v>97-1-246</v>
          </cell>
          <cell r="E830" t="str">
            <v>및 이를 10% 이상 함유한 혼합물질</v>
          </cell>
          <cell r="F830">
            <v>10</v>
          </cell>
          <cell r="G830" t="str">
            <v>- 통풍이 잘 되고 빛과 열기에서 분리된 시멘트바닥의 그늘 및 .서늘한 곳에 밀폐 보관할 것
- 식료품, 사료, 의약품, 음식, 알칼리성물질과 혼합저장 금지할 것
- 필요에 따라 국소배기장치를 설치하여 환기할 것
- 가스/연기/증기/분무 등을 호흡 금지할 것
- 물을 첨가하면 열이 발생되어 격렬하게 끓고 튀길 수 있으므로 주의할 것
- 취급 시 양압자급식호흡용보호구, 보호의, 보호장갑을 착용할 것
- 눈과 접촉 시 즉시 다량의 물로 씻어내고 의사의 검진을 받을 것
- 적절한 보호복을 착용할 것
- 빈 용기에는 잔류물(증기, 액체 및 고체)이 남아있어 위험할 수 있을 것
- 사고대비물질(이를 10% 이상 함유한 혼합물질)</v>
          </cell>
        </row>
        <row r="831">
          <cell r="B831" t="str">
            <v>2439-01-2</v>
          </cell>
          <cell r="C831" t="str">
            <v>치노메티오나트</v>
          </cell>
          <cell r="D831" t="str">
            <v>97-1-247</v>
          </cell>
          <cell r="E831" t="str">
            <v>및 이를 25% 이상 함유한 혼합물질</v>
          </cell>
          <cell r="F831">
            <v>25</v>
          </cell>
          <cell r="G831" t="str">
            <v>- 강산화제와 격리하고 서늘하고 건조하고 어두운 장소에서 밀폐된 용기나 실린더에 저장할 것
- 15~30℃의 온도로 밀폐 보관할 것
- 사료, 의약품, 음식과 혼합저장 금지할 것
- 혼합금지물질 및 점화원을 격리할 것
- 사고발생에 대비하여 눈이나 몸을 씻을 수 있는 세안시설과 샤워시설이 이용 가능한 장소에서 작업할 것
- 사용한 후 식사, 흡연, 화장실에 가기 전에 물과 비누로 손을 꼭 세척할 것
- 호흡용보호구, 전면보호구, 보안경, 고무장갑을 반드시 사용할 것
- 콘택트렌즈를 착용 금지할 것
- 통풍장치 가동할 것</v>
          </cell>
        </row>
        <row r="832">
          <cell r="B832" t="str">
            <v>106870-78-4</v>
          </cell>
          <cell r="C832" t="str">
            <v>카구로포스</v>
          </cell>
          <cell r="D832" t="str">
            <v>97-1-248</v>
          </cell>
          <cell r="E832" t="str">
            <v>및 이를 1% 이상 함유한 혼합물질</v>
          </cell>
          <cell r="F832">
            <v>1</v>
          </cell>
          <cell r="G832" t="str">
            <v>- 통풍이 잘 되는 그늘 및 서늘한 곳에 밀폐 보관할 것
- 식료품, 사료, 의약품, 음식과 혼합저장 금지할 것
- 필요에 따라 국소배기장치 가동할 것
- 가죽으로 만든 보호의, 장갑, 앞치마는 사용 금지할 것
- 적절한 보호복과 보호장갑을 착용할 것
- 작업 후 온몸을 깨끗이 씻은 후 충분한 휴식할 것
- 양압자급식호흡용보호구를 반드시 착용하고 보호의와 고글형 보안경을 착용할 것</v>
          </cell>
        </row>
        <row r="833">
          <cell r="B833" t="str">
            <v>95465-99-9</v>
          </cell>
          <cell r="C833" t="str">
            <v>카두사포스</v>
          </cell>
          <cell r="D833" t="str">
            <v>97-1-249</v>
          </cell>
          <cell r="E833" t="str">
            <v>및 이를 1% 이상 함유한 혼합물질</v>
          </cell>
          <cell r="F833">
            <v>1</v>
          </cell>
          <cell r="G833" t="str">
            <v>- 통풍이 잘 되는 그늘 및 서늘한 곳에 보관할 것
- 식료품, 사료, 의약품, 인화성물질, 알칼리물질과 혼합 저장 금지할 것
- 필요에 따라 국소배기장치 가동할 것
- 가죽으로 만든 보호의, 장갑, 앞치마는 사용 금지할 것
- 작업 후 온몸을 깨끗이 씻은 후 충분한 휴식할 것
- 양압자급식호흡용보호구를 반드시 착용하고 보호의와 고글형 보안경을 착용할 것</v>
          </cell>
        </row>
        <row r="834">
          <cell r="B834" t="str">
            <v>10022-68-1</v>
          </cell>
          <cell r="C834" t="str">
            <v>카드뮴 화합물질</v>
          </cell>
          <cell r="D834" t="str">
            <v>97-1-250</v>
          </cell>
          <cell r="E834" t="str">
            <v>및 이를 25% 이상 함유한 혼합물질. 다만 염화카드뮴(Cadmium chloride), 탄산카드뮴(Cadmium carbonate), 불화붕소산카드뮴(Cadmium fluoroborate), 질산카드뮴(Cadmium nitrate), 산화카드뮴(Cadmium oxide), 황산카드뮴(Cadmium sulfate), 황화카드뮴(Cadmium sulfide)의 경우 그 중 하나를 0.1% 이상 함유한 혼합물질.</v>
          </cell>
          <cell r="F834">
            <v>0.1</v>
          </cell>
          <cell r="G834" t="str">
            <v>- 발암물질 표시를 하여 건조하고 통풍이 잘되는 그늘 및 서늘한 곳에 밀폐 보관할 것
- 알칼리, 산화제, 열원 등과 격리 보관할 것
- 식료품, 사료, 의약품, 음식과 혼합저장 금지할 것
- 필요에 따라 국소배기장치 가동할 것
- 취급 또는 작업 시는 양압자급식호흡보호구를 착용하고 고글형 보안경, 내화학성 보호복, 고무(또는 네오프렌) 재질의 장갑 및 고무장화 등을 착용하여 단기적인 접촉 및 반복적이고 장기적인 노출을 피할 것
- 작업 시에는 콘택트렌즈를 뺄 것
- 작업장 부근에 비상시를 대비하여 샤워시설 및 세안시설을 갖출 것</v>
          </cell>
        </row>
        <row r="835">
          <cell r="B835" t="str">
            <v>100402-53-7</v>
          </cell>
          <cell r="C835" t="str">
            <v>카드뮴 화합물질</v>
          </cell>
          <cell r="D835" t="str">
            <v>97-1-250</v>
          </cell>
          <cell r="E835" t="str">
            <v>및 이를 25% 이상 함유한 혼합물질. 다만 염화카드뮴(Cadmium chloride), 탄산카드뮴(Cadmium carbonate), 불화붕소산카드뮴(Cadmium fluoroborate), 질산카드뮴(Cadmium nitrate), 산화카드뮴(Cadmium oxide), 황산카드뮴(Cadmium sulfate), 황화카드뮴(Cadmium sulfide)의 경우 그 중 하나를 0.1% 이상 함유한 혼합물질.</v>
          </cell>
          <cell r="F835">
            <v>25</v>
          </cell>
          <cell r="G835" t="str">
            <v>- 발암물질 표시를 하여 건조하고 통풍이 잘되는 그늘 및 서늘한 곳에 밀폐 보관할 것
- 알칼리, 산화제, 열원 등과 격리 보관할 것
- 식료품, 사료, 의약품, 음식과 혼합저장 금지할 것
- 필요에 따라 국소배기장치 가동할 것
- 취급 또는 작업 시는 양압자급식호흡보호구를 착용하고 고글형 보안경, 내화학성 보호복, 고무(또는 네오프렌) 재질의 장갑 및 고무장화 등을 착용하여 단기적인 접촉 및 반복적이고 장기적인 노출을 피할 것
- 작업 시에는 콘택트렌즈를 뺄 것
- 작업장 부근에 비상시를 대비하여 샤워시설 및 세안시설을 갖출 것</v>
          </cell>
        </row>
        <row r="836">
          <cell r="B836" t="str">
            <v>10108-64-2</v>
          </cell>
          <cell r="C836" t="str">
            <v>카드뮴 화합물질</v>
          </cell>
          <cell r="D836" t="str">
            <v>97-1-250</v>
          </cell>
          <cell r="E836" t="str">
            <v>및 이를 25% 이상 함유한 혼합물질. 다만 염화카드뮴(Cadmium chloride), 탄산카드뮴(Cadmium carbonate), 불화붕소산카드뮴(Cadmium fluoroborate), 질산카드뮴(Cadmium nitrate), 산화카드뮴(Cadmium oxide), 황산카드뮴(Cadmium sulfate), 황화카드뮴(Cadmium sulfide)의 경우 그 중 하나를 0.1% 이상 함유한 혼합물질.</v>
          </cell>
          <cell r="F836">
            <v>0.1</v>
          </cell>
          <cell r="G836" t="str">
            <v>- 발암물질 표시를 하여 건조하고 통풍이 잘되는 그늘 및 서늘한 곳에 밀폐 보관할 것
- 알칼리, 산화제, 열원 등과 격리 보관할 것
- 식료품, 사료, 의약품, 음식과 혼합저장 금지할 것
- 필요에 따라 국소배기장치 가동할 것
- 취급 또는 작업 시는 양압자급식호흡보호구를 착용하고 고글형 보안경, 내화학성 보호복, 고무(또는 네오프렌) 재질의 장갑 및 고무장화 등을 착용하여 단기적인 접촉 및 반복적이고 장기적인 노출을 피할 것
- 작업 시에는 콘택트렌즈를 뺄 것
- 작업장 부근에 비상시를 대비하여 샤워시설 및 세안시설을 갖출 것</v>
          </cell>
        </row>
        <row r="837">
          <cell r="B837" t="str">
            <v>10124-36-4</v>
          </cell>
          <cell r="C837" t="str">
            <v>카드뮴 화합물질</v>
          </cell>
          <cell r="D837" t="str">
            <v>97-1-250</v>
          </cell>
          <cell r="E837" t="str">
            <v>및 이를 25% 이상 함유한 혼합물질. 다만 염화카드뮴(Cadmium chloride), 탄산카드뮴(Cadmium carbonate), 불화붕소산카드뮴(Cadmium fluoroborate), 질산카드뮴(Cadmium nitrate), 산화카드뮴(Cadmium oxide), 황산카드뮴(Cadmium sulfate), 황화카드뮴(Cadmium sulfide)의 경우 그 중 하나를 0.1% 이상 함유한 혼합물질.</v>
          </cell>
          <cell r="F837">
            <v>25</v>
          </cell>
          <cell r="G837" t="str">
            <v>- 발암물질 표시를 하여 건조하고 통풍이 잘되는 그늘 및 서늘한 곳에 밀폐 보관할 것
- 알칼리, 산화제, 열원 등과 격리 보관할 것
- 식료품, 사료, 의약품, 음식과 혼합저장 금지할 것
- 필요에 따라 국소배기장치 가동할 것
- 취급 또는 작업 시는 양압자급식호흡보호구를 착용하고 고글형 보안경, 내화학성 보호복, 고무(또는 네오프렌) 재질의 장갑 및 고무장화 등을 착용하여 단기적인 접촉 및 반복적이고 장기적인 노출을 피할 것
- 작업 시에는 콘택트렌즈를 뺄 것
- 작업장 부근에 비상시를 대비하여 샤워시설 및 세안시설을 갖출 것</v>
          </cell>
        </row>
        <row r="838">
          <cell r="B838" t="str">
            <v>101356-99-4</v>
          </cell>
          <cell r="C838" t="str">
            <v>카드뮴 화합물질</v>
          </cell>
          <cell r="D838" t="str">
            <v>97-1-250</v>
          </cell>
          <cell r="E838" t="str">
            <v>및 이를 25% 이상 함유한 혼합물질. 다만 염화카드뮴(Cadmium chloride), 탄산카드뮴(Cadmium carbonate), 불화붕소산카드뮴(Cadmium fluoroborate), 질산카드뮴(Cadmium nitrate), 산화카드뮴(Cadmium oxide), 황산카드뮴(Cadmium sulfate), 황화카드뮴(Cadmium sulfide)의 경우 그 중 하나를 0.1% 이상 함유한 혼합물질.</v>
          </cell>
          <cell r="F838">
            <v>0.1</v>
          </cell>
          <cell r="G838" t="str">
            <v>- 발암물질 표시를 하여 건조하고 통풍이 잘되는 그늘 및 서늘한 곳에 밀폐 보관할 것
- 알칼리, 산화제, 열원 등과 격리 보관할 것
- 식료품, 사료, 의약품, 음식과 혼합저장 금지할 것
- 필요에 따라 국소배기장치 가동할 것
- 취급 또는 작업 시는 양압자급식호흡보호구를 착용하고 고글형 보안경, 내화학성 보호복, 고무(또는 네오프렌) 재질의 장갑 및 고무장화 등을 착용하여 단기적인 접촉 및 반복적이고 장기적인 노출을 피할 것
- 작업 시에는 콘택트렌즈를 뺄 것
- 작업장 부근에 비상시를 대비하여 샤워시설 및 세안시설을 갖출 것</v>
          </cell>
        </row>
        <row r="839">
          <cell r="B839" t="str">
            <v>102110-30-5</v>
          </cell>
          <cell r="C839" t="str">
            <v>카드뮴 화합물질</v>
          </cell>
          <cell r="D839" t="str">
            <v>97-1-250</v>
          </cell>
          <cell r="E839" t="str">
            <v>및 이를 25% 이상 함유한 혼합물질. 다만 염화카드뮴(Cadmium chloride), 탄산카드뮴(Cadmium carbonate), 불화붕소산카드뮴(Cadmium fluoroborate), 질산카드뮴(Cadmium nitrate), 산화카드뮴(Cadmium oxide), 황산카드뮴(Cadmium sulfate), 황화카드뮴(Cadmium sulfide)의 경우 그 중 하나를 0.1% 이상 함유한 혼합물질.</v>
          </cell>
          <cell r="F839">
            <v>0.1</v>
          </cell>
          <cell r="G839" t="str">
            <v>- 발암물질 표시를 하여 건조하고 통풍이 잘되는 그늘 및 서늘한 곳에 밀폐 보관할 것
- 알칼리, 산화제, 열원 등과 격리 보관할 것
- 식료품, 사료, 의약품, 음식과 혼합저장 금지할 것
- 필요에 따라 국소배기장치 가동할 것
- 취급 또는 작업 시는 양압자급식호흡보호구를 착용하고 고글형 보안경, 내화학성 보호복, 고무(또는 네오프렌) 재질의 장갑 및 고무장화 등을 착용하여 단기적인 접촉 및 반복적이고 장기적인 노출을 피할 것
- 작업 시에는 콘택트렌즈를 뺄 것
- 작업장 부근에 비상시를 대비하여 샤워시설 및 세안시설을 갖출 것</v>
          </cell>
        </row>
        <row r="840">
          <cell r="B840" t="str">
            <v>102184-95-2</v>
          </cell>
          <cell r="C840" t="str">
            <v>카드뮴 화합물질</v>
          </cell>
          <cell r="D840" t="str">
            <v>97-1-250</v>
          </cell>
          <cell r="E840" t="str">
            <v>및 이를 25% 이상 함유한 혼합물질. 다만 염화카드뮴(Cadmium chloride), 탄산카드뮴(Cadmium carbonate), 불화붕소산카드뮴(Cadmium fluoroborate), 질산카드뮴(Cadmium nitrate), 산화카드뮴(Cadmium oxide), 황산카드뮴(Cadmium sulfate), 황화카드뮴(Cadmium sulfide)의 경우 그 중 하나를 0.1% 이상 함유한 혼합물질.</v>
          </cell>
          <cell r="F840">
            <v>25</v>
          </cell>
          <cell r="G840" t="str">
            <v>- 발암물질 표시를 하여 건조하고 통풍이 잘되는 그늘 및 서늘한 곳에 밀폐 보관할 것
- 알칼리, 산화제, 열원 등과 격리 보관할 것
- 식료품, 사료, 의약품, 음식과 혼합저장 금지할 것
- 필요에 따라 국소배기장치 가동할 것
- 취급 또는 작업 시는 양압자급식호흡보호구를 착용하고 고글형 보안경, 내화학성 보호복, 고무(또는 네오프렌) 재질의 장갑 및 고무장화 등을 착용하여 단기적인 접촉 및 반복적이고 장기적인 노출을 피할 것
- 작업 시에는 콘택트렌즈를 뺄 것
- 작업장 부근에 비상시를 대비하여 샤워시설 및 세안시설을 갖출 것</v>
          </cell>
        </row>
        <row r="841">
          <cell r="B841" t="str">
            <v>10325-94-7</v>
          </cell>
          <cell r="C841" t="str">
            <v>카드뮴 화합물질</v>
          </cell>
          <cell r="D841" t="str">
            <v>97-1-250</v>
          </cell>
          <cell r="E841" t="str">
            <v>및 이를 25% 이상 함유한 혼합물질. 다만 염화카드뮴(Cadmium chloride), 탄산카드뮴(Cadmium carbonate), 불화붕소산카드뮴(Cadmium fluoroborate), 질산카드뮴(Cadmium nitrate), 산화카드뮴(Cadmium oxide), 황산카드뮴(Cadmium sulfate), 황화카드뮴(Cadmium sulfide)의 경우 그 중 하나를 0.1% 이상 함유한 혼합물질.</v>
          </cell>
          <cell r="F841">
            <v>0.1</v>
          </cell>
          <cell r="G841" t="str">
            <v>- 발암물질 표시를 하여 건조하고 통풍이 잘되는 그늘 및 서늘한 곳에 밀폐 보관할 것
- 알칼리, 산화제, 열원 등과 격리 보관할 것
- 식료품, 사료, 의약품, 음식과 혼합저장 금지할 것
- 필요에 따라 국소배기장치 가동할 것
- 취급 또는 작업 시는 양압자급식호흡보호구를 착용하고 고글형 보안경, 내화학성 보호복, 고무(또는 네오프렌) 재질의 장갑 및 고무장화 등을 착용하여 단기적인 접촉 및 반복적이고 장기적인 노출을 피할 것
- 작업 시에는 콘택트렌즈를 뺄 것
- 작업장 부근에 비상시를 대비하여 샤워시설 및 세안시설을 갖출 것</v>
          </cell>
        </row>
        <row r="842">
          <cell r="B842" t="str">
            <v>12014-14-1</v>
          </cell>
          <cell r="C842" t="str">
            <v>카드뮴 화합물질</v>
          </cell>
          <cell r="D842" t="str">
            <v>97-1-250</v>
          </cell>
          <cell r="E842" t="str">
            <v>및 이를 25% 이상 함유한 혼합물질. 다만 염화카드뮴(Cadmium chloride), 탄산카드뮴(Cadmium carbonate), 불화붕소산카드뮴(Cadmium fluoroborate), 질산카드뮴(Cadmium nitrate), 산화카드뮴(Cadmium oxide), 황산카드뮴(Cadmium sulfate), 황화카드뮴(Cadmium sulfide)의 경우 그 중 하나를 0.1% 이상 함유한 혼합물질.</v>
          </cell>
          <cell r="F842">
            <v>25</v>
          </cell>
          <cell r="G842" t="str">
            <v>- 발암물질 표시를 하여 건조하고 통풍이 잘되는 그늘 및 서늘한 곳에 밀폐 보관할 것
- 알칼리, 산화제, 열원 등과 격리 보관할 것
- 식료품, 사료, 의약품, 음식과 혼합저장 금지할 것
- 필요에 따라 국소배기장치 가동할 것
- 취급 또는 작업 시는 양압자급식호흡보호구를 착용하고 고글형 보안경, 내화학성 보호복, 고무(또는 네오프렌) 재질의 장갑 및 고무장화 등을 착용하여 단기적인 접촉 및 반복적이고 장기적인 노출을 피할 것
- 작업 시에는 콘택트렌즈를 뺄 것
- 작업장 부근에 비상시를 대비하여 샤워시설 및 세안시설을 갖출 것</v>
          </cell>
        </row>
        <row r="843">
          <cell r="B843" t="str">
            <v>12014-28-7</v>
          </cell>
          <cell r="C843" t="str">
            <v>카드뮴 화합물질</v>
          </cell>
          <cell r="D843" t="str">
            <v>97-1-250</v>
          </cell>
          <cell r="E843" t="str">
            <v>및 이를 25% 이상 함유한 혼합물질. 다만 염화카드뮴(Cadmium chloride), 탄산카드뮴(Cadmium carbonate), 불화붕소산카드뮴(Cadmium fluoroborate), 질산카드뮴(Cadmium nitrate), 산화카드뮴(Cadmium oxide), 황산카드뮴(Cadmium sulfate), 황화카드뮴(Cadmium sulfide)의 경우 그 중 하나를 0.1% 이상 함유한 혼합물질.</v>
          </cell>
          <cell r="F843">
            <v>25</v>
          </cell>
          <cell r="G843" t="str">
            <v>- 발암물질 표시를 하여 건조하고 통풍이 잘되는 그늘 및 서늘한 곳에 밀폐 보관할 것
- 알칼리, 산화제, 열원 등과 격리 보관할 것
- 식료품, 사료, 의약품, 음식과 혼합저장 금지할 것
- 필요에 따라 국소배기장치 가동할 것
- 취급 또는 작업 시는 양압자급식호흡보호구를 착용하고 고글형 보안경, 내화학성 보호복, 고무(또는 네오프렌) 재질의 장갑 및 고무장화 등을 착용하여 단기적인 접촉 및 반복적이고 장기적인 노출을 피할 것
- 작업 시에는 콘택트렌즈를 뺄 것
- 작업장 부근에 비상시를 대비하여 샤워시설 및 세안시설을 갖출 것</v>
          </cell>
        </row>
        <row r="844">
          <cell r="B844" t="str">
            <v>12139-22-9</v>
          </cell>
          <cell r="C844" t="str">
            <v>카드뮴 화합물질</v>
          </cell>
          <cell r="D844" t="str">
            <v>97-1-250</v>
          </cell>
          <cell r="E844" t="str">
            <v>및 이를 25% 이상 함유한 혼합물질. 다만 염화카드뮴(Cadmium chloride), 탄산카드뮴(Cadmium carbonate), 불화붕소산카드뮴(Cadmium fluoroborate), 질산카드뮴(Cadmium nitrate), 산화카드뮴(Cadmium oxide), 황산카드뮴(Cadmium sulfate), 황화카드뮴(Cadmium sulfide)의 경우 그 중 하나를 0.1% 이상 함유한 혼합물질.</v>
          </cell>
          <cell r="F844">
            <v>25</v>
          </cell>
          <cell r="G844" t="str">
            <v>- 발암물질 표시를 하여 건조하고 통풍이 잘되는 그늘 및 서늘한 곳에 밀폐 보관할 것
- 알칼리, 산화제, 열원 등과 격리 보관할 것
- 식료품, 사료, 의약품, 음식과 혼합저장 금지할 것
- 필요에 따라 국소배기장치 가동할 것
- 취급 또는 작업 시는 양압자급식호흡보호구를 착용하고 고글형 보안경, 내화학성 보호복, 고무(또는 네오프렌) 재질의 장갑 및 고무장화 등을 착용하여 단기적인 접촉 및 반복적이고 장기적인 노출을 피할 것
- 작업 시에는 콘택트렌즈를 뺄 것
- 작업장 부근에 비상시를 대비하여 샤워시설 및 세안시설을 갖출 것</v>
          </cell>
        </row>
        <row r="845">
          <cell r="B845" t="str">
            <v>12139-23-0</v>
          </cell>
          <cell r="C845" t="str">
            <v>카드뮴 화합물질</v>
          </cell>
          <cell r="D845" t="str">
            <v>97-1-250</v>
          </cell>
          <cell r="E845" t="str">
            <v>및 이를 25% 이상 함유한 혼합물질. 다만 염화카드뮴(Cadmium chloride), 탄산카드뮴(Cadmium carbonate), 불화붕소산카드뮴(Cadmium fluoroborate), 질산카드뮴(Cadmium nitrate), 산화카드뮴(Cadmium oxide), 황산카드뮴(Cadmium sulfate), 황화카드뮴(Cadmium sulfide)의 경우 그 중 하나를 0.1% 이상 함유한 혼합물질.</v>
          </cell>
          <cell r="F845">
            <v>25</v>
          </cell>
          <cell r="G845" t="str">
            <v>- 발암물질 표시를 하여 건조하고 통풍이 잘되는 그늘 및 서늘한 곳에 밀폐 보관할 것
- 알칼리, 산화제, 열원 등과 격리 보관할 것
- 식료품, 사료, 의약품, 음식과 혼합저장 금지할 것
- 필요에 따라 국소배기장치 가동할 것
- 취급 또는 작업 시는 양압자급식호흡보호구를 착용하고 고글형 보안경, 내화학성 보호복, 고무(또는 네오프렌) 재질의 장갑 및 고무장화 등을 착용하여 단기적인 접촉 및 반복적이고 장기적인 노출을 피할 것
- 작업 시에는 콘택트렌즈를 뺄 것
- 작업장 부근에 비상시를 대비하여 샤워시설 및 세안시설을 갖출 것</v>
          </cell>
        </row>
        <row r="846">
          <cell r="B846" t="str">
            <v>12185-64-7</v>
          </cell>
          <cell r="C846" t="str">
            <v>카드뮴 화합물질</v>
          </cell>
          <cell r="D846" t="str">
            <v>97-1-250</v>
          </cell>
          <cell r="E846" t="str">
            <v>및 이를 25% 이상 함유한 혼합물질. 다만 염화카드뮴(Cadmium chloride), 탄산카드뮴(Cadmium carbonate), 불화붕소산카드뮴(Cadmium fluoroborate), 질산카드뮴(Cadmium nitrate), 산화카드뮴(Cadmium oxide), 황산카드뮴(Cadmium sulfate), 황화카드뮴(Cadmium sulfide)의 경우 그 중 하나를 0.1% 이상 함유한 혼합물질.</v>
          </cell>
          <cell r="F846">
            <v>25</v>
          </cell>
          <cell r="G846" t="str">
            <v>- 발암물질 표시를 하여 건조하고 통풍이 잘되는 그늘 및 서늘한 곳에 밀폐 보관할 것
- 알칼리, 산화제, 열원 등과 격리 보관할 것
- 식료품, 사료, 의약품, 음식과 혼합저장 금지할 것
- 필요에 따라 국소배기장치 가동할 것
- 취급 또는 작업 시는 양압자급식호흡보호구를 착용하고 고글형 보안경, 내화학성 보호복, 고무(또는 네오프렌) 재질의 장갑 및 고무장화 등을 착용하여 단기적인 접촉 및 반복적이고 장기적인 노출을 피할 것
- 작업 시에는 콘택트렌즈를 뺄 것
- 작업장 부근에 비상시를 대비하여 샤워시설 및 세안시설을 갖출 것</v>
          </cell>
        </row>
        <row r="847">
          <cell r="B847" t="str">
            <v>12187-14-3</v>
          </cell>
          <cell r="C847" t="str">
            <v>카드뮴 화합물질</v>
          </cell>
          <cell r="D847" t="str">
            <v>97-1-250</v>
          </cell>
          <cell r="E847" t="str">
            <v>및 이를 25% 이상 함유한 혼합물질. 다만 염화카드뮴(Cadmium chloride), 탄산카드뮴(Cadmium carbonate), 불화붕소산카드뮴(Cadmium fluoroborate), 질산카드뮴(Cadmium nitrate), 산화카드뮴(Cadmium oxide), 황산카드뮴(Cadmium sulfate), 황화카드뮴(Cadmium sulfide)의 경우 그 중 하나를 0.1% 이상 함유한 혼합물질.</v>
          </cell>
          <cell r="F847">
            <v>25</v>
          </cell>
          <cell r="G847" t="str">
            <v>- 발암물질 표시를 하여 건조하고 통풍이 잘되는 그늘 및 서늘한 곳에 밀폐 보관할 것
- 알칼리, 산화제, 열원 등과 격리 보관할 것
- 식료품, 사료, 의약품, 음식과 혼합저장 금지할 것
- 필요에 따라 국소배기장치 가동할 것
- 취급 또는 작업 시는 양압자급식호흡보호구를 착용하고 고글형 보안경, 내화학성 보호복, 고무(또는 네오프렌) 재질의 장갑 및 고무장화 등을 착용하여 단기적인 접촉 및 반복적이고 장기적인 노출을 피할 것
- 작업 시에는 콘택트렌즈를 뺄 것
- 작업장 부근에 비상시를 대비하여 샤워시설 및 세안시설을 갖출 것</v>
          </cell>
        </row>
        <row r="848">
          <cell r="B848" t="str">
            <v>12292-07-8</v>
          </cell>
          <cell r="C848" t="str">
            <v>카드뮴 화합물질</v>
          </cell>
          <cell r="D848" t="str">
            <v>97-1-250</v>
          </cell>
          <cell r="E848" t="str">
            <v>및 이를 25% 이상 함유한 혼합물질. 다만 염화카드뮴(Cadmium chloride), 탄산카드뮴(Cadmium carbonate), 불화붕소산카드뮴(Cadmium fluoroborate), 질산카드뮴(Cadmium nitrate), 산화카드뮴(Cadmium oxide), 황산카드뮴(Cadmium sulfate), 황화카드뮴(Cadmium sulfide)의 경우 그 중 하나를 0.1% 이상 함유한 혼합물질.</v>
          </cell>
          <cell r="F848">
            <v>25</v>
          </cell>
          <cell r="G848" t="str">
            <v>- 발암물질 표시를 하여 건조하고 통풍이 잘되는 그늘 및 서늘한 곳에 밀폐 보관할 것
- 알칼리, 산화제, 열원 등과 격리 보관할 것
- 식료품, 사료, 의약품, 음식과 혼합저장 금지할 것
- 필요에 따라 국소배기장치 가동할 것
- 취급 또는 작업 시는 양압자급식호흡보호구를 착용하고 고글형 보안경, 내화학성 보호복, 고무(또는 네오프렌) 재질의 장갑 및 고무장화 등을 착용하여 단기적인 접촉 및 반복적이고 장기적인 노출을 피할 것
- 작업 시에는 콘택트렌즈를 뺄 것
- 작업장 부근에 비상시를 대비하여 샤워시설 및 세안시설을 갖출 것</v>
          </cell>
        </row>
        <row r="849">
          <cell r="B849" t="str">
            <v>12442-27-2</v>
          </cell>
          <cell r="C849" t="str">
            <v>카드뮴 화합물질</v>
          </cell>
          <cell r="D849" t="str">
            <v>97-1-250</v>
          </cell>
          <cell r="E849" t="str">
            <v>및 이를 25% 이상 함유한 혼합물질. 다만 염화카드뮴(Cadmium chloride), 탄산카드뮴(Cadmium carbonate), 불화붕소산카드뮴(Cadmium fluoroborate), 질산카드뮴(Cadmium nitrate), 산화카드뮴(Cadmium oxide), 황산카드뮴(Cadmium sulfate), 황화카드뮴(Cadmium sulfide)의 경우 그 중 하나를 0.1% 이상 함유한 혼합물질.</v>
          </cell>
          <cell r="F849">
            <v>25</v>
          </cell>
          <cell r="G849" t="str">
            <v>- 발암물질 표시를 하여 건조하고 통풍이 잘되는 그늘 및 서늘한 곳에 밀폐 보관할 것
- 알칼리, 산화제, 열원 등과 격리 보관할 것
- 식료품, 사료, 의약품, 음식과 혼합저장 금지할 것
- 필요에 따라 국소배기장치 가동할 것
- 취급 또는 작업 시는 양압자급식호흡보호구를 착용하고 고글형 보안경, 내화학성 보호복, 고무(또는 네오프렌) 재질의 장갑 및 고무장화 등을 착용하여 단기적인 접촉 및 반복적이고 장기적인 노출을 피할 것
- 작업 시에는 콘택트렌즈를 뺄 것
- 작업장 부근에 비상시를 대비하여 샤워시설 및 세안시설을 갖출 것</v>
          </cell>
        </row>
        <row r="850">
          <cell r="B850" t="str">
            <v>1306-19-0</v>
          </cell>
          <cell r="C850" t="str">
            <v>카드뮴 화합물질</v>
          </cell>
          <cell r="D850" t="str">
            <v>97-1-250</v>
          </cell>
          <cell r="E850" t="str">
            <v>및 이를 25% 이상 함유한 혼합물질. 다만 염화카드뮴(Cadmium chloride), 탄산카드뮴(Cadmium carbonate), 불화붕소산카드뮴(Cadmium fluoroborate), 질산카드뮴(Cadmium nitrate), 산화카드뮴(Cadmium oxide), 황산카드뮴(Cadmium sulfate), 황화카드뮴(Cadmium sulfide)의 경우 그 중 하나를 0.1% 이상 함유한 혼합물질.</v>
          </cell>
          <cell r="F850">
            <v>0.1</v>
          </cell>
          <cell r="G850" t="str">
            <v>- 발암물질 표시를 하여 건조하고 통풍이 잘되는 그늘 및 서늘한 곳에 밀폐 보관할 것
- 알칼리, 산화제, 열원 등과 격리 보관할 것
- 식료품, 사료, 의약품, 음식과 혼합저장 금지할 것
- 필요에 따라 국소배기장치 가동할 것
- 취급 또는 작업 시는 양압자급식호흡보호구를 착용하고 고글형 보안경, 내화학성 보호복, 고무(또는 네오프렌) 재질의 장갑 및 고무장화 등을 착용하여 단기적인 접촉 및 반복적이고 장기적인 노출을 피할 것
- 작업 시에는 콘택트렌즈를 뺄 것
- 작업장 부근에 비상시를 대비하여 샤워시설 및 세안시설을 갖출 것</v>
          </cell>
        </row>
        <row r="851">
          <cell r="B851" t="str">
            <v>1306-23-6</v>
          </cell>
          <cell r="C851" t="str">
            <v>카드뮴 화합물질</v>
          </cell>
          <cell r="D851" t="str">
            <v>97-1-250</v>
          </cell>
          <cell r="E851" t="str">
            <v>및 이를 25% 이상 함유한 혼합물질. 다만 염화카드뮴(Cadmium chloride), 탄산카드뮴(Cadmium carbonate), 불화붕소산카드뮴(Cadmium fluoroborate), 질산카드뮴(Cadmium nitrate), 산화카드뮴(Cadmium oxide), 황산카드뮴(Cadmium sulfate), 황화카드뮴(Cadmium sulfide)의 경우 그 중 하나를 0.1% 이상 함유한 혼합물질.</v>
          </cell>
          <cell r="F851">
            <v>25</v>
          </cell>
          <cell r="G851" t="str">
            <v>- 발암물질 표시를 하여 건조하고 통풍이 잘되는 그늘 및 서늘한 곳에 밀폐 보관할 것
- 알칼리, 산화제, 열원 등과 격리 보관할 것
- 식료품, 사료, 의약품, 음식과 혼합저장 금지할 것
- 필요에 따라 국소배기장치 가동할 것
- 취급 또는 작업 시는 양압자급식호흡보호구를 착용하고 고글형 보안경, 내화학성 보호복, 고무(또는 네오프렌) 재질의 장갑 및 고무장화 등을 착용하여 단기적인 접촉 및 반복적이고 장기적인 노출을 피할 것
- 작업 시에는 콘택트렌즈를 뺄 것
- 작업장 부근에 비상시를 대비하여 샤워시설 및 세안시설을 갖출 것</v>
          </cell>
        </row>
        <row r="852">
          <cell r="B852" t="str">
            <v>1306-25-8</v>
          </cell>
          <cell r="C852" t="str">
            <v>카드뮴 화합물질</v>
          </cell>
          <cell r="D852" t="str">
            <v>97-1-250</v>
          </cell>
          <cell r="E852" t="str">
            <v>및 이를 25% 이상 함유한 혼합물질. 다만 염화카드뮴(Cadmium chloride), 탄산카드뮴(Cadmium carbonate), 불화붕소산카드뮴(Cadmium fluoroborate), 질산카드뮴(Cadmium nitrate), 산화카드뮴(Cadmium oxide), 황산카드뮴(Cadmium sulfate), 황화카드뮴(Cadmium sulfide)의 경우 그 중 하나를 0.1% 이상 함유한 혼합물질.</v>
          </cell>
          <cell r="F852">
            <v>25</v>
          </cell>
          <cell r="G852" t="str">
            <v>- 발암물질 표시를 하여 건조하고 통풍이 잘되는 그늘 및 서늘한 곳에 밀폐 보관할 것
- 알칼리, 산화제, 열원 등과 격리 보관할 것
- 식료품, 사료, 의약품, 음식과 혼합저장 금지할 것
- 필요에 따라 국소배기장치 가동할 것
- 취급 또는 작업 시는 양압자급식호흡보호구를 착용하고 고글형 보안경, 내화학성 보호복, 고무(또는 네오프렌) 재질의 장갑 및 고무장화 등을 착용하여 단기적인 접촉 및 반복적이고 장기적인 노출을 피할 것
- 작업 시에는 콘택트렌즈를 뺄 것
- 작업장 부근에 비상시를 대비하여 샤워시설 및 세안시설을 갖출 것</v>
          </cell>
        </row>
        <row r="853">
          <cell r="B853" t="str">
            <v>13477-17-3</v>
          </cell>
          <cell r="C853" t="str">
            <v>카드뮴 화합물질</v>
          </cell>
          <cell r="D853" t="str">
            <v>97-1-250</v>
          </cell>
          <cell r="E853" t="str">
            <v>및 이를 25% 이상 함유한 혼합물질. 다만 염화카드뮴(Cadmium chloride), 탄산카드뮴(Cadmium carbonate), 불화붕소산카드뮴(Cadmium fluoroborate), 질산카드뮴(Cadmium nitrate), 산화카드뮴(Cadmium oxide), 황산카드뮴(Cadmium sulfate), 황화카드뮴(Cadmium sulfide)의 경우 그 중 하나를 0.1% 이상 함유한 혼합물질.</v>
          </cell>
          <cell r="F853">
            <v>25</v>
          </cell>
          <cell r="G853" t="str">
            <v>- 발암물질 표시를 하여 건조하고 통풍이 잘되는 그늘 및 서늘한 곳에 밀폐 보관할 것
- 알칼리, 산화제, 열원 등과 격리 보관할 것
- 식료품, 사료, 의약품, 음식과 혼합저장 금지할 것
- 필요에 따라 국소배기장치 가동할 것
- 취급 또는 작업 시는 양압자급식호흡보호구를 착용하고 고글형 보안경, 내화학성 보호복, 고무(또는 네오프렌) 재질의 장갑 및 고무장화 등을 착용하여 단기적인 접촉 및 반복적이고 장기적인 노출을 피할 것
- 작업 시에는 콘택트렌즈를 뺄 것
- 작업장 부근에 비상시를 대비하여 샤워시설 및 세안시설을 갖출 것</v>
          </cell>
        </row>
        <row r="854">
          <cell r="B854" t="str">
            <v>13701-66-1</v>
          </cell>
          <cell r="C854" t="str">
            <v>카드뮴 화합물질</v>
          </cell>
          <cell r="D854" t="str">
            <v>97-1-250</v>
          </cell>
          <cell r="E854" t="str">
            <v>및 이를 25% 이상 함유한 혼합물질. 다만 염화카드뮴(Cadmium chloride), 탄산카드뮴(Cadmium carbonate), 불화붕소산카드뮴(Cadmium fluoroborate), 질산카드뮴(Cadmium nitrate), 산화카드뮴(Cadmium oxide), 황산카드뮴(Cadmium sulfate), 황화카드뮴(Cadmium sulfide)의 경우 그 중 하나를 0.1% 이상 함유한 혼합물질.</v>
          </cell>
          <cell r="F854">
            <v>0.1</v>
          </cell>
          <cell r="G854" t="str">
            <v>- 발암물질 표시를 하여 건조하고 통풍이 잘되는 그늘 및 서늘한 곳에 밀폐 보관할 것
- 알칼리, 산화제, 열원 등과 격리 보관할 것
- 식료품, 사료, 의약품, 음식과 혼합저장 금지할 것
- 필요에 따라 국소배기장치 가동할 것
- 취급 또는 작업 시는 양압자급식호흡보호구를 착용하고 고글형 보안경, 내화학성 보호복, 고무(또는 네오프렌) 재질의 장갑 및 고무장화 등을 착용하여 단기적인 접촉 및 반복적이고 장기적인 노출을 피할 것
- 작업 시에는 콘택트렌즈를 뺄 것
- 작업장 부근에 비상시를 대비하여 샤워시설 및 세안시설을 갖출 것</v>
          </cell>
        </row>
        <row r="855">
          <cell r="B855" t="str">
            <v>13847-17-1</v>
          </cell>
          <cell r="C855" t="str">
            <v>카드뮴 화합물질</v>
          </cell>
          <cell r="D855" t="str">
            <v>97-1-250</v>
          </cell>
          <cell r="E855" t="str">
            <v>및 이를 25% 이상 함유한 혼합물질. 다만 염화카드뮴(Cadmium chloride), 탄산카드뮴(Cadmium carbonate), 불화붕소산카드뮴(Cadmium fluoroborate), 질산카드뮴(Cadmium nitrate), 산화카드뮴(Cadmium oxide), 황산카드뮴(Cadmium sulfate), 황화카드뮴(Cadmium sulfide)의 경우 그 중 하나를 0.1% 이상 함유한 혼합물질.</v>
          </cell>
          <cell r="F855">
            <v>25</v>
          </cell>
          <cell r="G855" t="str">
            <v>- 발암물질 표시를 하여 건조하고 통풍이 잘되는 그늘 및 서늘한 곳에 밀폐 보관할 것
- 알칼리, 산화제, 열원 등과 격리 보관할 것
- 식료품, 사료, 의약품, 음식과 혼합저장 금지할 것
- 필요에 따라 국소배기장치 가동할 것
- 취급 또는 작업 시는 양압자급식호흡보호구를 착용하고 고글형 보안경, 내화학성 보호복, 고무(또는 네오프렌) 재질의 장갑 및 고무장화 등을 착용하여 단기적인 접촉 및 반복적이고 장기적인 노출을 피할 것
- 작업 시에는 콘택트렌즈를 뺄 것
- 작업장 부근에 비상시를 대비하여 샤워시설 및 세안시설을 갖출 것</v>
          </cell>
        </row>
        <row r="856">
          <cell r="B856" t="str">
            <v>13972-68-4</v>
          </cell>
          <cell r="C856" t="str">
            <v>카드뮴 화합물질</v>
          </cell>
          <cell r="D856" t="str">
            <v>97-1-250</v>
          </cell>
          <cell r="E856" t="str">
            <v>및 이를 25% 이상 함유한 혼합물질. 다만 염화카드뮴(Cadmium chloride), 탄산카드뮴(Cadmium carbonate), 불화붕소산카드뮴(Cadmium fluoroborate), 질산카드뮴(Cadmium nitrate), 산화카드뮴(Cadmium oxide), 황산카드뮴(Cadmium sulfate), 황화카드뮴(Cadmium sulfide)의 경우 그 중 하나를 0.1% 이상 함유한 혼합물질.</v>
          </cell>
          <cell r="F856">
            <v>25</v>
          </cell>
          <cell r="G856" t="str">
            <v>- 발암물질 표시를 하여 건조하고 통풍이 잘되는 그늘 및 서늘한 곳에 밀폐 보관할 것
- 알칼리, 산화제, 열원 등과 격리 보관할 것
- 식료품, 사료, 의약품, 음식과 혼합저장 금지할 것
- 필요에 따라 국소배기장치 가동할 것
- 취급 또는 작업 시는 양압자급식호흡보호구를 착용하고 고글형 보안경, 내화학성 보호복, 고무(또는 네오프렌) 재질의 장갑 및 고무장화 등을 착용하여 단기적인 접촉 및 반복적이고 장기적인 노출을 피할 것
- 작업 시에는 콘택트렌즈를 뺄 것
- 작업장 부근에 비상시를 대비하여 샤워시설 및 세안시설을 갖출 것</v>
          </cell>
        </row>
        <row r="857">
          <cell r="B857" t="str">
            <v>14017-36-8</v>
          </cell>
          <cell r="C857" t="str">
            <v>카드뮴 화합물질</v>
          </cell>
          <cell r="D857" t="str">
            <v>97-1-250</v>
          </cell>
          <cell r="E857" t="str">
            <v>및 이를 25% 이상 함유한 혼합물질. 다만 염화카드뮴(Cadmium chloride), 탄산카드뮴(Cadmium carbonate), 불화붕소산카드뮴(Cadmium fluoroborate), 질산카드뮴(Cadmium nitrate), 산화카드뮴(Cadmium oxide), 황산카드뮴(Cadmium sulfate), 황화카드뮴(Cadmium sulfide)의 경우 그 중 하나를 0.1% 이상 함유한 혼합물질.</v>
          </cell>
          <cell r="F857">
            <v>25</v>
          </cell>
          <cell r="G857" t="str">
            <v>- 발암물질 표시를 하여 건조하고 통풍이 잘되는 그늘 및 서늘한 곳에 밀폐 보관할 것
- 알칼리, 산화제, 열원 등과 격리 보관할 것
- 식료품, 사료, 의약품, 음식과 혼합저장 금지할 것
- 필요에 따라 국소배기장치 가동할 것
- 취급 또는 작업 시는 양압자급식호흡보호구를 착용하고 고글형 보안경, 내화학성 보호복, 고무(또는 네오프렌) 재질의 장갑 및 고무장화 등을 착용하여 단기적인 접촉 및 반복적이고 장기적인 노출을 피할 것
- 작업 시에는 콘택트렌즈를 뺄 것
- 작업장 부근에 비상시를 대비하여 샤워시설 및 세안시설을 갖출 것</v>
          </cell>
        </row>
        <row r="858">
          <cell r="B858" t="str">
            <v>14486-19-2</v>
          </cell>
          <cell r="C858" t="str">
            <v>카드뮴 화합물질</v>
          </cell>
          <cell r="D858" t="str">
            <v>97-1-250</v>
          </cell>
          <cell r="E858" t="str">
            <v>및 이를 25% 이상 함유한 혼합물질. 다만 염화카드뮴(Cadmium chloride), 탄산카드뮴(Cadmium carbonate), 불화붕소산카드뮴(Cadmium fluoroborate), 질산카드뮴(Cadmium nitrate), 산화카드뮴(Cadmium oxide), 황산카드뮴(Cadmium sulfate), 황화카드뮴(Cadmium sulfide)의 경우 그 중 하나를 0.1% 이상 함유한 혼합물질.</v>
          </cell>
          <cell r="F858">
            <v>25</v>
          </cell>
          <cell r="G858" t="str">
            <v>- 발암물질 표시를 하여 건조하고 통풍이 잘되는 그늘 및 서늘한 곳에 밀폐 보관할 것
- 알칼리, 산화제, 열원 등과 격리 보관할 것
- 식료품, 사료, 의약품, 음식과 혼합저장 금지할 것
- 필요에 따라 국소배기장치 가동할 것
- 취급 또는 작업 시는 양압자급식호흡보호구를 착용하고 고글형 보안경, 내화학성 보호복, 고무(또는 네오프렌) 재질의 장갑 및 고무장화 등을 착용하여 단기적인 접촉 및 반복적이고 장기적인 노출을 피할 것
- 작업 시에는 콘택트렌즈를 뺄 것
- 작업장 부근에 비상시를 대비하여 샤워시설 및 세안시설을 갖출 것</v>
          </cell>
        </row>
        <row r="859">
          <cell r="B859" t="str">
            <v>14520-70-8</v>
          </cell>
          <cell r="C859" t="str">
            <v>카드뮴 화합물질</v>
          </cell>
          <cell r="D859" t="str">
            <v>97-1-250</v>
          </cell>
          <cell r="E859" t="str">
            <v>및 이를 25% 이상 함유한 혼합물질. 다만 염화카드뮴(Cadmium chloride), 탄산카드뮴(Cadmium carbonate), 불화붕소산카드뮴(Cadmium fluoroborate), 질산카드뮴(Cadmium nitrate), 산화카드뮴(Cadmium oxide), 황산카드뮴(Cadmium sulfate), 황화카드뮴(Cadmium sulfide)의 경우 그 중 하나를 0.1% 이상 함유한 혼합물질.</v>
          </cell>
          <cell r="F859">
            <v>25</v>
          </cell>
          <cell r="G859" t="str">
            <v>- 발암물질 표시를 하여 건조하고 통풍이 잘되는 그늘 및 서늘한 곳에 밀폐 보관할 것
- 알칼리, 산화제, 열원 등과 격리 보관할 것
- 식료품, 사료, 의약품, 음식과 혼합저장 금지할 것
- 필요에 따라 국소배기장치 가동할 것
- 취급 또는 작업 시는 양압자급식호흡보호구를 착용하고 고글형 보안경, 내화학성 보호복, 고무(또는 네오프렌) 재질의 장갑 및 고무장화 등을 착용하여 단기적인 접촉 및 반복적이고 장기적인 노출을 피할 것
- 작업 시에는 콘택트렌즈를 뺄 것
- 작업장 부근에 비상시를 대비하여 샤워시설 및 세안시설을 갖출 것</v>
          </cell>
        </row>
        <row r="860">
          <cell r="B860" t="str">
            <v>15600-62-1</v>
          </cell>
          <cell r="C860" t="str">
            <v>카드뮴 화합물질</v>
          </cell>
          <cell r="D860" t="str">
            <v>97-1-250</v>
          </cell>
          <cell r="E860" t="str">
            <v>및 이를 25% 이상 함유한 혼합물질. 다만 염화카드뮴(Cadmium chloride), 탄산카드뮴(Cadmium carbonate), 불화붕소산카드뮴(Cadmium fluoroborate), 질산카드뮴(Cadmium nitrate), 산화카드뮴(Cadmium oxide), 황산카드뮴(Cadmium sulfate), 황화카드뮴(Cadmium sulfide)의 경우 그 중 하나를 0.1% 이상 함유한 혼합물질.</v>
          </cell>
          <cell r="F860">
            <v>25</v>
          </cell>
          <cell r="G860" t="str">
            <v>- 발암물질 표시를 하여 건조하고 통풍이 잘되는 그늘 및 서늘한 곳에 밀폐 보관할 것
- 알칼리, 산화제, 열원 등과 격리 보관할 것
- 식료품, 사료, 의약품, 음식과 혼합저장 금지할 것
- 필요에 따라 국소배기장치 가동할 것
- 취급 또는 작업 시는 양압자급식호흡보호구를 착용하고 고글형 보안경, 내화학성 보호복, 고무(또는 네오프렌) 재질의 장갑 및 고무장화 등을 착용하여 단기적인 접촉 및 반복적이고 장기적인 노출을 피할 것
- 작업 시에는 콘택트렌즈를 뺄 것
- 작업장 부근에 비상시를 대비하여 샤워시설 및 세안시설을 갖출 것</v>
          </cell>
        </row>
        <row r="861">
          <cell r="B861" t="str">
            <v>15851-44-2</v>
          </cell>
          <cell r="C861" t="str">
            <v>카드뮴 화합물질</v>
          </cell>
          <cell r="D861" t="str">
            <v>97-1-250</v>
          </cell>
          <cell r="E861" t="str">
            <v>및 이를 25% 이상 함유한 혼합물질. 다만 염화카드뮴(Cadmium chloride), 탄산카드뮴(Cadmium carbonate), 불화붕소산카드뮴(Cadmium fluoroborate), 질산카드뮴(Cadmium nitrate), 산화카드뮴(Cadmium oxide), 황산카드뮴(Cadmium sulfate), 황화카드뮴(Cadmium sulfide)의 경우 그 중 하나를 0.1% 이상 함유한 혼합물질.</v>
          </cell>
          <cell r="F861">
            <v>25</v>
          </cell>
          <cell r="G861" t="str">
            <v>- 발암물질 표시를 하여 건조하고 통풍이 잘되는 그늘 및 서늘한 곳에 밀폐 보관할 것
- 알칼리, 산화제, 열원 등과 격리 보관할 것
- 식료품, 사료, 의약품, 음식과 혼합저장 금지할 것
- 필요에 따라 국소배기장치 가동할 것
- 취급 또는 작업 시는 양압자급식호흡보호구를 착용하고 고글형 보안경, 내화학성 보호복, 고무(또는 네오프렌) 재질의 장갑 및 고무장화 등을 착용하여 단기적인 접촉 및 반복적이고 장기적인 노출을 피할 것
- 작업 시에는 콘택트렌즈를 뺄 것
- 작업장 부근에 비상시를 대비하여 샤워시설 및 세안시설을 갖출 것</v>
          </cell>
        </row>
        <row r="862">
          <cell r="B862" t="str">
            <v>15852-14-9</v>
          </cell>
          <cell r="C862" t="str">
            <v>카드뮴 화합물질</v>
          </cell>
          <cell r="D862" t="str">
            <v>97-1-250</v>
          </cell>
          <cell r="E862" t="str">
            <v>및 이를 25% 이상 함유한 혼합물질. 다만 염화카드뮴(Cadmium chloride), 탄산카드뮴(Cadmium carbonate), 불화붕소산카드뮴(Cadmium fluoroborate), 질산카드뮴(Cadmium nitrate), 산화카드뮴(Cadmium oxide), 황산카드뮴(Cadmium sulfate), 황화카드뮴(Cadmium sulfide)의 경우 그 중 하나를 0.1% 이상 함유한 혼합물질.</v>
          </cell>
          <cell r="F862">
            <v>25</v>
          </cell>
          <cell r="G862" t="str">
            <v>- 발암물질 표시를 하여 건조하고 통풍이 잘되는 그늘 및 서늘한 곳에 밀폐 보관할 것
- 알칼리, 산화제, 열원 등과 격리 보관할 것
- 식료품, 사료, 의약품, 음식과 혼합저장 금지할 것
- 필요에 따라 국소배기장치 가동할 것
- 취급 또는 작업 시는 양압자급식호흡보호구를 착용하고 고글형 보안경, 내화학성 보호복, 고무(또는 네오프렌) 재질의 장갑 및 고무장화 등을 착용하여 단기적인 접촉 및 반복적이고 장기적인 노출을 피할 것
- 작업 시에는 콘택트렌즈를 뺄 것
- 작업장 부근에 비상시를 대비하여 샤워시설 및 세안시설을 갖출 것</v>
          </cell>
        </row>
        <row r="863">
          <cell r="B863" t="str">
            <v>21041-95-2</v>
          </cell>
          <cell r="C863" t="str">
            <v>카드뮴 화합물질</v>
          </cell>
          <cell r="D863" t="str">
            <v>97-1-250</v>
          </cell>
          <cell r="E863" t="str">
            <v>및 이를 25% 이상 함유한 혼합물질. 다만 염화카드뮴(Cadmium chloride), 탄산카드뮴(Cadmium carbonate), 불화붕소산카드뮴(Cadmium fluoroborate), 질산카드뮴(Cadmium nitrate), 산화카드뮴(Cadmium oxide), 황산카드뮴(Cadmium sulfate), 황화카드뮴(Cadmium sulfide)의 경우 그 중 하나를 0.1% 이상 함유한 혼합물질.</v>
          </cell>
          <cell r="F863">
            <v>25</v>
          </cell>
          <cell r="G863" t="str">
            <v>- 발암물질 표시를 하여 건조하고 통풍이 잘되는 그늘 및 서늘한 곳에 밀폐 보관할 것
- 알칼리, 산화제, 열원 등과 격리 보관할 것
- 식료품, 사료, 의약품, 음식과 혼합저장 금지할 것
- 필요에 따라 국소배기장치 가동할 것
- 취급 또는 작업 시는 양압자급식호흡보호구를 착용하고 고글형 보안경, 내화학성 보호복, 고무(또는 네오프렌) 재질의 장갑 및 고무장화 등을 착용하여 단기적인 접촉 및 반복적이고 장기적인 노출을 피할 것
- 작업 시에는 콘택트렌즈를 뺄 것
- 작업장 부근에 비상시를 대비하여 샤워시설 및 세안시설을 갖출 것</v>
          </cell>
        </row>
        <row r="864">
          <cell r="B864" t="str">
            <v>2191-10-8</v>
          </cell>
          <cell r="C864" t="str">
            <v>카드뮴 화합물질</v>
          </cell>
          <cell r="D864" t="str">
            <v>97-1-250</v>
          </cell>
          <cell r="E864" t="str">
            <v>및 이를 25% 이상 함유한 혼합물질. 다만 염화카드뮴(Cadmium chloride), 탄산카드뮴(Cadmium carbonate), 불화붕소산카드뮴(Cadmium fluoroborate), 질산카드뮴(Cadmium nitrate), 산화카드뮴(Cadmium oxide), 황산카드뮴(Cadmium sulfate), 황화카드뮴(Cadmium sulfide)의 경우 그 중 하나를 0.1% 이상 함유한 혼합물질.</v>
          </cell>
          <cell r="F864">
            <v>25</v>
          </cell>
          <cell r="G864" t="str">
            <v>- 발암물질 표시를 하여 건조하고 통풍이 잘되는 그늘 및 서늘한 곳에 밀폐 보관할 것
- 알칼리, 산화제, 열원 등과 격리 보관할 것
- 식료품, 사료, 의약품, 음식과 혼합저장 금지할 것
- 필요에 따라 국소배기장치 가동할 것
- 취급 또는 작업 시는 양압자급식호흡보호구를 착용하고 고글형 보안경, 내화학성 보호복, 고무(또는 네오프렌) 재질의 장갑 및 고무장화 등을 착용하여 단기적인 접촉 및 반복적이고 장기적인 노출을 피할 것
- 작업 시에는 콘택트렌즈를 뺄 것
- 작업장 부근에 비상시를 대비하여 샤워시설 및 세안시설을 갖출 것</v>
          </cell>
        </row>
        <row r="865">
          <cell r="B865" t="str">
            <v>2223-93-0</v>
          </cell>
          <cell r="C865" t="str">
            <v>카드뮴 화합물질</v>
          </cell>
          <cell r="D865" t="str">
            <v>97-1-250</v>
          </cell>
          <cell r="E865" t="str">
            <v>및 이를 25% 이상 함유한 혼합물질. 다만 염화카드뮴(Cadmium chloride), 탄산카드뮴(Cadmium carbonate), 불화붕소산카드뮴(Cadmium fluoroborate), 질산카드뮴(Cadmium nitrate), 산화카드뮴(Cadmium oxide), 황산카드뮴(Cadmium sulfate), 황화카드뮴(Cadmium sulfide)의 경우 그 중 하나를 0.1% 이상 함유한 혼합물질.</v>
          </cell>
          <cell r="F865">
            <v>25</v>
          </cell>
          <cell r="G865" t="str">
            <v>- 발암물질 표시를 하여 건조하고 통풍이 잘되는 그늘 및 서늘한 곳에 밀폐 보관할 것
- 알칼리, 산화제, 열원 등과 격리 보관할 것
- 식료품, 사료, 의약품, 음식과 혼합저장 금지할 것
- 필요에 따라 국소배기장치 가동할 것
- 취급 또는 작업 시는 양압자급식호흡보호구를 착용하고 고글형 보안경, 내화학성 보호복, 고무(또는 네오프렌) 재질의 장갑 및 고무장화 등을 착용하여 단기적인 접촉 및 반복적이고 장기적인 노출을 피할 것
- 작업 시에는 콘택트렌즈를 뺄 것
- 작업장 부근에 비상시를 대비하여 샤워시설 및 세안시설을 갖출 것</v>
          </cell>
        </row>
        <row r="866">
          <cell r="B866" t="str">
            <v>2420-98-6</v>
          </cell>
          <cell r="C866" t="str">
            <v>카드뮴 화합물질</v>
          </cell>
          <cell r="D866" t="str">
            <v>97-1-250</v>
          </cell>
          <cell r="E866" t="str">
            <v>및 이를 25% 이상 함유한 혼합물질. 다만 염화카드뮴(Cadmium chloride), 탄산카드뮴(Cadmium carbonate), 불화붕소산카드뮴(Cadmium fluoroborate), 질산카드뮴(Cadmium nitrate), 산화카드뮴(Cadmium oxide), 황산카드뮴(Cadmium sulfate), 황화카드뮴(Cadmium sulfide)의 경우 그 중 하나를 0.1% 이상 함유한 혼합물질.</v>
          </cell>
          <cell r="F866">
            <v>25</v>
          </cell>
          <cell r="G866" t="str">
            <v>- 발암물질 표시를 하여 건조하고 통풍이 잘되는 그늘 및 서늘한 곳에 밀폐 보관할 것
- 알칼리, 산화제, 열원 등과 격리 보관할 것
- 식료품, 사료, 의약품, 음식과 혼합저장 금지할 것
- 필요에 따라 국소배기장치 가동할 것
- 취급 또는 작업 시는 양압자급식호흡보호구를 착용하고 고글형 보안경, 내화학성 보호복, 고무(또는 네오프렌) 재질의 장갑 및 고무장화 등을 착용하여 단기적인 접촉 및 반복적이고 장기적인 노출을 피할 것
- 작업 시에는 콘택트렌즈를 뺄 것
- 작업장 부근에 비상시를 대비하여 샤워시설 및 세안시설을 갖출 것</v>
          </cell>
        </row>
        <row r="867">
          <cell r="B867" t="str">
            <v>2605-44-9</v>
          </cell>
          <cell r="C867" t="str">
            <v>카드뮴 화합물질</v>
          </cell>
          <cell r="D867" t="str">
            <v>97-1-250</v>
          </cell>
          <cell r="E867" t="str">
            <v>및 이를 25% 이상 함유한 혼합물질. 다만 염화카드뮴(Cadmium chloride), 탄산카드뮴(Cadmium carbonate), 불화붕소산카드뮴(Cadmium fluoroborate), 질산카드뮴(Cadmium nitrate), 산화카드뮴(Cadmium oxide), 황산카드뮴(Cadmium sulfate), 황화카드뮴(Cadmium sulfide)의 경우 그 중 하나를 0.1% 이상 함유한 혼합물질.</v>
          </cell>
          <cell r="F867">
            <v>25</v>
          </cell>
          <cell r="G867" t="str">
            <v>- 발암물질 표시를 하여 건조하고 통풍이 잘되는 그늘 및 서늘한 곳에 밀폐 보관할 것
- 알칼리, 산화제, 열원 등과 격리 보관할 것
- 식료품, 사료, 의약품, 음식과 혼합저장 금지할 것
- 필요에 따라 국소배기장치 가동할 것
- 취급 또는 작업 시는 양압자급식호흡보호구를 착용하고 고글형 보안경, 내화학성 보호복, 고무(또는 네오프렌) 재질의 장갑 및 고무장화 등을 착용하여 단기적인 접촉 및 반복적이고 장기적인 노출을 피할 것
- 작업 시에는 콘택트렌즈를 뺄 것
- 작업장 부근에 비상시를 대비하여 샤워시설 및 세안시설을 갖출 것</v>
          </cell>
        </row>
        <row r="868">
          <cell r="B868" t="str">
            <v>3026-22-0</v>
          </cell>
          <cell r="C868" t="str">
            <v>카드뮴 화합물질</v>
          </cell>
          <cell r="D868" t="str">
            <v>97-1-250</v>
          </cell>
          <cell r="E868" t="str">
            <v>및 이를 25% 이상 함유한 혼합물질. 다만 염화카드뮴(Cadmium chloride), 탄산카드뮴(Cadmium carbonate), 불화붕소산카드뮴(Cadmium fluoroborate), 질산카드뮴(Cadmium nitrate), 산화카드뮴(Cadmium oxide), 황산카드뮴(Cadmium sulfate), 황화카드뮴(Cadmium sulfide)의 경우 그 중 하나를 0.1% 이상 함유한 혼합물질.</v>
          </cell>
          <cell r="F868">
            <v>25</v>
          </cell>
          <cell r="G868" t="str">
            <v>- 발암물질 표시를 하여 건조하고 통풍이 잘되는 그늘 및 서늘한 곳에 밀폐 보관할 것
- 알칼리, 산화제, 열원 등과 격리 보관할 것
- 식료품, 사료, 의약품, 음식과 혼합저장 금지할 것
- 필요에 따라 국소배기장치 가동할 것
- 취급 또는 작업 시는 양압자급식호흡보호구를 착용하고 고글형 보안경, 내화학성 보호복, 고무(또는 네오프렌) 재질의 장갑 및 고무장화 등을 착용하여 단기적인 접촉 및 반복적이고 장기적인 노출을 피할 것
- 작업 시에는 콘택트렌즈를 뺄 것
- 작업장 부근에 비상시를 대비하여 샤워시설 및 세안시설을 갖출 것</v>
          </cell>
        </row>
        <row r="869">
          <cell r="B869" t="str">
            <v>4167-05-9</v>
          </cell>
          <cell r="C869" t="str">
            <v>카드뮴 화합물질</v>
          </cell>
          <cell r="D869" t="str">
            <v>97-1-250</v>
          </cell>
          <cell r="E869" t="str">
            <v>및 이를 25% 이상 함유한 혼합물질. 다만 염화카드뮴(Cadmium chloride), 탄산카드뮴(Cadmium carbonate), 불화붕소산카드뮴(Cadmium fluoroborate), 질산카드뮴(Cadmium nitrate), 산화카드뮴(Cadmium oxide), 황산카드뮴(Cadmium sulfate), 황화카드뮴(Cadmium sulfide)의 경우 그 중 하나를 0.1% 이상 함유한 혼합물질.</v>
          </cell>
          <cell r="F869">
            <v>25</v>
          </cell>
          <cell r="G869" t="str">
            <v>- 발암물질 표시를 하여 건조하고 통풍이 잘되는 그늘 및 서늘한 곳에 밀폐 보관할 것
- 알칼리, 산화제, 열원 등과 격리 보관할 것
- 식료품, 사료, 의약품, 음식과 혼합저장 금지할 것
- 필요에 따라 국소배기장치 가동할 것
- 취급 또는 작업 시는 양압자급식호흡보호구를 착용하고 고글형 보안경, 내화학성 보호복, 고무(또는 네오프렌) 재질의 장갑 및 고무장화 등을 착용하여 단기적인 접촉 및 반복적이고 장기적인 노출을 피할 것
- 작업 시에는 콘택트렌즈를 뺄 것
- 작업장 부근에 비상시를 대비하여 샤워시설 및 세안시설을 갖출 것</v>
          </cell>
        </row>
        <row r="870">
          <cell r="B870" t="str">
            <v>4464-23-7</v>
          </cell>
          <cell r="C870" t="str">
            <v>카드뮴 화합물질</v>
          </cell>
          <cell r="D870" t="str">
            <v>97-1-250</v>
          </cell>
          <cell r="E870" t="str">
            <v>및 이를 25% 이상 함유한 혼합물질. 다만 염화카드뮴(Cadmium chloride), 탄산카드뮴(Cadmium carbonate), 불화붕소산카드뮴(Cadmium fluoroborate), 질산카드뮴(Cadmium nitrate), 산화카드뮴(Cadmium oxide), 황산카드뮴(Cadmium sulfate), 황화카드뮴(Cadmium sulfide)의 경우 그 중 하나를 0.1% 이상 함유한 혼합물질.</v>
          </cell>
          <cell r="F870">
            <v>25</v>
          </cell>
          <cell r="G870" t="str">
            <v>- 발암물질 표시를 하여 건조하고 통풍이 잘되는 그늘 및 서늘한 곳에 밀폐 보관할 것
- 알칼리, 산화제, 열원 등과 격리 보관할 것
- 식료품, 사료, 의약품, 음식과 혼합저장 금지할 것
- 필요에 따라 국소배기장치 가동할 것
- 취급 또는 작업 시는 양압자급식호흡보호구를 착용하고 고글형 보안경, 내화학성 보호복, 고무(또는 네오프렌) 재질의 장갑 및 고무장화 등을 착용하여 단기적인 접촉 및 반복적이고 장기적인 노출을 피할 것
- 작업 시에는 콘택트렌즈를 뺄 것
- 작업장 부근에 비상시를 대비하여 샤워시설 및 세안시설을 갖출 것</v>
          </cell>
        </row>
        <row r="871">
          <cell r="B871" t="str">
            <v>51222-60-7</v>
          </cell>
          <cell r="C871" t="str">
            <v>카드뮴 화합물질</v>
          </cell>
          <cell r="D871" t="str">
            <v>97-1-250</v>
          </cell>
          <cell r="E871" t="str">
            <v>및 이를 25% 이상 함유한 혼합물질. 다만 염화카드뮴(Cadmium chloride), 탄산카드뮴(Cadmium carbonate), 불화붕소산카드뮴(Cadmium fluoroborate), 질산카드뮴(Cadmium nitrate), 산화카드뮴(Cadmium oxide), 황산카드뮴(Cadmium sulfate), 황화카드뮴(Cadmium sulfide)의 경우 그 중 하나를 0.1% 이상 함유한 혼합물질.</v>
          </cell>
          <cell r="F871">
            <v>25</v>
          </cell>
          <cell r="G871" t="str">
            <v>- 발암물질 표시를 하여 건조하고 통풍이 잘되는 그늘 및 서늘한 곳에 밀폐 보관할 것
- 알칼리, 산화제, 열원 등과 격리 보관할 것
- 식료품, 사료, 의약품, 음식과 혼합저장 금지할 것
- 필요에 따라 국소배기장치 가동할 것
- 취급 또는 작업 시는 양압자급식호흡보호구를 착용하고 고글형 보안경, 내화학성 보호복, 고무(또는 네오프렌) 재질의 장갑 및 고무장화 등을 착용하여 단기적인 접촉 및 반복적이고 장기적인 노출을 피할 것
- 작업 시에는 콘택트렌즈를 뺄 것
- 작업장 부근에 비상시를 대비하여 샤워시설 및 세안시설을 갖출 것</v>
          </cell>
        </row>
        <row r="872">
          <cell r="B872" t="str">
            <v>513-78-0</v>
          </cell>
          <cell r="C872" t="str">
            <v>카드뮴 화합물질</v>
          </cell>
          <cell r="D872" t="str">
            <v>97-1-250</v>
          </cell>
          <cell r="E872" t="str">
            <v>및 이를 25% 이상 함유한 혼합물질. 다만 염화카드뮴(Cadmium chloride), 탄산카드뮴(Cadmium carbonate), 불화붕소산카드뮴(Cadmium fluoroborate), 질산카드뮴(Cadmium nitrate), 산화카드뮴(Cadmium oxide), 황산카드뮴(Cadmium sulfate), 황화카드뮴(Cadmium sulfide)의 경우 그 중 하나를 0.1% 이상 함유한 혼합물질.</v>
          </cell>
          <cell r="F872">
            <v>0.1</v>
          </cell>
          <cell r="G872" t="str">
            <v>- 발암물질 표시를 하여 건조하고 통풍이 잘되는 그늘 및 서늘한 곳에 밀폐 보관할 것
- 알칼리, 산화제, 열원 등과 격리 보관할 것
- 식료품, 사료, 의약품, 음식과 혼합저장 금지할 것
- 필요에 따라 국소배기장치 가동할 것
- 취급 또는 작업 시는 양압자급식호흡보호구를 착용하고 고글형 보안경, 내화학성 보호복, 고무(또는 네오프렌) 재질의 장갑 및 고무장화 등을 착용하여 단기적인 접촉 및 반복적이고 장기적인 노출을 피할 것
- 작업 시에는 콘택트렌즈를 뺄 것
- 작업장 부근에 비상시를 대비하여 샤워시설 및 세안시설을 갖출 것</v>
          </cell>
        </row>
        <row r="873">
          <cell r="B873" t="str">
            <v>543-90-8</v>
          </cell>
          <cell r="C873" t="str">
            <v>카드뮴 화합물질</v>
          </cell>
          <cell r="D873" t="str">
            <v>97-1-250</v>
          </cell>
          <cell r="E873" t="str">
            <v>및 이를 25% 이상 함유한 혼합물질. 다만 염화카드뮴(Cadmium chloride), 탄산카드뮴(Cadmium carbonate), 불화붕소산카드뮴(Cadmium fluoroborate), 질산카드뮴(Cadmium nitrate), 산화카드뮴(Cadmium oxide), 황산카드뮴(Cadmium sulfate), 황화카드뮴(Cadmium sulfide)의 경우 그 중 하나를 0.1% 이상 함유한 혼합물질.</v>
          </cell>
          <cell r="F873">
            <v>25</v>
          </cell>
          <cell r="G873" t="str">
            <v>- 발암물질 표시를 하여 건조하고 통풍이 잘되는 그늘 및 서늘한 곳에 밀폐 보관할 것
- 알칼리, 산화제, 열원 등과 격리 보관할 것
- 식료품, 사료, 의약품, 음식과 혼합저장 금지할 것
- 필요에 따라 국소배기장치 가동할 것
- 취급 또는 작업 시는 양압자급식호흡보호구를 착용하고 고글형 보안경, 내화학성 보호복, 고무(또는 네오프렌) 재질의 장갑 및 고무장화 등을 착용하여 단기적인 접촉 및 반복적이고 장기적인 노출을 피할 것
- 작업 시에는 콘택트렌즈를 뺄 것
- 작업장 부근에 비상시를 대비하여 샤워시설 및 세안시설을 갖출 것</v>
          </cell>
        </row>
        <row r="874">
          <cell r="B874" t="str">
            <v>5743-04-4</v>
          </cell>
          <cell r="C874" t="str">
            <v>카드뮴 화합물질</v>
          </cell>
          <cell r="D874" t="str">
            <v>97-1-250</v>
          </cell>
          <cell r="E874" t="str">
            <v>및 이를 25% 이상 함유한 혼합물질. 다만 염화카드뮴(Cadmium chloride), 탄산카드뮴(Cadmium carbonate), 불화붕소산카드뮴(Cadmium fluoroborate), 질산카드뮴(Cadmium nitrate), 산화카드뮴(Cadmium oxide), 황산카드뮴(Cadmium sulfate), 황화카드뮴(Cadmium sulfide)의 경우 그 중 하나를 0.1% 이상 함유한 혼합물질.</v>
          </cell>
          <cell r="F874">
            <v>25</v>
          </cell>
          <cell r="G874" t="str">
            <v>- 발암물질 표시를 하여 건조하고 통풍이 잘되는 그늘 및 서늘한 곳에 밀폐 보관할 것
- 알칼리, 산화제, 열원 등과 격리 보관할 것
- 식료품, 사료, 의약품, 음식과 혼합저장 금지할 것
- 필요에 따라 국소배기장치 가동할 것
- 취급 또는 작업 시는 양압자급식호흡보호구를 착용하고 고글형 보안경, 내화학성 보호복, 고무(또는 네오프렌) 재질의 장갑 및 고무장화 등을 착용하여 단기적인 접촉 및 반복적이고 장기적인 노출을 피할 것
- 작업 시에는 콘택트렌즈를 뺄 것
- 작업장 부근에 비상시를 대비하여 샤워시설 및 세안시설을 갖출 것</v>
          </cell>
        </row>
        <row r="875">
          <cell r="B875" t="str">
            <v>592-02-9</v>
          </cell>
          <cell r="C875" t="str">
            <v>카드뮴 화합물질</v>
          </cell>
          <cell r="D875" t="str">
            <v>97-1-250</v>
          </cell>
          <cell r="E875" t="str">
            <v>및 이를 25% 이상 함유한 혼합물질. 다만 염화카드뮴(Cadmium chloride), 탄산카드뮴(Cadmium carbonate), 불화붕소산카드뮴(Cadmium fluoroborate), 질산카드뮴(Cadmium nitrate), 산화카드뮴(Cadmium oxide), 황산카드뮴(Cadmium sulfate), 황화카드뮴(Cadmium sulfide)의 경우 그 중 하나를 0.1% 이상 함유한 혼합물질.</v>
          </cell>
          <cell r="F875">
            <v>25</v>
          </cell>
          <cell r="G875" t="str">
            <v>- 발암물질 표시를 하여 건조하고 통풍이 잘되는 그늘 및 서늘한 곳에 밀폐 보관할 것
- 알칼리, 산화제, 열원 등과 격리 보관할 것
- 식료품, 사료, 의약품, 음식과 혼합저장 금지할 것
- 필요에 따라 국소배기장치 가동할 것
- 취급 또는 작업 시는 양압자급식호흡보호구를 착용하고 고글형 보안경, 내화학성 보호복, 고무(또는 네오프렌) 재질의 장갑 및 고무장화 등을 착용하여 단기적인 접촉 및 반복적이고 장기적인 노출을 피할 것
- 작업 시에는 콘택트렌즈를 뺄 것
- 작업장 부근에 비상시를 대비하여 샤워시설 및 세안시설을 갖출 것</v>
          </cell>
        </row>
        <row r="876">
          <cell r="B876" t="str">
            <v>61789-34-2</v>
          </cell>
          <cell r="C876" t="str">
            <v>카드뮴 화합물질</v>
          </cell>
          <cell r="D876" t="str">
            <v>97-1-250</v>
          </cell>
          <cell r="E876" t="str">
            <v>및 이를 25% 이상 함유한 혼합물질. 다만 염화카드뮴(Cadmium chloride), 탄산카드뮴(Cadmium carbonate), 불화붕소산카드뮴(Cadmium fluoroborate), 질산카드뮴(Cadmium nitrate), 산화카드뮴(Cadmium oxide), 황산카드뮴(Cadmium sulfate), 황화카드뮴(Cadmium sulfide)의 경우 그 중 하나를 0.1% 이상 함유한 혼합물질.</v>
          </cell>
          <cell r="F876">
            <v>25</v>
          </cell>
          <cell r="G876" t="str">
            <v>- 발암물질 표시를 하여 건조하고 통풍이 잘되는 그늘 및 서늘한 곳에 밀폐 보관할 것
- 알칼리, 산화제, 열원 등과 격리 보관할 것
- 식료품, 사료, 의약품, 음식과 혼합저장 금지할 것
- 필요에 따라 국소배기장치 가동할 것
- 취급 또는 작업 시는 양압자급식호흡보호구를 착용하고 고글형 보안경, 내화학성 보호복, 고무(또는 네오프렌) 재질의 장갑 및 고무장화 등을 착용하여 단기적인 접촉 및 반복적이고 장기적인 노출을 피할 것
- 작업 시에는 콘택트렌즈를 뺄 것
- 작업장 부근에 비상시를 대비하여 샤워시설 및 세안시설을 갖출 것</v>
          </cell>
        </row>
        <row r="877">
          <cell r="B877" t="str">
            <v>61951-96-0</v>
          </cell>
          <cell r="C877" t="str">
            <v>카드뮴 화합물질</v>
          </cell>
          <cell r="D877" t="str">
            <v>97-1-250</v>
          </cell>
          <cell r="E877" t="str">
            <v>및 이를 25% 이상 함유한 혼합물질. 다만 염화카드뮴(Cadmium chloride), 탄산카드뮴(Cadmium carbonate), 불화붕소산카드뮴(Cadmium fluoroborate), 질산카드뮴(Cadmium nitrate), 산화카드뮴(Cadmium oxide), 황산카드뮴(Cadmium sulfate), 황화카드뮴(Cadmium sulfide)의 경우 그 중 하나를 0.1% 이상 함유한 혼합물질.</v>
          </cell>
          <cell r="F877">
            <v>25</v>
          </cell>
          <cell r="G877" t="str">
            <v>- 발암물질 표시를 하여 건조하고 통풍이 잘되는 그늘 및 서늘한 곳에 밀폐 보관할 것
- 알칼리, 산화제, 열원 등과 격리 보관할 것
- 식료품, 사료, 의약품, 음식과 혼합저장 금지할 것
- 필요에 따라 국소배기장치 가동할 것
- 취급 또는 작업 시는 양압자급식호흡보호구를 착용하고 고글형 보안경, 내화학성 보호복, 고무(또는 네오프렌) 재질의 장갑 및 고무장화 등을 착용하여 단기적인 접촉 및 반복적이고 장기적인 노출을 피할 것
- 작업 시에는 콘택트렌즈를 뺄 것
- 작업장 부근에 비상시를 대비하여 샤워시설 및 세안시설을 갖출 것</v>
          </cell>
        </row>
        <row r="878">
          <cell r="B878" t="str">
            <v>68131-58-8</v>
          </cell>
          <cell r="C878" t="str">
            <v>카드뮴 화합물질</v>
          </cell>
          <cell r="D878" t="str">
            <v>97-1-250</v>
          </cell>
          <cell r="E878" t="str">
            <v>및 이를 25% 이상 함유한 혼합물질. 다만 염화카드뮴(Cadmium chloride), 탄산카드뮴(Cadmium carbonate), 불화붕소산카드뮴(Cadmium fluoroborate), 질산카드뮴(Cadmium nitrate), 산화카드뮴(Cadmium oxide), 황산카드뮴(Cadmium sulfate), 황화카드뮴(Cadmium sulfide)의 경우 그 중 하나를 0.1% 이상 함유한 혼합물질.</v>
          </cell>
          <cell r="F878">
            <v>25</v>
          </cell>
          <cell r="G878" t="str">
            <v>- 발암물질 표시를 하여 건조하고 통풍이 잘되는 그늘 및 서늘한 곳에 밀폐 보관할 것
- 알칼리, 산화제, 열원 등과 격리 보관할 것
- 식료품, 사료, 의약품, 음식과 혼합저장 금지할 것
- 필요에 따라 국소배기장치 가동할 것
- 취급 또는 작업 시는 양압자급식호흡보호구를 착용하고 고글형 보안경, 내화학성 보호복, 고무(또는 네오프렌) 재질의 장갑 및 고무장화 등을 착용하여 단기적인 접촉 및 반복적이고 장기적인 노출을 피할 것
- 작업 시에는 콘택트렌즈를 뺄 것
- 작업장 부근에 비상시를 대비하여 샤워시설 및 세안시설을 갖출 것</v>
          </cell>
        </row>
        <row r="879">
          <cell r="B879" t="str">
            <v>68131-59-9</v>
          </cell>
          <cell r="C879" t="str">
            <v>카드뮴 화합물질</v>
          </cell>
          <cell r="D879" t="str">
            <v>97-1-250</v>
          </cell>
          <cell r="E879" t="str">
            <v>및 이를 25% 이상 함유한 혼합물질. 다만 염화카드뮴(Cadmium chloride), 탄산카드뮴(Cadmium carbonate), 불화붕소산카드뮴(Cadmium fluoroborate), 질산카드뮴(Cadmium nitrate), 산화카드뮴(Cadmium oxide), 황산카드뮴(Cadmium sulfate), 황화카드뮴(Cadmium sulfide)의 경우 그 중 하나를 0.1% 이상 함유한 혼합물질.</v>
          </cell>
          <cell r="F879">
            <v>25</v>
          </cell>
          <cell r="G879" t="str">
            <v>- 발암물질 표시를 하여 건조하고 통풍이 잘되는 그늘 및 서늘한 곳에 밀폐 보관할 것
- 알칼리, 산화제, 열원 등과 격리 보관할 것
- 식료품, 사료, 의약품, 음식과 혼합저장 금지할 것
- 필요에 따라 국소배기장치 가동할 것
- 취급 또는 작업 시는 양압자급식호흡보호구를 착용하고 고글형 보안경, 내화학성 보호복, 고무(또는 네오프렌) 재질의 장갑 및 고무장화 등을 착용하여 단기적인 접촉 및 반복적이고 장기적인 노출을 피할 것
- 작업 시에는 콘택트렌즈를 뺄 것
- 작업장 부근에 비상시를 대비하여 샤워시설 및 세안시설을 갖출 것</v>
          </cell>
        </row>
        <row r="880">
          <cell r="B880" t="str">
            <v>68332-81-0</v>
          </cell>
          <cell r="C880" t="str">
            <v>카드뮴 화합물질</v>
          </cell>
          <cell r="D880" t="str">
            <v>97-1-250</v>
          </cell>
          <cell r="E880" t="str">
            <v>및 이를 25% 이상 함유한 혼합물질. 다만 염화카드뮴(Cadmium chloride), 탄산카드뮴(Cadmium carbonate), 불화붕소산카드뮴(Cadmium fluoroborate), 질산카드뮴(Cadmium nitrate), 산화카드뮴(Cadmium oxide), 황산카드뮴(Cadmium sulfate), 황화카드뮴(Cadmium sulfide)의 경우 그 중 하나를 0.1% 이상 함유한 혼합물질.</v>
          </cell>
          <cell r="F880">
            <v>0.1</v>
          </cell>
          <cell r="G880" t="str">
            <v>- 발암물질 표시를 하여 건조하고 통풍이 잘되는 그늘 및 서늘한 곳에 밀폐 보관할 것
- 알칼리, 산화제, 열원 등과 격리 보관할 것
- 식료품, 사료, 의약품, 음식과 혼합저장 금지할 것
- 필요에 따라 국소배기장치 가동할 것
- 취급 또는 작업 시는 양압자급식호흡보호구를 착용하고 고글형 보안경, 내화학성 보호복, 고무(또는 네오프렌) 재질의 장갑 및 고무장화 등을 착용하여 단기적인 접촉 및 반복적이고 장기적인 노출을 피할 것
- 작업 시에는 콘택트렌즈를 뺄 것
- 작업장 부근에 비상시를 대비하여 샤워시설 및 세안시설을 갖출 것</v>
          </cell>
        </row>
        <row r="881">
          <cell r="B881" t="str">
            <v>68409-82-5</v>
          </cell>
          <cell r="C881" t="str">
            <v>카드뮴 화합물질</v>
          </cell>
          <cell r="D881" t="str">
            <v>97-1-250</v>
          </cell>
          <cell r="E881" t="str">
            <v>및 이를 25% 이상 함유한 혼합물질. 다만 염화카드뮴(Cadmium chloride), 탄산카드뮴(Cadmium carbonate), 불화붕소산카드뮴(Cadmium fluoroborate), 질산카드뮴(Cadmium nitrate), 산화카드뮴(Cadmium oxide), 황산카드뮴(Cadmium sulfate), 황화카드뮴(Cadmium sulfide)의 경우 그 중 하나를 0.1% 이상 함유한 혼합물질.</v>
          </cell>
          <cell r="F881">
            <v>25</v>
          </cell>
          <cell r="G881" t="str">
            <v>- 발암물질 표시를 하여 건조하고 통풍이 잘되는 그늘 및 서늘한 곳에 밀폐 보관할 것
- 알칼리, 산화제, 열원 등과 격리 보관할 것
- 식료품, 사료, 의약품, 음식과 혼합저장 금지할 것
- 필요에 따라 국소배기장치 가동할 것
- 취급 또는 작업 시는 양압자급식호흡보호구를 착용하고 고글형 보안경, 내화학성 보호복, 고무(또는 네오프렌) 재질의 장갑 및 고무장화 등을 착용하여 단기적인 접촉 및 반복적이고 장기적인 노출을 피할 것
- 작업 시에는 콘택트렌즈를 뺄 것
- 작업장 부근에 비상시를 대비하여 샤워시설 및 세안시설을 갖출 것</v>
          </cell>
        </row>
        <row r="882">
          <cell r="B882" t="str">
            <v>68512-49-2</v>
          </cell>
          <cell r="C882" t="str">
            <v>카드뮴 화합물질</v>
          </cell>
          <cell r="D882" t="str">
            <v>97-1-250</v>
          </cell>
          <cell r="E882" t="str">
            <v>및 이를 25% 이상 함유한 혼합물질. 다만 염화카드뮴(Cadmium chloride), 탄산카드뮴(Cadmium carbonate), 불화붕소산카드뮴(Cadmium fluoroborate), 질산카드뮴(Cadmium nitrate), 산화카드뮴(Cadmium oxide), 황산카드뮴(Cadmium sulfate), 황화카드뮴(Cadmium sulfide)의 경우 그 중 하나를 0.1% 이상 함유한 혼합물질.</v>
          </cell>
          <cell r="F882">
            <v>0.1</v>
          </cell>
          <cell r="G882" t="str">
            <v>- 발암물질 표시를 하여 건조하고 통풍이 잘되는 그늘 및 서늘한 곳에 밀폐 보관할 것
- 알칼리, 산화제, 열원 등과 격리 보관할 것
- 식료품, 사료, 의약품, 음식과 혼합저장 금지할 것
- 필요에 따라 국소배기장치 가동할 것
- 취급 또는 작업 시는 양압자급식호흡보호구를 착용하고 고글형 보안경, 내화학성 보호복, 고무(또는 네오프렌) 재질의 장갑 및 고무장화 등을 착용하여 단기적인 접촉 및 반복적이고 장기적인 노출을 피할 것
- 작업 시에는 콘택트렌즈를 뺄 것
- 작업장 부근에 비상시를 대비하여 샤워시설 및 세안시설을 갖출 것</v>
          </cell>
        </row>
        <row r="883">
          <cell r="B883" t="str">
            <v>68512-50-5</v>
          </cell>
          <cell r="C883" t="str">
            <v>카드뮴 화합물질</v>
          </cell>
          <cell r="D883" t="str">
            <v>97-1-250</v>
          </cell>
          <cell r="E883" t="str">
            <v>및 이를 25% 이상 함유한 혼합물질. 다만 염화카드뮴(Cadmium chloride), 탄산카드뮴(Cadmium carbonate), 불화붕소산카드뮴(Cadmium fluoroborate), 질산카드뮴(Cadmium nitrate), 산화카드뮴(Cadmium oxide), 황산카드뮴(Cadmium sulfate), 황화카드뮴(Cadmium sulfide)의 경우 그 중 하나를 0.1% 이상 함유한 혼합물질.</v>
          </cell>
          <cell r="F883">
            <v>0.1</v>
          </cell>
          <cell r="G883" t="str">
            <v>- 발암물질 표시를 하여 건조하고 통풍이 잘되는 그늘 및 서늘한 곳에 밀폐 보관할 것
- 알칼리, 산화제, 열원 등과 격리 보관할 것
- 식료품, 사료, 의약품, 음식과 혼합저장 금지할 것
- 필요에 따라 국소배기장치 가동할 것
- 취급 또는 작업 시는 양압자급식호흡보호구를 착용하고 고글형 보안경, 내화학성 보호복, 고무(또는 네오프렌) 재질의 장갑 및 고무장화 등을 착용하여 단기적인 접촉 및 반복적이고 장기적인 노출을 피할 것
- 작업 시에는 콘택트렌즈를 뺄 것
- 작업장 부근에 비상시를 대비하여 샤워시설 및 세안시설을 갖출 것</v>
          </cell>
        </row>
        <row r="884">
          <cell r="B884" t="str">
            <v>68512-51-6</v>
          </cell>
          <cell r="C884" t="str">
            <v>카드뮴 화합물질</v>
          </cell>
          <cell r="D884" t="str">
            <v>97-1-250</v>
          </cell>
          <cell r="E884" t="str">
            <v>및 이를 25% 이상 함유한 혼합물질. 다만 염화카드뮴(Cadmium chloride), 탄산카드뮴(Cadmium carbonate), 불화붕소산카드뮴(Cadmium fluoroborate), 질산카드뮴(Cadmium nitrate), 산화카드뮴(Cadmium oxide), 황산카드뮴(Cadmium sulfate), 황화카드뮴(Cadmium sulfide)의 경우 그 중 하나를 0.1% 이상 함유한 혼합물질.</v>
          </cell>
          <cell r="F884">
            <v>0.1</v>
          </cell>
          <cell r="G884" t="str">
            <v>- 발암물질 표시를 하여 건조하고 통풍이 잘되는 그늘 및 서늘한 곳에 밀폐 보관할 것
- 알칼리, 산화제, 열원 등과 격리 보관할 것
- 식료품, 사료, 의약품, 음식과 혼합저장 금지할 것
- 필요에 따라 국소배기장치 가동할 것
- 취급 또는 작업 시는 양압자급식호흡보호구를 착용하고 고글형 보안경, 내화학성 보호복, 고무(또는 네오프렌) 재질의 장갑 및 고무장화 등을 착용하여 단기적인 접촉 및 반복적이고 장기적인 노출을 피할 것
- 작업 시에는 콘택트렌즈를 뺄 것
- 작업장 부근에 비상시를 대비하여 샤워시설 및 세안시설을 갖출 것</v>
          </cell>
        </row>
        <row r="885">
          <cell r="B885" t="str">
            <v>68784-10-1</v>
          </cell>
          <cell r="C885" t="str">
            <v>카드뮴 화합물질</v>
          </cell>
          <cell r="D885" t="str">
            <v>97-1-250</v>
          </cell>
          <cell r="E885" t="str">
            <v>및 이를 25% 이상 함유한 혼합물질. 다만 염화카드뮴(Cadmium chloride), 탄산카드뮴(Cadmium carbonate), 불화붕소산카드뮴(Cadmium fluoroborate), 질산카드뮴(Cadmium nitrate), 산화카드뮴(Cadmium oxide), 황산카드뮴(Cadmium sulfate), 황화카드뮴(Cadmium sulfide)의 경우 그 중 하나를 0.1% 이상 함유한 혼합물질.</v>
          </cell>
          <cell r="F885">
            <v>0.1</v>
          </cell>
          <cell r="G885" t="str">
            <v>- 발암물질 표시를 하여 건조하고 통풍이 잘되는 그늘 및 서늘한 곳에 밀폐 보관할 것
- 알칼리, 산화제, 열원 등과 격리 보관할 것
- 식료품, 사료, 의약품, 음식과 혼합저장 금지할 것
- 필요에 따라 국소배기장치 가동할 것
- 취급 또는 작업 시는 양압자급식호흡보호구를 착용하고 고글형 보안경, 내화학성 보호복, 고무(또는 네오프렌) 재질의 장갑 및 고무장화 등을 착용하여 단기적인 접촉 및 반복적이고 장기적인 노출을 피할 것
- 작업 시에는 콘택트렌즈를 뺄 것
- 작업장 부근에 비상시를 대비하여 샤워시설 및 세안시설을 갖출 것</v>
          </cell>
        </row>
        <row r="886">
          <cell r="B886" t="str">
            <v>68784-55-4</v>
          </cell>
          <cell r="C886" t="str">
            <v>카드뮴 화합물질</v>
          </cell>
          <cell r="D886" t="str">
            <v>97-1-250</v>
          </cell>
          <cell r="E886" t="str">
            <v>및 이를 25% 이상 함유한 혼합물질. 다만 염화카드뮴(Cadmium chloride), 탄산카드뮴(Cadmium carbonate), 불화붕소산카드뮴(Cadmium fluoroborate), 질산카드뮴(Cadmium nitrate), 산화카드뮴(Cadmium oxide), 황산카드뮴(Cadmium sulfate), 황화카드뮴(Cadmium sulfide)의 경우 그 중 하나를 0.1% 이상 함유한 혼합물질.</v>
          </cell>
          <cell r="F886">
            <v>25</v>
          </cell>
          <cell r="G886" t="str">
            <v>- 발암물질 표시를 하여 건조하고 통풍이 잘되는 그늘 및 서늘한 곳에 밀폐 보관할 것
- 알칼리, 산화제, 열원 등과 격리 보관할 것
- 식료품, 사료, 의약품, 음식과 혼합저장 금지할 것
- 필요에 따라 국소배기장치 가동할 것
- 취급 또는 작업 시는 양압자급식호흡보호구를 착용하고 고글형 보안경, 내화학성 보호복, 고무(또는 네오프렌) 재질의 장갑 및 고무장화 등을 착용하여 단기적인 접촉 및 반복적이고 장기적인 노출을 피할 것
- 작업 시에는 콘택트렌즈를 뺄 것
- 작업장 부근에 비상시를 대비하여 샤워시설 및 세안시설을 갖출 것</v>
          </cell>
        </row>
        <row r="887">
          <cell r="B887" t="str">
            <v>68784-58-7</v>
          </cell>
          <cell r="C887" t="str">
            <v>카드뮴 화합물질</v>
          </cell>
          <cell r="D887" t="str">
            <v>97-1-250</v>
          </cell>
          <cell r="E887" t="str">
            <v>및 이를 25% 이상 함유한 혼합물질. 다만 염화카드뮴(Cadmium chloride), 탄산카드뮴(Cadmium carbonate), 불화붕소산카드뮴(Cadmium fluoroborate), 질산카드뮴(Cadmium nitrate), 산화카드뮴(Cadmium oxide), 황산카드뮴(Cadmium sulfate), 황화카드뮴(Cadmium sulfide)의 경우 그 중 하나를 0.1% 이상 함유한 혼합물질.</v>
          </cell>
          <cell r="F887">
            <v>25</v>
          </cell>
          <cell r="G887" t="str">
            <v>- 발암물질 표시를 하여 건조하고 통풍이 잘되는 그늘 및 서늘한 곳에 밀폐 보관할 것
- 알칼리, 산화제, 열원 등과 격리 보관할 것
- 식료품, 사료, 의약품, 음식과 혼합저장 금지할 것
- 필요에 따라 국소배기장치 가동할 것
- 취급 또는 작업 시는 양압자급식호흡보호구를 착용하고 고글형 보안경, 내화학성 보호복, 고무(또는 네오프렌) 재질의 장갑 및 고무장화 등을 착용하여 단기적인 접촉 및 반복적이고 장기적인 노출을 피할 것
- 작업 시에는 콘택트렌즈를 뺄 것
- 작업장 부근에 비상시를 대비하여 샤워시설 및 세안시설을 갖출 것</v>
          </cell>
        </row>
        <row r="888">
          <cell r="B888" t="str">
            <v>68855-80-1</v>
          </cell>
          <cell r="C888" t="str">
            <v>카드뮴 화합물질</v>
          </cell>
          <cell r="D888" t="str">
            <v>97-1-250</v>
          </cell>
          <cell r="E888" t="str">
            <v>및 이를 25% 이상 함유한 혼합물질. 다만 염화카드뮴(Cadmium chloride), 탄산카드뮴(Cadmium carbonate), 불화붕소산카드뮴(Cadmium fluoroborate), 질산카드뮴(Cadmium nitrate), 산화카드뮴(Cadmium oxide), 황산카드뮴(Cadmium sulfate), 황화카드뮴(Cadmium sulfide)의 경우 그 중 하나를 0.1% 이상 함유한 혼합물질.</v>
          </cell>
          <cell r="F888">
            <v>25</v>
          </cell>
          <cell r="G888" t="str">
            <v>- 발암물질 표시를 하여 건조하고 통풍이 잘되는 그늘 및 서늘한 곳에 밀폐 보관할 것
- 알칼리, 산화제, 열원 등과 격리 보관할 것
- 식료품, 사료, 의약품, 음식과 혼합저장 금지할 것
- 필요에 따라 국소배기장치 가동할 것
- 취급 또는 작업 시는 양압자급식호흡보호구를 착용하고 고글형 보안경, 내화학성 보호복, 고무(또는 네오프렌) 재질의 장갑 및 고무장화 등을 착용하여 단기적인 접촉 및 반복적이고 장기적인 노출을 피할 것
- 작업 시에는 콘택트렌즈를 뺄 것
- 작업장 부근에 비상시를 대비하여 샤워시설 및 세안시설을 갖출 것</v>
          </cell>
        </row>
        <row r="889">
          <cell r="B889" t="str">
            <v>68859-25-6</v>
          </cell>
          <cell r="C889" t="str">
            <v>카드뮴 화합물질</v>
          </cell>
          <cell r="D889" t="str">
            <v>97-1-250</v>
          </cell>
          <cell r="E889" t="str">
            <v>및 이를 25% 이상 함유한 혼합물질. 다만 염화카드뮴(Cadmium chloride), 탄산카드뮴(Cadmium carbonate), 불화붕소산카드뮴(Cadmium fluoroborate), 질산카드뮴(Cadmium nitrate), 산화카드뮴(Cadmium oxide), 황산카드뮴(Cadmium sulfate), 황화카드뮴(Cadmium sulfide)의 경우 그 중 하나를 0.1% 이상 함유한 혼합물질.</v>
          </cell>
          <cell r="F889">
            <v>25</v>
          </cell>
          <cell r="G889" t="str">
            <v>- 발암물질 표시를 하여 건조하고 통풍이 잘되는 그늘 및 서늘한 곳에 밀폐 보관할 것
- 알칼리, 산화제, 열원 등과 격리 보관할 것
- 식료품, 사료, 의약품, 음식과 혼합저장 금지할 것
- 필요에 따라 국소배기장치 가동할 것
- 취급 또는 작업 시는 양압자급식호흡보호구를 착용하고 고글형 보안경, 내화학성 보호복, 고무(또는 네오프렌) 재질의 장갑 및 고무장화 등을 착용하여 단기적인 접촉 및 반복적이고 장기적인 노출을 피할 것
- 작업 시에는 콘택트렌즈를 뺄 것
- 작업장 부근에 비상시를 대비하여 샤워시설 및 세안시설을 갖출 것</v>
          </cell>
        </row>
        <row r="890">
          <cell r="B890" t="str">
            <v>68876-84-6</v>
          </cell>
          <cell r="C890" t="str">
            <v>카드뮴 화합물질</v>
          </cell>
          <cell r="D890" t="str">
            <v>97-1-250</v>
          </cell>
          <cell r="E890" t="str">
            <v>및 이를 25% 이상 함유한 혼합물질. 다만 염화카드뮴(Cadmium chloride), 탄산카드뮴(Cadmium carbonate), 불화붕소산카드뮴(Cadmium fluoroborate), 질산카드뮴(Cadmium nitrate), 산화카드뮴(Cadmium oxide), 황산카드뮴(Cadmium sulfate), 황화카드뮴(Cadmium sulfide)의 경우 그 중 하나를 0.1% 이상 함유한 혼합물질.</v>
          </cell>
          <cell r="F890">
            <v>25</v>
          </cell>
          <cell r="G890" t="str">
            <v>- 발암물질 표시를 하여 건조하고 통풍이 잘되는 그늘 및 서늘한 곳에 밀폐 보관할 것
- 알칼리, 산화제, 열원 등과 격리 보관할 것
- 식료품, 사료, 의약품, 음식과 혼합저장 금지할 것
- 필요에 따라 국소배기장치 가동할 것
- 취급 또는 작업 시는 양압자급식호흡보호구를 착용하고 고글형 보안경, 내화학성 보호복, 고무(또는 네오프렌) 재질의 장갑 및 고무장화 등을 착용하여 단기적인 접촉 및 반복적이고 장기적인 노출을 피할 것
- 작업 시에는 콘택트렌즈를 뺄 것
- 작업장 부근에 비상시를 대비하여 샤워시설 및 세안시설을 갖출 것</v>
          </cell>
        </row>
        <row r="891">
          <cell r="B891" t="str">
            <v>68876-90-4</v>
          </cell>
          <cell r="C891" t="str">
            <v>카드뮴 화합물질</v>
          </cell>
          <cell r="D891" t="str">
            <v>97-1-250</v>
          </cell>
          <cell r="E891" t="str">
            <v>및 이를 25% 이상 함유한 혼합물질. 다만 염화카드뮴(Cadmium chloride), 탄산카드뮴(Cadmium carbonate), 불화붕소산카드뮴(Cadmium fluoroborate), 질산카드뮴(Cadmium nitrate), 산화카드뮴(Cadmium oxide), 황산카드뮴(Cadmium sulfate), 황화카드뮴(Cadmium sulfide)의 경우 그 중 하나를 0.1% 이상 함유한 혼합물질.</v>
          </cell>
          <cell r="F891">
            <v>25</v>
          </cell>
          <cell r="G891" t="str">
            <v>- 발암물질 표시를 하여 건조하고 통풍이 잘되는 그늘 및 서늘한 곳에 밀폐 보관할 것
- 알칼리, 산화제, 열원 등과 격리 보관할 것
- 식료품, 사료, 의약품, 음식과 혼합저장 금지할 것
- 필요에 따라 국소배기장치 가동할 것
- 취급 또는 작업 시는 양압자급식호흡보호구를 착용하고 고글형 보안경, 내화학성 보호복, 고무(또는 네오프렌) 재질의 장갑 및 고무장화 등을 착용하여 단기적인 접촉 및 반복적이고 장기적인 노출을 피할 것
- 작업 시에는 콘택트렌즈를 뺄 것
- 작업장 부근에 비상시를 대비하여 샤워시설 및 세안시설을 갖출 것</v>
          </cell>
        </row>
        <row r="892">
          <cell r="B892" t="str">
            <v>68876-98-2</v>
          </cell>
          <cell r="C892" t="str">
            <v>카드뮴 화합물질</v>
          </cell>
          <cell r="D892" t="str">
            <v>97-1-250</v>
          </cell>
          <cell r="E892" t="str">
            <v>및 이를 25% 이상 함유한 혼합물질. 다만 염화카드뮴(Cadmium chloride), 탄산카드뮴(Cadmium carbonate), 불화붕소산카드뮴(Cadmium fluoroborate), 질산카드뮴(Cadmium nitrate), 산화카드뮴(Cadmium oxide), 황산카드뮴(Cadmium sulfate), 황화카드뮴(Cadmium sulfide)의 경우 그 중 하나를 0.1% 이상 함유한 혼합물질.</v>
          </cell>
          <cell r="F892">
            <v>0.1</v>
          </cell>
          <cell r="G892" t="str">
            <v>- 발암물질 표시를 하여 건조하고 통풍이 잘되는 그늘 및 서늘한 곳에 밀폐 보관할 것
- 알칼리, 산화제, 열원 등과 격리 보관할 것
- 식료품, 사료, 의약품, 음식과 혼합저장 금지할 것
- 필요에 따라 국소배기장치 가동할 것
- 취급 또는 작업 시는 양압자급식호흡보호구를 착용하고 고글형 보안경, 내화학성 보호복, 고무(또는 네오프렌) 재질의 장갑 및 고무장화 등을 착용하여 단기적인 접촉 및 반복적이고 장기적인 노출을 피할 것
- 작업 시에는 콘택트렌즈를 뺄 것
- 작업장 부근에 비상시를 대비하여 샤워시설 및 세안시설을 갖출 것</v>
          </cell>
        </row>
        <row r="893">
          <cell r="B893" t="str">
            <v>68876-99-3</v>
          </cell>
          <cell r="C893" t="str">
            <v>카드뮴 화합물질</v>
          </cell>
          <cell r="D893" t="str">
            <v>97-1-250</v>
          </cell>
          <cell r="E893" t="str">
            <v>및 이를 25% 이상 함유한 혼합물질. 다만 염화카드뮴(Cadmium chloride), 탄산카드뮴(Cadmium carbonate), 불화붕소산카드뮴(Cadmium fluoroborate), 질산카드뮴(Cadmium nitrate), 산화카드뮴(Cadmium oxide), 황산카드뮴(Cadmium sulfate), 황화카드뮴(Cadmium sulfide)의 경우 그 중 하나를 0.1% 이상 함유한 혼합물질.</v>
          </cell>
          <cell r="F893">
            <v>0.1</v>
          </cell>
          <cell r="G893" t="str">
            <v>- 발암물질 표시를 하여 건조하고 통풍이 잘되는 그늘 및 서늘한 곳에 밀폐 보관할 것
- 알칼리, 산화제, 열원 등과 격리 보관할 것
- 식료품, 사료, 의약품, 음식과 혼합저장 금지할 것
- 필요에 따라 국소배기장치 가동할 것
- 취급 또는 작업 시는 양압자급식호흡보호구를 착용하고 고글형 보안경, 내화학성 보호복, 고무(또는 네오프렌) 재질의 장갑 및 고무장화 등을 착용하여 단기적인 접촉 및 반복적이고 장기적인 노출을 피할 것
- 작업 시에는 콘택트렌즈를 뺄 것
- 작업장 부근에 비상시를 대비하여 샤워시설 및 세안시설을 갖출 것</v>
          </cell>
        </row>
        <row r="894">
          <cell r="B894" t="str">
            <v>68877-00-9</v>
          </cell>
          <cell r="C894" t="str">
            <v>카드뮴 화합물질</v>
          </cell>
          <cell r="D894" t="str">
            <v>97-1-250</v>
          </cell>
          <cell r="E894" t="str">
            <v>및 이를 25% 이상 함유한 혼합물질. 다만 염화카드뮴(Cadmium chloride), 탄산카드뮴(Cadmium carbonate), 불화붕소산카드뮴(Cadmium fluoroborate), 질산카드뮴(Cadmium nitrate), 산화카드뮴(Cadmium oxide), 황산카드뮴(Cadmium sulfate), 황화카드뮴(Cadmium sulfide)의 경우 그 중 하나를 0.1% 이상 함유한 혼합물질.</v>
          </cell>
          <cell r="F894">
            <v>0.1</v>
          </cell>
          <cell r="G894" t="str">
            <v>- 발암물질 표시를 하여 건조하고 통풍이 잘되는 그늘 및 서늘한 곳에 밀폐 보관할 것
- 알칼리, 산화제, 열원 등과 격리 보관할 것
- 식료품, 사료, 의약품, 음식과 혼합저장 금지할 것
- 필요에 따라 국소배기장치 가동할 것
- 취급 또는 작업 시는 양압자급식호흡보호구를 착용하고 고글형 보안경, 내화학성 보호복, 고무(또는 네오프렌) 재질의 장갑 및 고무장화 등을 착용하여 단기적인 접촉 및 반복적이고 장기적인 노출을 피할 것
- 작업 시에는 콘택트렌즈를 뺄 것
- 작업장 부근에 비상시를 대비하여 샤워시설 및 세안시설을 갖출 것</v>
          </cell>
        </row>
        <row r="895">
          <cell r="B895" t="str">
            <v>68877-01-0</v>
          </cell>
          <cell r="C895" t="str">
            <v>카드뮴 화합물질</v>
          </cell>
          <cell r="D895" t="str">
            <v>97-1-250</v>
          </cell>
          <cell r="E895" t="str">
            <v>및 이를 25% 이상 함유한 혼합물질. 다만 염화카드뮴(Cadmium chloride), 탄산카드뮴(Cadmium carbonate), 불화붕소산카드뮴(Cadmium fluoroborate), 질산카드뮴(Cadmium nitrate), 산화카드뮴(Cadmium oxide), 황산카드뮴(Cadmium sulfate), 황화카드뮴(Cadmium sulfide)의 경우 그 중 하나를 0.1% 이상 함유한 혼합물질.</v>
          </cell>
          <cell r="F895">
            <v>0.1</v>
          </cell>
          <cell r="G895" t="str">
            <v>- 발암물질 표시를 하여 건조하고 통풍이 잘되는 그늘 및 서늘한 곳에 밀폐 보관할 것
- 알칼리, 산화제, 열원 등과 격리 보관할 것
- 식료품, 사료, 의약품, 음식과 혼합저장 금지할 것
- 필요에 따라 국소배기장치 가동할 것
- 취급 또는 작업 시는 양압자급식호흡보호구를 착용하고 고글형 보안경, 내화학성 보호복, 고무(또는 네오프렌) 재질의 장갑 및 고무장화 등을 착용하여 단기적인 접촉 및 반복적이고 장기적인 노출을 피할 것
- 작업 시에는 콘택트렌즈를 뺄 것
- 작업장 부근에 비상시를 대비하여 샤워시설 및 세안시설을 갖출 것</v>
          </cell>
        </row>
        <row r="896">
          <cell r="B896" t="str">
            <v>68891-87-2</v>
          </cell>
          <cell r="C896" t="str">
            <v>카드뮴 화합물질</v>
          </cell>
          <cell r="D896" t="str">
            <v>97-1-250</v>
          </cell>
          <cell r="E896" t="str">
            <v>및 이를 25% 이상 함유한 혼합물질. 다만 염화카드뮴(Cadmium chloride), 탄산카드뮴(Cadmium carbonate), 불화붕소산카드뮴(Cadmium fluoroborate), 질산카드뮴(Cadmium nitrate), 산화카드뮴(Cadmium oxide), 황산카드뮴(Cadmium sulfate), 황화카드뮴(Cadmium sulfide)의 경우 그 중 하나를 0.1% 이상 함유한 혼합물질.</v>
          </cell>
          <cell r="F896">
            <v>0.1</v>
          </cell>
          <cell r="G896" t="str">
            <v>- 발암물질 표시를 하여 건조하고 통풍이 잘되는 그늘 및 서늘한 곳에 밀폐 보관할 것
- 알칼리, 산화제, 열원 등과 격리 보관할 것
- 식료품, 사료, 의약품, 음식과 혼합저장 금지할 것
- 필요에 따라 국소배기장치 가동할 것
- 취급 또는 작업 시는 양압자급식호흡보호구를 착용하고 고글형 보안경, 내화학성 보호복, 고무(또는 네오프렌) 재질의 장갑 및 고무장화 등을 착용하여 단기적인 접촉 및 반복적이고 장기적인 노출을 피할 것
- 작업 시에는 콘택트렌즈를 뺄 것
- 작업장 부근에 비상시를 대비하여 샤워시설 및 세안시설을 갖출 것</v>
          </cell>
        </row>
        <row r="897">
          <cell r="B897" t="str">
            <v>68953-39-9</v>
          </cell>
          <cell r="C897" t="str">
            <v>카드뮴 화합물질</v>
          </cell>
          <cell r="D897" t="str">
            <v>97-1-250</v>
          </cell>
          <cell r="E897" t="str">
            <v>및 이를 25% 이상 함유한 혼합물질. 다만 염화카드뮴(Cadmium chloride), 탄산카드뮴(Cadmium carbonate), 불화붕소산카드뮴(Cadmium fluoroborate), 질산카드뮴(Cadmium nitrate), 산화카드뮴(Cadmium oxide), 황산카드뮴(Cadmium sulfate), 황화카드뮴(Cadmium sulfide)의 경우 그 중 하나를 0.1% 이상 함유한 혼합물질.</v>
          </cell>
          <cell r="F897">
            <v>25</v>
          </cell>
          <cell r="G897" t="str">
            <v>- 발암물질 표시를 하여 건조하고 통풍이 잘되는 그늘 및 서늘한 곳에 밀폐 보관할 것
- 알칼리, 산화제, 열원 등과 격리 보관할 것
- 식료품, 사료, 의약품, 음식과 혼합저장 금지할 것
- 필요에 따라 국소배기장치 가동할 것
- 취급 또는 작업 시는 양압자급식호흡보호구를 착용하고 고글형 보안경, 내화학성 보호복, 고무(또는 네오프렌) 재질의 장갑 및 고무장화 등을 착용하여 단기적인 접촉 및 반복적이고 장기적인 노출을 피할 것
- 작업 시에는 콘택트렌즈를 뺄 것
- 작업장 부근에 비상시를 대비하여 샤워시설 및 세안시설을 갖출 것</v>
          </cell>
        </row>
        <row r="898">
          <cell r="B898" t="str">
            <v>68954-18-7</v>
          </cell>
          <cell r="C898" t="str">
            <v>카드뮴 화합물질</v>
          </cell>
          <cell r="D898" t="str">
            <v>97-1-250</v>
          </cell>
          <cell r="E898" t="str">
            <v>및 이를 25% 이상 함유한 혼합물질. 다만 염화카드뮴(Cadmium chloride), 탄산카드뮴(Cadmium carbonate), 불화붕소산카드뮴(Cadmium fluoroborate), 질산카드뮴(Cadmium nitrate), 산화카드뮴(Cadmium oxide), 황산카드뮴(Cadmium sulfate), 황화카드뮴(Cadmium sulfide)의 경우 그 중 하나를 0.1% 이상 함유한 혼합물질.</v>
          </cell>
          <cell r="F898">
            <v>25</v>
          </cell>
          <cell r="G898" t="str">
            <v>- 발암물질 표시를 하여 건조하고 통풍이 잘되는 그늘 및 서늘한 곳에 밀폐 보관할 것
- 알칼리, 산화제, 열원 등과 격리 보관할 것
- 식료품, 사료, 의약품, 음식과 혼합저장 금지할 것
- 필요에 따라 국소배기장치 가동할 것
- 취급 또는 작업 시는 양압자급식호흡보호구를 착용하고 고글형 보안경, 내화학성 보호복, 고무(또는 네오프렌) 재질의 장갑 및 고무장화 등을 착용하여 단기적인 접촉 및 반복적이고 장기적인 노출을 피할 것
- 작업 시에는 콘택트렌즈를 뺄 것
- 작업장 부근에 비상시를 대비하여 샤워시설 및 세안시설을 갖출 것</v>
          </cell>
        </row>
        <row r="899">
          <cell r="B899" t="str">
            <v>68956-81-0</v>
          </cell>
          <cell r="C899" t="str">
            <v>카드뮴 화합물질</v>
          </cell>
          <cell r="D899" t="str">
            <v>97-1-250</v>
          </cell>
          <cell r="E899" t="str">
            <v>및 이를 25% 이상 함유한 혼합물질. 다만 염화카드뮴(Cadmium chloride), 탄산카드뮴(Cadmium carbonate), 불화붕소산카드뮴(Cadmium fluoroborate), 질산카드뮴(Cadmium nitrate), 산화카드뮴(Cadmium oxide), 황산카드뮴(Cadmium sulfate), 황화카드뮴(Cadmium sulfide)의 경우 그 중 하나를 0.1% 이상 함유한 혼합물질.</v>
          </cell>
          <cell r="F899">
            <v>25</v>
          </cell>
          <cell r="G899" t="str">
            <v>- 발암물질 표시를 하여 건조하고 통풍이 잘되는 그늘 및 서늘한 곳에 밀폐 보관할 것
- 알칼리, 산화제, 열원 등과 격리 보관할 것
- 식료품, 사료, 의약품, 음식과 혼합저장 금지할 것
- 필요에 따라 국소배기장치 가동할 것
- 취급 또는 작업 시는 양압자급식호흡보호구를 착용하고 고글형 보안경, 내화학성 보호복, 고무(또는 네오프렌) 재질의 장갑 및 고무장화 등을 착용하여 단기적인 접촉 및 반복적이고 장기적인 노출을 피할 것
- 작업 시에는 콘택트렌즈를 뺄 것
- 작업장 부근에 비상시를 대비하여 샤워시설 및 세안시설을 갖출 것</v>
          </cell>
        </row>
        <row r="900">
          <cell r="B900" t="str">
            <v>69011-69-4</v>
          </cell>
          <cell r="C900" t="str">
            <v>카드뮴 화합물질</v>
          </cell>
          <cell r="D900" t="str">
            <v>97-1-250</v>
          </cell>
          <cell r="E900" t="str">
            <v>및 이를 25% 이상 함유한 혼합물질. 다만 염화카드뮴(Cadmium chloride), 탄산카드뮴(Cadmium carbonate), 불화붕소산카드뮴(Cadmium fluoroborate), 질산카드뮴(Cadmium nitrate), 산화카드뮴(Cadmium oxide), 황산카드뮴(Cadmium sulfate), 황화카드뮴(Cadmium sulfide)의 경우 그 중 하나를 0.1% 이상 함유한 혼합물질.</v>
          </cell>
          <cell r="F900">
            <v>25</v>
          </cell>
          <cell r="G900" t="str">
            <v>- 발암물질 표시를 하여 건조하고 통풍이 잘되는 그늘 및 서늘한 곳에 밀폐 보관할 것
- 알칼리, 산화제, 열원 등과 격리 보관할 것
- 식료품, 사료, 의약품, 음식과 혼합저장 금지할 것
- 필요에 따라 국소배기장치 가동할 것
- 취급 또는 작업 시는 양압자급식호흡보호구를 착용하고 고글형 보안경, 내화학성 보호복, 고무(또는 네오프렌) 재질의 장갑 및 고무장화 등을 착용하여 단기적인 접촉 및 반복적이고 장기적인 노출을 피할 것
- 작업 시에는 콘택트렌즈를 뺄 것
- 작업장 부근에 비상시를 대비하여 샤워시설 및 세안시설을 갖출 것</v>
          </cell>
        </row>
        <row r="901">
          <cell r="B901" t="str">
            <v>69011-70-7</v>
          </cell>
          <cell r="C901" t="str">
            <v>카드뮴 화합물질</v>
          </cell>
          <cell r="D901" t="str">
            <v>97-1-250</v>
          </cell>
          <cell r="E901" t="str">
            <v>및 이를 25% 이상 함유한 혼합물질. 다만 염화카드뮴(Cadmium chloride), 탄산카드뮴(Cadmium carbonate), 불화붕소산카드뮴(Cadmium fluoroborate), 질산카드뮴(Cadmium nitrate), 산화카드뮴(Cadmium oxide), 황산카드뮴(Cadmium sulfate), 황화카드뮴(Cadmium sulfide)의 경우 그 중 하나를 0.1% 이상 함유한 혼합물질.</v>
          </cell>
          <cell r="F901">
            <v>25</v>
          </cell>
          <cell r="G901" t="str">
            <v>- 발암물질 표시를 하여 건조하고 통풍이 잘되는 그늘 및 서늘한 곳에 밀폐 보관할 것
- 알칼리, 산화제, 열원 등과 격리 보관할 것
- 식료품, 사료, 의약품, 음식과 혼합저장 금지할 것
- 필요에 따라 국소배기장치 가동할 것
- 취급 또는 작업 시는 양압자급식호흡보호구를 착용하고 고글형 보안경, 내화학성 보호복, 고무(또는 네오프렌) 재질의 장갑 및 고무장화 등을 착용하여 단기적인 접촉 및 반복적이고 장기적인 노출을 피할 것
- 작업 시에는 콘택트렌즈를 뺄 것
- 작업장 부근에 비상시를 대비하여 샤워시설 및 세안시설을 갖출 것</v>
          </cell>
        </row>
        <row r="902">
          <cell r="B902" t="str">
            <v>69029-63-6</v>
          </cell>
          <cell r="C902" t="str">
            <v>카드뮴 화합물질</v>
          </cell>
          <cell r="D902" t="str">
            <v>97-1-250</v>
          </cell>
          <cell r="E902" t="str">
            <v>및 이를 25% 이상 함유한 혼합물질. 다만 염화카드뮴(Cadmium chloride), 탄산카드뮴(Cadmium carbonate), 불화붕소산카드뮴(Cadmium fluoroborate), 질산카드뮴(Cadmium nitrate), 산화카드뮴(Cadmium oxide), 황산카드뮴(Cadmium sulfate), 황화카드뮴(Cadmium sulfide)의 경우 그 중 하나를 0.1% 이상 함유한 혼합물질.</v>
          </cell>
          <cell r="F902">
            <v>25</v>
          </cell>
          <cell r="G902" t="str">
            <v>- 발암물질 표시를 하여 건조하고 통풍이 잘되는 그늘 및 서늘한 곳에 밀폐 보관할 것
- 알칼리, 산화제, 열원 등과 격리 보관할 것
- 식료품, 사료, 의약품, 음식과 혼합저장 금지할 것
- 필요에 따라 국소배기장치 가동할 것
- 취급 또는 작업 시는 양압자급식호흡보호구를 착용하고 고글형 보안경, 내화학성 보호복, 고무(또는 네오프렌) 재질의 장갑 및 고무장화 등을 착용하여 단기적인 접촉 및 반복적이고 장기적인 노출을 피할 것
- 작업 시에는 콘택트렌즈를 뺄 것
- 작업장 부근에 비상시를 대비하여 샤워시설 및 세안시설을 갖출 것</v>
          </cell>
        </row>
        <row r="903">
          <cell r="B903" t="str">
            <v>70084-75-2</v>
          </cell>
          <cell r="C903" t="str">
            <v>카드뮴 화합물질</v>
          </cell>
          <cell r="D903" t="str">
            <v>97-1-250</v>
          </cell>
          <cell r="E903" t="str">
            <v>및 이를 25% 이상 함유한 혼합물질. 다만 염화카드뮴(Cadmium chloride), 탄산카드뮴(Cadmium carbonate), 불화붕소산카드뮴(Cadmium fluoroborate), 질산카드뮴(Cadmium nitrate), 산화카드뮴(Cadmium oxide), 황산카드뮴(Cadmium sulfate), 황화카드뮴(Cadmium sulfide)의 경우 그 중 하나를 0.1% 이상 함유한 혼합물질.</v>
          </cell>
          <cell r="F903">
            <v>25</v>
          </cell>
          <cell r="G903" t="str">
            <v>- 발암물질 표시를 하여 건조하고 통풍이 잘되는 그늘 및 서늘한 곳에 밀폐 보관할 것
- 알칼리, 산화제, 열원 등과 격리 보관할 것
- 식료품, 사료, 의약품, 음식과 혼합저장 금지할 것
- 필요에 따라 국소배기장치 가동할 것
- 취급 또는 작업 시는 양압자급식호흡보호구를 착용하고 고글형 보안경, 내화학성 보호복, 고무(또는 네오프렌) 재질의 장갑 및 고무장화 등을 착용하여 단기적인 접촉 및 반복적이고 장기적인 노출을 피할 것
- 작업 시에는 콘택트렌즈를 뺄 것
- 작업장 부근에 비상시를 대비하여 샤워시설 및 세안시설을 갖출 것</v>
          </cell>
        </row>
        <row r="904">
          <cell r="B904" t="str">
            <v>72869-26-2</v>
          </cell>
          <cell r="C904" t="str">
            <v>카드뮴 화합물질</v>
          </cell>
          <cell r="D904" t="str">
            <v>97-1-250</v>
          </cell>
          <cell r="E904" t="str">
            <v>및 이를 25% 이상 함유한 혼합물질. 다만 염화카드뮴(Cadmium chloride), 탄산카드뮴(Cadmium carbonate), 불화붕소산카드뮴(Cadmium fluoroborate), 질산카드뮴(Cadmium nitrate), 산화카드뮴(Cadmium oxide), 황산카드뮴(Cadmium sulfate), 황화카드뮴(Cadmium sulfide)의 경우 그 중 하나를 0.1% 이상 함유한 혼합물질.</v>
          </cell>
          <cell r="F904">
            <v>0.1</v>
          </cell>
          <cell r="G904" t="str">
            <v>- 발암물질 표시를 하여 건조하고 통풍이 잘되는 그늘 및 서늘한 곳에 밀폐 보관할 것
- 알칼리, 산화제, 열원 등과 격리 보관할 것
- 식료품, 사료, 의약품, 음식과 혼합저장 금지할 것
- 필요에 따라 국소배기장치 가동할 것
- 취급 또는 작업 시는 양압자급식호흡보호구를 착용하고 고글형 보안경, 내화학성 보호복, 고무(또는 네오프렌) 재질의 장갑 및 고무장화 등을 착용하여 단기적인 접촉 및 반복적이고 장기적인 노출을 피할 것
- 작업 시에는 콘택트렌즈를 뺄 것
- 작업장 부근에 비상시를 대비하여 샤워시설 및 세안시설을 갖출 것</v>
          </cell>
        </row>
        <row r="905">
          <cell r="B905" t="str">
            <v>72869-63-7</v>
          </cell>
          <cell r="C905" t="str">
            <v>카드뮴 화합물질</v>
          </cell>
          <cell r="D905" t="str">
            <v>97-1-250</v>
          </cell>
          <cell r="E905" t="str">
            <v>및 이를 25% 이상 함유한 혼합물질. 다만 염화카드뮴(Cadmium chloride), 탄산카드뮴(Cadmium carbonate), 불화붕소산카드뮴(Cadmium fluoroborate), 질산카드뮴(Cadmium nitrate), 산화카드뮴(Cadmium oxide), 황산카드뮴(Cadmium sulfate), 황화카드뮴(Cadmium sulfide)의 경우 그 중 하나를 0.1% 이상 함유한 혼합물질.</v>
          </cell>
          <cell r="F905">
            <v>25</v>
          </cell>
          <cell r="G905" t="str">
            <v>- 발암물질 표시를 하여 건조하고 통풍이 잘되는 그늘 및 서늘한 곳에 밀폐 보관할 것
- 알칼리, 산화제, 열원 등과 격리 보관할 것
- 식료품, 사료, 의약품, 음식과 혼합저장 금지할 것
- 필요에 따라 국소배기장치 가동할 것
- 취급 또는 작업 시는 양압자급식호흡보호구를 착용하고 고글형 보안경, 내화학성 보호복, 고무(또는 네오프렌) 재질의 장갑 및 고무장화 등을 착용하여 단기적인 접촉 및 반복적이고 장기적인 노출을 피할 것
- 작업 시에는 콘택트렌즈를 뺄 것
- 작업장 부근에 비상시를 대비하여 샤워시설 및 세안시설을 갖출 것</v>
          </cell>
        </row>
        <row r="906">
          <cell r="B906" t="str">
            <v>7789-42-6</v>
          </cell>
          <cell r="C906" t="str">
            <v>카드뮴 화합물질</v>
          </cell>
          <cell r="D906" t="str">
            <v>97-1-250</v>
          </cell>
          <cell r="E906" t="str">
            <v>및 이를 25% 이상 함유한 혼합물질. 다만 염화카드뮴(Cadmium chloride), 탄산카드뮴(Cadmium carbonate), 불화붕소산카드뮴(Cadmium fluoroborate), 질산카드뮴(Cadmium nitrate), 산화카드뮴(Cadmium oxide), 황산카드뮴(Cadmium sulfate), 황화카드뮴(Cadmium sulfide)의 경우 그 중 하나를 0.1% 이상 함유한 혼합물질.</v>
          </cell>
          <cell r="F906">
            <v>25</v>
          </cell>
          <cell r="G906" t="str">
            <v>- 발암물질 표시를 하여 건조하고 통풍이 잘되는 그늘 및 서늘한 곳에 밀폐 보관할 것
- 알칼리, 산화제, 열원 등과 격리 보관할 것
- 식료품, 사료, 의약품, 음식과 혼합저장 금지할 것
- 필요에 따라 국소배기장치 가동할 것
- 취급 또는 작업 시는 양압자급식호흡보호구를 착용하고 고글형 보안경, 내화학성 보호복, 고무(또는 네오프렌) 재질의 장갑 및 고무장화 등을 착용하여 단기적인 접촉 및 반복적이고 장기적인 노출을 피할 것
- 작업 시에는 콘택트렌즈를 뺄 것
- 작업장 부근에 비상시를 대비하여 샤워시설 및 세안시설을 갖출 것</v>
          </cell>
        </row>
        <row r="907">
          <cell r="B907" t="str">
            <v>7790-79-6</v>
          </cell>
          <cell r="C907" t="str">
            <v>카드뮴 화합물질</v>
          </cell>
          <cell r="D907" t="str">
            <v>97-1-250</v>
          </cell>
          <cell r="E907" t="str">
            <v>및 이를 25% 이상 함유한 혼합물질. 다만 염화카드뮴(Cadmium chloride), 탄산카드뮴(Cadmium carbonate), 불화붕소산카드뮴(Cadmium fluoroborate), 질산카드뮴(Cadmium nitrate), 산화카드뮴(Cadmium oxide), 황산카드뮴(Cadmium sulfate), 황화카드뮴(Cadmium sulfide)의 경우 그 중 하나를 0.1% 이상 함유한 혼합물질.</v>
          </cell>
          <cell r="F907">
            <v>25</v>
          </cell>
          <cell r="G907" t="str">
            <v>- 발암물질 표시를 하여 건조하고 통풍이 잘되는 그늘 및 서늘한 곳에 밀폐 보관할 것
- 알칼리, 산화제, 열원 등과 격리 보관할 것
- 식료품, 사료, 의약품, 음식과 혼합저장 금지할 것
- 필요에 따라 국소배기장치 가동할 것
- 취급 또는 작업 시는 양압자급식호흡보호구를 착용하고 고글형 보안경, 내화학성 보호복, 고무(또는 네오프렌) 재질의 장갑 및 고무장화 등을 착용하여 단기적인 접촉 및 반복적이고 장기적인 노출을 피할 것
- 작업 시에는 콘택트렌즈를 뺄 것
- 작업장 부근에 비상시를 대비하여 샤워시설 및 세안시설을 갖출 것</v>
          </cell>
        </row>
        <row r="908">
          <cell r="B908" t="str">
            <v>7790-80-9</v>
          </cell>
          <cell r="C908" t="str">
            <v>카드뮴 화합물질</v>
          </cell>
          <cell r="D908" t="str">
            <v>97-1-250</v>
          </cell>
          <cell r="E908" t="str">
            <v>및 이를 25% 이상 함유한 혼합물질. 다만 염화카드뮴(Cadmium chloride), 탄산카드뮴(Cadmium carbonate), 불화붕소산카드뮴(Cadmium fluoroborate), 질산카드뮴(Cadmium nitrate), 산화카드뮴(Cadmium oxide), 황산카드뮴(Cadmium sulfate), 황화카드뮴(Cadmium sulfide)의 경우 그 중 하나를 0.1% 이상 함유한 혼합물질.</v>
          </cell>
          <cell r="F908">
            <v>25</v>
          </cell>
          <cell r="G908" t="str">
            <v>- 발암물질 표시를 하여 건조하고 통풍이 잘되는 그늘 및 서늘한 곳에 밀폐 보관할 것
- 알칼리, 산화제, 열원 등과 격리 보관할 것
- 식료품, 사료, 의약품, 음식과 혼합저장 금지할 것
- 필요에 따라 국소배기장치 가동할 것
- 취급 또는 작업 시는 양압자급식호흡보호구를 착용하고 고글형 보안경, 내화학성 보호복, 고무(또는 네오프렌) 재질의 장갑 및 고무장화 등을 착용하여 단기적인 접촉 및 반복적이고 장기적인 노출을 피할 것
- 작업 시에는 콘택트렌즈를 뺄 것
- 작업장 부근에 비상시를 대비하여 샤워시설 및 세안시설을 갖출 것</v>
          </cell>
        </row>
        <row r="909">
          <cell r="B909" t="str">
            <v>7790-81-0</v>
          </cell>
          <cell r="C909" t="str">
            <v>카드뮴 화합물질</v>
          </cell>
          <cell r="D909" t="str">
            <v>97-1-250</v>
          </cell>
          <cell r="E909" t="str">
            <v>및 이를 25% 이상 함유한 혼합물질. 다만 염화카드뮴(Cadmium chloride), 탄산카드뮴(Cadmium carbonate), 불화붕소산카드뮴(Cadmium fluoroborate), 질산카드뮴(Cadmium nitrate), 산화카드뮴(Cadmium oxide), 황산카드뮴(Cadmium sulfate), 황화카드뮴(Cadmium sulfide)의 경우 그 중 하나를 0.1% 이상 함유한 혼합물질.</v>
          </cell>
          <cell r="F909">
            <v>25</v>
          </cell>
          <cell r="G909" t="str">
            <v>- 발암물질 표시를 하여 건조하고 통풍이 잘되는 그늘 및 서늘한 곳에 밀폐 보관할 것
- 알칼리, 산화제, 열원 등과 격리 보관할 것
- 식료품, 사료, 의약품, 음식과 혼합저장 금지할 것
- 필요에 따라 국소배기장치 가동할 것
- 취급 또는 작업 시는 양압자급식호흡보호구를 착용하고 고글형 보안경, 내화학성 보호복, 고무(또는 네오프렌) 재질의 장갑 및 고무장화 등을 착용하여 단기적인 접촉 및 반복적이고 장기적인 노출을 피할 것
- 작업 시에는 콘택트렌즈를 뺄 것
- 작업장 부근에 비상시를 대비하여 샤워시설 및 세안시설을 갖출 것</v>
          </cell>
        </row>
        <row r="910">
          <cell r="B910" t="str">
            <v>7790-84-3</v>
          </cell>
          <cell r="C910" t="str">
            <v>카드뮴 화합물질</v>
          </cell>
          <cell r="D910" t="str">
            <v>97-1-250</v>
          </cell>
          <cell r="E910" t="str">
            <v>및 이를 25% 이상 함유한 혼합물질. 다만 염화카드뮴(Cadmium chloride), 탄산카드뮴(Cadmium carbonate), 불화붕소산카드뮴(Cadmium fluoroborate), 질산카드뮴(Cadmium nitrate), 산화카드뮴(Cadmium oxide), 황산카드뮴(Cadmium sulfate), 황화카드뮴(Cadmium sulfide)의 경우 그 중 하나를 0.1% 이상 함유한 혼합물질.</v>
          </cell>
          <cell r="F910">
            <v>0.1</v>
          </cell>
          <cell r="G910" t="str">
            <v>- 발암물질 표시를 하여 건조하고 통풍이 잘되는 그늘 및 서늘한 곳에 밀폐 보관할 것
- 알칼리, 산화제, 열원 등과 격리 보관할 것
- 식료품, 사료, 의약품, 음식과 혼합저장 금지할 것
- 필요에 따라 국소배기장치 가동할 것
- 취급 또는 작업 시는 양압자급식호흡보호구를 착용하고 고글형 보안경, 내화학성 보호복, 고무(또는 네오프렌) 재질의 장갑 및 고무장화 등을 착용하여 단기적인 접촉 및 반복적이고 장기적인 노출을 피할 것
- 작업 시에는 콘택트렌즈를 뺄 것
- 작업장 부근에 비상시를 대비하여 샤워시설 및 세안시설을 갖출 것</v>
          </cell>
        </row>
        <row r="911">
          <cell r="B911" t="str">
            <v>7790-85-4</v>
          </cell>
          <cell r="C911" t="str">
            <v>카드뮴 화합물질</v>
          </cell>
          <cell r="D911" t="str">
            <v>97-1-250</v>
          </cell>
          <cell r="E911" t="str">
            <v>및 이를 25% 이상 함유한 혼합물질. 다만 염화카드뮴(Cadmium chloride), 탄산카드뮴(Cadmium carbonate), 불화붕소산카드뮴(Cadmium fluoroborate), 질산카드뮴(Cadmium nitrate), 산화카드뮴(Cadmium oxide), 황산카드뮴(Cadmium sulfate), 황화카드뮴(Cadmium sulfide)의 경우 그 중 하나를 0.1% 이상 함유한 혼합물질.</v>
          </cell>
          <cell r="F911">
            <v>25</v>
          </cell>
          <cell r="G911" t="str">
            <v>- 발암물질 표시를 하여 건조하고 통풍이 잘되는 그늘 및 서늘한 곳에 밀폐 보관할 것
- 알칼리, 산화제, 열원 등과 격리 보관할 것
- 식료품, 사료, 의약품, 음식과 혼합저장 금지할 것
- 필요에 따라 국소배기장치 가동할 것
- 취급 또는 작업 시는 양압자급식호흡보호구를 착용하고 고글형 보안경, 내화학성 보호복, 고무(또는 네오프렌) 재질의 장갑 및 고무장화 등을 착용하여 단기적인 접촉 및 반복적이고 장기적인 노출을 피할 것
- 작업 시에는 콘택트렌즈를 뺄 것
- 작업장 부근에 비상시를 대비하여 샤워시설 및 세안시설을 갖출 것</v>
          </cell>
        </row>
        <row r="912">
          <cell r="B912" t="str">
            <v>8048-07-5</v>
          </cell>
          <cell r="C912" t="str">
            <v>카드뮴 화합물질</v>
          </cell>
          <cell r="D912" t="str">
            <v>97-1-250</v>
          </cell>
          <cell r="E912" t="str">
            <v>및 이를 25% 이상 함유한 혼합물질. 다만 염화카드뮴(Cadmium chloride), 탄산카드뮴(Cadmium carbonate), 불화붕소산카드뮴(Cadmium fluoroborate), 질산카드뮴(Cadmium nitrate), 산화카드뮴(Cadmium oxide), 황산카드뮴(Cadmium sulfate), 황화카드뮴(Cadmium sulfide)의 경우 그 중 하나를 0.1% 이상 함유한 혼합물질.</v>
          </cell>
          <cell r="F912">
            <v>25</v>
          </cell>
          <cell r="G912" t="str">
            <v>- 발암물질 표시를 하여 건조하고 통풍이 잘되는 그늘 및 서늘한 곳에 밀폐 보관할 것
- 알칼리, 산화제, 열원 등과 격리 보관할 것
- 식료품, 사료, 의약품, 음식과 혼합저장 금지할 것
- 필요에 따라 국소배기장치 가동할 것
- 취급 또는 작업 시는 양압자급식호흡보호구를 착용하고 고글형 보안경, 내화학성 보호복, 고무(또는 네오프렌) 재질의 장갑 및 고무장화 등을 착용하여 단기적인 접촉 및 반복적이고 장기적인 노출을 피할 것
- 작업 시에는 콘택트렌즈를 뺄 것
- 작업장 부근에 비상시를 대비하여 샤워시설 및 세안시설을 갖출 것</v>
          </cell>
        </row>
        <row r="913">
          <cell r="B913" t="str">
            <v>90604-89-0</v>
          </cell>
          <cell r="C913" t="str">
            <v>카드뮴 화합물질</v>
          </cell>
          <cell r="D913" t="str">
            <v>97-1-250</v>
          </cell>
          <cell r="E913" t="str">
            <v>및 이를 25% 이상 함유한 혼합물질. 다만 염화카드뮴(Cadmium chloride), 탄산카드뮴(Cadmium carbonate), 불화붕소산카드뮴(Cadmium fluoroborate), 질산카드뮴(Cadmium nitrate), 산화카드뮴(Cadmium oxide), 황산카드뮴(Cadmium sulfate), 황화카드뮴(Cadmium sulfide)의 경우 그 중 하나를 0.1% 이상 함유한 혼합물질.</v>
          </cell>
          <cell r="F913">
            <v>25</v>
          </cell>
          <cell r="G913" t="str">
            <v>- 발암물질 표시를 하여 건조하고 통풍이 잘되는 그늘 및 서늘한 곳에 밀폐 보관할 것
- 알칼리, 산화제, 열원 등과 격리 보관할 것
- 식료품, 사료, 의약품, 음식과 혼합저장 금지할 것
- 필요에 따라 국소배기장치 가동할 것
- 취급 또는 작업 시는 양압자급식호흡보호구를 착용하고 고글형 보안경, 내화학성 보호복, 고무(또는 네오프렌) 재질의 장갑 및 고무장화 등을 착용하여 단기적인 접촉 및 반복적이고 장기적인 노출을 피할 것
- 작업 시에는 콘택트렌즈를 뺄 것
- 작업장 부근에 비상시를 대비하여 샤워시설 및 세안시설을 갖출 것</v>
          </cell>
        </row>
        <row r="914">
          <cell r="B914" t="str">
            <v>90604-90-3</v>
          </cell>
          <cell r="C914" t="str">
            <v>카드뮴 화합물질</v>
          </cell>
          <cell r="D914" t="str">
            <v>97-1-250</v>
          </cell>
          <cell r="E914" t="str">
            <v>및 이를 25% 이상 함유한 혼합물질. 다만 염화카드뮴(Cadmium chloride), 탄산카드뮴(Cadmium carbonate), 불화붕소산카드뮴(Cadmium fluoroborate), 질산카드뮴(Cadmium nitrate), 산화카드뮴(Cadmium oxide), 황산카드뮴(Cadmium sulfate), 황화카드뮴(Cadmium sulfide)의 경우 그 중 하나를 0.1% 이상 함유한 혼합물질.</v>
          </cell>
          <cell r="F914">
            <v>25</v>
          </cell>
          <cell r="G914" t="str">
            <v>- 발암물질 표시를 하여 건조하고 통풍이 잘되는 그늘 및 서늘한 곳에 밀폐 보관할 것
- 알칼리, 산화제, 열원 등과 격리 보관할 것
- 식료품, 사료, 의약품, 음식과 혼합저장 금지할 것
- 필요에 따라 국소배기장치 가동할 것
- 취급 또는 작업 시는 양압자급식호흡보호구를 착용하고 고글형 보안경, 내화학성 보호복, 고무(또는 네오프렌) 재질의 장갑 및 고무장화 등을 착용하여 단기적인 접촉 및 반복적이고 장기적인 노출을 피할 것
- 작업 시에는 콘택트렌즈를 뺄 것
- 작업장 부근에 비상시를 대비하여 샤워시설 및 세안시설을 갖출 것</v>
          </cell>
        </row>
        <row r="915">
          <cell r="B915" t="str">
            <v>99587-10-7</v>
          </cell>
          <cell r="C915" t="str">
            <v>카드뮴 화합물질</v>
          </cell>
          <cell r="D915" t="str">
            <v>97-1-250</v>
          </cell>
          <cell r="E915" t="str">
            <v>및 이를 25% 이상 함유한 혼합물질. 다만 염화카드뮴(Cadmium chloride), 탄산카드뮴(Cadmium carbonate), 불화붕소산카드뮴(Cadmium fluoroborate), 질산카드뮴(Cadmium nitrate), 산화카드뮴(Cadmium oxide), 황산카드뮴(Cadmium sulfate), 황화카드뮴(Cadmium sulfide)의 경우 그 중 하나를 0.1% 이상 함유한 혼합물질.</v>
          </cell>
          <cell r="F915">
            <v>25</v>
          </cell>
          <cell r="G915" t="str">
            <v>- 발암물질 표시를 하여 건조하고 통풍이 잘되는 그늘 및 서늘한 곳에 밀폐 보관할 것
- 알칼리, 산화제, 열원 등과 격리 보관할 것
- 식료품, 사료, 의약품, 음식과 혼합저장 금지할 것
- 필요에 따라 국소배기장치 가동할 것
- 취급 또는 작업 시는 양압자급식호흡보호구를 착용하고 고글형 보안경, 내화학성 보호복, 고무(또는 네오프렌) 재질의 장갑 및 고무장화 등을 착용하여 단기적인 접촉 및 반복적이고 장기적인 노출을 피할 것
- 작업 시에는 콘택트렌즈를 뺄 것
- 작업장 부근에 비상시를 대비하여 샤워시설 및 세안시설을 갖출 것</v>
          </cell>
        </row>
        <row r="916">
          <cell r="B916" t="str">
            <v>671-04-5</v>
          </cell>
          <cell r="C916" t="str">
            <v>카바놀에이트</v>
          </cell>
          <cell r="D916" t="str">
            <v>97-1-251</v>
          </cell>
          <cell r="E916" t="str">
            <v>및 이를 1% 이상 함유한 혼합물질</v>
          </cell>
          <cell r="F916">
            <v>1</v>
          </cell>
          <cell r="G916" t="str">
            <v>- 통풍이 잘 되는 그늘 및 서늘한 곳에 밀폐 보관할 것
- 식료품, 사료, 의약품, 음식과 혼합저장 금지할 것
- 필요에 따라 국소배기장치를 설치하여 환기할 것
- 혼합금지물질 및 점화원을 격리할 것
- 화학물질 흄 후드 내에서 취급할 것
- 취급 시 양압자급식호흡용보호구, 보호의, 보호장갑을 착용할 것</v>
          </cell>
        </row>
        <row r="917">
          <cell r="B917" t="str">
            <v>63-25-2</v>
          </cell>
          <cell r="C917" t="str">
            <v>카바릴</v>
          </cell>
          <cell r="D917" t="str">
            <v>97-1-252</v>
          </cell>
          <cell r="E917" t="str">
            <v>및 이를 5% 이상 함유한 혼합물질</v>
          </cell>
          <cell r="F917">
            <v>5</v>
          </cell>
          <cell r="G917" t="str">
            <v>- 통풍이 잘 되는 그늘 및 서늘한 곳에 밀폐 보관할 것
- 식료품, 사료, 의약품, 음식, 알칼리성물질과 혼합저장 금지할 것
- 필요에 따라 국소배기장치를 설치하여 환기할 것
- 화학물질 흄 후드 내에서 취급할 것
- 취급시 양압자급식호흡용보호구, 보호의, 보호장갑을 착용할 것</v>
          </cell>
        </row>
        <row r="918">
          <cell r="B918" t="str">
            <v>55285-14-8</v>
          </cell>
          <cell r="C918" t="str">
            <v>카보술판</v>
          </cell>
          <cell r="D918" t="str">
            <v>97-1-253</v>
          </cell>
          <cell r="E918" t="str">
            <v>및 이를 1% 이상 함유한 혼합물질</v>
          </cell>
          <cell r="F918">
            <v>1</v>
          </cell>
          <cell r="G918" t="str">
            <v>- 통풍이 잘 되는 그늘 및 서늘한 곳에 밀폐 보관할 것
- 식료품, 사료, 의약품, 음식과 혼합저장 금지할 것
- 필요에 따라 국소배기장치를 설치하여 환기할 것
- 취급시 양압자급식호흡용보호구, 보호의, 보호장갑을 착용할 것</v>
          </cell>
        </row>
        <row r="919">
          <cell r="B919" t="str">
            <v>786-19-6</v>
          </cell>
          <cell r="C919" t="str">
            <v>카보페노티온</v>
          </cell>
          <cell r="D919" t="str">
            <v>97-1-254</v>
          </cell>
          <cell r="E919" t="str">
            <v>및 이를 1% 이상 함유한 혼합물질</v>
          </cell>
          <cell r="F919">
            <v>1</v>
          </cell>
          <cell r="G919" t="str">
            <v>- 액체 카보페노티온은 증발에 의해 고체로 환원될 수 있으므로 밀폐 보관할 것
- 통풍이 잘 되는 그늘 및 서늘한 곳에 보관할 것
- 식료품, 사료, 의약품, 음식과 혼합저장 금지할 것
- 필요에 따라 국소배기장치 가동할 것
- 25~30℃이하에 보관하고 열원, 스파크, 불꽃, 가연성물질, 점화원과 격리하여 저장할 것
- 취급 또는 작업시는 통풍이 잘 되는 후드에서 행하고 보호의, 고무장갑, 고무앞치마, 양압자급식호흡용보호구를 착용하여 단기적인 접촉 및 반복적이고 장기적인 노출을 피할 것
- 가죽으로 만든 보호의, 장갑, 앞치마는 사용 금지할 것
- 노출기준 이상에서는 호흡보호구를 착용할 것</v>
          </cell>
        </row>
        <row r="920">
          <cell r="B920" t="str">
            <v>1563-66-2</v>
          </cell>
          <cell r="C920" t="str">
            <v>카보푸란</v>
          </cell>
          <cell r="D920" t="str">
            <v>97-1-255</v>
          </cell>
          <cell r="E920" t="str">
            <v>및 이를 1% 이상 함유한 혼합물질</v>
          </cell>
          <cell r="F920">
            <v>1</v>
          </cell>
          <cell r="G920" t="str">
            <v>- 통풍이 잘 되는 그늘 및 서늘한 곳에 밀폐 보관할 것
- 식료품, 사료, 의약품, 음식, 알칼리성물질과 혼합저장 금지할 것
- 필요에 따라 국소배기장치를 설치하여 환기할 것
- 물과 열로부터 격리할 것
- 화학물질 흄 후드 내에서 취급할 것
- 취급 시 양압자급식호흡용보호구, 보호의, 보호장갑을 착용할 것</v>
          </cell>
        </row>
        <row r="921">
          <cell r="B921" t="str">
            <v>440-09-7</v>
          </cell>
          <cell r="C921" t="str">
            <v>칼륨</v>
          </cell>
          <cell r="D921" t="str">
            <v>97-1-256</v>
          </cell>
          <cell r="E921" t="str">
            <v>및 이를 25% 이상 함유한 혼합물질</v>
          </cell>
          <cell r="F921">
            <v>25</v>
          </cell>
          <cell r="G921" t="str">
            <v>- 열원, 습기, 중금속화합물, 강산화제와 격리하여 저장할 것
- 할로겐화 탄화수소에 절대로 저장 금지할 것
- 저장용기는 질소가스로 충전시킬 수 있고, 케로신(kerosene)내에 저장하는 경우 칼륨의 표면이 완전히 잠기게 할 것
- 액체 광유(鑛油),  석유 등 산소가 포함되지 않은 액체에 저장할 것
- 저장용기는 물리적인 손상에 견딜 수 있어야 할 것
- 서늘하고 건조한 장소에 저장할 것
- 사고발생에 대비하여 눈이나 몸을 씻을 수 있는 세안시설과 샤워시설이 이용 가능한 장소에서 작업할 것
- 사용한 후 식사, 흡연, 화장실에 가기 전에 물과 비누로 손을 꼭 세척할 것
- 호흡용보호구, 전면보호구, 보안경, 고무장갑을 반드시 착용할 것
- 분진 제거시 절대로 쓸지 말 것
- 콘택트렌즈를 착용 금지할 것
- 필요에 따라 국소배기장치 가동할 것</v>
          </cell>
        </row>
        <row r="922">
          <cell r="B922" t="str">
            <v>11135-81-2</v>
          </cell>
          <cell r="C922" t="str">
            <v>칼륨과 나트륨의 합금</v>
          </cell>
          <cell r="D922" t="str">
            <v>97-1-257</v>
          </cell>
          <cell r="E922" t="str">
            <v>및 이를 25% 이상 함유한 혼합물질</v>
          </cell>
          <cell r="F922">
            <v>25</v>
          </cell>
          <cell r="G922" t="str">
            <v>- 열원, 습기, 중금속화합물, 강산화제와 격리하여 저장할 것
- 물, 이산화탄소, 할로겐화 탄화수소 등과 격렬하게
반응하므로 혼합저장 금지할 것
- 충분히 건조한 강철용기에 넣고 아르곤가스를 봉입하여 밀폐 보관할 것
- 저장용기는 물리적인 손상에 견딜 수 있어야 할 것
- 사고발생에 대비하여 눈이나 몸을 씻을 수 있는 세안시설과 샤워시설이 이용 가능한 장소에서 작업할 것
- 사용한 후 식사, 흡연, 화장실에 가기 전에 물과 비누로 손을 꼭 세척할 것
- 호흡용보호구, 전면보호구, 보안경, 고무장갑을 반드시 착용할 것
- 분진 제거시 절대로 쓸지 말 것
- 콘택트렌즈를 착용 금지할 것
- 필요에 따라 국소배기장치 가동할 것</v>
          </cell>
        </row>
        <row r="923">
          <cell r="B923" t="str">
            <v>15263-53-3</v>
          </cell>
          <cell r="C923" t="str">
            <v>칼탑</v>
          </cell>
          <cell r="D923" t="str">
            <v>97-1-258</v>
          </cell>
          <cell r="E923" t="str">
            <v>및 그중 칼탑으로서 2% 이상 함유한 혼합물질</v>
          </cell>
          <cell r="F923">
            <v>2</v>
          </cell>
          <cell r="G923" t="str">
            <v>- 통풍이 잘 되는 그늘 및 서늘한 곳에 밀폐 보관할 것
- 식료품, 사료, 의약품, 음식과 혼합저장 금지할 것
- 필요에 따라 국소배기장치를 설치하여 환기할 것
- 취급시 양압자급식호흡용보호구, 보호의, 보호장갑을 착용할 것</v>
          </cell>
        </row>
        <row r="924">
          <cell r="B924" t="str">
            <v>15263-52-2</v>
          </cell>
          <cell r="C924" t="str">
            <v>칼탑과 그 염류</v>
          </cell>
          <cell r="D924" t="str">
            <v>97-1-258</v>
          </cell>
          <cell r="E924" t="str">
            <v>및 그중 칼탑으로서 2% 이상 함유한 혼합물질</v>
          </cell>
          <cell r="F924">
            <v>2</v>
          </cell>
          <cell r="G924" t="str">
            <v>- 통풍이 잘 되는 그늘 및 서늘한 곳에 밀폐 보관할 것
- 식료품, 사료, 의약품, 음식과 혼합저장 금지할 것
- 필요에 따라 국소배기장치를 설치하여 환기할 것
- 취급시 양압자급식호흡용보호구, 보호의, 보호장갑을 착용할 것</v>
          </cell>
        </row>
        <row r="925">
          <cell r="B925" t="str">
            <v>8001-35-2</v>
          </cell>
          <cell r="C925" t="str">
            <v>캄페클로르</v>
          </cell>
          <cell r="D925" t="str">
            <v>97-1-259,06-4-28</v>
          </cell>
          <cell r="E925" t="str">
            <v>및 이를 1% 이상 함유한 혼합물질</v>
          </cell>
          <cell r="F925">
            <v>1</v>
          </cell>
          <cell r="G925" t="str">
            <v>- 통풍이 잘 되는 그늘 및 서늘한 곳에 밀폐 보관할 것
- 식료품, 사료, 의약품, 음식과 혼합저장 금지할 것
- 필요에 따라 국소배기장치 가동할 것
- 저장용기는 물리적인 손상에 견딜 수 있어야 할 것
- 과염소산염, 과산화물, 과망간산염, 염소산염, 질산염, 염소, 브롬, 플루오르와 혼합위험성(incompatible)이 있으므로 격리하여 저장할 것
- 화재 또는 폭발의 위험성이 있으므로 열원, 스파크, 불꽃, 가연성물질, 점화원과 격리하여 저장할 것
- 취급 또는 작업 시는 통풍이 잘 되는 후드에서 행하고 고글형보안경, 보호의, 고무장갑, 고무앞치마, 양압자급식호흡용보호구를 착용하여 단기적인 접촉 및 반복적이고 장기적인 노출을 피할 것
- 노출기준 이상에서는 호흡보호구를 착용할 것
- 취급금지물질(이를 1% 이상 함유한 혼합물질)</v>
          </cell>
        </row>
        <row r="926">
          <cell r="B926" t="str">
            <v>2425-06-1</v>
          </cell>
          <cell r="C926" t="str">
            <v>켑타폴</v>
          </cell>
          <cell r="D926" t="str">
            <v>97-1-260, 06-4-33</v>
          </cell>
          <cell r="E926" t="str">
            <v>및 이를 0.1% 이상 함유한 혼합물질</v>
          </cell>
          <cell r="F926">
            <v>0.1</v>
          </cell>
          <cell r="G926" t="str">
            <v>- 통풍이 잘 되는 그늘 및 서늘한 곳에 밀폐 보관할 것
- 식료품, 사료, 의약품, 음식, 고알칼리성 물질과 혼합저장 금지할 것
- 필요에 따라 국소배기장치를 설치하여 환기할 것
- 혼합금지물질 및 발화원을 격리할 것
- 화학물질 흄 후드 내에서 취급할 것
- 취급시 양압자급식호흡용보호구, 보호의, 보호장갑을 착용할 것</v>
          </cell>
        </row>
        <row r="927">
          <cell r="B927" t="str">
            <v>133-06-2</v>
          </cell>
          <cell r="C927" t="str">
            <v>켑탄</v>
          </cell>
          <cell r="D927" t="str">
            <v>97-1-261,06-4-34</v>
          </cell>
          <cell r="E927" t="str">
            <v>및 이를 0.1% 이상 함유한 혼합물질</v>
          </cell>
          <cell r="F927">
            <v>0.1</v>
          </cell>
          <cell r="G927" t="str">
            <v>- 통풍이 잘 되는 그늘 및 서늘한 곳에 밀폐 보관할 것
- 식료품, 사료, 알칼리성 물질, 의약품, 음식과 혼합저장 금지할 것
- 필요에 따라 국소배기장치를 설치하여 환기할 것
- 화학물질 흄 후드 내에서 취급할 것
- 취급시자급식호흡용보호구, 고무보호의, 고무보호장갑을 착용할 것
- 사고대비물질(이를 0.1% 이상 함유한 혼합물질)</v>
          </cell>
        </row>
        <row r="928">
          <cell r="B928" t="str">
            <v>81-82-3</v>
          </cell>
          <cell r="C928" t="str">
            <v>쿠마클로르</v>
          </cell>
          <cell r="D928" t="str">
            <v>97-1-262</v>
          </cell>
          <cell r="E928" t="str">
            <v>및 이를 1% 이상 함유한 혼합물질</v>
          </cell>
          <cell r="F928">
            <v>1</v>
          </cell>
          <cell r="G928" t="str">
            <v>- 통풍이 잘 되는 그늘 및 서늘한 곳에 밀폐 보관할 것
- 식료품, 사료, 의약품, 음식과 혼합저장 금지할 것
- 저장용기는 물리적인 손상에 견딜 수 있어야 할 것
- 사고발생에 대비하여 눈이나 몸을 씻을 수 있는 세안시설과 샤워시설이 이용 가능한 장소에서 작업할 것
- 사용한 후 식사, 흡연, 화장실에 가기 전에 물과 비누로 손을 꼭 세척할 것
- 호흡용보호구, 보안경, 보호장갑(고무 또는 네오프렌 재질)을 반드시 사용할 것
- 콘택트렌즈를 착용 금지할 것
- 통풍장치 가동할 것</v>
          </cell>
        </row>
        <row r="929">
          <cell r="B929" t="str">
            <v>5836-29-3</v>
          </cell>
          <cell r="C929" t="str">
            <v>쿠마테트라릴</v>
          </cell>
          <cell r="D929" t="str">
            <v>97-1-263</v>
          </cell>
          <cell r="E929" t="str">
            <v>및 이를 1% 이상 함유한 혼합물질</v>
          </cell>
          <cell r="F929">
            <v>1</v>
          </cell>
          <cell r="G929" t="str">
            <v>- 통풍이 잘 되는 그늘 및 서늘한 곳에 밀폐 보관할 것
- 저장용기는 물리적인 손상에 견딜 수 있어야 할 것
- 필요에 따라 국소배기장치 가동할 것
- 혼합금지물질 및 점화원을 격리할 것
- 화학물질 흄 후드 내에서 취급할 것
- 취급 시 피부접촉을 피하고 보호의, 고글형보안경, 가스마스크, 앞치마, 보호장갑(고무 또는 폴리에틸렌)을 착용할 것
- 취급시 양압자급식호흡용보호장비를 착용할 것
- 취급시 콘택트렌즈를 착용 금지할 것</v>
          </cell>
        </row>
        <row r="930">
          <cell r="B930" t="str">
            <v>117-52-2</v>
          </cell>
          <cell r="C930" t="str">
            <v>쿠마퍼릴</v>
          </cell>
          <cell r="D930" t="str">
            <v>97-1-264</v>
          </cell>
          <cell r="E930" t="str">
            <v>및 이를 1% 이상 함유한 혼합물질</v>
          </cell>
          <cell r="F930">
            <v>1</v>
          </cell>
          <cell r="G930" t="str">
            <v>- 통풍이 잘 되는 그늘 및 서늘한 곳에 밀폐 보관할 것
- 저장용기는 물리적인 손상에 견딜 수 있어야 할 것
- 취급 시 피부접촉을 피하고 보호의, 고글형 보안경, 가스마스크, 앞치마, 보호장갑(고무 또는 폴리에틸렌)을 착용할 것
- 취급 시 양압자급식호흡용보호장비를 착용할 것
- 취급 시 콘택트렌즈를 착용 금지할 것</v>
          </cell>
        </row>
        <row r="931">
          <cell r="B931" t="str">
            <v>572-48-5</v>
          </cell>
          <cell r="C931" t="str">
            <v>쿠미토에이트</v>
          </cell>
          <cell r="D931" t="str">
            <v>97-1-265</v>
          </cell>
          <cell r="E931" t="str">
            <v>및 이를 1% 이상 함유한 혼합물질</v>
          </cell>
          <cell r="F931">
            <v>1</v>
          </cell>
          <cell r="G931" t="str">
            <v>- 통풍이 잘 되는 그늘 및 서늘한 곳에 밀폐 보관할 것
- 식료품, 사료, 의약품, 음식과 혼합저장 금지할 것
- 필요에 따라 국소배기장치 가동할 것
- 저장용기는 물리적인 손상에 견딜 수 있어야 할 것
- 사고발생에 대비하여 눈이나 몸을 씻을 수 있는 세안시설과 샤워시설이 이용 가능한 장소에서 작업할 것
- 사용한 후 식사, 흡연, 화장실에 가기 전에 물과 비누로 손을 꼭 세척할 것
- 호흡용보호구, 전면보호구, 보안경, 보호장갑(고무 또는 네오프렌 재질)을 반드시 사용할 것
- 콘택트렌즈를 착용 금지할 것
- 통풍장치 가동할 것
- 가죽으로 만든 보호의, 장갑, 앞치마는 사용 금지할 것</v>
          </cell>
        </row>
        <row r="932">
          <cell r="B932" t="str">
            <v>13593-03-8</v>
          </cell>
          <cell r="C932" t="str">
            <v>퀴날포스</v>
          </cell>
          <cell r="D932" t="str">
            <v>97-1-266</v>
          </cell>
          <cell r="E932" t="str">
            <v>및 이를 1% 이상 함유한 혼합물질</v>
          </cell>
          <cell r="F932">
            <v>1</v>
          </cell>
          <cell r="G932" t="str">
            <v>- 통풍이 잘 되는 그늘 및 서늘한 곳에 밀폐 보관할 것
- 식료품, 사료, 의약품, 음식과 혼합저장 금지할 것
- 필요에 따라 국소배기장치 가동할 것
- 저장용기는 물리적인 손상에 견딜 수 있어야 할 것
- 사고발생에 대비하여 눈이나 몸을 씻을 수 있는 세안시설과 샤워시설이 이용 가능한 장소에서 작업할 것
- 사용한 후 식사, 흡연, 화장실에 가기 전에 물과 비누로 손을 꼭 세척할 것
- 호흡용보호구, 전면보호구, 보안경, 보호장갑(고무 또는 네오프렌 재질)을 반드시 사용할 것
- 콘택트렌즈를 착용 금지할 것
- 통풍장치 가동할 것
- 가죽으로 만든 보호의, 장갑, 앞치마는 사용 금지할 것
- 빈 용기에 잔류물질은 바닥에 쌓여서 축적될 수 있어서 이러한 잔류물질은 적당한 점화원이 존재하는 경우에 폭발할 수도 있으므로 빈 용기를 절삭, 천공, 연마 또는 용접을 해서는 안될 것</v>
          </cell>
        </row>
        <row r="933">
          <cell r="B933" t="str">
            <v>2797-51-5</v>
          </cell>
          <cell r="C933" t="str">
            <v>퀴노클라민</v>
          </cell>
          <cell r="D933" t="str">
            <v>97-1-267</v>
          </cell>
          <cell r="E933" t="str">
            <v>및 이를 1% 이상 함유한 혼합물질</v>
          </cell>
          <cell r="F933">
            <v>1</v>
          </cell>
          <cell r="G933" t="str">
            <v>- 건조하고 통풍이 잘 되는 그늘 및 서늘한 곳에 밀폐 보관할 것
- 식료품, 사료, 의약품, 음식과 혼합저장 금지할 것
- 필요에 따라 국소배기장치 가동할 것
- 저장용기는 물리적인 손상에 견딜 수 있어야 할 것
- 취급 또는 작업시는 통풍이 잘 되는 후드에서 행하고 고글형보안경, 보호의, 보호장갑, 앞치마, 양압자급식호흡용보호구를 착용하여 단기적인 접촉 및 반복적이고 장기적인 노출을 피할 것
- 노출기준 이상에서는 호흡보호구를 착용할 것</v>
          </cell>
        </row>
        <row r="934">
          <cell r="B934" t="str">
            <v>1319-77-3</v>
          </cell>
          <cell r="C934" t="str">
            <v>크레졸</v>
          </cell>
          <cell r="D934" t="str">
            <v>97-1-268</v>
          </cell>
          <cell r="E934" t="str">
            <v>및 이를 5% 이상 함유한 혼합물질</v>
          </cell>
          <cell r="F934">
            <v>5</v>
          </cell>
          <cell r="G934" t="str">
            <v>- 통풍이 잘 되는 그늘 및 서늘한 곳에 밀폐 보관할 것
- 철이나 강철재질의 용기에 저장하고 빛을 완전 차단할 것
- 필요에 따라 국소배기장치 가동할 것
- 취급 시 피부접촉을 피하고 보호의, 보안경, 앞치마, 보호장갑(고무)을 착용할 것
- 취급 시 양압자급식호흡용보호장비를 착용할 것
- 취급 시 콘택트렌즈를 착용 금지할 것
- 사고대비물질(메타-크레졸 및 이를 5% 이상 함유한 혼합물질)</v>
          </cell>
        </row>
        <row r="935">
          <cell r="B935" t="str">
            <v>95-48-7</v>
          </cell>
          <cell r="C935" t="str">
            <v>O-크레졸</v>
          </cell>
          <cell r="D935" t="str">
            <v>97-1-268</v>
          </cell>
          <cell r="E935" t="str">
            <v>및 이를 5% 이상 함유한 혼합물질</v>
          </cell>
          <cell r="F935">
            <v>5</v>
          </cell>
          <cell r="G935" t="str">
            <v>- 통풍이 잘 되는 그늘 및 서늘한 곳에 밀폐 보관할 것
- 철이나 강철재질의 용기에 저장하고 빛을 완전 차단할 것
- 필요에 따라 국소배기장치 가동할 것
- 취급 시 피부접촉을 피하고 보호의, 보안경, 앞치마, 보호장갑(고무)을 착용할 것
- 취급 시 양압자급식호흡용보호장비를 착용할 것
- 취급 시 콘택트렌즈를 착용 금지할 것
- 사고대비물질(메타-크레졸 및 이를 5% 이상 함유한 혼합물질)</v>
          </cell>
        </row>
        <row r="936">
          <cell r="B936" t="str">
            <v>108-39-4</v>
          </cell>
          <cell r="C936" t="str">
            <v>m-크레졸</v>
          </cell>
          <cell r="D936" t="str">
            <v>97-1-268</v>
          </cell>
          <cell r="E936" t="str">
            <v>및 이를 5% 이상 함유한 혼합물질</v>
          </cell>
          <cell r="F936">
            <v>5</v>
          </cell>
          <cell r="G936" t="str">
            <v>- 통풍이 잘 되는 그늘 및 서늘한 곳에 밀폐 보관할 것
- 철이나 강철재질의 용기에 저장하고 빛을 완전 차단할 것
- 필요에 따라 국소배기장치 가동할 것
- 취급 시 피부접촉을 피하고 보호의, 보안경, 앞치마, 보호장갑(고무)을 착용할 것
- 취급 시 양압자급식호흡용보호장비를 착용할 것
- 취급 시 콘택트렌즈를 착용 금지할 것
- 사고대비물질(메타-크레졸 및 이를 5% 이상 함유한 혼합물질)</v>
          </cell>
        </row>
        <row r="937">
          <cell r="B937" t="str">
            <v>106-44-5</v>
          </cell>
          <cell r="C937" t="str">
            <v>P-크레졸</v>
          </cell>
          <cell r="D937" t="str">
            <v>97-1-268</v>
          </cell>
          <cell r="E937" t="str">
            <v>및 이를 5% 이상 함유한 혼합물질</v>
          </cell>
          <cell r="F937">
            <v>5</v>
          </cell>
          <cell r="G937" t="str">
            <v>- 통풍이 잘 되는 그늘 및 서늘한 곳에 밀폐 보관할 것
- 철이나 강철재질의 용기에 저장하고 빛을 완전 차단할 것
- 필요에 따라 국소배기장치 가동할 것
- 취급 시 피부접촉을 피하고 보호의, 보안경, 앞치마, 보호장갑(고무)을 착용할 것
- 취급 시 양압자급식호흡용보호장비를 착용할 것
- 취급 시 콘택트렌즈를 착용 금지할 것
- 사고대비물질(메타-크레졸 및 이를 5% 이상 함유한 혼합물질)</v>
          </cell>
        </row>
        <row r="938">
          <cell r="B938" t="str">
            <v>7700-17-6</v>
          </cell>
          <cell r="C938" t="str">
            <v>크로톡시포스</v>
          </cell>
          <cell r="D938" t="str">
            <v>97-1-269</v>
          </cell>
          <cell r="E938" t="str">
            <v>및 이를 1% 이상함유한 혼합물질</v>
          </cell>
          <cell r="F938">
            <v>1</v>
          </cell>
          <cell r="G938" t="str">
            <v>- 통풍이 잘 되는 그늘 및 서늘한 곳에서 유리, 폴리에틸렌용기에 보관할 것
- 식료품, 사료, 의약품, 인화성물질, 알칼리물질과 혼합저장 금지할 것
- 필요에 따라 국소배기장치 가동할 것
- 화학물질 흄 후드 내에서 취급할 것
- 가죽으로 만든 보호의, 장갑, 앞치마는 사용 금지할 것
- 작업 후 온몸을 깨끗이 씻은 후 충분한 휴식할 것
- 양압자급식호흡용보호구를 반드시 착용하고 보호의와 고글형 보안경, 고무장갑을 착용할 것</v>
          </cell>
        </row>
        <row r="939">
          <cell r="B939" t="str">
            <v>4170-30-3</v>
          </cell>
          <cell r="C939" t="str">
            <v>크로톤알데히드</v>
          </cell>
          <cell r="D939" t="str">
            <v>97-1-270</v>
          </cell>
          <cell r="E939" t="str">
            <v>및 이를 1% 이상 함유한 혼합물질</v>
          </cell>
          <cell r="F939">
            <v>1</v>
          </cell>
          <cell r="G939" t="str">
            <v>- 건조하고 통풍이 잘 되는 그늘 및 서늘한 곳에 알칼리, 산화제, 열원 등과 격리 보관할 것
- 식료품, 사료, 의약품, 음식과 혼합저장 금지할 것
- 필요에 따라 국소배기장치 가동할 것
- 취급 또는 작업시는 양압자급식호흡용보호구를 착용하고 고글형보안경, 보호의, 고무(또는 PVC)재질의 장갑 및 고무장화 등을 착용하여 단기적인 접촉 및 반복적이고 장기적인 노출을 피할 것
- 취급 후, 손을 철저하게 세척할 것
- 물질을 이동시킬 때 용기를 땅에 밀착하여 이동할 것
- 빈 용기를 가압, 절단, 용접, 납땜, 연마, 천공을 해서는 안 되며, 열, 스파크, 화염에 노출시키지 말 것</v>
          </cell>
        </row>
        <row r="940">
          <cell r="B940" t="str">
            <v>123-73-9</v>
          </cell>
          <cell r="C940" t="str">
            <v>크로톤알데히드</v>
          </cell>
          <cell r="D940" t="str">
            <v>97-1-270</v>
          </cell>
          <cell r="E940" t="str">
            <v>및 이를 1% 이상 함유한 혼합물질</v>
          </cell>
          <cell r="F940">
            <v>1</v>
          </cell>
          <cell r="G940" t="str">
            <v>- 건조하고 통풍이 잘 되는 그늘 및 서늘한 곳에 알칼리, 산화제, 열원 등과 격리 보관할 것
- 식료품, 사료, 의약품, 음식과 혼합저장 금지할 것
- 필요에 따라 국소배기장치 가동할 것
- 취급 또는 작업시는 양압자급식호흡용보호구를 착용하고 고글형보안경, 보호의, 고무(또는 PVC)재질의 장갑 및 고무장화 등을 착용하여 단기적인 접촉 및 반복적이고 장기적인 노출을 피할 것
- 취급 후, 손을 철저하게 세척할 것
- 물질을 이동시킬 때 용기를 땅에 밀착하여 이동할 것
- 빈 용기를 가압, 절단, 용접, 납땜, 연마, 천공을 해서는 안 되며, 열, 스파크, 화염에 노출시키지 말 것</v>
          </cell>
        </row>
        <row r="941">
          <cell r="B941" t="str">
            <v>10034-82-9</v>
          </cell>
          <cell r="C941" t="str">
            <v>크롬산 염류</v>
          </cell>
          <cell r="D941" t="str">
            <v>97-1-271</v>
          </cell>
          <cell r="E941" t="str">
            <v>및 이를 0.1% 이상 함유한 혼합물질. 다만 크롬산납을 70% 이하 함유한 것은 제외</v>
          </cell>
          <cell r="F941">
            <v>0.1</v>
          </cell>
          <cell r="G941" t="str">
            <v>- 통풍이 잘되는 그늘 및 서늘한 곳에 밀폐 보관할 것
- 강산화제이므로 유기물이나 환원제와의 접촉을 피할 것
- 저장용기는 물리적인 손상에 견딜 수 있어야 할 것
- 필요에 따라 국소배기장치 가동할 것
- 취급 시 피부접촉을 피하고 보호복, 보안경, 보호 장갑을 착용할 것
- 취급 시 양압자급식호흡보호구를 착용할 것
- 취급 시 콘택트렌즈를 착용 금지할 것
- 작업장 부근에 비상시를 대비하여 샤워시설 및 세안시설을 갖출 것</v>
          </cell>
        </row>
        <row r="942">
          <cell r="B942" t="str">
            <v>10294-40-3</v>
          </cell>
          <cell r="C942" t="str">
            <v>크롬산 염류</v>
          </cell>
          <cell r="D942" t="str">
            <v>97-1-271</v>
          </cell>
          <cell r="E942" t="str">
            <v>및 이를 0.1% 이상 함유한 혼합물질. 다만 크롬산납을 70% 이하 함유한 것은 제외</v>
          </cell>
          <cell r="F942">
            <v>0.1</v>
          </cell>
          <cell r="G942" t="str">
            <v>- 통풍이 잘되는 그늘 및 서늘한 곳에 밀폐 보관할 것
- 강산화제이므로 유기물이나 환원제와의 접촉을 피할 것
- 저장용기는 물리적인 손상에 견딜 수 있어야 할 것
- 필요에 따라 국소배기장치 가동할 것
- 취급 시 피부접촉을 피하고 보호복, 보안경, 보호 장갑을 착용할 것
- 취급 시 양압자급식호흡보호구를 착용할 것
- 취급 시 콘택트렌즈를 착용 금지할 것
- 작업장 부근에 비상시를 대비하여 샤워시설 및 세안시설을 갖출 것</v>
          </cell>
        </row>
        <row r="943">
          <cell r="B943" t="str">
            <v>10294-52-7</v>
          </cell>
          <cell r="C943" t="str">
            <v>크롬산 염류</v>
          </cell>
          <cell r="D943" t="str">
            <v>97-1-271</v>
          </cell>
          <cell r="E943" t="str">
            <v>및 이를 0.1% 이상 함유한 혼합물질. 다만 크롬산납을 70% 이하 함유한 것은 제외</v>
          </cell>
          <cell r="F943">
            <v>0.1</v>
          </cell>
          <cell r="G943" t="str">
            <v>- 통풍이 잘되는 그늘 및 서늘한 곳에 밀폐 보관할 것
- 강산화제이므로 유기물이나 환원제와의 접촉을 피할 것
- 저장용기는 물리적인 손상에 견딜 수 있어야 할 것
- 필요에 따라 국소배기장치 가동할 것
- 취급 시 피부접촉을 피하고 보호복, 보안경, 보호 장갑을 착용할 것
- 취급 시 양압자급식호흡보호구를 착용할 것
- 취급 시 콘택트렌즈를 착용 금지할 것
- 작업장 부근에 비상시를 대비하여 샤워시설 및 세안시설을 갖출 것</v>
          </cell>
        </row>
        <row r="944">
          <cell r="B944" t="str">
            <v>11103-86-9</v>
          </cell>
          <cell r="C944" t="str">
            <v>크롬산 염류</v>
          </cell>
          <cell r="D944" t="str">
            <v>97-1-271</v>
          </cell>
          <cell r="E944" t="str">
            <v>및 이를 0.1% 이상 함유한 혼합물질. 다만 크롬산납을 70% 이하 함유한 것은 제외</v>
          </cell>
          <cell r="F944">
            <v>0.1</v>
          </cell>
          <cell r="G944" t="str">
            <v>- 통풍이 잘되는 그늘 및 서늘한 곳에 밀폐 보관할 것
- 강산화제이므로 유기물이나 환원제와의 접촉을 피할 것
- 저장용기는 물리적인 손상에 견딜 수 있어야 할 것
- 필요에 따라 국소배기장치 가동할 것
- 취급 시 피부접촉을 피하고 보호복, 보안경, 보호 장갑을 착용할 것
- 취급 시 양압자급식호흡보호구를 착용할 것
- 취급 시 콘택트렌즈를 착용 금지할 것
- 작업장 부근에 비상시를 대비하여 샤워시설 및 세안시설을 갖출 것</v>
          </cell>
        </row>
        <row r="945">
          <cell r="B945" t="str">
            <v>11118-57-3</v>
          </cell>
          <cell r="C945" t="str">
            <v>크롬산 염류</v>
          </cell>
          <cell r="D945" t="str">
            <v>97-1-271</v>
          </cell>
          <cell r="E945" t="str">
            <v>및 이를 0.1% 이상 함유한 혼합물질. 다만 크롬산납을 70% 이하 함유한 것은 제외</v>
          </cell>
          <cell r="F945">
            <v>0.1</v>
          </cell>
          <cell r="G945" t="str">
            <v>- 통풍이 잘되는 그늘 및 서늘한 곳에 밀폐 보관할 것
- 강산화제이므로 유기물이나 환원제와의 접촉을 피할 것
- 저장용기는 물리적인 손상에 견딜 수 있어야 할 것
- 필요에 따라 국소배기장치 가동할 것
- 취급 시 피부접촉을 피하고 보호복, 보안경, 보호 장갑을 착용할 것
- 취급 시 양압자급식호흡보호구를 착용할 것
- 취급 시 콘택트렌즈를 착용 금지할 것
- 작업장 부근에 비상시를 대비하여 샤워시설 및 세안시설을 갖출 것</v>
          </cell>
        </row>
        <row r="946">
          <cell r="B946" t="str">
            <v>11119-70-3</v>
          </cell>
          <cell r="C946" t="str">
            <v>크롬산 염류</v>
          </cell>
          <cell r="D946" t="str">
            <v>97-1-271</v>
          </cell>
          <cell r="E946" t="str">
            <v>및 이를 0.1% 이상 함유한 혼합물질. 다만 크롬산납을 70% 이하 함유한 것은 제외</v>
          </cell>
          <cell r="F946">
            <v>0.1</v>
          </cell>
          <cell r="G946" t="str">
            <v>- 통풍이 잘되는 그늘 및 서늘한 곳에 밀폐 보관할 것
- 강산화제이므로 유기물이나 환원제와의 접촉을 피할 것
- 저장용기는 물리적인 손상에 견딜 수 있어야 할 것
- 필요에 따라 국소배기장치 가동할 것
- 취급 시 피부접촉을 피하고 보호복, 보안경, 보호 장갑을 착용할 것
- 취급 시 양압자급식호흡보호구를 착용할 것
- 취급 시 콘택트렌즈를 착용 금지할 것
- 작업장 부근에 비상시를 대비하여 샤워시설 및 세안시설을 갖출 것</v>
          </cell>
        </row>
        <row r="947">
          <cell r="B947" t="str">
            <v>12433-50-0</v>
          </cell>
          <cell r="C947" t="str">
            <v>크롬산 염류</v>
          </cell>
          <cell r="D947" t="str">
            <v>97-1-271</v>
          </cell>
          <cell r="E947" t="str">
            <v>및 이를 0.1% 이상 함유한 혼합물질. 다만 크롬산납을 70% 이하 함유한 것은 제외</v>
          </cell>
          <cell r="F947">
            <v>0.1</v>
          </cell>
          <cell r="G947" t="str">
            <v>- 통풍이 잘되는 그늘 및 서늘한 곳에 밀폐 보관할 것
- 강산화제이므로 유기물이나 환원제와의 접촉을 피할 것
- 저장용기는 물리적인 손상에 견딜 수 있어야 할 것
- 필요에 따라 국소배기장치 가동할 것
- 취급 시 피부접촉을 피하고 보호복, 보안경, 보호 장갑을 착용할 것
- 취급 시 양압자급식호흡보호구를 착용할 것
- 취급 시 콘택트렌즈를 착용 금지할 것
- 작업장 부근에 비상시를 대비하여 샤워시설 및 세안시설을 갖출 것</v>
          </cell>
        </row>
        <row r="948">
          <cell r="B948" t="str">
            <v>12737-27-8</v>
          </cell>
          <cell r="C948" t="str">
            <v>크롬산 염류</v>
          </cell>
          <cell r="D948" t="str">
            <v>97-1-271</v>
          </cell>
          <cell r="E948" t="str">
            <v>및 이를 0.1% 이상 함유한 혼합물질. 다만 크롬산납을 70% 이하 함유한 것은 제외</v>
          </cell>
          <cell r="F948">
            <v>0.1</v>
          </cell>
          <cell r="G948" t="str">
            <v>- 통풍이 잘되는 그늘 및 서늘한 곳에 밀폐 보관할 것
- 강산화제이므로 유기물이나 환원제와의 접촉을 피할 것
- 저장용기는 물리적인 손상에 견딜 수 있어야 할 것
- 필요에 따라 국소배기장치 가동할 것
- 취급 시 피부접촉을 피하고 보호복, 보안경, 보호 장갑을 착용할 것
- 취급 시 양압자급식호흡보호구를 착용할 것
- 취급 시 콘택트렌즈를 착용 금지할 것
- 작업장 부근에 비상시를 대비하여 샤워시설 및 세안시설을 갖출 것</v>
          </cell>
        </row>
        <row r="949">
          <cell r="B949" t="str">
            <v>1336-14-7</v>
          </cell>
          <cell r="C949" t="str">
            <v>크롬산 염류</v>
          </cell>
          <cell r="D949" t="str">
            <v>97-1-271</v>
          </cell>
          <cell r="E949" t="str">
            <v>및 이를 0.1% 이상 함유한 혼합물질. 다만 크롬산납을 70% 이하 함유한 것은 제외</v>
          </cell>
          <cell r="F949">
            <v>0.1</v>
          </cell>
          <cell r="G949" t="str">
            <v>- 통풍이 잘되는 그늘 및 서늘한 곳에 밀폐 보관할 것
- 강산화제이므로 유기물이나 환원제와의 접촉을 피할 것
- 저장용기는 물리적인 손상에 견딜 수 있어야 할 것
- 필요에 따라 국소배기장치 가동할 것
- 취급 시 피부접촉을 피하고 보호복, 보안경, 보호 장갑을 착용할 것
- 취급 시 양압자급식호흡보호구를 착용할 것
- 취급 시 콘택트렌즈를 착용 금지할 것
- 작업장 부근에 비상시를 대비하여 샤워시설 및 세안시설을 갖출 것</v>
          </cell>
        </row>
        <row r="950">
          <cell r="B950" t="str">
            <v>13423-61-5</v>
          </cell>
          <cell r="C950" t="str">
            <v>크롬산 염류</v>
          </cell>
          <cell r="D950" t="str">
            <v>97-1-271</v>
          </cell>
          <cell r="E950" t="str">
            <v>및 이를 0.1% 이상 함유한 혼합물질. 다만 크롬산납을 70% 이하 함유한 것은 제외</v>
          </cell>
          <cell r="F950">
            <v>0.1</v>
          </cell>
          <cell r="G950" t="str">
            <v>- 통풍이 잘되는 그늘 및 서늘한 곳에 밀폐 보관할 것
- 강산화제이므로 유기물이나 환원제와의 접촉을 피할 것
- 저장용기는 물리적인 손상에 견딜 수 있어야 할 것
- 필요에 따라 국소배기장치 가동할 것
- 취급 시 피부접촉을 피하고 보호복, 보안경, 보호 장갑을 착용할 것
- 취급 시 양압자급식호흡보호구를 착용할 것
- 취급 시 콘택트렌즈를 착용 금지할 것
- 작업장 부근에 비상시를 대비하여 샤워시설 및 세안시설을 갖출 것</v>
          </cell>
        </row>
        <row r="951">
          <cell r="B951" t="str">
            <v>13454-78-9</v>
          </cell>
          <cell r="C951" t="str">
            <v>크롬산 염류</v>
          </cell>
          <cell r="D951" t="str">
            <v>97-1-271</v>
          </cell>
          <cell r="E951" t="str">
            <v>및 이를 0.1% 이상 함유한 혼합물질. 다만 크롬산납을 70% 이하 함유한 것은 제외</v>
          </cell>
          <cell r="F951">
            <v>0.1</v>
          </cell>
          <cell r="G951" t="str">
            <v>- 통풍이 잘되는 그늘 및 서늘한 곳에 밀폐 보관할 것
- 강산화제이므로 유기물이나 환원제와의 접촉을 피할 것
- 저장용기는 물리적인 손상에 견딜 수 있어야 할 것
- 필요에 따라 국소배기장치 가동할 것
- 취급 시 피부접촉을 피하고 보호복, 보안경, 보호 장갑을 착용할 것
- 취급 시 양압자급식호흡보호구를 착용할 것
- 취급 시 콘택트렌즈를 착용 금지할 것
- 작업장 부근에 비상시를 대비하여 샤워시설 및 세안시설을 갖출 것</v>
          </cell>
        </row>
        <row r="952">
          <cell r="B952" t="str">
            <v>13455-25-9</v>
          </cell>
          <cell r="C952" t="str">
            <v>크롬산 염류</v>
          </cell>
          <cell r="D952" t="str">
            <v>97-1-271</v>
          </cell>
          <cell r="E952" t="str">
            <v>및 이를 0.1% 이상 함유한 혼합물질. 다만 크롬산납을 70% 이하 함유한 것은 제외</v>
          </cell>
          <cell r="F952">
            <v>0.1</v>
          </cell>
          <cell r="G952" t="str">
            <v>- 통풍이 잘되는 그늘 및 서늘한 곳에 밀폐 보관할 것
- 강산화제이므로 유기물이나 환원제와의 접촉을 피할 것
- 저장용기는 물리적인 손상에 견딜 수 있어야 할 것
- 필요에 따라 국소배기장치 가동할 것
- 취급 시 피부접촉을 피하고 보호복, 보안경, 보호 장갑을 착용할 것
- 취급 시 양압자급식호흡보호구를 착용할 것
- 취급 시 콘택트렌즈를 착용 금지할 것
- 작업장 부근에 비상시를 대비하여 샤워시설 및 세안시설을 갖출 것</v>
          </cell>
        </row>
        <row r="953">
          <cell r="B953" t="str">
            <v>13473-75-1</v>
          </cell>
          <cell r="C953" t="str">
            <v>크롬산 염류</v>
          </cell>
          <cell r="D953" t="str">
            <v>97-1-271</v>
          </cell>
          <cell r="E953" t="str">
            <v>및 이를 0.1% 이상 함유한 혼합물질. 다만 크롬산납을 70% 이하 함유한 것은 제외</v>
          </cell>
          <cell r="F953">
            <v>0.1</v>
          </cell>
          <cell r="G953" t="str">
            <v>- 통풍이 잘되는 그늘 및 서늘한 곳에 밀폐 보관할 것
- 강산화제이므로 유기물이나 환원제와의 접촉을 피할 것
- 저장용기는 물리적인 손상에 견딜 수 있어야 할 것
- 필요에 따라 국소배기장치 가동할 것
- 취급 시 피부접촉을 피하고 보호복, 보안경, 보호 장갑을 착용할 것
- 취급 시 양압자급식호흡보호구를 착용할 것
- 취급 시 콘택트렌즈를 착용 금지할 것
- 작업장 부근에 비상시를 대비하여 샤워시설 및 세안시설을 갖출 것</v>
          </cell>
        </row>
        <row r="954">
          <cell r="B954" t="str">
            <v>13530-65-9</v>
          </cell>
          <cell r="C954" t="str">
            <v>크롬산 염류</v>
          </cell>
          <cell r="D954" t="str">
            <v>97-1-271</v>
          </cell>
          <cell r="E954" t="str">
            <v>및 이를 0.1% 이상 함유한 혼합물질. 다만 크롬산납을 70% 이하 함유한 것은 제외</v>
          </cell>
          <cell r="F954">
            <v>0.1</v>
          </cell>
          <cell r="G954" t="str">
            <v>- 통풍이 잘되는 그늘 및 서늘한 곳에 밀폐 보관할 것
- 강산화제이므로 유기물이나 환원제와의 접촉을 피할 것
- 저장용기는 물리적인 손상에 견딜 수 있어야 할 것
- 필요에 따라 국소배기장치 가동할 것
- 취급 시 피부접촉을 피하고 보호복, 보안경, 보호 장갑을 착용할 것
- 취급 시 양압자급식호흡보호구를 착용할 것
- 취급 시 콘택트렌즈를 착용 금지할 것
- 작업장 부근에 비상시를 대비하여 샤워시설 및 세안시설을 갖출 것</v>
          </cell>
        </row>
        <row r="955">
          <cell r="B955" t="str">
            <v>13548-42-0</v>
          </cell>
          <cell r="C955" t="str">
            <v>크롬산 염류</v>
          </cell>
          <cell r="D955" t="str">
            <v>97-1-271</v>
          </cell>
          <cell r="E955" t="str">
            <v>및 이를 0.1% 이상 함유한 혼합물질. 다만 크롬산납을 70% 이하 함유한 것은 제외</v>
          </cell>
          <cell r="F955">
            <v>0.1</v>
          </cell>
          <cell r="G955" t="str">
            <v>- 통풍이 잘되는 그늘 및 서늘한 곳에 밀폐 보관할 것
- 강산화제이므로 유기물이나 환원제와의 접촉을 피할 것
- 저장용기는 물리적인 손상에 견딜 수 있어야 할 것
- 필요에 따라 국소배기장치 가동할 것
- 취급 시 피부접촉을 피하고 보호복, 보안경, 보호 장갑을 착용할 것
- 취급 시 양압자급식호흡보호구를 착용할 것
- 취급 시 콘택트렌즈를 착용 금지할 것
- 작업장 부근에 비상시를 대비하여 샤워시설 및 세안시설을 갖출 것</v>
          </cell>
        </row>
        <row r="956">
          <cell r="B956" t="str">
            <v>13765-19-0</v>
          </cell>
          <cell r="C956" t="str">
            <v>크롬산 염류</v>
          </cell>
          <cell r="D956" t="str">
            <v>97-1-271</v>
          </cell>
          <cell r="E956" t="str">
            <v>및 이를 0.1% 이상 함유한 혼합물질. 다만 크롬산납을 70% 이하 함유한 것은 제외</v>
          </cell>
          <cell r="F956">
            <v>0.1</v>
          </cell>
          <cell r="G956" t="str">
            <v>- 통풍이 잘되는 그늘 및 서늘한 곳에 밀폐 보관할 것
- 강산화제이므로 유기물이나 환원제와의 접촉을 피할 것
- 저장용기는 물리적인 손상에 견딜 수 있어야 할 것
- 필요에 따라 국소배기장치 가동할 것
- 취급 시 피부접촉을 피하고 보호복, 보안경, 보호 장갑을 착용할 것
- 취급 시 양압자급식호흡보호구를 착용할 것
- 취급 시 콘택트렌즈를 착용 금지할 것
- 작업장 부근에 비상시를 대비하여 샤워시설 및 세안시설을 갖출 것</v>
          </cell>
        </row>
        <row r="957">
          <cell r="B957" t="str">
            <v>14307-35-8</v>
          </cell>
          <cell r="C957" t="str">
            <v>크롬산 염류</v>
          </cell>
          <cell r="D957" t="str">
            <v>97-1-271</v>
          </cell>
          <cell r="E957" t="str">
            <v>및 이를 0.1% 이상 함유한 혼합물질. 다만 크롬산납을 70% 이하 함유한 것은 제외</v>
          </cell>
          <cell r="F957">
            <v>0.1</v>
          </cell>
          <cell r="G957" t="str">
            <v>- 통풍이 잘되는 그늘 및 서늘한 곳에 밀폐 보관할 것
- 강산화제이므로 유기물이나 환원제와의 접촉을 피할 것
- 저장용기는 물리적인 손상에 견딜 수 있어야 할 것
- 필요에 따라 국소배기장치 가동할 것
- 취급 시 피부접촉을 피하고 보호복, 보안경, 보호 장갑을 착용할 것
- 취급 시 양압자급식호흡보호구를 착용할 것
- 취급 시 콘택트렌즈를 착용 금지할 것
- 작업장 부근에 비상시를 대비하여 샤워시설 및 세안시설을 갖출 것</v>
          </cell>
        </row>
        <row r="958">
          <cell r="B958" t="str">
            <v>14721-18-7</v>
          </cell>
          <cell r="C958" t="str">
            <v>크롬산 염류</v>
          </cell>
          <cell r="D958" t="str">
            <v>97-1-271</v>
          </cell>
          <cell r="E958" t="str">
            <v>및 이를 0.1% 이상 함유한 혼합물질. 다만 크롬산납을 70% 이하 함유한 것은 제외</v>
          </cell>
          <cell r="F958">
            <v>0.1</v>
          </cell>
          <cell r="G958" t="str">
            <v>- 통풍이 잘되는 그늘 및 서늘한 곳에 밀폐 보관할 것
- 강산화제이므로 유기물이나 환원제와의 접촉을 피할 것
- 저장용기는 물리적인 손상에 견딜 수 있어야 할 것
- 필요에 따라 국소배기장치 가동할 것
- 취급 시 피부접촉을 피하고 보호복, 보안경, 보호 장갑을 착용할 것
- 취급 시 양압자급식호흡보호구를 착용할 것
- 취급 시 콘택트렌즈를 착용 금지할 것
- 작업장 부근에 비상시를 대비하여 샤워시설 및 세안시설을 갖출 것</v>
          </cell>
        </row>
        <row r="959">
          <cell r="B959" t="str">
            <v>18454-12-1</v>
          </cell>
          <cell r="C959" t="str">
            <v>크롬산 염류</v>
          </cell>
          <cell r="D959" t="str">
            <v>97-1-271</v>
          </cell>
          <cell r="E959" t="str">
            <v>및 이를 0.1% 이상 함유한 혼합물질. 다만 크롬산납을 70% 이하 함유한 것은 제외</v>
          </cell>
          <cell r="F959">
            <v>0.1</v>
          </cell>
          <cell r="G959" t="str">
            <v>- 통풍이 잘되는 그늘 및 서늘한 곳에 밀폐 보관할 것
- 강산화제이므로 유기물이나 환원제와의 접촉을 피할 것
- 저장용기는 물리적인 손상에 견딜 수 있어야 할 것
- 필요에 따라 국소배기장치 가동할 것
- 취급 시 피부접촉을 피하고 보호복, 보안경, 보호 장갑을 착용할 것
- 취급 시 양압자급식호흡보호구를 착용할 것
- 취급 시 콘택트렌즈를 착용 금지할 것
- 작업장 부근에 비상시를 대비하여 샤워시설 및 세안시설을 갖출 것</v>
          </cell>
        </row>
        <row r="960">
          <cell r="B960" t="str">
            <v>24613-89-6</v>
          </cell>
          <cell r="C960" t="str">
            <v>크롬산 염류</v>
          </cell>
          <cell r="D960" t="str">
            <v>97-1-271</v>
          </cell>
          <cell r="E960" t="str">
            <v>및 이를 0.1% 이상 함유한 혼합물질. 다만 크롬산납을 70% 이하 함유한 것은 제외</v>
          </cell>
          <cell r="F960">
            <v>0.1</v>
          </cell>
          <cell r="G960" t="str">
            <v>- 통풍이 잘되는 그늘 및 서늘한 곳에 밀폐 보관할 것
- 강산화제이므로 유기물이나 환원제와의 접촉을 피할 것
- 저장용기는 물리적인 손상에 견딜 수 있어야 할 것
- 필요에 따라 국소배기장치 가동할 것
- 취급 시 피부접촉을 피하고 보호복, 보안경, 보호 장갑을 착용할 것
- 취급 시 양압자급식호흡보호구를 착용할 것
- 취급 시 콘택트렌즈를 착용 금지할 것
- 작업장 부근에 비상시를 대비하여 샤워시설 및 세안시설을 갖출 것</v>
          </cell>
        </row>
        <row r="961">
          <cell r="B961" t="str">
            <v>37300-23-5</v>
          </cell>
          <cell r="C961" t="str">
            <v>크롬산 염류</v>
          </cell>
          <cell r="D961" t="str">
            <v>97-1-271</v>
          </cell>
          <cell r="E961" t="str">
            <v>및 이를 0.1% 이상 함유한 혼합물질. 다만 크롬산납을 70% 이하 함유한 것은 제외</v>
          </cell>
          <cell r="F961">
            <v>0.1</v>
          </cell>
          <cell r="G961" t="str">
            <v>- 통풍이 잘되는 그늘 및 서늘한 곳에 밀폐 보관할 것
- 강산화제이므로 유기물이나 환원제와의 접촉을 피할 것
- 저장용기는 물리적인 손상에 견딜 수 있어야 할 것
- 필요에 따라 국소배기장치 가동할 것
- 취급 시 피부접촉을 피하고 보호복, 보안경, 보호 장갑을 착용할 것
- 취급 시 양압자급식호흡보호구를 착용할 것
- 취급 시 콘택트렌즈를 착용 금지할 것
- 작업장 부근에 비상시를 대비하여 샤워시설 및 세안시설을 갖출 것</v>
          </cell>
        </row>
        <row r="962">
          <cell r="B962" t="str">
            <v>41189-36-0</v>
          </cell>
          <cell r="C962" t="str">
            <v>크롬산 염류</v>
          </cell>
          <cell r="D962" t="str">
            <v>97-1-271</v>
          </cell>
          <cell r="E962" t="str">
            <v>및 이를 0.1% 이상 함유한 혼합물질. 다만 크롬산납을 70% 이하 함유한 것은 제외</v>
          </cell>
          <cell r="F962">
            <v>0.1</v>
          </cell>
          <cell r="G962" t="str">
            <v>- 통풍이 잘되는 그늘 및 서늘한 곳에 밀폐 보관할 것
- 강산화제이므로 유기물이나 환원제와의 접촉을 피할 것
- 저장용기는 물리적인 손상에 견딜 수 있어야 할 것
- 필요에 따라 국소배기장치 가동할 것
- 취급 시 피부접촉을 피하고 보호복, 보안경, 보호 장갑을 착용할 것
- 취급 시 양압자급식호흡보호구를 착용할 것
- 취급 시 콘택트렌즈를 착용 금지할 것
- 작업장 부근에 비상시를 대비하여 샤워시설 및 세안시설을 갖출 것</v>
          </cell>
        </row>
        <row r="963">
          <cell r="B963" t="str">
            <v>49663-84-5</v>
          </cell>
          <cell r="C963" t="str">
            <v>크롬산 염류</v>
          </cell>
          <cell r="D963" t="str">
            <v>97-1-271</v>
          </cell>
          <cell r="E963" t="str">
            <v>및 이를 0.1% 이상 함유한 혼합물질. 다만 크롬산납을 70% 이하 함유한 것은 제외</v>
          </cell>
          <cell r="F963">
            <v>0.1</v>
          </cell>
          <cell r="G963" t="str">
            <v>- 통풍이 잘되는 그늘 및 서늘한 곳에 밀폐 보관할 것
- 강산화제이므로 유기물이나 환원제와의 접촉을 피할 것
- 저장용기는 물리적인 손상에 견딜 수 있어야 할 것
- 필요에 따라 국소배기장치 가동할 것
- 취급 시 피부접촉을 피하고 보호복, 보안경, 보호 장갑을 착용할 것
- 취급 시 양압자급식호흡보호구를 착용할 것
- 취급 시 콘택트렌즈를 착용 금지할 것
- 작업장 부근에 비상시를 대비하여 샤워시설 및 세안시설을 갖출 것</v>
          </cell>
        </row>
        <row r="964">
          <cell r="B964" t="str">
            <v>7758-97-6</v>
          </cell>
          <cell r="C964" t="str">
            <v>크롬산 염류</v>
          </cell>
          <cell r="D964" t="str">
            <v>97-1-271</v>
          </cell>
          <cell r="E964" t="str">
            <v>및 이를 0.1% 이상 함유한 혼합물질. 다만 크롬산납을 70% 이하 함유한 것은 제외</v>
          </cell>
          <cell r="F964">
            <v>0.1</v>
          </cell>
          <cell r="G964" t="str">
            <v>- 통풍이 잘되는 그늘 및 서늘한 곳에 밀폐 보관할 것
- 강산화제이므로 유기물이나 환원제와의 접촉을 피할 것
- 저장용기는 물리적인 손상에 견딜 수 있어야 할 것
- 필요에 따라 국소배기장치 가동할 것
- 취급 시 피부접촉을 피하고 보호복, 보안경, 보호 장갑을 착용할 것
- 취급 시 양압자급식호흡보호구를 착용할 것
- 취급 시 콘택트렌즈를 착용 금지할 것
- 작업장 부근에 비상시를 대비하여 샤워시설 및 세안시설을 갖출 것</v>
          </cell>
        </row>
        <row r="965">
          <cell r="B965" t="str">
            <v>7775-11-3</v>
          </cell>
          <cell r="C965" t="str">
            <v>크롬산 염류</v>
          </cell>
          <cell r="D965" t="str">
            <v>97-1-271</v>
          </cell>
          <cell r="E965" t="str">
            <v>및 이를 0.1% 이상 함유한 혼합물질. 다만 크롬산납을 70% 이하 함유한 것은 제외</v>
          </cell>
          <cell r="F965">
            <v>0.1</v>
          </cell>
          <cell r="G965" t="str">
            <v>- 통풍이 잘되는 그늘 및 서늘한 곳에 밀폐 보관할 것
- 강산화제이므로 유기물이나 환원제와의 접촉을 피할 것
- 저장용기는 물리적인 손상에 견딜 수 있어야 할 것
- 필요에 따라 국소배기장치 가동할 것
- 취급 시 피부접촉을 피하고 보호복, 보안경, 보호 장갑을 착용할 것
- 취급 시 양압자급식호흡보호구를 착용할 것
- 취급 시 콘택트렌즈를 착용 금지할 것
- 작업장 부근에 비상시를 대비하여 샤워시설 및 세안시설을 갖출 것</v>
          </cell>
        </row>
        <row r="966">
          <cell r="B966" t="str">
            <v>7784-01-2</v>
          </cell>
          <cell r="C966" t="str">
            <v>크롬산 염류</v>
          </cell>
          <cell r="D966" t="str">
            <v>97-1-271</v>
          </cell>
          <cell r="E966" t="str">
            <v>및 이를 0.1% 이상 함유한 혼합물질. 다만 크롬산납을 70% 이하 함유한 것은 제외</v>
          </cell>
          <cell r="F966">
            <v>0.1</v>
          </cell>
          <cell r="G966" t="str">
            <v>- 통풍이 잘되는 그늘 및 서늘한 곳에 밀폐 보관할 것
- 강산화제이므로 유기물이나 환원제와의 접촉을 피할 것
- 저장용기는 물리적인 손상에 견딜 수 있어야 할 것
- 필요에 따라 국소배기장치 가동할 것
- 취급 시 피부접촉을 피하고 보호복, 보안경, 보호 장갑을 착용할 것
- 취급 시 양압자급식호흡보호구를 착용할 것
- 취급 시 콘택트렌즈를 착용 금지할 것
- 작업장 부근에 비상시를 대비하여 샤워시설 및 세안시설을 갖출 것</v>
          </cell>
        </row>
        <row r="967">
          <cell r="B967" t="str">
            <v>7788-98-9</v>
          </cell>
          <cell r="C967" t="str">
            <v>크롬산 염류</v>
          </cell>
          <cell r="D967" t="str">
            <v>97-1-271</v>
          </cell>
          <cell r="E967" t="str">
            <v>및 이를 0.1% 이상 함유한 혼합물질. 다만 크롬산납을 70% 이하 함유한 것은 제외</v>
          </cell>
          <cell r="F967">
            <v>0.1</v>
          </cell>
          <cell r="G967" t="str">
            <v>- 통풍이 잘되는 그늘 및 서늘한 곳에 밀폐 보관할 것
- 강산화제이므로 유기물이나 환원제와의 접촉을 피할 것
- 저장용기는 물리적인 손상에 견딜 수 있어야 할 것
- 필요에 따라 국소배기장치 가동할 것
- 취급 시 피부접촉을 피하고 보호복, 보안경, 보호 장갑을 착용할 것
- 취급 시 양압자급식호흡보호구를 착용할 것
- 취급 시 콘택트렌즈를 착용 금지할 것
- 작업장 부근에 비상시를 대비하여 샤워시설 및 세안시설을 갖출 것</v>
          </cell>
        </row>
        <row r="968">
          <cell r="B968" t="str">
            <v>7789-00-6</v>
          </cell>
          <cell r="C968" t="str">
            <v>크롬산 염류</v>
          </cell>
          <cell r="D968" t="str">
            <v>97-1-271</v>
          </cell>
          <cell r="E968" t="str">
            <v>및 이를 0.1% 이상 함유한 혼합물질. 다만 크롬산납을 70% 이하 함유한 것은 제외</v>
          </cell>
          <cell r="F968">
            <v>0.1</v>
          </cell>
          <cell r="G968" t="str">
            <v>- 통풍이 잘되는 그늘 및 서늘한 곳에 밀폐 보관할 것
- 강산화제이므로 유기물이나 환원제와의 접촉을 피할 것
- 저장용기는 물리적인 손상에 견딜 수 있어야 할 것
- 필요에 따라 국소배기장치 가동할 것
- 취급 시 피부접촉을 피하고 보호복, 보안경, 보호 장갑을 착용할 것
- 취급 시 양압자급식호흡보호구를 착용할 것
- 취급 시 콘택트렌즈를 착용 금지할 것
- 작업장 부근에 비상시를 대비하여 샤워시설 및 세안시설을 갖출 것</v>
          </cell>
        </row>
        <row r="969">
          <cell r="B969" t="str">
            <v>7789-01-7</v>
          </cell>
          <cell r="C969" t="str">
            <v>크롬산 염류</v>
          </cell>
          <cell r="D969" t="str">
            <v>97-1-271</v>
          </cell>
          <cell r="E969" t="str">
            <v>및 이를 0.1% 이상 함유한 혼합물질. 다만 크롬산납을 70% 이하 함유한 것은 제외</v>
          </cell>
          <cell r="F969">
            <v>0.1</v>
          </cell>
          <cell r="G969" t="str">
            <v>- 통풍이 잘되는 그늘 및 서늘한 곳에 밀폐 보관할 것
- 강산화제이므로 유기물이나 환원제와의 접촉을 피할 것
- 저장용기는 물리적인 손상에 견딜 수 있어야 할 것
- 필요에 따라 국소배기장치 가동할 것
- 취급 시 피부접촉을 피하고 보호복, 보안경, 보호 장갑을 착용할 것
- 취급 시 양압자급식호흡보호구를 착용할 것
- 취급 시 콘택트렌즈를 착용 금지할 것
- 작업장 부근에 비상시를 대비하여 샤워시설 및 세안시설을 갖출 것</v>
          </cell>
        </row>
        <row r="970">
          <cell r="B970" t="str">
            <v>7789-06-2</v>
          </cell>
          <cell r="C970" t="str">
            <v>크롬산 염류</v>
          </cell>
          <cell r="D970" t="str">
            <v>97-1-271</v>
          </cell>
          <cell r="E970" t="str">
            <v>및 이를 0.1% 이상 함유한 혼합물질. 다만 크롬산납을 70% 이하 함유한 것은 제외</v>
          </cell>
          <cell r="F970">
            <v>0.1</v>
          </cell>
          <cell r="G970" t="str">
            <v>- 통풍이 잘되는 그늘 및 서늘한 곳에 밀폐 보관할 것
- 강산화제이므로 유기물이나 환원제와의 접촉을 피할 것
- 저장용기는 물리적인 손상에 견딜 수 있어야 할 것
- 필요에 따라 국소배기장치 가동할 것
- 취급 시 피부접촉을 피하고 보호복, 보안경, 보호 장갑을 착용할 것
- 취급 시 양압자급식호흡보호구를 착용할 것
- 취급 시 콘택트렌즈를 착용 금지할 것
- 작업장 부근에 비상시를 대비하여 샤워시설 및 세안시설을 갖출 것</v>
          </cell>
        </row>
        <row r="971">
          <cell r="B971" t="str">
            <v>535-89-7</v>
          </cell>
          <cell r="C971" t="str">
            <v>크리미딘</v>
          </cell>
          <cell r="D971" t="str">
            <v>97-1-272</v>
          </cell>
          <cell r="E971" t="str">
            <v>및 그 중 하나를 1% 이상 함유한 혼합물질</v>
          </cell>
          <cell r="F971">
            <v>1</v>
          </cell>
          <cell r="G971" t="str">
            <v>- 건조하고 통풍이 잘 되는 그늘 및 서늘한 곳에 강산이나 산성 흄과 격리하여 밀폐 보관할 것
- 식료품, 사료, 의약품, 음식과 혼합저장 금지할 것
- 필요에 따라 국소배기장치 가동할 것
- 혼합금지물질 및 점화원을 격리할 것
- 화학물질 흄 후드 내에서 취급할 것
- 취급 또는 작업시는 양압자급식호흡용보호구를 착용하고 고글형 보안경, 내화학성보호의, 보호장갑 및 장화 등을 착용하여 단기적인 접촉 및 반복적이고 장기적인 노출을 피할 것</v>
          </cell>
        </row>
        <row r="972">
          <cell r="B972" t="str">
            <v>15096-52-3</v>
          </cell>
          <cell r="C972" t="str">
            <v>크리올라이트</v>
          </cell>
          <cell r="D972" t="str">
            <v>97-1-273</v>
          </cell>
          <cell r="E972" t="str">
            <v>및 이를 1% 이상 함유한 혼합물질</v>
          </cell>
          <cell r="F972">
            <v>1</v>
          </cell>
          <cell r="G972" t="str">
            <v>- 통풍이 잘 되는 그늘 및 서늘한 곳에 밀폐 보관할 것
- 저장용기는 물리적인 손상에 견딜 수 있어야 할 것
- 필요에 따라 국소배기장치 가동할 것
- 혼합금지물질 및 점화원을 격리할 것
- 화학물질 흄 후드 내에서 취급할 것
- 취급 시 피부접촉을 피하고 보호의, 보안경, 앞치마, 보호장갑을 착용할 것
- 취급 시 양압자급식호흡용보호장비를 착용할 것
- 취급 시 콘택트렌즈를 착용 금지할 것</v>
          </cell>
        </row>
        <row r="973">
          <cell r="B973" t="str">
            <v>1300-71-6</v>
          </cell>
          <cell r="C973" t="str">
            <v>크실레놀</v>
          </cell>
          <cell r="D973" t="str">
            <v>97-1-274</v>
          </cell>
          <cell r="E973" t="str">
            <v>및 이를 5% 이상 함유한 혼합물질</v>
          </cell>
          <cell r="F973">
            <v>5</v>
          </cell>
          <cell r="G973" t="str">
            <v>- 건조하고 통풍이 잘되는 그늘 및 서늘한 곳에 밀폐 보관할 것
- 식료품, 사료, 의약품, 음식과 혼합저장 금지할 것
- 필요에 따라 국소배기장치 가동할 것
- 저장용기는 물리적인 손상에 견딜 수 있어야 할 것
- 화재 또는 폭발의 위험성이 있으므로 열원, 스파크, 불꽃, 가연성물질, 점화원과 격리하여 저장할 것
- 취급 또는 작업 시는 통풍이 잘되는 후드에서 행하고 고글형 보안경, 보호복, 고무장갑, 고무앞치마, 양압자급식호흡보호구를 착용하여 단기적인 접촉 및 반복적이고 장기적인 노출을 피할 것
- 노출기준 이상에서는 호흡보호구를 착용할 것
- 열이나 스파크, 불꽃에 의해 쉽게 점화되므로 주의할 것
- 작업장 부근에 비상시를 대비하여 샤워시설 및 세안시설을 갖출 것
- 작업 시에는 콘택트렌즈 착용금지할 것</v>
          </cell>
        </row>
        <row r="974">
          <cell r="B974" t="str">
            <v>105-67-9</v>
          </cell>
          <cell r="C974" t="str">
            <v>크실레놀</v>
          </cell>
          <cell r="D974" t="str">
            <v>97-1-274</v>
          </cell>
          <cell r="E974" t="str">
            <v>및 이를 5% 이상 함유한 혼합물질</v>
          </cell>
          <cell r="F974">
            <v>5</v>
          </cell>
          <cell r="G974" t="str">
            <v>- 건조하고 통풍이 잘되는 그늘 및 서늘한 곳에 밀폐 보관할 것
- 식료품, 사료, 의약품, 음식과 혼합저장 금지할 것
- 필요에 따라 국소배기장치 가동할 것
- 저장용기는 물리적인 손상에 견딜 수 있어야 할 것
- 화재 또는 폭발의 위험성이 있으므로 열원, 스파크, 불꽃, 가연성물질, 점화원과 격리하여 저장할 것
- 취급 또는 작업 시는 통풍이 잘되는 후드에서 행하고 고글형 보안경, 보호복, 고무장갑, 고무앞치마, 양압자급식호흡보호구를 착용하여 단기적인 접촉 및 반복적이고 장기적인 노출을 피할 것
- 노출기준 이상에서는 호흡보호구를 착용할 것
- 열이나 스파크, 불꽃에 의해 쉽게 점화되므로 주의할 것
- 작업장 부근에 비상시를 대비하여 샤워시설 및 세안시설을 갖출 것
- 작업 시에는 콘택트렌즈 착용금지할 것</v>
          </cell>
        </row>
        <row r="975">
          <cell r="B975" t="str">
            <v>108-68-9</v>
          </cell>
          <cell r="C975" t="str">
            <v>3,5-크실레놀</v>
          </cell>
          <cell r="D975" t="str">
            <v>97-1-274</v>
          </cell>
          <cell r="E975" t="str">
            <v>및 이를 5% 이상 함유한 혼합물질</v>
          </cell>
          <cell r="F975">
            <v>5</v>
          </cell>
          <cell r="G975" t="str">
            <v>- 건조하고 통풍이 잘되는 그늘 및 서늘한 곳에 밀폐 보관할 것
- 식료품, 사료, 의약품, 음식과 혼합저장 금지할 것
- 필요에 따라 국소배기장치 가동할 것
- 저장용기는 물리적인 손상에 견딜 수 있어야 할 것
- 화재 또는 폭발의 위험성이 있으므로 열원, 스파크, 불꽃, 가연성물질, 점화원과 격리하여 저장할 것
- 취급 또는 작업 시는 통풍이 잘되는 후드에서 행하고 고글형 보안경, 보호복, 고무장갑, 고무앞치마, 양압자급식호흡보호구를 착용하여 단기적인 접촉 및 반복적이고 장기적인 노출을 피할 것
- 노출기준 이상에서는 호흡보호구를 착용할 것
- 열이나 스파크, 불꽃에 의해 쉽게 점화되므로 주의할 것
- 작업장 부근에 비상시를 대비하여 샤워시설 및 세안시설을 갖출 것
- 작업 시에는 콘택트렌즈 착용금지할 것</v>
          </cell>
        </row>
        <row r="976">
          <cell r="B976" t="str">
            <v>526-75-0</v>
          </cell>
          <cell r="C976" t="str">
            <v>2,3-크실레놀</v>
          </cell>
          <cell r="D976" t="str">
            <v>97-1-274</v>
          </cell>
          <cell r="E976" t="str">
            <v>및 이를 5% 이상 함유한 혼합물질</v>
          </cell>
          <cell r="F976">
            <v>5</v>
          </cell>
          <cell r="G976" t="str">
            <v>- 건조하고 통풍이 잘되는 그늘 및 서늘한 곳에 밀폐 보관할 것
- 식료품, 사료, 의약품, 음식과 혼합저장 금지할 것
- 필요에 따라 국소배기장치 가동할 것
- 저장용기는 물리적인 손상에 견딜 수 있어야 할 것
- 화재 또는 폭발의 위험성이 있으므로 열원, 스파크, 불꽃, 가연성물질, 점화원과 격리하여 저장할 것
- 취급 또는 작업 시는 통풍이 잘되는 후드에서 행하고 고글형 보안경, 보호복, 고무장갑, 고무앞치마, 양압자급식호흡보호구를 착용하여 단기적인 접촉 및 반복적이고 장기적인 노출을 피할 것
- 노출기준 이상에서는 호흡보호구를 착용할 것
- 열이나 스파크, 불꽃에 의해 쉽게 점화되므로 주의할 것
- 작업장 부근에 비상시를 대비하여 샤워시설 및 세안시설을 갖출 것
- 작업 시에는 콘택트렌즈 착용금지할 것</v>
          </cell>
        </row>
        <row r="977">
          <cell r="B977" t="str">
            <v>576-26-1</v>
          </cell>
          <cell r="C977" t="str">
            <v>2,6-디메틸페놀</v>
          </cell>
          <cell r="D977" t="str">
            <v>97-1-274</v>
          </cell>
          <cell r="E977" t="str">
            <v>및 이를 5% 이상 함유한 혼합물질</v>
          </cell>
          <cell r="F977">
            <v>5</v>
          </cell>
          <cell r="G977" t="str">
            <v>- 건조하고 통풍이 잘되는 그늘 및 서늘한 곳에 밀폐 보관할 것
- 식료품, 사료, 의약품, 음식과 혼합저장 금지할 것
- 필요에 따라 국소배기장치 가동할 것
- 저장용기는 물리적인 손상에 견딜 수 있어야 할 것
- 화재 또는 폭발의 위험성이 있으므로 열원, 스파크, 불꽃, 가연성물질, 점화원과 격리하여 저장할 것
- 취급 또는 작업 시는 통풍이 잘되는 후드에서 행하고 고글형 보안경, 보호복, 고무장갑, 고무앞치마, 양압자급식호흡보호구를 착용하여 단기적인 접촉 및 반복적이고 장기적인 노출을 피할 것
- 노출기준 이상에서는 호흡보호구를 착용할 것
- 열이나 스파크, 불꽃에 의해 쉽게 점화되므로 주의할 것
- 작업장 부근에 비상시를 대비하여 샤워시설 및 세안시설을 갖출 것
- 작업 시에는 콘택트렌즈 착용금지할 것</v>
          </cell>
        </row>
        <row r="978">
          <cell r="B978" t="str">
            <v>71975-58-1</v>
          </cell>
          <cell r="C978" t="str">
            <v>크실레놀</v>
          </cell>
          <cell r="D978" t="str">
            <v>97-1-274</v>
          </cell>
          <cell r="E978" t="str">
            <v>및 이를 5% 이상 함유한 혼합물질</v>
          </cell>
          <cell r="F978">
            <v>5</v>
          </cell>
          <cell r="G978" t="str">
            <v>- 건조하고 통풍이 잘되는 그늘 및 서늘한 곳에 밀폐 보관할 것
- 식료품, 사료, 의약품, 음식과 혼합저장 금지할 것
- 필요에 따라 국소배기장치 가동할 것
- 저장용기는 물리적인 손상에 견딜 수 있어야 할 것
- 화재 또는 폭발의 위험성이 있으므로 열원, 스파크, 불꽃, 가연성물질, 점화원과 격리하여 저장할 것
- 취급 또는 작업 시는 통풍이 잘되는 후드에서 행하고 고글형 보안경, 보호복, 고무장갑, 고무앞치마, 양압자급식호흡보호구를 착용하여 단기적인 접촉 및 반복적이고 장기적인 노출을 피할 것
- 노출기준 이상에서는 호흡보호구를 착용할 것
- 열이나 스파크, 불꽃에 의해 쉽게 점화되므로 주의할 것
- 작업장 부근에 비상시를 대비하여 샤워시설 및 세안시설을 갖출 것
- 작업 시에는 콘택트렌즈 착용금지할 것</v>
          </cell>
        </row>
        <row r="979">
          <cell r="B979" t="str">
            <v>95-65-8</v>
          </cell>
          <cell r="C979" t="str">
            <v>크실레놀</v>
          </cell>
          <cell r="D979" t="str">
            <v>97-1-274</v>
          </cell>
          <cell r="E979" t="str">
            <v>및 이를 5% 이상 함유한 혼합물질</v>
          </cell>
          <cell r="F979">
            <v>5</v>
          </cell>
          <cell r="G979" t="str">
            <v>- 건조하고 통풍이 잘되는 그늘 및 서늘한 곳에 밀폐 보관할 것
- 식료품, 사료, 의약품, 음식과 혼합저장 금지할 것
- 필요에 따라 국소배기장치 가동할 것
- 저장용기는 물리적인 손상에 견딜 수 있어야 할 것
- 화재 또는 폭발의 위험성이 있으므로 열원, 스파크, 불꽃, 가연성물질, 점화원과 격리하여 저장할 것
- 취급 또는 작업 시는 통풍이 잘되는 후드에서 행하고 고글형 보안경, 보호복, 고무장갑, 고무앞치마, 양압자급식호흡보호구를 착용하여 단기적인 접촉 및 반복적이고 장기적인 노출을 피할 것
- 노출기준 이상에서는 호흡보호구를 착용할 것
- 열이나 스파크, 불꽃에 의해 쉽게 점화되므로 주의할 것
- 작업장 부근에 비상시를 대비하여 샤워시설 및 세안시설을 갖출 것
- 작업 시에는 콘택트렌즈 착용금지할 것</v>
          </cell>
        </row>
        <row r="980">
          <cell r="B980" t="str">
            <v>95-87-4</v>
          </cell>
          <cell r="C980" t="str">
            <v>2,5-크실레놀</v>
          </cell>
          <cell r="D980" t="str">
            <v>97-1-274</v>
          </cell>
          <cell r="E980" t="str">
            <v>및 이를 5% 이상 함유한 혼합물질</v>
          </cell>
          <cell r="F980">
            <v>5</v>
          </cell>
          <cell r="G980" t="str">
            <v>- 건조하고 통풍이 잘되는 그늘 및 서늘한 곳에 밀폐 보관할 것
- 식료품, 사료, 의약품, 음식과 혼합저장 금지할 것
- 필요에 따라 국소배기장치 가동할 것
- 저장용기는 물리적인 손상에 견딜 수 있어야 할 것
- 화재 또는 폭발의 위험성이 있으므로 열원, 스파크, 불꽃, 가연성물질, 점화원과 격리하여 저장할 것
- 취급 또는 작업 시는 통풍이 잘되는 후드에서 행하고 고글형 보안경, 보호복, 고무장갑, 고무앞치마, 양압자급식호흡보호구를 착용하여 단기적인 접촉 및 반복적이고 장기적인 노출을 피할 것
- 노출기준 이상에서는 호흡보호구를 착용할 것
- 열이나 스파크, 불꽃에 의해 쉽게 점화되므로 주의할 것
- 작업장 부근에 비상시를 대비하여 샤워시설 및 세안시설을 갖출 것
- 작업 시에는 콘택트렌즈 착용금지할 것</v>
          </cell>
        </row>
        <row r="981">
          <cell r="B981" t="str">
            <v>1330-20-7</v>
          </cell>
          <cell r="C981" t="str">
            <v>크실렌</v>
          </cell>
          <cell r="D981" t="str">
            <v>97-1-275</v>
          </cell>
          <cell r="E981" t="str">
            <v>및 이를 85% 이상 함유한 혼합물질</v>
          </cell>
          <cell r="F981">
            <v>85</v>
          </cell>
          <cell r="G981" t="str">
            <v>- 통풍이 잘 되는 그늘 및 서늘한 곳에 밀폐 보관할 것
- 식료품, 사료, 의약품, 음식과 혼합저장 금지할 것
- 필요에 따라 국소배기장치 가동할 것
- 산(아세트산, 잘산)이나 강산화제(염소, 브롬, 플루오르)와 혼합위험성(incompatible)이 있으므로 격리하여 저장할 것
- 화재 또는 폭발의 위험성이 있으므로 열원, 스파크, 불꽃, 가연성물질, 점화원과 격리하여 저장할 것
- 취급 또는 작업시는 통풍이 잘 되는 후드에서 행하고 보호의, 고무장갑, 고무앞치마, 양압자급식호흡용보호구를 착용하여 단기적인 접촉 및 반복적이고 장기적인 노출을 피할 것
- 노출기준 이상에서는 호흡보호구를 착용할 것</v>
          </cell>
        </row>
        <row r="982">
          <cell r="B982" t="str">
            <v>95-47-6</v>
          </cell>
          <cell r="C982" t="str">
            <v>O-크실렌</v>
          </cell>
          <cell r="D982" t="str">
            <v>97-1-275</v>
          </cell>
          <cell r="E982" t="str">
            <v>및 이를 85% 이상 함유한 혼합물질</v>
          </cell>
          <cell r="F982">
            <v>85</v>
          </cell>
          <cell r="G982" t="str">
            <v>- 통풍이 잘 되는 그늘 및 서늘한 곳에 밀폐 보관할 것
- 식료품, 사료, 의약품, 음식과 혼합저장 금지할 것
- 필요에 따라 국소배기장치 가동할 것
- 산(아세트산, 잘산)이나 강산화제(염소, 브롬, 플루오르)와 혼합위험성(incompatible)이 있으므로 격리하여 저장할 것
- 화재 또는 폭발의 위험성이 있으므로 열원, 스파크, 불꽃, 가연성물질, 점화원과 격리하여 저장할 것
- 취급 또는 작업시는 통풍이 잘 되는 후드에서 행하고 보호의, 고무장갑, 고무앞치마, 양압자급식호흡용보호구를 착용하여 단기적인 접촉 및 반복적이고 장기적인 노출을 피할 것
- 노출기준 이상에서는 호흡보호구를 착용할 것</v>
          </cell>
        </row>
        <row r="983">
          <cell r="B983" t="str">
            <v>108-38-3</v>
          </cell>
          <cell r="C983" t="str">
            <v>M-크실렌</v>
          </cell>
          <cell r="D983" t="str">
            <v>97-1-275</v>
          </cell>
          <cell r="E983" t="str">
            <v>및 이를 85% 이상 함유한 혼합물질</v>
          </cell>
          <cell r="F983">
            <v>85</v>
          </cell>
          <cell r="G983" t="str">
            <v>- 통풍이 잘 되는 그늘 및 서늘한 곳에 밀폐 보관할 것
- 식료품, 사료, 의약품, 음식과 혼합저장 금지할 것
- 필요에 따라 국소배기장치 가동할 것
- 산(아세트산, 잘산)이나 강산화제(염소, 브롬, 플루오르)와 혼합위험성(incompatible)이 있으므로 격리하여 저장할 것
- 화재 또는 폭발의 위험성이 있으므로 열원, 스파크, 불꽃, 가연성물질, 점화원과 격리하여 저장할 것
- 취급 또는 작업시는 통풍이 잘 되는 후드에서 행하고 보호의, 고무장갑, 고무앞치마, 양압자급식호흡용보호구를 착용하여 단기적인 접촉 및 반복적이고 장기적인 노출을 피할 것
- 노출기준 이상에서는 호흡보호구를 착용할 것</v>
          </cell>
        </row>
        <row r="984">
          <cell r="B984" t="str">
            <v>106-42-3</v>
          </cell>
          <cell r="C984" t="str">
            <v>P-자일렌</v>
          </cell>
          <cell r="D984" t="str">
            <v>97-1-275</v>
          </cell>
          <cell r="E984" t="str">
            <v>및 이를 85% 이상 함유한 혼합물질</v>
          </cell>
          <cell r="F984">
            <v>85</v>
          </cell>
          <cell r="G984" t="str">
            <v>- 통풍이 잘 되는 그늘 및 서늘한 곳에 밀폐 보관할 것
- 식료품, 사료, 의약품, 음식과 혼합저장 금지할 것
- 필요에 따라 국소배기장치 가동할 것
- 산(아세트산, 잘산)이나 강산화제(염소, 브롬, 플루오르)와 혼합위험성(incompatible)이 있으므로 격리하여 저장할 것
- 화재 또는 폭발의 위험성이 있으므로 열원, 스파크, 불꽃, 가연성물질, 점화원과 격리하여 저장할 것
- 취급 또는 작업시는 통풍이 잘 되는 후드에서 행하고 보호의, 고무장갑, 고무앞치마, 양압자급식호흡용보호구를 착용하여 단기적인 접촉 및 반복적이고 장기적인 노출을 피할 것
- 노출기준 이상에서는 호흡보호구를 착용할 것</v>
          </cell>
        </row>
        <row r="985">
          <cell r="B985" t="str">
            <v>107-30-2</v>
          </cell>
          <cell r="C985" t="str">
            <v>클로로메틸 메틸 에테르</v>
          </cell>
          <cell r="D985" t="str">
            <v>97-1-276</v>
          </cell>
          <cell r="E985" t="str">
            <v>및 이를 0.1% 이상 함유한 혼합물질</v>
          </cell>
          <cell r="F985">
            <v>0.1</v>
          </cell>
          <cell r="G985" t="str">
            <v>- 과염소산염, 과산화물, 과망간산염, 질산염 등의 강산화제, 물, 열원과 격리하여 저장할 것
- 통풍이 잘 되는 그늘 및 서늘한 곳에 밀폐 보관할 것
- 저장용기는 물리적인 손상에 견딜 수 있어야 할 것
- 사고발생에 대비하여 눈이나 몸을 씻을 수 있는 세안시설과 샤워시설이 이용 가능한 장소에서 작업할 것
- 사용한 후 식사, 흡연, 화장실에 가기 전에 물과 비누로 손을 꼭 세척할 것
- 취급 또는 작업 시는 통풍이 잘 되는 후드에서 행하고 내산성보호의, 고무장갑, 고무앞치마, 산성가스 카트리지가 장착된 전면호흡용보호구를 착용하여 단기적인 접촉 및 반복적이고 장기적인 노출을 피해야 할 것
- 콘택트렌즈를 착용 금지할 것
- 통풍장치 가동할 것</v>
          </cell>
        </row>
        <row r="986">
          <cell r="B986" t="str">
            <v>7790-94-5</v>
          </cell>
          <cell r="C986" t="str">
            <v>클로로술폰산</v>
          </cell>
          <cell r="D986" t="str">
            <v>97-1-277</v>
          </cell>
          <cell r="E986" t="str">
            <v>및 이를 25% 이상 함유한 혼합물질</v>
          </cell>
          <cell r="F986">
            <v>25</v>
          </cell>
          <cell r="G986" t="str">
            <v>- 용기와 반응하여 생성되는 수소기체로 인해 내부압력이 높아질 수 있으므로 주 1 회 이상 환기할 것
- 유리나 오지 또는 금속용기에 담아 나무상자에 넣어 건조하고 통풍이 잘 되는 그늘 및 서늘한 곳에서 위험하게 반응할 수 있는 물질과 격리하여 밀폐 보관할 것
- 식료품, 사료, 의약품, 음식과 혼합저장 금지할 것
- 필요에 따라 국소배기장치 가동할 것
- 가연성 물질과 가까이에 저장 금지할 것
- 사용하지 않는 경우에는 용기를 밀폐할 것
- 취급 또는 작업 시는 양압자급식호흡용보호구를 착용하고 내산성보호의, 고무(또는 네오프렌)재질의 장갑 및 고무장화 등을 착용하여 단기적인 접촉 및 반복적이고 장기적인 노출을 피할 것
- 취급 후, 손을 철저하게 세척할 것
- 격렬한 반응이 일어나기 때문에 용기 안으로 물이 들어가지 않도록 할 것
- 빈 용기를 가압, 절단, 용접, 납땜, 연마, 천공을 해서는 안 되며, 열, 스파크, 화염에 노출시키지 말 것
- 사고대비물질(이를 25% 이상 함유한 혼합물질)</v>
          </cell>
        </row>
        <row r="987">
          <cell r="B987" t="str">
            <v>79-11-8</v>
          </cell>
          <cell r="C987" t="str">
            <v>클로로아세트산</v>
          </cell>
          <cell r="D987" t="str">
            <v>97-1-278</v>
          </cell>
          <cell r="E987" t="str">
            <v>및 이를 25% 이상 함유한 혼합물질</v>
          </cell>
          <cell r="F987">
            <v>25</v>
          </cell>
          <cell r="G987" t="str">
            <v>- 서늘하고 건조하고 통풍이 잘 되는 장소에서 혼합금지물질과 떨어진 곳에 저장할 것
- 식료품, 사료, 의약품, 음식과 혼합저장 금지할 것
- 필요에 따라 국소배기장치 가동할 것
- 취급 또는 작업 시는 자급식호흡용보호구를 착용하고 고글형 보안경, 내화학성보호의, 고무(또는 네오프렌)재질의 장갑 및 고무장화 등을 착용하여 단기적인 접촉 및 반복적이고 장기적인 노출을 피할 것
- 취급 후, 손을 철저하게 세척할 것
- 분진 발생과 분진 축적을 최소화할 것</v>
          </cell>
        </row>
        <row r="988">
          <cell r="B988" t="str">
            <v>1897-45-6</v>
          </cell>
          <cell r="C988" t="str">
            <v>클로로타로닐</v>
          </cell>
          <cell r="D988" t="str">
            <v>97-1-279</v>
          </cell>
          <cell r="E988" t="str">
            <v>및 이를 0.1% 이상 함유한 혼합물질</v>
          </cell>
          <cell r="F988">
            <v>0.1</v>
          </cell>
          <cell r="G988" t="str">
            <v>- 건조하고 통풍이 잘 되는 그늘 및 서늘한 곳에 보관할 것
- 식료품, 사료, 의약품, 음식과 혼합저장 금지할 것
- 필요에 따라 국소배기장치 가동할 것
- 화학물질 흄 후드 내에서 취급할 것
- 취급 또는 작업 시는 양압자급식 호흡용보호구를 착용하고 고글형 보안경, 내화학성보호의, 고무(또는 플라스틱)재질의 장갑 및 고무장화, 앞치마 등을 착용하여 단기적인 접촉 및 반복적이고 장기적인 노출을 피할 것</v>
          </cell>
        </row>
        <row r="989">
          <cell r="B989" t="str">
            <v>3691-35-8</v>
          </cell>
          <cell r="C989" t="str">
            <v>클로로파시논</v>
          </cell>
          <cell r="D989" t="str">
            <v>97-1-280</v>
          </cell>
          <cell r="E989" t="str">
            <v>및 이를 0.025% 이상 함유한 혼합물질</v>
          </cell>
          <cell r="F989">
            <v>2.5000000000000001E-2</v>
          </cell>
          <cell r="G989" t="str">
            <v>- 화학물질 흄 후드 내에서 취급할 것
- 취급 또는 작업 시는 보호의, 보호장갑 등을 착용하여 단기적인 접촉 및 반복적이고 장기적인 노출을 피할 것
- 건조하고 통풍이 잘 되는 그늘 및 서늘한 곳에서 밀폐된 용기나 실린더에 저장할 것
- 식료품, 사료, 의약품, 음식과 혼합저장 금지할 것
- 필요에 따라 국소배기장치 가동할 것
- 혼합금지물질 및 점화원을 격리할 것
- 화학물질 흄 후드 내에서 취급할 것
- 취급 또는 작업시는 보호의, 보호장갑 등을 착용하여 단기적인 접촉 및 반복적이고 장기적인 노출을 피할 것</v>
          </cell>
        </row>
        <row r="990">
          <cell r="B990" t="str">
            <v>67-66-3</v>
          </cell>
          <cell r="C990" t="str">
            <v>클로로포름</v>
          </cell>
          <cell r="D990" t="str">
            <v>97-1-281</v>
          </cell>
          <cell r="E990" t="str">
            <v>및 이를 85% 이상 함유한 혼합물질</v>
          </cell>
          <cell r="F990">
            <v>85</v>
          </cell>
          <cell r="G990" t="str">
            <v>- 서늘하고 건조하고 통풍이 잘 되는 그늘 및 서늘한 곳에 밀폐 보관할 것
- 저장온도는 30℃이하로 할 것
- 저장용기는 물리적인 손상에 견딜 수 있어야 할 것
- 필요에 따라 국소배기장치 가동할 것
- 직사광선, 산성 및 알칼리성 물질, 강한 무기산을 피해서 저장
- 취급 시 피부접촉을 피하고 보호의, 보안경, 가스마스크, 앞치마, 보호장갑을 착용할 것
- 취급 시 양압자급식 호흡용보호장비를 갖춘 전면보호복(PVC 와 고무재질의 장비는 안 됨)을 착용할 것
- 취급 시 콘택트렌즈를 착용 금지할 것
- 취급 후, 손을 철저하게 세척할 것
- 통풍이 잘 되는 장소에서만 사용할 것</v>
          </cell>
        </row>
        <row r="991">
          <cell r="B991" t="str">
            <v>5836-73-7</v>
          </cell>
          <cell r="C991" t="str">
            <v>클로로프로뮤리트</v>
          </cell>
          <cell r="D991" t="str">
            <v>97-1-282</v>
          </cell>
          <cell r="E991" t="str">
            <v>및 이를 1% 이상 함유한 혼합물질</v>
          </cell>
          <cell r="F991">
            <v>1</v>
          </cell>
          <cell r="G991" t="str">
            <v>- 건조하고 통풍이 잘 되는 그늘 및 서늘한 곳에 보관할 것
- 식료품, 사료, 의약품, 음식과 혼합저장 금지할 것
- 필요에 따라 국소배기장치 가동할 것
- 취급 또는 작업시는 보호의, 보호장갑 등을 착용하여 단기적인 접촉 및 반복적이고 장기적인 노출을 피할 것</v>
          </cell>
        </row>
        <row r="992">
          <cell r="B992" t="str">
            <v>76-06-2</v>
          </cell>
          <cell r="C992" t="str">
            <v>클로로피크린</v>
          </cell>
          <cell r="D992" t="str">
            <v>97-1-283, 06-4-30</v>
          </cell>
          <cell r="E992" t="str">
            <v>및 이를 1% 이상 함유한 혼합물질</v>
          </cell>
          <cell r="F992">
            <v>1</v>
          </cell>
          <cell r="G992" t="str">
            <v>- 건조하고 통풍이 잘 되는 그늘 및 서늘한 곳에 산화제와 격리하여 밀폐 보관할 것
- 마그네슘이나 알루미늄 용기 사용금지할 것
- 철을 침식하나 보호막을 형성하므로 사용 가능할 것
- 식료품, 사료, 의약품, 음식과 혼합저장 금지할 것
- 필요에 따라 국소배기장치 가동할 것
- 화학물질 흄 후드 내에서만 취급할 것
- 취급 또는 작업 시는 양압자급식 호흡용보호구를 착용하고 고글형 보안경, 보호의, 고무(또는 네오프렌)재질의 장갑 및 고무장화 등을 착용하여 단기적인 접촉 및 반복적이고 장기적인 노출을 피할 것
- 취급 후, 손을 철저하게 세척할 것</v>
          </cell>
        </row>
        <row r="993">
          <cell r="B993" t="str">
            <v>96-24-2</v>
          </cell>
          <cell r="C993" t="str">
            <v>클로로히드린</v>
          </cell>
          <cell r="D993" t="str">
            <v>97-1-284</v>
          </cell>
          <cell r="E993" t="str">
            <v>및 이를 1% 이상 함유한 혼합물질</v>
          </cell>
          <cell r="F993">
            <v>1</v>
          </cell>
          <cell r="G993" t="str">
            <v>- 건조하고 통풍이 잘 되는 그늘 및 서늘한 곳에 밀폐 보관할 것
- 식료품, 사료, 의약품, 음식과 혼합저장 금지할 것
- 필요에 따라 국소배기장치 가동할 것
- 직사광선, 혼합금지물질과 떨어진 곳에 저장할 것
- 취급 또는 작업 시는 양압자급식 호흡용보호구를 착용하고 고글형 보안경, 화학보호의, 고무(또는 네오프렌)재질의 장갑 및 고무장화 등을 착용하여 단기적인 접촉 및 반복적이고 장기적인 노출을 피할 것
- 취급 후, 손을 철저하게 세척할 것
- 통풍이 잘 되는 장소에서만 사용할 것</v>
          </cell>
        </row>
        <row r="994">
          <cell r="B994" t="str">
            <v>57-74-9</v>
          </cell>
          <cell r="C994" t="str">
            <v>클로르단</v>
          </cell>
          <cell r="D994" t="str">
            <v>97-1-285,06-4-31</v>
          </cell>
          <cell r="E994" t="str">
            <v>및 이를 1% 이상 함유한 혼합물질</v>
          </cell>
          <cell r="F994">
            <v>1</v>
          </cell>
          <cell r="G994" t="str">
            <v>- 상온에서 보관할 것
- 유화 가능한 농도나 수성유상액(water  emulsions), 유성용액을 보관할 때는 페놀수지로 코팅처리 된 유리나 금속용기를 사용할 것
- 미세분말이나 가용성분말은 다중크라프트지(multiwall kraft paper)백에 넣어 보관할 것
- 발암물질 표시를 하여 건조하고 통풍이 잘 되는 그늘 및 서늘한 곳에 격리 보관할 것
- 식료품, 사료, 의약품, 음식과 혼합저장 금지할 것
- 필요에 따라 국소배기장치 가동할 것
- 화학물질 흄 후드 내에서 취급할 것
- 취급 또는 작업 시는 양압자급식 호흡용보호구를 착용하고 고글형 보안경, 내화학성보호의, 고무(또는 네오프렌) 재질의 장갑 및 고무장화 등을 착용하여 단기적인 접촉 및 반복적이고 장기적인 노출을 피할 것
- 취급금지물질(이를 1% 이상 함유한 혼합물질)</v>
          </cell>
        </row>
        <row r="995">
          <cell r="B995" t="str">
            <v>6164-98-3</v>
          </cell>
          <cell r="C995" t="str">
            <v>클로르디메폼</v>
          </cell>
          <cell r="D995" t="str">
            <v>97-1-286,06-4-32</v>
          </cell>
          <cell r="E995" t="str">
            <v>및 그 중 클로르디메폼으로서 3% 이상 함유한 혼합물질</v>
          </cell>
          <cell r="F995">
            <v>3</v>
          </cell>
          <cell r="G995" t="str">
            <v>- 건조하고 통풍이 잘되는 그늘 및 서늘한 곳에 밀폐 보관할 것
- 식료품, 사료, 의약품, 음식과 혼합저장 금지할 것
- 필요에 따라 국소배기장치 가동할 것
- 저장용기는 물리적인 손상에 견딜 수 있어야 할 것
- 알칼리, 빛, 열원, 스파크, 불꽃, 가연성물질, 점화원과 격리하여 저장할 것
- 취급 또는 작업 시는 통풍이 잘되는 후드에서 행하고 고글형 보안경, 보호복, 보호 장갑, 앞치마, 양압자급식호흡보호구를 착용하여 단기적인 접촉 및 반복적이고 장기적인 노출을 피할 것
- 노출기준 이상에서는 호흡보호구를 착용할 것
- 작업장 부근에 비상시를 대비하여 샤워시설 및 세안시설을 갖출 것
- 작업 시에는 콘택트렌즈 착용금지할 것
- 사고대비물질(이를 3% 이상 함유한 혼합물질)</v>
          </cell>
        </row>
        <row r="996">
          <cell r="B996" t="str">
            <v>24934-91-6</v>
          </cell>
          <cell r="C996" t="str">
            <v>클로르메포스</v>
          </cell>
          <cell r="D996" t="str">
            <v>97-1-287</v>
          </cell>
          <cell r="E996" t="str">
            <v>및 이를 1% 이상 함유한 혼합물질</v>
          </cell>
          <cell r="F996">
            <v>1</v>
          </cell>
          <cell r="G996" t="str">
            <v>- 통풍이 잘 되는 그늘 및 서늘한 곳에 밀폐 보관할 것
- 식료품, 사료, 의약품, 음식과 혼합저장 금지할 것
- 필요에 따라 국소배기장치 가동할 것
- 바닥은 어떠한 물질도 침투할 수 없고, 안전해야 할 것
- 취급 또는 작업시는 통풍이 잘 되는 후드에서 행하고 내산성보호의, 보호장갑(고무 또는 네오프렌 재질), 고무앞치마, 양압자급식 호흡용보호구를 착용하여 단기적인 접촉 및 반복적이고 장기적인 노출을 피할 것
- 가죽으로 만든 보호의, 장갑, 앞치마는 사용 금지할 것
- 노출기준 이상에서는 호흡보호구를 착용할 것</v>
          </cell>
        </row>
        <row r="997">
          <cell r="B997" t="str">
            <v>21923-23-9</v>
          </cell>
          <cell r="C997" t="str">
            <v>클로르티오포스</v>
          </cell>
          <cell r="D997" t="str">
            <v>97-1-288</v>
          </cell>
          <cell r="E997" t="str">
            <v>및 이를 1% 이상 함유한 혼합물질</v>
          </cell>
          <cell r="F997">
            <v>1</v>
          </cell>
          <cell r="G997" t="str">
            <v>- 통풍이 잘 되는 그늘 및 서늘한 곳에 밀폐 보관할 것
- 식료품, 사료, 의약품, 음식과 혼합저장 금지할 것
- 필요에 따라 국소배기장치 가동할 것
- 저장용기는 물리적인 손상에 견딜 수 있어야 할 것
- 혼합금지물질 및 점화원을 격리할 것
- 저장실 바닥은 어떠한 물질도 침투할 수 없고, 안전해야 하며, 안전한 잠금 장치가 있어야 할 것
- 살충제 용기에 제품이 함유하고 있는 독성에 대한 라벨 부착할 것
- 사고발생에 대비하여 눈이나 몸을 씻을 수 있는 세안시설과 샤워시설이 이용 가능한 장소에서 작업할 것
- 사용한 후 식사, 흡연, 화장실에 가기 전에 물과 비누로 손을 꼭 세척할 것
- 호흡용보호구, 전면보호구, 보안경, 보호장갑(고무 또는 네오프렌 재질)을 반드시 사용할 것
- 콘택트렌즈를 착용 금지할 것
- 통풍장치 가동할 것
- 가죽으로 만든 보호의, 장갑, 앞치마는 사용 금지할 것</v>
          </cell>
        </row>
        <row r="998">
          <cell r="B998" t="str">
            <v>470-90-6</v>
          </cell>
          <cell r="C998" t="str">
            <v>클로르펜빈포스</v>
          </cell>
          <cell r="D998" t="str">
            <v>97-1-289</v>
          </cell>
          <cell r="E998" t="str">
            <v>및 이를 1% 이상 함유한 혼합물질</v>
          </cell>
          <cell r="F998">
            <v>1</v>
          </cell>
          <cell r="G998" t="str">
            <v>- 통풍이 잘 되는 그늘 및 서늘한 곳에서 유리, 폴리에틸렌용기에 보관할 것
- 식료품, 사료, 의약품, 인화성물질, 알칼리물질과 혼합저장 금지할 것
- 필요에 따라 국소배기장치 가동할 것
- 화학물질 흄 후드 에서 취급할 것
- 가죽으로 만든 보호의, 장갑, 앞치마는 사용 금지할 것
- 작업 후 온몸을 깨끗이 씻은 후 충분한 휴식할 것
- 양압자급식 호흡용보호구를 반드시 착용하고 보호의와 고글형 보안경, 고무장갑을 착용할 것</v>
          </cell>
        </row>
        <row r="999">
          <cell r="B999" t="str">
            <v>2921-88-2</v>
          </cell>
          <cell r="C999" t="str">
            <v>클로르피리포스</v>
          </cell>
          <cell r="D999" t="str">
            <v>97-1-290</v>
          </cell>
          <cell r="E999" t="str">
            <v>및 이를 1% 이상 함유한 혼합물질</v>
          </cell>
          <cell r="F999">
            <v>1</v>
          </cell>
          <cell r="G999" t="str">
            <v>- 염산, 황산, 질산 등의 강산 또는 산성흄과 수산화나트륨, 수산화칼륨 등의 강염기, 열원과 격리하여 저장할 것
- 통풍이 잘 되는 그늘 및 서늘한 곳에 밀폐 보관할 것
- 식료품, 사료, 의약품, 음식과 혼합저장 금지할 것
- 필요에 따라 국소배기장치 가동할 것
- 저장용기는 물리적인 손상에 견딜 수 있어야 할 것
- 사고발생에 대비하여 눈이나 몸을 씻을 수 있는 세안시설과 샤워시설이 이용 가능한 장소에서 작업할 것
- 사용한 후 식사, 흡연, 화장실에 가기 전에 물과 비누로 손을 꼭 세척할 것
- 호흡용보호구, 전면보호구, 보안경, 보호장갑(고무 또는 네오프렌 재질)을 반드시 착용할 것
- 콘택트렌즈를 착용 금지할 것
- 통풍장치 가동할 것
- 가죽으로 만든 보호의, 장갑, 앞치마는 사용 금지할 것</v>
          </cell>
        </row>
        <row r="1000">
          <cell r="B1000" t="str">
            <v>51487-69-5</v>
          </cell>
          <cell r="C1000" t="str">
            <v>클로에토캅</v>
          </cell>
          <cell r="D1000" t="str">
            <v>97-1-291</v>
          </cell>
          <cell r="E1000" t="str">
            <v>및 이를 1% 이상 함유한 혼합물질.</v>
          </cell>
          <cell r="F1000">
            <v>1</v>
          </cell>
          <cell r="G1000" t="str">
            <v>- 통풍이 잘 되는 그늘 및 서늘한 곳에 밀폐 보관할 것
- 식료품, 사료, 의약품, 음식, 알칼리성물질과 혼합저장 금지할 것
- 필요에 따라 국소배기장치를 설치하여 환기할 것
- 취급 시 양압자급식 호흡용보호구, 보호의, 보호장갑을 착용할 것
- 노출 위험이 발생할 때, 보호의를 착용할 것
- 통풍이 잘 되는 장소에서 사용할 것
- 취급 후에는 항상 비누와 물로 손을 세척할 것
- 빈 용기 바닥에 잔류물질이 쌓여서 축적될 수 있으므로 빈 용기를 절삭, 천공, 연마 또는 용접을 해서는 안될 것</v>
          </cell>
        </row>
        <row r="1001">
          <cell r="B1001" t="str">
            <v>13071-79-9</v>
          </cell>
          <cell r="C1001" t="str">
            <v>터브포스</v>
          </cell>
          <cell r="D1001" t="str">
            <v>97-1-292</v>
          </cell>
          <cell r="E1001" t="str">
            <v>및 이를 1% 이상 함유한 혼합물질</v>
          </cell>
          <cell r="F1001">
            <v>1</v>
          </cell>
          <cell r="G1001" t="str">
            <v>- 통풍이 잘 되는 그늘 및 서늘한 곳에 밀폐 보관할 것
- 식료품, 사료, 의약품, 음식과 혼합저장 금지할 것
- 필요에 따라 국소배기장치 가동할 것
- 화재나 폭발의 위험성이 있으므로 열원, 스파크, 불꽃, 가연성물질, 점화원과 격리하여 저장할 것
- 취급 또는 작업시는 통풍이 잘 되는 후드에서 행하고 보호의, 보호장갑(고무 또는 네오프렌 재질), 고무앞치마, 양압자급식 호흡용보호구를 착용하여 단기적인 접촉 및 반복적이고 장기적인 노출을 피할 것
- 노출기준 이상에서는 호흡보호구를 착용할 것
- 가죽으로 만든 보호의, 장갑, 앞치마는 사용 금지할 것</v>
          </cell>
        </row>
        <row r="1002">
          <cell r="B1002" t="str">
            <v>96491-05-3</v>
          </cell>
          <cell r="C1002" t="str">
            <v>테닐클로르</v>
          </cell>
          <cell r="D1002" t="str">
            <v>97-1-293</v>
          </cell>
          <cell r="E1002" t="str">
            <v>및 이를 25% 이상 함유한 혼합물질</v>
          </cell>
          <cell r="F1002">
            <v>25</v>
          </cell>
          <cell r="G1002" t="str">
            <v>- 통풍이 잘 되는 그늘 및 서늘한 곳에 밀폐 보관할 것
- 저장용기는 물리적인 손상에 견딜 수 있어야 할 것
- 필요에 따라 국소배기장치 가동할 것
- 취급 시 피부접촉을 피하고 보호의, 보안경, 보호장갑을 착용할 것
- 취급 시 양압자급식 호흡용보호장비를 착용할 것
- 취급시 콘택트렌즈를 착용 금지할 것</v>
          </cell>
        </row>
        <row r="1003">
          <cell r="B1003" t="str">
            <v>35996-61-3</v>
          </cell>
          <cell r="C1003" t="str">
            <v>테미빈포스</v>
          </cell>
          <cell r="D1003" t="str">
            <v>97-1-294</v>
          </cell>
          <cell r="E1003" t="str">
            <v>및 이를 1% 이상 함유한 혼합물질</v>
          </cell>
          <cell r="F1003">
            <v>1</v>
          </cell>
          <cell r="G1003" t="str">
            <v>- 통풍이 잘 되는 그늘 및 서늘한 곳에 밀폐 보관할 것
- 식료품, 사료, 의약품, 음식과 혼합저장 금지할 것
- 필요에 따라 국소배기장치 가동할 것
- 가죽으로 만든 보호의, 장갑, 앞치마는 사용 금지할 것
- 적절한 보호복과 보호장갑을 착용할 것
- 작업 후 온몸을 깨끗이 씻은 후 충분한 휴식할 것
- 양압자급식 호흡용보호구를 반드시 착용하고 보호의와 고글형 보안경을 착용할 것</v>
          </cell>
        </row>
        <row r="1004">
          <cell r="B1004" t="str">
            <v>119168-77-3</v>
          </cell>
          <cell r="C1004" t="str">
            <v>테브펜피라드</v>
          </cell>
          <cell r="D1004" t="str">
            <v>97-1-295</v>
          </cell>
          <cell r="E1004" t="str">
            <v>및 이를 25% 이상 함유한 혼합물질</v>
          </cell>
          <cell r="F1004">
            <v>25</v>
          </cell>
          <cell r="G1004" t="str">
            <v>- 통풍이 잘 되는 그늘 및 서늘한 곳에 보관할 것
- 식료품, 사료, 의약품, 음식과 혼합저장 금지할 것
- 필요에 따라 국소배기장치 가동할 것
- 취급 시 피부접촉을 피하고 보호의와 보호장갑을 착용할 것
- 양압자급식 호흡용보호구를 반드시 착용하고 보호의와 고글형 보안경을 착용할 것</v>
          </cell>
        </row>
        <row r="1005">
          <cell r="B1005" t="str">
            <v>75-74-1</v>
          </cell>
          <cell r="C1005" t="str">
            <v>테트라알킬 납</v>
          </cell>
          <cell r="D1005" t="str">
            <v>97-1-296</v>
          </cell>
          <cell r="E1005" t="str">
            <v>및 이를 1% 이상 함유한 혼합물질.</v>
          </cell>
          <cell r="F1005">
            <v>1</v>
          </cell>
          <cell r="G1005" t="str">
            <v>- 가연성물질, 강산화제 및 열원과 격리하고 직사광선을 피해 저장할 것
- 통풍이 잘되는 그늘 및 서늘한 곳에 밀폐 보관할 것
- 저장용기는 물리적인 손상에 견딜 수 있어야 할 것
- 사고발생에 대비하여 눈이나 몸을 씻을 수 있는 세안시설과 샤워시설이 이용 가능한 장소에서 작업할 것
- 사용한 후 식사, 흡연, 화장실에 가기 전에 물과 비누로 손을 꼭 세척할 것
- 호흡용보호구(유기증기형), 보안경, 보호의, 방수장갑(고무 또는 네오프렌재질)을 반드시 착용할 것
- 사용후 모든 보호구는 반드시 세척하고 오염된 작업복은 분리 세탁할 것
- 콘택트렌즈를 착용 금지할 것
- 국소배기장치 가동할 것</v>
          </cell>
        </row>
        <row r="1006">
          <cell r="B1006" t="str">
            <v>78-00-2</v>
          </cell>
          <cell r="C1006" t="str">
            <v>테트라알킬 납</v>
          </cell>
          <cell r="D1006" t="str">
            <v>97-1-296</v>
          </cell>
          <cell r="E1006" t="str">
            <v>및 이를 1% 이상 함유한 혼합물질.</v>
          </cell>
          <cell r="F1006">
            <v>1</v>
          </cell>
          <cell r="G1006" t="str">
            <v>- 가연성물질, 강산화제 및 열원과 격리하고 직사광선을 피해 저장할 것
- 통풍이 잘되는 그늘 및 서늘한 곳에 밀폐 보관할 것
- 저장용기는 물리적인 손상에 견딜 수 있어야 할 것
- 사고발생에 대비하여 눈이나 몸을 씻을 수 있는 세안시설과 샤워시설이 이용 가능한 장소에서 작업할 것
- 사용한 후 식사, 흡연, 화장실에 가기 전에 물과 비누로 손을 꼭 세척할 것
- 호흡용보호구(유기증기형), 보안경, 보호의, 방수장갑(고무 또는 네오프렌재질)을 반드시 착용할 것
- 사용후 모든 보호구는 반드시 세척하고 오염된 작업복은 분리 세탁할 것
- 콘택트렌즈를 착용 금지할 것
- 국소배기장치 가동할 것</v>
          </cell>
        </row>
        <row r="1007">
          <cell r="B1007" t="str">
            <v>127-18-4</v>
          </cell>
          <cell r="C1007" t="str">
            <v xml:space="preserve">테트라클로로에틸렌 </v>
          </cell>
          <cell r="D1007" t="str">
            <v>97-1-297,06-5-12</v>
          </cell>
          <cell r="E1007" t="str">
            <v>및 이를 85% 이상 함유한 혼합물질</v>
          </cell>
          <cell r="F1007">
            <v>85</v>
          </cell>
          <cell r="G1007" t="str">
            <v>- 통풍이 잘 되는 그늘 및 서늘한 곳에 밀폐 보관할 것
- 강산화제, 수산화 나트륨, 수산화 칼륨, 금속(바륨, 리튬, 베릴륨 등)과 격리하여 저장할 것
- 저장용기는 물리적인 손상에 견딜 수 있어야 할 것
- 필요에 따라 국소배기장치 가동할 것
- 열, 화염과 격리할 것
- 취급 시 피부접촉을 피하고 보호의, 보안경, 송기마스크, 보호장갑(플라스틱)을 착용할 것
- 취급 시 양압자급식 호흡용보호장비를 착용할 것
- 취급시 콘택트렌즈를 착용 금지할 것
- 취급 후, 손을 철저하게 세척할 것
- 적절한 환기장치를 사용할 것
- 취급제한물질(이를 0.1% 이상 함유한 혼합물질)</v>
          </cell>
        </row>
        <row r="1008">
          <cell r="B1008" t="str">
            <v>108-88-3</v>
          </cell>
          <cell r="C1008" t="str">
            <v>톨루엔</v>
          </cell>
          <cell r="D1008" t="str">
            <v>97-1-298</v>
          </cell>
          <cell r="E1008" t="str">
            <v>및 이를 85% 이상 함유한 혼합물질</v>
          </cell>
          <cell r="F1008">
            <v>85</v>
          </cell>
          <cell r="G1008" t="str">
            <v>- 통풍이 잘 되는 그늘 및 서늘한 곳에 밀폐 보관할 것
- 식료품, 사료, 의약품, 음식과 혼합저장 금지할 것
- 필요에 따라 국소배기장치 가동할 것
- 저장용기는 물리적인 손상에 견딜 수 있어야 할 것
- 플루오르, 브롬, 염소와 같은 산화제와 혼합위험성(incompatible)이 있으므로 격리하여 저장할 것
- 화재나 폭발의 위험성이 있으므로 열원, 스파크, 불꽃, 가연성물질, 점화원과 격리하여 저장할 것
- 취급 또는 작업시는 통풍이 잘 되는 후드에서 행하고 고글형 보안경, 보호의, 고무장갑, 고무앞치마, 양압자급식 호흡용보호구를 착용하여 단기적인 접촉 및 반복적이고 장기적인 노출을 피할 것
- 노출기준 이상에서는 호흡보호구를 착용할 것
- 열이나 스파크, 불꽃에 의해 쉽게 점화됨할 것
- 취급 후, 손을 철저하게 세척할 것
- 빈 용기를 가압, 절단, 용접, 납땜, 연마, 천공을 해서는 안 되며, 열, 스파크, 화염에 노출시키지 말 것
- 사고대비물질(이를 85% 이상 함유한 혼합물질)</v>
          </cell>
        </row>
        <row r="1009">
          <cell r="B1009" t="str">
            <v>25376-45-8</v>
          </cell>
          <cell r="C1009" t="str">
            <v>톨루엔디아민</v>
          </cell>
          <cell r="D1009" t="str">
            <v>97-1-299</v>
          </cell>
          <cell r="E1009" t="str">
            <v>및 그 중 하나를 25% 이상 함유한 혼합물질. 다만, 톨루엔-2,4-디아민(Toluene-2,4-diamine)과 이것의 황산염(Toluene-2,4-diamine sulfate)의 경우 이를 0.1% 이상 함유한 혼합물질</v>
          </cell>
          <cell r="F1009">
            <v>25</v>
          </cell>
          <cell r="G1009" t="str">
            <v>- 건조하고 통풍이 잘되는 그늘 및 서늘한 곳에 밀폐 보관할 것
- 식료품, 사료, 의약품, 음식과 혼합저장 금지할 것
- 필요에 따라 국소배기장치 가동할 것
- 저장용기는 물리적인 손상에 견딜 수 있어야 할 것
- 열원, 알칼리, 스파크, 불꽃, 가연성물질, 점화원과 격리하여 저장할 것
- 취급 또는 작업 시는 통풍이 잘되는 후드에서 행하고 고글형 보안경, 보호복, 보호 장갑(부틸 고무 또는 플라스틱 재질), 앞치마, 양압자급식호흡보호구를 착용하여 단기적인 접촉 및 반복적이고 장기적인 노출을 피할 것
- 노출기준 이상에서는 호흡보호구를 착용할 것</v>
          </cell>
        </row>
        <row r="1010">
          <cell r="B1010" t="str">
            <v>2687-25-4</v>
          </cell>
          <cell r="C1010" t="str">
            <v>3-메틸-1,2-벤젠디아민</v>
          </cell>
          <cell r="D1010" t="str">
            <v>97-1-299</v>
          </cell>
          <cell r="E1010" t="str">
            <v>및 그 중 하나를 25% 이상 함유한 혼합물질. 다만, 톨루엔-2,4-디아민(Toluene-2,4-diamine)과 이것의 황산염(Toluene-2,4-diamine sulfate)의 경우 이를 0.1% 이상 함유한 혼합물질</v>
          </cell>
          <cell r="F1010">
            <v>25</v>
          </cell>
          <cell r="G1010" t="str">
            <v>- 건조하고 통풍이 잘되는 그늘 및 서늘한 곳에 밀폐 보관할 것
- 식료품, 사료, 의약품, 음식과 혼합저장 금지할 것
- 필요에 따라 국소배기장치 가동할 것
- 저장용기는 물리적인 손상에 견딜 수 있어야 할 것
- 열원, 알칼리, 스파크, 불꽃, 가연성물질, 점화원과 격리하여 저장할 것
- 취급 또는 작업 시는 통풍이 잘되는 후드에서 행하고 고글형 보안경, 보호복, 보호 장갑(부틸 고무 또는 플라스틱 재질), 앞치마, 양압자급식호흡보호구를 착용하여 단기적인 접촉 및 반복적이고 장기적인 노출을 피할 것
- 노출기준 이상에서는 호흡보호구를 착용할 것</v>
          </cell>
        </row>
        <row r="1011">
          <cell r="B1011" t="str">
            <v>26966-75-6</v>
          </cell>
          <cell r="C1011" t="str">
            <v>3(또는4)톨루엔-1.2-디아민</v>
          </cell>
          <cell r="D1011" t="str">
            <v>97-1-299</v>
          </cell>
          <cell r="E1011" t="str">
            <v>및 그 중 하나를 25% 이상 함유한 혼합물질. 다만, 톨루엔-2,4-디아민(Toluene-2,4-diamine)과 이것의 황산염(Toluene-2,4-diamine sulfate)의 경우 이를 0.1% 이상 함유한 혼합물질</v>
          </cell>
          <cell r="F1011">
            <v>25</v>
          </cell>
          <cell r="G1011" t="str">
            <v>- 건조하고 통풍이 잘되는 그늘 및 서늘한 곳에 밀폐 보관할 것
- 식료품, 사료, 의약품, 음식과 혼합저장 금지할 것
- 필요에 따라 국소배기장치 가동할 것
- 저장용기는 물리적인 손상에 견딜 수 있어야 할 것
- 열원, 알칼리, 스파크, 불꽃, 가연성물질, 점화원과 격리하여 저장할 것
- 취급 또는 작업 시는 통풍이 잘되는 후드에서 행하고 고글형 보안경, 보호복, 보호 장갑(부틸 고무 또는 플라스틱 재질), 앞치마, 양압자급식호흡보호구를 착용하여 단기적인 접촉 및 반복적이고 장기적인 노출을 피할 것
- 노출기준 이상에서는 호흡보호구를 착용할 것</v>
          </cell>
        </row>
        <row r="1012">
          <cell r="B1012" t="str">
            <v>496-72-0</v>
          </cell>
          <cell r="C1012" t="str">
            <v>3,4-디아미노톨루엔</v>
          </cell>
          <cell r="D1012" t="str">
            <v>97-1-299</v>
          </cell>
          <cell r="E1012" t="str">
            <v>및 그 중 하나를 25% 이상 함유한 혼합물질. 다만, 톨루엔-2,4-디아민(Toluene-2,4-diamine)과 이것의 황산염(Toluene-2,4-diamine sulfate)의 경우 이를 0.1% 이상 함유한 혼합물질</v>
          </cell>
          <cell r="F1012">
            <v>25</v>
          </cell>
          <cell r="G1012" t="str">
            <v>- 건조하고 통풍이 잘되는 그늘 및 서늘한 곳에 밀폐 보관할 것
- 식료품, 사료, 의약품, 음식과 혼합저장 금지할 것
- 필요에 따라 국소배기장치 가동할 것
- 저장용기는 물리적인 손상에 견딜 수 있어야 할 것
- 열원, 알칼리, 스파크, 불꽃, 가연성물질, 점화원과 격리하여 저장할 것
- 취급 또는 작업 시는 통풍이 잘되는 후드에서 행하고 고글형 보안경, 보호복, 보호 장갑(부틸 고무 또는 플라스틱 재질), 앞치마, 양압자급식호흡보호구를 착용하여 단기적인 접촉 및 반복적이고 장기적인 노출을 피할 것
- 노출기준 이상에서는 호흡보호구를 착용할 것</v>
          </cell>
        </row>
        <row r="1013">
          <cell r="B1013" t="str">
            <v>615-50-9</v>
          </cell>
          <cell r="C1013" t="str">
            <v>톨루엔-2,4-디아민</v>
          </cell>
          <cell r="D1013" t="str">
            <v>97-1-299</v>
          </cell>
          <cell r="E1013" t="str">
            <v>및 그 중 하나를 25% 이상 함유한 혼합물질. 다만, 톨루엔-2,4-디아민(Toluene-2,4-diamine)과 이것의 황산염(Toluene-2,4-diamine sulfate)의 경우 이를 0.1% 이상 함유한 혼합물질</v>
          </cell>
          <cell r="F1013">
            <v>25</v>
          </cell>
          <cell r="G1013" t="str">
            <v>- 건조하고 통풍이 잘되는 그늘 및 서늘한 곳에 밀폐 보관할 것
- 식료품, 사료, 의약품, 음식과 혼합저장 금지할 것
- 필요에 따라 국소배기장치 가동할 것
- 저장용기는 물리적인 손상에 견딜 수 있어야 할 것
- 열원, 알칼리, 스파크, 불꽃, 가연성물질, 점화원과 격리하여 저장할 것
- 취급 또는 작업 시는 통풍이 잘되는 후드에서 행하고 고글형 보안경, 보호복, 보호 장갑(부틸 고무 또는 플라스틱 재질), 앞치마, 양압자급식호흡보호구를 착용하여 단기적인 접촉 및 반복적이고 장기적인 노출을 피할 것
- 노출기준 이상에서는 호흡보호구를 착용할 것</v>
          </cell>
        </row>
        <row r="1014">
          <cell r="B1014" t="str">
            <v>6369-59-1</v>
          </cell>
          <cell r="C1014" t="str">
            <v>톨로엔-2,5-디아민 황산</v>
          </cell>
          <cell r="D1014" t="str">
            <v>97-1-299</v>
          </cell>
          <cell r="E1014" t="str">
            <v>및 그 중 하나를 25% 이상 함유한 혼합물질. 다만, 톨루엔-2,4-디아민(Toluene-2,4-diamine)과 이것의 황산염(Toluene-2,4-diamine sulfate)의 경우 이를 0.1% 이상 함유한 혼합물질</v>
          </cell>
          <cell r="F1014">
            <v>25</v>
          </cell>
          <cell r="G1014" t="str">
            <v>- 건조하고 통풍이 잘되는 그늘 및 서늘한 곳에 밀폐 보관할 것
- 식료품, 사료, 의약품, 음식과 혼합저장 금지할 것
- 필요에 따라 국소배기장치 가동할 것
- 저장용기는 물리적인 손상에 견딜 수 있어야 할 것
- 열원, 알칼리, 스파크, 불꽃, 가연성물질, 점화원과 격리하여 저장할 것
- 취급 또는 작업 시는 통풍이 잘되는 후드에서 행하고 고글형 보안경, 보호복, 보호 장갑(부틸 고무 또는 플라스틱 재질), 앞치마, 양압자급식호흡보호구를 착용하여 단기적인 접촉 및 반복적이고 장기적인 노출을 피할 것
- 노출기준 이상에서는 호흡보호구를 착용할 것</v>
          </cell>
        </row>
        <row r="1015">
          <cell r="B1015" t="str">
            <v>823-40-5</v>
          </cell>
          <cell r="C1015" t="str">
            <v>톨루엔-2,6-디아민</v>
          </cell>
          <cell r="D1015" t="str">
            <v>97-1-299</v>
          </cell>
          <cell r="E1015" t="str">
            <v>및 그 중 하나를 25% 이상 함유한 혼합물질. 다만, 톨루엔-2,4-디아민(Toluene-2,4-diamine)과 이것의 황산염(Toluene-2,4-diamine sulfate)의 경우 이를 0.1% 이상 함유한 혼합물질</v>
          </cell>
          <cell r="F1015">
            <v>25</v>
          </cell>
          <cell r="G1015" t="str">
            <v>- 건조하고 통풍이 잘되는 그늘 및 서늘한 곳에 밀폐 보관할 것
- 식료품, 사료, 의약품, 음식과 혼합저장 금지할 것
- 필요에 따라 국소배기장치 가동할 것
- 저장용기는 물리적인 손상에 견딜 수 있어야 할 것
- 열원, 알칼리, 스파크, 불꽃, 가연성물질, 점화원과 격리하여 저장할 것
- 취급 또는 작업 시는 통풍이 잘되는 후드에서 행하고 고글형 보안경, 보호복, 보호 장갑(부틸 고무 또는 플라스틱 재질), 앞치마, 양압자급식호흡보호구를 착용하여 단기적인 접촉 및 반복적이고 장기적인 노출을 피할 것
- 노출기준 이상에서는 호흡보호구를 착용할 것</v>
          </cell>
        </row>
        <row r="1016">
          <cell r="B1016" t="str">
            <v>95-70-5</v>
          </cell>
          <cell r="C1016" t="str">
            <v>톨루엔-2,5-디아민</v>
          </cell>
          <cell r="D1016" t="str">
            <v>97-1-299</v>
          </cell>
          <cell r="E1016" t="str">
            <v>및 그 중 하나를 25% 이상 함유한 혼합물질. 다만, 톨루엔-2,4-디아민(Toluene-2,4-diamine)과 이것의 황산염(Toluene-2,4-diamine sulfate)의 경우 이를 0.1% 이상 함유한 혼합물질</v>
          </cell>
          <cell r="F1016">
            <v>25</v>
          </cell>
          <cell r="G1016" t="str">
            <v>- 건조하고 통풍이 잘되는 그늘 및 서늘한 곳에 밀폐 보관할 것
- 식료품, 사료, 의약품, 음식과 혼합저장 금지할 것
- 필요에 따라 국소배기장치 가동할 것
- 저장용기는 물리적인 손상에 견딜 수 있어야 할 것
- 열원, 알칼리, 스파크, 불꽃, 가연성물질, 점화원과 격리하여 저장할 것
- 취급 또는 작업 시는 통풍이 잘되는 후드에서 행하고 고글형 보안경, 보호복, 보호 장갑(부틸 고무 또는 플라스틱 재질), 앞치마, 양압자급식호흡보호구를 착용하여 단기적인 접촉 및 반복적이고 장기적인 노출을 피할 것
- 노출기준 이상에서는 호흡보호구를 착용할 것</v>
          </cell>
        </row>
        <row r="1017">
          <cell r="B1017" t="str">
            <v>95-80-7</v>
          </cell>
          <cell r="C1017" t="str">
            <v>톨루엔-2,4-디아민</v>
          </cell>
          <cell r="D1017" t="str">
            <v>97-1-299</v>
          </cell>
          <cell r="E1017" t="str">
            <v>및 그 중 하나를 25% 이상 함유한 혼합물질. 다만, 톨루엔-2,4-디아민(Toluene-2,4-diamine)과 이것의 황산염(Toluene-2,4-diamine sulfate)의 경우 이를 0.1% 이상 함유한 혼합물질</v>
          </cell>
          <cell r="F1017">
            <v>25</v>
          </cell>
          <cell r="G1017" t="str">
            <v>- 건조하고 통풍이 잘되는 그늘 및 서늘한 곳에 밀폐 보관할 것
- 식료품, 사료, 의약품, 음식과 혼합저장 금지할 것
- 필요에 따라 국소배기장치 가동할 것
- 저장용기는 물리적인 손상에 견딜 수 있어야 할 것
- 열원, 알칼리, 스파크, 불꽃, 가연성물질, 점화원과 격리하여 저장할 것
- 취급 또는 작업 시는 통풍이 잘되는 후드에서 행하고 고글형 보안경, 보호복, 보호 장갑(부틸 고무 또는 플라스틱 재질), 앞치마, 양압자급식호흡보호구를 착용하여 단기적인 접촉 및 반복적이고 장기적인 노출을 피할 것
- 노출기준 이상에서는 호흡보호구를 착용할 것</v>
          </cell>
        </row>
        <row r="1018">
          <cell r="B1018" t="str">
            <v>106-49-0</v>
          </cell>
          <cell r="C1018" t="str">
            <v>톨루이딘</v>
          </cell>
          <cell r="D1018" t="str">
            <v>97-1-300</v>
          </cell>
          <cell r="E1018" t="str">
            <v>및 그 중 하나를 25% 이상 함유한 혼합물질. 다만, o-톨루이딘(o-Toluidine)의 경우 이를 0.1% 이상 함유한 혼합물질</v>
          </cell>
          <cell r="F1018">
            <v>25</v>
          </cell>
          <cell r="G1018" t="str">
            <v>- 건조하고 통풍이 잘되는 그늘 및 서늘한 곳에 밀폐 보관할 것
- 식료품, 사료, 의약품, 음식과 혼합저장 금지할 것
- 필요에 따라 국소배기장치 가동할 것
- 저장용기는 물리적인 손상에 견딜 수 있어야 할 것
- 산화제, 산, 염기와 격리하여 저장할 것
- 화재 또는 폭발의 위험이 있으므로 열원, 스파크, 불꽃, 가연성물질, 점화원과 격리하여 저장할 것
- 취급 또는 작업 시는 통풍이 잘되는 후드에서 행하고 고글형 보안경, 보호복, 보호 장갑(butyl-rubber 또는 플라스틱 재질), 앞치마, 양압자급식호흡보호구를 착용하여 단기적인 접촉 및 반복적이고 장기적인 노출을 피할 것
- 노출기준 이상에서는 호흡보호구를 착용할 것
- 발암성물질이므로 취급 시 주의할 것
- 작업장 부근에 비상시를 대비하여 샤워시설 및 세안시설을 갖출 것
- 작업 시에는 콘택트렌즈 착용금지할 것</v>
          </cell>
        </row>
        <row r="1019">
          <cell r="B1019" t="str">
            <v>108-44-1</v>
          </cell>
          <cell r="C1019" t="str">
            <v>톨루이딘</v>
          </cell>
          <cell r="D1019" t="str">
            <v>97-1-300</v>
          </cell>
          <cell r="E1019" t="str">
            <v>및 그 중 하나를 25% 이상 함유한 혼합물질. 다만, o-톨루이딘(o-Toluidine)의 경우 이를 0.1% 이상 함유한 혼합물질</v>
          </cell>
          <cell r="F1019">
            <v>25</v>
          </cell>
          <cell r="G1019" t="str">
            <v>- 건조하고 통풍이 잘되는 그늘 및 서늘한 곳에 밀폐 보관할 것
- 식료품, 사료, 의약품, 음식과 혼합저장 금지할 것
- 필요에 따라 국소배기장치 가동할 것
- 저장용기는 물리적인 손상에 견딜 수 있어야 할 것
- 산화제, 산, 염기와 격리하여 저장할 것
- 화재 또는 폭발의 위험이 있으므로 열원, 스파크, 불꽃, 가연성물질, 점화원과 격리하여 저장할 것
- 취급 또는 작업 시는 통풍이 잘되는 후드에서 행하고 고글형 보안경, 보호복, 보호 장갑(butyl-rubber 또는 플라스틱 재질), 앞치마, 양압자급식호흡보호구를 착용하여 단기적인 접촉 및 반복적이고 장기적인 노출을 피할 것
- 노출기준 이상에서는 호흡보호구를 착용할 것
- 발암성물질이므로 취급 시 주의할 것
- 작업장 부근에 비상시를 대비하여 샤워시설 및 세안시설을 갖출 것
- 작업 시에는 콘택트렌즈 착용금지할 것</v>
          </cell>
        </row>
        <row r="1020">
          <cell r="B1020" t="str">
            <v>22006-17-3</v>
          </cell>
          <cell r="C1020" t="str">
            <v>톨루이딘</v>
          </cell>
          <cell r="D1020" t="str">
            <v>97-1-300</v>
          </cell>
          <cell r="E1020" t="str">
            <v>및 그 중 하나를 25% 이상 함유한 혼합물질. 다만, o-톨루이딘(o-Toluidine)의 경우 이를 0.1% 이상 함유한 혼합물질</v>
          </cell>
          <cell r="F1020">
            <v>25</v>
          </cell>
          <cell r="G1020" t="str">
            <v>- 건조하고 통풍이 잘되는 그늘 및 서늘한 곳에 밀폐 보관할 것
- 식료품, 사료, 의약품, 음식과 혼합저장 금지할 것
- 필요에 따라 국소배기장치 가동할 것
- 저장용기는 물리적인 손상에 견딜 수 있어야 할 것
- 산화제, 산, 염기와 격리하여 저장할 것
- 화재 또는 폭발의 위험이 있으므로 열원, 스파크, 불꽃, 가연성물질, 점화원과 격리하여 저장할 것
- 취급 또는 작업 시는 통풍이 잘되는 후드에서 행하고 고글형 보안경, 보호복, 보호 장갑(butyl-rubber 또는 플라스틱 재질), 앞치마, 양압자급식호흡보호구를 착용하여 단기적인 접촉 및 반복적이고 장기적인 노출을 피할 것
- 노출기준 이상에서는 호흡보호구를 착용할 것
- 발암성물질이므로 취급 시 주의할 것
- 작업장 부근에 비상시를 대비하여 샤워시설 및 세안시설을 갖출 것
- 작업 시에는 콘택트렌즈 착용금지할 것</v>
          </cell>
        </row>
        <row r="1021">
          <cell r="B1021" t="str">
            <v>26915-12-8</v>
          </cell>
          <cell r="C1021" t="str">
            <v>톨루이딘</v>
          </cell>
          <cell r="D1021" t="str">
            <v>97-1-300</v>
          </cell>
          <cell r="E1021" t="str">
            <v>및 그 중 하나를 25% 이상 함유한 혼합물질. 다만, o-톨루이딘(o-Toluidine)의 경우 이를 0.1% 이상 함유한 혼합물질</v>
          </cell>
          <cell r="F1021">
            <v>25</v>
          </cell>
          <cell r="G1021" t="str">
            <v>- 건조하고 통풍이 잘되는 그늘 및 서늘한 곳에 밀폐 보관할 것
- 식료품, 사료, 의약품, 음식과 혼합저장 금지할 것
- 필요에 따라 국소배기장치 가동할 것
- 저장용기는 물리적인 손상에 견딜 수 있어야 할 것
- 산화제, 산, 염기와 격리하여 저장할 것
- 화재 또는 폭발의 위험이 있으므로 열원, 스파크, 불꽃, 가연성물질, 점화원과 격리하여 저장할 것
- 취급 또는 작업 시는 통풍이 잘되는 후드에서 행하고 고글형 보안경, 보호복, 보호 장갑(butyl-rubber 또는 플라스틱 재질), 앞치마, 양압자급식호흡보호구를 착용하여 단기적인 접촉 및 반복적이고 장기적인 노출을 피할 것
- 노출기준 이상에서는 호흡보호구를 착용할 것
- 발암성물질이므로 취급 시 주의할 것
- 작업장 부근에 비상시를 대비하여 샤워시설 및 세안시설을 갖출 것
- 작업 시에는 콘택트렌즈 착용금지할 것</v>
          </cell>
        </row>
        <row r="1022">
          <cell r="B1022" t="str">
            <v>540-23-8</v>
          </cell>
          <cell r="C1022" t="str">
            <v>톨루이딘</v>
          </cell>
          <cell r="D1022" t="str">
            <v>97-1-300</v>
          </cell>
          <cell r="E1022" t="str">
            <v>및 그 중 하나를 25% 이상 함유한 혼합물질. 다만, o-톨루이딘(o-Toluidine)의 경우 이를 0.1% 이상 함유한 혼합물질</v>
          </cell>
          <cell r="F1022">
            <v>25</v>
          </cell>
          <cell r="G1022" t="str">
            <v>- 건조하고 통풍이 잘되는 그늘 및 서늘한 곳에 밀폐 보관할 것
- 식료품, 사료, 의약품, 음식과 혼합저장 금지할 것
- 필요에 따라 국소배기장치 가동할 것
- 저장용기는 물리적인 손상에 견딜 수 있어야 할 것
- 산화제, 산, 염기와 격리하여 저장할 것
- 화재 또는 폭발의 위험이 있으므로 열원, 스파크, 불꽃, 가연성물질, 점화원과 격리하여 저장할 것
- 취급 또는 작업 시는 통풍이 잘되는 후드에서 행하고 고글형 보안경, 보호복, 보호 장갑(butyl-rubber 또는 플라스틱 재질), 앞치마, 양압자급식호흡보호구를 착용하여 단기적인 접촉 및 반복적이고 장기적인 노출을 피할 것
- 노출기준 이상에서는 호흡보호구를 착용할 것
- 발암성물질이므로 취급 시 주의할 것
- 작업장 부근에 비상시를 대비하여 샤워시설 및 세안시설을 갖출 것
- 작업 시에는 콘택트렌즈 착용금지할 것</v>
          </cell>
        </row>
        <row r="1023">
          <cell r="B1023" t="str">
            <v>540-25-0</v>
          </cell>
          <cell r="C1023" t="str">
            <v>톨루이딘</v>
          </cell>
          <cell r="D1023" t="str">
            <v>97-1-300</v>
          </cell>
          <cell r="E1023" t="str">
            <v>및 그 중 하나를 25% 이상 함유한 혼합물질. 다만, o-톨루이딘(o-Toluidine)의 경우 이를 0.1% 이상 함유한 혼합물질</v>
          </cell>
          <cell r="F1023">
            <v>25</v>
          </cell>
          <cell r="G1023" t="str">
            <v>- 건조하고 통풍이 잘되는 그늘 및 서늘한 곳에 밀폐 보관할 것
- 식료품, 사료, 의약품, 음식과 혼합저장 금지할 것
- 필요에 따라 국소배기장치 가동할 것
- 저장용기는 물리적인 손상에 견딜 수 있어야 할 것
- 산화제, 산, 염기와 격리하여 저장할 것
- 화재 또는 폭발의 위험이 있으므로 열원, 스파크, 불꽃, 가연성물질, 점화원과 격리하여 저장할 것
- 취급 또는 작업 시는 통풍이 잘되는 후드에서 행하고 고글형 보안경, 보호복, 보호 장갑(butyl-rubber 또는 플라스틱 재질), 앞치마, 양압자급식호흡보호구를 착용하여 단기적인 접촉 및 반복적이고 장기적인 노출을 피할 것
- 노출기준 이상에서는 호흡보호구를 착용할 것
- 발암성물질이므로 취급 시 주의할 것
- 작업장 부근에 비상시를 대비하여 샤워시설 및 세안시설을 갖출 것
- 작업 시에는 콘택트렌즈 착용금지할 것</v>
          </cell>
        </row>
        <row r="1024">
          <cell r="B1024" t="str">
            <v>636-21-5</v>
          </cell>
          <cell r="C1024" t="str">
            <v>톨루이딘</v>
          </cell>
          <cell r="D1024" t="str">
            <v>97-1-300</v>
          </cell>
          <cell r="E1024" t="str">
            <v>및 그 중 하나를 25% 이상 함유한 혼합물질. 다만, o-톨루이딘(o-Toluidine)의 경우 이를 0.1% 이상 함유한 혼합물질</v>
          </cell>
          <cell r="F1024">
            <v>25</v>
          </cell>
          <cell r="G1024" t="str">
            <v>- 건조하고 통풍이 잘되는 그늘 및 서늘한 곳에 밀폐 보관할 것
- 식료품, 사료, 의약품, 음식과 혼합저장 금지할 것
- 필요에 따라 국소배기장치 가동할 것
- 저장용기는 물리적인 손상에 견딜 수 있어야 할 것
- 산화제, 산, 염기와 격리하여 저장할 것
- 화재 또는 폭발의 위험이 있으므로 열원, 스파크, 불꽃, 가연성물질, 점화원과 격리하여 저장할 것
- 취급 또는 작업 시는 통풍이 잘되는 후드에서 행하고 고글형 보안경, 보호복, 보호 장갑(butyl-rubber 또는 플라스틱 재질), 앞치마, 양압자급식호흡보호구를 착용하여 단기적인 접촉 및 반복적이고 장기적인 노출을 피할 것
- 노출기준 이상에서는 호흡보호구를 착용할 것
- 발암성물질이므로 취급 시 주의할 것
- 작업장 부근에 비상시를 대비하여 샤워시설 및 세안시설을 갖출 것
- 작업 시에는 콘택트렌즈 착용금지할 것</v>
          </cell>
        </row>
        <row r="1025">
          <cell r="B1025" t="str">
            <v>95-53-4</v>
          </cell>
          <cell r="C1025" t="str">
            <v>톨루이딘</v>
          </cell>
          <cell r="D1025" t="str">
            <v>97-1-300</v>
          </cell>
          <cell r="E1025" t="str">
            <v>및 그 중 하나를 25% 이상 함유한 혼합물질. 다만, o-톨루이딘(o-Toluidine)의 경우 이를 0.1% 이상 함유한 혼합물질</v>
          </cell>
          <cell r="F1025">
            <v>25</v>
          </cell>
          <cell r="G1025" t="str">
            <v>- 건조하고 통풍이 잘되는 그늘 및 서늘한 곳에 밀폐 보관할 것
- 식료품, 사료, 의약품, 음식과 혼합저장 금지할 것
- 필요에 따라 국소배기장치 가동할 것
- 저장용기는 물리적인 손상에 견딜 수 있어야 할 것
- 산화제, 산, 염기와 격리하여 저장할 것
- 화재 또는 폭발의 위험이 있으므로 열원, 스파크, 불꽃, 가연성물질, 점화원과 격리하여 저장할 것
- 취급 또는 작업 시는 통풍이 잘되는 후드에서 행하고 고글형 보안경, 보호복, 보호 장갑(butyl-rubber 또는 플라스틱 재질), 앞치마, 양압자급식호흡보호구를 착용하여 단기적인 접촉 및 반복적이고 장기적인 노출을 피할 것
- 노출기준 이상에서는 호흡보호구를 착용할 것
- 발암성물질이므로 취급 시 주의할 것
- 작업장 부근에 비상시를 대비하여 샤워시설 및 세안시설을 갖출 것
- 작업 시에는 콘택트렌즈 착용금지할 것</v>
          </cell>
        </row>
        <row r="1026">
          <cell r="B1026" t="str">
            <v>731-27-1</v>
          </cell>
          <cell r="C1026" t="str">
            <v>톨릴플루아니드</v>
          </cell>
          <cell r="D1026" t="str">
            <v>97-1-301</v>
          </cell>
          <cell r="E1026" t="str">
            <v>및 이를 25% 이상함유한 혼합물질</v>
          </cell>
          <cell r="F1026">
            <v>25</v>
          </cell>
          <cell r="G1026" t="str">
            <v>- 통풍이 잘 되는 그늘 및 서늘한 곳에 밀폐 보관할 것
- 저장용기는 물리적인 손상에 견딜 수 있어야 할 것
- 필요에 따라 국소배기장치 가동할 것
- 취급 시 피부접촉을 피하고 보호의, 보안경, 보호장갑을 착용할 것
- 취급 시 양압자급식호흡용보호장비를 착용할 것
- 취급시 콘택트렌즈를 착용 금지할 것
- 통풍이 잘 되는 장소에서 사용할 것
- 취급 후에는 항상 비누와 물로 손을 세척할 것
- 빈 용기 바닥에 잔류물질이 쌓여서 축적될 수 있으므로 빈 용기를 절삭, 천공, 연마 또는 용접을 해서는 안될 것
- 산화제류와의 반응을 피할 것</v>
          </cell>
        </row>
        <row r="1027">
          <cell r="B1027" t="str">
            <v>66841-25-6</v>
          </cell>
          <cell r="C1027" t="str">
            <v>트랄로메트린</v>
          </cell>
          <cell r="D1027" t="str">
            <v>97-1-302</v>
          </cell>
          <cell r="E1027" t="str">
            <v>및 이를 25% 이상 함유한 혼합물질</v>
          </cell>
          <cell r="F1027">
            <v>25</v>
          </cell>
          <cell r="G1027" t="str">
            <v>- 강산화제와 격리하고 빛을 피해 저장할 것
- 15~30℃의 온도로 밀폐 보관할 것
- 건조한 곳에 저장할 것
- 사료, 의약품, 음식과 혼합저장 및 수송을 금지할 것
- 점화원을 피하고 하수구나 수도근처를 피할 것
- 사고발생에 대비하여 눈이나 몸을 씻을 수 있는 세안시설과 샤워시설이 이용 가능한 장소에서 작업할 것
- 사용한 후 식사, 흡연, 화장실에 가기 전에 물과 비누로 손을 꼭 세척할 것
- 호흡용보호구, 전면보호구, 보안경, 고무장갑을 반드시 사용할 것
- 콘택트렌즈를 착용 금지할 것
- 통풍장치 가동할 것</v>
          </cell>
        </row>
        <row r="1028">
          <cell r="B1028" t="str">
            <v>99257-43-9</v>
          </cell>
          <cell r="C1028" t="str">
            <v>트리스(도데실벤젠술폰산) 1,1‘-이미도디(옥타메틸렌)디구아니디늄</v>
          </cell>
          <cell r="D1028" t="str">
            <v>97-1-303</v>
          </cell>
          <cell r="E1028" t="str">
            <v>및 이를 25% 이상 함유한 혼합물질</v>
          </cell>
          <cell r="F1028">
            <v>25</v>
          </cell>
          <cell r="G1028" t="str">
            <v>- 통풍이 잘 되는 그늘 및 서늘한 곳에 밀폐 보관할 것
- 저장용기는 물리적인 손상에 견딜 수 있어야 할 것
- 필요에 따라 국소배기장치 가동할 것
- 취급 시 피부접촉을 피하고 보호의, 보안경, 보호장갑을 착용할 것
- 취급 시 양압자급식호흡용보호장비를 착용할 것
- 취급 시 콘택트렌즈를 착용 금지할 것</v>
          </cell>
        </row>
        <row r="1029">
          <cell r="B1029" t="str">
            <v>1031-47-6</v>
          </cell>
          <cell r="C1029" t="str">
            <v>트리아미포스</v>
          </cell>
          <cell r="D1029" t="str">
            <v>97-1-304</v>
          </cell>
          <cell r="E1029" t="str">
            <v>및 이를 1% 이상 함유한 혼합물질</v>
          </cell>
          <cell r="F1029">
            <v>1</v>
          </cell>
          <cell r="G1029" t="str">
            <v>- 통풍이 잘 되는 그늘 및 서늘한 곳에 밀폐 보관할 것
- 식료품, 사료, 의약품, 음식과 혼합저장 금지할 것
- 필요에 따라 국소배기장치 가동할 것
- 저장용기는 물리적인 손상에 견딜 수 있어야 할 것
- 독성이 있는 살충제는 명확하게 라벨이 되어있고, 누수 방지가 되며 쉽게 손상되지 않는 용기로 옮길 것
- 저장실 바닥은 어떠한 물질도 침투할 수 없어야 하고 안전한 잠금 장치가 있어야 할 것
- 사고발생에 대비하여 눈이나 몸을 씻을 수 있는 세안시설과 샤워시설이 이용 가능한 장소에서 작업할 것
- 사용한 후 식사, 흡연, 화장실에 가기 전에 물과 비누로 손을 꼭 세척할 것
- 호흡용보호구, 전면보호구, 보안경, 보호장갑(고무 또는 네오프렌 재질)을 반드시 사용할 것
- 콘택트렌즈를 착용 금지할 것
- 통풍장치 가동할 것
- 가죽으로 만든 보호의, 장갑, 앞치마는 사용 금지할 것</v>
          </cell>
        </row>
        <row r="1030">
          <cell r="B1030" t="str">
            <v>112143-82-5</v>
          </cell>
          <cell r="C1030" t="str">
            <v>트리아자메이트</v>
          </cell>
          <cell r="D1030" t="str">
            <v>97-1-305</v>
          </cell>
          <cell r="E1030" t="str">
            <v>및 이를 25% 이상 함유한 혼합물질</v>
          </cell>
          <cell r="F1030">
            <v>25</v>
          </cell>
          <cell r="G1030" t="str">
            <v>- 통풍이 잘 되는 그늘 및 서늘한 곳에 밀폐 보관할 것
- 저장용기는 물리적인 손상에 견딜 수 있어야 할 것
- 필요에 따라 국소배기장치를 가동할 것
- 취급 시 피부접촉을 피하고 보호의, 보안경, 보호장갑을 착용할 것
- 취급 시 양압자급식호흡용보호장비를 착용할 것
- 취급 시 콘택트렌즈를 착용금지할 것</v>
          </cell>
        </row>
        <row r="1031">
          <cell r="B1031" t="str">
            <v>24017-47-8</v>
          </cell>
          <cell r="C1031" t="str">
            <v>트리아조포스</v>
          </cell>
          <cell r="D1031" t="str">
            <v>97-1-306</v>
          </cell>
          <cell r="E1031" t="str">
            <v>및 이를 1% 이상 함유한 혼합물질</v>
          </cell>
          <cell r="F1031">
            <v>1</v>
          </cell>
          <cell r="G1031" t="str">
            <v>- 통풍이 잘 되는 그늘 및 서늘한 곳에 밀폐 보관할 것
- 식료품, 사료, 의약품, 음식과 혼합저장 금지할 것
- 필요에 따라 국소배기장치 가동할 것
- 저장용기는 물리적인 손상에 견딜 수 있어야 할 것
- 혼합금지물질 및 점화원을 격리할 것
- 사고발생에 대비하여 눈이나 몸을 씻을 수 있는 세안시설과 샤워시설이 이용 가능한 장소에서 작업할 것
- 사용한 후 식사, 흡연, 화장실에 가기 전에 물과 비누로 손을 꼭 세척할 것
- 호흡용보호구, 전면보호구, 보안경, 보호의(염화폴리비닐재질), 보호장갑(고무 또는 네오프렌 재질)을 반드시 사용할 것
- 콘택트렌즈를 착용 금지할 것
- 통풍장치 가동할 것
- 가죽으로 만든 보호의, 장갑, 앞치마는 사용 금지할 것</v>
          </cell>
        </row>
        <row r="1032">
          <cell r="B1032" t="str">
            <v>327-98-0</v>
          </cell>
          <cell r="C1032" t="str">
            <v>트리클로로나트</v>
          </cell>
          <cell r="D1032" t="str">
            <v>97-1-307</v>
          </cell>
          <cell r="E1032" t="str">
            <v>및 이를 1% 이상 함유한 혼합물질</v>
          </cell>
          <cell r="F1032">
            <v>1</v>
          </cell>
          <cell r="G1032" t="str">
            <v>- 통풍이 잘 되는 25~30℃ 이하의 저장소에 밀폐 보관할 것
- 식료품, 사료, 의약품, 음식과 혼합저장 금지할 것
- 필요에 따라 국소배기장치 가동할 것
- 열, 스파크, 불꽃, 점화원과 격리하여 저장할 것
- 독성이 있는 유기인 살충제는 명확하게 라벨이 되어있고, 누수 방지가 되며 쉽게 손상되지 않는 용기로 옮길 것
- 취급 또는 작업시는 통풍이 잘 되는 후드에서 행하고 고글형보안경, 보호의, 보호장갑(고무, 네오프렌 또는 PVC 재질), 고무앞치마, 양압자급식 호흡용보호구를 착용하여 단기적인 접촉 및 반복적이고 장기적인 노출을 피할 것
- 노출기준 이상에서는 호흡보호구를 착용할 것
- 가죽으로 만든 보호의, 장갑, 앞치마는 사용 금지할 것</v>
          </cell>
        </row>
        <row r="1033">
          <cell r="B1033" t="str">
            <v>76-03-9</v>
          </cell>
          <cell r="C1033" t="str">
            <v>트리클로로아세트산</v>
          </cell>
          <cell r="D1033" t="str">
            <v>97-1-308</v>
          </cell>
          <cell r="E1033" t="str">
            <v>및 이를 25% 이상 함유한 혼합물질</v>
          </cell>
          <cell r="F1033">
            <v>25</v>
          </cell>
          <cell r="G1033" t="str">
            <v>- 통풍이 잘 되는 그늘 및 서늘한 곳에 밀폐 보관할 것
- 저장용기는 물리적인 손상에 견딜 수 있어야 할 것
- 조해성이 강하므로 완전히 밀폐시키고 햇빛을 차단할 것
- 필요에 따라 국소배기장치 가동할 것
- 혼합금지물질과 떨어진 곳에 저장할 것
- 취급 시 피부접촉을 피하고 보호의, 보안경, 앞치마, 보호장갑을 착용할 것
- 취급 시 양압자급식호흡용보호장비를 착용할 것
- 취급 시 콘택트렌즈를 착용 금지할 것
- 취급 후, 손을 철저하게 세척할 것
- 통풍이 잘 되는 장소에서만 사용할 것
- 옷은 재사용 전에 세탁할 것</v>
          </cell>
        </row>
        <row r="1034">
          <cell r="B1034" t="str">
            <v>79-01-6</v>
          </cell>
          <cell r="C1034" t="str">
            <v>트리클로로에틸렌</v>
          </cell>
          <cell r="D1034" t="str">
            <v>97-1-309,06-5-11</v>
          </cell>
          <cell r="E1034" t="str">
            <v>및 이를 85% 이상 함유한 혼합물질</v>
          </cell>
          <cell r="F1034">
            <v>85</v>
          </cell>
          <cell r="G1034" t="str">
            <v>- 통풍이 잘 되는 그늘 및 서늘한 곳에 밀폐 보관할 것
- 금속, 열원, 가연성물질과 격리 보관할 것
- 저장용기는 어두운 색이어야 하며 물리적인 손상에 견딜 수 있어야 할 것
- 필요에 따라 국소배기장치 가동할 것
- 취급 시 피부접촉을 피하고 보호의, 보안경, 가스마스크, 앞치마, 보호장갑(네오프렌 또는 비닐재질)을 착용할 것 고무나 PVC 재질의 장비는 사용 금지할 것
- 취급 시 양압자급식 호흡용보호장비를 착용할 것
- 취급 시 콘택트렌즈를 착용 금지할 것
- 취급 후, 손을 철저하게 세척할 것
- 통풍이 잘 되는 장소에서만 사용할 것
- 빈 용기를 가압, 절단, 용접, 납땜, 연마, 천공을 해서는 안 되며, 열, 스파크, 화염에 노출시키지 말 것
- 취급제한물질(이를 0.1% 이상 함유한 혼합물질)</v>
          </cell>
        </row>
        <row r="1035">
          <cell r="B1035" t="str">
            <v>52-68-6</v>
          </cell>
          <cell r="C1035" t="str">
            <v>트리클로르폰</v>
          </cell>
          <cell r="D1035" t="str">
            <v>97-1-310</v>
          </cell>
          <cell r="E1035" t="str">
            <v>및 이를 10% 이상 함유한 혼합물질</v>
          </cell>
          <cell r="F1035">
            <v>10</v>
          </cell>
          <cell r="G1035" t="str">
            <v>- 통풍이 잘 되는 그늘 및 서늘한 곳에 밀폐 보관할 것
- 식료품, 사료, 의약품, 음식과 혼합저장 금지할 것
- 필요에 따라 국소배기장치 가동할 것
- 석회(lime)나 석회황(lime  sulfur) 또는 다른 알칼리성물질과 격리하여 저장할 것
- 열, 스파크, 화염과 격리할 것
- 취급 또는 작업 시는 통풍이 잘 되는 후드에서 행하고 고글형보안경, 보호의, 보호장갑(고무 또는 PVC),  고무앞치마, 양압자급식 호흡용보호구를 착용하여 단기적인 접촉 및 반복적이고 장기적인 노출을 피할 것
- 노출기준 이상에서는 호흡보호구를 착용할 것
- 사용한 용기는 물과 표백제로 닦거나, 24 시간동안 알칼리성용액에 담근 후 뜨거운 물로 헹굴 것
- 취급 후, 손을 철저하게 세척할 것</v>
          </cell>
        </row>
        <row r="1036">
          <cell r="B1036" t="str">
            <v>603-35-0</v>
          </cell>
          <cell r="C1036" t="str">
            <v>트리페닐포스핀</v>
          </cell>
          <cell r="D1036" t="str">
            <v>97-1-311</v>
          </cell>
          <cell r="E1036" t="str">
            <v>및 이를 25% 이상 함유한 혼합물질</v>
          </cell>
          <cell r="F1036">
            <v>25</v>
          </cell>
          <cell r="G1036" t="str">
            <v>- 통풍이 잘 되는 그늘 및 서늘한 곳에 밀폐 보관할 것
- 저장용기는 물리적인 손상에 견딜 수 있어야 할 것
- 필요에 따라 국소배기장치 가동할 것
- 화학물질 흄 후드 내에서만 취급 할 것
- 취급 시 피부접촉을 피하고 보호의, 보안경, 가스마스크, 앞치마, 보호장갑을 착용할 것
- 취급 시 양압자급식 호흡용보호장비를 착용할 것
- 취급시 콘택트렌즈를 착용금지할 것</v>
          </cell>
        </row>
        <row r="1037">
          <cell r="B1037" t="str">
            <v>1582-09-8</v>
          </cell>
          <cell r="C1037" t="str">
            <v>트리플루라린</v>
          </cell>
          <cell r="D1037" t="str">
            <v>97-1-312,06-4-36</v>
          </cell>
          <cell r="E1037" t="str">
            <v>및 이를 1% 이상 함유한 혼합물질</v>
          </cell>
          <cell r="F1037">
            <v>1</v>
          </cell>
          <cell r="G1037" t="str">
            <v>- 통풍이 잘 되는 그늘 및 서늘한 곳에 밀폐 보관할 것
- 저장용기는 물리적인 손상에 견딜 수 있어야 할 것
- 필요에 따라 국소배기장치 가동할 것
- 혼합금지물질 및 점화원을 격리할 것
- 화학물질 흄 후드내에서 취급만 할 것
- 취급 시 피부접촉을 피하고 보호의, 고글형보안경, 보호장갑을 착용할 것
- 취급 시 양압자급식 호흡용보호장비를 착용할 것
- 취급 시 콘택트렌즈를 착용금지할 것
- 취급금지물질(이를 1% 이상 함유한 혼합물질)</v>
          </cell>
        </row>
        <row r="1038">
          <cell r="B1038" t="str">
            <v>7637-07-2</v>
          </cell>
          <cell r="C1038" t="str">
            <v>트리플루오로보란</v>
          </cell>
          <cell r="D1038" t="str">
            <v>97-1-313</v>
          </cell>
          <cell r="E1038" t="str">
            <v>및 이를 1.0% 이상 함유한 혼합물질</v>
          </cell>
          <cell r="F1038">
            <v>1</v>
          </cell>
          <cell r="G1038" t="str">
            <v>- 통풍이 잘 되는 그늘 및 서늘한 곳에 밀폐 보관할 것
- 저장용기는 물리적인 손상에 견딜 수 있어야 할 것
- 필요에 따라 국소배기장치 가동할 것
- 혼합금지물질 및 점화원을 격리할 것
- 화학물질 흄 후드 내에서 취급할 것
- 취급 시 피부접촉을 피하고 보호의, 보안경, 앞치마, 보호장갑을 착용할 것
- 취급 시 양압자급식 호흡용 보호장비를 착용할 것
- 취급 시 콘택트렌즈를 착용금지할 것</v>
          </cell>
        </row>
        <row r="1039">
          <cell r="B1039" t="str">
            <v>20654-88-0</v>
          </cell>
          <cell r="C1039" t="str">
            <v>삼불화붕소</v>
          </cell>
          <cell r="D1039" t="str">
            <v>97-1-313</v>
          </cell>
          <cell r="E1039" t="str">
            <v>및 이를 1.0% 이상 함유한 혼합물질</v>
          </cell>
          <cell r="F1039">
            <v>1</v>
          </cell>
          <cell r="G1039" t="str">
            <v>- 통풍이 잘 되는 그늘 및 서늘한 곳에 밀폐 보관할 것
- 저장용기는 물리적인 손상에 견딜 수 있어야 할 것
- 필요에 따라 국소배기장치 가동할 것
- 혼합금지물질 및 점화원을 격리할 것
- 화학물질 흄 후드 내에서 취급할 것
- 취급 시 피부접촉을 피하고 보호의, 보안경, 앞치마, 보호장갑을 착용할 것
- 취급 시 양압자급식 호흡용 보호장비를 착용할 것
- 취급 시 콘택트렌즈를 착용금지할 것</v>
          </cell>
        </row>
        <row r="1040">
          <cell r="B1040" t="str">
            <v>1493-13-6</v>
          </cell>
          <cell r="C1040" t="str">
            <v>트리플릭산</v>
          </cell>
          <cell r="D1040" t="str">
            <v>97-1-314</v>
          </cell>
          <cell r="E1040" t="str">
            <v>및 이를 1% 이상 함유한 혼합물질</v>
          </cell>
          <cell r="F1040">
            <v>1</v>
          </cell>
          <cell r="G1040" t="str">
            <v>- 통풍이 잘 되는 그늘 및 서늘한 곳에 밀폐 보관할 것
- 저장용기는 물리적인 손상에 견딜 수 있어야 할 것
- 필요에 따라 국소배기장치 가동할 것
- 취급시 피부접촉을 피하고 보호의, 보안경, 보호장갑을 착용할 것
- 취급시 양압자급식 호흡용 보호장비를 착용할 것
- 취급시 콘택트렌즈를 착용금지할 것
- 취급 후, 손을 철저하게 세척할 것
- 적절한 환기장치를 사용할 것</v>
          </cell>
        </row>
        <row r="1041">
          <cell r="B1041" t="str">
            <v>137-26-8</v>
          </cell>
          <cell r="C1041" t="str">
            <v>티람</v>
          </cell>
          <cell r="D1041" t="str">
            <v>97-1-315</v>
          </cell>
          <cell r="E1041" t="str">
            <v>및 이를 25% 이상 함유한 혼합물질</v>
          </cell>
          <cell r="F1041">
            <v>25</v>
          </cell>
          <cell r="G1041" t="str">
            <v>- 통풍이 잘 되는 그늘 및 서늘한 곳에 밀폐 보관할 것
- 식료품, 사료, 의약품, 음식, 알칼리성물질과 혼합저장 금지할 것
- 필요에 따라 국소배기장치를 설치하여 환기시킬 것
- 취급시 양압자급식 호흡용보호구, 보호의, 보호장갑을 착용할 것
- 취급 후, 손을 철저하게 세척할 것</v>
          </cell>
        </row>
        <row r="1042">
          <cell r="B1042" t="str">
            <v>297-97-2</v>
          </cell>
          <cell r="C1042" t="str">
            <v>티오나진</v>
          </cell>
          <cell r="D1042" t="str">
            <v>97-1-316</v>
          </cell>
          <cell r="E1042" t="str">
            <v>및 이를 1% 이상 함유한 혼합물질</v>
          </cell>
          <cell r="F1042">
            <v>1</v>
          </cell>
          <cell r="G1042" t="str">
            <v>- 통풍이 잘 되는 그늘 및 서늘한 곳에 밀폐 보관할 것
- 식료품, 사료, 의약품, 음식과 혼합저장 금지할 것
- 필요에 따라 국소배기장치 가동할 것
- 저장용기는 물리적인 손상에 견딜 수 있어야 할 것
- 혼합금지물질 및 점화원을 격리할 것
- 사고발생에 대비하여 눈이나 몸을 씻을 수 있는 세안시설과 샤워시설이 이용 가능한 장소에서 작업할 것
- 사용한 후 식사, 흡연, 화장실에 가기 전에 물과 비누로 손을 꼭 세척할 것
- 호흡용보호구, 전면보호구, 보안경, 보호의(염화폴리비닐재질), 보호장갑(고무 또는 네오프렌 재질)을 반드시 사용할 것
- 콘택트렌즈를 착용금지할 것
- 통풍장치 가동할 것
- 가죽으로 만든 보호의, 장갑, 앞치마는 사용 금지할 것</v>
          </cell>
        </row>
        <row r="1043">
          <cell r="B1043" t="str">
            <v>59669-26-0</v>
          </cell>
          <cell r="C1043" t="str">
            <v>티오디캅</v>
          </cell>
          <cell r="D1043" t="str">
            <v>97-1-317</v>
          </cell>
          <cell r="E1043" t="str">
            <v>및 이를 1% 이상 함유한 혼합물질</v>
          </cell>
          <cell r="F1043">
            <v>1</v>
          </cell>
          <cell r="G1043" t="str">
            <v>- 통풍이 잘 되는 그늘 및 서늘한 곳에 밀폐 보관할 것
- 식료품, 사료, 의약품, 음식, 산성물질, 알칼리성물질, 중금속산화제, 특정의 살균제와 그 염류(마넵(maneb), 만코젭(mancozeb),  cupreammonium carbonate,  Bordeaux mixtures 등)과 혼합저장 금지할 것
- 필요에 따라 국소배기장치를 설치하여 환기시킬 것
- 취급시 양압자급식 호흡용보호구, 보호의, 보호장갑을 착용할 것
- 식물성 기름희석제와 혼화 금지할 것</v>
          </cell>
        </row>
        <row r="1044">
          <cell r="B1044" t="str">
            <v>640-15-3</v>
          </cell>
          <cell r="C1044" t="str">
            <v>티오메톤</v>
          </cell>
          <cell r="D1044" t="str">
            <v>97-1-318</v>
          </cell>
          <cell r="E1044" t="str">
            <v>및 이를 1% 이상 함유한 혼합물질.</v>
          </cell>
          <cell r="F1044">
            <v>1</v>
          </cell>
          <cell r="G1044" t="str">
            <v>- 통풍이 잘 되는 40℃이하의 저장소에 밀폐 보관할 것
- 식료품, 사료, 의약품, 음식과 혼합저장 금지할 것
- 필요에 따라 국소배기장치 가동할 것
- 저장용기는 물리적인 손상에 견딜 수 있어야 할 것
- 알칼리, 열원, 스파크, 불꽃, 가연성물질, 점화원과 격리하여 저장할 것
- 독성이 있는 유기인 살충제는 명확하게 라벨이 되어있고, 누수 방지가 되며 쉽게 손상되지 않는 용기로 옮길 것
- 취급 또는 작업 시는 통풍이 잘 되는 후드에서 행하고 고글형보안경, 보호의, 보호장갑, 앞치마, 양압자급식 호흡용보호구를 착용하여 단기적인 접촉 및 반복적이고 장기적인 노출을 피할 것
- 가죽으로 만든 보호의, 장갑, 앞치마는 사용 금지할 것
- 노출기준 이상에서는 호흡보호구를 착용할 것
- 열이나 스파크, 불꽃에 의해 쉽게 점화되므로 주의할 것
- 사용한 용기는 물과 표백제로 닦거나, 24 시간동안 알칼리성용액에 담근 후 뜨거운 물로 헹굴 것</v>
          </cell>
        </row>
        <row r="1045">
          <cell r="B1045" t="str">
            <v>79-19-6</v>
          </cell>
          <cell r="C1045" t="str">
            <v>티오세미카르바지드</v>
          </cell>
          <cell r="D1045" t="str">
            <v>97-1-319</v>
          </cell>
          <cell r="E1045" t="str">
            <v>및 이를 1% 이상 함유한 혼합물질</v>
          </cell>
          <cell r="F1045">
            <v>1</v>
          </cell>
          <cell r="G1045" t="str">
            <v>- 통풍이 잘 되는 그늘 및 서늘한 곳에 밀폐 보관할 것
- 식료품, 사료, 의약품과 혼합저장 금지할 것
- 필요에 따라 국소배기장치를 설치하여 환기시킬 것
- 화학물질 흄 후드 내에서만 취급할 것
- 양압자급식 호흡용보호구를 반드시 착용하고 보호의와 고무장갑을 착용할 것
- 취급 후, 손을 철저하게 세척할 것</v>
          </cell>
        </row>
        <row r="1046">
          <cell r="B1046" t="str">
            <v>5349-28-0</v>
          </cell>
          <cell r="C1046" t="str">
            <v>티오시아노아세트산 에틸</v>
          </cell>
          <cell r="D1046" t="str">
            <v>97-1-320</v>
          </cell>
          <cell r="E1046" t="str">
            <v>및 이를 1% 이상 함유한 혼합물질</v>
          </cell>
          <cell r="F1046">
            <v>1</v>
          </cell>
          <cell r="G1046" t="str">
            <v>- 통풍이 잘 되는 그늘 및 서늘한 곳에 보관할 것
- 식료품, 사료, 의약품, 음식과 혼합저장 금지할 것
- 필요에 따라 국소배기장치 가동
- 취급시 피부접촉을 피하고 보호의와 보호장갑을 착용할 것
- 양압자급식 호흡용보호구를 반드시 착용하고 보호의와 고글형 보안경을 착용할 것</v>
          </cell>
        </row>
        <row r="1047">
          <cell r="B1047" t="str">
            <v>31895-21-3</v>
          </cell>
          <cell r="C1047" t="str">
            <v>티오시클람</v>
          </cell>
          <cell r="D1047" t="str">
            <v>97-1-321</v>
          </cell>
          <cell r="E1047" t="str">
            <v>및 이를 3% 이상함유한 혼합물질</v>
          </cell>
          <cell r="F1047">
            <v>3</v>
          </cell>
          <cell r="G1047" t="str">
            <v>- 통풍이 잘 되는 그늘 및 서늘한 곳에 밀폐 보관할 것
- 식료품, 사료, 의약품, 음식과 혼합저장 금지할 것
- 저장용기는 물리적인 손상에 견딜 수 있어야 할 것
- 사고발생에 대비하여 눈이나 몸을 씻을 수 있는 세안시설과 샤워시설이 이용 가능한 장소에서 작업할 것
- 사용한 후 식사, 흡연, 화장실에 가기 전에 물과 비누로 손을 꼭 세척할 것
- 호흡용보호구, 보안경, 보호의, 보호장갑(고무 또는 네오프렌재질)을 반드시 사용할 것
- 콘택트렌즈를 착용 금지할 것
- 통풍장치 가동할 것</v>
          </cell>
        </row>
        <row r="1048">
          <cell r="B1048" t="str">
            <v>39196-18-4</v>
          </cell>
          <cell r="C1048" t="str">
            <v>티오파녹스</v>
          </cell>
          <cell r="D1048" t="str">
            <v>97-1-322</v>
          </cell>
          <cell r="E1048" t="str">
            <v>및 이를 1% 이상 함유한 혼합물질</v>
          </cell>
          <cell r="F1048">
            <v>1</v>
          </cell>
          <cell r="G1048" t="str">
            <v>- 통풍이 잘 되는 그늘 및 서늘한 곳에 밀폐 보관할 것
- 가수분해를 억제하기 위해서 온도는 30℃이하로 유지시켜야 하고 pH 도 5~9 를 맞춰줄 것
- 저장용기는 물리적인 손상에 견딜 수 있어야 할 것
- 필요에 따라 국소배기장치 가동할 것
- 화학물질 흄 후드 내에서 취급할 것
- 취급 시 피부접촉을 피하고 보호의, 보안경, 보호장갑(고무 또는 네오프렌재질)을 착용할 것
- 취급 시 양압자급식 호흡용보호장비를 착용할 것
- 취급 시 콘택트렌즈를 착용 금지할 것</v>
          </cell>
        </row>
        <row r="1049">
          <cell r="B1049" t="str">
            <v>1910-42-5</v>
          </cell>
          <cell r="C1049" t="str">
            <v>파라콰트 염류</v>
          </cell>
          <cell r="D1049" t="str">
            <v>97-1-323,06-4-37</v>
          </cell>
          <cell r="E1049" t="str">
            <v>및 이를 1% 이상 함유한 혼합물질.</v>
          </cell>
          <cell r="F1049">
            <v>1</v>
          </cell>
          <cell r="G1049" t="str">
            <v>- 자외선이 차단된 건조하고 통풍이 잘되는 그늘 및 서늘한 곳에 보관할 것
- 식료품, 사료, 의약품, 음식과 혼합저장 금지할 것
- 필요에 따라 국소배기장치 가동할 것
- 취급 또는 작업 시는 양압자급식호흡 보호구를 착용하고 고글형 보안경, 내화학성보호복, 보호 장갑 등을 착용하여 단기적인 접촉 및 반복적이고 장기적인 노출을 피할 것
- 가죽으로 만든 보호복, 장갑, 앞치마는 사용 금지할 것
- 작업장 부근에 비상시를 대비하여 샤워시설 및 세안시설을 갖출 것
- 작업 시에는 콘택트렌즈를 뺄 것
- 취급금지물질(이를 1% 이상 함유한 혼합물질)</v>
          </cell>
        </row>
        <row r="1050">
          <cell r="B1050" t="str">
            <v>2074-50-2</v>
          </cell>
          <cell r="C1050" t="str">
            <v>1,1`-디메틸-4,4`-디피리디늄</v>
          </cell>
          <cell r="D1050" t="str">
            <v>97-1-323,06-4-37</v>
          </cell>
          <cell r="E1050" t="str">
            <v>및 이를 1% 이상 함유한 혼합물질.</v>
          </cell>
          <cell r="F1050">
            <v>1</v>
          </cell>
          <cell r="G1050" t="str">
            <v>- 자외선이 차단된 건조하고 통풍이 잘되는 그늘 및 서늘한 곳에 보관할 것
- 식료품, 사료, 의약품, 음식과 혼합저장 금지할 것
- 필요에 따라 국소배기장치 가동할 것
- 취급 또는 작업 시는 양압자급식호흡 보호구를 착용하고 고글형 보안경, 내화학성보호복, 보호 장갑 등을 착용하여 단기적인 접촉 및 반복적이고 장기적인 노출을 피할 것
- 가죽으로 만든 보호복, 장갑, 앞치마는 사용 금지할 것
- 작업장 부근에 비상시를 대비하여 샤워시설 및 세안시설을 갖출 것
- 작업 시에는 콘택트렌즈를 뺄 것
- 취급금지물질(이를 1% 이상 함유한 혼합물질)</v>
          </cell>
        </row>
        <row r="1051">
          <cell r="B1051" t="str">
            <v>298-00-0</v>
          </cell>
          <cell r="C1051" t="str">
            <v>파라티온-메틸</v>
          </cell>
          <cell r="D1051" t="str">
            <v>97-1-324,06-4-38</v>
          </cell>
          <cell r="E1051" t="str">
            <v>및 이를 1% 이상 함유한 혼합물질</v>
          </cell>
          <cell r="F1051">
            <v>1</v>
          </cell>
          <cell r="G1051" t="str">
            <v>- 열원과 격리하여 저장할 것
- 결정화를 막기 위해 18~55℃에서 저장할 것
- 통풍이 잘 되는 그늘 및 서늘한 곳에 밀폐 보관할 것
- 식료품, 사료, 의약품, 음식과 혼합저장 금지할 것
- 필요에 따라 국소배기장치 가동할 것
- 저장용기는 물리적인 손상, 침식에 견딜 수 있어야 할 것
- 사고발생에 대비하여 눈이나 몸을 씻을 수 있는 세안시설과 샤워시설이 이용 가능한 장소에서 작업할 것
- 사용한 후 식사, 흡연, 화장실에 가기 전에 물과 비누로 손을 꼭 세척할 것
- 호흡용보호구, 전면보호구, 보안경, 보호장갑(고무 또는 네오프렌 재질)을 반드시 사용할 것
- 오염된 작업복(데님재질)은 고온에서 세탁할 것
- 콘택트렌즈를 착용 금지할 것
- 통풍장치 가동할 것
- 가죽으로 만든 보호의, 장갑, 앞치마는 사용 금지할 것
- 취급금지물질(이를 1% 이상 함유한 혼합물질)</v>
          </cell>
        </row>
        <row r="1052">
          <cell r="B1052" t="str">
            <v>56-38-2</v>
          </cell>
          <cell r="C1052" t="str">
            <v>파라티온</v>
          </cell>
          <cell r="D1052" t="str">
            <v>97-1-325,06-4-39</v>
          </cell>
          <cell r="E1052" t="str">
            <v>및 이를 1% 이상 함유한 혼합물질</v>
          </cell>
          <cell r="F1052">
            <v>1</v>
          </cell>
          <cell r="G1052" t="str">
            <v>- 열원과 격리하여 저장할 것
- 통풍이 잘 되는 그늘 및 서늘한 곳에 밀폐 보관할 것
- 식료품, 사료, 의약품, 음식과 혼합저장 금지할 것
- 필요에 따라 국소배기장치 가동할 것
- 저장용기는 물리적인 손상, 침식에 견딜 수 있어야 할 것
- 사고발생에 대비하여 눈이나 몸을 씻을 수 있는 세안시설과 샤워시설이 이용 가능한 장소에서 작업할 것
- 사용한 후 식사, 흡연, 화장실에 가기 전에 물과 비누로 손을 꼭 세척할 것
- 호흡용보호구, 전면보호구, 보안경, 앞치마(라텍스재질), 보호장갑(고무 또는 네오프렌재질)을 반드시 사용할 것
- 콘택트렌즈를 착용 금지할 것
- 통풍장치 가동할 것
- 가죽으로 만든 보호의, 장갑, 앞치마는 사용 금지할 것
- 취급금지물질(이를 1% 이상 함유한 혼합물질)</v>
          </cell>
        </row>
        <row r="1053">
          <cell r="B1053" t="str">
            <v>52-85-7</v>
          </cell>
          <cell r="C1053" t="str">
            <v>팜퍼</v>
          </cell>
          <cell r="D1053" t="str">
            <v>97-1-326</v>
          </cell>
          <cell r="E1053" t="str">
            <v>및 이를 1% 이상 함유한 혼합물질</v>
          </cell>
          <cell r="F1053">
            <v>1</v>
          </cell>
          <cell r="G1053" t="str">
            <v>- 통풍이 잘 되는 그늘 및 서늘한 곳에 밀폐 보관할 것
- 식료품, 사료, 의약품, 음식과 혼합저장 금지할 것
- 필요에 따라 국소배기장치 가동할 것
- 저장용기는 물리적인 손상에 견딜 수 있어야 할 것
- 혼합금지물질 및 점화원을 격리할 것
- 사고발생에 대비하여 눈이나 몸을 씻을 수 있는 세안시설과 샤워시설이 이용 가능한 장소에서 작업할 것
- 사용한 후 식사, 흡연, 화장실에 가기 전에 물과 비누로 손을 꼭 세척할 것
- 호흡용보호구, 전면보호구, 보안경, 보호의(염화폴리비닐재질), 보호장갑(고무 또는 네오프렌재질)을 반드시 사용할 것
- 콘택트렌즈를 착용 금지할 것
- 통풍장치 가동할 것</v>
          </cell>
        </row>
        <row r="1054">
          <cell r="C1054" t="str">
            <v>퍼플루오로옥탄산 테트라메틸암모늄</v>
          </cell>
          <cell r="D1054" t="str">
            <v>97-1-327</v>
          </cell>
          <cell r="E1054" t="str">
            <v>및 이를 25% 이상 함유한 혼합물질.</v>
          </cell>
          <cell r="F1054">
            <v>25</v>
          </cell>
          <cell r="G1054" t="str">
            <v>- 건조하고 통풍이 잘 되는 그늘 및 서늘한 곳에 보관할 것
- 식료품, 사료, 의약품, 음식과 혼합저장 금지할 것
- 필요에 따라 국소배기장치 가동할 것
- 취급 또는 작업 시는 보호의, 보호장갑 등을 착용하여 단기적인 접촉 및 반복적이고 장기적인 노출을 피할 것</v>
          </cell>
        </row>
        <row r="1055">
          <cell r="B1055" t="str">
            <v>22224-92-6</v>
          </cell>
          <cell r="C1055" t="str">
            <v>페나미포스</v>
          </cell>
          <cell r="D1055" t="str">
            <v>97-1-328</v>
          </cell>
          <cell r="E1055" t="str">
            <v>및 이를 1% 이상 함유한 혼합물질</v>
          </cell>
          <cell r="F1055">
            <v>1</v>
          </cell>
          <cell r="G1055" t="str">
            <v>- 통풍이 잘 되는 그늘 및 서늘한 곳에 밀폐보관할 것
- 저장용기는 물리적인 손상에 견딜 수 있어야할 것
- 필요에 따라 국소배기장치 가동할 것
- 취급 시 피부접촉을 피하고 보호의, 보안경, 보호장갑(고무 또는 네오프렌재질)을 착용할 것
- 취급 시 양압자급식호흡용 보호장비를 착용할 것
- 취급 시 콘택트렌즈를 착용 금지할 것</v>
          </cell>
        </row>
        <row r="1056">
          <cell r="B1056" t="str">
            <v>120928-09-8</v>
          </cell>
          <cell r="C1056" t="str">
            <v>페나자퀸</v>
          </cell>
          <cell r="D1056" t="str">
            <v>97-1-329</v>
          </cell>
          <cell r="E1056" t="str">
            <v>및 이를 25% 이상 함유한 혼합물질</v>
          </cell>
          <cell r="F1056">
            <v>25</v>
          </cell>
          <cell r="G1056" t="str">
            <v>- 건조하고 통풍이 잘 되는 그늘 및 서늘한 곳에 보관할 것
- 식료품, 사료, 의약품, 음식과 혼합저장 금지할 것
- 필요에 따라 국소배기장치 가동할 것
- 취급 또는 작업 시는 보호의, 보호장갑 등을 착용하여 단기적인 접촉 및 반복적이고 장기적인 노출을 피할 것</v>
          </cell>
        </row>
        <row r="1057">
          <cell r="B1057" t="str">
            <v>62850-32-2</v>
          </cell>
          <cell r="C1057" t="str">
            <v>페노티오캅</v>
          </cell>
          <cell r="D1057" t="str">
            <v>97-1-330</v>
          </cell>
          <cell r="E1057" t="str">
            <v>및 이를 25% 이상함유한 혼합물질</v>
          </cell>
          <cell r="F1057">
            <v>25</v>
          </cell>
          <cell r="G1057" t="str">
            <v>- 건조하고 통풍이 잘 되는 그늘 및 서늘한 곳에 보관할 것
- 식료품, 사료, 의약품, 음식과 혼합저장 금지할 것
- 필요에 따라 국소배기장치 가동할 것
- 취급 또는 작업 시는 보호의, 보호장갑 등을 착용하여 단기적인 접촉 및 반복적이고 장기적인 노출을 피할 것</v>
          </cell>
        </row>
        <row r="1058">
          <cell r="B1058" t="str">
            <v>71283-80-2</v>
          </cell>
          <cell r="C1058" t="str">
            <v>페녹사프롭피-에틸</v>
          </cell>
          <cell r="D1058" t="str">
            <v>97-1-331</v>
          </cell>
          <cell r="E1058" t="str">
            <v>및 이를 25% 이상 함유한 혼합물질</v>
          </cell>
          <cell r="F1058">
            <v>25</v>
          </cell>
          <cell r="G1058" t="str">
            <v>- 통풍이 잘 되는 그늘 및 서늘한 곳에 밀폐보관할 것
- 식료품, 사료, 의약품, 음식과 혼합저장 금지할 것
- 필요에 따라 국소배기장치 가동할 것
- 저장용기는 물리적인 손상에 견딜 수 있어야 할 것
- 사고발생에 대비하여 눈이나 몸을 씻을 수 있는 세안시설과 샤워시설이 이용 가능한 장소에서 작업할 것
- 사용한 후 식사, 흡연, 화장실에 가기 전에 물과 비누로 손을 꼭 세척할 것
- 호흡용보호구, 전면보호구, 보안경, 불침투성보호의, 보호장갑(부틸 고무재질)을 반드시 사용할 것
- 콘택트렌즈를 착용 금지할 것
- 통풍장치 가동할 것</v>
          </cell>
        </row>
        <row r="1059">
          <cell r="B1059" t="str">
            <v>108-95-2</v>
          </cell>
          <cell r="C1059" t="str">
            <v>페놀</v>
          </cell>
          <cell r="D1059" t="str">
            <v>97-1-332</v>
          </cell>
          <cell r="E1059" t="str">
            <v>및 이를 5% 이상 함유한 혼합물질</v>
          </cell>
          <cell r="F1059">
            <v>5</v>
          </cell>
          <cell r="G1059" t="str">
            <v>- 통풍이 잘 되는 그늘 및 서늘한 곳에 밀폐보관할 것
- 빛을 완전 차단한 곳에 저장할 것
- 저장용기는 물리적인 손상에 견딜 수 있어야 하며 페놀수지, PVC, 네오프렌, 사란(saran),  폴리에틸렌재질의 것은 사용 금지할 것
- 필요에 따라 국소배기장치 가동할 것
- 열, 스파크, 화염, 점화원과 격리할 것
- 취급 시 피부접촉을 피하고 보호의, 보안경, 가스마스크, 앞치마(고무), 보호장갑(PVC 또는 부틸고무재질)을 착용할 것
- 취급 시 양압자급식호흡용보호장비를 착용할 것
- 취급 시 콘택트렌즈를 착용금지할 것
- 취급 후, 손을 철저하게 세척할 것
- 통풍이 잘 되는 장소에서만 사용할 것
- 빈 용기를 가압, 절단, 용접, 납땜, 연마, 천공을 해서는 안 되며, 열, 스파크, 화염에 노출시키지 말 것
- 사고대비물질(이를 5% 이상 함유한 혼합물질)</v>
          </cell>
        </row>
        <row r="1060">
          <cell r="B1060" t="str">
            <v>122-14-5</v>
          </cell>
          <cell r="C1060" t="str">
            <v>페니트로티온</v>
          </cell>
          <cell r="D1060" t="str">
            <v>97-1-333</v>
          </cell>
          <cell r="E1060" t="str">
            <v>및 이를 25% 이상 함유한 혼합물질</v>
          </cell>
          <cell r="F1060">
            <v>25</v>
          </cell>
          <cell r="G1060" t="str">
            <v>- 통풍이 잘 되는 그늘 및 서늘한 곳에 밀폐보관할 것
- 저장온도는 40℃ 이하를 유지할 것
- 저장용기는 알루미늄이나 유리재질의 용기로 물리적인 손상 또는 빛을 차단하는 것를 사용할 것
- 필요에 따라 국소배기장치 가동할 것
- 화학물질 흄 후드내에서 취급할 것
- 취급 시 피부접촉을 피하고 보호의, 보안경, 보호장갑(고무 또는 네오프렌재질)을 착용할 것
- 취급 시 양압자급식호흡용 보호장비를 착용할 것
- 취급 시 콘택트렌즈를 착용 금지할 것</v>
          </cell>
        </row>
        <row r="1061">
          <cell r="B1061" t="str">
            <v>25265-76-3</v>
          </cell>
          <cell r="C1061" t="str">
            <v>페닐렌디아민</v>
          </cell>
          <cell r="D1061" t="str">
            <v>97-1-334</v>
          </cell>
          <cell r="E1061" t="str">
            <v>및 그 염류를 25% 이상 함유한 혼합물질.</v>
          </cell>
          <cell r="F1061">
            <v>25</v>
          </cell>
          <cell r="G1061" t="str">
            <v>- 통풍이 잘되는 그늘 및 서늘한 곳에 밀폐 보관할 것
- 저장용기는 물리적인 손상에 견딜 수 있어야 하며 빛을 차단할 것
- 필요에 따라 국소배기장치 가동할 것
- 취급 시 피부접촉을 피하고 보호복, 보안경, 보호 장갑을 착용할 것
- 취급 시 양압자급식호흡 보호구를 착용할 것
- 작업장 부근에 비상시를 대비하여 샤워시설 및 세안시설을 갖출 것
- 취급 시 콘택트렌즈를 착용 금지할 것</v>
          </cell>
        </row>
        <row r="1062">
          <cell r="B1062" t="str">
            <v>106-50-3</v>
          </cell>
          <cell r="C1062" t="str">
            <v>P-페닐렌디아민</v>
          </cell>
          <cell r="D1062" t="str">
            <v>97-1-334</v>
          </cell>
          <cell r="E1062" t="str">
            <v>및 그 염류를 25% 이상 함유한 혼합물질.</v>
          </cell>
          <cell r="F1062">
            <v>25</v>
          </cell>
          <cell r="G1062" t="str">
            <v>- 통풍이 잘되는 그늘 및 서늘한 곳에 밀폐 보관할 것
- 저장용기는 물리적인 손상에 견딜 수 있어야 하며 빛을 차단할 것
- 필요에 따라 국소배기장치 가동할 것
- 취급 시 피부접촉을 피하고 보호복, 보안경, 보호 장갑을 착용할 것
- 취급 시 양압자급식호흡 보호구를 착용할 것
- 작업장 부근에 비상시를 대비하여 샤워시설 및 세안시설을 갖출 것
- 취급 시 콘택트렌즈를 착용 금지할 것</v>
          </cell>
        </row>
        <row r="1063">
          <cell r="B1063" t="str">
            <v>108-45-2</v>
          </cell>
          <cell r="C1063" t="str">
            <v>M-페닐렌디아민</v>
          </cell>
          <cell r="D1063" t="str">
            <v>97-1-334</v>
          </cell>
          <cell r="E1063" t="str">
            <v>및 그 염류를 25% 이상 함유한 혼합물질.</v>
          </cell>
          <cell r="F1063">
            <v>25</v>
          </cell>
          <cell r="G1063" t="str">
            <v>- 통풍이 잘되는 그늘 및 서늘한 곳에 밀폐 보관할 것
- 저장용기는 물리적인 손상에 견딜 수 있어야 하며 빛을 차단할 것
- 필요에 따라 국소배기장치 가동할 것
- 취급 시 피부접촉을 피하고 보호복, 보안경, 보호 장갑을 착용할 것
- 취급 시 양압자급식호흡 보호구를 착용할 것
- 작업장 부근에 비상시를 대비하여 샤워시설 및 세안시설을 갖출 것
- 취급 시 콘택트렌즈를 착용 금지할 것</v>
          </cell>
        </row>
        <row r="1064">
          <cell r="B1064" t="str">
            <v>13652-74-9</v>
          </cell>
          <cell r="C1064" t="str">
            <v>m-페닐렌디아민 염산염</v>
          </cell>
          <cell r="D1064" t="str">
            <v>97-1-334</v>
          </cell>
          <cell r="E1064" t="str">
            <v>및 그 염류를 25% 이상 함유한 혼합물질.</v>
          </cell>
          <cell r="F1064">
            <v>25</v>
          </cell>
          <cell r="G1064" t="str">
            <v>- 통풍이 잘되는 그늘 및 서늘한 곳에 밀폐 보관할 것
- 저장용기는 물리적인 손상에 견딜 수 있어야 하며 빛을 차단할 것
- 필요에 따라 국소배기장치 가동할 것
- 취급 시 피부접촉을 피하고 보호복, 보안경, 보호 장갑을 착용할 것
- 취급 시 양압자급식호흡 보호구를 착용할 것
- 작업장 부근에 비상시를 대비하여 샤워시설 및 세안시설을 갖출 것
- 취급 시 콘택트렌즈를 착용 금지할 것</v>
          </cell>
        </row>
        <row r="1065">
          <cell r="B1065" t="str">
            <v>16245-77-5</v>
          </cell>
          <cell r="C1065" t="str">
            <v>1,2-벤지디아민 황산염</v>
          </cell>
          <cell r="D1065" t="str">
            <v>97-1-334</v>
          </cell>
          <cell r="E1065" t="str">
            <v>및 그 염류를 25% 이상 함유한 혼합물질.</v>
          </cell>
          <cell r="F1065">
            <v>25</v>
          </cell>
          <cell r="G1065" t="str">
            <v>- 통풍이 잘되는 그늘 및 서늘한 곳에 밀폐 보관할 것
- 저장용기는 물리적인 손상에 견딜 수 있어야 하며 빛을 차단할 것
- 필요에 따라 국소배기장치 가동할 것
- 취급 시 피부접촉을 피하고 보호복, 보안경, 보호 장갑을 착용할 것
- 취급 시 양압자급식호흡 보호구를 착용할 것
- 작업장 부근에 비상시를 대비하여 샤워시설 및 세안시설을 갖출 것
- 취급 시 콘택트렌즈를 착용 금지할 것</v>
          </cell>
        </row>
        <row r="1066">
          <cell r="B1066" t="str">
            <v>541-69-5</v>
          </cell>
          <cell r="C1066" t="str">
            <v>1,3-벤젠디아민 염산염</v>
          </cell>
          <cell r="D1066" t="str">
            <v>97-1-334</v>
          </cell>
          <cell r="E1066" t="str">
            <v>및 그 염류를 25% 이상 함유한 혼합물질.</v>
          </cell>
          <cell r="F1066">
            <v>25</v>
          </cell>
          <cell r="G1066" t="str">
            <v>- 통풍이 잘되는 그늘 및 서늘한 곳에 밀폐 보관할 것
- 저장용기는 물리적인 손상에 견딜 수 있어야 하며 빛을 차단할 것
- 필요에 따라 국소배기장치 가동할 것
- 취급 시 피부접촉을 피하고 보호복, 보안경, 보호 장갑을 착용할 것
- 취급 시 양압자급식호흡 보호구를 착용할 것
- 작업장 부근에 비상시를 대비하여 샤워시설 및 세안시설을 갖출 것
- 취급 시 콘택트렌즈를 착용 금지할 것</v>
          </cell>
        </row>
        <row r="1067">
          <cell r="B1067" t="str">
            <v>541-70-8</v>
          </cell>
          <cell r="C1067" t="str">
            <v>1,3-벤젠디아민 황산(1:1)</v>
          </cell>
          <cell r="D1067" t="str">
            <v>97-1-334</v>
          </cell>
          <cell r="E1067" t="str">
            <v>및 그 염류를 25% 이상 함유한 혼합물질.</v>
          </cell>
          <cell r="F1067">
            <v>25</v>
          </cell>
          <cell r="G1067" t="str">
            <v>- 통풍이 잘되는 그늘 및 서늘한 곳에 밀폐 보관할 것
- 저장용기는 물리적인 손상에 견딜 수 있어야 하며 빛을 차단할 것
- 필요에 따라 국소배기장치 가동할 것
- 취급 시 피부접촉을 피하고 보호복, 보안경, 보호 장갑을 착용할 것
- 취급 시 양압자급식호흡 보호구를 착용할 것
- 작업장 부근에 비상시를 대비하여 샤워시설 및 세안시설을 갖출 것
- 취급 시 콘택트렌즈를 착용 금지할 것</v>
          </cell>
        </row>
        <row r="1068">
          <cell r="B1068" t="str">
            <v>615-28-1</v>
          </cell>
          <cell r="C1068" t="str">
            <v>1,2-벤지디아민 염산염</v>
          </cell>
          <cell r="D1068" t="str">
            <v>97-1-334</v>
          </cell>
          <cell r="E1068" t="str">
            <v>및 그 염류를 25% 이상 함유한 혼합물질.</v>
          </cell>
          <cell r="F1068">
            <v>25</v>
          </cell>
          <cell r="G1068" t="str">
            <v>- 통풍이 잘되는 그늘 및 서늘한 곳에 밀폐 보관할 것
- 저장용기는 물리적인 손상에 견딜 수 있어야 하며 빛을 차단할 것
- 필요에 따라 국소배기장치 가동할 것
- 취급 시 피부접촉을 피하고 보호복, 보안경, 보호 장갑을 착용할 것
- 취급 시 양압자급식호흡 보호구를 착용할 것
- 작업장 부근에 비상시를 대비하여 샤워시설 및 세안시설을 갖출 것
- 취급 시 콘택트렌즈를 착용 금지할 것</v>
          </cell>
        </row>
        <row r="1069">
          <cell r="B1069" t="str">
            <v>624-18-0</v>
          </cell>
          <cell r="C1069" t="str">
            <v>1,2-벤지디아민 염산염</v>
          </cell>
          <cell r="D1069" t="str">
            <v>97-1-334</v>
          </cell>
          <cell r="E1069" t="str">
            <v>및 그 염류를 25% 이상 함유한 혼합물질.</v>
          </cell>
          <cell r="F1069">
            <v>25</v>
          </cell>
          <cell r="G1069" t="str">
            <v>- 통풍이 잘되는 그늘 및 서늘한 곳에 밀폐 보관할 것
- 저장용기는 물리적인 손상에 견딜 수 있어야 하며 빛을 차단할 것
- 필요에 따라 국소배기장치 가동할 것
- 취급 시 피부접촉을 피하고 보호복, 보안경, 보호 장갑을 착용할 것
- 취급 시 양압자급식호흡 보호구를 착용할 것
- 작업장 부근에 비상시를 대비하여 샤워시설 및 세안시설을 갖출 것
- 취급 시 콘택트렌즈를 착용 금지할 것</v>
          </cell>
        </row>
        <row r="1070">
          <cell r="B1070" t="str">
            <v>95-54-5</v>
          </cell>
          <cell r="C1070" t="str">
            <v>O-페닐렌디아민</v>
          </cell>
          <cell r="D1070" t="str">
            <v>97-1-334</v>
          </cell>
          <cell r="E1070" t="str">
            <v>및 그 염류를 25% 이상 함유한 혼합물질.</v>
          </cell>
          <cell r="F1070">
            <v>25</v>
          </cell>
          <cell r="G1070" t="str">
            <v>- 통풍이 잘되는 그늘 및 서늘한 곳에 밀폐 보관할 것
- 저장용기는 물리적인 손상에 견딜 수 있어야 하며 빛을 차단할 것
- 필요에 따라 국소배기장치 가동할 것
- 취급 시 피부접촉을 피하고 보호복, 보안경, 보호 장갑을 착용할 것
- 취급 시 양압자급식호흡 보호구를 착용할 것
- 작업장 부근에 비상시를 대비하여 샤워시설 및 세안시설을 갖출 것
- 취급 시 콘택트렌즈를 착용 금지할 것</v>
          </cell>
        </row>
        <row r="1071">
          <cell r="B1071" t="str">
            <v>100-63-0</v>
          </cell>
          <cell r="C1071" t="str">
            <v>페닐히드라진</v>
          </cell>
          <cell r="D1071" t="str">
            <v>97-1-335</v>
          </cell>
          <cell r="E1071" t="str">
            <v>및 이를 1%이상 함유한 혼합물질</v>
          </cell>
          <cell r="F1071">
            <v>1</v>
          </cell>
          <cell r="G1071" t="str">
            <v>- 통풍이 잘 되는 그늘 및 서늘한 곳에 밀폐보관할 것
- 저장용기는 물리적인 손상에 견딜 수 있어야 할 것
- 필요에 따라 국소배기장치 가동할 것
- 열, 스파크, 화염, 점화원과 격리할 것
- 취급 시 피부접촉을 피하고 보호의, 보안경, 보호장갑을 착용할 것
- 취급 시 양압자급식호흡용 보호장비를 착용할 것
- 취급 시 콘택트렌즈를 착용 금지할 것
- 취급 후, 손을 철저하게 세척할 것
- 빈 용기를 가압, 절단, 용접, 납땜, 연마, 천공을 해서는 안 되며, 열, 스파크, 화염에 노출시키지 말 것</v>
          </cell>
        </row>
        <row r="1072">
          <cell r="B1072" t="str">
            <v>1630-58-1</v>
          </cell>
          <cell r="C1072" t="str">
            <v>펜발러레이트</v>
          </cell>
          <cell r="D1072" t="str">
            <v>97-1-336</v>
          </cell>
          <cell r="E1072" t="str">
            <v>및 이를 1% 이상 함유한 혼합물질</v>
          </cell>
          <cell r="F1072">
            <v>1</v>
          </cell>
          <cell r="G1072" t="str">
            <v>- 강산화제와 격리하고 빛을 피해 저장할 것
- 15~30℃의 온도로 밀폐 보관할 것
- 건조한 곳에 저장할 것
- 사료, 의약품, 음식과 혼합저장 금지할 것
- 사고발생에 대비하여 눈이나 몸을 씻을 수 있는 세안시설과 샤워시설이 이용 가능한 장소에서 작업할 것
- 사용한 후 식사, 흡연, 화장실에 가기 전에 물과 비누로 손을 꼭 세척할 것
- 호흡용보호구, 전면보호구, 보안경, 고무장갑을 반드시 사용할 것
- 콘택트렌즈를 착용금지할 것
- 통풍장치 가동할 것</v>
          </cell>
        </row>
        <row r="1073">
          <cell r="B1073" t="str">
            <v>115-90-2</v>
          </cell>
          <cell r="C1073" t="str">
            <v>펜술포티온</v>
          </cell>
          <cell r="D1073" t="str">
            <v>97-1-337</v>
          </cell>
          <cell r="E1073" t="str">
            <v>및 이를 1% 이상 함유한 혼합물질</v>
          </cell>
          <cell r="F1073">
            <v>1</v>
          </cell>
          <cell r="G1073" t="str">
            <v>- 열원, 알칼리성물질과 격리하여 저장할 것
- 통풍이 잘 되는 그늘 및 서늘한 곳에 밀폐 보관할 것
- 25~30℃에서 저장할 것
- 식료품, 사료, 의약품, 음식과 혼합저장 금지할 것
- 필요에 따라 국소배기장치 가동할 것
- 저장용기는 물리적인 손상에 견딜 수 있어야 할 것
- 사고발생에 대비하여 눈이나 몸을 씻을 수 있는 세안시설과 샤워시설이 이용 가능한 장소에서 작업할 것
- 사용한 후 식사, 흡연, 화장실에 가기 전에 물과 비누로 손을 꼭 세척할 것
- 호흡용보호구, 전면보호구, 보안경, 보호의(염화폴리비닐재질), 보호장갑(고무 또는 네오프렌재질)을 반드시 사용할 것
- 콘택트렌즈를 착용금지할 것
- 통풍장치 가동할 것
- 가죽으로 만든 보호의, 장갑, 앞치마는 사용 금지할 것</v>
          </cell>
        </row>
        <row r="1074">
          <cell r="B1074" t="str">
            <v>2275-14-1</v>
          </cell>
          <cell r="C1074" t="str">
            <v>펜캅톤</v>
          </cell>
          <cell r="D1074" t="str">
            <v>97-1-338</v>
          </cell>
          <cell r="E1074" t="str">
            <v>및 이를 1.5% 이상 함유한 혼합물질</v>
          </cell>
          <cell r="F1074">
            <v>1.5</v>
          </cell>
          <cell r="G1074" t="str">
            <v>- 통풍이 잘 되는 그늘 및 서늘한 곳에 밀폐 보관할 것
- 식료품, 사료, 의약품, 음식과 혼합저장 금지할 것
- 필요에 따라 국소배기장치 가동할 것
- 저장용기는 물리적인 손상에 견딜 수 있어야 할 것
- 알칼리와 혼합위험성(incompatible)이 있으므로 격리하여 저장할 것
- 열원, 스파크, 불꽃, 점화원과 격리하여 저장할 것
- 취급 또는 작업시는 통풍이 잘 되는 후드에서 행하고 고글형보안경, 보호의, 고무장갑, 고무앞치마, 양압자급식호흡용보호구를 착용하여 단기적인 접촉 및 반복적이고 장기적인 노출을 피할 것
- 노출기준 이상에서는 호흡보호구를 착용할 것
- 가죽으로 만든 보호의, 장갑, 앞치마는 사용 금지할 것</v>
          </cell>
        </row>
        <row r="1075">
          <cell r="B1075" t="str">
            <v>87-86-5</v>
          </cell>
          <cell r="C1075" t="str">
            <v>펜타클로로페놀</v>
          </cell>
          <cell r="D1075" t="str">
            <v>97-1-339,06-4-49</v>
          </cell>
          <cell r="E1075" t="str">
            <v>및 그 중 펜타클로로페놀로서 1% 이상 함유한 혼합물질</v>
          </cell>
          <cell r="F1075">
            <v>1</v>
          </cell>
          <cell r="G1075" t="str">
            <v>- 통풍이 잘 되는 그늘 및 서늘한 곳에 밀폐 보관 할 것
- 저장용기는 물리적인 손상에 견딜 수 있어야 할 것
- 필요에 따라 국소배기장치 가동할 것
- 화학물질 흄 후드 내에서만 취급할 것
- 취급 시 피부접촉을 피하고 보호의, 보안경, 보호장갑을 착용할 것
- 취급 시 양압자급식호흡용 보호장비를 착용할 것
- 취급 시 콘택트렌즈를 착용 금지할 것
- 취급 후, 손을 철저하게 세척할 것
- 취급금지물질(이를 1% 이상 함유한 혼합물질)</v>
          </cell>
        </row>
        <row r="1076">
          <cell r="B1076" t="str">
            <v>131-52-2</v>
          </cell>
          <cell r="C1076" t="str">
            <v>나트륨펜타클로로페네이트</v>
          </cell>
          <cell r="D1076" t="str">
            <v>97-1-339</v>
          </cell>
          <cell r="E1076" t="str">
            <v>및 그 중 펜타클로로페놀로서 1% 이상 함유한 혼합물질</v>
          </cell>
          <cell r="F1076">
            <v>1</v>
          </cell>
          <cell r="G1076" t="str">
            <v>- 통풍이 잘 되는 그늘 및 서늘한 곳에 밀폐 보관 할 것
- 저장용기는 물리적인 손상에 견딜 수 있어야 할 것
- 필요에 따라 국소배기장치 가동할 것
- 화학물질 흄 후드 내에서만 취급할 것
- 취급 시 피부접촉을 피하고 보호의, 보안경, 보호장갑을 착용할 것
- 취급 시 양압자급식호흡용 보호장비를 착용할 것
- 취급 시 콘택트렌즈를 착용 금지할 것
- 취급 후, 손을 철저하게 세척할 것
- 취급금지물질(이를 1% 이상 함유한 혼합물질)</v>
          </cell>
        </row>
        <row r="1077">
          <cell r="B1077" t="str">
            <v>2917-31-9</v>
          </cell>
          <cell r="C1077" t="str">
            <v>펜타클로로페놀 구리염</v>
          </cell>
          <cell r="D1077" t="str">
            <v>97-1-339</v>
          </cell>
          <cell r="E1077" t="str">
            <v>및 그 중 펜타클로로페놀로서 1% 이상 함유한 혼합물질</v>
          </cell>
          <cell r="F1077">
            <v>1</v>
          </cell>
          <cell r="G1077" t="str">
            <v>- 통풍이 잘 되는 그늘 및 서늘한 곳에 밀폐 보관 할 것
- 저장용기는 물리적인 손상에 견딜 수 있어야 할 것
- 필요에 따라 국소배기장치 가동할 것
- 화학물질 흄 후드 내에서만 취급할 것
- 취급 시 피부접촉을 피하고 보호의, 보안경, 보호장갑을 착용할 것
- 취급 시 양압자급식호흡용 보호장비를 착용할 것
- 취급 시 콘택트렌즈를 착용 금지할 것
- 취급 후, 손을 철저하게 세척할 것
- 취급금지물질(이를 1% 이상 함유한 혼합물질)</v>
          </cell>
        </row>
        <row r="1078">
          <cell r="B1078" t="str">
            <v>2917-32-0</v>
          </cell>
          <cell r="C1078" t="str">
            <v>펜타클로로페놀 아연염</v>
          </cell>
          <cell r="D1078" t="str">
            <v>97-1-339</v>
          </cell>
          <cell r="E1078" t="str">
            <v>및 그 중 펜타클로로페놀로서 1% 이상 함유한 혼합물질</v>
          </cell>
          <cell r="F1078">
            <v>1</v>
          </cell>
          <cell r="G1078" t="str">
            <v>- 통풍이 잘 되는 그늘 및 서늘한 곳에 밀폐 보관 할 것
- 저장용기는 물리적인 손상에 견딜 수 있어야 할 것
- 필요에 따라 국소배기장치 가동할 것
- 화학물질 흄 후드 내에서만 취급할 것
- 취급 시 피부접촉을 피하고 보호의, 보안경, 보호장갑을 착용할 것
- 취급 시 양압자급식호흡용 보호장비를 착용할 것
- 취급 시 콘택트렌즈를 착용 금지할 것
- 취급 후, 손을 철저하게 세척할 것
- 취급금지물질(이를 1% 이상 함유한 혼합물질)</v>
          </cell>
        </row>
        <row r="1079">
          <cell r="B1079" t="str">
            <v>2597-03-7</v>
          </cell>
          <cell r="C1079" t="str">
            <v>펜토에이트</v>
          </cell>
          <cell r="D1079" t="str">
            <v>97-1-340</v>
          </cell>
          <cell r="E1079" t="str">
            <v>및 이를 3% 이상 함유한 혼합물질</v>
          </cell>
          <cell r="F1079">
            <v>3</v>
          </cell>
          <cell r="G1079" t="str">
            <v>- 통풍이 잘 되는 25~30℃ 이하의 저장소에 밀폐 보관 할 것
- 식료품, 사료, 의약품, 음식과 혼합저장 금지할 것
- 필요에 따라 국소배기장치 가동할 것
- 저장용기는 물리적인 손상에 견딜 수 있어야 할 것
- 화재 또는 폭발의 위험이 있으므로 열원, 스파크, 불꽃, 점화원과 격리하여 저장할 것
- 취급 또는 작업 시는 통풍이 잘 되는 후드에서 행하고 고글형보안경, 보호의, 보호장갑(고무 또는 PVC 재질), 고무앞치마, 양압자급식호흡용 보호구를 착용하여 단기적인 접촉 및 반복적이고 장기적인 노출을 피할 것
- 가죽으로 만든 보호의, 장갑, 앞치마는 사용 금지할 것
- 노출기준 이상에서는 호흡보호구를 착용할 것</v>
          </cell>
        </row>
        <row r="1080">
          <cell r="B1080" t="str">
            <v>55-38-9</v>
          </cell>
          <cell r="C1080" t="str">
            <v>펜티온</v>
          </cell>
          <cell r="D1080" t="str">
            <v>97-1-341</v>
          </cell>
          <cell r="E1080" t="str">
            <v>및 이를 2% 이상 함유한 혼합물질</v>
          </cell>
          <cell r="F1080">
            <v>2</v>
          </cell>
          <cell r="G1080" t="str">
            <v>- 염산, 황산, 질산 등의 강산 또는 산성흄과 수산화나트륨, 수산화칼륨 등의 강염기, 열원과 격리하여 저장할 것
- 통풍이 잘 되는 그늘 및 서늘한 곳에 밀폐 보관 할 것
- 식료품, 사료, 의약품, 음식과 혼합저장 금지할 것
- 필요에 따라 국소배기장치 가동할 것
- 저장용기는 물리적인 손상에 견딜 수 있어야 할 것
- 사고발생에 대비하여 눈이나 몸을 씻을 수 있는 세안시설과 샤워시설이 이용 가능한 장소에서 작업할 것
- 사용한 후 식사, 흡연, 화장실에 가기 전에 물과 비누로 손을 꼭 세척할 것
- 호흡용보호구, 전면보호구, 보안경, 보호장갑(고무 또는 네오프렌 재질)을 반드시 착용할 것
- 콘택트렌즈를 착용금지할 것
- 통풍장치 가동할 것
- 가죽으로 만든 보호의, 장갑, 앞치마는 사용 금지할 것</v>
          </cell>
        </row>
        <row r="1081">
          <cell r="B1081" t="str">
            <v>134098-61-6</v>
          </cell>
          <cell r="C1081" t="str">
            <v>펜피록시메이트</v>
          </cell>
          <cell r="D1081" t="str">
            <v>97-1-342,06-4-50</v>
          </cell>
          <cell r="E1081" t="str">
            <v>및 이를 25% 이상 함유한 혼합물질</v>
          </cell>
          <cell r="F1081">
            <v>25</v>
          </cell>
          <cell r="G1081" t="str">
            <v>- 통풍이 잘 되는 그늘 및 서늘한 곳에 밀폐 보관 할 것
- 식료품, 사료, 의약품, 음식과 혼합저장 금지할 것
- 저장용기는 물리적인 손상에 견딜 수 있어야 할 것
- 사고발생에 대비하여 눈이나 몸을 씻을 수 있는 세안시설과 샤워시설이 이용 가능한 장소에서 작업할 것
- 사용한 후 식사, 흡연, 화장실에 가기 전에 물과 비누로 손을 꼭 세척할 것
- 호흡용보호구, 보안경, 보호의, 보호장갑(고무 또는 네오프렌 재질)을 반드시 사용할 것
- 콘택트렌즈를 착용 금지할 것
- 통풍장치 가동할 것
- 취급금지물질(이를 25% 이상 함유한 혼합물질)</v>
          </cell>
        </row>
        <row r="1082">
          <cell r="B1082" t="str">
            <v>944-22-9</v>
          </cell>
          <cell r="C1082" t="str">
            <v>포노포스</v>
          </cell>
          <cell r="D1082" t="str">
            <v>97-1-343</v>
          </cell>
          <cell r="E1082" t="str">
            <v>및 이를 1% 이상 함유한 혼합물질</v>
          </cell>
          <cell r="F1082">
            <v>1</v>
          </cell>
          <cell r="G1082" t="str">
            <v>- 통풍이 잘 되고 25~30℃를 넘지 않는 그늘 및 서늘한 곳에 밀폐 보관 할 것
- 식료품, 사료, 의약품과 혼합저장 금지할 것
- 필요에 따라 국소배기장치 가동할 것
- 화학물질 흄 후드 내에서 취급 할 것
- 가죽으로 만든 보호의, 장갑, 앞치마는 사용 금지할 것
- 양압자급식호흡용 보호구를 반드시 착용하고 보호의와 고글형 보안경을 착용할 것</v>
          </cell>
        </row>
        <row r="1083">
          <cell r="B1083" t="str">
            <v>298-02-2</v>
          </cell>
          <cell r="C1083" t="str">
            <v>포레이트</v>
          </cell>
          <cell r="D1083" t="str">
            <v>97-1-344</v>
          </cell>
          <cell r="E1083" t="str">
            <v>및 이를 1.0% 이상 함유한 혼합물질</v>
          </cell>
          <cell r="F1083">
            <v>1</v>
          </cell>
          <cell r="G1083" t="str">
            <v>- 통풍이 잘 되는 그늘 및 서늘한 곳에 밀폐 보관 할 것
- 식료품, 사료, 의약품, 음식과 혼합저장 금지할 것
- 필요에 따라 국소배기장치 가동할 것
- 저장용기는 물리적인 손상에 견딜 수 있어야 할 것
- 사고발생에 대비하여 눈이나 몸을 씻을 수 있는 세안시설과 샤워시설이 이용 가능한 장소에서 작업할 것
- 사용한 후 식사, 흡연, 화장실에 가기 전에 물과 비누로 손을 꼭 세척할 것
- 호흡용보호구, 전면보호구, 보안경, 보호의(염화폴리비닐 재질), 보호장갑(고무 또는 네오프렌 재질)을 반드시 착용할 것
- 콘택트렌즈를 착용금지할 것
- 통풍장치 가동할 것</v>
          </cell>
        </row>
        <row r="1084">
          <cell r="B1084" t="str">
            <v>50-00-0</v>
          </cell>
          <cell r="C1084" t="str">
            <v>포르말린</v>
          </cell>
          <cell r="D1084" t="str">
            <v>97-1-345,06-5-5</v>
          </cell>
          <cell r="E1084" t="str">
            <v>및 포름알데히드로서 1% 이상 함유한 혼합물질</v>
          </cell>
          <cell r="F1084">
            <v>1</v>
          </cell>
          <cell r="G1084" t="str">
            <v>- 통풍이 잘 되는 그늘 및 서늘한 곳에 밀폐 보관 할 것
- 식료품, 사료, 의약품, 음식과 혼합저장 금지할 것
- 필요에 따라 국소배기장치 가동할 것
- 산, 알칼리, 아민류, 산화제와 혼합위험성(incompatible)이 있으므로 격리하여 저장할 것
- 화재나 폭발위험성이 있으므로 열원, 알칼리, 스파크, 불꽃, 가연성물질, 점화원과 격리하여 저장할 것
- 취급 또는 작업 시는 통풍이 잘 되는 후드에서 행하고 고글형보안경, 보호의, 보호장갑, 고무앞치마, 양압자급식호흡용 보호구를 착용하여 단기적인 접촉 및 반복적이고 장기적인 노출을 피할 것
- 노출기준 이상에서는 호흡보호구를 착용할 것
- 발암성물질이므로 매우 주의할 것
- 취급제한물질(이를 1% 이상 함유한 혼합물질)
- 사고대비물질(이를 1% 이상 함유한 혼합물질)</v>
          </cell>
        </row>
        <row r="1085">
          <cell r="B1085" t="str">
            <v>30525-89-4</v>
          </cell>
          <cell r="C1085" t="str">
            <v>파라포름알데히드</v>
          </cell>
          <cell r="D1085" t="str">
            <v>97-1-345,06-5-5</v>
          </cell>
          <cell r="E1085" t="str">
            <v>및 포름알데히드로서 1% 이상 함유한 혼합물질</v>
          </cell>
          <cell r="F1085">
            <v>1</v>
          </cell>
          <cell r="G1085" t="str">
            <v>- 통풍이 잘 되는 그늘 및 서늘한 곳에 밀폐 보관 할 것
- 식료품, 사료, 의약품, 음식과 혼합저장 금지할 것
- 필요에 따라 국소배기장치 가동할 것
- 산, 알칼리, 아민류, 산화제와 혼합위험성(incompatible)이 있으므로 격리하여 저장할 것
- 화재나 폭발위험성이 있으므로 열원, 알칼리, 스파크, 불꽃, 가연성물질, 점화원과 격리하여 저장할 것
- 취급 또는 작업 시는 통풍이 잘 되는 후드에서 행하고 고글형보안경, 보호의, 보호장갑, 고무앞치마, 양압자급식호흡용 보호구를 착용하여 단기적인 접촉 및 반복적이고 장기적인 노출을 피할 것
- 노출기준 이상에서는 호흡보호구를 착용할 것
- 발암성물질이므로 매우 주의할 것
- 취급제한물질(이를 1% 이상 함유한 혼합물질)
- 사고대비물질(이를 1% 이상 함유한 혼합물질)</v>
          </cell>
        </row>
        <row r="1086">
          <cell r="B1086" t="str">
            <v>2540-82-1</v>
          </cell>
          <cell r="C1086" t="str">
            <v>포르모티온</v>
          </cell>
          <cell r="D1086" t="str">
            <v>97-1-346</v>
          </cell>
          <cell r="E1086" t="str">
            <v>및 이를 25% 이상 함유한 혼합물질</v>
          </cell>
          <cell r="F1086">
            <v>25</v>
          </cell>
          <cell r="G1086" t="str">
            <v>- 통풍이 잘 되는 -15~30℃의 저장소에 밀폐 보관 할 것
- 식료품, 사료, 의약품, 음식과 혼합저장 금지할 것
- 필요에 따라 국소배기장치 가동할 것
- 저장용기는 물리적인 손상에 견딜 수 있어야 할 것
- 화재 또는 폭발의 위험성이 있으므로 열원, 스파크, 불꽃, 가연성물질, 점화원과 격리하여 저장할 것
- 취급 또는 작업 시는 통풍이 잘 되는 후드에서 행하고 고글형보안경, 보호의, 보호장갑(고무 또는 네오프렌 재질), 고무앞치마, 양압자급식호흡용 보호구를 착용하여 단기적인 접촉 및 반복적이고 장기적인 노출을 피할 것
- 가죽으로 만든 보호의, 장갑, 앞치마는 사용 금지할 것
- 노출기준 이상에서는 호흡보호구를 착용할 것
- 열이나 스파크, 불꽃에 의해 쉽게 점화되므로 주의할 것</v>
          </cell>
        </row>
        <row r="1087">
          <cell r="B1087" t="str">
            <v>22259-30-9</v>
          </cell>
          <cell r="C1087" t="str">
            <v>포메탄에이트</v>
          </cell>
          <cell r="D1087" t="str">
            <v>97-1-347</v>
          </cell>
          <cell r="E1087" t="str">
            <v>및 이를 1% 이상함유한 혼합물질</v>
          </cell>
          <cell r="F1087">
            <v>1</v>
          </cell>
          <cell r="G1087" t="str">
            <v>- 통풍이 잘 되는 그늘 및 서늘한 곳에 밀폐 보관할 것
- 식료품, 사료, 의약품, 음식과 혼합저장 금지할 것
- 저장용기는 물리적인 손상에 견딜 수 있어야 할 것
- 사고발생에 대비하여 눈이나 몸을 씻을 수 있는 세안시설과 샤워시설이 이용 가능한 장소에서 작업할 것
- 사용한 후 식사, 흡연, 화장실에 가기 전에 물과 비누로 손을 꼭 세척할 것
- 호흡용보호구, 보안경, 보호의, 보호장갑(고무 또는 네오프렌 재질)을 반드시 사용할 것
- 콘택트렌즈를 착용 금지할 것
- 통풍장치 가동할 것</v>
          </cell>
        </row>
        <row r="1088">
          <cell r="B1088" t="str">
            <v>2310-17-0</v>
          </cell>
          <cell r="C1088" t="str">
            <v>포살론</v>
          </cell>
          <cell r="D1088" t="str">
            <v>97-1-348</v>
          </cell>
          <cell r="E1088" t="str">
            <v>및 이를 2.2% 이상 함유한 혼합물질</v>
          </cell>
          <cell r="F1088">
            <v>2.2000000000000002</v>
          </cell>
          <cell r="G1088" t="str">
            <v>- 통풍이 잘 되는 0℃ 이상의 저장소에 밀폐 보관 할 것
- 식료품, 사료, 의약품, 음식과 혼합저장 금지할 것
- 필요에 따라 국소배기장치 가동할 것
- 저장용기는 물리적인 손상에 견딜 수 있어야 할 것
- 화재 또는 폭발의 위험성이 있으므로 열원, 스파크, 불꽃, 가연성물질, 점화원과 격리하여 저장할 것
- 산, 강염기, 산화제, 환원제, 석회(lime), 황, 비산칼슘(calcium arsenate), 질산염, 과산화 수소, 알칼리금속, 알데히드와 격리하여 저장할 것
- 취급 또는 작업 시는 통풍이 잘 되는 후드에서 행하고 고글형보안경, 보호의, 보호장갑(고무 또는 PVC 재질), 앞치마, 양압자급식호흡용 보호구를 착용하여 단기적인 접촉 및 반복적이고 장기적인 노출을 피할 것
- 가죽으로 만든 보호의, 장갑, 앞치마는 사용 금지할 것
- 노출기준 이상에서는 호흡보호구를 착용할 것
- 사용한 용기는 물과 표백제로 닦거나, 24 시간동안 알칼리성용액에 담근 후 뜨거운 물로 헹굴 것</v>
          </cell>
        </row>
        <row r="1089">
          <cell r="B1089" t="str">
            <v>75-44-5</v>
          </cell>
          <cell r="C1089" t="str">
            <v>포스겐</v>
          </cell>
          <cell r="D1089" t="str">
            <v>97-1-349</v>
          </cell>
          <cell r="E1089" t="str">
            <v>및 이를 1.0% 이상 함유한 혼합물질</v>
          </cell>
          <cell r="F1089">
            <v>1</v>
          </cell>
          <cell r="G1089" t="str">
            <v>- 통풍이 잘 되는 그늘 및 서늘한 곳에 밀폐 보관 할 것
- 식료품, 사료, 의약품, 음식과 혼합저장 금지할 것
- 필요에 따라 국소배기장치 가동할 것
- 저장용기는 물리적인 손상에 견딜 수 있어야 할 것
- 산화제, 습기, 금속, 알칼리, 암모니아 기체, 알코올과 혼합위험성(incompatible)이 있으므로 격리하여 저장할 것
- 화재 또는 폭발의 위험성이 있으므로 열원, 스파크, 불꽃,가연성물질, 점화원과 격리하여 저장할 것
- 취급 또는 작업 시는 통풍이 잘 되는 후드에서 행하고 고글형보안경, 보호의, 보호장갑(고무 또는 네오프렌 재질), 고무앞치마, 양압자급식호흡용보호구를 착용하여 단기적인 접촉 및 반복적이고 장기적인 노출을 피할 것
- 노출기준 이상에서는 호흡보호구를 착용할 것
- 사고대비물질(이를 1% 이상 함유한 혼합물질)</v>
          </cell>
        </row>
        <row r="1090">
          <cell r="B1090" t="str">
            <v>732-11-6</v>
          </cell>
          <cell r="C1090" t="str">
            <v>포스멧</v>
          </cell>
          <cell r="D1090" t="str">
            <v>97-1-350</v>
          </cell>
          <cell r="E1090" t="str">
            <v>및 이를 1% 이상 함유한 혼합물질</v>
          </cell>
          <cell r="F1090">
            <v>1</v>
          </cell>
          <cell r="G1090" t="str">
            <v>- 건조하고 통풍이 잘 되는 그늘 및 서늘한 곳에 알칼리, 산화제, 열원 등과 격리 보관할 것
- 식료품, 사료, 의약품, 음식과 혼합저장 금지할 것
- 필요에 따라 국소배기장치 가동할 것
- 화학물질 흄 후드 내에서 취급 할 것
- 취급 또는 작업 시는 양압자급식호흡용 보호구를 착용하고 고글형보안경, 내화학성보호의, 보호장갑 등을 착용하여 단기적인 접촉 및 반복적이고 장기적인 노출을 피할 것</v>
          </cell>
        </row>
        <row r="1091">
          <cell r="B1091" t="str">
            <v>4104-14-7</v>
          </cell>
          <cell r="C1091" t="str">
            <v>포스아세팀</v>
          </cell>
          <cell r="D1091" t="str">
            <v>97-1-351</v>
          </cell>
          <cell r="E1091" t="str">
            <v>및 이를 1% 이상 함유한 혼합물질</v>
          </cell>
          <cell r="F1091">
            <v>1</v>
          </cell>
          <cell r="G1091" t="str">
            <v>- 건조하고 통풍이 잘 되는 그늘 및 서늘한 곳에 밀폐 보관 할 것
- 식료품, 사료, 의약품, 음식과 혼합저장 금지할 것
- 필요에 따라 국소배기장치 가동할 것
- 저장용기는 물리적인 손상에 견딜 수 있어야 할 것
- 화재 또는 폭발의 위험성이 있으므로 열원, 스파크, 불꽃, 가연성물질, 점화원과 격리하여 저장할 것
- 취급 또는 작업시는 통풍이 잘 되는 후드에서 행하고 고글형보안경, 보호의, 보호장갑(고무 또는 네오프렌 재질), 고무앞치마, 양압자급식호흡용 보호구를 착용하여 단기적인 접촉 및 반복적이고 장기적인 노출을 피할 것
- 가죽으로 만든 보호의, 장갑, 앞치마는 사용 금지할 것
- 노출기준 이상에서는 호흡보호구를 착용할 것</v>
          </cell>
        </row>
        <row r="1092">
          <cell r="B1092" t="str">
            <v>98886-44-3</v>
          </cell>
          <cell r="C1092" t="str">
            <v>포스티아제이트</v>
          </cell>
          <cell r="D1092" t="str">
            <v>97-1-352</v>
          </cell>
          <cell r="E1092" t="str">
            <v>및 이를 25% 이상 함유한 혼합물질</v>
          </cell>
          <cell r="F1092">
            <v>25</v>
          </cell>
          <cell r="G1092" t="str">
            <v>- 통풍이 잘 되는 그늘 및 서늘한 곳에 밀폐 보관 할 것
- 식료품, 사료, 의약품, 음식과 혼합저장 금지할 것
- 저장용기는 물리적인 손상에 견딜 수 있어야 할 것
- 사고발생에 대비하여 눈이나 몸을 씻을 수 있는 세안시설과 샤워시설이 이용 가능한 장소에서 작업할 것
- 사용한 후 식사, 흡연, 화장실에 가기 전에 물과 비누로 손을 꼭 세척할 것
- 호흡용보호구, 보안경, 보호의, 보호장갑(고무 또는 네오프렌 재질)을 반드시 사용할 것
- 콘택트렌즈를 착용금지할 것
- 통풍장치 가동할 것</v>
          </cell>
        </row>
        <row r="1093">
          <cell r="B1093" t="str">
            <v>21548-32-3</v>
          </cell>
          <cell r="C1093" t="str">
            <v>포스티에탄</v>
          </cell>
          <cell r="D1093" t="str">
            <v>97-1-353</v>
          </cell>
          <cell r="E1093" t="str">
            <v>및 이를 1% 이상 함유한 혼합물질</v>
          </cell>
          <cell r="F1093">
            <v>1</v>
          </cell>
          <cell r="G1093" t="str">
            <v>- 건조하고 통풍이 잘 되는 그늘 및 서늘한 곳에 격리보관 할 것
- 식료품, 사료, 의약품, 음식과 혼합저장 금지할 것
- 필요에 따라 국소배기장치 가동할 것
- 혼합금지물질 및 점화원을 격리할 것
- 화학물질 흄 후드내에서 취급할 것
- 취급 또는 작업시는 양압자급식호흡용 보호구를 착용하고 고글형보안경, 내화학성보호의, 고무(또는 네오프렌)재질의 장갑 및 고무장화 등을 착용하여 단기적인 접촉 및 반복적이고 장기적인 노출을 피할 것
- 가죽으로 만든 보호의, 장갑, 앞치마는 사용 금지할 것</v>
          </cell>
        </row>
        <row r="1094">
          <cell r="B1094" t="str">
            <v>13171-21-6</v>
          </cell>
          <cell r="C1094" t="str">
            <v>포스파미돈</v>
          </cell>
          <cell r="D1094" t="str">
            <v>97-1-354,06-4-40</v>
          </cell>
          <cell r="E1094" t="str">
            <v>및 이를 1% 이상 함유한 혼합물질</v>
          </cell>
          <cell r="F1094">
            <v>1</v>
          </cell>
          <cell r="G1094" t="str">
            <v>- 통풍이 잘 되는 그늘 및 서늘한 곳에서 유리, 폴리에틸렌용기에 보관할 것
- 식료품, 사료, 의약품, 인화성물질, 알칼리물질과 혼합저장 금지할 것
- 필요에 따라 국소배기장치 가동할 것
- 화학물질 흄 후드내에서 취급 할 것
- 가죽으로 만든 보호의, 장갑, 앞치마는 사용 금지할 것
- 양압자급식호흡용보호구를 반드시 착용하고 보호의와 고글형보안경, 고무장갑을 착용할 것
- 취급금지물질(이를 1% 이상 함유한 혼합물질)</v>
          </cell>
        </row>
        <row r="1095">
          <cell r="B1095" t="str">
            <v>947-02-4</v>
          </cell>
          <cell r="C1095" t="str">
            <v>포스폴란</v>
          </cell>
          <cell r="D1095" t="str">
            <v>97-1-355</v>
          </cell>
          <cell r="E1095" t="str">
            <v>및 이를 1% 이상 함유한 혼합물질</v>
          </cell>
          <cell r="F1095">
            <v>1</v>
          </cell>
          <cell r="G1095" t="str">
            <v>- 건조하고 통풍이 잘 되는 그늘 및 서늘한 곳에 열, 습기, 산 등과 접촉하지 않게 밀폐 보관 할 것
- 식료품, 사료, 의약품, 음식과 혼합저장 금지할 것
- 필요에 따라 국소배기장치 가동할 것
- 혼합금지물질 및 점화원을 격리할 것
- 화학물질 흄 후드내에서 취급 할 것
- 취급 또는 작업시는 양압자급식호흡용 보호구를 착용하고 고글형보안경, 내화학성보호의, 고무(또는 네오프렌) 재질의 장갑 및 고무장화와 마스크 등을 착용하여 단기적인 접촉 및 반복적이고 장기적인 노출을 피할 것</v>
          </cell>
        </row>
        <row r="1096">
          <cell r="B1096" t="str">
            <v>7803-51-2</v>
          </cell>
          <cell r="C1096" t="str">
            <v>포스핀</v>
          </cell>
          <cell r="D1096" t="str">
            <v>97-1-356</v>
          </cell>
          <cell r="E1096" t="str">
            <v>및 이를 1% 이상 함유한 혼합물질</v>
          </cell>
          <cell r="F1096">
            <v>1</v>
          </cell>
          <cell r="G1096" t="str">
            <v>- 금속용기에 넣어 건조하고 통풍이 잘 되는 그늘 및 서늘한 곳에 공기, 산화제, 열원 및 할로겐화물 등과 격리보관 할 것
- 식료품, 사료, 의약품, 음식과 혼합저장 금지할 것
- 필요에 따라 국소배기장치 가동할 것
- 화학물질 흄 후드내에서 취급 할 것
- 취급 또는 작업시는 양압자급식호흡용 보호구를 착용하고 고글형보안경, 내화학성보호의, 보호장갑 등을 착용하여 단기적인 접촉 및 반복적이고 장기적인 노출을 피할 것
- 액체 포스핀과 접촉하면 동상을 입을 수 있으므로 특히 주의할 것
- 사고대비물질(이를 1% 이상 함유한 혼합물질)</v>
          </cell>
        </row>
        <row r="1097">
          <cell r="B1097" t="str">
            <v>133-07-3</v>
          </cell>
          <cell r="C1097" t="str">
            <v>폴펫</v>
          </cell>
          <cell r="D1097" t="str">
            <v>97-1-357</v>
          </cell>
          <cell r="E1097" t="str">
            <v>및 이를 0.1% 이상 함유한 혼합물질</v>
          </cell>
          <cell r="F1097">
            <v>0.1</v>
          </cell>
          <cell r="G1097" t="str">
            <v>- 통풍이 잘 되는 그늘 및 서늘한 곳에 밀폐 보관 할 것
- 식료품, 사료, 의약품, 음식, 고알칼리성물질과 혼합저장 금지할 것
- 필요에 따라 국소배기장치를 설치하여 환기시킬 것
- 혼합금지물질 및 점화원을 격리할 것
- 취급시 자급식호흡용보호구, 고무보호의, 고무보호장갑을 착용할 것</v>
          </cell>
        </row>
        <row r="1098">
          <cell r="B1098" t="str">
            <v>65907-30-4</v>
          </cell>
          <cell r="C1098" t="str">
            <v>푸라티오캅</v>
          </cell>
          <cell r="D1098" t="str">
            <v>97-1-358</v>
          </cell>
          <cell r="E1098" t="str">
            <v>및 이를 1% 이상 함유한 혼합물질</v>
          </cell>
          <cell r="F1098">
            <v>1</v>
          </cell>
          <cell r="G1098" t="str">
            <v>- 통풍이 잘 되는 그늘 및 서늘한 곳에 밀폐 보관 할 것
- 식료품, 사료, 의약품과 혼합저장 금지할 것
- 필요에 따라 국소배기장치를 설치하여 환기시킬 것
- 취급시 양압자급식호흡용 보호구, 보호의, 보호장갑을 착용할 것</v>
          </cell>
        </row>
        <row r="1099">
          <cell r="B1099" t="str">
            <v>98-01-1</v>
          </cell>
          <cell r="C1099" t="str">
            <v>푸르푸랄</v>
          </cell>
          <cell r="D1099" t="str">
            <v>97-1-359</v>
          </cell>
          <cell r="E1099" t="str">
            <v>및 이를 1% 이상 함유한 혼합물질</v>
          </cell>
          <cell r="F1099">
            <v>1</v>
          </cell>
          <cell r="G1099" t="str">
            <v>- 통풍이 잘 되는 그늘 및 서늘한 곳에 밀폐 보관 할 것
- 저장용기는 물리적인 손상에 견딜 수 있어야 할 것
- 필요에 따라 국소배기장치 가동할 것
- 열, 스파크, 화염, 발화원과 격리할 것
- 취급시 피부접촉을 피하고 보호의, 고글형보안경, 앞치마, 보호장갑(고무)을 착용할 것
- 취급시 양압자급식호흡용 보호장비를 착용할 것
- 취급시 콘택트렌즈를 착용 금지할 것
- 취급 후, 손을 철저하게 세척할 것
- 물질을 이동시킬 때 용기를 땅에 밀착하여 이동할 것
- 스파크를 막는 기계와 폭발을 막는 장치를 사용할 것
- 가압, 절단, 용접, 납땜, 연마, 천공을 해서는 안 되며 열, 스파크, 화염에 빈 용기를 노출시키지 말 것</v>
          </cell>
        </row>
        <row r="1100">
          <cell r="B1100" t="str">
            <v>3309-87-3</v>
          </cell>
          <cell r="C1100" t="str">
            <v>푸지티온</v>
          </cell>
          <cell r="D1100" t="str">
            <v>97-1-360</v>
          </cell>
          <cell r="E1100" t="str">
            <v>및 이를 1% 이상 함유한 혼합물질.</v>
          </cell>
          <cell r="F1100">
            <v>1</v>
          </cell>
          <cell r="G1100" t="str">
            <v>- 건조하고 통풍이 잘 되는 그늘 및 서늘한 곳에 밀폐 보관 할 것
- 식료품, 사료, 의약품, 음식과 혼합저장 금지할 것
- 필요에 따라 국소배기장치 가동할 것
- 저장용기는 물리적인 손상에 견딜 수 있어야 할 것
- 열원, 알칼리, 스파크, 불꽃, 가연성물질, 점화원과 격리하여 저장할 것
- 취급 또는 작업시는 통풍이 잘 되는 후드에서 행하고 고글형보안경, 보호의, 보호장갑(또는 네오프렌 재질), 앞치마, 양압자급식호흡용 보호구를 착용하여 단기적인 접촉 및 반복적이고 장기적인 노출을 피할 것
- 가죽으로 만든 보호의, 장갑, 앞치마는 사용 금지할 것
- 노출기준 이상에서는 호흡보호구를 착용할 것
- 사용한 용기는 물과 표백제로 닦거나, 24 시간동안 알칼리성용액에 담근 후 뜨거운 물로 헹굴 것</v>
          </cell>
        </row>
        <row r="1101">
          <cell r="B1101" t="str">
            <v>2631-37-0</v>
          </cell>
          <cell r="C1101" t="str">
            <v>프로메캅</v>
          </cell>
          <cell r="D1101" t="str">
            <v>97-1-361</v>
          </cell>
          <cell r="E1101" t="str">
            <v>및 이를 1% 이상 함유한 혼합물질</v>
          </cell>
          <cell r="F1101">
            <v>1</v>
          </cell>
          <cell r="G1101" t="str">
            <v>- 통풍이 잘 되는 그늘 및 서늘한 곳에 밀폐 보관 할 것
- 식료품, 사료, 의약품, 음식, 알칼리성물질과 혼합저장 금지할 것
- 필요에 따라 국소배기장치를 설치하여 환기시킬 것
- 혼합금지물질 및 점화원을 격리할 것
- 화학물질 흄 후드 내에서 취급 할 것
- 취급시 양압자급식호흡용보호구, 보호의, 보호장갑을 착용할 것</v>
          </cell>
        </row>
        <row r="1102">
          <cell r="B1102" t="str">
            <v>2275-18-5</v>
          </cell>
          <cell r="C1102" t="str">
            <v>프로토에이트</v>
          </cell>
          <cell r="D1102" t="str">
            <v>97-1-362</v>
          </cell>
          <cell r="E1102" t="str">
            <v>및 이를 1% 이상 함유한 혼합물질</v>
          </cell>
          <cell r="F1102">
            <v>1</v>
          </cell>
          <cell r="G1102" t="str">
            <v>- 통풍이 잘 되는 25~30℃이하의 저장소에 밀폐 보관 할 것
- 식료품, 사료, 의약품, 음식과 혼합저장 금지할 것
- 필요에 따라 국소배기장치 가동할 것
- 저장용기는 물리적인 손상에 견딜 수 있어야 할 것
- 화재 또는 폭발의 위험성이 있으므로 열원, 스파크, 불꽃, 가연성물질, 점화원과 격리하여 저장할 것
- 취급 또는 작업시는 통풍이 잘 되는 후드에서 행하고 고글형보안경, 보호의, 보호장갑(고무 또는 네오프렌 재질), 고무앞치마, 양압자급식호흡용 보호구를 착용하여 단기적인 접촉 및 반복적이고 장기적인 노출을 피할 것
- 가죽으로 만든 보호의, 장갑, 앞치마는 사용 금지할 것
- 노출기준 이상에서는 호흡보호구를 착용할 것</v>
          </cell>
        </row>
        <row r="1103">
          <cell r="B1103" t="str">
            <v>312-35-8</v>
          </cell>
          <cell r="C1103" t="str">
            <v>프로파르지트</v>
          </cell>
          <cell r="D1103" t="str">
            <v>97-1-363</v>
          </cell>
          <cell r="E1103" t="str">
            <v>및 이를 1% 이상 함유한 혼합물질</v>
          </cell>
          <cell r="F1103">
            <v>1</v>
          </cell>
          <cell r="G1103" t="str">
            <v>- 유리나 용기, 칩보드 또는 나무상자 등에 밀봉하여 보관할 것
- 건조하고 통풍이 잘 되는 그늘 및 서늘한 곳에 물, 열원 등과 격리 보관할 것
- 식료품, 사료, 의약품, 음식과 혼합저장 금지할 것
- 필요에 따라 국소배기장치 가동할 것
- 화학물질 흄 후드 내에서 취급 할 것
- 취급 또는 작업시는 자급식호흡용보호구를 착용하고 고글형 보안경, 보호의, 고무장갑 및 고무장화 등을 착용하여 단기적인 접촉 및 반복적이고 장기적인 노출을 피할 것</v>
          </cell>
        </row>
        <row r="1104">
          <cell r="B1104" t="str">
            <v>111479-05-1</v>
          </cell>
          <cell r="C1104" t="str">
            <v>프로파퀴자포프</v>
          </cell>
          <cell r="D1104" t="str">
            <v>97-1-364</v>
          </cell>
          <cell r="E1104" t="str">
            <v>및 이를25% 이상 함유한 혼합물질</v>
          </cell>
          <cell r="F1104">
            <v>25</v>
          </cell>
          <cell r="G1104" t="str">
            <v>- 건조하고 통풍이 잘 되는 그늘 및 서늘한 곳에 보관할 것
- 식료품, 사료, 의약품, 음식과 혼합저장 금지할 것
- 필요에 따라 국소배기장치 가동할 것
- 취급 또는 작업시는 양압자급식호흡용 보호구를 착용하고 보호의, 고무(또는 네오프렌)재질의 장갑 및 고무장화 등을 착용하여 단기적인 접촉 및 반복적이고 장기적인 노출을 피할 것</v>
          </cell>
        </row>
        <row r="1105">
          <cell r="B1105" t="str">
            <v>292-16-2</v>
          </cell>
          <cell r="C1105" t="str">
            <v>프로파포스</v>
          </cell>
          <cell r="D1105" t="str">
            <v>97-1-365</v>
          </cell>
          <cell r="E1105" t="str">
            <v>및 이를 1% 이상 함유한 혼합물질</v>
          </cell>
          <cell r="F1105">
            <v>1</v>
          </cell>
          <cell r="G1105" t="str">
            <v>- 통풍이 잘 되는 그늘 및 서늘한 곳에서 유리, 폴리에틸렌용기에 보관할 것
- 식료품, 사료, 의약품, 인화성물질, 음식과 혼합저장 금지할 것
- 필요에 따라 국소배기장치 가동할 것
- 가죽으로 만든 보호의, 장갑, 앞치마는 사용 금지할 것
- 양압자급식호흡용 보호구를 반드시 착용하고 보호의와 고글형보안경, 고무장갑을 착용할 것</v>
          </cell>
        </row>
        <row r="1106">
          <cell r="B1106" t="str">
            <v>41198-08-7</v>
          </cell>
          <cell r="C1106" t="str">
            <v>프로페노포스</v>
          </cell>
          <cell r="D1106" t="str">
            <v>97-1-366</v>
          </cell>
          <cell r="E1106" t="str">
            <v>및 이를 25% 이상 함유한 혼합물질</v>
          </cell>
          <cell r="F1106">
            <v>25</v>
          </cell>
          <cell r="G1106" t="str">
            <v>- 통풍이 잘 되는 그늘 및 서늘한 곳(2-8℃)에 밀폐 보관 할 것
- 식료품, 사료, 의약품과 혼합저장 금지할 것
- 필요에 따라 국소배기장치 가동할 것
- 가죽으로 만든 보호의, 장갑, 앞치마는 사용 금지할 것
- 양압자급식호흡용 보호구를 반드시 착용하고 보호의와 고글형 보안경을 착용할 것</v>
          </cell>
        </row>
        <row r="1107">
          <cell r="B1107" t="str">
            <v>31218-83-4</v>
          </cell>
          <cell r="C1107" t="str">
            <v>프로페탐포스</v>
          </cell>
          <cell r="D1107" t="str">
            <v>97-1-367</v>
          </cell>
          <cell r="E1107" t="str">
            <v>및 이를 1% 이상 함유한 혼합물질</v>
          </cell>
          <cell r="F1107">
            <v>1</v>
          </cell>
          <cell r="G1107" t="str">
            <v>- 건조하고 통풍이 잘 되는 그늘 및 서늘한 곳에 보관할 것
- 식료품, 사료, 의약품, 음식과 혼합저장 금지할 것
- 필요에 따라 국소배기장치 가동할 것
- 취급 또는 작업시는 양압자급식호흡용 보호구를 착용하고 보호의, 고무(또는 네오프렌)재질의 장갑 및 고무장화 등을 착용하여 단기적인 접촉 및 반복적이고 장기적인 노출을 피할 것
- 통풍이 잘 되는 장소에서 사용할 것
- 취급 후에는 항상 비누와 물로 손을 세척할 것
- 산화제와의 반응을 피할 것</v>
          </cell>
        </row>
        <row r="1108">
          <cell r="B1108" t="str">
            <v>114-26-1</v>
          </cell>
          <cell r="C1108" t="str">
            <v>프로폭서</v>
          </cell>
          <cell r="D1108" t="str">
            <v>97-1-368</v>
          </cell>
          <cell r="E1108" t="str">
            <v>및 이를 1% 이상 함유한 혼합물질.</v>
          </cell>
          <cell r="F1108">
            <v>1</v>
          </cell>
          <cell r="G1108" t="str">
            <v>- 통풍이 잘 되는 그늘 및 서늘한 곳에 밀폐 보관 할 것
- 식료품, 사료, 의약품, 음식, 알칼리성물질과 혼합저장 금지할 것
- 필요에 따라 국소배기장치를 설치하여 환기시킬 것
- 화학물질 흄 후드 내에서 취급 할 것
- 취급시 양압자급식호흡용 보호구, 보호의, 보호장갑을 착용할 것</v>
          </cell>
        </row>
        <row r="1109">
          <cell r="B1109" t="str">
            <v>79723-02-7</v>
          </cell>
          <cell r="C1109" t="str">
            <v>프탈산 수소 테트라메틸암모늄</v>
          </cell>
          <cell r="D1109" t="str">
            <v>97-1-369</v>
          </cell>
          <cell r="E1109" t="str">
            <v>및 이를 1% 이상 함유한 혼합물질</v>
          </cell>
          <cell r="F1109">
            <v>1</v>
          </cell>
          <cell r="G1109" t="str">
            <v>- 건조하고 통풍이 잘 되는 그늘 및 서늘한 곳에 보관할 것
- 식료품, 사료, 의약품, 음식과 혼합저장 금지할 것
- 필요에 따라 국소배기장치 가동할 것
- 취급 또는 작업시는 보호의, 보호장갑 등을 착용하여 단기적인 접촉 및 반복적이고 장기적인 노출을 피할 것</v>
          </cell>
        </row>
        <row r="1110">
          <cell r="B1110" t="str">
            <v>90035-08-8</v>
          </cell>
          <cell r="C1110" t="str">
            <v>플로쿠마펜</v>
          </cell>
          <cell r="D1110" t="str">
            <v>97-1-370</v>
          </cell>
          <cell r="E1110" t="str">
            <v>및 이를 1% 이상 함유한 혼합물질</v>
          </cell>
          <cell r="F1110">
            <v>1</v>
          </cell>
          <cell r="G1110" t="str">
            <v>- 통풍이 잘 되는 그늘 및 서늘한 곳에 밀폐 보관 할 것
- 저장용기는 물리적인 손상에 견딜 수 있어야 할 것
- 필요에 따라 국소배기장치 가동할 것
- 혼합금지물질 및 점화원을 격리할 것
- 화학물질 흄 후드내에서 취급 할 것
- 취급시 피부접촉을 피하고 보호의, 보안경, 보호장갑을 착용할 것
- 취급시 양압자급식호흡용 보호장비를 착용할 것
- 취급시 콘택트렌즈를 착용 금지할 것</v>
          </cell>
        </row>
        <row r="1111">
          <cell r="B1111" t="str">
            <v>131341-86-1</v>
          </cell>
          <cell r="C1111" t="str">
            <v>플루디옥소닐</v>
          </cell>
          <cell r="D1111" t="str">
            <v>97-1-371</v>
          </cell>
          <cell r="E1111" t="str">
            <v>및 이를 25% 이상 함유한 혼합물질</v>
          </cell>
          <cell r="F1111">
            <v>25</v>
          </cell>
          <cell r="G1111" t="str">
            <v>- 건조하고 통풍이 잘 되는 그늘 및 서늘한 곳에 보관할 것
- 식료품, 사료, 의약품, 음식과 혼합저장 금지할 것
- 필요에 따라 국소배기장치 가동할 것
- 취급 또는 작업시는 보호의, 보호장갑 등을 착용하여 단기적인 접촉 및 반복적이고 장기적인 노출을 피할 것</v>
          </cell>
        </row>
        <row r="1112">
          <cell r="B1112" t="str">
            <v>69409-94-5</v>
          </cell>
          <cell r="C1112" t="str">
            <v>플루발린에이트</v>
          </cell>
          <cell r="D1112" t="str">
            <v>97-1-372</v>
          </cell>
          <cell r="E1112" t="str">
            <v>및 이를 25% 이상 함유한 혼합물질</v>
          </cell>
          <cell r="F1112">
            <v>25</v>
          </cell>
          <cell r="G1112" t="str">
            <v>- 통풍이 잘 되는 그늘 및 서늘한 곳(15~30℃)에 밀폐 보관할 것
- 저장용기는 물리적인 손상에 견딜 수 있어야 할 것
- 필요에 따라 국소배기장치 가동할 것
- 화학물질 흄 후드내에서 취급 할 것
- 취급시 피부접촉을 피하고 보호의, 보안경, 보호장갑을 착용할 것
- 취급시 양압자급식호흡용 보호장비를 착용할 것
- 취급시 콘택트렌즈를 착용 금지할 것</v>
          </cell>
        </row>
        <row r="1113">
          <cell r="B1113" t="str">
            <v>106917-52-6</v>
          </cell>
          <cell r="C1113" t="str">
            <v>플루술파미드</v>
          </cell>
          <cell r="D1113" t="str">
            <v>97-1-373</v>
          </cell>
          <cell r="E1113" t="str">
            <v>및 이를 25% 이상 함유한 혼합물질</v>
          </cell>
          <cell r="F1113">
            <v>25</v>
          </cell>
          <cell r="G1113" t="str">
            <v>- 통풍이 잘 되는 그늘 및 서늘한 곳에 밀폐 보관 할 것
- 식료품, 사료, 의약품, 음식과 혼합저장 금지할 것
- 저장용기는 물리적인 손상에 견딜 수 있어야 할 것
- 혼합금지물질 및 점화원을 격리할 것
- 사고발생에 대비하여 눈이나 몸을 씻을 수 있는 세안시설과 샤워시설이 이용 가능한 장소에서 작업할 것
- 사용한 후 식사, 흡연, 화장실에 가기 전에 물과 비누로 손을 꼭 세척할 것
- 호흡용보호구, 보안경, 보호장갑(고무 또는 네오프렌 재질)을 반드시 사용할 것
- 콘택트렌즈를 착용 금지할 것
- 통풍장치 가동할 것</v>
          </cell>
        </row>
        <row r="1114">
          <cell r="B1114" t="str">
            <v>70124-77-5</v>
          </cell>
          <cell r="C1114" t="str">
            <v>플루싸이트린에이트</v>
          </cell>
          <cell r="D1114" t="str">
            <v>97-1-374</v>
          </cell>
          <cell r="E1114" t="str">
            <v>및 이를 25% 이상 함유한 혼합물질</v>
          </cell>
          <cell r="F1114">
            <v>25</v>
          </cell>
          <cell r="G1114" t="str">
            <v>- 통풍이 잘 되는 그늘 및 서늘한 곳에 밀폐 보관 할 것
- 저장온도는 15~30℃를 유지할 것
- 저장용기는 물리적인 손상에 견딜 수 있어야 할 것
- 필요에 따라 국소배기장치 가동할 것
- 화학물질 흄 후드내에서 취급 할 것
- 취급시 피부접촉을 피하고 보호의, 보안경, 가스마스크, 앞치마, 보호장갑을 착용할 것
- 취급시 양압자급식호흡용 보호장비를 착용할 것
- 취급시 콘택트렌즈를 착용 금지할 것</v>
          </cell>
        </row>
        <row r="1115">
          <cell r="B1115" t="str">
            <v>79622-59-6</v>
          </cell>
          <cell r="C1115" t="str">
            <v>플루아지남</v>
          </cell>
          <cell r="D1115" t="str">
            <v>97-1-375,06-4-41</v>
          </cell>
          <cell r="E1115" t="str">
            <v>및 이를 25% 이상 함유한 혼합물질</v>
          </cell>
          <cell r="F1115">
            <v>25</v>
          </cell>
          <cell r="G1115" t="str">
            <v>- 통풍이 잘 되는 그늘 및 서늘한 곳에 밀폐 보관 할 것
- 식료품, 사료, 의약품, 음식과 혼합저장 금지할 것
- 필요에 따라 국소배기장치를 설치하여 환기시킬 것
- 취급시 보호의, 보호구, 보안경과 마스크를 착용할 것
- 취급금지물질(이를 25% 이상 함유한 혼합물질)</v>
          </cell>
        </row>
        <row r="1116">
          <cell r="B1116" t="str">
            <v>16961-83-4</v>
          </cell>
          <cell r="C1116" t="str">
            <v>플루오로규산</v>
          </cell>
          <cell r="D1116" t="str">
            <v>97-1-376</v>
          </cell>
          <cell r="E1116" t="str">
            <v>및 그 중 하나를 1% 이상 함유한 혼합물질.</v>
          </cell>
          <cell r="F1116">
            <v>1</v>
          </cell>
          <cell r="G1116" t="str">
            <v>- 유기물질, 산성 물질, 열원, 물과 격리하고 직사광선을 피해 저장할 것 (①Hexafluorosilicic acid,  ④ Magnesium fluorosilicate)
- 철제용기에 저장할 것 (① Hexafluorosilicic acid)
- 65.6℃ 이하의 건조한 곳에 저장할 것 (③ Potassium fluorosilicate)
- 통풍이 잘되는 그늘 및 서늘한 곳에 밀폐 보관 할 것
- 식료품, 사료, 의약품, 음식과 혼합저장 금지할 것
- 필요에 따라 국소배기장치 가동할 것
- 저장용기는 물리적인 손상에 견딜 수 있어야 할 것
- 사고발생에 대비하여 눈이나 몸을 씻을 수 있는 세안시설과 샤워시설이 이용 가능한 장소에서 작업할 것
- 사용한 후 식사, 흡연, 화장실에 가기 전에 물과 비누로 손을 꼭 세척할 것
- 호흡보호구, 전면보호구, 보안경, 보호 장갑(고무 또는 네오프렌 재질)을 반드시 사용할 것
- 콘택트렌즈를 착용 금지할 것
- 국소배기장치 가동할 것</v>
          </cell>
        </row>
        <row r="1117">
          <cell r="B1117" t="str">
            <v>12062-24-7</v>
          </cell>
          <cell r="C1117" t="str">
            <v>규불화구리</v>
          </cell>
          <cell r="D1117" t="str">
            <v>97-1-376</v>
          </cell>
          <cell r="E1117" t="str">
            <v>및 그 중 하나를 1% 이상 함유한 혼합물질.</v>
          </cell>
          <cell r="F1117">
            <v>1</v>
          </cell>
          <cell r="G1117" t="str">
            <v>- 유기물질, 산성 물질, 열원, 물과 격리하고 직사광선을 피해 저장할 것 (①Hexafluorosilicic acid,  ④ Magnesium fluorosilicate)
- 철제용기에 저장할 것 (① Hexafluorosilicic acid)
- 65.6℃ 이하의 건조한 곳에 저장할 것 (③ Potassium fluorosilicate)
- 통풍이 잘되는 그늘 및 서늘한 곳에 밀폐 보관 할 것
- 식료품, 사료, 의약품, 음식과 혼합저장 금지할 것
- 필요에 따라 국소배기장치 가동할 것
- 저장용기는 물리적인 손상에 견딜 수 있어야 할 것
- 사고발생에 대비하여 눈이나 몸을 씻을 수 있는 세안시설과 샤워시설이 이용 가능한 장소에서 작업할 것
- 사용한 후 식사, 흡연, 화장실에 가기 전에 물과 비누로 손을 꼭 세척할 것
- 호흡보호구, 전면보호구, 보안경, 보호 장갑(고무 또는 네오프렌 재질)을 반드시 사용할 것
- 콘택트렌즈를 착용 금지할 것
- 국소배기장치 가동할 것</v>
          </cell>
        </row>
        <row r="1118">
          <cell r="B1118" t="str">
            <v>12062-26-9</v>
          </cell>
          <cell r="C1118" t="str">
            <v>규불화철</v>
          </cell>
          <cell r="D1118" t="str">
            <v>97-1-376</v>
          </cell>
          <cell r="E1118" t="str">
            <v>및 그 중 하나를 1% 이상 함유한 혼합물질.</v>
          </cell>
          <cell r="F1118">
            <v>1</v>
          </cell>
          <cell r="G1118" t="str">
            <v>- 유기물질, 산성 물질, 열원, 물과 격리하고 직사광선을 피해 저장할 것 (①Hexafluorosilicic acid,  ④ Magnesium fluorosilicate)
- 철제용기에 저장할 것 (① Hexafluorosilicic acid)
- 65.6℃ 이하의 건조한 곳에 저장할 것 (③ Potassium fluorosilicate)
- 통풍이 잘되는 그늘 및 서늘한 곳에 밀폐 보관 할 것
- 식료품, 사료, 의약품, 음식과 혼합저장 금지할 것
- 필요에 따라 국소배기장치 가동할 것
- 저장용기는 물리적인 손상에 견딜 수 있어야 할 것
- 사고발생에 대비하여 눈이나 몸을 씻을 수 있는 세안시설과 샤워시설이 이용 가능한 장소에서 작업할 것
- 사용한 후 식사, 흡연, 화장실에 가기 전에 물과 비누로 손을 꼭 세척할 것
- 호흡보호구, 전면보호구, 보안경, 보호 장갑(고무 또는 네오프렌 재질)을 반드시 사용할 것
- 콘택트렌즈를 착용 금지할 것
- 국소배기장치 가동할 것</v>
          </cell>
        </row>
        <row r="1119">
          <cell r="B1119" t="str">
            <v>16871-71-9</v>
          </cell>
          <cell r="C1119" t="str">
            <v>불화규산아연</v>
          </cell>
          <cell r="D1119" t="str">
            <v>97-1-376</v>
          </cell>
          <cell r="E1119" t="str">
            <v>및 그 중 하나를 1% 이상 함유한 혼합물질.</v>
          </cell>
          <cell r="F1119">
            <v>1</v>
          </cell>
          <cell r="G1119" t="str">
            <v>- 유기물질, 산성 물질, 열원, 물과 격리하고 직사광선을 피해 저장할 것 (①Hexafluorosilicic acid,  ④ Magnesium fluorosilicate)
- 철제용기에 저장할 것 (① Hexafluorosilicic acid)
- 65.6℃ 이하의 건조한 곳에 저장할 것 (③ Potassium fluorosilicate)
- 통풍이 잘되는 그늘 및 서늘한 곳에 밀폐 보관 할 것
- 식료품, 사료, 의약품, 음식과 혼합저장 금지할 것
- 필요에 따라 국소배기장치 가동할 것
- 저장용기는 물리적인 손상에 견딜 수 있어야 할 것
- 사고발생에 대비하여 눈이나 몸을 씻을 수 있는 세안시설과 샤워시설이 이용 가능한 장소에서 작업할 것
- 사용한 후 식사, 흡연, 화장실에 가기 전에 물과 비누로 손을 꼭 세척할 것
- 호흡보호구, 전면보호구, 보안경, 보호 장갑(고무 또는 네오프렌 재질)을 반드시 사용할 것
- 콘택트렌즈를 착용 금지할 것
- 국소배기장치 가동할 것</v>
          </cell>
        </row>
        <row r="1120">
          <cell r="B1120" t="str">
            <v>16871-90-2</v>
          </cell>
          <cell r="C1120" t="str">
            <v>불화규산칼륨</v>
          </cell>
          <cell r="D1120" t="str">
            <v>97-1-376</v>
          </cell>
          <cell r="E1120" t="str">
            <v>및 그 중 하나를 1% 이상 함유한 혼합물질.</v>
          </cell>
          <cell r="F1120">
            <v>1</v>
          </cell>
          <cell r="G1120" t="str">
            <v>- 유기물질, 산성 물질, 열원, 물과 격리하고 직사광선을 피해 저장할 것 (①Hexafluorosilicic acid,  ④ Magnesium fluorosilicate)
- 철제용기에 저장할 것 (① Hexafluorosilicic acid)
- 65.6℃ 이하의 건조한 곳에 저장할 것 (③ Potassium fluorosilicate)
- 통풍이 잘되는 그늘 및 서늘한 곳에 밀폐 보관 할 것
- 식료품, 사료, 의약품, 음식과 혼합저장 금지할 것
- 필요에 따라 국소배기장치 가동할 것
- 저장용기는 물리적인 손상에 견딜 수 있어야 할 것
- 사고발생에 대비하여 눈이나 몸을 씻을 수 있는 세안시설과 샤워시설이 이용 가능한 장소에서 작업할 것
- 사용한 후 식사, 흡연, 화장실에 가기 전에 물과 비누로 손을 꼭 세척할 것
- 호흡보호구, 전면보호구, 보안경, 보호 장갑(고무 또는 네오프렌 재질)을 반드시 사용할 것
- 콘택트렌즈를 착용 금지할 것
- 국소배기장치 가동할 것</v>
          </cell>
        </row>
        <row r="1121">
          <cell r="B1121" t="str">
            <v>16893-85-9</v>
          </cell>
          <cell r="C1121" t="str">
            <v>규불화나트륨</v>
          </cell>
          <cell r="D1121" t="str">
            <v>97-1-376</v>
          </cell>
          <cell r="E1121" t="str">
            <v>및 그 중 하나를 1% 이상 함유한 혼합물질.</v>
          </cell>
          <cell r="F1121">
            <v>1</v>
          </cell>
          <cell r="G1121" t="str">
            <v>- 유기물질, 산성 물질, 열원, 물과 격리하고 직사광선을 피해 저장할 것 (①Hexafluorosilicic acid,  ④ Magnesium fluorosilicate)
- 철제용기에 저장할 것 (① Hexafluorosilicic acid)
- 65.6℃ 이하의 건조한 곳에 저장할 것 (③ Potassium fluorosilicate)
- 통풍이 잘되는 그늘 및 서늘한 곳에 밀폐 보관 할 것
- 식료품, 사료, 의약품, 음식과 혼합저장 금지할 것
- 필요에 따라 국소배기장치 가동할 것
- 저장용기는 물리적인 손상에 견딜 수 있어야 할 것
- 사고발생에 대비하여 눈이나 몸을 씻을 수 있는 세안시설과 샤워시설이 이용 가능한 장소에서 작업할 것
- 사용한 후 식사, 흡연, 화장실에 가기 전에 물과 비누로 손을 꼭 세척할 것
- 호흡보호구, 전면보호구, 보안경, 보호 장갑(고무 또는 네오프렌 재질)을 반드시 사용할 것
- 콘택트렌즈를 착용 금지할 것
- 국소배기장치 가동할 것</v>
          </cell>
        </row>
        <row r="1122">
          <cell r="B1122" t="str">
            <v>16919-19-0</v>
          </cell>
          <cell r="C1122" t="str">
            <v>규불화암모늄</v>
          </cell>
          <cell r="D1122" t="str">
            <v>97-1-376</v>
          </cell>
          <cell r="E1122" t="str">
            <v>및 그 중 하나를 1% 이상 함유한 혼합물질.</v>
          </cell>
          <cell r="F1122">
            <v>1</v>
          </cell>
          <cell r="G1122" t="str">
            <v>- 유기물질, 산성 물질, 열원, 물과 격리하고 직사광선을 피해 저장할 것 (①Hexafluorosilicic acid,  ④ Magnesium fluorosilicate)
- 철제용기에 저장할 것 (① Hexafluorosilicic acid)
- 65.6℃ 이하의 건조한 곳에 저장할 것 (③ Potassium fluorosilicate)
- 통풍이 잘되는 그늘 및 서늘한 곳에 밀폐 보관 할 것
- 식료품, 사료, 의약품, 음식과 혼합저장 금지할 것
- 필요에 따라 국소배기장치 가동할 것
- 저장용기는 물리적인 손상에 견딜 수 있어야 할 것
- 사고발생에 대비하여 눈이나 몸을 씻을 수 있는 세안시설과 샤워시설이 이용 가능한 장소에서 작업할 것
- 사용한 후 식사, 흡연, 화장실에 가기 전에 물과 비누로 손을 꼭 세척할 것
- 호흡보호구, 전면보호구, 보안경, 보호 장갑(고무 또는 네오프렌 재질)을 반드시 사용할 것
- 콘택트렌즈를 착용 금지할 것
- 국소배기장치 가동할 것</v>
          </cell>
        </row>
        <row r="1123">
          <cell r="B1123" t="str">
            <v>16925-39-6</v>
          </cell>
          <cell r="C1123" t="str">
            <v>칼슘헥사플루오로실리케이트</v>
          </cell>
          <cell r="D1123" t="str">
            <v>97-1-376</v>
          </cell>
          <cell r="E1123" t="str">
            <v>및 그 중 하나를 1% 이상 함유한 혼합물질.</v>
          </cell>
          <cell r="F1123">
            <v>1</v>
          </cell>
          <cell r="G1123" t="str">
            <v>- 유기물질, 산성 물질, 열원, 물과 격리하고 직사광선을 피해 저장할 것 (①Hexafluorosilicic acid,  ④ Magnesium fluorosilicate)
- 철제용기에 저장할 것 (① Hexafluorosilicic acid)
- 65.6℃ 이하의 건조한 곳에 저장할 것 (③ Potassium fluorosilicate)
- 통풍이 잘되는 그늘 및 서늘한 곳에 밀폐 보관 할 것
- 식료품, 사료, 의약품, 음식과 혼합저장 금지할 것
- 필요에 따라 국소배기장치 가동할 것
- 저장용기는 물리적인 손상에 견딜 수 있어야 할 것
- 사고발생에 대비하여 눈이나 몸을 씻을 수 있는 세안시설과 샤워시설이 이용 가능한 장소에서 작업할 것
- 사용한 후 식사, 흡연, 화장실에 가기 전에 물과 비누로 손을 꼭 세척할 것
- 호흡보호구, 전면보호구, 보안경, 보호 장갑(고무 또는 네오프렌 재질)을 반드시 사용할 것
- 콘택트렌즈를 착용 금지할 것
- 국소배기장치 가동할 것</v>
          </cell>
        </row>
        <row r="1124">
          <cell r="B1124" t="str">
            <v>16949-65-8</v>
          </cell>
          <cell r="C1124" t="str">
            <v>규불화마그네슘</v>
          </cell>
          <cell r="D1124" t="str">
            <v>97-1-376</v>
          </cell>
          <cell r="E1124" t="str">
            <v>및 그 중 하나를 1% 이상 함유한 혼합물질.</v>
          </cell>
          <cell r="F1124">
            <v>1</v>
          </cell>
          <cell r="G1124" t="str">
            <v>- 유기물질, 산성 물질, 열원, 물과 격리하고 직사광선을 피해 저장할 것 (①Hexafluorosilicic acid,  ④ Magnesium fluorosilicate)
- 철제용기에 저장할 것 (① Hexafluorosilicic acid)
- 65.6℃ 이하의 건조한 곳에 저장할 것 (③ Potassium fluorosilicate)
- 통풍이 잘되는 그늘 및 서늘한 곳에 밀폐 보관 할 것
- 식료품, 사료, 의약품, 음식과 혼합저장 금지할 것
- 필요에 따라 국소배기장치 가동할 것
- 저장용기는 물리적인 손상에 견딜 수 있어야 할 것
- 사고발생에 대비하여 눈이나 몸을 씻을 수 있는 세안시설과 샤워시설이 이용 가능한 장소에서 작업할 것
- 사용한 후 식사, 흡연, 화장실에 가기 전에 물과 비누로 손을 꼭 세척할 것
- 호흡보호구, 전면보호구, 보안경, 보호 장갑(고무 또는 네오프렌 재질)을 반드시 사용할 것
- 콘택트렌즈를 착용 금지할 것
- 국소배기장치 가동할 것</v>
          </cell>
        </row>
        <row r="1125">
          <cell r="B1125" t="str">
            <v>17010-21-8</v>
          </cell>
          <cell r="C1125" t="str">
            <v>규불화카드늄</v>
          </cell>
          <cell r="D1125" t="str">
            <v>97-1-376</v>
          </cell>
          <cell r="E1125" t="str">
            <v>및 그 중 하나를 1% 이상 함유한 혼합물질.</v>
          </cell>
          <cell r="F1125">
            <v>1</v>
          </cell>
          <cell r="G1125" t="str">
            <v>- 유기물질, 산성 물질, 열원, 물과 격리하고 직사광선을 피해 저장할 것 (①Hexafluorosilicic acid,  ④ Magnesium fluorosilicate)
- 철제용기에 저장할 것 (① Hexafluorosilicic acid)
- 65.6℃ 이하의 건조한 곳에 저장할 것 (③ Potassium fluorosilicate)
- 통풍이 잘되는 그늘 및 서늘한 곳에 밀폐 보관 할 것
- 식료품, 사료, 의약품, 음식과 혼합저장 금지할 것
- 필요에 따라 국소배기장치 가동할 것
- 저장용기는 물리적인 손상에 견딜 수 있어야 할 것
- 사고발생에 대비하여 눈이나 몸을 씻을 수 있는 세안시설과 샤워시설이 이용 가능한 장소에서 작업할 것
- 사용한 후 식사, 흡연, 화장실에 가기 전에 물과 비누로 손을 꼭 세척할 것
- 호흡보호구, 전면보호구, 보안경, 보호 장갑(고무 또는 네오프렌 재질)을 반드시 사용할 것
- 콘택트렌즈를 착용 금지할 것
- 국소배기장치 가동할 것</v>
          </cell>
        </row>
        <row r="1126">
          <cell r="B1126" t="str">
            <v>17099-70-6</v>
          </cell>
          <cell r="C1126" t="str">
            <v>헥사플루오로규소알루미늄</v>
          </cell>
          <cell r="D1126" t="str">
            <v>97-1-376</v>
          </cell>
          <cell r="E1126" t="str">
            <v>및 그 중 하나를 1% 이상 함유한 혼합물질.</v>
          </cell>
          <cell r="F1126">
            <v>1</v>
          </cell>
          <cell r="G1126" t="str">
            <v>- 유기물질, 산성 물질, 열원, 물과 격리하고 직사광선을 피해 저장할 것 (①Hexafluorosilicic acid,  ④ Magnesium fluorosilicate)
- 철제용기에 저장할 것 (① Hexafluorosilicic acid)
- 65.6℃ 이하의 건조한 곳에 저장할 것 (③ Potassium fluorosilicate)
- 통풍이 잘되는 그늘 및 서늘한 곳에 밀폐 보관 할 것
- 식료품, 사료, 의약품, 음식과 혼합저장 금지할 것
- 필요에 따라 국소배기장치 가동할 것
- 저장용기는 물리적인 손상에 견딜 수 있어야 할 것
- 사고발생에 대비하여 눈이나 몸을 씻을 수 있는 세안시설과 샤워시설이 이용 가능한 장소에서 작업할 것
- 사용한 후 식사, 흡연, 화장실에 가기 전에 물과 비누로 손을 꼭 세척할 것
- 호흡보호구, 전면보호구, 보안경, 보호 장갑(고무 또는 네오프렌 재질)을 반드시 사용할 것
- 콘택트렌즈를 착용 금지할 것
- 국소배기장치 가동할 것</v>
          </cell>
        </row>
        <row r="1127">
          <cell r="B1127" t="str">
            <v>17125-80-3</v>
          </cell>
          <cell r="C1127" t="str">
            <v>바륨헥사플루오로규산염</v>
          </cell>
          <cell r="D1127" t="str">
            <v>97-1-376</v>
          </cell>
          <cell r="E1127" t="str">
            <v>및 그 중 하나를 1% 이상 함유한 혼합물질.</v>
          </cell>
          <cell r="F1127">
            <v>1</v>
          </cell>
          <cell r="G1127" t="str">
            <v>- 유기물질, 산성 물질, 열원, 물과 격리하고 직사광선을 피해 저장할 것 (①Hexafluorosilicic acid,  ④ Magnesium fluorosilicate)
- 철제용기에 저장할 것 (① Hexafluorosilicic acid)
- 65.6℃ 이하의 건조한 곳에 저장할 것 (③ Potassium fluorosilicate)
- 통풍이 잘되는 그늘 및 서늘한 곳에 밀폐 보관 할 것
- 식료품, 사료, 의약품, 음식과 혼합저장 금지할 것
- 필요에 따라 국소배기장치 가동할 것
- 저장용기는 물리적인 손상에 견딜 수 있어야 할 것
- 사고발생에 대비하여 눈이나 몸을 씻을 수 있는 세안시설과 샤워시설이 이용 가능한 장소에서 작업할 것
- 사용한 후 식사, 흡연, 화장실에 가기 전에 물과 비누로 손을 꼭 세척할 것
- 호흡보호구, 전면보호구, 보안경, 보호 장갑(고무 또는 네오프렌 재질)을 반드시 사용할 것
- 콘택트렌즈를 착용 금지할 것
- 국소배기장치 가동할 것</v>
          </cell>
        </row>
        <row r="1128">
          <cell r="B1128" t="str">
            <v>17347-95-4</v>
          </cell>
          <cell r="C1128" t="str">
            <v>리튬헥사플루오로실리케이트</v>
          </cell>
          <cell r="D1128" t="str">
            <v>97-1-376</v>
          </cell>
          <cell r="E1128" t="str">
            <v>및 그 중 하나를 1% 이상 함유한 혼합물질.</v>
          </cell>
          <cell r="F1128">
            <v>1</v>
          </cell>
          <cell r="G1128" t="str">
            <v>- 유기물질, 산성 물질, 열원, 물과 격리하고 직사광선을 피해 저장할 것 (①Hexafluorosilicic acid,  ④ Magnesium fluorosilicate)
- 철제용기에 저장할 것 (① Hexafluorosilicic acid)
- 65.6℃ 이하의 건조한 곳에 저장할 것 (③ Potassium fluorosilicate)
- 통풍이 잘되는 그늘 및 서늘한 곳에 밀폐 보관 할 것
- 식료품, 사료, 의약품, 음식과 혼합저장 금지할 것
- 필요에 따라 국소배기장치 가동할 것
- 저장용기는 물리적인 손상에 견딜 수 있어야 할 것
- 사고발생에 대비하여 눈이나 몸을 씻을 수 있는 세안시설과 샤워시설이 이용 가능한 장소에서 작업할 것
- 사용한 후 식사, 흡연, 화장실에 가기 전에 물과 비누로 손을 꼭 세척할 것
- 호흡보호구, 전면보호구, 보안경, 보호 장갑(고무 또는 네오프렌 재질)을 반드시 사용할 것
- 콘택트렌즈를 착용 금지할 것
- 국소배기장치 가동할 것</v>
          </cell>
        </row>
        <row r="1129">
          <cell r="B1129" t="str">
            <v>18943-30-1</v>
          </cell>
          <cell r="C1129" t="str">
            <v>수트론튬플루오르실리케이트</v>
          </cell>
          <cell r="D1129" t="str">
            <v>97-1-376</v>
          </cell>
          <cell r="E1129" t="str">
            <v>및 그 중 하나를 1% 이상 함유한 혼합물질.</v>
          </cell>
          <cell r="F1129">
            <v>1</v>
          </cell>
          <cell r="G1129" t="str">
            <v>- 유기물질, 산성 물질, 열원, 물과 격리하고 직사광선을 피해 저장할 것 (①Hexafluorosilicic acid,  ④ Magnesium fluorosilicate)
- 철제용기에 저장할 것 (① Hexafluorosilicic acid)
- 65.6℃ 이하의 건조한 곳에 저장할 것 (③ Potassium fluorosilicate)
- 통풍이 잘되는 그늘 및 서늘한 곳에 밀폐 보관 할 것
- 식료품, 사료, 의약품, 음식과 혼합저장 금지할 것
- 필요에 따라 국소배기장치 가동할 것
- 저장용기는 물리적인 손상에 견딜 수 있어야 할 것
- 사고발생에 대비하여 눈이나 몸을 씻을 수 있는 세안시설과 샤워시설이 이용 가능한 장소에서 작업할 것
- 사용한 후 식사, 흡연, 화장실에 가기 전에 물과 비누로 손을 꼭 세척할 것
- 호흡보호구, 전면보호구, 보안경, 보호 장갑(고무 또는 네오프렌 재질)을 반드시 사용할 것
- 콘택트렌즈를 착용 금지할 것
- 국소배기장치 가동할 것</v>
          </cell>
        </row>
        <row r="1130">
          <cell r="B1130" t="str">
            <v>25808-74-6</v>
          </cell>
          <cell r="C1130" t="str">
            <v>납플루오로실리케이트</v>
          </cell>
          <cell r="D1130" t="str">
            <v>97-1-376</v>
          </cell>
          <cell r="E1130" t="str">
            <v>및 그 중 하나를 1% 이상 함유한 혼합물질.</v>
          </cell>
          <cell r="F1130">
            <v>1</v>
          </cell>
          <cell r="G1130" t="str">
            <v>- 유기물질, 산성 물질, 열원, 물과 격리하고 직사광선을 피해 저장할 것 (①Hexafluorosilicic acid,  ④ Magnesium fluorosilicate)
- 철제용기에 저장할 것 (① Hexafluorosilicic acid)
- 65.6℃ 이하의 건조한 곳에 저장할 것 (③ Potassium fluorosilicate)
- 통풍이 잘되는 그늘 및 서늘한 곳에 밀폐 보관 할 것
- 식료품, 사료, 의약품, 음식과 혼합저장 금지할 것
- 필요에 따라 국소배기장치 가동할 것
- 저장용기는 물리적인 손상에 견딜 수 있어야 할 것
- 사고발생에 대비하여 눈이나 몸을 씻을 수 있는 세안시설과 샤워시설이 이용 가능한 장소에서 작업할 것
- 사용한 후 식사, 흡연, 화장실에 가기 전에 물과 비누로 손을 꼭 세척할 것
- 호흡보호구, 전면보호구, 보안경, 보호 장갑(고무 또는 네오프렌 재질)을 반드시 사용할 것
- 콘택트렌즈를 착용 금지할 것
- 국소배기장치 가동할 것</v>
          </cell>
        </row>
        <row r="1131">
          <cell r="B1131" t="str">
            <v>25808-75-7</v>
          </cell>
          <cell r="C1131" t="str">
            <v>망간플루오로실리케이트</v>
          </cell>
          <cell r="D1131" t="str">
            <v>97-1-376</v>
          </cell>
          <cell r="E1131" t="str">
            <v>및 그 중 하나를 1% 이상 함유한 혼합물질.</v>
          </cell>
          <cell r="F1131">
            <v>1</v>
          </cell>
          <cell r="G1131" t="str">
            <v>- 유기물질, 산성 물질, 열원, 물과 격리하고 직사광선을 피해 저장할 것 (①Hexafluorosilicic acid,  ④ Magnesium fluorosilicate)
- 철제용기에 저장할 것 (① Hexafluorosilicic acid)
- 65.6℃ 이하의 건조한 곳에 저장할 것 (③ Potassium fluorosilicate)
- 통풍이 잘되는 그늘 및 서늘한 곳에 밀폐 보관 할 것
- 식료품, 사료, 의약품, 음식과 혼합저장 금지할 것
- 필요에 따라 국소배기장치 가동할 것
- 저장용기는 물리적인 손상에 견딜 수 있어야 할 것
- 사고발생에 대비하여 눈이나 몸을 씻을 수 있는 세안시설과 샤워시설이 이용 가능한 장소에서 작업할 것
- 사용한 후 식사, 흡연, 화장실에 가기 전에 물과 비누로 손을 꼭 세척할 것
- 호흡보호구, 전면보호구, 보안경, 보호 장갑(고무 또는 네오프렌 재질)을 반드시 사용할 것
- 콘택트렌즈를 착용 금지할 것
- 국소배기장치 가동할 것</v>
          </cell>
        </row>
        <row r="1132">
          <cell r="B1132" t="str">
            <v>26043-11-8</v>
          </cell>
          <cell r="C1132" t="str">
            <v>플루오로규산과 그 염류</v>
          </cell>
          <cell r="D1132" t="str">
            <v>97-1-376</v>
          </cell>
          <cell r="E1132" t="str">
            <v>및 그 중 하나를 1% 이상 함유한 혼합물질.</v>
          </cell>
          <cell r="F1132">
            <v>1</v>
          </cell>
          <cell r="G1132" t="str">
            <v>- 유기물질, 산성 물질, 열원, 물과 격리하고 직사광선을 피해 저장할 것 (①Hexafluorosilicic acid,  ④ Magnesium fluorosilicate)
- 철제용기에 저장할 것 (① Hexafluorosilicic acid)
- 65.6℃ 이하의 건조한 곳에 저장할 것 (③ Potassium fluorosilicate)
- 통풍이 잘되는 그늘 및 서늘한 곳에 밀폐 보관 할 것
- 식료품, 사료, 의약품, 음식과 혼합저장 금지할 것
- 필요에 따라 국소배기장치 가동할 것
- 저장용기는 물리적인 손상에 견딜 수 있어야 할 것
- 사고발생에 대비하여 눈이나 몸을 씻을 수 있는 세안시설과 샤워시설이 이용 가능한 장소에서 작업할 것
- 사용한 후 식사, 흡연, 화장실에 가기 전에 물과 비누로 손을 꼭 세척할 것
- 호흡보호구, 전면보호구, 보안경, 보호 장갑(고무 또는 네오프렌 재질)을 반드시 사용할 것
- 콘택트렌즈를 착용 금지할 것
- 국소배기장치 가동할 것</v>
          </cell>
        </row>
        <row r="1133">
          <cell r="B1133" t="str">
            <v>68239-51-0</v>
          </cell>
          <cell r="C1133" t="str">
            <v>크롬플루오로실리케이트</v>
          </cell>
          <cell r="D1133" t="str">
            <v>97-1-376</v>
          </cell>
          <cell r="E1133" t="str">
            <v>및 그 중 하나를 1% 이상 함유한 혼합물질.</v>
          </cell>
          <cell r="F1133">
            <v>1</v>
          </cell>
          <cell r="G1133" t="str">
            <v>- 유기물질, 산성 물질, 열원, 물과 격리하고 직사광선을 피해 저장할 것 (①Hexafluorosilicic acid,  ④ Magnesium fluorosilicate)
- 철제용기에 저장할 것 (① Hexafluorosilicic acid)
- 65.6℃ 이하의 건조한 곳에 저장할 것 (③ Potassium fluorosilicate)
- 통풍이 잘되는 그늘 및 서늘한 곳에 밀폐 보관 할 것
- 식료품, 사료, 의약품, 음식과 혼합저장 금지할 것
- 필요에 따라 국소배기장치 가동할 것
- 저장용기는 물리적인 손상에 견딜 수 있어야 할 것
- 사고발생에 대비하여 눈이나 몸을 씻을 수 있는 세안시설과 샤워시설이 이용 가능한 장소에서 작업할 것
- 사용한 후 식사, 흡연, 화장실에 가기 전에 물과 비누로 손을 꼭 세척할 것
- 호흡보호구, 전면보호구, 보안경, 보호 장갑(고무 또는 네오프렌 재질)을 반드시 사용할 것
- 콘택트렌즈를 착용 금지할 것
- 국소배기장치 가동할 것</v>
          </cell>
        </row>
        <row r="1134">
          <cell r="B1134" t="str">
            <v>74925-56-7</v>
          </cell>
          <cell r="C1134" t="str">
            <v>플루오로규산과 그 염류</v>
          </cell>
          <cell r="D1134" t="str">
            <v>97-1-376</v>
          </cell>
          <cell r="E1134" t="str">
            <v>및 그 중 하나를 1% 이상 함유한 혼합물질.</v>
          </cell>
          <cell r="F1134">
            <v>1</v>
          </cell>
          <cell r="G1134" t="str">
            <v>- 유기물질, 산성 물질, 열원, 물과 격리하고 직사광선을 피해 저장할 것 (①Hexafluorosilicic acid,  ④ Magnesium fluorosilicate)
- 철제용기에 저장할 것 (① Hexafluorosilicic acid)
- 65.6℃ 이하의 건조한 곳에 저장할 것 (③ Potassium fluorosilicate)
- 통풍이 잘되는 그늘 및 서늘한 곳에 밀폐 보관 할 것
- 식료품, 사료, 의약품, 음식과 혼합저장 금지할 것
- 필요에 따라 국소배기장치 가동할 것
- 저장용기는 물리적인 손상에 견딜 수 있어야 할 것
- 사고발생에 대비하여 눈이나 몸을 씻을 수 있는 세안시설과 샤워시설이 이용 가능한 장소에서 작업할 것
- 사용한 후 식사, 흡연, 화장실에 가기 전에 물과 비누로 손을 꼭 세척할 것
- 호흡보호구, 전면보호구, 보안경, 보호 장갑(고무 또는 네오프렌 재질)을 반드시 사용할 것
- 콘택트렌즈를 착용 금지할 것
- 국소배기장치 가동할 것</v>
          </cell>
        </row>
        <row r="1135">
          <cell r="B1135" t="str">
            <v>16872-11-0</v>
          </cell>
          <cell r="C1135" t="str">
            <v>플루오로붕산</v>
          </cell>
          <cell r="D1135" t="str">
            <v>97-1-377</v>
          </cell>
          <cell r="E1135" t="str">
            <v>및 그 염류를 25% 이상 함유한 혼합물질.</v>
          </cell>
          <cell r="F1135">
            <v>25</v>
          </cell>
          <cell r="G1135" t="str">
            <v>- 통풍이 잘되는 그늘 및 서늘한 곳에 밀폐 보관 할 것
- 식료품, 사료, 의약품과 혼합저장 금지할 것
- 필요에 따라 국소배기장치를 설치하여 환기시킬 것
- 인화성은 없지만 강산이기 때문에 금속과 반응, 수소를 내므로 폴리염화비닐, 폴리에틸렌 용기에 넣어 그늘 및
서늘한 곳에 보관할 것 들어내는 일은 사이폰,
압송내산펌프로 할 것
- 취급 시 양압자급식호흡 보호구, 보호 장갑을 착용할 것
- 제조자가 추천하는 보호복을 입을 것
- 작업장 부근에 비상시를 대비하여 샤워시설 및 세안시설을 갖출 것
- 취급 시 콘택트렌즈를 착용 금지할 것</v>
          </cell>
        </row>
        <row r="1136">
          <cell r="B1136" t="str">
            <v>13755-29-8</v>
          </cell>
          <cell r="C1136" t="str">
            <v>붕불화나트륨</v>
          </cell>
          <cell r="D1136" t="str">
            <v>97-1-377</v>
          </cell>
          <cell r="E1136" t="str">
            <v>및 그 염류를 25% 이상 함유한 혼합물질.</v>
          </cell>
          <cell r="F1136">
            <v>25</v>
          </cell>
          <cell r="G1136" t="str">
            <v>- 통풍이 잘되는 그늘 및 서늘한 곳에 밀폐 보관 할 것
- 식료품, 사료, 의약품과 혼합저장 금지할 것
- 필요에 따라 국소배기장치를 설치하여 환기시킬 것
- 인화성은 없지만 강산이기 때문에 금속과 반응, 수소를 내므로 폴리염화비닐, 폴리에틸렌 용기에 넣어 그늘 및
서늘한 곳에 보관할 것 들어내는 일은 사이폰,
압송내산펌프로 할 것
- 취급 시 양압자급식호흡 보호구, 보호 장갑을 착용할 것
- 제조자가 추천하는 보호복을 입을 것
- 작업장 부근에 비상시를 대비하여 샤워시설 및 세안시설을 갖출 것
- 취급 시 콘택트렌즈를 착용 금지할 것</v>
          </cell>
        </row>
        <row r="1137">
          <cell r="B1137" t="str">
            <v>13814-93-2</v>
          </cell>
          <cell r="C1137" t="str">
            <v>붕불화나트륨</v>
          </cell>
          <cell r="D1137" t="str">
            <v>97-1-377</v>
          </cell>
          <cell r="E1137" t="str">
            <v>및 그 염류를 25% 이상 함유한 혼합물질.</v>
          </cell>
          <cell r="F1137">
            <v>25</v>
          </cell>
          <cell r="G1137" t="str">
            <v>- 통풍이 잘되는 그늘 및 서늘한 곳에 밀폐 보관 할 것
- 식료품, 사료, 의약품과 혼합저장 금지할 것
- 필요에 따라 국소배기장치를 설치하여 환기시킬 것
- 인화성은 없지만 강산이기 때문에 금속과 반응, 수소를 내므로 폴리염화비닐, 폴리에틸렌 용기에 넣어 그늘 및
서늘한 곳에 보관할 것 들어내는 일은 사이폰,
압송내산펌프로 할 것
- 취급 시 양압자급식호흡 보호구, 보호 장갑을 착용할 것
- 제조자가 추천하는 보호복을 입을 것
- 작업장 부근에 비상시를 대비하여 샤워시설 및 세안시설을 갖출 것
- 취급 시 콘택트렌즈를 착용 금지할 것</v>
          </cell>
        </row>
        <row r="1138">
          <cell r="B1138" t="str">
            <v>13814-96-5</v>
          </cell>
          <cell r="C1138" t="str">
            <v>붕불화납</v>
          </cell>
          <cell r="D1138" t="str">
            <v>97-1-377</v>
          </cell>
          <cell r="E1138" t="str">
            <v>및 그 염류를 25% 이상 함유한 혼합물질.</v>
          </cell>
          <cell r="F1138">
            <v>25</v>
          </cell>
          <cell r="G1138" t="str">
            <v>- 통풍이 잘되는 그늘 및 서늘한 곳에 밀폐 보관 할 것
- 식료품, 사료, 의약품과 혼합저장 금지할 것
- 필요에 따라 국소배기장치를 설치하여 환기시킬 것
- 인화성은 없지만 강산이기 때문에 금속과 반응, 수소를 내므로 폴리염화비닐, 폴리에틸렌 용기에 넣어 그늘 및
서늘한 곳에 보관할 것 들어내는 일은 사이폰,
압송내산펌프로 할 것
- 취급 시 양압자급식호흡 보호구, 보호 장갑을 착용할 것
- 제조자가 추천하는 보호복을 입을 것
- 작업장 부근에 비상시를 대비하여 샤워시설 및 세안시설을 갖출 것
- 취급 시 콘택트렌즈를 착용 금지할 것</v>
          </cell>
        </row>
        <row r="1139">
          <cell r="B1139" t="str">
            <v>13814-97-6</v>
          </cell>
          <cell r="C1139" t="str">
            <v>붕불화주석</v>
          </cell>
          <cell r="D1139" t="str">
            <v>97-1-377</v>
          </cell>
          <cell r="E1139" t="str">
            <v>및 그 염류를 25% 이상 함유한 혼합물질.</v>
          </cell>
          <cell r="F1139">
            <v>25</v>
          </cell>
          <cell r="G1139" t="str">
            <v>- 통풍이 잘되는 그늘 및 서늘한 곳에 밀폐 보관 할 것
- 식료품, 사료, 의약품과 혼합저장 금지할 것
- 필요에 따라 국소배기장치를 설치하여 환기시킬 것
- 인화성은 없지만 강산이기 때문에 금속과 반응, 수소를 내므로 폴리염화비닐, 폴리에틸렌 용기에 넣어 그늘 및
서늘한 곳에 보관할 것 들어내는 일은 사이폰,
압송내산펌프로 할 것
- 취급 시 양압자급식호흡 보호구, 보호 장갑을 착용할 것
- 제조자가 추천하는 보호복을 입을 것
- 작업장 부근에 비상시를 대비하여 샤워시설 및 세안시설을 갖출 것
- 취급 시 콘택트렌즈를 착용 금지할 것</v>
          </cell>
        </row>
        <row r="1140">
          <cell r="B1140" t="str">
            <v>13814-98-7</v>
          </cell>
          <cell r="C1140" t="str">
            <v>스트론튬플루오로붕산염; 붕불화 스트론튬</v>
          </cell>
          <cell r="D1140" t="str">
            <v>97-1-377</v>
          </cell>
          <cell r="E1140" t="str">
            <v>및 그 염류를 25% 이상 함유한 혼합물질.</v>
          </cell>
          <cell r="F1140">
            <v>25</v>
          </cell>
          <cell r="G1140" t="str">
            <v>- 통풍이 잘되는 그늘 및 서늘한 곳에 밀폐 보관 할 것
- 식료품, 사료, 의약품과 혼합저장 금지할 것
- 필요에 따라 국소배기장치를 설치하여 환기시킬 것
- 인화성은 없지만 강산이기 때문에 금속과 반응, 수소를 내므로 폴리염화비닐, 폴리에틸렌 용기에 넣어 그늘 및
서늘한 곳에 보관할 것 들어내는 일은 사이폰,
압송내산펌프로 할 것
- 취급 시 양압자급식호흡 보호구, 보호 장갑을 착용할 것
- 제조자가 추천하는 보호복을 입을 것
- 작업장 부근에 비상시를 대비하여 샤워시설 및 세안시설을 갖출 것
- 취급 시 콘택트렌즈를 착용 금지할 것</v>
          </cell>
        </row>
        <row r="1141">
          <cell r="B1141" t="str">
            <v>13826-83-0</v>
          </cell>
          <cell r="C1141" t="str">
            <v>붕불화암모늄</v>
          </cell>
          <cell r="D1141" t="str">
            <v>97-1-377</v>
          </cell>
          <cell r="E1141" t="str">
            <v>및 그 염류를 25% 이상 함유한 혼합물질.</v>
          </cell>
          <cell r="F1141">
            <v>25</v>
          </cell>
          <cell r="G1141" t="str">
            <v>- 통풍이 잘되는 그늘 및 서늘한 곳에 밀폐 보관 할 것
- 식료품, 사료, 의약품과 혼합저장 금지할 것
- 필요에 따라 국소배기장치를 설치하여 환기시킬 것
- 인화성은 없지만 강산이기 때문에 금속과 반응, 수소를 내므로 폴리염화비닐, 폴리에틸렌 용기에 넣어 그늘 및
서늘한 곳에 보관할 것 들어내는 일은 사이폰,
압송내산펌프로 할 것
- 취급 시 양압자급식호흡 보호구, 보호 장갑을 착용할 것
- 제조자가 추천하는 보호복을 입을 것
- 작업장 부근에 비상시를 대비하여 샤워시설 및 세안시설을 갖출 것
- 취급 시 콘택트렌즈를 착용 금지할 것</v>
          </cell>
        </row>
        <row r="1142">
          <cell r="B1142" t="str">
            <v>13826-88-5</v>
          </cell>
          <cell r="C1142" t="str">
            <v>붕불화아연</v>
          </cell>
          <cell r="D1142" t="str">
            <v>97-1-377</v>
          </cell>
          <cell r="E1142" t="str">
            <v>및 그 염류를 25% 이상 함유한 혼합물질.</v>
          </cell>
          <cell r="F1142">
            <v>25</v>
          </cell>
          <cell r="G1142" t="str">
            <v>- 통풍이 잘되는 그늘 및 서늘한 곳에 밀폐 보관 할 것
- 식료품, 사료, 의약품과 혼합저장 금지할 것
- 필요에 따라 국소배기장치를 설치하여 환기시킬 것
- 인화성은 없지만 강산이기 때문에 금속과 반응, 수소를 내므로 폴리염화비닐, 폴리에틸렌 용기에 넣어 그늘 및
서늘한 곳에 보관할 것 들어내는 일은 사이폰,
압송내산펌프로 할 것
- 취급 시 양압자급식호흡 보호구, 보호 장갑을 착용할 것
- 제조자가 추천하는 보호복을 입을 것
- 작업장 부근에 비상시를 대비하여 샤워시설 및 세안시설을 갖출 것
- 취급 시 콘택트렌즈를 착용 금지할 것</v>
          </cell>
        </row>
        <row r="1143">
          <cell r="B1143" t="str">
            <v>13862-62-9</v>
          </cell>
          <cell r="C1143" t="str">
            <v>바륨플루오로붕산염;붕불화 바륨</v>
          </cell>
          <cell r="D1143" t="str">
            <v>97-1-377</v>
          </cell>
          <cell r="E1143" t="str">
            <v>및 그 염류를 25% 이상 함유한 혼합물질.</v>
          </cell>
          <cell r="F1143">
            <v>25</v>
          </cell>
          <cell r="G1143" t="str">
            <v>- 통풍이 잘되는 그늘 및 서늘한 곳에 밀폐 보관 할 것
- 식료품, 사료, 의약품과 혼합저장 금지할 것
- 필요에 따라 국소배기장치를 설치하여 환기시킬 것
- 인화성은 없지만 강산이기 때문에 금속과 반응, 수소를 내므로 폴리염화비닐, 폴리에틸렌 용기에 넣어 그늘 및
서늘한 곳에 보관할 것 들어내는 일은 사이폰,
압송내산펌프로 할 것
- 취급 시 양압자급식호흡 보호구, 보호 장갑을 착용할 것
- 제조자가 추천하는 보호복을 입을 것
- 작업장 부근에 비상시를 대비하여 샤워시설 및 세안시설을 갖출 것
- 취급 시 콘택트렌즈를 착용 금지할 것</v>
          </cell>
        </row>
        <row r="1144">
          <cell r="B1144" t="str">
            <v>13877-20-8</v>
          </cell>
          <cell r="C1144" t="str">
            <v>붕불화암모늄니켈</v>
          </cell>
          <cell r="D1144" t="str">
            <v>97-1-377</v>
          </cell>
          <cell r="E1144" t="str">
            <v>및 그 염류를 25% 이상 함유한 혼합물질.</v>
          </cell>
          <cell r="F1144">
            <v>25</v>
          </cell>
          <cell r="G1144" t="str">
            <v>- 통풍이 잘되는 그늘 및 서늘한 곳에 밀폐 보관 할 것
- 식료품, 사료, 의약품과 혼합저장 금지할 것
- 필요에 따라 국소배기장치를 설치하여 환기시킬 것
- 인화성은 없지만 강산이기 때문에 금속과 반응, 수소를 내므로 폴리염화비닐, 폴리에틸렌 용기에 넣어 그늘 및
서늘한 곳에 보관할 것 들어내는 일은 사이폰,
압송내산펌프로 할 것
- 취급 시 양압자급식호흡 보호구, 보호 장갑을 착용할 것
- 제조자가 추천하는 보호복을 입을 것
- 작업장 부근에 비상시를 대비하여 샤워시설 및 세안시설을 갖출 것
- 취급 시 콘택트렌즈를 착용 금지할 것</v>
          </cell>
        </row>
        <row r="1145">
          <cell r="B1145" t="str">
            <v>14075-53-7</v>
          </cell>
          <cell r="C1145" t="str">
            <v>테트라플루오로붕산칼륨</v>
          </cell>
          <cell r="D1145" t="str">
            <v>97-1-377</v>
          </cell>
          <cell r="E1145" t="str">
            <v>및 그 염류를 25% 이상 함유한 혼합물질.</v>
          </cell>
          <cell r="F1145">
            <v>25</v>
          </cell>
          <cell r="G1145" t="str">
            <v>- 통풍이 잘되는 그늘 및 서늘한 곳에 밀폐 보관 할 것
- 식료품, 사료, 의약품과 혼합저장 금지할 것
- 필요에 따라 국소배기장치를 설치하여 환기시킬 것
- 인화성은 없지만 강산이기 때문에 금속과 반응, 수소를 내므로 폴리염화비닐, 폴리에틸렌 용기에 넣어 그늘 및
서늘한 곳에 보관할 것 들어내는 일은 사이폰,
압송내산펌프로 할 것
- 취급 시 양압자급식호흡 보호구, 보호 장갑을 착용할 것
- 제조자가 추천하는 보호복을 입을 것
- 작업장 부근에 비상시를 대비하여 샤워시설 및 세안시설을 갖출 것
- 취급 시 콘택트렌즈를 착용 금지할 것</v>
          </cell>
        </row>
        <row r="1146">
          <cell r="B1146" t="str">
            <v>14283-07-9</v>
          </cell>
          <cell r="C1146" t="str">
            <v>리튬테트라플루오로붕산염</v>
          </cell>
          <cell r="D1146" t="str">
            <v>97-1-377</v>
          </cell>
          <cell r="E1146" t="str">
            <v>및 그 염류를 25% 이상 함유한 혼합물질.</v>
          </cell>
          <cell r="F1146">
            <v>25</v>
          </cell>
          <cell r="G1146" t="str">
            <v>- 통풍이 잘되는 그늘 및 서늘한 곳에 밀폐 보관 할 것
- 식료품, 사료, 의약품과 혼합저장 금지할 것
- 필요에 따라 국소배기장치를 설치하여 환기시킬 것
- 인화성은 없지만 강산이기 때문에 금속과 반응, 수소를 내므로 폴리염화비닐, 폴리에틸렌 용기에 넣어 그늘 및
서늘한 곳에 보관할 것 들어내는 일은 사이폰,
압송내산펌프로 할 것
- 취급 시 양압자급식호흡 보호구, 보호 장갑을 착용할 것
- 제조자가 추천하는 보호복을 입을 것
- 작업장 부근에 비상시를 대비하여 샤워시설 및 세안시설을 갖출 것
- 취급 시 콘택트렌즈를 착용 금지할 것</v>
          </cell>
        </row>
        <row r="1147">
          <cell r="B1147" t="str">
            <v>14708-11-3</v>
          </cell>
          <cell r="C1147" t="str">
            <v>붕불화구리</v>
          </cell>
          <cell r="D1147" t="str">
            <v>97-1-377</v>
          </cell>
          <cell r="E1147" t="str">
            <v>및 그 염류를 25% 이상 함유한 혼합물질.</v>
          </cell>
          <cell r="F1147">
            <v>25</v>
          </cell>
          <cell r="G1147" t="str">
            <v>- 통풍이 잘되는 그늘 및 서늘한 곳에 밀폐 보관 할 것
- 식료품, 사료, 의약품과 혼합저장 금지할 것
- 필요에 따라 국소배기장치를 설치하여 환기시킬 것
- 인화성은 없지만 강산이기 때문에 금속과 반응, 수소를 내므로 폴리염화비닐, 폴리에틸렌 용기에 넣어 그늘 및
서늘한 곳에 보관할 것 들어내는 일은 사이폰,
압송내산펌프로 할 것
- 취급 시 양압자급식호흡 보호구, 보호 장갑을 착용할 것
- 제조자가 추천하는 보호복을 입을 것
- 작업장 부근에 비상시를 대비하여 샤워시설 및 세안시설을 갖출 것
- 취급 시 콘택트렌즈를 착용 금지할 것</v>
          </cell>
        </row>
        <row r="1148">
          <cell r="B1148" t="str">
            <v>14708-13-5</v>
          </cell>
          <cell r="C1148" t="str">
            <v>망간플루오로붕산염</v>
          </cell>
          <cell r="D1148" t="str">
            <v>97-1-377</v>
          </cell>
          <cell r="E1148" t="str">
            <v>및 그 염류를 25% 이상 함유한 혼합물질.</v>
          </cell>
          <cell r="F1148">
            <v>25</v>
          </cell>
          <cell r="G1148" t="str">
            <v>- 통풍이 잘되는 그늘 및 서늘한 곳에 밀폐 보관 할 것
- 식료품, 사료, 의약품과 혼합저장 금지할 것
- 필요에 따라 국소배기장치를 설치하여 환기시킬 것
- 인화성은 없지만 강산이기 때문에 금속과 반응, 수소를 내므로 폴리염화비닐, 폴리에틸렌 용기에 넣어 그늘 및
서늘한 곳에 보관할 것 들어내는 일은 사이폰,
압송내산펌프로 할 것
- 취급 시 양압자급식호흡 보호구, 보호 장갑을 착용할 것
- 제조자가 추천하는 보호복을 입을 것
- 작업장 부근에 비상시를 대비하여 샤워시설 및 세안시설을 갖출 것
- 취급 시 콘택트렌즈를 착용 금지할 것</v>
          </cell>
        </row>
        <row r="1149">
          <cell r="B1149" t="str">
            <v>14708-14-6</v>
          </cell>
          <cell r="C1149" t="str">
            <v>니켈플루오르화붕산</v>
          </cell>
          <cell r="D1149" t="str">
            <v>97-1-377</v>
          </cell>
          <cell r="E1149" t="str">
            <v>및 그 염류를 25% 이상 함유한 혼합물질.</v>
          </cell>
          <cell r="F1149">
            <v>25</v>
          </cell>
          <cell r="G1149" t="str">
            <v>- 통풍이 잘되는 그늘 및 서늘한 곳에 밀폐 보관 할 것
- 식료품, 사료, 의약품과 혼합저장 금지할 것
- 필요에 따라 국소배기장치를 설치하여 환기시킬 것
- 인화성은 없지만 강산이기 때문에 금속과 반응, 수소를 내므로 폴리염화비닐, 폴리에틸렌 용기에 넣어 그늘 및
서늘한 곳에 보관할 것 들어내는 일은 사이폰,
압송내산펌프로 할 것
- 취급 시 양압자급식호흡 보호구, 보호 장갑을 착용할 것
- 제조자가 추천하는 보호복을 입을 것
- 작업장 부근에 비상시를 대비하여 샤워시설 및 세안시설을 갖출 것
- 취급 시 콘택트렌즈를 착용 금지할 것</v>
          </cell>
        </row>
        <row r="1150">
          <cell r="B1150" t="str">
            <v>15283-51-9</v>
          </cell>
          <cell r="C1150" t="str">
            <v>붕불화제1철</v>
          </cell>
          <cell r="D1150" t="str">
            <v>97-1-377</v>
          </cell>
          <cell r="E1150" t="str">
            <v>및 그 염류를 25% 이상 함유한 혼합물질.</v>
          </cell>
          <cell r="F1150">
            <v>25</v>
          </cell>
          <cell r="G1150" t="str">
            <v>- 통풍이 잘되는 그늘 및 서늘한 곳에 밀폐 보관 할 것
- 식료품, 사료, 의약품과 혼합저장 금지할 것
- 필요에 따라 국소배기장치를 설치하여 환기시킬 것
- 인화성은 없지만 강산이기 때문에 금속과 반응, 수소를 내므로 폴리염화비닐, 폴리에틸렌 용기에 넣어 그늘 및
서늘한 곳에 보관할 것 들어내는 일은 사이폰,
압송내산펌프로 할 것
- 취급 시 양압자급식호흡 보호구, 보호 장갑을 착용할 것
- 제조자가 추천하는 보호복을 입을 것
- 작업장 부근에 비상시를 대비하여 샤워시설 및 세안시설을 갖출 것
- 취급 시 콘택트렌즈를 착용 금지할 것</v>
          </cell>
        </row>
        <row r="1151">
          <cell r="B1151" t="str">
            <v>15689-07-3</v>
          </cell>
          <cell r="C1151" t="str">
            <v>플루오로붕산 염류</v>
          </cell>
          <cell r="D1151" t="str">
            <v>97-1-377</v>
          </cell>
          <cell r="E1151" t="str">
            <v>및 그 염류를 25% 이상 함유한 혼합물질.</v>
          </cell>
          <cell r="F1151">
            <v>25</v>
          </cell>
          <cell r="G1151" t="str">
            <v>- 통풍이 잘되는 그늘 및 서늘한 곳에 밀폐 보관 할 것
- 식료품, 사료, 의약품과 혼합저장 금지할 것
- 필요에 따라 국소배기장치를 설치하여 환기시킬 것
- 인화성은 없지만 강산이기 때문에 금속과 반응, 수소를 내므로 폴리염화비닐, 폴리에틸렌 용기에 넣어 그늘 및
서늘한 곳에 보관할 것 들어내는 일은 사이폰,
압송내산펌프로 할 것
- 취급 시 양압자급식호흡 보호구, 보호 장갑을 착용할 것
- 제조자가 추천하는 보호복을 입을 것
- 작업장 부근에 비상시를 대비하여 샤워시설 및 세안시설을 갖출 것
- 취급 시 콘택트렌즈를 착용 금지할 것</v>
          </cell>
        </row>
        <row r="1152">
          <cell r="B1152" t="str">
            <v>18909-68-7</v>
          </cell>
          <cell r="C1152" t="str">
            <v>루비듐플루오로붕산염</v>
          </cell>
          <cell r="D1152" t="str">
            <v>97-1-377</v>
          </cell>
          <cell r="E1152" t="str">
            <v>및 그 염류를 25% 이상 함유한 혼합물질.</v>
          </cell>
          <cell r="F1152">
            <v>25</v>
          </cell>
          <cell r="G1152" t="str">
            <v>- 통풍이 잘되는 그늘 및 서늘한 곳에 밀폐 보관 할 것
- 식료품, 사료, 의약품과 혼합저장 금지할 것
- 필요에 따라 국소배기장치를 설치하여 환기시킬 것
- 인화성은 없지만 강산이기 때문에 금속과 반응, 수소를 내므로 폴리염화비닐, 폴리에틸렌 용기에 넣어 그늘 및
서늘한 곳에 보관할 것 들어내는 일은 사이폰,
압송내산펌프로 할 것
- 취급 시 양압자급식호흡 보호구, 보호 장갑을 착용할 것
- 제조자가 추천하는 보호복을 입을 것
- 작업장 부근에 비상시를 대비하여 샤워시설 및 세안시설을 갖출 것
- 취급 시 콘택트렌즈를 착용 금지할 것</v>
          </cell>
        </row>
        <row r="1153">
          <cell r="B1153" t="str">
            <v>26490-63-1</v>
          </cell>
          <cell r="C1153" t="str">
            <v>플루오로붕산 염류</v>
          </cell>
          <cell r="D1153" t="str">
            <v>97-1-377</v>
          </cell>
          <cell r="E1153" t="str">
            <v>및 그 염류를 25% 이상 함유한 혼합물질.</v>
          </cell>
          <cell r="F1153">
            <v>25</v>
          </cell>
          <cell r="G1153" t="str">
            <v>- 통풍이 잘되는 그늘 및 서늘한 곳에 밀폐 보관 할 것
- 식료품, 사료, 의약품과 혼합저장 금지할 것
- 필요에 따라 국소배기장치를 설치하여 환기시킬 것
- 인화성은 없지만 강산이기 때문에 금속과 반응, 수소를 내므로 폴리염화비닐, 폴리에틸렌 용기에 넣어 그늘 및
서늘한 곳에 보관할 것 들어내는 일은 사이폰,
압송내산펌프로 할 것
- 취급 시 양압자급식호흡 보호구, 보호 장갑을 착용할 것
- 제조자가 추천하는 보호복을 입을 것
- 작업장 부근에 비상시를 대비하여 샤워시설 및 세안시설을 갖출 것
- 취급 시 콘택트렌즈를 착용 금지할 것</v>
          </cell>
        </row>
        <row r="1154">
          <cell r="B1154" t="str">
            <v>26522-24-7</v>
          </cell>
          <cell r="C1154" t="str">
            <v>플루오로붕산 염류</v>
          </cell>
          <cell r="D1154" t="str">
            <v>97-1-377</v>
          </cell>
          <cell r="E1154" t="str">
            <v>및 그 염류를 25% 이상 함유한 혼합물질.</v>
          </cell>
          <cell r="F1154">
            <v>25</v>
          </cell>
          <cell r="G1154" t="str">
            <v>- 통풍이 잘되는 그늘 및 서늘한 곳에 밀폐 보관 할 것
- 식료품, 사료, 의약품과 혼합저장 금지할 것
- 필요에 따라 국소배기장치를 설치하여 환기시킬 것
- 인화성은 없지만 강산이기 때문에 금속과 반응, 수소를 내므로 폴리염화비닐, 폴리에틸렌 용기에 넣어 그늘 및
서늘한 곳에 보관할 것 들어내는 일은 사이폰,
압송내산펌프로 할 것
- 취급 시 양압자급식호흡 보호구, 보호 장갑을 착용할 것
- 제조자가 추천하는 보호복을 입을 것
- 작업장 부근에 비상시를 대비하여 샤워시설 및 세안시설을 갖출 것
- 취급 시 콘택트렌즈를 착용 금지할 것</v>
          </cell>
        </row>
        <row r="1155">
          <cell r="B1155" t="str">
            <v>27765-48-6</v>
          </cell>
          <cell r="C1155" t="str">
            <v>플루오로붕산 염류</v>
          </cell>
          <cell r="D1155" t="str">
            <v>97-1-377</v>
          </cell>
          <cell r="E1155" t="str">
            <v>및 그 염류를 25% 이상 함유한 혼합물질.</v>
          </cell>
          <cell r="F1155">
            <v>25</v>
          </cell>
          <cell r="G1155" t="str">
            <v>- 통풍이 잘되는 그늘 및 서늘한 곳에 밀폐 보관 할 것
- 식료품, 사료, 의약품과 혼합저장 금지할 것
- 필요에 따라 국소배기장치를 설치하여 환기시킬 것
- 인화성은 없지만 강산이기 때문에 금속과 반응, 수소를 내므로 폴리염화비닐, 폴리에틸렌 용기에 넣어 그늘 및
서늘한 곳에 보관할 것 들어내는 일은 사이폰,
압송내산펌프로 할 것
- 취급 시 양압자급식호흡 보호구, 보호 장갑을 착용할 것
- 제조자가 추천하는 보호복을 입을 것
- 작업장 부근에 비상시를 대비하여 샤워시설 및 세안시설을 갖출 것
- 취급 시 콘택트렌즈를 착용 금지할 것</v>
          </cell>
        </row>
        <row r="1156">
          <cell r="B1156" t="str">
            <v>30744-82-2</v>
          </cell>
          <cell r="C1156" t="str">
            <v>플루오로붕산 염류</v>
          </cell>
          <cell r="D1156" t="str">
            <v>97-1-377</v>
          </cell>
          <cell r="E1156" t="str">
            <v>및 그 염류를 25% 이상 함유한 혼합물질.</v>
          </cell>
          <cell r="F1156">
            <v>25</v>
          </cell>
          <cell r="G1156" t="str">
            <v>- 통풍이 잘되는 그늘 및 서늘한 곳에 밀폐 보관 할 것
- 식료품, 사료, 의약품과 혼합저장 금지할 것
- 필요에 따라 국소배기장치를 설치하여 환기시킬 것
- 인화성은 없지만 강산이기 때문에 금속과 반응, 수소를 내므로 폴리염화비닐, 폴리에틸렌 용기에 넣어 그늘 및
서늘한 곳에 보관할 것 들어내는 일은 사이폰,
압송내산펌프로 할 것
- 취급 시 양압자급식호흡 보호구, 보호 장갑을 착용할 것
- 제조자가 추천하는 보호복을 입을 것
- 작업장 부근에 비상시를 대비하여 샤워시설 및 세안시설을 갖출 것
- 취급 시 콘택트렌즈를 착용 금지할 것</v>
          </cell>
        </row>
        <row r="1157">
          <cell r="B1157" t="str">
            <v>38465-60-0</v>
          </cell>
          <cell r="C1157" t="str">
            <v>붕불화구리</v>
          </cell>
          <cell r="D1157" t="str">
            <v>97-1-377</v>
          </cell>
          <cell r="E1157" t="str">
            <v>및 그 염류를 25% 이상 함유한 혼합물질.</v>
          </cell>
          <cell r="F1157">
            <v>25</v>
          </cell>
          <cell r="G1157" t="str">
            <v>- 통풍이 잘되는 그늘 및 서늘한 곳에 밀폐 보관 할 것
- 식료품, 사료, 의약품과 혼합저장 금지할 것
- 필요에 따라 국소배기장치를 설치하여 환기시킬 것
- 인화성은 없지만 강산이기 때문에 금속과 반응, 수소를 내므로 폴리염화비닐, 폴리에틸렌 용기에 넣어 그늘 및
서늘한 곳에 보관할 것 들어내는 일은 사이폰,
압송내산펌프로 할 것
- 취급 시 양압자급식호흡 보호구, 보호 장갑을 착용할 것
- 제조자가 추천하는 보호복을 입을 것
- 작업장 부근에 비상시를 대비하여 샤워시설 및 세안시설을 갖출 것
- 취급 시 콘택트렌즈를 착용 금지할 것</v>
          </cell>
        </row>
        <row r="1158">
          <cell r="B1158" t="str">
            <v>429-06-1</v>
          </cell>
          <cell r="C1158" t="str">
            <v>테크라에틸암모늄테트라플루오로붕산염</v>
          </cell>
          <cell r="D1158" t="str">
            <v>97-1-377</v>
          </cell>
          <cell r="E1158" t="str">
            <v>및 그 염류를 25% 이상 함유한 혼합물질.</v>
          </cell>
          <cell r="F1158">
            <v>25</v>
          </cell>
          <cell r="G1158" t="str">
            <v>- 통풍이 잘되는 그늘 및 서늘한 곳에 밀폐 보관 할 것
- 식료품, 사료, 의약품과 혼합저장 금지할 것
- 필요에 따라 국소배기장치를 설치하여 환기시킬 것
- 인화성은 없지만 강산이기 때문에 금속과 반응, 수소를 내므로 폴리염화비닐, 폴리에틸렌 용기에 넣어 그늘 및
서늘한 곳에 보관할 것 들어내는 일은 사이폰,
압송내산펌프로 할 것
- 취급 시 양압자급식호흡 보호구, 보호 장갑을 착용할 것
- 제조자가 추천하는 보호복을 입을 것
- 작업장 부근에 비상시를 대비하여 샤워시설 및 세안시설을 갖출 것
- 취급 시 콘택트렌즈를 착용 금지할 것</v>
          </cell>
        </row>
        <row r="1159">
          <cell r="B1159" t="str">
            <v>68309-92-2</v>
          </cell>
          <cell r="C1159" t="str">
            <v>플루오로붕산 염류</v>
          </cell>
          <cell r="D1159" t="str">
            <v>97-1-377</v>
          </cell>
          <cell r="E1159" t="str">
            <v>및 그 염류를 25% 이상 함유한 혼합물질.</v>
          </cell>
          <cell r="F1159">
            <v>25</v>
          </cell>
          <cell r="G1159" t="str">
            <v>- 통풍이 잘되는 그늘 및 서늘한 곳에 밀폐 보관 할 것
- 식료품, 사료, 의약품과 혼합저장 금지할 것
- 필요에 따라 국소배기장치를 설치하여 환기시킬 것
- 인화성은 없지만 강산이기 때문에 금속과 반응, 수소를 내므로 폴리염화비닐, 폴리에틸렌 용기에 넣어 그늘 및
서늘한 곳에 보관할 것 들어내는 일은 사이폰,
압송내산펌프로 할 것
- 취급 시 양압자급식호흡 보호구, 보호 장갑을 착용할 것
- 제조자가 추천하는 보호복을 입을 것
- 작업장 부근에 비상시를 대비하여 샤워시설 및 세안시설을 갖출 것
- 취급 시 콘택트렌즈를 착용 금지할 것</v>
          </cell>
        </row>
        <row r="1160">
          <cell r="B1160" t="str">
            <v>74912-23-5</v>
          </cell>
          <cell r="C1160" t="str">
            <v>플루오로붕산 염류</v>
          </cell>
          <cell r="D1160" t="str">
            <v>97-1-377</v>
          </cell>
          <cell r="E1160" t="str">
            <v>및 그 염류를 25% 이상 함유한 혼합물질.</v>
          </cell>
          <cell r="F1160">
            <v>25</v>
          </cell>
          <cell r="G1160" t="str">
            <v>- 통풍이 잘되는 그늘 및 서늘한 곳에 밀폐 보관 할 것
- 식료품, 사료, 의약품과 혼합저장 금지할 것
- 필요에 따라 국소배기장치를 설치하여 환기시킬 것
- 인화성은 없지만 강산이기 때문에 금속과 반응, 수소를 내므로 폴리염화비닐, 폴리에틸렌 용기에 넣어 그늘 및
서늘한 곳에 보관할 것 들어내는 일은 사이폰,
압송내산펌프로 할 것
- 취급 시 양압자급식호흡 보호구, 보호 장갑을 착용할 것
- 제조자가 추천하는 보호복을 입을 것
- 작업장 부근에 비상시를 대비하여 샤워시설 및 세안시설을 갖출 것
- 취급 시 콘택트렌즈를 착용 금지할 것</v>
          </cell>
        </row>
        <row r="1161">
          <cell r="B1161" t="str">
            <v>351-05-3</v>
          </cell>
          <cell r="C1161" t="str">
            <v>플루오로아세토-p-브로모아닐린</v>
          </cell>
          <cell r="D1161" t="str">
            <v>97-1-378</v>
          </cell>
          <cell r="E1161" t="str">
            <v>및 이를 1% 이상 함유한 혼합물질</v>
          </cell>
          <cell r="F1161">
            <v>1</v>
          </cell>
          <cell r="G1161" t="str">
            <v>- 건조하고 통풍이 잘 되는 그늘 및 서늘한 곳에 보관할 것
- 식료품, 사료, 의약품, 음식과 혼합저장 금지할 것
- 필요에 따라 국소배기장치 가동할 것
- 취급 또는 작업시는 보호의, 보호장갑 등을 착용하여 단기적인 접촉 및 반복적이고 장기적인 노출을 피할 것</v>
          </cell>
        </row>
        <row r="1162">
          <cell r="B1162" t="str">
            <v>144-49-0</v>
          </cell>
          <cell r="C1162" t="str">
            <v>플루오로아세트산</v>
          </cell>
          <cell r="D1162" t="str">
            <v>97-1-379</v>
          </cell>
          <cell r="E1162" t="str">
            <v>및 그 중 하나를 1% 이상 함유한 혼합물질</v>
          </cell>
          <cell r="F1162">
            <v>1</v>
          </cell>
          <cell r="G1162" t="str">
            <v>- 알칼리금속과 격리하여 저장할 것
- 통풍이 잘 되는 그늘 및 서늘한 곳에 밀폐 보관 할 것
- 식료품, 사료, 의약품, 음식과 혼합저장 금지할 것
- 필요에 따라 국소배기장치 가동할 것
- 저장용기는 물리적인 손상에 견딜 수 있어야 할 것
- 사고발생에 대비하여 눈이나 몸을 씻을 수 있는 세안시설과 샤워시설이 이용 가능한 장소에서 작업할 것
- 사용한 후 식사, 흡연, 화장실에 가기 전에 물과 비누로 손을 꼭 세척할 것
- 호흡용보호구, 전면보호구, 보안경, 보호의(염화폴리비닐 재질), 보호장갑(고무 또는 네오프렌 재질)을 반드시 착용할 것
- 콘택트렌즈를 착용금지할 것
- 통풍장치 가동할 것</v>
          </cell>
        </row>
        <row r="1163">
          <cell r="B1163" t="str">
            <v>62-74-8</v>
          </cell>
          <cell r="C1163" t="str">
            <v>플루오로아세트산 나트륨염</v>
          </cell>
          <cell r="D1163" t="str">
            <v>97-1-379</v>
          </cell>
          <cell r="E1163" t="str">
            <v>및 그 중 하나를 1% 이상 함유한 혼합물질</v>
          </cell>
          <cell r="F1163">
            <v>1</v>
          </cell>
          <cell r="G1163" t="str">
            <v>- 알칼리금속과 격리하여 저장할 것
- 통풍이 잘 되는 그늘 및 서늘한 곳에 밀폐 보관 할 것
- 식료품, 사료, 의약품, 음식과 혼합저장 금지할 것
- 필요에 따라 국소배기장치 가동할 것
- 저장용기는 물리적인 손상에 견딜 수 있어야 할 것
- 사고발생에 대비하여 눈이나 몸을 씻을 수 있는 세안시설과 샤워시설이 이용 가능한 장소에서 작업할 것
- 사용한 후 식사, 흡연, 화장실에 가기 전에 물과 비누로 손을 꼭 세척할 것
- 호흡용보호구, 전면보호구, 보안경, 보호의(염화폴리비닐 재질), 보호장갑(고무 또는 네오프렌 재질)을 반드시 착용할 것
- 콘택트렌즈를 착용금지할 것
- 통풍장치 가동할 것</v>
          </cell>
        </row>
        <row r="1164">
          <cell r="B1164" t="str">
            <v>640-19-7</v>
          </cell>
          <cell r="C1164" t="str">
            <v>플루오로아세트아미드</v>
          </cell>
          <cell r="D1164" t="str">
            <v>97-1-380,06-4-42</v>
          </cell>
          <cell r="E1164" t="str">
            <v>및 이를 1% 이상 함유한 혼합물질</v>
          </cell>
          <cell r="F1164">
            <v>1</v>
          </cell>
          <cell r="G1164" t="str">
            <v>- 건조하고 통풍이 잘 되는 그늘 및 서늘한 곳에 밀폐 보관 할 것
- 식료품, 사료, 의약품, 음식과 혼합저장 금지할 것
- 필요에 따라 국소배기장치 가동할 것
- 저장용기는 물리적인 손상에 견딜 수 있어야 할 것
- 취급 또는 작업시는 통풍이 잘 되는 후드에서 행하고 고글형보안경, 보호의, 고무장갑, 고무앞치마, 양압자급식호흡용 보호구를 착용하여 단기적인 접촉 및 반복적이고 장기적인 노출을 피할 것
- 노출기준 이상에서는 호흡보호구를 착용할 것
- 취급 후, 손을 철저하게 세척할 것
- 취급금지물질(이를 1% 이상 함유한 혼합물질)</v>
          </cell>
        </row>
        <row r="1165">
          <cell r="B1165" t="str">
            <v>7681-49-4</v>
          </cell>
          <cell r="C1165" t="str">
            <v>플루오르화 나트륨</v>
          </cell>
          <cell r="D1165" t="str">
            <v>97-1-381</v>
          </cell>
          <cell r="E1165" t="str">
            <v>및 이를 25% 이상 함유한 혼합물질</v>
          </cell>
          <cell r="F1165">
            <v>25</v>
          </cell>
          <cell r="G1165" t="str">
            <v>- 통풍이 잘 되는 그늘 및 서늘한 곳에 밀폐 보관 할 것
- 저장용기는 플랙스(plax),  플라스틱, 파라핀, 피렉스 재질의 병에 저장해야 하며 물리적인 손상에 견딜 수 있어야 할 것
- 필요에 따라 국소배기장치 가동할 것
- 강한 산성물질, 습기, 알칼리류를 피해서 저장할 것
- 취급시 피부접촉을 피하고 보호의, 보안경, 보호장갑을 착용할 것
- 취급시 양압자급식호흡용 보호장비를 착용할 것
- 취급시 콘택트렌즈를 착용 금지할 것
- 취급 후, 손을 철저하게 세척할 것
- 통풍이 잘 되는 장소에서만 사용할 것</v>
          </cell>
        </row>
        <row r="1166">
          <cell r="B1166" t="str">
            <v>7664-39-3</v>
          </cell>
          <cell r="C1166" t="str">
            <v>플루오르화 수소</v>
          </cell>
          <cell r="D1166" t="str">
            <v>97-1-382</v>
          </cell>
          <cell r="E1166" t="str">
            <v>및 이를 1% 이상 함유한 혼합물질</v>
          </cell>
          <cell r="F1166">
            <v>1</v>
          </cell>
          <cell r="G1166" t="str">
            <v>- 수용액은 플라스틱, 납, 왁스, 파라핀 종이재질의 용기에 저장할 것
- 무수(無水)의 플루오르화수소는 강철재질의 실린더와 탱크에 저장할 것
- 수산화나트륨, 수산화칼륨 등의 강염기, 물, 암모니아와 격리하고 직사광선을 피해 저장할 것
- 통풍이 잘 되는 그늘 및 서늘한 곳에 밀폐 보관 할 것
- 저장용기는 물리적인 손상에 견딜 수 있어야 할 것
- 사고발생에 대비하여 눈이나 몸을 씻을 수 있는 세안시설과 샤워시설이 이용 가능한 장소에서 작업할 것
- 사용한 후 식사, 흡연, 화장실에 가기 전에 물과 비누로 손을 꼭 세척할 것
- 호흡용보호구, 전면보호구, 보안경, 내산성보호의(염화폴리비닐 재질), 내산성 보호장갑(네오프렌 재질)을 반드시 착용할 것
- 반응장치 등은 강압밀폐식으로 하고 배기장치는 물, 알칼리성용액으로 세척할 것 탱크,  배관 등을 수리할 경우에는 완전히 환기한 후 실시할 것
- 콘택트렌즈를 착용 금지할 것
- 국소배기장치 가동할 것
- 사고대비물질(이를 1% 이상 함유한 혼합물질)</v>
          </cell>
        </row>
        <row r="1167">
          <cell r="B1167" t="str">
            <v>2699-79-8</v>
          </cell>
          <cell r="C1167" t="str">
            <v>플루오르화 술퍼릴</v>
          </cell>
          <cell r="D1167" t="str">
            <v>97-1-383</v>
          </cell>
          <cell r="E1167" t="str">
            <v>및 이를 1% 이상 함유한 혼합물질</v>
          </cell>
          <cell r="F1167">
            <v>1</v>
          </cell>
          <cell r="G1167" t="str">
            <v>- 통풍이 잘 되는 그늘 및 서늘한 곳에 밀폐 보관 할 것
- 강철실린더 용기나 가스 저장기에 압축하여 저장할 것
- 필요에 따라 국소배기장치 가동할 것
- 혼합금지물질 및 점화원을 격리할 것
- 화학물질 흄 후드 내에서 취급 할 것
- 취급시 피부접촉을 피하고 보호의, 보안경, 보호장갑(고무)을 착용할 것
- 취급시 양압자급식호흡용 보호장비를 착용할 것
- 취급시 콘택트렌즈를 착용 금지할 것</v>
          </cell>
        </row>
        <row r="1168">
          <cell r="B1168" t="str">
            <v>7789-23-3</v>
          </cell>
          <cell r="C1168" t="str">
            <v>플루오르화 칼륨</v>
          </cell>
          <cell r="D1168" t="str">
            <v>97-1-384</v>
          </cell>
          <cell r="E1168" t="str">
            <v>및 이를 25% 이상 함유한 혼합물질</v>
          </cell>
          <cell r="F1168">
            <v>25</v>
          </cell>
          <cell r="G1168" t="str">
            <v>- 염소, 브롬, 플루오르 등의 강산화제와 목재, 종이, 오일 등의 가연성물질과 격리하여 저장할 것
- 통풍이 잘 되는 그늘 및 서늘한 곳에 밀폐 보관 할 것
- 저장용기는 물리적인 손상에 견딜 수 있어야 하며 알루미늄재질을 사용할 것
- 사고발생에 대비하여 눈이나 몸을 씻을 수 있는 세안시설과 샤워시설이 이용 가능한 장소에서 작업할 것
- 사용한 후 식사, 흡연, 화장실에 가기 전에 물과 비누로 손을 꼭 세척할 것
- 호흡용보호구, 전면보호구, 보안경, 불침투성보호의, 고무장갑을 반드시 착용할 것
- 분진 제거시 절대로 쓸지 말 것
- 콘택트렌즈를 착용 금지할 것
- 국소배기장치 가동할 것</v>
          </cell>
        </row>
        <row r="1169">
          <cell r="B1169" t="str">
            <v>108-35-0</v>
          </cell>
          <cell r="C1169" t="str">
            <v>피라조티온</v>
          </cell>
          <cell r="D1169" t="str">
            <v>97-1-385</v>
          </cell>
          <cell r="E1169" t="str">
            <v>및 이를 1% 이상 함유한 혼합물질</v>
          </cell>
          <cell r="F1169">
            <v>1</v>
          </cell>
          <cell r="G1169" t="str">
            <v>- 통풍이 잘 되는 그늘 및 서늘한 곳에 밀폐 보관 할 것
- 식료품, 사료, 의약품, 음식과 혼합저장 금지할 것
- 필요에 따라 국소배기장치 가동할 것
- 저장용기는 물리적인 손상에 견딜 수 있어야할 것
- 사고발생에 대비하여 눈이나 몸을 씻을 수 있는 세안시설과 샤워시설이 이용 가능한 장소에서 작업할 것
- 사용한 후 식사, 흡연, 화장실에 가기 전에 물과 비누로 손을 꼭 세척할 것
- 호흡용보호구, 전면보호구, 보안경, 보호의(염화폴리비닐 재질), 보호장갑(고무 또는 네오프렌 재질)을 반드시 사용할 것
- 콘택트렌즈를 착용 금지할 것
- 통풍장치 가동할 것</v>
          </cell>
        </row>
        <row r="1170">
          <cell r="B1170" t="str">
            <v>108-34-9</v>
          </cell>
          <cell r="C1170" t="str">
            <v>피라족손</v>
          </cell>
          <cell r="D1170" t="str">
            <v>97-1-386</v>
          </cell>
          <cell r="E1170" t="str">
            <v>및 이를 1% 이상 함유한 혼합물질</v>
          </cell>
          <cell r="F1170">
            <v>1</v>
          </cell>
          <cell r="G1170" t="str">
            <v>- 통풍이 잘 되는 그늘 및 서늘한 곳에서 보관할 것
- 식료품, 사료, 의약품과 혼합저장 금지할 것
- 필요에 따라 국소배기장치 가동할 것
- 가죽으로 만든 보호의, 장갑, 앞치마는 사용 금지할 것
- 양압자급식호흡용 보호구를 반드시 착용하고 보호의와 고글형 보안경, 고무장갑을 착용할 것</v>
          </cell>
        </row>
        <row r="1171">
          <cell r="B1171" t="str">
            <v>89784-60-1</v>
          </cell>
          <cell r="C1171" t="str">
            <v>피라클로포스</v>
          </cell>
          <cell r="D1171" t="str">
            <v>97-1-387,06-4-43</v>
          </cell>
          <cell r="E1171" t="str">
            <v>및 이를 25% 이상 함유한 혼합물질</v>
          </cell>
          <cell r="F1171">
            <v>25</v>
          </cell>
          <cell r="G1171" t="str">
            <v>- 건조하고 통풍이 잘 되는 그늘 및 서늘한 곳에 밀폐 보관 할 것
- 식료품, 사료, 의약품, 음식과 혼합저장 금지할 것
- 필요에 따라 국소배기장치 가동할 것
- 저장용기는 물리적인 손상에 견딜 수 있어야 할 것
- 화재 또는 폭발의 위험성이 있으므로 열원, 스파크, 불꽃, 가연성물질, 점화원과 격리하여 저장할 것
- 취급 또는 작업시는 통풍이 잘 되는 후드에서 행하고 고글형 보안경, 보호의, 고무장갑, 고무앞치마, 양압자급식호흡용 보호구를 착용하여 단기적인 접촉 및 반복적이고 장기적인 노출을 피할 것
- 가죽으로 만든 보호의, 장갑, 앞치마는 사용 금지할 것
- 노출기준 이상에서는 호흡보호구를 착용할 것
- 사용한 용기는 물과 표백제로 닦거나, 24 시간동안 알칼리성용액에 담근 후 뜨거운 물로 헹굴 것
- 취급금지물질(이를 25% 이상 함유한 혼합물질)</v>
          </cell>
        </row>
        <row r="1172">
          <cell r="B1172" t="str">
            <v>107-49-3</v>
          </cell>
          <cell r="C1172" t="str">
            <v>피로인산 테트라에틸</v>
          </cell>
          <cell r="D1172" t="str">
            <v>97-1-388</v>
          </cell>
          <cell r="E1172" t="str">
            <v>및 이를 1% 이상 함유한 혼합물질</v>
          </cell>
          <cell r="F1172">
            <v>1</v>
          </cell>
          <cell r="G1172" t="str">
            <v>- 통풍이 잘 되며 습기가 없는 그늘 및 서늘한 곳에 밀폐 보관 할 것
- 식료품, 사료, 의약품, 음식, 강산화제, 알칼리, 물과 혼합저장 금지할 것
- 필요에 따라 국소배기장치를 설치하여 환기시킬 것
- 취급시 양압자급식호흡용 보호구, 보호의, 보호장갑을 착용할 것</v>
          </cell>
        </row>
        <row r="1173">
          <cell r="B1173" t="str">
            <v>96489-71-3</v>
          </cell>
          <cell r="C1173" t="str">
            <v>피리다벤</v>
          </cell>
          <cell r="D1173" t="str">
            <v xml:space="preserve">97-1-389 </v>
          </cell>
          <cell r="E1173" t="str">
            <v>및 이를 25% 이상 함유한 혼합물질</v>
          </cell>
          <cell r="F1173">
            <v>25</v>
          </cell>
          <cell r="G1173" t="str">
            <v>- 통풍이 잘 되는 그늘 및 서늘한 곳에 밀폐 보관 할 것
- 식료품, 사료, 의약품, 음식과 혼합저장 금지할 것
- 저장용기는 물리적인 손상에 견딜 수 있어야 할 것
- 사고발생에 대비하여 눈이나 몸을 씻을 수 있는 세안시설과 샤워시설이 이용 가능한 장소에서 작업할 것
- 사용한 후 식사, 흡연, 화장실에 가기 전에 물과 비누로 손을 꼭 세척할 것
- 호흡용보호구, 보안경, 보호장갑(고무 또는 네오프렌 재질)을 반드시 사용할 것
- 콘택트렌즈를 착용금지할 것
- 통풍장치 가동할 것</v>
          </cell>
        </row>
        <row r="1174">
          <cell r="B1174" t="str">
            <v>53558-25-1</v>
          </cell>
          <cell r="C1174" t="str">
            <v>피리미닐</v>
          </cell>
          <cell r="D1174" t="str">
            <v>97-1-390,06-4-44</v>
          </cell>
          <cell r="E1174" t="str">
            <v>및 이를 1% 이상 함유한 혼합물질</v>
          </cell>
          <cell r="F1174">
            <v>1</v>
          </cell>
          <cell r="G1174" t="str">
            <v>- 통풍이 잘 되는 그늘 및 서늘한 곳에 밀폐 보관 할 것
- 식료품, 사료, 의약품, 음식과 혼합저장 금지할 것
- 필요에 따라 국소배기장치 가동할 것
- 저장용기는 물리적인 손상에 견딜 수 있어야 할 것
- 혼합금지물질 및 점화원을 격리할 것
- 사고발생에 대비하여 눈이나 몸을 씻을 수 있는 세안시설과 샤워시설이 이용 가능한 장소에서 작업할 것
- 사용한 후 식사, 흡연, 화장실에 가기 전에 물과 비누로 손을 꼭 세척할 것
- 호흡용보호구, 보안경, 보호장갑(고무 또는 네오프렌 재질)을 반드시 사용할 것
- 콘택트렌즈를 착용 금지할 것
- 통풍장치 가동할 것
- 취급금지물질(이를 1% 이상 함유한 혼합물질)</v>
          </cell>
        </row>
        <row r="1175">
          <cell r="B1175" t="str">
            <v>23103-98-2</v>
          </cell>
          <cell r="C1175" t="str">
            <v>피리미캅</v>
          </cell>
          <cell r="D1175" t="str">
            <v>97-1-391</v>
          </cell>
          <cell r="E1175" t="str">
            <v>및 이를 1% 이상 함유한 혼합물질</v>
          </cell>
          <cell r="F1175">
            <v>1</v>
          </cell>
          <cell r="G1175" t="str">
            <v>- 통풍이 잘 되는 그늘 및 서늘한 곳에 밀폐 보관 할 것
- 식료품, 사료, 의약품과 혼합저장 금지할 것
- 필요에 따라 국소배기장치를 설치하여 환기시킬 것
- 취급시 양압자급식호흡용 보호구, 보호의, 보호장갑을 착용할 것</v>
          </cell>
        </row>
        <row r="1176">
          <cell r="B1176" t="str">
            <v>5221-49-8</v>
          </cell>
          <cell r="C1176" t="str">
            <v>피리미테이트</v>
          </cell>
          <cell r="D1176" t="str">
            <v>97-1-392</v>
          </cell>
          <cell r="E1176" t="str">
            <v>및 이를 1% 이상 함유한 혼합물질</v>
          </cell>
          <cell r="F1176">
            <v>1</v>
          </cell>
          <cell r="G1176" t="str">
            <v>- 통풍이 잘 되는 그늘 및 서늘한 곳에 밀폐 보관 할 것
- 저장용기는 물리적인 손상에 견딜 수 있어야 할 것
- 필요에 따라 국소배기장치 가동할 것
- 취급시 피부접촉을 피하고 보호의, 보안경, 보호장갑을 착용할 것
- 취급시 양압자급식호흡용 보호장비를 착용할 것
- 취급시 콘택트렌즈를 착용 금지할 것</v>
          </cell>
        </row>
        <row r="1177">
          <cell r="B1177" t="str">
            <v>23505-41-1</v>
          </cell>
          <cell r="C1177" t="str">
            <v>피리미포스-에틸</v>
          </cell>
          <cell r="D1177" t="str">
            <v>97-1-393</v>
          </cell>
          <cell r="E1177" t="str">
            <v>및 이를 1% 이상함유한 혼합물질</v>
          </cell>
          <cell r="F1177">
            <v>1</v>
          </cell>
          <cell r="G1177" t="str">
            <v>- 통풍이 잘 되는 그늘 및 서늘한 곳에 밀폐 보관 할 것
- 식료품, 사료, 의약품, 음식과 혼합저장 금지할 것
- 필요에 따라 국소배기장치 가동할 것
- 저장용기는 물리적인 손상에 견딜 수 있어야 할 것
- 사고발생에 대비하여 눈이나 몸을 씻을 수 있는 세안시설과 샤워시설이 이용 가능한 장소에서 작업할 것
- 사용한 후 식사, 흡연, 화장실에 가기 전에 물과 비누로 손을 꼭 세척할 것
- 호흡용보호구, 전면보호구, 보안경, 보호의(염화폴리비닐 재질), 보호장갑(고무 또는 네오프렌 재질)을 반드시 사용할 것
- 콘택트렌즈를 착용 금지할 것
- 통풍장치 가동할 것
- 가죽으로 만든 보호의, 장갑, 앞치마는 사용 금지할 것</v>
          </cell>
        </row>
        <row r="1178">
          <cell r="B1178" t="str">
            <v>1336-36-3</v>
          </cell>
          <cell r="C1178" t="str">
            <v>피시비</v>
          </cell>
          <cell r="D1178" t="str">
            <v>97-1-394,06-4-46</v>
          </cell>
          <cell r="E1178" t="str">
            <v>및 이를 0.005% 이상 함유한 혼합물질. 다만, 치환된 염소수가 3개미만인 경우는 제외</v>
          </cell>
          <cell r="F1178">
            <v>5.0000000000000001E-3</v>
          </cell>
          <cell r="G1178" t="str">
            <v>- 발암물질 표시를 하여 건조하고 통풍이 잘 되는 그늘 및 서늘한 곳에 격리 보관할 것
- 건조하고 통풍이 잘 되는 그늘 및 서늘한 곳에 밀폐 보관할 것
- 식료품, 사료, 의약품, 음식과 혼합저장 금지할 것
- 필요에 따라 국소배기장치 가동할 것
- 취급 또는 작업시는 양압자급식호흡용 보호구를 착용하고 고글형보안경, 내화학성보호의, 부틸고무(또는 네오프렌)재질의 장갑 및 고무장화 등을 착용하여 단기적인 접촉 및 반복적이고 장기적인 노출을 피할 것
- 취급금지물질(이를 0.005%  이상 함유한 혼합물질 다만, 치환된 염소수가 3 개미만인 경우는 제외)</v>
          </cell>
        </row>
        <row r="1179">
          <cell r="B1179" t="str">
            <v>88-89-1</v>
          </cell>
          <cell r="C1179" t="str">
            <v>피크릭 산</v>
          </cell>
          <cell r="D1179" t="str">
            <v>97-1-395</v>
          </cell>
          <cell r="E1179" t="str">
            <v>및 그 염류를 25% 이상 함유한 혼합물질. 다만 폭발약은 제외</v>
          </cell>
          <cell r="F1179">
            <v>25</v>
          </cell>
          <cell r="G1179" t="str">
            <v>- 건조하고 통풍이 잘 되는 그늘 및 서늘한 곳에 열원, 산화제 등과 격리하여 보관할 것
- 소량을 병, 상자, 나무통 등에 담아 물리적 손상이 가지 않도록 보관할 것
- 건조하지 않도록 하고 운반할 때는 10~20%의 물을 첨가할 것
- 사용 전 후 용기의 무게를 측정하여 물의 양이 감소했을 경우는 용기를 개봉 금지할 것
- 식료품, 사료, 의약품, 음식과 혼합저장 금지할 것
- 필요에 따라 국소배기장치 가동할 것
- 취급 또는 작업시는 양압자급식호흡용 보호구를 착용하고 고글형보안경, 내화학성보호의, 고무(또는 네오프렌) 재질의 장갑 및 고무장화 등을 착용하여 단기적인 접촉 및 반복적이고 장기적인 노출을 피할 것
- 취급 후, 손을 철저하게 세척할 것
- 통풍이 잘 되는 장소에서만 사용할 것</v>
          </cell>
        </row>
        <row r="1180">
          <cell r="B1180" t="str">
            <v>146-84-9</v>
          </cell>
          <cell r="C1180" t="str">
            <v>은피크레이트</v>
          </cell>
          <cell r="D1180" t="str">
            <v>97-1-395</v>
          </cell>
          <cell r="E1180" t="str">
            <v>및 그 염류를 25% 이상 함유한 혼합물질. 다만 폭발약은 제외</v>
          </cell>
          <cell r="F1180">
            <v>25</v>
          </cell>
          <cell r="G1180" t="str">
            <v>- 건조하고 통풍이 잘 되는 그늘 및 서늘한 곳에 열원, 산화제 등과 격리하여 보관할 것
- 소량을 병, 상자, 나무통 등에 담아 물리적 손상이 가지 않도록 보관할 것
- 건조하지 않도록 하고 운반할 때는 10~20%의 물을 첨가할 것
- 사용 전 후 용기의 무게를 측정하여 물의 양이 감소했을 경우는 용기를 개봉 금지할 것
- 식료품, 사료, 의약품, 음식과 혼합저장 금지할 것
- 필요에 따라 국소배기장치 가동할 것
- 취급 또는 작업시는 양압자급식호흡용 보호구를 착용하고 고글형보안경, 내화학성보호의, 고무(또는 네오프렌) 재질의 장갑 및 고무장화 등을 착용하여 단기적인 접촉 및 반복적이고 장기적인 노출을 피할 것
- 취급 후, 손을 철저하게 세척할 것
- 통풍이 잘 되는 장소에서만 사용할 것</v>
          </cell>
        </row>
        <row r="1181">
          <cell r="B1181" t="str">
            <v>14866-25-2</v>
          </cell>
          <cell r="C1181" t="str">
            <v>철피크르산염</v>
          </cell>
          <cell r="D1181" t="str">
            <v>97-1-395</v>
          </cell>
          <cell r="E1181" t="str">
            <v>및 그 염류를 25% 이상 함유한 혼합물질. 다만 폭발약은 제외</v>
          </cell>
          <cell r="F1181">
            <v>25</v>
          </cell>
          <cell r="G1181" t="str">
            <v>- 건조하고 통풍이 잘 되는 그늘 및 서늘한 곳에 열원, 산화제 등과 격리하여 보관할 것
- 소량을 병, 상자, 나무통 등에 담아 물리적 손상이 가지 않도록 보관할 것
- 건조하지 않도록 하고 운반할 때는 10~20%의 물을 첨가할 것
- 사용 전 후 용기의 무게를 측정하여 물의 양이 감소했을 경우는 용기를 개봉 금지할 것
- 식료품, 사료, 의약품, 음식과 혼합저장 금지할 것
- 필요에 따라 국소배기장치 가동할 것
- 취급 또는 작업시는 양압자급식호흡용 보호구를 착용하고 고글형보안경, 내화학성보호의, 고무(또는 네오프렌) 재질의 장갑 및 고무장화 등을 착용하여 단기적인 접촉 및 반복적이고 장기적인 노출을 피할 것
- 취급 후, 손을 철저하게 세척할 것
- 통풍이 잘 되는 장소에서만 사용할 것</v>
          </cell>
        </row>
        <row r="1182">
          <cell r="B1182" t="str">
            <v>16824-81-0</v>
          </cell>
          <cell r="C1182" t="str">
            <v>아연피크르산염</v>
          </cell>
          <cell r="D1182" t="str">
            <v>97-1-395</v>
          </cell>
          <cell r="E1182" t="str">
            <v>및 그 염류를 25% 이상 함유한 혼합물질. 다만 폭발약은 제외</v>
          </cell>
          <cell r="F1182">
            <v>25</v>
          </cell>
          <cell r="G1182" t="str">
            <v>- 건조하고 통풍이 잘 되는 그늘 및 서늘한 곳에 열원, 산화제 등과 격리하여 보관할 것
- 소량을 병, 상자, 나무통 등에 담아 물리적 손상이 가지 않도록 보관할 것
- 건조하지 않도록 하고 운반할 때는 10~20%의 물을 첨가할 것
- 사용 전 후 용기의 무게를 측정하여 물의 양이 감소했을 경우는 용기를 개봉 금지할 것
- 식료품, 사료, 의약품, 음식과 혼합저장 금지할 것
- 필요에 따라 국소배기장치 가동할 것
- 취급 또는 작업시는 양압자급식호흡용 보호구를 착용하고 고글형보안경, 내화학성보호의, 고무(또는 네오프렌) 재질의 장갑 및 고무장화 등을 착용하여 단기적인 접촉 및 반복적이고 장기적인 노출을 피할 것
- 취급 후, 손을 철저하게 세척할 것
- 통풍이 잘 되는 장소에서만 사용할 것</v>
          </cell>
        </row>
        <row r="1183">
          <cell r="B1183" t="str">
            <v>18390-55-1</v>
          </cell>
          <cell r="C1183" t="str">
            <v>리튬피크르산염</v>
          </cell>
          <cell r="D1183" t="str">
            <v>97-1-395</v>
          </cell>
          <cell r="E1183" t="str">
            <v>및 그 염류를 25% 이상 함유한 혼합물질. 다만 폭발약은 제외</v>
          </cell>
          <cell r="F1183">
            <v>25</v>
          </cell>
          <cell r="G1183" t="str">
            <v>- 건조하고 통풍이 잘 되는 그늘 및 서늘한 곳에 열원, 산화제 등과 격리하여 보관할 것
- 소량을 병, 상자, 나무통 등에 담아 물리적 손상이 가지 않도록 보관할 것
- 건조하지 않도록 하고 운반할 때는 10~20%의 물을 첨가할 것
- 사용 전 후 용기의 무게를 측정하여 물의 양이 감소했을 경우는 용기를 개봉 금지할 것
- 식료품, 사료, 의약품, 음식과 혼합저장 금지할 것
- 필요에 따라 국소배기장치 가동할 것
- 취급 또는 작업시는 양압자급식호흡용 보호구를 착용하고 고글형보안경, 내화학성보호의, 고무(또는 네오프렌) 재질의 장갑 및 고무장화 등을 착용하여 단기적인 접촉 및 반복적이고 장기적인 노출을 피할 것
- 취급 후, 손을 철저하게 세척할 것
- 통풍이 잘 되는 장소에서만 사용할 것</v>
          </cell>
        </row>
        <row r="1184">
          <cell r="B1184" t="str">
            <v>3324-58-1</v>
          </cell>
          <cell r="C1184" t="str">
            <v>나트륨피크르산염</v>
          </cell>
          <cell r="D1184" t="str">
            <v>97-1-395</v>
          </cell>
          <cell r="E1184" t="str">
            <v>및 그 염류를 25% 이상 함유한 혼합물질. 다만 폭발약은 제외</v>
          </cell>
          <cell r="F1184">
            <v>25</v>
          </cell>
          <cell r="G1184" t="str">
            <v>- 건조하고 통풍이 잘 되는 그늘 및 서늘한 곳에 열원, 산화제 등과 격리하여 보관할 것
- 소량을 병, 상자, 나무통 등에 담아 물리적 손상이 가지 않도록 보관할 것
- 건조하지 않도록 하고 운반할 때는 10~20%의 물을 첨가할 것
- 사용 전 후 용기의 무게를 측정하여 물의 양이 감소했을 경우는 용기를 개봉 금지할 것
- 식료품, 사료, 의약품, 음식과 혼합저장 금지할 것
- 필요에 따라 국소배기장치 가동할 것
- 취급 또는 작업시는 양압자급식호흡용 보호구를 착용하고 고글형보안경, 내화학성보호의, 고무(또는 네오프렌) 재질의 장갑 및 고무장화 등을 착용하여 단기적인 접촉 및 반복적이고 장기적인 노출을 피할 것
- 취급 후, 손을 철저하게 세척할 것
- 통풍이 잘 되는 장소에서만 사용할 것</v>
          </cell>
        </row>
        <row r="1185">
          <cell r="B1185" t="str">
            <v>34069-88-0</v>
          </cell>
          <cell r="C1185" t="str">
            <v>스트론튬피크르산염</v>
          </cell>
          <cell r="D1185" t="str">
            <v>97-1-395</v>
          </cell>
          <cell r="E1185" t="str">
            <v>및 그 염류를 25% 이상 함유한 혼합물질. 다만 폭발약은 제외</v>
          </cell>
          <cell r="F1185">
            <v>25</v>
          </cell>
          <cell r="G1185" t="str">
            <v>- 건조하고 통풍이 잘 되는 그늘 및 서늘한 곳에 열원, 산화제 등과 격리하여 보관할 것
- 소량을 병, 상자, 나무통 등에 담아 물리적 손상이 가지 않도록 보관할 것
- 건조하지 않도록 하고 운반할 때는 10~20%의 물을 첨가할 것
- 사용 전 후 용기의 무게를 측정하여 물의 양이 감소했을 경우는 용기를 개봉 금지할 것
- 식료품, 사료, 의약품, 음식과 혼합저장 금지할 것
- 필요에 따라 국소배기장치 가동할 것
- 취급 또는 작업시는 양압자급식호흡용 보호구를 착용하고 고글형보안경, 내화학성보호의, 고무(또는 네오프렌) 재질의 장갑 및 고무장화 등을 착용하여 단기적인 접촉 및 반복적이고 장기적인 노출을 피할 것
- 취급 후, 손을 철저하게 세척할 것
- 통풍이 잘 되는 장소에서만 사용할 것</v>
          </cell>
        </row>
        <row r="1186">
          <cell r="B1186" t="str">
            <v>6477-64-1</v>
          </cell>
          <cell r="C1186" t="str">
            <v>납피크르산염</v>
          </cell>
          <cell r="D1186" t="str">
            <v>97-1-395</v>
          </cell>
          <cell r="E1186" t="str">
            <v>및 그 염류를 25% 이상 함유한 혼합물질. 다만 폭발약은 제외</v>
          </cell>
          <cell r="F1186">
            <v>25</v>
          </cell>
          <cell r="G1186" t="str">
            <v>- 건조하고 통풍이 잘 되는 그늘 및 서늘한 곳에 열원, 산화제 등과 격리하여 보관할 것
- 소량을 병, 상자, 나무통 등에 담아 물리적 손상이 가지 않도록 보관할 것
- 건조하지 않도록 하고 운반할 때는 10~20%의 물을 첨가할 것
- 사용 전 후 용기의 무게를 측정하여 물의 양이 감소했을 경우는 용기를 개봉 금지할 것
- 식료품, 사료, 의약품, 음식과 혼합저장 금지할 것
- 필요에 따라 국소배기장치 가동할 것
- 취급 또는 작업시는 양압자급식호흡용 보호구를 착용하고 고글형보안경, 내화학성보호의, 고무(또는 네오프렌) 재질의 장갑 및 고무장화 등을 착용하여 단기적인 접촉 및 반복적이고 장기적인 노출을 피할 것
- 취급 후, 손을 철저하게 세척할 것
- 통풍이 잘 되는 장소에서만 사용할 것</v>
          </cell>
        </row>
        <row r="1187">
          <cell r="B1187" t="str">
            <v>120068-37-3</v>
          </cell>
          <cell r="C1187" t="str">
            <v>피프로닐</v>
          </cell>
          <cell r="D1187" t="str">
            <v>97-1-396</v>
          </cell>
          <cell r="E1187" t="str">
            <v>및 이를 25% 이상 함유한 혼합물질</v>
          </cell>
          <cell r="F1187">
            <v>25</v>
          </cell>
          <cell r="G1187" t="str">
            <v>- 건조하고 통풍이 잘 되는 그늘 및 서늘한 곳에 밀폐 보관 할 것
- 식료품, 사료, 의약품, 음식과 혼합저장 금지할 것
- 필요에 따라 국소배기장치 가동할 것
- 취급 또는 작업시는 보호의, 보호장갑 등을 착용하여 단기적인 접촉 및 반복적이고 장기적인 노출을 피할 것</v>
          </cell>
        </row>
        <row r="1188">
          <cell r="C1188" t="str">
            <v>피프록타닐염류</v>
          </cell>
          <cell r="D1188" t="str">
            <v>97-1-397</v>
          </cell>
          <cell r="E1188" t="str">
            <v>및 이를 1% 이상 함유한 혼합물질</v>
          </cell>
          <cell r="F1188">
            <v>1</v>
          </cell>
          <cell r="G1188" t="str">
            <v>- pH 3-11 의 수용액에서 3 개월간 안정함(20～50℃)할 것
- 건조하고 통풍이 잘 되는 그늘 및 서늘한 곳에 보관할 것
- 식료품, 사료, 의약품, 음식과 혼합저장 금지할 것
- 필요에 따라 국소배기장치 가동할 것
- 취급 또는 작업시는 보호의, 보호장갑 등을 착용하여 단기적인 접촉 및 반복적이고 장기적인 노출을 피할 것</v>
          </cell>
        </row>
        <row r="1189">
          <cell r="B1189" t="str">
            <v>83-26-1</v>
          </cell>
          <cell r="C1189" t="str">
            <v>핀돈</v>
          </cell>
          <cell r="D1189" t="str">
            <v>97-1-398</v>
          </cell>
          <cell r="E1189" t="str">
            <v>및 이를 1% 이상 함유한 혼합물질</v>
          </cell>
          <cell r="F1189">
            <v>1</v>
          </cell>
          <cell r="G1189" t="str">
            <v>- 통풍이 잘 되는 그늘 및 서늘한 곳에 밀폐 보관 할 것
- 저장용기는 물리적인 손상에 견딜 수 있어야할 것
- 필요에 따라 국소배기장치 가동할 것
- 혼합금지물질 및 점화원을 격리할 것
- 화학물질 흄 후드내에서 취급 할 것
- 취급시 피부접촉을 피하고 보호의, 보안경, 보호장갑을 착용할 것
- 취급시 양압자급식호흡용 보호장비를 착용할 것
- 취급시 콘택트렌즈를 착용 금지할 것</v>
          </cell>
        </row>
        <row r="1190">
          <cell r="B1190" t="str">
            <v>16079-88-2</v>
          </cell>
          <cell r="C1190" t="str">
            <v>할로겐화히단토인</v>
          </cell>
          <cell r="D1190" t="str">
            <v>97-1-399</v>
          </cell>
          <cell r="E1190" t="str">
            <v>및 이를 1% 이상 함유한 혼합물질</v>
          </cell>
          <cell r="F1190">
            <v>1</v>
          </cell>
          <cell r="G1190" t="str">
            <v>- 건조하고 통풍이 잘 되는 그늘 및 서늘한 곳(33℃ 이하)에 보관할 것
- 식료품, 사료, 의약품, 음식과 혼합저장 금지할 것
- 필요에 따라 국소배기장치 가동할 것
- 가연성 유기물질들이나 산화제, 강염기류, 습기, 점화원 등을 피해서 보관할 것
- 취급 또는 작업시는 보호의, 보호장갑 등을 착용하여 단기적인 접촉 및 반복적이고 장기적인 노출을 피할 것</v>
          </cell>
        </row>
        <row r="1191">
          <cell r="B1191" t="str">
            <v>111872-58-3</v>
          </cell>
          <cell r="C1191" t="str">
            <v>할펜프록스</v>
          </cell>
          <cell r="D1191" t="str">
            <v>97-1-400</v>
          </cell>
          <cell r="E1191" t="str">
            <v>및 이를 25% 이상 함유한 혼합물질</v>
          </cell>
          <cell r="F1191">
            <v>25</v>
          </cell>
          <cell r="G1191" t="str">
            <v>- 통풍이 잘 되는 그늘 및 서늘한 곳에 밀폐 보관 할 것
- 식료품, 사료, 의약품, 음식과 혼합저장 금지할 것
- 저장용기는 물리적인 손상에 견딜 수 있어야 할 것
- 사고발생에 대비하여 눈이나 몸을 씻을 수 있는 세안시설과 샤워시설이 이용 가능한 장소에서 작업할 것
- 사용한 후 식사, 흡연, 화장실에 가기 전에 물과 비누로 손을 꼭 세척할 것
- 호흡용보호구, 보안경, 보호장갑(고무 또는 네오프렌 재질)을 반드시 사용할 것
- 콘택트렌즈를 착용 금지할 것
- 통풍장치 가동할 것</v>
          </cell>
        </row>
        <row r="1192">
          <cell r="B1192" t="str">
            <v>57-58-4</v>
          </cell>
          <cell r="C1192" t="str">
            <v>헥사에틸 테트라포스페이트</v>
          </cell>
          <cell r="D1192" t="str">
            <v>97-1-401</v>
          </cell>
          <cell r="E1192" t="str">
            <v>및 이를 1% 이상 함유한 혼합물질</v>
          </cell>
          <cell r="F1192">
            <v>1</v>
          </cell>
          <cell r="G1192" t="str">
            <v>- 통풍이 잘 되는 그늘 및 서늘한 곳에 밀폐 보관 할 것
- 저장용기는 물리적인 손상에 견딜 수 있어야 할 것
- 필요에 따라 국소배기장치 가동할 것
- 화학물질 흄 후드내에서 취급 할 것
- 취급시 피부접촉을 피하고 보호의, 보안경, 보호장갑을 착용할 것
- 취급시 양압자급식호흡용 보호장비를 착용할 것
- 취급시 콘택트렌즈를 착용 금지할 것</v>
          </cell>
        </row>
        <row r="1193">
          <cell r="B1193" t="str">
            <v>7-47-4</v>
          </cell>
          <cell r="C1193" t="str">
            <v>헥사클로로시클로펜타디엔</v>
          </cell>
          <cell r="D1193" t="str">
            <v>97-1-402</v>
          </cell>
          <cell r="E1193" t="str">
            <v>및 이를 25% 이상 함유한 혼합물질</v>
          </cell>
          <cell r="F1193">
            <v>25</v>
          </cell>
          <cell r="G1193" t="str">
            <v>- 열이나 습기를 차단하고 통풍이 잘 되는 그늘 및 서늘한 곳에서 밀폐 보관 할 것
- 식료품, 사료, 의약품, 음식과 혼합저장 금지할 것
- 필요에 따라 국소배기장치 가동할 것
- 나트륨, 불꽃, 가연성물질, 점화원과 격리하여 저장할 것
- 취급 또는 작업시는 통풍이 잘 되는 후드에서 행하고 고글형보안경, 보호의, 고무장갑, 고무앞치마, 양압자급식호흡용 보호구를 착용하여 단기적인 접촉 및 반복적이고 장기적인 노출을 피할 것
- 노출기준 이상에서는 호흡보호구를 착용할 것</v>
          </cell>
        </row>
        <row r="1194">
          <cell r="B1194" t="str">
            <v>76-44-8</v>
          </cell>
          <cell r="C1194" t="str">
            <v>헵타클로르</v>
          </cell>
          <cell r="D1194" t="str">
            <v>97-1-403,06-4-52</v>
          </cell>
          <cell r="E1194" t="str">
            <v>및 이를 1.0% 이상 함유한 혼합물질</v>
          </cell>
          <cell r="F1194">
            <v>1</v>
          </cell>
          <cell r="G1194" t="str">
            <v>- 통풍이 잘 되는 그늘 및 서늘한 곳에 밀폐 보관 할 것
- 식료품, 사료, 의약품, 음식과 혼합저장 금지할 것
- 필요에 따라 국소배기장치 가동할 것
- 저장용기는 물리적인 손상에 견딜 수 있어야 할 것
- 화재 또는 폭발의 위험성이 있으므로 열원, 스파크, 불꽃, 가연성물질, 점화원과 격리하여 저장할 것
- 취급 또는 작업시는 통풍이 잘 되는 후드에서 행하고 보호의, 고무장갑, 고무앞치마, 양압자급식호흡용 보호구를 착용하여 단기적인 접촉 및 반복적이고 장기적인 노출을 피할 것
- 노출기준 이상에서는 호흡보호구를 착용할 것
- 취급금지물질(이를 6% 이상 함유한 혼합물질)</v>
          </cell>
        </row>
        <row r="1195">
          <cell r="B1195" t="str">
            <v>23560-59-0</v>
          </cell>
          <cell r="C1195" t="str">
            <v>헵테노포스</v>
          </cell>
          <cell r="D1195" t="str">
            <v>97-1-404</v>
          </cell>
          <cell r="E1195" t="str">
            <v>및 이를 1% 이상 함유한 혼합물질</v>
          </cell>
          <cell r="F1195">
            <v>1</v>
          </cell>
          <cell r="G1195" t="str">
            <v>- 통풍이 잘 되는 그늘 및 서늘한 곳(2-8℃)에 밀폐 보관 할 것
- 저장용기는 물리적인 손상에 견딜 수 있어야 할 것
- 필요에 따라 국소배기장치 가동할 것
- 취급시 피부접촉을 피하고 보호의, 보안경, 보호장갑을 착용할 것
- 취급시 양압자급식호흡용 보호장비를 착용할 것
- 취급시 콘택트렌즈를 착용 금지할 것
- 통풍이 잘 되는 장소에서 사용할 것
- 사용하지 않을 때에는 용기를 안전하게 밀폐시킬 것
- 취급 후에는 항상 비누와 물로 손을 세척할 것
- 강산류와 강염기류를 피할 것</v>
          </cell>
        </row>
        <row r="1196">
          <cell r="B1196" t="str">
            <v>7664-93-9</v>
          </cell>
          <cell r="C1196" t="str">
            <v>황산</v>
          </cell>
          <cell r="D1196" t="str">
            <v>97-1-405</v>
          </cell>
          <cell r="E1196" t="str">
            <v>및 이를 10% 이상 함유한 혼합물질</v>
          </cell>
          <cell r="F1196">
            <v>10</v>
          </cell>
          <cell r="G1196" t="str">
            <v>- 저장용기는 물리적인 손상에 견딜 수 있어야 할 것
- 서늘하고 통풍이 잘 되며 물과 격리된 장소에 밀봉하여 저장해야 할 것
- 금속분말, 쉽게 산화된 유기물, 환원제와 분리하여 저장해야 함(화재, 폭발 위험성)할 것
- 직사광선과 열, 물 및 호환되지 않은 물질과 떨어진 곳에 저장할 것
- 황산 희석액을 만드는 경우 반드시 황산을 물에 가해야할 것(절대로 물을 황산에 가하면 안됨)
- 취급 또는 작업시는 통풍이 잘 되는 후드에서 행하고 내산성보호의, 고무장갑, 고무앞치마, 산성가스를 처리할 수 있는 카트리지가 장착된 전면 호흡용보호구를 착용하여 단기적인 접촉 및 반복적이고 장기적인 노출을 피해야 할 것
- 노출기준 이상에서는 호흡보호구를 착용해야 할 것
- 취급 후, 손을 철저하게 세척할 것
- 사고대비물질(이를 10% 이상 함유한 혼합물질)</v>
          </cell>
        </row>
        <row r="1197">
          <cell r="B1197" t="str">
            <v>77-78-1</v>
          </cell>
          <cell r="C1197" t="str">
            <v>황산 디메틸</v>
          </cell>
          <cell r="D1197" t="str">
            <v>97-1-406</v>
          </cell>
          <cell r="E1197" t="str">
            <v>및 이를 0.1% 이상 함유한 혼합물질</v>
          </cell>
          <cell r="F1197">
            <v>0.1</v>
          </cell>
          <cell r="G1197" t="str">
            <v>- 통풍이 잘 되는 그늘 및 서늘한 곳에 밀폐 보관 할 것
- 저장용기는 물리적인 손상에 견딜 수 있어야 할 것
- 필요에 따라 국소배기장치 가동할 것
- 점화원과 부식장소를 피하여 저장할 것
- 금속용기에 저장 금지할 것
- 취급시 피부접촉을 피하고 보호의, 보안경, 보호장갑을 착용할 것
- 취급시 양압자급식호흡용 보호장비를 착용할 것
- 취급시 콘택트렌즈를 착용 금지할 것
- 취급 후, 손을 철저하게 세척할 것
- 통풍이 잘 되는 장소에서만 사용할 것
- 빈 용기를 가압, 절단, 용접, 납땜, 연마, 천공을 해서는 안 되며, 열, 스파크, 화염에 노출시키지 말 것</v>
          </cell>
        </row>
        <row r="1198">
          <cell r="B1198" t="str">
            <v>64-67-5</v>
          </cell>
          <cell r="C1198" t="str">
            <v>황산 디에틸</v>
          </cell>
          <cell r="D1198" t="str">
            <v>97-1-407</v>
          </cell>
          <cell r="E1198" t="str">
            <v>및 이를 0.1% 이상 함유한 혼합물질</v>
          </cell>
          <cell r="F1198">
            <v>0.1</v>
          </cell>
          <cell r="G1198" t="str">
            <v>- 발암물질 표시를 하여 건조하고 통풍이 잘 되는 그늘 및 서늘한 곳에 강산화제, t-부톡시화칼륨 등과 격리하여 밀폐 보관 할 것
- 식료품, 사료, 의약품, 음식과 혼합저장 금지할 것
- 필요에 따라 국소배기장치 가동할 것
- 취급 또는 작업시는 자급식호흡용보호구를 착용하고 고글형보안경, 내화학성보호의, 고무(또는 네오프렌)재질의 장갑 및 고무장화 등을 착용하여 단기적인 접촉 및 반복적이고 장기적인 노출을 피할 것
- 통풍이 잘 되는 장소에서만 사용할 것</v>
          </cell>
        </row>
        <row r="1199">
          <cell r="B1199" t="str">
            <v>7446-18-6</v>
          </cell>
          <cell r="C1199" t="str">
            <v>황산 탈륨</v>
          </cell>
          <cell r="D1199" t="str">
            <v>97-1-408,06-4-53</v>
          </cell>
          <cell r="E1199" t="str">
            <v>및 이를 1% 이상 함유한 혼합물질</v>
          </cell>
          <cell r="F1199">
            <v>1</v>
          </cell>
          <cell r="G1199" t="str">
            <v>- 염소, 브롬, 플루오르 등의 강산화제와 목재, 종이, 오일 등의 가연성물질과 격리하여 저장할 것
- 통풍이 잘 되는 그늘 및 서늘한 곳에 밀폐 보관 할 것
- 사고발생에 대비하여 눈이나 몸을 씻을 수 있는 세안시설과 샤워시설이 이용 가능한 장소에서 작업할 것
- 사용한 후 식사, 흡연, 화장실에 가기 전에 물과 비누로 손을 꼭 세척할 것
- 호흡용보호구, 안면보호구, 보안경, 고무장갑을 반드시 사용할 것
- 콘택트렌즈를 착용 금지할 것
- 작업장내의 농도를 허용농도이하로 유지시킬 것
- 국소배기장치 가동할 것
- 취급금지물질(이를 1% 이상 함유한 혼합물질)</v>
          </cell>
        </row>
        <row r="1200">
          <cell r="B1200" t="str">
            <v>16222-66-5</v>
          </cell>
          <cell r="D1200" t="str">
            <v>97-1-408</v>
          </cell>
          <cell r="E1200" t="str">
            <v>및 이를 1% 이상 함유한 혼합물질</v>
          </cell>
          <cell r="F1200">
            <v>1</v>
          </cell>
          <cell r="G1200" t="str">
            <v>- 염소, 브롬, 플루오르 등의 강산화제와 목재, 종이, 오일 등의 가연성물질과 격리하여 저장할 것
- 통풍이 잘 되는 그늘 및 서늘한 곳에 밀폐 보관 할 것
- 사고발생에 대비하여 눈이나 몸을 씻을 수 있는 세안시설과 샤워시설이 이용 가능한 장소에서 작업할 것
- 사용한 후 식사, 흡연, 화장실에 가기 전에 물과 비누로 손을 꼭 세척할 것
- 호흡용보호구, 안면보호구, 보안경, 고무장갑을 반드시 사용할 것
- 콘택트렌즈를 착용 금지할 것
- 작업장내의 농도를 허용농도이하로 유지시킬 것
- 국소배기장치 가동할 것
- 취급금지물질(이를 1% 이상 함유한 혼합물질)</v>
          </cell>
        </row>
        <row r="1201">
          <cell r="B1201" t="str">
            <v>302-01-2</v>
          </cell>
          <cell r="C1201" t="str">
            <v>히드라진</v>
          </cell>
          <cell r="D1201" t="str">
            <v>97-1-409</v>
          </cell>
          <cell r="E1201" t="str">
            <v>및 이를 0.1% 이상 함유한 혼합물질</v>
          </cell>
          <cell r="F1201">
            <v>0.1</v>
          </cell>
          <cell r="G1201" t="str">
            <v>- 통풍이 잘 되는 그늘 및 서늘한 곳에 밀폐 보관 할 것
- 저장용기는 물리적인 손상에 견딜 수 있어야 할 것
- 산, 산화금속과 격리시켜 보관할 것
- 필요에 따라 국소배기장치 가동할 것
- 열, 스파크, 화염, 점화원과 격리할 것
- 취급시 피부접촉을 피하고 보호의, 보안경, 보호장갑을 착용할 것
- 취급시 양압자급식호흡용 보호장비를 착용할 것
- 취급시 콘택트렌즈를 착용 금지할 것
- 취급 후, 손을 철저하게 세척할 것
- 통풍이 잘 되는 장소에서만 사용할 것
- 물질을 이동시킬 때 용기를 땅에 밀착하여 이동할 것
- 스파크를 막는 기계와 폭발을 막는 장치를 사용할 것
- 빈 용기를 가압, 절단, 용접, 납땜, 연마, 천공을 해서는 안 되며, 열, 스파크, 화염에 노출시키지 말 것</v>
          </cell>
        </row>
        <row r="1202">
          <cell r="B1202" t="str">
            <v>7803-57-8</v>
          </cell>
          <cell r="C1202" t="str">
            <v>히드라진수화물</v>
          </cell>
          <cell r="D1202" t="str">
            <v>97-1-410</v>
          </cell>
          <cell r="E1202" t="str">
            <v>및 이를 25% 이상 함유한 혼합물질</v>
          </cell>
          <cell r="F1202">
            <v>25</v>
          </cell>
          <cell r="G1202" t="str">
            <v>- 통풍이 잘 되는 그늘 및 서늘한 곳에 밀폐 보관 할 것
- 불투명한 용기에 보관해야 하며 물리적인 손상에 견딜 수 있어야 할 것
- 질산, 과산화수소, 산화성물질과 격리하여 저장할 것
- 필요에 따라 국소배기장치 가동할 것
- 점화원, 열과 멀리 떨어진 곳에서 저장할 것
- 취급시 피부접촉을 피하고 보호의, 보안경, 보호장갑을 착용할 것
- 취급시 양압자급식호흡용 보호장비를 착용할 것
- 취급시 콘택트렌즈를 착용금지할 것</v>
          </cell>
        </row>
        <row r="1203">
          <cell r="B1203" t="str">
            <v>7803-49-8</v>
          </cell>
          <cell r="C1203" t="str">
            <v>히드록실아민</v>
          </cell>
          <cell r="D1203" t="str">
            <v>97-1-411</v>
          </cell>
          <cell r="E1203" t="str">
            <v>및 그 중 하나를1% 이상 함유한 혼합물질.</v>
          </cell>
          <cell r="F1203">
            <v>1</v>
          </cell>
          <cell r="G1203" t="str">
            <v>- 통풍이 잘되는 그늘 및 서늘한 곳에 밀폐 보관 할 것
- 저장용기는 물리적인 손상에 견딜 수 있어야 할 것
- 필요에 따라 국소배기장치 가동할 것
- 취급 시 피부접촉을 피하고 보호복, 보안경, 보호 장갑을 착용할 것
- 취급 시 양압자급식호흡 보호구를 착용할 것
- 취급 시 콘택트렌즈를 착용 금지할 것
- 작업장 부근에 비상시를 대비하여 샤워시설 및 세안시설을 갖출 것</v>
          </cell>
        </row>
        <row r="1204">
          <cell r="B1204" t="str">
            <v>10039-54-0</v>
          </cell>
          <cell r="C1204" t="str">
            <v>황산하이드록실아민</v>
          </cell>
          <cell r="D1204" t="str">
            <v>97-1-411</v>
          </cell>
          <cell r="E1204" t="str">
            <v>및 그 중 하나를1% 이상 함유한 혼합물질.</v>
          </cell>
          <cell r="F1204">
            <v>1</v>
          </cell>
          <cell r="G1204" t="str">
            <v>- 통풍이 잘되는 그늘 및 서늘한 곳에 밀폐 보관 할 것
- 저장용기는 물리적인 손상에 견딜 수 있어야 할 것
- 필요에 따라 국소배기장치 가동할 것
- 취급 시 피부접촉을 피하고 보호복, 보안경, 보호 장갑을 착용할 것
- 취급 시 양압자급식호흡 보호구를 착용할 것
- 취급 시 콘택트렌즈를 착용 금지할 것
- 작업장 부근에 비상시를 대비하여 샤워시설 및 세안시설을 갖출 것</v>
          </cell>
        </row>
        <row r="1205">
          <cell r="B1205" t="str">
            <v>10046-00-1</v>
          </cell>
          <cell r="C1205" t="str">
            <v>히드록실아민 황산</v>
          </cell>
          <cell r="D1205" t="str">
            <v>97-1-411</v>
          </cell>
          <cell r="E1205" t="str">
            <v>및 그 중 하나를1% 이상 함유한 혼합물질.</v>
          </cell>
          <cell r="F1205">
            <v>1</v>
          </cell>
          <cell r="G1205" t="str">
            <v>- 통풍이 잘되는 그늘 및 서늘한 곳에 밀폐 보관 할 것
- 저장용기는 물리적인 손상에 견딜 수 있어야 할 것
- 필요에 따라 국소배기장치 가동할 것
- 취급 시 피부접촉을 피하고 보호복, 보안경, 보호 장갑을 착용할 것
- 취급 시 양압자급식호흡 보호구를 착용할 것
- 취급 시 콘택트렌즈를 착용 금지할 것
- 작업장 부근에 비상시를 대비하여 샤워시설 및 세안시설을 갖출 것</v>
          </cell>
        </row>
        <row r="1206">
          <cell r="B1206" t="str">
            <v>13465-08-2</v>
          </cell>
          <cell r="C1206" t="str">
            <v>하이드록실아민질산염</v>
          </cell>
          <cell r="D1206" t="str">
            <v>97-1-411</v>
          </cell>
          <cell r="E1206" t="str">
            <v>및 그 중 하나를1% 이상 함유한 혼합물질.</v>
          </cell>
          <cell r="F1206">
            <v>1</v>
          </cell>
          <cell r="G1206" t="str">
            <v>- 통풍이 잘되는 그늘 및 서늘한 곳에 밀폐 보관 할 것
- 저장용기는 물리적인 손상에 견딜 수 있어야 할 것
- 필요에 따라 국소배기장치 가동할 것
- 취급 시 피부접촉을 피하고 보호복, 보안경, 보호 장갑을 착용할 것
- 취급 시 양압자급식호흡 보호구를 착용할 것
- 취급 시 콘택트렌즈를 착용 금지할 것
- 작업장 부근에 비상시를 대비하여 샤워시설 및 세안시설을 갖출 것</v>
          </cell>
        </row>
        <row r="1207">
          <cell r="B1207" t="str">
            <v>13973-61-0</v>
          </cell>
          <cell r="C1207" t="str">
            <v>황산하이드록실아민염</v>
          </cell>
          <cell r="D1207" t="str">
            <v>97-1-411</v>
          </cell>
          <cell r="E1207" t="str">
            <v>및 그 중 하나를1% 이상 함유한 혼합물질.</v>
          </cell>
          <cell r="F1207">
            <v>1</v>
          </cell>
          <cell r="G1207" t="str">
            <v>- 통풍이 잘되는 그늘 및 서늘한 곳에 밀폐 보관 할 것
- 저장용기는 물리적인 손상에 견딜 수 있어야 할 것
- 필요에 따라 국소배기장치 가동할 것
- 취급 시 피부접촉을 피하고 보호복, 보안경, 보호 장갑을 착용할 것
- 취급 시 양압자급식호흡 보호구를 착용할 것
- 취급 시 콘택트렌즈를 착용 금지할 것
- 작업장 부근에 비상시를 대비하여 샤워시설 및 세안시설을 갖출 것</v>
          </cell>
        </row>
        <row r="1208">
          <cell r="B1208" t="str">
            <v>17256-78-9</v>
          </cell>
          <cell r="C1208" t="str">
            <v>플로오르화하이드록실아민염</v>
          </cell>
          <cell r="D1208" t="str">
            <v>97-1-411</v>
          </cell>
          <cell r="E1208" t="str">
            <v>및 그 중 하나를1% 이상 함유한 혼합물질.</v>
          </cell>
          <cell r="F1208">
            <v>1</v>
          </cell>
          <cell r="G1208" t="str">
            <v>- 통풍이 잘되는 그늘 및 서늘한 곳에 밀폐 보관 할 것
- 저장용기는 물리적인 손상에 견딜 수 있어야 할 것
- 필요에 따라 국소배기장치 가동할 것
- 취급 시 피부접촉을 피하고 보호복, 보안경, 보호 장갑을 착용할 것
- 취급 시 양압자급식호흡 보호구를 착용할 것
- 취급 시 콘택트렌즈를 착용 금지할 것
- 작업장 부근에 비상시를 대비하여 샤워시설 및 세안시설을 갖출 것</v>
          </cell>
        </row>
        <row r="1209">
          <cell r="B1209" t="str">
            <v>19098-16-9</v>
          </cell>
          <cell r="C1209" t="str">
            <v>인산하이드록실아민염</v>
          </cell>
          <cell r="D1209" t="str">
            <v>97-1-411</v>
          </cell>
          <cell r="E1209" t="str">
            <v>및 그 중 하나를1% 이상 함유한 혼합물질.</v>
          </cell>
          <cell r="F1209">
            <v>1</v>
          </cell>
          <cell r="G1209" t="str">
            <v>- 통풍이 잘되는 그늘 및 서늘한 곳에 밀폐 보관 할 것
- 저장용기는 물리적인 손상에 견딜 수 있어야 할 것
- 필요에 따라 국소배기장치 가동할 것
- 취급 시 피부접촉을 피하고 보호복, 보안경, 보호 장갑을 착용할 것
- 취급 시 양압자급식호흡 보호구를 착용할 것
- 취급 시 콘택트렌즈를 착용 금지할 것
- 작업장 부근에 비상시를 대비하여 샤워시설 및 세안시설을 갖출 것</v>
          </cell>
        </row>
        <row r="1210">
          <cell r="B1210" t="str">
            <v>5470-11-1</v>
          </cell>
          <cell r="C1210" t="str">
            <v>하이드록실아민수화염화물</v>
          </cell>
          <cell r="D1210" t="str">
            <v>97-1-411</v>
          </cell>
          <cell r="E1210" t="str">
            <v>및 그 중 하나를1% 이상 함유한 혼합물질.</v>
          </cell>
          <cell r="F1210">
            <v>1</v>
          </cell>
          <cell r="G1210" t="str">
            <v>- 통풍이 잘되는 그늘 및 서늘한 곳에 밀폐 보관 할 것
- 저장용기는 물리적인 손상에 견딜 수 있어야 할 것
- 필요에 따라 국소배기장치 가동할 것
- 취급 시 피부접촉을 피하고 보호복, 보안경, 보호 장갑을 착용할 것
- 취급 시 양압자급식호흡 보호구를 착용할 것
- 취급 시 콘택트렌즈를 착용 금지할 것
- 작업장 부근에 비상시를 대비하여 샤워시설 및 세안시설을 갖출 것</v>
          </cell>
        </row>
        <row r="1211">
          <cell r="B1211" t="str">
            <v>58888-47-4</v>
          </cell>
          <cell r="C1211" t="str">
            <v>인산하이드록실아민염</v>
          </cell>
          <cell r="D1211" t="str">
            <v>97-1-411</v>
          </cell>
          <cell r="E1211" t="str">
            <v>및 그 중 하나를1% 이상 함유한 혼합물질.</v>
          </cell>
          <cell r="F1211">
            <v>1</v>
          </cell>
          <cell r="G1211" t="str">
            <v>- 통풍이 잘되는 그늘 및 서늘한 곳에 밀폐 보관 할 것
- 저장용기는 물리적인 손상에 견딜 수 있어야 할 것
- 필요에 따라 국소배기장치 가동할 것
- 취급 시 피부접촉을 피하고 보호복, 보안경, 보호 장갑을 착용할 것
- 취급 시 양압자급식호흡 보호구를 착용할 것
- 취급 시 콘택트렌즈를 착용 금지할 것
- 작업장 부근에 비상시를 대비하여 샤워시설 및 세안시설을 갖출 것</v>
          </cell>
        </row>
        <row r="1212">
          <cell r="B1212" t="str">
            <v>91-59-8</v>
          </cell>
          <cell r="C1212" t="str">
            <v>2-나프틸아민</v>
          </cell>
          <cell r="D1212" t="str">
            <v>97-1-412,06-4-54</v>
          </cell>
          <cell r="E1212" t="str">
            <v>및 그 중 하나를 0.1% 이상 함유한 혼합물질</v>
          </cell>
          <cell r="F1212">
            <v>0.1</v>
          </cell>
          <cell r="G1212" t="str">
            <v>- 통풍이 잘되는 그늘 및 서늘한 곳에 밀폐 보관 할 것
- 저장용기는 물리적인 손상에 견딜 수 있어야 할 것
- 필요에 따라 국소배기장치 가동할 것
- 취급 시 피부접촉을 피하고 보호복, 보안경, 보호 장갑을 착용할 것
- 취급 시 양압자급식호흡 보호구를 착용할 것
- 취급 시 콘택트렌즈를 착용 금지할 것
- 작업장 부근에 비상시를 대비하여 샤워시설 및 세안시설을 갖출 것
- 폐쇄계(closed  system)에서  취급할 것
- 취급금지물질(이를 0.1% 이상 함유한 혼합물질)</v>
          </cell>
        </row>
        <row r="1213">
          <cell r="B1213" t="str">
            <v>612-52-2</v>
          </cell>
          <cell r="C1213" t="str">
            <v>2-나프틸아민 염화물</v>
          </cell>
          <cell r="D1213" t="str">
            <v>97-1-412,06-4-54</v>
          </cell>
          <cell r="E1213" t="str">
            <v>및 그 중 하나를 0.1% 이상 함유한 혼합물질</v>
          </cell>
          <cell r="F1213">
            <v>0.1</v>
          </cell>
          <cell r="G1213" t="str">
            <v>- 통풍이 잘되는 그늘 및 서늘한 곳에 밀폐 보관 할 것
- 저장용기는 물리적인 손상에 견딜 수 있어야 할 것
- 필요에 따라 국소배기장치 가동할 것
- 취급 시 피부접촉을 피하고 보호복, 보안경, 보호 장갑을 착용할 것
- 취급 시 양압자급식호흡 보호구를 착용할 것
- 취급 시 콘택트렌즈를 착용 금지할 것
- 작업장 부근에 비상시를 대비하여 샤워시설 및 세안시설을 갖출 것
- 폐쇄계(closed  system)에서  취급할 것
- 취급금지물질(이를 0.1% 이상 함유한 혼합물질)</v>
          </cell>
        </row>
        <row r="1214">
          <cell r="B1214" t="str">
            <v>94-75-7</v>
          </cell>
          <cell r="C1214" t="str">
            <v>2,4-디</v>
          </cell>
          <cell r="D1214" t="str">
            <v>97-1-413</v>
          </cell>
          <cell r="E1214" t="str">
            <v>및 이를 25% 이상 함유한 혼합물질</v>
          </cell>
          <cell r="F1214">
            <v>25</v>
          </cell>
          <cell r="G1214" t="str">
            <v>- 건조하고 통풍이 잘 되는 그늘 및 서늘한 곳에 농약, 종자, 강산화제 등과 격리보관 할 것
- 식료품, 사료, 의약품, 음식과 혼합저장 금지할 것
- 필요에 따라 국소배기장치 가동할 것
- 취급 또는 작업시는 양압자급식호흡용 보호구를 착용하고 고글형보안경, 내화학성보호의, 고무(또는 네오프렌) 재질의 장갑 및 고무장화 등을 착용하여 단기적인 접촉 및 반복적이고 장기적인 노출을 피할 것
- 가죽으로 만든 보호의, 장갑, 앞치마는 사용 금지할 것
- 적절한 환기장치를 사용할 것
- 재사용 전에 옷을 세탁할 것</v>
          </cell>
        </row>
        <row r="1215">
          <cell r="B1215" t="str">
            <v>97-02-9</v>
          </cell>
          <cell r="C1215" t="str">
            <v>2,4-디니트로아닐린</v>
          </cell>
          <cell r="D1215" t="str">
            <v>97-1-414</v>
          </cell>
          <cell r="E1215" t="str">
            <v>및 이를 1.0% 이상 함유한 혼합물질</v>
          </cell>
          <cell r="F1215">
            <v>1</v>
          </cell>
          <cell r="G1215" t="str">
            <v>- 산화제, 기폭제, 열원과 격리하고 직사광선을 피해 저장할 것
- 통풍이 잘 되는 그늘 및 서늘한 곳에 밀폐 보관 할 것
- 식료품, 사료, 의약품, 음식과 혼합저장 금지할 것
- 필요에 따라 국소배기장치 가동할 것
- 저장용기는 물리적인 손상에 견딜 수 있어야 할 것
- 사고발생에 대비하여 눈이나 몸을 씻을 수 있는 세안시설과 샤워시설이 이용 가능한 장소에서 작업할 것
- 사용한 후 식사, 흡연, 화장실에 가기 전에 물과 비누로 손을 꼭 세척할 것
- 호흡용보호구, 전면보호구, 보안경, 보호의, 보호장갑(부틸고무 재질)을 반드시 사용할 것
- 콘택트렌즈를 착용 금지할 것
- 통풍장치 가동할 것</v>
          </cell>
        </row>
        <row r="1216">
          <cell r="B1216" t="str">
            <v>51-28-5</v>
          </cell>
          <cell r="C1216" t="str">
            <v>2,4-디니트로페놀</v>
          </cell>
          <cell r="D1216" t="str">
            <v>97-1-415</v>
          </cell>
          <cell r="E1216" t="str">
            <v>및 이를 25% 이상 함유한 혼합물질</v>
          </cell>
          <cell r="F1216">
            <v>25</v>
          </cell>
          <cell r="G1216" t="str">
            <v>- 열원, 산화제, 가연성물질과 격리하여 저장할 것
- 서늘하고 통풍이 잘 되는 곳에 밀폐 보관 할 것
- 저장용기는 물리적인 손상에 견딜 수 있어야 할 것
- 사고발생에 대비하여 눈이나 몸을 씻을 수 있는 세안시설과 샤워시설이 이용 가능한 장소에서 작업할 것
- 사용한 후 식사, 흡연, 화장실에 가기 전에 물과 비누로 손을 꼭 세척할 것
- 호흡용보호구, 전면보호구, 보안경, 불침투성 보호의, 보호 장갑(부틸 고무재질)을 반드시 착용할 것
- 점화원을 제거할 것
- 콘택트렌즈를 착용 금지할 것
- 국소배기장치 가동할 것</v>
          </cell>
        </row>
        <row r="1217">
          <cell r="B1217" t="str">
            <v>93-24-8</v>
          </cell>
          <cell r="C1217" t="str">
            <v>N-(1,3-디메틸부틸-N'-페닐-p-페닐렌디아민)</v>
          </cell>
          <cell r="D1217" t="str">
            <v>97-1-416</v>
          </cell>
          <cell r="E1217" t="str">
            <v>및 이를 25% 이상 함유한 혼합물질</v>
          </cell>
          <cell r="F1217">
            <v>25</v>
          </cell>
          <cell r="G1217" t="str">
            <v>- 산화제, 열원과 격리하고 직사광선을 피해 저장할 것
- 통풍이 잘 되는 그늘 및 서늘한 곳에 밀폐 보관 할 것
- 식료품, 사료, 의약품, 음식과 혼합저장 금지할 것
- 필요에 따라 국소배기장치 가동할 것
- 저장용기는 물리적인 손상에 견딜 수 있어야 할 것
- 사고발생에 대비하여 눈이나 몸을 씻을 수 있는 세안시설과 샤워시설이 이용 가능한 장소에서 작업할 것
- 사용한 후 식사, 흡연, 화장실에 가기 전에 물과 비누로 손을 꼭 세척할 것
- 호흡용보호구, 전면보호구, 보안경, 불 침투성 보호의, 보호 장갑(부틸 고무재질)을 반드시 사용할 것
- 콘택트렌즈를 착용 금지할 것
- 통풍장치 가동할 것</v>
          </cell>
        </row>
        <row r="1218">
          <cell r="B1218" t="str">
            <v>150-70-9</v>
          </cell>
          <cell r="C1218" t="str">
            <v>p-디메틸아미노벤젠디아조 술폰산</v>
          </cell>
          <cell r="D1218" t="str">
            <v>97-1-417</v>
          </cell>
          <cell r="E1218" t="str">
            <v>및 그중 하나를 1% 이상 함유한 혼합물질.</v>
          </cell>
          <cell r="F1218">
            <v>1</v>
          </cell>
          <cell r="G1218" t="str">
            <v>- 통풍이 잘되는 그늘 및 서늘한 곳에 보관할 것
- 의약품, 음식 등과 혼합저장 금지할 것
- 필요에 따라 국소배기장치 가동할 것
- 적절한 보호복과 보호 장갑을 착용할 것
- 양압자급식호흡용 보호구를 반드시 착용하고 보호의와 고글형 보안경을 착용할 것</v>
          </cell>
        </row>
        <row r="1219">
          <cell r="B1219" t="str">
            <v>106-93-4</v>
          </cell>
          <cell r="C1219" t="str">
            <v>1,2-디브로모에탄</v>
          </cell>
          <cell r="D1219" t="str">
            <v>97-1-418,06-4-55</v>
          </cell>
          <cell r="E1219" t="str">
            <v>및 이를 50% 이상 함유한 혼합물질</v>
          </cell>
          <cell r="F1219">
            <v>50</v>
          </cell>
          <cell r="G1219" t="str">
            <v>- 빛에 의해 서서히 분해되므로 그늘 및 서늘한 곳에 밀폐 보관 할 것
- 식료품, 사료, 의약품, 음식과 혼합저장 금지할 것
- 통풍이 잘 되는 곳에 보관하고 필요에 따라 국소배기장치 가동할 것
- 저장용기는 물리적인 손상에 견딜 수 있어야 할 것
- 산화제, 알칼리 금속, 암모니아와 격리하여 저장할 것
- 취급 또는 작업 시는 통풍이 잘 되는 후드에서 행하고 고글형보안경, 보호의, 보호 장갑(고무 또는 네오프렌 재질), 고무앞치마, 양압자급식 호흡용 보호구를 착용하여 단기적인 접촉 및 반복적이고 장기적인 노출을 피할 것
- 노출기준 이상에서는 호흡보호구를 착용할 것
- 취급 후, 손을 철저하게 세척할 것
- 취급금지물질(이를 50% 이상 함유한 혼합물질)</v>
          </cell>
        </row>
        <row r="1220">
          <cell r="B1220" t="str">
            <v>96-12-8</v>
          </cell>
          <cell r="C1220" t="str">
            <v>1,2-디브로모-3-클로로프로판</v>
          </cell>
          <cell r="D1220" t="str">
            <v>97-1-419, 06-4-56</v>
          </cell>
          <cell r="E1220" t="str">
            <v>및 이를 0.1% 이상 함유한 혼합물질</v>
          </cell>
          <cell r="F1220">
            <v>0.1</v>
          </cell>
          <cell r="G1220" t="str">
            <v>- 나트륨, 칼륨, 마그네슘, 아연 등의 화학적으로 활성인 금속, 열원과 격리하여 저장할 것
- 통풍이 잘 되는 그늘 및 서늘한 곳에 밀폐 보관 할 것
- 식료품, 사료, 의약품, 음식과 혼합저장 금지할 것
- 필요에 따라 국소배기장치 가동할 것
- 저장용기는 물리적인 손상에 견딜 수 있어야 할 것
- 사고발생에 대비하여 눈이나 몸을 씻을 수 있는 세안시설과 샤워시설이 이용 가능한 장소에서 작업할 것
- 사용한 후 식사, 흡연, 화장실에 가기 전에 물과 비누로 손을 꼭 세척할 것
- 호흡용보호구, 전면보호구, 보안경, 보호의(염소화 폴리에틸렌 또는 염화폴리비닐 재질), 보호장갑(고무 또는 네오프렌 재질)을 반드시 착용할 것
- 콘택트렌즈를 착용 금지할 것
- 통풍장치 가동할 것
- 가죽으로 만든 보호의, 장갑, 앞치마는 사용 금지할 것</v>
          </cell>
        </row>
        <row r="1221">
          <cell r="B1221" t="str">
            <v>554-16-9</v>
          </cell>
          <cell r="C1221" t="str">
            <v>2,3-디브로모프로판 니트릴</v>
          </cell>
          <cell r="D1221" t="str">
            <v>97-1-420</v>
          </cell>
          <cell r="E1221" t="str">
            <v>및 이를 1% 이상 함유한 혼합물질</v>
          </cell>
          <cell r="F1221">
            <v>1</v>
          </cell>
          <cell r="G1221" t="str">
            <v>- 통풍이 잘 되는 그늘 및 서늘한 곳에 밀폐 보관 할 것
- 식료품, 사료, 의약품, 음식과 혼합저장 금지할 것
- 필요에 따라 국소배기장치를 설치하여 환기시킬 것
- 취급시 양압자급식호흡용 보호구,보호의, 보호장갑을 착용할 것
- 적절한 보호복과 보호장갑을 착용할 것</v>
          </cell>
        </row>
        <row r="1222">
          <cell r="B1222" t="str">
            <v>69-29-4</v>
          </cell>
          <cell r="C1222" t="str">
            <v xml:space="preserve">3,3-디아세톡시-1-프로펜 </v>
          </cell>
          <cell r="D1222" t="str">
            <v>97-1-421</v>
          </cell>
          <cell r="E1222" t="str">
            <v>및 이를 1% 이상 함유한 혼합물질</v>
          </cell>
          <cell r="F1222">
            <v>1</v>
          </cell>
          <cell r="G1222" t="str">
            <v>- 통풍이 잘 되는 그늘 및 서늘한 곳에 밀폐 보관 할 것
- 저장용기는 물리적인 손상에 견딜 수 있어야 할 것
- 필요에 따라 국소배기장치 가동할 것
- 취급시 피부접촉을 피하고 보호의, 보안경, 보호장갑을 착용할 것
- 취급시 양압자급식호흡용 보호장비를 착용할 것
- 취급시 콘택트렌즈를 착용 금지할 것</v>
          </cell>
        </row>
        <row r="1223">
          <cell r="B1223" t="str">
            <v>122431-24-7</v>
          </cell>
          <cell r="C1223" t="str">
            <v>O,O-디에틸 O-1-페닐-3-트리플루오로메틸피라졸-5-일티오인산</v>
          </cell>
          <cell r="D1223" t="str">
            <v>97-1-422</v>
          </cell>
          <cell r="E1223" t="str">
            <v>및 이를 25% 이상 함유한 혼합물질</v>
          </cell>
          <cell r="F1223">
            <v>25</v>
          </cell>
          <cell r="G1223" t="str">
            <v>- 통풍이 잘 되는 그늘 및 서늘한 곳에 밀폐 보관 할 것
- 식료품, 사료, 의약품, 음식과 혼합저장 금지할 것
- 저장용기는 물리적인 손상에 견딜 수 있어야 할 것
- 사고발생에 대비하여 눈이나 몸을 씻을 수 있는 세안시설과 샤워시설이 이용 가능한 장소에서 작업할 것
- 사용한 후 식사, 흡연, 화장실에 가기 전에 물과 비누로 손을 꼭 세척할 것
- 호흡용보호구, 보안경, 보호장갑(고무 또는 네오프렌 재질)을 반드시 사용할 것
- 콘택트렌즈를 착용 금지할 것
- 통풍장치 가동할 것</v>
          </cell>
        </row>
        <row r="1224">
          <cell r="B1224" t="str">
            <v>101-68-8</v>
          </cell>
          <cell r="C1224" t="str">
            <v xml:space="preserve">4,4'-디이소시안산 디페닐메탄 </v>
          </cell>
          <cell r="D1224" t="str">
            <v>97-1-423</v>
          </cell>
          <cell r="E1224" t="str">
            <v>및 이를 25% 이상 함유한 혼합물질</v>
          </cell>
          <cell r="F1224">
            <v>25</v>
          </cell>
          <cell r="G1224" t="str">
            <v>- 통풍이 잘 되는 그늘 및 서늘한 곳에 밀폐 보관 할 것
- 저장용기는 물리적인 손상에 견딜 수 있어야 할 것
- 필요에 따라 국소배기장치 가동할 것
- 열, 스파크, 화염, 점화원, 물과 멀리 떨어진 곳에 저장할 것
- 취급시 피부접촉을 피하고 보호의, 보안경, 보호장갑을 착용할 것
- 취급시 호흡용보호구(방독/방진마스크)를 착용할 것
- 취급시 콘택트렌즈를 착용 금지할 것
- 취급 후, 손을 철저하게 세척할 것
- 통풍이 잘 되는 장소에서만 사용할 것
- 격렬한 반응이 일어나기 때문에 용기 안으로 물이 들어가지 않도록 할 것
- 빈 용기를 가압, 절단, 용접, 납땜, 연마, 천공을 해서는 안 되며, 열, 스파크, 화염에 노출시키지 말 것</v>
          </cell>
        </row>
        <row r="1225">
          <cell r="B1225" t="str">
            <v>94-72-9</v>
          </cell>
          <cell r="C1225" t="str">
            <v>1,1-디클로로-1-니트로에탄</v>
          </cell>
          <cell r="D1225" t="str">
            <v>97-1-424</v>
          </cell>
          <cell r="E1225" t="str">
            <v>및 이를 1% 이상 함유한 혼합물질</v>
          </cell>
          <cell r="F1225">
            <v>1</v>
          </cell>
          <cell r="G1225" t="str">
            <v>- 폭발위험성이 있으므로 건조하고 통풍이 잘 되는 그늘 및 서늘한 곳에 격리보관 할 것
- 직사광선과 고열 위험, 혼합금지물질을 피해서 저장할 것
- 식료품, 사료, 의약품, 음식과 혼합저장 금지할 것
- 필요에 따라 국소배기장치 가동할 것
- 화학물질 흄 후드 내에서 취급 할 것
- 취급 또는 작업시는 양압자급식호흡용 보호구를 착용하고 고글형보안경, 내화학성보호의, 고무(또는 PVC)재질의 장갑 및 고무장화 등을 착용하여 단기적인 접촉 및 반복적이고 장기적인 노출을 피할 것</v>
          </cell>
        </row>
        <row r="1226">
          <cell r="B1226" t="str">
            <v>609-89-2</v>
          </cell>
          <cell r="C1226" t="str">
            <v xml:space="preserve">2,4-디클로로-6-니트로페놀 </v>
          </cell>
          <cell r="D1226" t="str">
            <v>97-1-425</v>
          </cell>
          <cell r="E1226" t="str">
            <v>및 그 중 하나를 1% 이상 함유한 혼합물질</v>
          </cell>
          <cell r="F1226">
            <v>1</v>
          </cell>
          <cell r="G1226" t="str">
            <v>- 통풍이 잘 되는 그늘 및 서늘한 곳에 밀폐 보관 할 것
- 저장용기는 물리적인 손상에 견딜 수 있어야 할 것
- 필요에 따라 국소배기장치 가동할 것
- 물과 멀리 떨어진 곳에 저장할 것
- 화학물질 흄 후드 내에서 취급 할 것
- 취급시 피부접촉을 피하고 보호의, 보안경, 보호장갑을 착용할 것
- 취급시 양압자급식호흡용 보호장비를 착용할 것
- 취급시 콘택트렌즈를 착용금지할 것</v>
          </cell>
        </row>
        <row r="1227">
          <cell r="B1227" t="str">
            <v>172343-40-7</v>
          </cell>
          <cell r="C1227" t="str">
            <v>4-(2,4-디클로로-3-메틸벤조일)-1,3-디-디메틸-5-피라졸산 나트륨</v>
          </cell>
          <cell r="D1227" t="str">
            <v>97-1-426</v>
          </cell>
          <cell r="E1227" t="str">
            <v>및 이를 25% 이상 함유한 혼합물질</v>
          </cell>
          <cell r="F1227">
            <v>25</v>
          </cell>
          <cell r="G1227" t="str">
            <v>- 건조하고 통풍이 잘 되는 그늘 및 서늘한 곳에 밀폐 보관 할 것
- 식료품, 사료, 의약품, 음식과 혼합저장 금지할 것
- 필요에 따라 국소배기장치 가동할 것
- 저장용기는 물리적인 손상에 견딜 수 있어야 할 것
- 취급 또는 작업시는 통풍이 잘 되는 후드에서 행하고 고글형보안경,  보호의,  보호장갑,  앞치마,  양압자급식호흡용 보호구를 착용하여 단기적인 접촉 및 반복적이고 장기적인 노출을 피할 것
- 노출기준 이상에서는 호흡보호구를 착용할 것</v>
          </cell>
        </row>
        <row r="1228">
          <cell r="B1228" t="str">
            <v>6-23-1</v>
          </cell>
          <cell r="C1228" t="str">
            <v>1,3-디클로로-2-프로판올</v>
          </cell>
          <cell r="D1228" t="str">
            <v>97-1-427</v>
          </cell>
          <cell r="E1228" t="str">
            <v>및 이를 0.1% 이상 함유한 혼합물질</v>
          </cell>
          <cell r="F1228">
            <v>0.1</v>
          </cell>
          <cell r="G1228" t="str">
            <v>- 통풍이 잘 되는 그늘 및 서늘한 곳에 밀폐 보관 할 것
- 저장용기는 물리적인 손상에 견딜 수 있어야 할 것
- 필요에 따라 국소배기장치 가동할 것
- 열, 스파크, 화염과 격리할 것
- 취급시 피부접촉을 피하고 보호의, 보안경, 보호장갑을 착용할 것
- 취급시 양압자급식호흡용 보호장비를 착용할 것
- 취급시 콘택트렌즈를 착용금지할 것
- 취급 후, 손을 철저하게 세척할 것
- 통풍이 잘 되는 장소에서만 사용할 것
- 빈 용기에 가압, 절단, 용접, 납땜, 연마, 천공을 해서는 안됨할 것</v>
          </cell>
        </row>
        <row r="1229">
          <cell r="B1229" t="str">
            <v>542-75-6</v>
          </cell>
          <cell r="C1229" t="str">
            <v>1,3-디클로로프로펜</v>
          </cell>
          <cell r="D1229" t="str">
            <v>97-1-428</v>
          </cell>
          <cell r="E1229" t="str">
            <v>및 이를 1.0% 이상 함유한 혼합물질</v>
          </cell>
          <cell r="F1229">
            <v>1</v>
          </cell>
          <cell r="G1229" t="str">
            <v>- 통풍이 잘 되는 그늘 및 서늘한 곳에 밀폐 보관 할 것
- 저장용기는 물리적인 손상에 견딜 수 있어야 할 것
- 필요에 따라 국소배기장치 가동할 것
- 열, 스파크, 화염, 발화원과 격리할 것
- 취급시 피부접촉을 피하고 보호의, 보안경, 보호장갑(고무재질의 것은 사용 금지)를 착용할 것
- 취급시 양압자급식호흡용 보호장비를 착용할 것
- 취급시 콘택트렌즈를 착용 금지할 것
- 물질을 이동시킬 때 용기를 땅에 밀착하여 이동할 것
- 스파크를 막는 기계와 폭발을 막는 장치를 사용할 것
- 빈 용기에 가압, 절단, 용접, 납땜, 연마, 천공을 해서는 안될 것</v>
          </cell>
        </row>
        <row r="1230">
          <cell r="B1230" t="str">
            <v>553-26-4</v>
          </cell>
          <cell r="C1230" t="str">
            <v xml:space="preserve">4,4'-디피리딜 </v>
          </cell>
          <cell r="D1230" t="str">
            <v>97-1-430</v>
          </cell>
          <cell r="E1230" t="str">
            <v>및 이를 25% 이상함유한 혼합물질</v>
          </cell>
          <cell r="F1230">
            <v>25</v>
          </cell>
          <cell r="G1230" t="str">
            <v>- 건조하고 통풍이 잘 되는 그늘 및 서늘한 곳에 밀폐 보관 할 것
- 식료품, 사료, 의약품, 음식과 혼합저장 금지할 것
- 필요에 따라 국소배기장치 가동할 것
- 저장용기는 물리적인 손상에 견딜 수 있어야 할 것
- 화재 또는 폭발의 위험성이 있으므로 열원, 스파크, 불꽃, 가연성물질, 점화원과 격리하여 저장할 것
- 취급 또는 작업시는 통풍이 잘 되는 후드에서 행하고 고글형보안경, 보호의, 고무장갑, 고무앞치마, 양압자급식호흡용 보호구를 착용하여 단기적인 접촉 및 반복적이고 장기적인 노출을 피할 것
- 노출기준 이상에서는 호흡보호구를 착용할 것
- 취급 후, 손을 철저하게 세척할 것</v>
          </cell>
        </row>
        <row r="1231">
          <cell r="B1231" t="str">
            <v>62262-84-4</v>
          </cell>
          <cell r="C1231" t="str">
            <v>4-메르캅토페닐 메탄 술폰산</v>
          </cell>
          <cell r="D1231" t="str">
            <v>97-1-431</v>
          </cell>
          <cell r="E1231" t="str">
            <v>및 이를 25% 이상 함유한 혼합물질</v>
          </cell>
          <cell r="F1231">
            <v>25</v>
          </cell>
          <cell r="G1231" t="str">
            <v>- 통풍이 잘 되는 그늘 및 서늘한 곳에 보관할 것
- 의약품, 음식 등과 혼합저장 금지할 것
- 필요에 따라 국소배기장치 가동할 것
- 적절한 보호복과 보호장갑을 착용할 것
- 보호구, 보호의와 보안경을 착용할 것</v>
          </cell>
        </row>
        <row r="1232">
          <cell r="B1232" t="str">
            <v>5124-30-1</v>
          </cell>
          <cell r="C1232" t="str">
            <v>1,1'-메틸렌비스[4-이소시아나토시클로헥산]</v>
          </cell>
          <cell r="D1232" t="str">
            <v>97-1-432</v>
          </cell>
          <cell r="E1232" t="str">
            <v>및 이를 25% 이상 함유한 혼합물질</v>
          </cell>
          <cell r="F1232">
            <v>25</v>
          </cell>
          <cell r="G1232" t="str">
            <v>- 열원, 습기, 아민, 강염기, 알코올, 화학적으로 활발한 금속과 격리하여 저장할 것
- 서늘하고 통풍이 잘 되는 곳에 밀폐 보관 할 것
- 저장용기는 물리적인 손상에 견딜 수 있어야 할 것
- 점화원을 피하고 하수구나 수도근처를 피할 것
- 사고발생에 대비하여 눈이나 몸을 씻을 수 있는 세안시설과 샤워시설이 이용 가능한 장소에서 작업할 것
- 사용한 후 식사, 흡연, 화장실에 가기 전에 물과 비누로 손을 꼭 세척할 것
- 분진이나 분말을 취급할 경우에는 안면보호구, 보안경, 고무장갑을 반드시 사용할 것
- 용액을 취급할 경우에는 전면보호구, 보안경, 고무장갑을 반드시 사용할 것
- 분진을 제거하거나 줄이기 위해 진공청소기를 사용할 것
- 통풍장치 가동할 것</v>
          </cell>
        </row>
        <row r="1233">
          <cell r="B1233" t="str">
            <v>78-82-0</v>
          </cell>
          <cell r="C1233" t="str">
            <v>2-메틸프로판니트릴</v>
          </cell>
          <cell r="D1233" t="str">
            <v>97-1-433</v>
          </cell>
          <cell r="E1233" t="str">
            <v>및 이를 25% 이상 함유한 혼합물질</v>
          </cell>
          <cell r="F1233">
            <v>25</v>
          </cell>
          <cell r="G1233" t="str">
            <v>- 건조하고 통풍이 잘 되는 그늘 및 서늘한 곳에 산화제, 환원제, 강산 및 강알칼리, 열원 등과 격리 보관 할 것
- 식료품, 사료, 의약품, 음식과 혼합저장 금지할 것
- 필요에 따라 국소배기장치 가동할 것
- 열, 스파크, 화염과 격리할 것
- 취급 또는 작업시는 양압자급식호흡용보호구를 착용하고 내화학성 보호의, 고무(또는 네오프렌)재질의 장갑 및 고무장화 등을 착용하여 단기적인 접촉 및 반복적이고 장기적인 노출을 피할 것
- 빈 용기에는 잔류물이 있을 수 있어 위험할 수 있으므로, 빈 용기에 가압, 절단, 용접, 납땜, 연마, 천공을 해서는 안될 것
- 적절한 환기장치를 사용할 것</v>
          </cell>
        </row>
        <row r="1234">
          <cell r="B1234" t="str">
            <v>106-51-4</v>
          </cell>
          <cell r="C1234" t="str">
            <v>1,4-벤조퀴논</v>
          </cell>
          <cell r="D1234" t="str">
            <v>97-1-434</v>
          </cell>
          <cell r="E1234" t="str">
            <v>및 이를 1% 이상 함유한 혼합물질</v>
          </cell>
          <cell r="F1234">
            <v>1</v>
          </cell>
          <cell r="G1234" t="str">
            <v>- 열원, 강산화제와 격리하여 저장할 것
- 서늘하고 통풍이 잘 되는 곳에 밀폐 보관 할 것
- 용기에 습기가 차있을 때는 햇빛에 노출시키지 말 것
- 저장용기는 물리적인 손상에 견딜 수 있어야 할 것
- 사고발생에 대비하여 눈이나 몸을 씻을 수 있는 세안시설과 샤워시설이 이용 가능한 장소에서 작업할 것
- 사용한 후 식사, 흡연, 화장실에 가기 전에 물과 비누로 손을 꼭 세척할 것
- 호흡용보호구, 전면보호구, 보안경, 보호장갑(고무 또는 네오프렌 재질), 송기마스크를 반드시 착용할 것
- 점화원을 제거할 것
- 콘택트렌즈를 착용금지할 것
- 국소배기장치 가동할 것</v>
          </cell>
        </row>
        <row r="1235">
          <cell r="B1235" t="str">
            <v>110-65-6</v>
          </cell>
          <cell r="C1235" t="str">
            <v>2-부틴-1,4-디올</v>
          </cell>
          <cell r="D1235" t="str">
            <v>97-1-435</v>
          </cell>
          <cell r="E1235" t="str">
            <v>및 이를 25% 이상 함유한 혼합물질</v>
          </cell>
          <cell r="F1235">
            <v>25</v>
          </cell>
          <cell r="G1235" t="str">
            <v>- 건조하고 통풍이 잘 되는 그늘 및 서늘한 곳에 습기, 산 등과 격리 보관 할 것
- 식료품, 사료, 의약품, 음식과 혼합저장 금지할 것
- 필요에 따라 국소배기장치 가동할 것
- 열, 스파크, 화염, 발화원과 격리할 것
- 취급 또는 작업시는 양압자급식호흡용보호구를 착용하고 고글형보안경, 고무(또는 네오프렌)재질의 장갑 및 고무장화 등을 착용하여 단기적인 접촉 및 반복적이고 장기적인 노출을 피할 것
- 취급 후, 손을 철저하게 세척할 것
- 분진 발생과 분진 축적을 최소화 할 것
- 눈, 피부 및 옷과 접촉하지 않도록 할 것
- 적절한 환기장치를 사용할 것</v>
          </cell>
        </row>
        <row r="1236">
          <cell r="B1236" t="str">
            <v>4299-07-4</v>
          </cell>
          <cell r="C1236" t="str">
            <v>2-n-부틸-벤조[d]이소티아졸-3-one</v>
          </cell>
          <cell r="D1236" t="str">
            <v>97-1-436</v>
          </cell>
          <cell r="E1236" t="str">
            <v>및 이를 25% 이상 함유한 혼합물질</v>
          </cell>
          <cell r="F1236">
            <v>25</v>
          </cell>
          <cell r="G1236" t="str">
            <v>- 통풍이 잘 되는 그늘 및 서늘한 곳에 밀폐 보관 할 것
- 식료품, 사료, 의약품, 음식과 혼합저장 금지할 것
- 필요에 따라 국소배기장치 가동할 것
- 저장용기는 물리적인 손상에 견딜 수 있어야할 것
- 사고발생에 대비하여 눈이나 몸을 씻을 수 있는 세안시설과 샤워시설이 이용 가능한 장소에서 작업할 것
- 사용한 후 식사, 흡연, 화장실에 가기 전에 물과 비누로 손을 꼭 세척할 것
- 호흡용보호구, 전면보호구, 보안경, 보호장갑(고무 또는 네오프렌 재질)을 반드시 사용할 것
- 콘택트렌즈를 착용 금지할 것
- 통풍장치 가동할 것</v>
          </cell>
        </row>
        <row r="1237">
          <cell r="B1237" t="str">
            <v>767-10-2</v>
          </cell>
          <cell r="C1237" t="str">
            <v>N-부틸피롤리딘</v>
          </cell>
          <cell r="D1237" t="str">
            <v>97-1-437</v>
          </cell>
          <cell r="E1237" t="str">
            <v>및 이를 25% 이상 함유한 혼합물질</v>
          </cell>
          <cell r="F1237">
            <v>25</v>
          </cell>
          <cell r="G1237" t="str">
            <v>- 건조하고 통풍이 잘 되는 그늘 및 서늘한 곳에 보관할 것
- 식료품, 사료, 의약품, 음식과 혼합저장 금지할 것
- 필요에 따라 국소배기장치 가동할 것
- 취급 또는 작업시는 보호의, 보호장갑 등을 착용하여 단기적인 접촉 및 반복적이고 장기적인 노출을 피할 것</v>
          </cell>
        </row>
        <row r="1238">
          <cell r="B1238" t="str">
            <v>540-51-2</v>
          </cell>
          <cell r="C1238" t="str">
            <v>2-브로모에탄올</v>
          </cell>
          <cell r="D1238" t="str">
            <v>97-1-438</v>
          </cell>
          <cell r="E1238" t="str">
            <v>및 이를 25% 이상 함유한 혼합물질</v>
          </cell>
          <cell r="F1238">
            <v>25</v>
          </cell>
          <cell r="G1238" t="str">
            <v>- 건조하고 통풍이 잘 되는 그늘 및 서늘한 곳에 보관할 것
- 식료품, 사료, 의약품, 음식과 혼합저장 금지할 것
- 필요에 따라 국소배기장치 가동할 것
- 확실하게 밀폐된 용기에 저장할 것
- 취급 또는 작업시는 자급식호흡용보호구를 착용하고 고글형보안경, 내화학성보호의, 고무(또는 네오프렌) 재질의 장갑 및 고무장화 등을 착용하여 단기적인 접촉 및 반복적이고 장기적인 노출을 피할 것
- 취급 후, 손을 철저하게 세척할 것
- 적절한 환기장치를 사용할 것</v>
          </cell>
        </row>
        <row r="1239">
          <cell r="B1239" t="str">
            <v>107-04-0</v>
          </cell>
          <cell r="C1239" t="str">
            <v>1-브로모-2-클로로에탄</v>
          </cell>
          <cell r="D1239" t="str">
            <v>97-1-439</v>
          </cell>
          <cell r="E1239" t="str">
            <v>및 이를 25% 이상 함유한 혼합물질</v>
          </cell>
          <cell r="F1239">
            <v>25</v>
          </cell>
          <cell r="G1239" t="str">
            <v>- 통풍이 잘 되는 그늘 및 서늘한 곳에 밀폐 보관 할 것
- 저장용기는 물리적인 손상에 견딜 수 있어야 할 것
- 필요에 따라 국소배기장치 가동할 것
- 취급시 피부접촉을 피하고 보호의, 보안경, 보호장갑을 착용할 것
- 취급시 양압자급식호흡용보호장비를 착용할 것
- 취급시 콘택트렌즈를 착용금지할 것
- 취급 후, 손을 철저하게 세척할 것
- 통풍이 잘 되는 장소에서만 사용할 것</v>
          </cell>
        </row>
        <row r="1240">
          <cell r="B1240" t="str">
            <v>122453-73-0</v>
          </cell>
          <cell r="C1240" t="str">
            <v xml:space="preserve">4-브로모-2-(4-클로로페닐)-1-(에톡시메틸)-5-(트리플루오로메틸)피롤-3-카보니트릴 </v>
          </cell>
          <cell r="D1240" t="str">
            <v>97-1-440</v>
          </cell>
          <cell r="E1240" t="str">
            <v>및 이를 25% 이상 함유한 혼합물질</v>
          </cell>
          <cell r="F1240">
            <v>25</v>
          </cell>
          <cell r="G1240" t="str">
            <v>- 건조하고 통풍이 잘 되는 그늘 및 서늘한 곳에 보관할 것
- 식료품, 사료, 의약품, 음식과 혼합저장 금지할 것
- 필요에 따라 국소배기장치 가동할 것
- 취급 또는 작업시는 자급식호흡용보호구 및 보호의,  보호장갑 등을 착용하여 단기적인 접촉 및 반복적이고 장기적인 노출을 피할 것
- 통풍이 잘 되는 장소에서 사용할 것
- 취급 후에는 항상 비누와 물로 손을 세척할 것</v>
          </cell>
        </row>
        <row r="1241">
          <cell r="B1241" t="str">
            <v>100-69-6</v>
          </cell>
          <cell r="C1241" t="str">
            <v>2-비닐피리딘</v>
          </cell>
          <cell r="D1241" t="str">
            <v>97-1-441</v>
          </cell>
          <cell r="E1241" t="str">
            <v>및 이를 25% 이상 함유한 혼합물질</v>
          </cell>
          <cell r="F1241">
            <v>25</v>
          </cell>
          <cell r="G1241" t="str">
            <v>- 통풍이 잘 되는 그늘 및 서늘한 곳에 밀폐 보관 할 것
- 식료품, 사료, 의약품, 음식과 혼합저장 금지할 것
- 필요에 따라 국소배기장치 가동할 것
- 저장용기는 물리적인 손상에 견딜 수 있어야 할 것
- 화재 또는 폭발의 위험성이 있으므로 열원, 스파크, 불꽃, 가연성물질, 점화원과 격리하여 저장할 것
- 취급 또는 작업시는 통풍이 잘 되는 후드에서 행하고 고글형보안경, 보호의, 보호장갑, 앞치마, 양압자급식호흡용보호구를 착용하여 단기적인 접촉 및 반복적이고 장기적인 노출을 피할 것
- 고무나 플라스틱 재질의 보호의, 장갑, 앞치마를 사용 금지할 것
- 노출기준 이상에서는 호흡보호구를 착용할 것
- 열이나 스파크, 불꽃에 의해 쉽게 점화되므로 주의할 것</v>
          </cell>
        </row>
        <row r="1242">
          <cell r="B1242" t="str">
            <v>100-43-6</v>
          </cell>
          <cell r="C1242" t="str">
            <v>4-비닐피리딘</v>
          </cell>
          <cell r="D1242" t="str">
            <v>97-1-442</v>
          </cell>
          <cell r="E1242" t="str">
            <v>및 이를 25% 이상 함유한 혼합물질</v>
          </cell>
          <cell r="F1242">
            <v>25</v>
          </cell>
          <cell r="G1242" t="str">
            <v>- 통풍이 잘 되는 그늘 및 서늘한 곳에 밀폐 보관 할 것
- 식료품, 사료, 의약품, 음식과 혼합저장 금지할 것
- 필요에 따라 국소배기장치 가동할 것
- 저장용기는 물리적인 손상에 견딜 수 있어야 할 것
- 화재 또는 폭발의 위험성이 있으므로 열원, 스파크, 불꽃, 가연성물질, 점화원과 격리하여 저장할 것
- 취급 또는 작업시는 통풍이 잘 되는 후드에서 행하고 고글형보안경, 보호의, 보호장갑, 앞치마, 양압자급식호흡용보호구를 착용하여 단기적인 접촉 및 반복적이고 장기적인 노출을 피할 것
- 고무나 플라스틱 재질의 보호의, 장갑, 앞치마를 사용 금지할 것
- 노출기준 이상에서는 호흡보호구를 착용할 것
- 열이나 스파크, 불꽃에 의해 쉽게 점화되므로 주의할 것
- 취급 후, 손을 철저하게 세척할 것</v>
          </cell>
        </row>
        <row r="1243">
          <cell r="B1243" t="str">
            <v>10563-26-5</v>
          </cell>
          <cell r="C1243" t="str">
            <v>N,N'-비스(3-아미노프로필)-1,2-에탄디아민</v>
          </cell>
          <cell r="D1243" t="str">
            <v>97-1-443</v>
          </cell>
          <cell r="E1243" t="str">
            <v>및 이를 25% 이상 함유한 혼합물질</v>
          </cell>
          <cell r="F1243">
            <v>25</v>
          </cell>
          <cell r="G1243" t="str">
            <v>- 통풍이 잘 되는 그늘 및 서늘한 곳에 보관할 것
- 의약품, 음식 등과 혼합저장 금지할 것
- 필요에 따라 국소배기장치 가동할 것
- 사용하지 않는 경우에는 용기를 밀폐할 것
- 눈과 접촉시 즉시 다량의 물로 씻어내고 의사의 검진을 받을 것
- 피부와의 접촉시 즉시 제조자에 의해 지정된 물질로 충분히 씻어 낼 것
- 양압자급식호흡용보호구를 반드시 착용하고 보호의와 고글형보안경을 착용할 것
- 적절한 보호복과 보호장갑 및 안면 보호구를 착용할 것</v>
          </cell>
        </row>
        <row r="1244">
          <cell r="B1244" t="str">
            <v>91273-04-0</v>
          </cell>
          <cell r="C1244" t="str">
            <v>N,N-비스(2-에틸헥실)-[(1,2,4-트리아졸-1-일)메틸]아민</v>
          </cell>
          <cell r="D1244" t="str">
            <v>97-1-444</v>
          </cell>
          <cell r="E1244" t="str">
            <v>및 이를 1% 이상 함유한 혼합물질</v>
          </cell>
          <cell r="F1244">
            <v>1</v>
          </cell>
          <cell r="G1244" t="str">
            <v>- 통풍이 잘 되는 그늘 및 서늘한 곳에 밀폐 보관 할 것
- 식료품, 사료, 의약품, 음식과 혼합저장 금지할 것
- 저장용기는 물리적인 손상에 견딜 수 있어야 할 것
- 사고발생에 대비하여 눈이나 몸을 씻을 수 있는 세안시설과 샤워시설이 이용 가능한 장소에서 작업할 것
- 사용한 후 식사, 흡연, 화장실에 가기 전에 물과 비누로 손을 꼭 세척할 것
- 호흡용보호구, 보안경, 보호장갑(고무 또는 네오프렌 재질)을 반드시 사용할 것
- 콘택트렌즈를 착용금지할 것
- 통풍장치 가동할 것</v>
          </cell>
        </row>
        <row r="1245">
          <cell r="B1245" t="str">
            <v>92-67-1</v>
          </cell>
          <cell r="C1245" t="str">
            <v>4-아미노비페닐</v>
          </cell>
          <cell r="D1245" t="str">
            <v>97-1-445,06-4-57</v>
          </cell>
          <cell r="E1245" t="str">
            <v>및 이를 0.1% 이상 함유한 혼합물질</v>
          </cell>
          <cell r="F1245">
            <v>0.1</v>
          </cell>
          <cell r="G1245" t="str">
            <v>- 건조하고 통풍이 잘 되는 그늘 및 서늘한 곳에 밀폐 보관 할 것
- 식료품, 사료, 의약품, 음식과 혼합저장 금지할 것
- 필요에 따라 국소배기장치 가동할 것
- 피해야 할 물질 및 발화원과 격리할 것
- 취급 또는 작업시는 양압자급식호흡용보호구를 착용하고 고글형보안경, 보호의, 고무(또는 네오프렌)재질의 장갑 및 고무장화, 보호모 등을 착용하여 단기적인 접촉 및 반복적이고 장기적인 노출을 피할 것
- 화학물질 흄 후드내에서 취급 할 것
- 취급금지물질(이를 0.1% 이상 함유한 혼합물질)</v>
          </cell>
        </row>
        <row r="1246">
          <cell r="B1246" t="str">
            <v>113-61-3</v>
          </cell>
          <cell r="C1246" t="str">
            <v>4-아미노비페닐 염산염</v>
          </cell>
          <cell r="D1246" t="str">
            <v>97-1-446</v>
          </cell>
          <cell r="E1246" t="str">
            <v>및 이를 0.1% 이상 함유한 혼합물질</v>
          </cell>
          <cell r="F1246">
            <v>0.1</v>
          </cell>
          <cell r="G1246" t="str">
            <v>- 건조하고 통풍이 잘 되는 그늘 및 서늘한 곳에 보관할 것
- 식료품, 사료, 의약품, 음식과 혼합저장 금지할 것
- 필요에 따라 국소배기장치 가동할 것
- 취급 또는 작업시는 보호의, 보호장갑 등을 착용하여 단기적인 접촉 및 반복적이고 장기적인 노출을 피할 것</v>
          </cell>
        </row>
        <row r="1247">
          <cell r="B1247" t="str">
            <v>60-09-3</v>
          </cell>
          <cell r="C1247" t="str">
            <v>p-아미노아조벤젠</v>
          </cell>
          <cell r="D1247" t="str">
            <v>97-1-447</v>
          </cell>
          <cell r="E1247" t="str">
            <v>및 이를 0.1% 이상 함유한 혼합물질</v>
          </cell>
          <cell r="F1247">
            <v>0.1</v>
          </cell>
          <cell r="G1247" t="str">
            <v>- 건조하고 통풍이 잘 되는 그늘 및 서늘한 곳에 밀폐 보관 할 것
- 식료품, 사료, 의약품, 음식과 혼합저장 금지할 것
- 필요에 따라 국소배기장치 가동할 것
- 저장용기는 물리적인 손상에 견딜 수 있어야 할 것
- 피해야 할 물질 및 발화원과 격리할 것
- 취급 또는 작업시는 통풍이 잘 되는 후드에서 행하고 고글형보안경, 보호의, 보호장갑(플라스틱 재질), 보호앞치마, 양압자급식호흡용보호구를 착용하여 단기적인 접촉 및 반복적이고 장기적인 노출을 피할 것
- 노출기준 이상에서는 호흡보호구를 착용할 것
- 발암성물질이므로 매우 주의할 것</v>
          </cell>
        </row>
        <row r="1248">
          <cell r="B1248" t="str">
            <v>108-42-9</v>
          </cell>
          <cell r="C1248" t="str">
            <v>m-아미노클로로벤젠</v>
          </cell>
          <cell r="D1248" t="str">
            <v>97-1-448</v>
          </cell>
          <cell r="E1248" t="str">
            <v>및 이를 25% 이상 함유한 혼합물질</v>
          </cell>
          <cell r="F1248">
            <v>25</v>
          </cell>
          <cell r="G1248" t="str">
            <v>- 산화제, 열원과 격리하고 직사광선을 피해 저장할 것
- 통풍이 잘 되는 그늘 및 서늘한 곳에 밀폐 보관 할 것
- 식료품, 사료, 의약품, 음식과 혼합저장 금지할 것
- 필요에 따라 국소배기장치 가동할 것
- 저장용기는 물리적인 손상에 견딜 수 있어야 할 것
- 사고발생에 대비하여 눈이나 몸을 씻을 수 있는 세안시설과 샤워시설이 이용 가능한 장소에서 작업할 것
- 사용한 후 식사, 흡연, 화장실에 가기 전에 물과 비누로 손을 꼭 세척할 것
- 호흡용보호구, 전면보호구, 보안경, 불침투성보호의, 보호장갑(부틸고무재질)을 반드시 사용할 것
- 콘택트렌즈를 착용 금지할 것
- 통풍장치 가동할 것</v>
          </cell>
        </row>
        <row r="1249">
          <cell r="B1249" t="str">
            <v>504-24-5</v>
          </cell>
          <cell r="C1249" t="str">
            <v>4-아미노피리딘</v>
          </cell>
          <cell r="D1249" t="str">
            <v>97-1-449</v>
          </cell>
          <cell r="E1249" t="str">
            <v>및 이를 25% 이상 함유한 혼합물질</v>
          </cell>
          <cell r="F1249">
            <v>25</v>
          </cell>
          <cell r="G1249" t="str">
            <v>- 통풍이 잘 되는 그늘 및 서늘한 곳에 밀폐 보관 할 것
- 식료품, 사료, 의약품, 음식과 혼합저장 금지할 것
- 필요에 따라 국소배기장치 가동할 것
- 저장용기는 물리적인 손상에 견딜 수 있어야 할 것
- 산무수물(acid  anhydrides), 산염화물(acid chlorides), 강산(염산, 황산, 질산), 강산화제(플루오르, 염소, 브롬)와 격리하여 저장할 것
- 열, 스파크, 화염, 발화원과 격리할 것
- 취급 또는 작업시는 통풍이 잘 되는 후드에서 행하고 고글형보안경, 보호의, 보호장갑, 앞치마, 양압자급식호흡용보호구를 착용하여 단기적인 접촉 및 반복적이고 장기적인 노출을 피할 것
- 노출기준 이상에서는 호흡보호구를 착용할 것
- 취급 후, 손을 철저하게 세척할 것</v>
          </cell>
        </row>
        <row r="1250">
          <cell r="C1250" t="str">
            <v>tert-알킬(C=12-14)아민, 1-아미노-9,10-디히드로-9,10-디옥소-4-(2,4,6-트리메틸아닐리노)-안트라센-2-술폰산</v>
          </cell>
          <cell r="D1250" t="str">
            <v>97-1-450</v>
          </cell>
          <cell r="E1250" t="str">
            <v>및 이를 25% 이상 함유한 혼합물질</v>
          </cell>
          <cell r="G1250" t="str">
            <v>- 건조하고 통풍이 잘 되는 그늘 및 서늘한 곳에 보관할 것
- 식료품, 사료, 의약품, 음식과 혼합저장 금지할 것
- 필요에 따라 국소배기장치 가동할 것
- 취급 또는 작업시는 보호의, 보호장갑 등을 착용하여 단기적인 접촉 및 반복적이고 장기적인 노출을 피할 것</v>
          </cell>
        </row>
        <row r="1251">
          <cell r="B1251" t="str">
            <v>609-72-3</v>
          </cell>
          <cell r="C1251" t="str">
            <v>N-알킬톨루이딘</v>
          </cell>
          <cell r="D1251" t="str">
            <v>97-1-451</v>
          </cell>
          <cell r="E1251" t="str">
            <v>및 그 염류를 25% 이상 포함한 혼합물질.</v>
          </cell>
          <cell r="F1251">
            <v>25</v>
          </cell>
          <cell r="G1251" t="str">
            <v>- 건조하고 통풍이 잘 되는 그늘 및 서늘한 곳에 보관할 것
- 식료품, 사료, 의약품, 음식과 혼합저장 금지할 것
- 필요에 따라 국소배기장치 가동할 것
- 취급 또는 작업시는 보호의, 보호장갑 등을 착용하여 단기적인 접촉 및 반복적이고 장기적인 노출을 피할 것</v>
          </cell>
        </row>
        <row r="1252">
          <cell r="B1252" t="str">
            <v>611-21-2</v>
          </cell>
          <cell r="C1252" t="str">
            <v>N-알킬톨루이딘</v>
          </cell>
          <cell r="D1252" t="str">
            <v>97-1-451</v>
          </cell>
          <cell r="E1252" t="str">
            <v>및 그 염류를 25% 이상 포함한 혼합물질.</v>
          </cell>
          <cell r="F1252">
            <v>25</v>
          </cell>
          <cell r="G1252" t="str">
            <v>- 건조하고 통풍이 잘 되는 그늘 및 서늘한 곳에 보관할 것
- 식료품, 사료, 의약품, 음식과 혼합저장 금지할 것
- 필요에 따라 국소배기장치 가동할 것
- 취급 또는 작업시는 보호의, 보호장갑 등을 착용하여 단기적인 접촉 및 반복적이고 장기적인 노출을 피할 것</v>
          </cell>
        </row>
        <row r="1253">
          <cell r="B1253" t="str">
            <v>613-48-9</v>
          </cell>
          <cell r="C1253" t="str">
            <v>N-알킬톨루이딘</v>
          </cell>
          <cell r="D1253" t="str">
            <v>97-1-451</v>
          </cell>
          <cell r="E1253" t="str">
            <v>및 그 염류를 25% 이상 포함한 혼합물질.</v>
          </cell>
          <cell r="F1253">
            <v>25</v>
          </cell>
          <cell r="G1253" t="str">
            <v>- 건조하고 통풍이 잘 되는 그늘 및 서늘한 곳에 보관할 것
- 식료품, 사료, 의약품, 음식과 혼합저장 금지할 것
- 필요에 따라 국소배기장치 가동할 것
- 취급 또는 작업시는 보호의, 보호장갑 등을 착용하여 단기적인 접촉 및 반복적이고 장기적인 노출을 피할 것</v>
          </cell>
        </row>
        <row r="1254">
          <cell r="B1254" t="str">
            <v>622-57-1</v>
          </cell>
          <cell r="C1254" t="str">
            <v>N-알킬톨루이딘</v>
          </cell>
          <cell r="D1254" t="str">
            <v>97-1-451</v>
          </cell>
          <cell r="E1254" t="str">
            <v>및 그 염류를 25% 이상 포함한 혼합물질.</v>
          </cell>
          <cell r="F1254">
            <v>25</v>
          </cell>
          <cell r="G1254" t="str">
            <v>- 건조하고 통풍이 잘 되는 그늘 및 서늘한 곳에 보관할 것
- 식료품, 사료, 의약품, 음식과 혼합저장 금지할 것
- 필요에 따라 국소배기장치 가동할 것
- 취급 또는 작업시는 보호의, 보호장갑 등을 착용하여 단기적인 접촉 및 반복적이고 장기적인 노출을 피할 것</v>
          </cell>
        </row>
        <row r="1255">
          <cell r="B1255" t="str">
            <v>623-08-5</v>
          </cell>
          <cell r="C1255" t="str">
            <v>N-알킬톨루이딘</v>
          </cell>
          <cell r="D1255" t="str">
            <v>97-1-451</v>
          </cell>
          <cell r="E1255" t="str">
            <v>및 그 염류를 25% 이상 포함한 혼합물질.</v>
          </cell>
          <cell r="F1255">
            <v>25</v>
          </cell>
          <cell r="G1255" t="str">
            <v>- 건조하고 통풍이 잘 되는 그늘 및 서늘한 곳에 보관할 것
- 식료품, 사료, 의약품, 음식과 혼합저장 금지할 것
- 필요에 따라 국소배기장치 가동할 것
- 취급 또는 작업시는 보호의, 보호장갑 등을 착용하여 단기적인 접촉 및 반복적이고 장기적인 노출을 피할 것</v>
          </cell>
        </row>
        <row r="1256">
          <cell r="B1256" t="str">
            <v>696-44-6</v>
          </cell>
          <cell r="C1256" t="str">
            <v>N-알킬톨루이딘</v>
          </cell>
          <cell r="D1256" t="str">
            <v>97-1-451</v>
          </cell>
          <cell r="E1256" t="str">
            <v>및 그 염류를 25% 이상 포함한 혼합물질.</v>
          </cell>
          <cell r="F1256">
            <v>25</v>
          </cell>
          <cell r="G1256" t="str">
            <v>- 건조하고 통풍이 잘 되는 그늘 및 서늘한 곳에 보관할 것
- 식료품, 사료, 의약품, 음식과 혼합저장 금지할 것
- 필요에 따라 국소배기장치 가동할 것
- 취급 또는 작업시는 보호의, 보호장갑 등을 착용하여 단기적인 접촉 및 반복적이고 장기적인 노출을 피할 것</v>
          </cell>
        </row>
        <row r="1257">
          <cell r="B1257" t="str">
            <v>91-67-8</v>
          </cell>
          <cell r="C1257" t="str">
            <v>N-알킬톨루이딘</v>
          </cell>
          <cell r="D1257" t="str">
            <v>97-1-451</v>
          </cell>
          <cell r="E1257" t="str">
            <v>및 그 염류를 25% 이상 포함한 혼합물질.</v>
          </cell>
          <cell r="F1257">
            <v>25</v>
          </cell>
          <cell r="G1257" t="str">
            <v>- 건조하고 통풍이 잘 되는 그늘 및 서늘한 곳에 보관할 것
- 식료품, 사료, 의약품, 음식과 혼합저장 금지할 것
- 필요에 따라 국소배기장치 가동할 것
- 취급 또는 작업시는 보호의, 보호장갑 등을 착용하여 단기적인 접촉 및 반복적이고 장기적인 노출을 피할 것</v>
          </cell>
        </row>
        <row r="1258">
          <cell r="B1258" t="str">
            <v>99-97-8</v>
          </cell>
          <cell r="C1258" t="str">
            <v>N-알킬톨루이딘</v>
          </cell>
          <cell r="D1258" t="str">
            <v>97-1-451</v>
          </cell>
          <cell r="E1258" t="str">
            <v>및 그 염류를 25% 이상 포함한 혼합물질.</v>
          </cell>
          <cell r="F1258">
            <v>25</v>
          </cell>
          <cell r="G1258" t="str">
            <v>- 건조하고 통풍이 잘 되는 그늘 및 서늘한 곳에 보관할 것
- 식료품, 사료, 의약품, 음식과 혼합저장 금지할 것
- 필요에 따라 국소배기장치 가동할 것
- 취급 또는 작업시는 보호의, 보호장갑 등을 착용하여 단기적인 접촉 및 반복적이고 장기적인 노출을 피할 것</v>
          </cell>
        </row>
        <row r="1259">
          <cell r="B1259" t="str">
            <v>6291-85-6</v>
          </cell>
          <cell r="C1259" t="str">
            <v xml:space="preserve">3-에톡시프로필아민 </v>
          </cell>
          <cell r="D1259" t="str">
            <v>97-1-452</v>
          </cell>
          <cell r="E1259" t="str">
            <v>및 이를 25% 이상 함유한 혼합물질</v>
          </cell>
          <cell r="F1259">
            <v>25</v>
          </cell>
          <cell r="G1259" t="str">
            <v>- 건조하고 통풍이 잘 되는 그늘 및 서늘한 곳에 산, 산화제, 열원 등과 격리하여 밀폐 보관 할 것
- 식료품, 사료, 의약품, 음식과 혼합저장 금지할 것
- 필요에 따라 국소배기장치 가동할 것
- 취급 또는 작업시는 자급식호흡용보호구를 착용하고 고글형보안경, 내화학성보호의, 고무(또는 네오프렌)재질의 장갑 및 고무장화 등을 착용하여 단기적인 접촉 및 반복적이고 장기적인 노출을 피할 것
- 통풍이 잘 되는 장소에서만 사용할 것
- 물질을 이동시킬 때 용기를 땅에 밀착하여 이동할 것
- 스파크를 막는 기계와 폭발을 막는 장치를 사용할 것</v>
          </cell>
        </row>
        <row r="1260">
          <cell r="B1260" t="str">
            <v>425-66-3</v>
          </cell>
          <cell r="C1260" t="str">
            <v xml:space="preserve">1-클로로-2-니트로프로판 </v>
          </cell>
          <cell r="D1260" t="str">
            <v>97-1-453</v>
          </cell>
          <cell r="E1260" t="str">
            <v>및 이를 1% 이상 함유한 혼합물질</v>
          </cell>
          <cell r="F1260">
            <v>1</v>
          </cell>
          <cell r="G1260" t="str">
            <v>- 통풍이 잘 되는 그늘 및 서늘한 곳에 밀폐 보관 할 것
- 저장용기는 물리적인 손상에 견딜 수 있어야 할 것
- 필요에 따라 국소배기장치 가동할 것
- 취급시 피부접촉을 피하고 보호의, 보안경, 보호장갑을 착용할 것
- 취급시 양압자급식호흡용보호장비를 착용할 것
- 취급시 콘택트렌즈를 착용금지할 것</v>
          </cell>
        </row>
        <row r="1261">
          <cell r="B1261" t="str">
            <v>95-51-2</v>
          </cell>
          <cell r="C1261" t="str">
            <v>2-클로로벤젠아민</v>
          </cell>
          <cell r="D1261" t="str">
            <v>97-1-454</v>
          </cell>
          <cell r="E1261" t="str">
            <v>및 이를 25% 이상 함유한 혼합물질</v>
          </cell>
          <cell r="F1261">
            <v>25</v>
          </cell>
          <cell r="G1261" t="str">
            <v>- 산화제, 열원과 격리하고 직사광선을 피해 저장할 것
- 통풍이 잘 되는 그늘 및 서늘한 곳에 밀폐 보관 할 것
- 식료품, 사료, 의약품, 음식과 혼합저장 금지할 것
- 필요에 따라 국소배기장치 가동할 것
- 저장용기는 물리적인 손상에 견딜 수 있어야 할 것
- 사고발생에 대비하여 눈이나 몸을 씻을 수 있는 세안시설과 샤워시설이 이용 가능한 장소에서 작업할 것
- 사용한 후 식사, 흡연, 화장실에 가기 전에 물과 비누로 손을 꼭 세척할 것
- 호흡용보호구, 전면보호구, 보안경, 불침투성보호의, 보호장갑(고무 또는 네오프렌 재질)을 반드시 사용할 것
- 콘택트렌즈를 착용금지할 것
- 통풍장치 가동할 것</v>
          </cell>
        </row>
        <row r="1262">
          <cell r="B1262" t="str">
            <v>107-07-3</v>
          </cell>
          <cell r="C1262" t="str">
            <v>2-클로로에탄올</v>
          </cell>
          <cell r="D1262" t="str">
            <v>97-1-455</v>
          </cell>
          <cell r="E1262" t="str">
            <v>및 이를 1% 이상 함유한 혼합물질</v>
          </cell>
          <cell r="F1262">
            <v>1</v>
          </cell>
          <cell r="G1262" t="str">
            <v>- 금속, 유리 또는 폴리에틸렌 용기에 담아 건조하고 통풍이 잘 되는 그늘 및 서늘한 곳에 산화제, 산 및 염기와 격리 보관 할 것
- 식료품, 사료, 의약품, 음식과 혼합저장 금지할 것
- 필요에 따라 국소배기장치 가동할 것
- 열, 스파크, 화염, 점화원과 격리할 것
- 취급 또는 작업시는 양압자급식호흡용보호구를 착용하고 고글형보안경, 내화학성보호의, 부틸고무(또는 폴리에틸렌)재질의 장갑 및 고무장화 등을 착용하여 단기적인 접촉 및 반복적이고 장기적인 노출을 피할 것할
- 적절한 환기장치를 사용할 것
- 빈 용기에는 잔류물이 있을 수 있어 위험할 수 있으므로, 가압, 절단, 용접, 납땜, 연마, 천공을 해서는 안 되며, 열, 스파크, 화염에 빈 용기를 노출시키지 말 것</v>
          </cell>
        </row>
        <row r="1263">
          <cell r="B1263" t="str">
            <v>3647-69-6</v>
          </cell>
          <cell r="C1263" t="str">
            <v>4-(2-클로로에틸)몰포린염산</v>
          </cell>
          <cell r="D1263" t="str">
            <v>97-1-456</v>
          </cell>
          <cell r="E1263" t="str">
            <v>및 이를 25% 이상 함유한 혼합물질</v>
          </cell>
          <cell r="F1263">
            <v>25</v>
          </cell>
          <cell r="G1263" t="str">
            <v>- 건조하고 통풍이 잘 되는 그늘 및 서늘한 곳에 밀폐 보관 할 것
- 식료품, 사료, 의약품, 음식과 혼합저장 금지할 것
- 필요에 따라 국소배기장치 가동할 것
- 저장용기는 물리적인 손상에 견딜 수 있어야 할 것
- 열원, 강산화제, 스파크, 불꽃, 가연성물질, 점화원과 격리하여 저장할 것
- 취급 또는 작업시는 통풍이 잘 되는 후드에서 행하고 고글형보안경, 보호의, 고무장갑, 고무앞치마, 양압자급식호흡용보호구를 착용하여 단기적인 접촉 및 반복적이고 장기적인 노출을 피할 것
- 노출기준 이상에서는 호흡보호구를 착용할 것
- 취급 후, 손을 철저하게 세척할 것</v>
          </cell>
        </row>
        <row r="1264">
          <cell r="B1264" t="str">
            <v>109-09-1</v>
          </cell>
          <cell r="C1264" t="str">
            <v>2-클로로피리딘</v>
          </cell>
          <cell r="D1264" t="str">
            <v>97-1-457</v>
          </cell>
          <cell r="E1264" t="str">
            <v>및 이를 25% 이상 함유한 혼합물질</v>
          </cell>
          <cell r="F1264">
            <v>25</v>
          </cell>
          <cell r="G1264" t="str">
            <v>- 건조하고 통풍이 잘 되는 그늘 및 서늘한 곳에 밀폐 보관 할 것
- 식료품, 사료, 의약품, 음식과 혼합저장 금지할 것
- 필요에 따라 국소배기장치 가동할 것
- 저장용기는 물리적인 손상에 견딜 수 있어야 할 것
- 강산화제, 강산과 격리하여 저장할 것
- 화재 또는 폭발의 위험성이 있으므로 열원, 스파크, 불꽃, 가연성물질, 점화원과 격리하여 저장할 것
- 취급 또는 작업시는 통풍이 잘 되는 후드에서 행하고 고글형보안경, 보호의, 보호장갑, 앞치마, 양압자급식호흡용보호구를 착용하여 단기적인 접촉 및 반복적이고 장기적인 노출을 피할 것
- 노출기준 이상에서는 호흡보호구를 착용할 것
- 취급 후, 손을 철저하게 세척할 것
- 빈 용기에는 잔류물이 있을 수 있어 위험할 수 있으므로, 빈 용기에 가압, 절단, 용접, 납땜, 연마, 천공을 해서는 안될 것</v>
          </cell>
        </row>
        <row r="1265">
          <cell r="B1265" t="str">
            <v>135410-20-7</v>
          </cell>
          <cell r="C1265" t="str">
            <v>(E)-N-[(6-클로로-3-피리딜)메틸]-N-시아노-N-메틸아세트아미딘</v>
          </cell>
          <cell r="D1265" t="str">
            <v>97-1-458</v>
          </cell>
          <cell r="E1265" t="str">
            <v>및 이를 25% 이상 함유한 혼합물질</v>
          </cell>
          <cell r="F1265">
            <v>25</v>
          </cell>
          <cell r="G1265" t="str">
            <v>- 통풍이 잘 되는 그늘 및 서늘한 곳에 보관할 것
- 의약품, 음식 등과 혼합저장 금지할 것
- 필요에 따라 국소배기장치 가동할 것
- 보호구, 보호의와 보안경을 착용할 것</v>
          </cell>
        </row>
        <row r="1266">
          <cell r="C1266" t="str">
            <v>2,2,6,6-테트라메틸-4-아미노피페리딘과 도데실아크릴산,테트라데실아크릴산 혼합물질의 반응생성물</v>
          </cell>
          <cell r="D1266" t="str">
            <v>97-1-459</v>
          </cell>
          <cell r="E1266" t="str">
            <v>및 이를 25% 이상 함유한 혼합물질</v>
          </cell>
          <cell r="G1266" t="str">
            <v>- 건조하고 통풍이 잘 되는 그늘 및 서늘한 곳에 밀폐 보관 할 것
- 식료품, 사료, 의약품, 음식과 혼합저장 금지할 것
- 필요에 따라 국소배기장치 가동할 것
- 취급 또는 작업시는 보호의, 보호장갑 및 전면보호구 등을 착용하여 단기적인 접촉 및 반복적이고 장기적인 노출을 피할 것</v>
          </cell>
        </row>
        <row r="1267">
          <cell r="B1267" t="str">
            <v>79-27-6</v>
          </cell>
          <cell r="C1267" t="str">
            <v>1,1,2,2-테트라브로모에탄</v>
          </cell>
          <cell r="D1267" t="str">
            <v>97-1-460</v>
          </cell>
          <cell r="E1267" t="str">
            <v>및 이를 1.0% 이상 함유한 혼합물질</v>
          </cell>
          <cell r="F1267">
            <v>1</v>
          </cell>
          <cell r="G1267" t="str">
            <v>- 통풍이 잘 되는 그늘 및 서늘한 곳에 밀폐 보관 할 것
- 식료품, 사료, 의약품, 음식과 혼합저장 금지할 것
- 필요에 따라 국소배기장치 가동할 것
- 저장용기는 물리적인 손상에 견딜 수 있어야 할 것
- 과염소산염(perchlorates), 과산화물(peroxides), 과망간산염(permanganates), 염소산염(chlorates), 질산염(nitrates), 염소, 브롬과 같은 산화제나 활성금속(칼륨, 나트륨, 망간, 아연, 알루미늄), 강염기(수산화나트륨, 수산화칼륩), 뜨거운 철(hot iron)과 혼합위험성(incompatible)이 있으므로 격리하여 저장할 것
- 취급 또는 작업시는 통풍이 잘 되는 후드에서 행하고 고글형보안경, 보호의, 고무장갑, 고무앞치마, 양압자급식호흡용보호구를 착용하여 단기적인 접촉 및 반복적이고 장기적인 노출을 피할 것
- 노출기준 이상에서는 호흡보호구를 착용할 것
- 취급 후 손을 깨끗이 세척할 것</v>
          </cell>
        </row>
        <row r="1268">
          <cell r="B1268" t="str">
            <v>20018-09-1</v>
          </cell>
          <cell r="C1268" t="str">
            <v>p-톨릴 디요오도메틸 술폰</v>
          </cell>
          <cell r="D1268" t="str">
            <v>97-1-461</v>
          </cell>
          <cell r="E1268" t="str">
            <v>및 이를 1% 이상 함유한 혼합물질</v>
          </cell>
          <cell r="F1268">
            <v>1</v>
          </cell>
          <cell r="G1268" t="str">
            <v>- 건조하고 통풍이 잘 되는 그늘 및 서늘한 곳에 보관할 것
- 식료품, 사료, 의약품, 음식과 혼합저장 금지할 것
- 필요에 따라 국소배기장치 가동할 것
- 취급 또는 작업시는 보호의, 장갑 등을 착용하여 단기적인 접촉 및 반복적이고 장기적인 노출을 피할 것</v>
          </cell>
        </row>
        <row r="1269">
          <cell r="B1269" t="str">
            <v>78-48-8</v>
          </cell>
          <cell r="C1269" t="str">
            <v>S,S,S-트리부틸 삼티오인산</v>
          </cell>
          <cell r="D1269" t="str">
            <v>97-1-462</v>
          </cell>
          <cell r="E1269" t="str">
            <v>및 이를 1% 이상 함유한 혼합물질</v>
          </cell>
          <cell r="F1269">
            <v>1</v>
          </cell>
          <cell r="G1269" t="str">
            <v>- 건조하고 통풍이 잘 되는 그늘 및 서늘한 곳에 밀폐 보관 할 것
- 식료품, 사료, 의약품, 음식과 혼합저장 금지할 것
- 필요에 따라 국소배기장치 가동할 것
- 저장용기는 물리적인 손상에 견딜 수 있어야 할 것
- 화재 또는 폭발의 위험성이 있으므로 열원, 스파크, 불꽃, 가연성물질, 점화원과 격리하여 저장할 것
- 취급 또는 작업시는 통풍이 잘 되는 후드에서 행하고 고글형보안경, 보호의, 고무장갑, 고무앞치마, 양압자급식호흡용보호구를 착용하여 단기적인 접촉 및 반복적이고 장기적인 노출을 피할 것
- 가죽으로 만든 보호의, 장갑, 앞치마는 사용 금지할 것
- 노출기준 이상에서는 호흡보호구를 착용할 것</v>
          </cell>
        </row>
        <row r="1270">
          <cell r="B1270" t="str">
            <v>93-76-5</v>
          </cell>
          <cell r="C1270" t="str">
            <v>2,4,5-티</v>
          </cell>
          <cell r="D1270" t="str">
            <v>97-1-463,06-4-58</v>
          </cell>
          <cell r="E1270" t="str">
            <v>및 이를 1% 이상 함유한 혼합물질</v>
          </cell>
          <cell r="F1270">
            <v>1</v>
          </cell>
          <cell r="G1270" t="str">
            <v>- 어는점(freezing  point)이상의 온도를 유지하며 저장할 것
- 통풍이 잘 되는 그늘 및 서늘한 곳에 보관할 것 
- 식료품, 사료, 의약품, 음식, 다른 농약, 씨앗과 혼합저장 금지할 것
- 필요에 따라 국소배기장치 가동할 것
- 취급시 피부접촉을 피하고 보호의와 보호장갑을 착용할 것
- 피부와의 접촉을 피할 것
- 환경에 배출을 피할 것
- 양압자급식호흡용보호구를 반드시 착용하고 보호의와 고글형보안경을 착용할 것
- 증기 후드에서 다룰 것
- 취급금지물질(이를 1% 이상 함유한 혼합물질)</v>
          </cell>
        </row>
        <row r="1271">
          <cell r="B1271" t="str">
            <v>70750-20-8</v>
          </cell>
          <cell r="C1271" t="str">
            <v>2-프로펜아미드 중합체와 클로로메탄, 디메틸아민, 포름알데히드의 반응생성물</v>
          </cell>
          <cell r="D1271" t="str">
            <v>97-1-464</v>
          </cell>
          <cell r="E1271" t="str">
            <v>및 이를 1% 이상 함유한 혼합물질</v>
          </cell>
          <cell r="F1271">
            <v>1</v>
          </cell>
          <cell r="G1271" t="str">
            <v>- 통풍이 잘 되는 그늘 및 서늘한 곳에 밀폐 보관 할 것
- 저장용기는 물리적인 손상에 견딜 수 있어야 할 것
- 필요에 따라 국소배기장치 가동할 것
- 취급시 피부접촉을 피하고 보호의, 보안경, 보호장갑을 착용할 것
- 취급시 양압자급식호흡용 보호장비를 착용할 것
- 취급시 콘택트렌즈를 착용 금지할 것</v>
          </cell>
        </row>
        <row r="1272">
          <cell r="B1272" t="str">
            <v>124-02-7</v>
          </cell>
          <cell r="C1272" t="str">
            <v>N-2-프로펜일-2-프로펜-1-아민</v>
          </cell>
          <cell r="D1272" t="str">
            <v>97-1-465</v>
          </cell>
          <cell r="E1272" t="str">
            <v>및 이를 25% 이상 함유한 혼합물질</v>
          </cell>
          <cell r="F1272">
            <v>25</v>
          </cell>
          <cell r="G1272" t="str">
            <v>- 산화제, 열원과 격리하여 저장할 것
- 통풍이 잘 되는 그늘 및 서늘한 곳에 밀폐 보관 할 것
- 필요에 따라 국소배기장치 가동할 것
- 저장용기는 물리적인 손상에 견딜 수 있어야 할 것
- 사고발생에 대비하여 눈이나 몸을 씻을 수 있는 세안시설과 샤워시설이 이용 가능한 장소에서 작업할 것
- 사용한 후 식사, 흡연, 화장실에 가기 전에 물과 비누로 손을 꼭 세척할 것
- 호흡용보호구, 안면보호구, 보안경, 보호의, 보호장갑(고무 또는 네오프렌 재질)을 반드시 착용할 것
- 콘택트렌즈를 착용 금지할 것
- 국소배기장치 가동할 것
- 빈 용기에는 잔류물이 있을 수 있어 위험할 수 있으므로, 빈 용기에 가압, 절단, 용접, 납땜, 연마, 천공을 해서는 안될 것</v>
          </cell>
        </row>
        <row r="1273">
          <cell r="B1273" t="str">
            <v>107-19-7</v>
          </cell>
          <cell r="C1273" t="str">
            <v>2-프로핀-1-올</v>
          </cell>
          <cell r="D1273" t="str">
            <v>97-1-466</v>
          </cell>
          <cell r="E1273" t="str">
            <v>및 이를 25% 이상 함유한 혼합물질</v>
          </cell>
          <cell r="F1273">
            <v>25</v>
          </cell>
          <cell r="G1273" t="str">
            <v>- 통풍이 잘 되는 그늘 및 서늘한 곳에 밀폐 보관 할 것
- 열원, 가연성물질, 산, 알칼리, 햇빛과 격리시켜 보관할 것
- 저장용기는 물리적인 손상에 견딜 수 있어야 할 것
- 필요에 따라 국소배기장치 가동할 것
- 취급시 피부접촉을 피하고 보호의, 보안경, 보호장갑을 착용할 것
- 취급시 양압자급식호흡용보호장비를 착용할 것
- 취급시 콘택트렌즈를 착용 금지할 것
- 취급 후, 손을 철저하게 세척할 것
- 물질을 이동시킬 때 용기를 땅에 밀착하여 이동할 것
- 스파크를 막는 기계와 폭발을 막는 장치를 사용할 것
- 빈 용기에는 잔류물이 있을 수 있어 위험할 수 있으므로, 가압, 절단, 용접, 납땜, 연마, 천공을 해서는 안 되며, 열, 스파크, 화염에 빈 용기를 노출시키지 말 것</v>
          </cell>
        </row>
        <row r="1274">
          <cell r="B1274" t="str">
            <v>27083-27-8</v>
          </cell>
          <cell r="C1274" t="str">
            <v>N,N'''-1,6-헥산디일비스(N'-시아노구아니딘)과 1,6-헥산디아민, 염산의 중합체</v>
          </cell>
          <cell r="D1274" t="str">
            <v>97-1-467</v>
          </cell>
          <cell r="E1274" t="str">
            <v>및 이를 25% 이상 함유한 혼합물질</v>
          </cell>
          <cell r="F1274">
            <v>25</v>
          </cell>
          <cell r="G1274" t="str">
            <v>- 건조하고 통풍이 잘 되는 그늘 및 서늘한 곳에 보관할 것
- 식료품, 사료, 의약품, 음식과 혼합저장 금지할 것
- 필요에 따라 국소배기장치 가동할 것
- 취급 또는 작업시는 보호의, 보호장갑과 전면보호구 등을 착용하여 단기적인 접촉 및 반복적이고 장기적인 노출을 피할 것</v>
          </cell>
        </row>
        <row r="1275">
          <cell r="B1275" t="str">
            <v>109-84-2</v>
          </cell>
          <cell r="C1275" t="str">
            <v>2-히드라지노에탄올</v>
          </cell>
          <cell r="D1275" t="str">
            <v>97-1-468</v>
          </cell>
          <cell r="E1275" t="str">
            <v>및 그 중 하나를 1% 이상 함유한 혼합물질</v>
          </cell>
          <cell r="F1275">
            <v>1</v>
          </cell>
          <cell r="G1275" t="str">
            <v>- 통풍이 잘 되는 그늘 및 서늘한 곳에 밀폐 보관 할 것
- 저장용기는 물리적인 손상에 견딜 수 있어야 할 것
- 필요에 따라 국소배기장치 가동할 것
- 열, 스파크, 화염, 발화원과 멀리 떨어진 곳에 보관할 것
- 취급시 피부접촉을 피하고 보호의, 보안경, 보호장갑을 착용할 것
- 취급시 양압자급식호흡용보호장비를 착용할 것
- 취급시 콘택트렌즈를 착용 금지할 것
- 취급 후 손을 깨끗이 세척할 것
- 통풍이 잘 되는 장소에서만 사용할 것
- 빈 용기에는 잔류물이 있을 수 있어 위험할 수 있으므로, 용기에 압력을 가하거나, 자르거나, 구멍을 내거나 해서는 안되며, 빈 용기에도 열, 스파크, 화염 등을 가해서는 안될 것</v>
          </cell>
        </row>
        <row r="1276">
          <cell r="B1276" t="str">
            <v>30785-74-1</v>
          </cell>
          <cell r="C1276" t="str">
            <v>3-히드록시-4-[(2-히드록시-1-나프틸)아조]-1-나프탈렌술포나토(3-)[1-[[2-히드록시-5-[(γ-메톡시페닐)아조]페닐]아조]-2-나프토라토(2-)] 크롬산(2-) 이나트륨</v>
          </cell>
          <cell r="D1276" t="str">
            <v>97-1-469</v>
          </cell>
          <cell r="E1276" t="str">
            <v>및 이를 25% 이상 함유한 혼합물질</v>
          </cell>
          <cell r="F1276">
            <v>25</v>
          </cell>
          <cell r="G1276" t="str">
            <v>- 건조하고 통풍이 잘 되는 그늘 및 서늘한 곳에 밀폐 보관 할 것
- 식료품, 사료, 의약품, 음식과 혼합저장 금지할 것
- 필요에 따라 국소배기장치 가동할 것
- 저장용기는 물리적인 손상에 견딜 수 있어야 할 것
- 취급 또는 작업시는 통풍이 잘 되는 후드에서 행하고 고글형보안경, 보호의, 보호장갑, 앞치마, 양압자급식호흡용 보호구를 착용하여 단기적인 접촉 및 반복적이고 장기적인 노출을 피할 것
- 노출기준 이상에서는 호흡보호구를 착용할 것</v>
          </cell>
        </row>
        <row r="1277">
          <cell r="B1277" t="str">
            <v>2094-99-7</v>
          </cell>
          <cell r="C1277" t="str">
            <v>3-[(프롭-1-엔-2-일)페닐]프롭-2-일 이소시안산</v>
          </cell>
          <cell r="D1277" t="str">
            <v>97-1-470</v>
          </cell>
          <cell r="E1277" t="str">
            <v>및 이를 1% 이상 함유한 혼합물질</v>
          </cell>
          <cell r="F1277">
            <v>1</v>
          </cell>
          <cell r="G1277" t="str">
            <v>- 건조하고 통풍이 잘 되는 그늘 및 서늘한 곳에 보관할 것
- 식료품, 사료, 의약품, 음식과 혼합저장 금지할 것
- 필요에 따라 국소배기장치 가동할 것
- 취급 또는 작업시는 보호의, 보호장갑 등을 착용하여 단기적인 접촉 및 반복적이고 장기적인 노출을 피할 것</v>
          </cell>
        </row>
        <row r="1278">
          <cell r="B1278" t="str">
            <v>4759-48-2</v>
          </cell>
          <cell r="C1278" t="str">
            <v>13-cis-레틴산</v>
          </cell>
          <cell r="D1278" t="str">
            <v>97-1-471</v>
          </cell>
          <cell r="E1278" t="str">
            <v>및 이를0.1% 이상 함유한 혼합물질.</v>
          </cell>
          <cell r="F1278">
            <v>0.1</v>
          </cell>
          <cell r="G1278" t="str">
            <v>- 건조하고 통풍이 잘되는 그늘 및 서늘한 곳에 산화제 등과 격리하여 밀폐 보관할 것
- 식료품, 사료, 의약품, 음식과 혼합 저장 금지할 것
- 필요에 따라 국소배기장치 가동할 것
- 취급 또는 작업 시 양압자급식호흡 보호구를 착용하고 고글형 보안경, 내화학성 보호복, 고무(또는 네오프렌)재질의 장갑 및 고무장화 등을 착용하여 단기적인 접촉 및 반복적이고 장기적인 노출을 피할 것
- 취급 후 손을 철저하게 세척할 것
- 적절한 환기장치를 사용할 것
- 작업장 부근에 비상시를 대비하여 샤워시설 및 세안시설을 갖출 것
- 작업 시에는 콘택트렌즈 착용 금지할 것</v>
          </cell>
        </row>
        <row r="1279">
          <cell r="B1279" t="str">
            <v>131538-00-6</v>
          </cell>
          <cell r="C1279" t="str">
            <v>4-메르캅토메틸-3,6-디티아-1,8-옥탄디티올</v>
          </cell>
          <cell r="D1279" t="str">
            <v>97-1-472</v>
          </cell>
          <cell r="E1279" t="str">
            <v>및 이를 1% 이상 함유한 혼합물질.</v>
          </cell>
          <cell r="F1279">
            <v>1</v>
          </cell>
          <cell r="G1279" t="str">
            <v>- 건조하고 통풍이 잘되는 그늘 및 서늘한 곳에 보관할 것
- 식료품, 사료, 의약품, 음식과 혼합 저장 금지할 것
- 필요에 따라 국소배기장치 가동할 것
- 취급 또는 작업 시 보호복, 보호 장갑 등을 착용하여 단기적인 접촉 및 반복적이고 장기적인 노출을 피할 것
- 작업장 부근에 비상시를 대비하여 샤워시설 및 세안시설을 갖출 것
- 작업 시에는 콘택트렌즈 착용 금지할 것</v>
          </cell>
        </row>
        <row r="1280">
          <cell r="B1280" t="str">
            <v>79538-32-2</v>
          </cell>
          <cell r="C1280" t="str">
            <v>테플루트린</v>
          </cell>
          <cell r="D1280" t="str">
            <v>97-1-473</v>
          </cell>
          <cell r="E1280" t="str">
            <v>및 이를 1% 이상 함유한 혼합물질</v>
          </cell>
          <cell r="F1280">
            <v>1</v>
          </cell>
          <cell r="G1280" t="str">
            <v>- 건조하고 통풍이 잘되는 그늘 및 서늘한 곳에 보관할 것
- 식료품, 사료, 의약품, 음식과 혼합 저장 금지할 것
- 필요에 따라 국소배기장치 가동할 것
- 취급 또는 작업 시 보호복, 보호 장갑 등을 착용하여 단기적인 접촉 및 반복적이고 장기적인 노출을 피할 것
- 작업장 부근에 비상시를 대비하여 샤워시설 및 세안시설을 갖출 것
- 작업 시에는 콘택트렌즈 착용 금지할 것</v>
          </cell>
        </row>
        <row r="1281">
          <cell r="B1281" t="str">
            <v>27610-48-6</v>
          </cell>
          <cell r="C1281" t="str">
            <v>1,6-비스(2,3-에폭시프로폭시)나프탈렌</v>
          </cell>
          <cell r="D1281" t="str">
            <v>97-1-474</v>
          </cell>
          <cell r="E1281" t="str">
            <v>및 이를1% 이상 함유한 혼합물질.</v>
          </cell>
          <cell r="F1281">
            <v>1</v>
          </cell>
          <cell r="G1281" t="str">
            <v>- 통풍이 잘되는 그늘 및 서늘한 곳에 밀폐 보관할 것
- 저장용기는 물리적인 손상에 견딜 수 있어야 할 것
- 필요에 따라 국소배기장치 가동할 것
- 취급 시 피부 접촉을 피하고 보호복, 보안경, 보호 장갑을 착용할 것
- 취급 시 양압자급식호흡 보호구를 착용할 것
- 작업장 부근에 비상시를 대비하여 샤워시설 및 세안시설을 갖출 것
- 취급 시 콘택트렌즈를 착용 금지할 것</v>
          </cell>
        </row>
        <row r="1282">
          <cell r="B1282" t="str">
            <v>44-97-3</v>
          </cell>
          <cell r="C1282" t="str">
            <v xml:space="preserve">디클로로(페닐)포스핀 </v>
          </cell>
          <cell r="D1282" t="str">
            <v>97-1-475</v>
          </cell>
          <cell r="E1282" t="str">
            <v>및 이를 25% 이상 함유한 혼합물질.</v>
          </cell>
          <cell r="F1282">
            <v>25</v>
          </cell>
          <cell r="G1282" t="str">
            <v>- 통풍이 잘되는 그늘 및 서늘한 곳에 밀폐 보관할 것
- 저장용기는 물리적인 손상에 견딜 수 있어야 할 것
- 필요에 따라 국소배기장치 가동할 것
- 사용하지 않는 경우에는 용기를 밀폐할 것
- 취급 시 피부 접촉을 피하고 보호복, 보안경, 보호 장갑을 착용할 것
- 취급 시 양압자급식호흡 보호구를 착용할 것
- 취급 시 콘택트렌즈를 착용 금지할 것
- 작업장 부근에 비상시를 대비하여 샤워시설 및 세안시설을 갖출 것
- 적절한 환기장치를 사용할 것</v>
          </cell>
        </row>
        <row r="1283">
          <cell r="B1283" t="str">
            <v>20893-30-5</v>
          </cell>
          <cell r="C1283" t="str">
            <v>2-티에닐아세토니트릴</v>
          </cell>
          <cell r="D1283" t="str">
            <v>97-1-476</v>
          </cell>
          <cell r="E1283" t="str">
            <v>및 이를 25% 이상 함유한 혼합물질.</v>
          </cell>
          <cell r="F1283">
            <v>25</v>
          </cell>
          <cell r="G1283" t="str">
            <v>- 통풍이 잘되는 그늘 및 서늘한 곳에 밀폐 보관할 것
- 저장용기는 물리적인 손상에 견딜 수 있어야 할 것
- 필요에 따라 국소배기장치 가동할 것
- 취급 시 피부 접촉을 피하고 보호복, 보안경, 보호 장갑을 착용할 것
- 취급 시 양압자급식호흡보호구를 착용할 것
- 취급 시 콘택트렌즈를 착용 금지할 것
- 취급 후 손을 철저하게 세척할 것
- 작업장 부근에 비상시를 대비하여 샤워시설 및 세안시설을 갖출 것
- 적절한 환기장치를 사용할 것</v>
          </cell>
        </row>
        <row r="1284">
          <cell r="B1284" t="str">
            <v>3531-52-7</v>
          </cell>
          <cell r="C1284" t="str">
            <v>N-(2-아미노에틸)-1,3-프로판디아민</v>
          </cell>
          <cell r="D1284" t="str">
            <v>98-1-477</v>
          </cell>
          <cell r="E1284" t="str">
            <v>및 이를10% 이상 함유한 혼합물질.</v>
          </cell>
          <cell r="F1284">
            <v>10</v>
          </cell>
          <cell r="G1284" t="str">
            <v>- 서늘하고 건조한 장소에 저장할 것
- 확실하게 밀폐된 용기에 저장할 것
- 취급 후 손을 철저하게 세척할 것
- 통풍이 잘되는 장소에서만 사용할 것</v>
          </cell>
        </row>
        <row r="1285">
          <cell r="B1285" t="str">
            <v>752-30-3</v>
          </cell>
          <cell r="C1285" t="str">
            <v>아세톤 티오쎄미카르바존</v>
          </cell>
          <cell r="D1285" t="str">
            <v>98-1-478</v>
          </cell>
          <cell r="E1285" t="str">
            <v>및 이를 1% 이상 함유한 혼합물질.</v>
          </cell>
          <cell r="F1285">
            <v>1</v>
          </cell>
          <cell r="G1285" t="str">
            <v>- 현행법규 및 규정에 의하여 저장 및 취급할 것
- 국소배기 또는 공정밀폐 환기장치를 설치할 것
- 비산물 또는 유해한 액체로부터 보호되는 보안경을 겹쳐 사용할 수 있는 보안면을 착용할 것
- 작업장 가까운 곳에 분수식 눈 세척시설 및 비상세척설비(샤워식)를 설치할 것
- 적절한 내화학성 보호복과 보호 장갑을 착용할 것
- 사용빈도가 높거나 노출이 심한 경우에는 호흡보호구가 필요할 것</v>
          </cell>
        </row>
        <row r="1286">
          <cell r="B1286" t="str">
            <v>101-14-4</v>
          </cell>
          <cell r="C1286" t="str">
            <v>4,4-메틸렌비스(2-클로로아닐린)</v>
          </cell>
          <cell r="D1286" t="str">
            <v>98-1-479</v>
          </cell>
          <cell r="E1286" t="str">
            <v>및 이를 0.1% 이상 함유한 혼합물질.</v>
          </cell>
          <cell r="F1286">
            <v>0.1</v>
          </cell>
          <cell r="G1286" t="str">
            <v>- 서늘하고 건조하고 어두운 장소에서 밀폐된 용기나 실린더에 저장할 것
- 저장 및 취급되는 곳에 주의 표시를 해둘 것
- 혼합금지물질 및 점화원을 격리할 것
- 화학물질을 흄 후드 내에서만 취급해야 할 것
- 가급적 밀폐된 곳에서 지역 환기장치를 이용하여 작업하며 불가능할 경우 방독마스크를 착용할 것
- 취급 시 보호복을 입을 것
- 노출 및 작업 후 즉시 온몸을 깨끗이 세척할 것
- 저장 및 취급되는 곳에 주의 표시를 해둘 것</v>
          </cell>
        </row>
        <row r="1287">
          <cell r="B1287" t="str">
            <v>102-82-9</v>
          </cell>
          <cell r="C1287" t="str">
            <v>트리부틸아민</v>
          </cell>
          <cell r="D1287" t="str">
            <v>98-1-480</v>
          </cell>
          <cell r="E1287" t="str">
            <v>및 이를 25% 이상 함유한 혼합물질</v>
          </cell>
          <cell r="F1287">
            <v>25</v>
          </cell>
          <cell r="G1287" t="str">
            <v>- 물리적 손상을 피할 것
- 외부, 분리된 곳 또는 서늘하고 건조하고 통풍이 잘되는 장소에 저장할 것
- 실내 저장 시 표준화된 가연성액체 저장소나 캐비닛에 저장할 것
- 점화원, 산화성물질과 격리시킬 것
- 국소배기 또는 공정밀폐 환기장치를 설치할 것
- 물질이 폭발농도의 위험이 있는 경우에는 해당 환기장치는 방폭 설비를 할 것
- 비산물 또는 유해한 액체로부터 보호되는 보안경을 겹쳐 사용할 수 있는 보안면을 착용할 것
- 작업장 가까운 곳에 분수식 눈 세척시설 및 비상세척설비(샤워식)를 설치할 것
- 적절한 내화학성 보호복과 보호 장갑을 착용할 것
- 사용빈도가 높거나 노출이 심한 경우에는 호흡보호구가 필요할 것
- 피부 및 눈과의 접촉을 피할 것
- 빈 용기에는 잔류물이 있을 수 있어 위험할 수 있으므로, 가압, 절단, 용접, 납땜, 연마, 천공을 해서는 안 되며, 열, 스파크, 화염에 빈 용기를 노출시키지 말 것</v>
          </cell>
        </row>
        <row r="1288">
          <cell r="B1288" t="str">
            <v>96-09-3</v>
          </cell>
          <cell r="C1288" t="str">
            <v>(에폭시에틸)벤젠</v>
          </cell>
          <cell r="D1288" t="str">
            <v>98-1-481</v>
          </cell>
          <cell r="E1288" t="str">
            <v>및 이를 0.1% 이상 함유한 혼합물질.</v>
          </cell>
          <cell r="F1288">
            <v>0.1</v>
          </cell>
          <cell r="G1288" t="str">
            <v>- 열, 스파크, 화염, 발화원과 격리
- 확실하게 밀폐된 용기에 저장할 것
- 서늘하고 건조하고 통풍이 잘되는 장소에서 피해야 할 물질과 떨어진 곳에 저장할 것
- 취급 후 손을 철저하게 세척할 것할
- 통풍이 잘되는 장소에서만 사용할 것
- 빈 용기에는 잔류물이 있을 수 있어 위험할 수 있으므로 빈 용기에 가압, 절단, 용접, 납땜, 연마, 천공을 해서는 안될 것</v>
          </cell>
        </row>
        <row r="1289">
          <cell r="B1289" t="str">
            <v>1836-75-5</v>
          </cell>
          <cell r="C1289" t="str">
            <v>나이트로펜</v>
          </cell>
          <cell r="D1289" t="str">
            <v>98-1-482,06-4-1</v>
          </cell>
          <cell r="E1289" t="str">
            <v>및 이를 0.1% 이상 함유한 혼합물질</v>
          </cell>
          <cell r="F1289">
            <v>0.1</v>
          </cell>
          <cell r="G1289" t="str">
            <v>- 서늘하고 건조하고 어두운 장소에서 밀폐된 용기나 실린더에 저장할 것
- 혼합금지물질 및 점화원을 격리할 것
- 금속, 산화제, 가연성 물질로부터 멀리할 것
- 국소배기 또는 공정밀폐 환기장치를 설치할 것
- 비산물 또는 유해한 액체로부터 보호되는 보안경을 겹쳐 사용할 수 있는 보안면을 착용할 것
- 작업장 가까운 곳에 분수식 눈 세척시설 및 비상세척설비(샤워식)를 설치할 것
- 적절한 내화학성 보호복 및 장갑을 착용할 것
- 사용빈도가 높거나 노출이 심한 경우에는 호흡보호구가 필요할 것</v>
          </cell>
        </row>
        <row r="1290">
          <cell r="B1290" t="str">
            <v>869-24-9</v>
          </cell>
          <cell r="C1290" t="str">
            <v>염화 2-클로로에틸디에틸암모늄</v>
          </cell>
          <cell r="D1290" t="str">
            <v>98-1-483</v>
          </cell>
          <cell r="E1290" t="str">
            <v>및 이를 25% 이상 함유한 혼합물질.</v>
          </cell>
          <cell r="F1290">
            <v>25</v>
          </cell>
          <cell r="G1290" t="str">
            <v>- 확실하게 밀폐된 용기에 저장할 것
- 서늘하고 건조하고 통풍이 잘되는 장소에서 혼합금지물질과 떨어진 곳에 저장할 것
- 습기를 피해서 저장할 것
- 국소배기 또는 공정밀폐 환기장치를 설치할 것
- 비산물 또는 유해한 액체로부터 보호되는 보안경을 착용할 것
- 작업장 가까운 곳에 분수식 눈 세척시설 및 비상세척설비(샤워식)를 설치할 것
- 적절한 내화학성 보호복 및 장갑을 착용할 것
- 사용빈도가 높거나 노출이 심한 경우에는 호흡보호구가 필요할 것
- 취급금지물질(이를 0.1% 이상 함유한 혼합물질)</v>
          </cell>
        </row>
        <row r="1291">
          <cell r="B1291" t="str">
            <v>136426-54-5</v>
          </cell>
          <cell r="C1291" t="str">
            <v>플루퀸코나졸</v>
          </cell>
          <cell r="D1291" t="str">
            <v>98-1-484</v>
          </cell>
          <cell r="E1291" t="str">
            <v>및 이를 25% 이상 함유한 혼합물질.</v>
          </cell>
          <cell r="F1291">
            <v>25</v>
          </cell>
          <cell r="G1291" t="str">
            <v>- 취급 및 저장방법 내용 가할 것 안전취급요령(분진·흄·가스·미스트·증기·스프레이)의 흡입을 피할 것
- 취급 후에는 취급 부위를 철저히 세척할 것
- 옥외 또는 환기가 잘 되는 곳에서만 취급할 것
- 용기가 비워진 후에도 제품 찌꺼기가 남아 있을 수 있으므로 모든 MSDS/라벨 예방조치를 따를 것
- 취급/저장에 주의하여 사용할 것
- 개봉 전에 조심스럽게 마개를 열 것
- 장기간 또는 지속적인 피부접촉을 막을 것
- 공학적 관리 및 개인보호구를 참조하여 작업할 것
- 용기는 환기가 잘 되는 곳에 단단히 밀폐하여 저장할 것
- 빈 드럼통은 완전히 배수하고 적절히 막아 즉시 드럼 조절기에 되돌려 놓거나 적절히 배치할 것
- 음식과 음료수로부터 멀리할 것</v>
          </cell>
        </row>
        <row r="1292">
          <cell r="B1292" t="str">
            <v>96182-53-5</v>
          </cell>
          <cell r="C1292" t="str">
            <v>테부피림포스</v>
          </cell>
          <cell r="D1292" t="str">
            <v>98-1-485</v>
          </cell>
          <cell r="E1292" t="str">
            <v>및 이를 1% 이상 함유한 혼합물질.</v>
          </cell>
          <cell r="F1292">
            <v>1</v>
          </cell>
          <cell r="G1292" t="str">
            <v>- 분진·흄·가스·미스트·증기·스프레이의 흡입을 피할 것
- 눈, 피부, 의복에 묻지 않도록 할 것
- 취급 후에는 취급 부위를 철저히 세척할 것
- 옥외 또는 환기가 잘 되는 곳에서만 취급할 것
- 용기가 비워진 후에도 제품 찌꺼기가 남아 있을 수 있으므로 모든 MSDS/라벨 예방조치를 따를 것
- 취급/저장에 주의하여 사용할 것
- 개봉 전에 조심스럽게 마개를 열 것
- 공학적 관리 및 개인보호구를 참조하여 작업할 것
- 고온에 주의할 것
- 용기는 환기가 잘 되는 곳에 단단히 밀폐하여 저장할 것
- 빈 드럼통은 완전히 배수하고 적절히 막아 즉시 드럼 조절기에 되돌려 놓거나 적절히 배치할 것
- 음식과 음료수로부터 멀리할 것</v>
          </cell>
        </row>
        <row r="1293">
          <cell r="B1293" t="str">
            <v>173584-44-6</v>
          </cell>
          <cell r="C1293" t="str">
            <v>인독사캅</v>
          </cell>
          <cell r="D1293" t="str">
            <v>98-1-486</v>
          </cell>
          <cell r="E1293" t="str">
            <v>다만, 이를 함유한 혼합물질은 제외</v>
          </cell>
          <cell r="G1293" t="str">
            <v>- 취급 후에는 취급 부위를 철저히 세척할 것
- 용기가 비워진 후에도 제품 찌꺼기가 남아 있을 수 있으므로 모든 MSDS/라벨 예방조치를 따를 것
- 취급/저장에 주의하여 사용할 것
- 개봉 전에 조심스럽게 마개를 열 것
- 적절한 환기가 없으면 저장지역에 출입하지 말 것
- 공학적 관리 및 개인보호구를 참조하여 작업할 것
- 고온에 주의할 것
- 잠금장치가 있는 저장장소에 저장할 것
- 빈 드럼통은 완전히 배수하고 적절히 막아 즉시 드럼 조절기에 되돌려 놓거나 적절히 배치할 것
- 음식과 음료수로부터 멀리할 것</v>
          </cell>
        </row>
        <row r="1294">
          <cell r="B1294" t="str">
            <v>131807-57-3</v>
          </cell>
          <cell r="C1294" t="str">
            <v>팜옥사돈</v>
          </cell>
          <cell r="D1294" t="str">
            <v>98-1-487</v>
          </cell>
          <cell r="E1294" t="str">
            <v>다만, 이를 함유한 혼합물질은 제외</v>
          </cell>
          <cell r="G1294" t="str">
            <v>- 취급 후에는 취급 부위를 철저히 세척할 것
- 용기가 비워진 후에도 제품 찌꺼기가 남아 있을 수 있으므로 모든 MSDS/라벨 예방조치를 따를 것
- 취급/저장에 주의하여 사용할 것
- 개봉 전에 조심스럽게 마개를 열 것
- 적절한 환기가 없으면 저장지역에 출입하지 말 것
- 물질 취급시 모든 장비를 반드시 접지할 것
- 공학적 관리 및 개인보호구를 참조하여 작업할 것
- 저지대 밀폐공간에서 작업시 산소결핍의 우려가 있으므로 작업중, 공기중 산소농도 측정 및 환기를 할 것
- 잠금장치가 있는 저장장소에 저장할 것
- 빈 드럼통은 완전히 배수하고 적절히 막아 즉시 드럼 조절기에 되돌려 놓거나 적절히 배치할 것
- 음식과 음료수로부터 멀리할 것</v>
          </cell>
        </row>
        <row r="1295">
          <cell r="B1295" t="str">
            <v>7652-64-4</v>
          </cell>
          <cell r="C1295" t="str">
            <v>1,1'-(1,3-페닐렌디카르보닐)비스(메틸아지리딘)</v>
          </cell>
          <cell r="D1295" t="str">
            <v>98-1-488</v>
          </cell>
          <cell r="E1295" t="str">
            <v>및 이를 1% 이상 함유한 혼합물질.</v>
          </cell>
          <cell r="F1295">
            <v>1</v>
          </cell>
          <cell r="G1295" t="str">
            <v>- 취급 후에는 취급 부위를 철저히 세척할 것
- 이 제품을 사용할 때에는 먹거나, 마시거나 흡연하지 말 것
- 용기가 비워진 후에도 제품 찌꺼기가 남아 있을 수 있으므로 모든 MSDS/라벨 예방조치를 따를 것
- 공학적 관리 및 개인보호구를 참조하여 작업할 것
- 고온에 주의할 것
- 빈 드럼통은 완전히 배수하고 적절히 막아 즉시 드럼 조절기에 되돌려 놓거나 적절히 배치할 것
- 음식과 음료수로부터 멀리할 것</v>
          </cell>
        </row>
        <row r="1296">
          <cell r="B1296" t="str">
            <v>163520-33-1</v>
          </cell>
          <cell r="C1296" t="str">
            <v>에틸 5,5-디페닐-2-이소사졸린-3-카르복실레이트</v>
          </cell>
          <cell r="D1296" t="str">
            <v>98-1-489</v>
          </cell>
          <cell r="E1296" t="str">
            <v>다만, 이를 함유한 혼합물질은 제외</v>
          </cell>
        </row>
        <row r="1297">
          <cell r="B1297" t="str">
            <v>13952-84-6</v>
          </cell>
          <cell r="C1297" t="str">
            <v>1-메틸프로필아민</v>
          </cell>
          <cell r="D1297" t="str">
            <v>99-1-490</v>
          </cell>
          <cell r="E1297" t="str">
            <v>및 이를 10% 이상 함유한 혼합물질</v>
          </cell>
          <cell r="F1297">
            <v>10</v>
          </cell>
          <cell r="G1297" t="str">
            <v>- 금속, 산화제, 가연성 물질로부터 멀리할 것
- 사용하지 않는 경우에는 용기를 밀폐할 것
- 서늘하고 건조하고 통풍이 잘되는 장소에 저장할 것
- 국소배기장치 설치하고 폭발의 위험이 있는 경우 해당 환기장치는 방폭 설비를 할 것
- 비산물 또는 유해한 액체로부터 보호되는 보안경을 겹쳐 사용할 수 있는 보안면을 착용할 것
- 작업장 가까운 곳에 분수식 눈 세척시설 및 비상세척설비(샤워식)를 설치할 것
- 적절한 내화학성 보호복 및 장갑을 착용할 것
- 사용빈도가 높거나 노출이 심한 경우에는 호흡보호구가 필요할 것
- 취급 후 손을 철저하게 세척할 것
- 물질을 이동시킬 때 용기를 땅에 밀착하여 이동할 것
- 빈 용기에는 잔류물이 있을 수 있어 위험할 수 있으므로 가압, 절단, 용접, 납땜, 연마, 천공을 해서는 안 되며 열, 스파크, 화염에 빈 용기를 노출시키지 말 것</v>
          </cell>
        </row>
        <row r="1298">
          <cell r="B1298" t="str">
            <v>88-73-3</v>
          </cell>
          <cell r="C1298" t="str">
            <v>1-클로로-2-니트로벤젠</v>
          </cell>
          <cell r="D1298" t="str">
            <v>99-1-491</v>
          </cell>
          <cell r="E1298" t="str">
            <v>및 이를 25% 이상 함유한 혼합물질</v>
          </cell>
          <cell r="F1298">
            <v>25</v>
          </cell>
          <cell r="G1298" t="str">
            <v>- 건조한 그늘 및 서늘한 곳에 보관할 것
- 밀폐된 용기에 보관할 것
- 가연성 물질, 금속, 아민, 염기, 할로겐, 시안화물, 환원제, 산, 산화제, 과산화물로부터 멀리할 것
- 국소배기장치 설치하고 폭발의 위험이 있는 경우 해당 환기장치는 방폭설비를 할 것
- 비산물 또는 유해한 액체로부터 보호되는 보안경을 겹쳐 사용할 수 있는 보안면을 착용할 것
- 작업장 가까운 곳에 분수식 눈 세척시설 및 비상세척설비(샤워식)를 설치할 것
- 적절한 내화학성 보호복 및 장갑을 착용할 것
- 사용빈도가 높거나 노출이 심한 경우에는 호흡보호구가 필요할 것
- 취급 후 손을 철저하게 세척할 것</v>
          </cell>
        </row>
        <row r="1299">
          <cell r="B1299" t="str">
            <v>98-00-0</v>
          </cell>
          <cell r="C1299" t="str">
            <v>2-푸란메탄올</v>
          </cell>
          <cell r="D1299" t="str">
            <v>99-1-492</v>
          </cell>
          <cell r="E1299" t="str">
            <v>및 이를 25% 이상 함유한 혼합물질</v>
          </cell>
          <cell r="F1299">
            <v>25</v>
          </cell>
          <cell r="G1299" t="str">
            <v>- 서늘하고 건조한 장소에 보관할 것
- 밀폐된 용기에 보관할 것
- 불활성 조건 하에서 보관할 것 빛과의 접촉을 피할 것
- 산, 가연성 물질, 과산화물, 산화제, 금속염으로부터 멀리할 것
- 국소배기 또는 공정밀폐 환기장치를 설치할 것
- 물질이 폭발농도의 위험이 있는 경우에는 해당 환기장치는 방폭설비를 할 것
- 비산물 또는 유해한 액체로부터 보호되는 보안경을 겹쳐 사용할 수 있는 보안면을 착용할 것
- 작업장 가까운 곳에 분수식 눈 세척시설 및 비상세척설비(샤워식)를 설치할 것
- 적절한 내화학성 보호복 및 장갑, 호흡보호구를 착용할 것
- 취급 후 손을 철저하게 세척할 것
- 빈 용기에는 잔류물이 있을 수 있어 위험할 수 있으므로 가압, 절단, 용접, 납땜, 연마, 천공을 해서는 안 되며 열, 스파크, 화염에 빈 용기를 노출시키지 말 것</v>
          </cell>
        </row>
        <row r="1300">
          <cell r="B1300" t="str">
            <v>122-19-0</v>
          </cell>
          <cell r="C1300" t="str">
            <v>염화 벤질디메틸옥타데실암모늄</v>
          </cell>
          <cell r="D1300" t="str">
            <v>99-1-493</v>
          </cell>
          <cell r="E1300" t="str">
            <v>및 이를 25% 이상 함유한 혼합물질</v>
          </cell>
          <cell r="F1300">
            <v>25</v>
          </cell>
          <cell r="G1300" t="str">
            <v>- 통풍이 잘되는 곳에 보관할 것
- 빛을 피하고 산화성물질로부터 멀리할 것
- 식료품과 떨어진 곳에 보관할 것
- 국소배기장치 설치할 것 물질이 폭발농도의 위험이 있는 경우에는 해당 환기장치는 방폭 설비를 할 것
- 비산물 또는 유해한 액체로부터 보호되는 보안경을 착용할 것
- 작업장 가까운 곳에 분수식 눈 세척시설 및 비상세척설비(샤워식)를 설치할 것
- 적절한 내화학성 보호복 및 장갑을 착용할 것
- 사용빈도가 높거나 노출이 심한 경우에는 호흡보호구가 필요할 것</v>
          </cell>
        </row>
        <row r="1301">
          <cell r="B1301" t="str">
            <v>26-97-6</v>
          </cell>
          <cell r="C1301" t="str">
            <v>(2-히드록시에틸)암모늄메르캅토아세트산</v>
          </cell>
          <cell r="D1301" t="str">
            <v>99-1-494</v>
          </cell>
          <cell r="E1301" t="str">
            <v>및 이를 25% 이상 함유한 혼합물질.</v>
          </cell>
          <cell r="F1301">
            <v>25</v>
          </cell>
          <cell r="G1301" t="str">
            <v>- 취급 후 철저히 세척할 것
- 공학적 관리 및 개인보호구를 참조하여 작업할 것
- 고온에 주의할 것
- 물질 유출시 공기 중 산소 농도를 저하시켜서 밀폐된 장소에서 질식을 일으킬 수 있으므로 유출되지 않도록 주의할 것
- 공기 중 고농도 상태에서 산소 결핍을 일으켜 의식상실 혹은 사망을 일으킬 위험이 있으므로 해당 장소에 들어가기 전 산소 농도를 체크할 것
- 물질 유출시 액체가 빠르게 증발하면서 공기를 대체함에 따라 밀폐장소에서 있을 때 심각한 질식의 우려가 있으므로 유출되지 않도록 주의할 것
- 물질 유출시 공기중에서 이 가스의 유해 농도까지 매우 빨리 도달하므로 유출되지 않도록 주의할 것
- 뿌리면 공기 입자의 유해 농도까지 매우 빨리 도달할 수 있으므로 뿌리지 말 것
- 20℃에서 이 물질이 다소 천천히 증발하면서 유해 농도에 도달하므로 20℃ 이하로 유지할 것
- 20℃에서 증발은 거의 일어나지 않으나, 뿌리면 공기 입자의 유해 농도까지 매우 빨리 도달할 수 있으므로 뿌리지 마시오할 것
- 20℃에서 증발은 거의 일어나지 않으나, 뿌리거나 스프레이 하면 공기 입자의 유해 농도까지 매우 빨리 도달할 수 있으므로 뿌리거나 스프레이하지 말 것 (특히, 파우더의 경우)
- 20℃에서 증발은 거의 일어나지 않으나, 뿌리면 공기 입자의 유해 농도까지 매우 빨리 도달할 수 있으므로 뿌리지 말 것 (특히, 파우더의 경우)
- 해당 장소에 들어가기 전 산소 농도를 체크할 것
- 스프레이하거나 뿌리는 경우 더 빠르게 증발하므로 금할 것
- 밀폐하여 보관할 것
- 서늘하고 건조한 장소에 저장할 것</v>
          </cell>
        </row>
        <row r="1302">
          <cell r="B1302" t="str">
            <v>737-41-5</v>
          </cell>
          <cell r="C1302" t="str">
            <v>3,3,4,4-테트라클로로 테트라히드로티오펜 1,1-디옥시드</v>
          </cell>
          <cell r="D1302" t="str">
            <v>99-1-495</v>
          </cell>
          <cell r="E1302" t="str">
            <v>및 이를 25% 이상 함유한 혼합물질.</v>
          </cell>
          <cell r="F1302">
            <v>25</v>
          </cell>
          <cell r="G1302" t="str">
            <v>- 취급 후에는 취급 부위를 철저히 세척할 것
- 이 제품을 사용할 때에는 먹거나, 마시거나 흡연하지 말 것
- 용기가 비워진 후에도 제품 찌꺼기가 남아 있을 수 있으므로 모든 MSDS/라벨 예방조치를 따를 것
- 취급/저장에 주의하여 사용할 것
- 개봉 전에 조심스럽게 마개를 열것
- 장기간 또는 지속적인 피부접촉을 막을 것
- 적절한 환기가 없으면 저장지역에 출입하지 말 것
- 공학적 관리 및 개인보호구를 참조하여 작업할 것
- 잠금장치가 있는 저장장소에 저장할 것
- 빈 드럼통은 완전히 배수하고 적절히 막아 즉시 드럼 조절기에 되돌려 놓거나 적절히 배치할 것
- 음식과 음료수로부터 멀리할 것</v>
          </cell>
        </row>
        <row r="1303">
          <cell r="B1303" t="str">
            <v>66230-04-4</v>
          </cell>
          <cell r="C1303" t="str">
            <v>에스펜발러레이트</v>
          </cell>
          <cell r="D1303" t="str">
            <v>99-1-496</v>
          </cell>
          <cell r="E1303" t="str">
            <v>및 이를 25% 이상 함유한 혼합물질</v>
          </cell>
          <cell r="F1303">
            <v>25</v>
          </cell>
          <cell r="G1303" t="str">
            <v>- 피레트린(Pyrethrins)과 피페로닐부톡사이드(Piperonyl butoxide)는 완전히 밀폐된 용기에 40℃보다 낮은 온도, 되도록이면 15~30℃에 저장할 것
- 본 용기에 저장하고 용기에는 성분, 사용방법, 응급처치 방법이 적혀 있어야 할 것
- 식품, 동물사료, 의료품과 함께 또는 가까운 곳에 살충제를 저장 금지할 것
- 홍수가 일어날 수 있는 곳, 우물, 배수구, 지하수 또는 지표수로 누출 또는 누수가 발생할 수 있는 곳에는 살충제를 저장 금지할 것
- 모든 화학물질은 위험물로 간주할 것
- 직접적인 물리적 접촉을 피할 것
- 적절하고 인증된 안전 장비를 사용할 것
- 훈련되지 않은 사람은 이 화학물질 또는 그 용기를 취급 금지할 것
- 화학물질은 흄 후드 내에서만 취급해야 할 것</v>
          </cell>
        </row>
        <row r="1304">
          <cell r="B1304" t="str">
            <v>510-15-6</v>
          </cell>
          <cell r="C1304" t="str">
            <v>클로로벤질레이트</v>
          </cell>
          <cell r="D1304" t="str">
            <v>99-1-497,06-4-29</v>
          </cell>
          <cell r="E1304" t="str">
            <v>및 이를 1% 이상 함유한 혼합물질</v>
          </cell>
          <cell r="F1304">
            <v>1</v>
          </cell>
          <cell r="G1304" t="str">
            <v>- 물리적 손상으로부터 용기/실린더를 보호할 것
- 서늘하고 통풍이 잘되는 장소에 강산,  강염기 등 피해야할 물질 및 발화원과 멀리 떨어뜨려 완전히 밀봉된 용기 내에 저장할 것
- 발암성 물질은 물리화학적 성질에 따라 보관하고, 폭발 방지 냉장고나 냉동고의 한 구역에 물질명, 양, 받은 날짜 등을 적은 라벨을 붙여 저장할 것
- 훈련되지 않은 사람은 접근하지 않을 것
- 조제소와 저장소는 인접할 것
- 드럼이나 다른 저장 용기에서 공정 용기로 물질을 옮길 때 가능하면 자동 액체 펌프를 사용할 것
- 분진을 호흡 금지할 것
- 모든 화학물질은 위험물로 간주할 것
- 직접적인 물리적 접촉을 피할 것
- 적절하고 인증된 안전 장비를 사용할 것
- 취급 시 콘택트렌즈를 착용금지할 것
- 훈련되지 않은 사람은 이 화학물질 또는 그 용기를 취급 금지할 것
- 화학물질은 흄 후드내에서만 취급해야 할 것
- 취급금지물질(이를 1% 이상 함유한 혼합물질)</v>
          </cell>
        </row>
        <row r="1305">
          <cell r="B1305" t="str">
            <v>126-72-7</v>
          </cell>
          <cell r="C1305" t="str">
            <v>트리스(2,3-디브로모프로필)포스페이트</v>
          </cell>
          <cell r="D1305" t="str">
            <v>99-1-498,06-4-35</v>
          </cell>
          <cell r="E1305" t="str">
            <v>및 이를 0.1%이상 함유한 혼합물질</v>
          </cell>
          <cell r="F1305">
            <v>0.1</v>
          </cell>
          <cell r="G1305" t="str">
            <v>- 모든 할로알킬 인산염(haloalkyl phosphates)은  항상 밀봉된 금속용기에 저장할 것
- 조제소와 저장소는 인접할 것
- 발암성 물질은 물리화학적 성질에 따라 보관하고, 폭발 방지 냉장고나 냉동고의 한 구역에 물질명, 양, 받은 날짜 등을 적은 라벨을 붙여 저장할 것
- 적절한 보호복과 안면보호구를 착용할 것
- 모든 화학물질은 위험물로 간주할 것
- 직접적인 물리적 접촉을 피할 것
- 취급 시 콘택트렌즈를 착용금지할 것
- 훈련되지 않은 사람은 이 화학물질 또는 그 용기를 취급 금지할 것
- 화학물질은 흄 후드내에서만 취급해야 할 것
- 취급금지물질(이를 0.1% 이상 함유한 혼합물질)</v>
          </cell>
        </row>
        <row r="1306">
          <cell r="B1306" t="str">
            <v>52645-53-1</v>
          </cell>
          <cell r="C1306" t="str">
            <v>퍼메트린</v>
          </cell>
          <cell r="D1306" t="str">
            <v>99-1-499</v>
          </cell>
          <cell r="E1306" t="str">
            <v>다만, 이를 함유한 혼합물질은 제외</v>
          </cell>
          <cell r="G1306" t="str">
            <v>- 피레트린류(pyrethrins)는 완전히 밀폐된 용기에 40℃ 미만(가능한 15~30℃)에 저장할 것
- 환경에 배출을 피할 것
- 직접적인 물리적 접촉을 피할 것
- 적절하고 인증된 안전 장비를 사용할 것
- 훈련되지 않은 사람은 이 화학물질 또는 그 용기를 취급 금지할 것
- 화학물질은 흄 후드내에서만 취급할 것</v>
          </cell>
        </row>
        <row r="1307">
          <cell r="B1307" t="str">
            <v>99-99-0</v>
          </cell>
          <cell r="C1307" t="str">
            <v>4-니트로톨루엔</v>
          </cell>
          <cell r="D1307" t="str">
            <v>99-1-500</v>
          </cell>
          <cell r="E1307" t="str">
            <v>및 이를 25% 이상 함유한 혼합물질</v>
          </cell>
          <cell r="F1307">
            <v>25</v>
          </cell>
          <cell r="G1307" t="str">
            <v>- 확실하게 밀폐된 용기에 저장할 것
- 서늘하고 건조하고 통풍이 잘되는 장소에서 산류, 알칼리류, 산화제류, 환원제류와 떨어진 곳에 저장할 것
- 적절한 환기 장치를 사용하여 분진 발생과 분진 축적을 최소화 할 것
- 장기간, 반복적으로 피부에 접촉 금지할 것
- 취급 후 손을 철저하게 세척할 것
- 재사용 전에 옷을 세탁할 것
- 환경에 배출을 피할 것
- 사고대비물질(이를 25% 이상 함유한 혼합물질)</v>
          </cell>
        </row>
        <row r="1308">
          <cell r="B1308" t="str">
            <v>61-82-5</v>
          </cell>
          <cell r="C1308" t="str">
            <v>아미트롤</v>
          </cell>
          <cell r="D1308" t="str">
            <v>99-1-501</v>
          </cell>
          <cell r="E1308" t="str">
            <v>및 이를 0.1% 이상 함유한 혼합물질</v>
          </cell>
          <cell r="F1308">
            <v>0.1</v>
          </cell>
          <cell r="G1308" t="str">
            <v>- 확실하게 밀폐된 유리 용기에 빛을 피해 저장할 것
- 서늘하고 건조하고 통풍이 잘되는 장소에서 피해야 할 물질과 떨어진 곳에 저장할 것
- 실온에서 저장할 것
- 발암성 물질은 물리화학적 성질에 따라 보관하고 폭발 방지 냉장고나 냉동고의 한 구역에 물질명, 양, 받은 날짜 등을 적은 라벨을 붙여 저장할 것
- 조제소와 저장소는 인접할 것
- 먼지, 증기, 미스트나 가스를 섭취 또는 흡입 금지할 것
- 눈, 피부 및 옷과 접촉하지 않도록 할 것
- 취급 후 손을 철저하게 세척할 것
- 환경에 배출을 피할 것
- 통풍이 잘되는 장소에서만 사용하여 분진 발생과 분진 축적을 최소화 할 것
- 용기를 완전하게 밀폐시킬 것
- 빛을 피해서 저장할 것</v>
          </cell>
        </row>
        <row r="1309">
          <cell r="B1309" t="str">
            <v>59536-65-1</v>
          </cell>
          <cell r="C1309" t="str">
            <v>피비비</v>
          </cell>
          <cell r="D1309" t="str">
            <v>99-1-502,06-4-45</v>
          </cell>
          <cell r="E1309" t="str">
            <v>및 이를 0.1%이상 함유한 혼합물질</v>
          </cell>
          <cell r="F1309">
            <v>0.1</v>
          </cell>
          <cell r="G1309" t="str">
            <v>- 분진을 호흡 금지할 것
- 취급금지물질(이를 0.1% 이상 함유한 혼합물질)</v>
          </cell>
        </row>
        <row r="1310">
          <cell r="B1310" t="str">
            <v>79720-19-7</v>
          </cell>
          <cell r="C1310" t="str">
            <v>3-도데실-1-(2,2,6,6-테트라메틸-4-피페리디닐)-2,5-피롤리딘디온</v>
          </cell>
          <cell r="D1310" t="str">
            <v>99-1-503</v>
          </cell>
          <cell r="E1310" t="str">
            <v>및 이를 10% 이상 함유한 혼합물질.</v>
          </cell>
          <cell r="F1310">
            <v>10</v>
          </cell>
          <cell r="G1310" t="str">
            <v>- 적절한 보호복과 보호장갑 및 안면보호구를 착용할 것
- 눈과 접촉 시 즉시 다량의 물로 충분히 씻어내고 의사의 검진을 받을 것
- 환경에 배출을 피할 것</v>
          </cell>
        </row>
        <row r="1311">
          <cell r="B1311" t="str">
            <v>814-49-3</v>
          </cell>
          <cell r="C1311" t="str">
            <v>디에틸에스테르클로로인산</v>
          </cell>
          <cell r="D1311" t="str">
            <v>99-1-504</v>
          </cell>
          <cell r="E1311" t="str">
            <v>및 이를 1% 이상 함유한 혼합물질.</v>
          </cell>
          <cell r="F1311">
            <v>1</v>
          </cell>
          <cell r="G1311" t="str">
            <v>- 서늘하고 건조한 장소에 저장할 것
- 사용하지 않는 경우에는 용기를 밀폐시킬 것
- 눈, 피부 및 옷과 접촉하지 않도록 적절한 보호복과 보호 장갑 및 안면보호구를 착용할 것
- 취급 후 손을 철저하게 세척할 것
- 오염된 옷, 신발은 버리거나 재사용하기 전에 세척할 것
- 통풍이 잘되는 장소에서만 사용하고, 환기가 불량한 경우 적절한 호흡장비를 착용할 것
- 용기를 완전히 밀폐시킬 것
- 환경에 배출을 피할 것</v>
          </cell>
        </row>
        <row r="1312">
          <cell r="B1312" t="str">
            <v>559-40-0</v>
          </cell>
          <cell r="C1312" t="str">
            <v>퍼플루오로시클로펜텐</v>
          </cell>
          <cell r="D1312" t="str">
            <v>99-1-505</v>
          </cell>
          <cell r="E1312" t="str">
            <v>및 이를 20% 이상 함유한 혼합물질.</v>
          </cell>
          <cell r="F1312">
            <v>20</v>
          </cell>
          <cell r="G1312" t="str">
            <v>- 가스/증기를 호흡 금지할 것
- 취급 시 콘택트렌즈를 착용금지할 것</v>
          </cell>
        </row>
        <row r="1313">
          <cell r="B1313" t="str">
            <v>13530-68-2</v>
          </cell>
          <cell r="C1313" t="str">
            <v>중크롬산</v>
          </cell>
          <cell r="D1313" t="str">
            <v>99-1-506</v>
          </cell>
          <cell r="E1313" t="str">
            <v>및 중크롬산 염류를 0.1% 이상 함유한 혼합물질</v>
          </cell>
          <cell r="F1313">
            <v>0.1</v>
          </cell>
          <cell r="G1313" t="str">
            <v>- 서늘하고 건조하고 어두운 장소에서 밀폐된 용기나 실린더에 저장할 것
- 피해야 할 물질 및 점화원을 격리할 것
- 훈련되지 않은 사람은 접근하지 않을 것
- 구역을 안전하게 하고 라벨을 붙일 것
- 물리적 손상으로부터 용기/실린더를 보호할 것
- 노출을 피할 것(사용전 특별한 지침을 확보할 것)할 것
- 적절하고 인증된 안전 장비를 사용할 것
- 이 물질과 담은 용기는 반드시 유해폐기물로 처리할 것
- 훈련되지 않은 사람은 이 화학물질 또는 그 용기를 취급 금지할 것
- 모든 관련 화학물질은 위험물로 간주할 것
- 환경에 배출을 피할 것
- 재사용 전 옷을 세탁할 것
- 화학물질은 흄 후드내에서만 취급해야 할 것</v>
          </cell>
        </row>
        <row r="1314">
          <cell r="B1314" t="str">
            <v>10588-01-9</v>
          </cell>
          <cell r="C1314" t="str">
            <v>중크롬산나트륨</v>
          </cell>
          <cell r="D1314" t="str">
            <v>99-1-506</v>
          </cell>
          <cell r="E1314" t="str">
            <v>및 중크롬산 염류를 0.1% 이상 함유한 혼합물질</v>
          </cell>
          <cell r="F1314">
            <v>0.1</v>
          </cell>
          <cell r="G1314" t="str">
            <v>- 서늘하고 건조하고 어두운 장소에서 밀폐된 용기나 실린더에 저장할 것
- 피해야 할 물질 및 점화원을 격리할 것
- 훈련되지 않은 사람은 접근하지 않을 것
- 구역을 안전하게 하고 라벨을 붙일 것
- 물리적 손상으로부터 용기/실린더를 보호할 것
- 노출을 피할 것(사용전 특별한 지침을 확보할 것)할 것
- 적절하고 인증된 안전 장비를 사용할 것
- 이 물질과 담은 용기는 반드시 유해폐기물로 처리할 것
- 훈련되지 않은 사람은 이 화학물질 또는 그 용기를 취급 금지할 것
- 모든 관련 화학물질은 위험물로 간주할 것
- 환경에 배출을 피할 것
- 재사용 전 옷을 세탁할 것
- 화학물질은 흄 후드내에서만 취급해야 할 것</v>
          </cell>
        </row>
        <row r="1315">
          <cell r="B1315" t="str">
            <v>13446-73-6</v>
          </cell>
          <cell r="C1315" t="str">
            <v>중크롬산 또는 그 염류 및 중크롬산염류</v>
          </cell>
          <cell r="D1315" t="str">
            <v>99-1-506</v>
          </cell>
          <cell r="E1315" t="str">
            <v>및 중크롬산 염류를 0.1% 이상 함유한 혼합물질</v>
          </cell>
          <cell r="F1315">
            <v>0.1</v>
          </cell>
          <cell r="G1315" t="str">
            <v>- 서늘하고 건조하고 어두운 장소에서 밀폐된 용기나 실린더에 저장할 것
- 피해야 할 물질 및 점화원을 격리할 것
- 훈련되지 않은 사람은 접근하지 않을 것
- 구역을 안전하게 하고 라벨을 붙일 것
- 물리적 손상으로부터 용기/실린더를 보호할 것
- 노출을 피할 것(사용전 특별한 지침을 확보할 것)할 것
- 적절하고 인증된 안전 장비를 사용할 것
- 이 물질과 담은 용기는 반드시 유해폐기물로 처리할 것
- 훈련되지 않은 사람은 이 화학물질 또는 그 용기를 취급 금지할 것
- 모든 관련 화학물질은 위험물로 간주할 것
- 환경에 배출을 피할 것
- 재사용 전 옷을 세탁할 것
- 화학물질은 흄 후드내에서만 취급해야 할 것</v>
          </cell>
        </row>
        <row r="1316">
          <cell r="B1316" t="str">
            <v>13453-35-5</v>
          </cell>
          <cell r="C1316" t="str">
            <v>중크롬산 또는 그 염류 및 중크롬산염류</v>
          </cell>
          <cell r="D1316" t="str">
            <v>99-1-506</v>
          </cell>
          <cell r="E1316" t="str">
            <v>및 중크롬산 염류를 0.1% 이상 함유한 혼합물질</v>
          </cell>
          <cell r="F1316">
            <v>0.1</v>
          </cell>
          <cell r="G1316" t="str">
            <v>- 서늘하고 건조하고 어두운 장소에서 밀폐된 용기나 실린더에 저장할 것
- 피해야 할 물질 및 점화원을 격리할 것
- 훈련되지 않은 사람은 접근하지 않을 것
- 구역을 안전하게 하고 라벨을 붙일 것
- 물리적 손상으로부터 용기/실린더를 보호할 것
- 노출을 피할 것(사용전 특별한 지침을 확보할 것)할 것
- 적절하고 인증된 안전 장비를 사용할 것
- 이 물질과 담은 용기는 반드시 유해폐기물로 처리할 것
- 훈련되지 않은 사람은 이 화학물질 또는 그 용기를 취급 금지할 것
- 모든 관련 화학물질은 위험물로 간주할 것
- 환경에 배출을 피할 것
- 재사용 전 옷을 세탁할 것
- 화학물질은 흄 후드내에서만 취급해야 할 것</v>
          </cell>
        </row>
        <row r="1317">
          <cell r="B1317" t="str">
            <v>14018-95-2</v>
          </cell>
          <cell r="C1317" t="str">
            <v>중크롬산 또는 그 염류 및 중크롬산염류</v>
          </cell>
          <cell r="D1317" t="str">
            <v>99-1-506</v>
          </cell>
          <cell r="E1317" t="str">
            <v>및 중크롬산 염류를 0.1% 이상 함유한 혼합물질</v>
          </cell>
          <cell r="F1317">
            <v>0.1</v>
          </cell>
          <cell r="G1317" t="str">
            <v>- 서늘하고 건조하고 어두운 장소에서 밀폐된 용기나 실린더에 저장할 것
- 피해야 할 물질 및 점화원을 격리할 것
- 훈련되지 않은 사람은 접근하지 않을 것
- 구역을 안전하게 하고 라벨을 붙일 것
- 물리적 손상으로부터 용기/실린더를 보호할 것
- 노출을 피할 것(사용전 특별한 지침을 확보할 것)할 것
- 적절하고 인증된 안전 장비를 사용할 것
- 이 물질과 담은 용기는 반드시 유해폐기물로 처리할 것
- 훈련되지 않은 사람은 이 화학물질 또는 그 용기를 취급 금지할 것
- 모든 관련 화학물질은 위험물로 간주할 것
- 환경에 배출을 피할 것
- 재사용 전 옷을 세탁할 것
- 화학물질은 흄 후드내에서만 취급해야 할 것</v>
          </cell>
        </row>
        <row r="1318">
          <cell r="B1318" t="str">
            <v>14307-33-6</v>
          </cell>
          <cell r="C1318" t="str">
            <v>칼슘디크롬산</v>
          </cell>
          <cell r="D1318" t="str">
            <v>99-1-506</v>
          </cell>
          <cell r="E1318" t="str">
            <v>및 중크롬산 염류를 0.1% 이상 함유한 혼합물질</v>
          </cell>
          <cell r="F1318">
            <v>0.1</v>
          </cell>
          <cell r="G1318" t="str">
            <v>- 서늘하고 건조하고 어두운 장소에서 밀폐된 용기나 실린더에 저장할 것
- 피해야 할 물질 및 점화원을 격리할 것
- 훈련되지 않은 사람은 접근하지 않을 것
- 구역을 안전하게 하고 라벨을 붙일 것
- 물리적 손상으로부터 용기/실린더를 보호할 것
- 노출을 피할 것(사용전 특별한 지침을 확보할 것)할 것
- 적절하고 인증된 안전 장비를 사용할 것
- 이 물질과 담은 용기는 반드시 유해폐기물로 처리할 것
- 훈련되지 않은 사람은 이 화학물질 또는 그 용기를 취급 금지할 것
- 모든 관련 화학물질은 위험물로 간주할 것
- 환경에 배출을 피할 것
- 재사용 전 옷을 세탁할 것
- 화학물질은 흄 후드내에서만 취급해야 할 것</v>
          </cell>
        </row>
        <row r="1319">
          <cell r="B1319" t="str">
            <v>15586-38-6</v>
          </cell>
          <cell r="C1319" t="str">
            <v>니켈디크로메이트</v>
          </cell>
          <cell r="D1319" t="str">
            <v>99-1-506</v>
          </cell>
          <cell r="E1319" t="str">
            <v>및 중크롬산 염류를 0.1% 이상 함유한 혼합물질</v>
          </cell>
          <cell r="F1319">
            <v>0.1</v>
          </cell>
          <cell r="G1319" t="str">
            <v>- 서늘하고 건조하고 어두운 장소에서 밀폐된 용기나 실린더에 저장할 것
- 피해야 할 물질 및 점화원을 격리할 것
- 훈련되지 않은 사람은 접근하지 않을 것
- 구역을 안전하게 하고 라벨을 붙일 것
- 물리적 손상으로부터 용기/실린더를 보호할 것
- 노출을 피할 것(사용전 특별한 지침을 확보할 것)할 것
- 적절하고 인증된 안전 장비를 사용할 것
- 이 물질과 담은 용기는 반드시 유해폐기물로 처리할 것
- 훈련되지 않은 사람은 이 화학물질 또는 그 용기를 취급 금지할 것
- 모든 관련 화학물질은 위험물로 간주할 것
- 환경에 배출을 피할 것
- 재사용 전 옷을 세탁할 것
- 화학물질은 흄 후드내에서만 취급해야 할 것</v>
          </cell>
        </row>
        <row r="1320">
          <cell r="B1320" t="str">
            <v>20039-37-6</v>
          </cell>
          <cell r="C1320" t="str">
            <v>중크롬산염류</v>
          </cell>
          <cell r="D1320" t="str">
            <v>99-1-506</v>
          </cell>
          <cell r="E1320" t="str">
            <v>및 중크롬산 염류를 0.1% 이상 함유한 혼합물질</v>
          </cell>
          <cell r="F1320">
            <v>0.1</v>
          </cell>
          <cell r="G1320" t="str">
            <v>- 서늘하고 건조하고 어두운 장소에서 밀폐된 용기나 실린더에 저장할 것
- 피해야 할 물질 및 점화원을 격리할 것
- 훈련되지 않은 사람은 접근하지 않을 것
- 구역을 안전하게 하고 라벨을 붙일 것
- 물리적 손상으로부터 용기/실린더를 보호할 것
- 노출을 피할 것(사용전 특별한 지침을 확보할 것)할 것
- 적절하고 인증된 안전 장비를 사용할 것
- 이 물질과 담은 용기는 반드시 유해폐기물로 처리할 것
- 훈련되지 않은 사람은 이 화학물질 또는 그 용기를 취급 금지할 것
- 모든 관련 화학물질은 위험물로 간주할 것
- 환경에 배출을 피할 것
- 재사용 전 옷을 세탁할 것
- 화학물질은 흄 후드내에서만 취급해야 할 것</v>
          </cell>
        </row>
        <row r="1321">
          <cell r="B1321" t="str">
            <v>34493-01-1</v>
          </cell>
          <cell r="C1321" t="str">
            <v>중크롬산염류</v>
          </cell>
          <cell r="D1321" t="str">
            <v>99-1-506</v>
          </cell>
          <cell r="E1321" t="str">
            <v>및 중크롬산 염류를 0.1% 이상 함유한 혼합물질</v>
          </cell>
          <cell r="F1321">
            <v>0.1</v>
          </cell>
          <cell r="G1321" t="str">
            <v>- 서늘하고 건조하고 어두운 장소에서 밀폐된 용기나 실린더에 저장할 것
- 피해야 할 물질 및 점화원을 격리할 것
- 훈련되지 않은 사람은 접근하지 않을 것
- 구역을 안전하게 하고 라벨을 붙일 것
- 물리적 손상으로부터 용기/실린더를 보호할 것
- 노출을 피할 것(사용전 특별한 지침을 확보할 것)할 것
- 적절하고 인증된 안전 장비를 사용할 것
- 이 물질과 담은 용기는 반드시 유해폐기물로 처리할 것
- 훈련되지 않은 사람은 이 화학물질 또는 그 용기를 취급 금지할 것
- 모든 관련 화학물질은 위험물로 간주할 것
- 환경에 배출을 피할 것
- 재사용 전 옷을 세탁할 것
- 화학물질은 흄 후드내에서만 취급해야 할 것</v>
          </cell>
        </row>
        <row r="1322">
          <cell r="B1322" t="str">
            <v>7778-50-9</v>
          </cell>
          <cell r="C1322" t="str">
            <v>중크롬산칼륨</v>
          </cell>
          <cell r="D1322" t="str">
            <v>99-1-506</v>
          </cell>
          <cell r="E1322" t="str">
            <v>및 중크롬산 염류를 0.1% 이상 함유한 혼합물질</v>
          </cell>
          <cell r="F1322">
            <v>0.1</v>
          </cell>
          <cell r="G1322" t="str">
            <v>- 서늘하고 건조하고 어두운 장소에서 밀폐된 용기나 실린더에 저장할 것
- 피해야 할 물질 및 점화원을 격리할 것
- 훈련되지 않은 사람은 접근하지 않을 것
- 구역을 안전하게 하고 라벨을 붙일 것
- 물리적 손상으로부터 용기/실린더를 보호할 것
- 노출을 피할 것(사용전 특별한 지침을 확보할 것)할 것
- 적절하고 인증된 안전 장비를 사용할 것
- 이 물질과 담은 용기는 반드시 유해폐기물로 처리할 것
- 훈련되지 않은 사람은 이 화학물질 또는 그 용기를 취급 금지할 것
- 모든 관련 화학물질은 위험물로 간주할 것
- 환경에 배출을 피할 것
- 재사용 전 옷을 세탁할 것
- 화학물질은 흄 후드내에서만 취급해야 할 것</v>
          </cell>
        </row>
        <row r="1323">
          <cell r="B1323" t="str">
            <v>7784-02-3</v>
          </cell>
          <cell r="C1323" t="str">
            <v>중크롬산 또는 그 염류 및 중크롬산염류</v>
          </cell>
          <cell r="D1323" t="str">
            <v>99-1-506</v>
          </cell>
          <cell r="E1323" t="str">
            <v>및 중크롬산 염류를 0.1% 이상 함유한 혼합물질</v>
          </cell>
          <cell r="F1323">
            <v>0.1</v>
          </cell>
          <cell r="G1323" t="str">
            <v>- 서늘하고 건조하고 어두운 장소에서 밀폐된 용기나 실린더에 저장할 것
- 피해야 할 물질 및 점화원을 격리할 것
- 훈련되지 않은 사람은 접근하지 않을 것
- 구역을 안전하게 하고 라벨을 붙일 것
- 물리적 손상으로부터 용기/실린더를 보호할 것
- 노출을 피할 것(사용전 특별한 지침을 확보할 것)할 것
- 적절하고 인증된 안전 장비를 사용할 것
- 이 물질과 담은 용기는 반드시 유해폐기물로 처리할 것
- 훈련되지 않은 사람은 이 화학물질 또는 그 용기를 취급 금지할 것
- 모든 관련 화학물질은 위험물로 간주할 것
- 환경에 배출을 피할 것
- 재사용 전 옷을 세탁할 것
- 화학물질은 흄 후드내에서만 취급해야 할 것</v>
          </cell>
        </row>
        <row r="1324">
          <cell r="B1324" t="str">
            <v>7789-09-5</v>
          </cell>
          <cell r="C1324" t="str">
            <v>중크롬산암모늄</v>
          </cell>
          <cell r="D1324" t="str">
            <v>99-1-506</v>
          </cell>
          <cell r="E1324" t="str">
            <v>및 중크롬산 염류를 0.1% 이상 함유한 혼합물질</v>
          </cell>
          <cell r="F1324">
            <v>0.1</v>
          </cell>
          <cell r="G1324" t="str">
            <v>- 서늘하고 건조하고 어두운 장소에서 밀폐된 용기나 실린더에 저장할 것
- 피해야 할 물질 및 점화원을 격리할 것
- 훈련되지 않은 사람은 접근하지 않을 것
- 구역을 안전하게 하고 라벨을 붙일 것
- 물리적 손상으로부터 용기/실린더를 보호할 것
- 노출을 피할 것(사용전 특별한 지침을 확보할 것)할 것
- 적절하고 인증된 안전 장비를 사용할 것
- 이 물질과 담은 용기는 반드시 유해폐기물로 처리할 것
- 훈련되지 않은 사람은 이 화학물질 또는 그 용기를 취급 금지할 것
- 모든 관련 화학물질은 위험물로 간주할 것
- 환경에 배출을 피할 것
- 재사용 전 옷을 세탁할 것
- 화학물질은 흄 후드내에서만 취급해야 할 것</v>
          </cell>
        </row>
        <row r="1325">
          <cell r="B1325" t="str">
            <v>7789-10-8</v>
          </cell>
          <cell r="C1325" t="str">
            <v>중크롬산염류</v>
          </cell>
          <cell r="D1325" t="str">
            <v>99-1-506</v>
          </cell>
          <cell r="E1325" t="str">
            <v>및 중크롬산 염류를 0.1% 이상 함유한 혼합물질</v>
          </cell>
          <cell r="F1325">
            <v>0.1</v>
          </cell>
          <cell r="G1325" t="str">
            <v>- 서늘하고 건조하고 어두운 장소에서 밀폐된 용기나 실린더에 저장할 것
- 피해야 할 물질 및 점화원을 격리할 것
- 훈련되지 않은 사람은 접근하지 않을 것
- 구역을 안전하게 하고 라벨을 붙일 것
- 물리적 손상으로부터 용기/실린더를 보호할 것
- 노출을 피할 것(사용전 특별한 지침을 확보할 것)할 것
- 적절하고 인증된 안전 장비를 사용할 것
- 이 물질과 담은 용기는 반드시 유해폐기물로 처리할 것
- 훈련되지 않은 사람은 이 화학물질 또는 그 용기를 취급 금지할 것
- 모든 관련 화학물질은 위험물로 간주할 것
- 환경에 배출을 피할 것
- 재사용 전 옷을 세탁할 것
- 화학물질은 흄 후드내에서만 취급해야 할 것</v>
          </cell>
        </row>
        <row r="1326">
          <cell r="B1326" t="str">
            <v>7789-12-0</v>
          </cell>
          <cell r="C1326" t="str">
            <v>디크롬산나트륨수화물</v>
          </cell>
          <cell r="D1326" t="str">
            <v>99-1-506</v>
          </cell>
          <cell r="E1326" t="str">
            <v>및 중크롬산 염류를 0.1% 이상 함유한 혼합물질</v>
          </cell>
          <cell r="F1326">
            <v>0.1</v>
          </cell>
          <cell r="G1326" t="str">
            <v>- 서늘하고 건조하고 어두운 장소에서 밀폐된 용기나 실린더에 저장할 것
- 피해야 할 물질 및 점화원을 격리할 것
- 훈련되지 않은 사람은 접근하지 않을 것
- 구역을 안전하게 하고 라벨을 붙일 것
- 물리적 손상으로부터 용기/실린더를 보호할 것
- 노출을 피할 것(사용전 특별한 지침을 확보할 것)할 것
- 적절하고 인증된 안전 장비를 사용할 것
- 이 물질과 담은 용기는 반드시 유해폐기물로 처리할 것
- 훈련되지 않은 사람은 이 화학물질 또는 그 용기를 취급 금지할 것
- 모든 관련 화학물질은 위험물로 간주할 것
- 환경에 배출을 피할 것
- 재사용 전 옷을 세탁할 것
- 화학물질은 흄 후드내에서만 취급해야 할 것</v>
          </cell>
        </row>
        <row r="1327">
          <cell r="B1327" t="str">
            <v>131013-81-5</v>
          </cell>
          <cell r="C1327" t="str">
            <v>트리테트라메틸암모늄 4,5-디히드로-5-옥소-1-(4-술포페닐)-4-</v>
          </cell>
          <cell r="D1327" t="str">
            <v>2000-1-507</v>
          </cell>
          <cell r="E1327" t="str">
            <v>및 이를 25% 이상 함유한 혼합물질.</v>
          </cell>
          <cell r="F1327">
            <v>25</v>
          </cell>
          <cell r="G1327" t="str">
            <v>- 적절한 보호복과 보호 장갑을 착용할 것</v>
          </cell>
        </row>
        <row r="1328">
          <cell r="B1328" t="str">
            <v>107-12-0</v>
          </cell>
          <cell r="C1328" t="str">
            <v>프로피오노니트릴</v>
          </cell>
          <cell r="D1328" t="str">
            <v>2000-1-508</v>
          </cell>
          <cell r="E1328" t="str">
            <v>및 이를 25% 이상 함유한 혼합물질.</v>
          </cell>
          <cell r="F1328">
            <v>25</v>
          </cell>
          <cell r="G1328" t="str">
            <v>- 열, 스파크, 화염 등 점화원과 격리할 것
- 확실하게 밀폐된 용기에 저장할 것
- 서늘하고 건조하고 통풍이 잘되는 장소에 저장할 것
- 피부, 눈과 접촉하지 않도록 하고 취급 후에는 손을 철저하게 세척할 것
- 열, 스파크, 화염 등 점화원으로부터 멀리 둘 것(금연)
- 스파크를 막는 기계와 폭발을 막는 장치를 사용할 것
- 물질을 이동시킬 때 용기를 땅에 밀착하여 이동할 것
- 빈 용기에 가압, 절단, 용접, 납땜, 연마, 천공을 해서는 안 됨(잔류물 때문에 위험)할 것
- 용기를 완전히 밀폐시킬 것
- 적절한 환기장치를 사용할 것</v>
          </cell>
        </row>
        <row r="1329">
          <cell r="B1329" t="str">
            <v>112-02-7</v>
          </cell>
          <cell r="C1329" t="str">
            <v>N-헥사데실트리메틸암모늄 염화물</v>
          </cell>
          <cell r="D1329" t="str">
            <v>2000-1-509</v>
          </cell>
          <cell r="E1329" t="str">
            <v>및 이를 25% 이상 함유한 혼합물질.</v>
          </cell>
          <cell r="F1329">
            <v>25</v>
          </cell>
          <cell r="G1329" t="str">
            <v>- 확실하게 밀폐된 용기에 질소가스를 충전하여 저장할 것
- 서늘하고 건조하고 통풍이 잘되는 장소에서 혼합금지 물질과
떨어진 곳에 저장할 것
- 습기를 피해서 저장할 것
- 눈, 피부 및 옷과 접촉하지 않도록 할 것
- 적절한 보호복과 보호 장갑을 착용할 것
- 환경에 배출을 피할 것
- 적절한 환기장치를 사용할 것
- 화학물질 흄 후드 내에서만 취급할 것</v>
          </cell>
        </row>
        <row r="1330">
          <cell r="B1330" t="str">
            <v>505-86-2</v>
          </cell>
          <cell r="C1330" t="str">
            <v>수산화 세트리모늄</v>
          </cell>
          <cell r="D1330" t="str">
            <v>2000-1-509</v>
          </cell>
          <cell r="E1330" t="str">
            <v>및 이를 25% 이상 함유한 혼합물질.</v>
          </cell>
          <cell r="F1330">
            <v>25</v>
          </cell>
          <cell r="G1330" t="str">
            <v>- 확실하게 밀폐된 용기에 질소가스를 충전하여 저장할 것
- 서늘하고 건조하고 통풍이 잘되는 장소에서 혼합금지 물질과
떨어진 곳에 저장할 것
- 습기를 피해서 저장할 것
- 눈, 피부 및 옷과 접촉하지 않도록 할 것
- 적절한 보호복과 보호 장갑을 착용할 것
- 환경에 배출을 피할 것
- 적절한 환기장치를 사용할 것
- 화학물질 흄 후드 내에서만 취급할 것</v>
          </cell>
        </row>
        <row r="1331">
          <cell r="B1331" t="str">
            <v>57-09-0</v>
          </cell>
          <cell r="C1331" t="str">
            <v>세트리모늄 염류</v>
          </cell>
          <cell r="D1331" t="str">
            <v>2000-1-509</v>
          </cell>
          <cell r="E1331" t="str">
            <v>및 이를 25% 이상 함유한 혼합물질.</v>
          </cell>
          <cell r="F1331">
            <v>25</v>
          </cell>
          <cell r="G1331" t="str">
            <v>- 확실하게 밀폐된 용기에 질소가스를 충전하여 저장할 것
- 서늘하고 건조하고 통풍이 잘되는 장소에서 혼합금지 물질과
떨어진 곳에 저장할 것
- 습기를 피해서 저장할 것
- 눈, 피부 및 옷과 접촉하지 않도록 할 것
- 적절한 보호복과 보호 장갑을 착용할 것
- 환경에 배출을 피할 것
- 적절한 환기장치를 사용할 것
- 화학물질 흄 후드 내에서만 취급할 것</v>
          </cell>
        </row>
        <row r="1332">
          <cell r="B1332" t="str">
            <v>124-23-2</v>
          </cell>
          <cell r="C1332" t="str">
            <v>세트리모늄 염류</v>
          </cell>
          <cell r="D1332" t="str">
            <v>2000-1-509</v>
          </cell>
          <cell r="E1332" t="str">
            <v>및 이를 25% 이상 함유한 혼합물질.</v>
          </cell>
          <cell r="F1332">
            <v>25</v>
          </cell>
          <cell r="G1332" t="str">
            <v>- 확실하게 밀폐된 용기에 질소가스를 충전하여 저장할 것
- 서늘하고 건조하고 통풍이 잘되는 장소에서 혼합금지 물질과
떨어진 곳에 저장할 것
- 습기를 피해서 저장할 것
- 눈, 피부 및 옷과 접촉하지 않도록 할 것
- 적절한 보호복과 보호 장갑을 착용할 것
- 환경에 배출을 피할 것
- 적절한 환기장치를 사용할 것
- 화학물질 흄 후드 내에서만 취급할 것</v>
          </cell>
        </row>
        <row r="1333">
          <cell r="B1333" t="str">
            <v>69711-44-0</v>
          </cell>
          <cell r="C1333" t="str">
            <v>1,4-디클로로-3-부텐-2-온</v>
          </cell>
          <cell r="D1333" t="str">
            <v>2000-1-510</v>
          </cell>
          <cell r="E1333" t="str">
            <v>및 이를 1% 이상 함유한 혼합물질.</v>
          </cell>
          <cell r="F1333">
            <v>1</v>
          </cell>
          <cell r="G1333" t="str">
            <v>- 노출을 피할 것(사용 전 특별한 지침을 확보할 것)할 것
- 적절한 보호복과 보호 장갑 및 안면보호구를 착용할 것</v>
          </cell>
        </row>
        <row r="1334">
          <cell r="B1334" t="str">
            <v>3380-30-1</v>
          </cell>
          <cell r="C1334" t="str">
            <v>2-히드록시-4,4‘-디클로로디페닐에테르</v>
          </cell>
          <cell r="D1334" t="str">
            <v>2000-1-511</v>
          </cell>
          <cell r="E1334" t="str">
            <v>및 이를 25% 이상 함유한 혼합물질.</v>
          </cell>
          <cell r="F1334">
            <v>25</v>
          </cell>
          <cell r="G1334" t="str">
            <v>- 눈과의 접촉을 피할 것
- 환경에 배출을 피할 것</v>
          </cell>
        </row>
        <row r="1335">
          <cell r="B1335" t="str">
            <v>153965-50-5</v>
          </cell>
          <cell r="C1335" t="str">
            <v>N,N-디메틸-N-2-프로페닐-2-프로펜-1-염화아미늄과 테트라페닐보레이트(1-)나트륨의 반응생성물</v>
          </cell>
          <cell r="D1335" t="str">
            <v>2000-1-512</v>
          </cell>
          <cell r="E1335" t="str">
            <v>및 이를 25% 이상 함유한 혼합물질.</v>
          </cell>
          <cell r="F1335">
            <v>25</v>
          </cell>
          <cell r="G1335" t="str">
            <v>- 환경에 배출을 피할 것</v>
          </cell>
        </row>
        <row r="1336">
          <cell r="B1336" t="str">
            <v>137398-54-0</v>
          </cell>
          <cell r="C1336" t="str">
            <v>디이소프로필 잔토젠폴리술파이드</v>
          </cell>
          <cell r="D1336" t="str">
            <v>2000-1-513</v>
          </cell>
          <cell r="E1336" t="str">
            <v>및 이를 25% 이상 함유한 혼합물질.</v>
          </cell>
          <cell r="F1336">
            <v>25</v>
          </cell>
          <cell r="G1336" t="str">
            <v>- 적절한 보호복과 보호 장갑을 착용할 것
- 환경에 배출을 피할 것</v>
          </cell>
        </row>
        <row r="1337">
          <cell r="B1337" t="str">
            <v>128275-31-0</v>
          </cell>
          <cell r="C1337" t="str">
            <v>1,3-디히드로-1,3-디옥소-2H-이소인돌-2-헥산퍼옥소산</v>
          </cell>
          <cell r="D1337" t="str">
            <v>2000-1-514</v>
          </cell>
          <cell r="E1337" t="str">
            <v>및 이를 25% 이상 함유한 혼합물질.</v>
          </cell>
          <cell r="F1337">
            <v>25</v>
          </cell>
          <cell r="G1337" t="str">
            <v>- 서늘한 장소에 용기를 밀봉하여 보관할 것
- 가연성 물질로부터 멀리 둘 것
- 환경에 배출을 피할 것</v>
          </cell>
        </row>
        <row r="1338">
          <cell r="B1338" t="str">
            <v>104-40-5</v>
          </cell>
          <cell r="C1338" t="str">
            <v>노닐페놀</v>
          </cell>
          <cell r="D1338" t="str">
            <v>2001-1-515,06-5-6</v>
          </cell>
          <cell r="E1338" t="str">
            <v>및 이를 0.1%이상 함유한 혼합물질</v>
          </cell>
          <cell r="F1338">
            <v>0.1</v>
          </cell>
          <cell r="G1338" t="str">
            <v>- 서늘하고 건조하고 어두운 장소에서 밀폐된 용기나 실린더에 저장할 것
- 혼합 금지 물질 및 점화원을 격리할 것
- 구역을 안전하게 하고 라벨을 붙일 것
- 물리적 손상으로부터 용기/실린더를 보호할 것
- 모든 화학물질은 위험물로 간주할 것
- 화학물질은 흄 후드내에서만 취급해야 할 것
- 직접적인 물리적 접촉을 피할 것
- 환경에 배출을 피할 것
- 옷, 신발은 재사용 전에 세탁하거나 버릴 것
- 적절하고 인증된 안전 장비를 사용할 것
- 훈련되지 않은 사람은 이 화학물질 또는 담은 용기를 취급 금지할 것
- 취급제한물질(이를 0.1% 이상 함유한 혼합물질)</v>
          </cell>
        </row>
        <row r="1339">
          <cell r="B1339" t="str">
            <v>136-83-4</v>
          </cell>
          <cell r="C1339" t="str">
            <v>노닐페놀</v>
          </cell>
          <cell r="D1339" t="str">
            <v>2001-1-515,06-5-6</v>
          </cell>
          <cell r="E1339" t="str">
            <v>및 이를 0.1%이상 함유한 혼합물질</v>
          </cell>
          <cell r="F1339">
            <v>0.1</v>
          </cell>
          <cell r="G1339" t="str">
            <v>- 서늘하고 건조하고 어두운 장소에서 밀폐된 용기나 실린더에 저장할 것
- 혼합 금지 물질 및 점화원을 격리할 것
- 구역을 안전하게 하고 라벨을 붙일 것
- 물리적 손상으로부터 용기/실린더를 보호할 것
- 모든 화학물질은 위험물로 간주할 것
- 화학물질은 흄 후드내에서만 취급해야 할 것
- 직접적인 물리적 접촉을 피할 것
- 환경에 배출을 피할 것
- 옷, 신발은 재사용 전에 세탁하거나 버릴 것
- 적절하고 인증된 안전 장비를 사용할 것
- 훈련되지 않은 사람은 이 화학물질 또는 담은 용기를 취급 금지할 것
- 취급제한물질(이를 0.1% 이상 함유한 혼합물질)</v>
          </cell>
        </row>
        <row r="1340">
          <cell r="B1340" t="str">
            <v>139-84-4</v>
          </cell>
          <cell r="C1340" t="str">
            <v>노닐페놀</v>
          </cell>
          <cell r="D1340" t="str">
            <v>2001-1-515,06-5-6</v>
          </cell>
          <cell r="E1340" t="str">
            <v>및 이를 0.1%이상 함유한 혼합물질</v>
          </cell>
          <cell r="F1340">
            <v>0.1</v>
          </cell>
          <cell r="G1340" t="str">
            <v>- 서늘하고 건조하고 어두운 장소에서 밀폐된 용기나 실린더에 저장할 것
- 혼합 금지 물질 및 점화원을 격리할 것
- 구역을 안전하게 하고 라벨을 붙일 것
- 물리적 손상으로부터 용기/실린더를 보호할 것
- 모든 화학물질은 위험물로 간주할 것
- 화학물질은 흄 후드내에서만 취급해야 할 것
- 직접적인 물리적 접촉을 피할 것
- 환경에 배출을 피할 것
- 옷, 신발은 재사용 전에 세탁하거나 버릴 것
- 적절하고 인증된 안전 장비를 사용할 것
- 훈련되지 않은 사람은 이 화학물질 또는 담은 용기를 취급 금지할 것
- 취급제한물질(이를 0.1% 이상 함유한 혼합물질)</v>
          </cell>
        </row>
        <row r="1341">
          <cell r="B1341" t="str">
            <v>140-66-9</v>
          </cell>
          <cell r="C1341" t="str">
            <v>4-tert-옥틸페놀</v>
          </cell>
          <cell r="D1341" t="str">
            <v>2001-1-515</v>
          </cell>
          <cell r="E1341" t="str">
            <v>및 이를 0.1%이상 함유한 혼합물질</v>
          </cell>
          <cell r="F1341">
            <v>0.1</v>
          </cell>
          <cell r="G1341" t="str">
            <v>- 서늘하고 건조하고 어두운 장소에서 밀폐된 용기나 실린더에 저장할 것
- 혼합 금지 물질 및 점화원을 격리할 것
- 구역을 안전하게 하고 라벨을 붙일 것
- 물리적 손상으로부터 용기/실린더를 보호할 것
- 모든 화학물질은 위험물로 간주할 것
- 화학물질은 흄 후드내에서만 취급해야 할 것
- 직접적인 물리적 접촉을 피할 것
- 환경에 배출을 피할 것
- 옷, 신발은 재사용 전에 세탁하거나 버릴 것
- 적절하고 인증된 안전 장비를 사용할 것
- 훈련되지 않은 사람은 이 화학물질 또는 담은 용기를 취급 금지할 것
- 취급제한물질(이를 0.1% 이상 함유한 혼합물질)</v>
          </cell>
        </row>
        <row r="1342">
          <cell r="B1342" t="str">
            <v>25154-52-3</v>
          </cell>
          <cell r="C1342" t="str">
            <v>노닐페놀</v>
          </cell>
          <cell r="D1342" t="str">
            <v>2001-1-515,06-5-6</v>
          </cell>
          <cell r="E1342" t="str">
            <v>및 이를 0.1%이상 함유한 혼합물질</v>
          </cell>
          <cell r="F1342">
            <v>0.1</v>
          </cell>
          <cell r="G1342" t="str">
            <v>- 서늘하고 건조하고 어두운 장소에서 밀폐된 용기나 실린더에 저장할 것
- 혼합 금지 물질 및 점화원을 격리할 것
- 구역을 안전하게 하고 라벨을 붙일 것
- 물리적 손상으로부터 용기/실린더를 보호할 것
- 모든 화학물질은 위험물로 간주할 것
- 화학물질은 흄 후드내에서만 취급해야 할 것
- 직접적인 물리적 접촉을 피할 것
- 환경에 배출을 피할 것
- 옷, 신발은 재사용 전에 세탁하거나 버릴 것
- 적절하고 인증된 안전 장비를 사용할 것
- 훈련되지 않은 사람은 이 화학물질 또는 담은 용기를 취급 금지할 것
- 취급제한물질(이를 0.1% 이상 함유한 혼합물질)</v>
          </cell>
        </row>
        <row r="1343">
          <cell r="B1343" t="str">
            <v>84852-15-3</v>
          </cell>
          <cell r="C1343" t="str">
            <v>노닐페놀</v>
          </cell>
          <cell r="D1343" t="str">
            <v>2001-1-515,06-5-6</v>
          </cell>
          <cell r="E1343" t="str">
            <v>및 이를 0.1%이상 함유한 혼합물질</v>
          </cell>
          <cell r="F1343">
            <v>0.1</v>
          </cell>
          <cell r="G1343" t="str">
            <v>- 서늘하고 건조하고 어두운 장소에서 밀폐된 용기나 실린더에 저장할 것
- 혼합 금지 물질 및 점화원을 격리할 것
- 구역을 안전하게 하고 라벨을 붙일 것
- 물리적 손상으로부터 용기/실린더를 보호할 것
- 모든 화학물질은 위험물로 간주할 것
- 화학물질은 흄 후드내에서만 취급해야 할 것
- 직접적인 물리적 접촉을 피할 것
- 환경에 배출을 피할 것
- 옷, 신발은 재사용 전에 세탁하거나 버릴 것
- 적절하고 인증된 안전 장비를 사용할 것
- 훈련되지 않은 사람은 이 화학물질 또는 담은 용기를 취급 금지할 것
- 취급제한물질(이를 0.1% 이상 함유한 혼합물질)</v>
          </cell>
        </row>
        <row r="1344">
          <cell r="B1344" t="str">
            <v>9016-45-9</v>
          </cell>
          <cell r="C1344" t="str">
            <v>노닐페놀</v>
          </cell>
          <cell r="D1344" t="str">
            <v>2001-1-515,06-5-6</v>
          </cell>
          <cell r="E1344" t="str">
            <v>및 이를 0.1%이상 함유한 혼합물질</v>
          </cell>
          <cell r="F1344">
            <v>0.1</v>
          </cell>
          <cell r="G1344" t="str">
            <v>- 서늘하고 건조하고 어두운 장소에서 밀폐된 용기나 실린더에 저장할 것
- 혼합 금지 물질 및 점화원을 격리할 것
- 구역을 안전하게 하고 라벨을 붙일 것
- 물리적 손상으로부터 용기/실린더를 보호할 것
- 모든 화학물질은 위험물로 간주할 것
- 화학물질은 흄 후드내에서만 취급해야 할 것
- 직접적인 물리적 접촉을 피할 것
- 환경에 배출을 피할 것
- 옷, 신발은 재사용 전에 세탁하거나 버릴 것
- 적절하고 인증된 안전 장비를 사용할 것
- 훈련되지 않은 사람은 이 화학물질 또는 담은 용기를 취급 금지할 것
- 취급제한물질(이를 0.1% 이상 함유한 혼합물질)</v>
          </cell>
        </row>
        <row r="1345">
          <cell r="B1345" t="str">
            <v>90481-04-2</v>
          </cell>
          <cell r="C1345" t="str">
            <v>노닐페놀류</v>
          </cell>
          <cell r="D1345" t="str">
            <v>2001-1-515</v>
          </cell>
          <cell r="E1345" t="str">
            <v>및 이를 0.1%이상 함유한 혼합물질</v>
          </cell>
          <cell r="F1345">
            <v>0.1</v>
          </cell>
          <cell r="G1345" t="str">
            <v>- 서늘하고 건조하고 어두운 장소에서 밀폐된 용기나 실린더에 저장할 것
- 혼합 금지 물질 및 점화원을 격리할 것
- 구역을 안전하게 하고 라벨을 붙일 것
- 물리적 손상으로부터 용기/실린더를 보호할 것
- 모든 화학물질은 위험물로 간주할 것
- 화학물질은 흄 후드내에서만 취급해야 할 것
- 직접적인 물리적 접촉을 피할 것
- 환경에 배출을 피할 것
- 옷, 신발은 재사용 전에 세탁하거나 버릴 것
- 적절하고 인증된 안전 장비를 사용할 것
- 훈련되지 않은 사람은 이 화학물질 또는 담은 용기를 취급 금지할 것
- 취급제한물질(이를 0.1% 이상 함유한 혼합물질)</v>
          </cell>
        </row>
        <row r="1346">
          <cell r="B1346" t="str">
            <v>91672-41-2</v>
          </cell>
          <cell r="C1346" t="str">
            <v>노닐페놀류</v>
          </cell>
          <cell r="D1346" t="str">
            <v>2001-1-515</v>
          </cell>
          <cell r="E1346" t="str">
            <v>및 이를 0.1%이상 함유한 혼합물질</v>
          </cell>
          <cell r="F1346">
            <v>0.1</v>
          </cell>
          <cell r="G1346" t="str">
            <v>- 서늘하고 건조하고 어두운 장소에서 밀폐된 용기나 실린더에 저장할 것
- 혼합 금지 물질 및 점화원을 격리할 것
- 구역을 안전하게 하고 라벨을 붙일 것
- 물리적 손상으로부터 용기/실린더를 보호할 것
- 모든 화학물질은 위험물로 간주할 것
- 화학물질은 흄 후드내에서만 취급해야 할 것
- 직접적인 물리적 접촉을 피할 것
- 환경에 배출을 피할 것
- 옷, 신발은 재사용 전에 세탁하거나 버릴 것
- 적절하고 인증된 안전 장비를 사용할 것
- 훈련되지 않은 사람은 이 화학물질 또는 담은 용기를 취급 금지할 것
- 취급제한물질(이를 0.1% 이상 함유한 혼합물질)</v>
          </cell>
        </row>
        <row r="1347">
          <cell r="B1347" t="str">
            <v>128-04-1</v>
          </cell>
          <cell r="C1347" t="str">
            <v>다이메틸다이싸이오카바민산 나트륨</v>
          </cell>
          <cell r="D1347" t="str">
            <v>2001-1-516</v>
          </cell>
          <cell r="E1347" t="str">
            <v>및 이를 25% 이상 함유한 혼합물질.</v>
          </cell>
          <cell r="F1347">
            <v>25</v>
          </cell>
          <cell r="G1347" t="str">
            <v>- 사용하지 않는 경우에는 용기를 확실히 밀폐할 것
- 서늘하고 건조하고 통풍이 잘되는 장소에서 혼합금지물질과 떨어진 곳에 저장할 것
- 눈, 피부 및 옷과 접촉하지 않도록 할 것
- 취급 후 손을 철저하게 세척할 것
- 적절한 보호복을 착용할 것
- 적절한 환기장치를 사용할 것
- 용기를 완전히 밀폐시킬 것
- 환경에 배출을 피할 것</v>
          </cell>
        </row>
        <row r="1348">
          <cell r="B1348" t="str">
            <v>115-86-6</v>
          </cell>
          <cell r="C1348" t="str">
            <v>트라이페닐 인산</v>
          </cell>
          <cell r="D1348" t="str">
            <v>2001-1-517</v>
          </cell>
          <cell r="E1348" t="str">
            <v>및 이를 25% 이상 함유한 혼합물질.</v>
          </cell>
          <cell r="F1348">
            <v>25</v>
          </cell>
          <cell r="G1348" t="str">
            <v>- 사용하지 않는 경우에는 용기를 밀폐할 것
- 서늘하고 건조하고 통풍이 잘되는 장소에서 혼합금지물질과 떨어진 곳에 저장할 것
- 눈, 피부 및 옷과 접촉하지 않도록 할 것
- 취급 후, 손을 철저하게 세척할 것
- 적절한 환기장치를 사용할 것
- 분진 발생과 분진 축적을 최소화 할 것
- 환경에 배출을 피할 것</v>
          </cell>
        </row>
        <row r="1349">
          <cell r="B1349" t="str">
            <v>107-06-2</v>
          </cell>
          <cell r="C1349" t="str">
            <v>1,2-이염화에탄</v>
          </cell>
          <cell r="D1349" t="str">
            <v>2001-1-518</v>
          </cell>
          <cell r="E1349" t="str">
            <v>및 이를 0.1% 이상 함유한 혼합물질.</v>
          </cell>
          <cell r="F1349">
            <v>0.1</v>
          </cell>
          <cell r="G1349" t="str">
            <v>- 깨끗하고 건조하며 통풍이 잘되는 장소에 열, 스파크, 화염 등 점화원 및 산화제류, 알루미늄, 암모니아와 떨어뜨려 저장할 것
- 확실하게 밀폐된 용기에 저장할 것
- 정전기 스파크를 방지하기 위해 용기를 접지시켜 보관할 것
- 음식, 사료, 약, 옷과 함께 싣거나 저장 금지할 것
- 빛에 민감하여 갈색병이나 불투명한 용기에 적은 양만 저장할 것
- 발암성 물질은 물리화학적 성질에 따라 보관하고 폭발 방지 냉장고나 냉동고의 한 구역에 물질명, 양, 받은 날짜 등을 적은 라벨을 붙여 저장할 것
- 조제소와 저장소는 인접할 것
- 점화원으로부터 멀리 둘 것
- 열, 스파크, 화염 등 점화원에 빈 용기를 노출시키지 말 것
- 스파크와 폭발을 막는 장치를 사용할 것
- 용기를 완전히 밀폐할 것
- 적절한 환기장치를 사용할 것
- 노출을 피할 것(사용전 노출을 피할 수 있는 추가적인 정보를 확보)
- 눈, 피부 및 옷과 접촉하지 않도록 하기 위해 적절한 보호복과 보호 장갑을 착용할 것
- 취급 후 손을 철저하게 세척할 것
- 물질을 이동시킬 때 용기를 땅에 밀착하여 이동할 것
- 가압, 절단, 용접, 납땜, 연마, 천공을 해서는 안될것(잔류물 때문에 위험)</v>
          </cell>
        </row>
        <row r="1350">
          <cell r="B1350" t="str">
            <v>75-01-4</v>
          </cell>
          <cell r="C1350" t="str">
            <v>염화 비닐</v>
          </cell>
          <cell r="D1350" t="str">
            <v>2001-1-519</v>
          </cell>
          <cell r="E1350" t="str">
            <v>및 이를 0.1% 이상 함유한 혼합물질</v>
          </cell>
          <cell r="F1350">
            <v>0.1</v>
          </cell>
          <cell r="G1350" t="str">
            <v>- 외부 또는 분리된 저장소가 바람직하고, 내부 저장소는 점화와 열이 없고 환기가 제공되는 화재 저항 창고가 되어야 할 것 건조하고 서늘하며 통풍이 잘되는 장소에 산화제류와 떨어뜨려 저장할 것
- 조제소와 저장소는 인접할 것
- 물리적 손상으로부터 보호할 것
- 발암성 물질은 물리화학적 성질에 따라 보관하고 폭발 방지 냉장고나 냉동고의 한 구역에 물질명, 양, 받은 날짜 등을 적은 라벨을 붙여 저장할 것
- 과산화수소를 제거하기 위해 20~30% 수산화나트륨 용액을 사용할 것
- 사용 전 노출을 피할 수 있는 추가적인 정보를 확보할 것
- 기체, 증기 및 분진을 흡입 금지할 것 이 물질은 가스이므로 흡입이 첫 번째 노출 경로임할 것
- 모든 화학물질은 위험물로 간주하고 점화원으로부터 격리할 것
- 직접적인 물리적 접촉을 피할 것
- 적절하고 안전한 장치를 사용할 것
- 화학물질 흄 후드내에서 취급 할 것
- 취급 시 콘택트렌즈를 착용금지할 것
- 훈련되지 않은 사람은 이 화학물질 또는 그 용기를 취급 금지할 것
- 사고대비물질(이를 0.1% 이상 함유한 혼합물질)</v>
          </cell>
        </row>
        <row r="1351">
          <cell r="B1351" t="str">
            <v>75-21-8</v>
          </cell>
          <cell r="C1351" t="str">
            <v>산화에틸렌</v>
          </cell>
          <cell r="D1351" t="str">
            <v>2001-1-520</v>
          </cell>
          <cell r="E1351" t="str">
            <v>및 이를 0.1% 이상 함유한 혼합물질</v>
          </cell>
          <cell r="F1351">
            <v>0.1</v>
          </cell>
          <cell r="G1351" t="str">
            <v>- 사용하기 전에 사용자는 적절한 취급 및 저장 방법에 대해 훈련을 받을 것
- 내부에 저장할 경우 적은 양만 할 것
- 서늘하고 건조하며 통풍이 잘되는 그늘진 장소에 열, 산화제류, 스파크, 햇빛 같은 점화원과 떨어뜨려 완전히 밀봉된 용기에 저장할 것
- 용기를 열거나 닫을 때 스파크가 없는 기구나 장비를 사용할 것
- 용기에 자동 폐쇄 밸브, 압력진공 마개, 화염방지기를 반드시 장착할 것
- 이 물질이 제조, 취급, 사용 또는 저장되는 곳에 폭발 방지 전기기기와 설비를 둘 것
- 물리적 손상으로부터 용기를 보호하고 정기적으로 누수를 확인할 것
- 이 물질을 저장, 운반하는 용기는 특별히 녹 방지 처리가 된 강철 용기만 적합할 것
- 이 물질이 존재하는 제한된 공간에 들어가기 전에 폭발물이 없는지 확인할 것
- 노출을 피할 것(사용전 노출을 피할 수 있는 추가적인 정보를 확보)할 것
- 기체, 증기 및 분진을 흡입 금지
- 눈, 피부 및 옷과 접촉하지 않도록 할 것
- 취급 후 손을 철저하게 세척할 것
- 점화원으로부터 멀리 둘 것
- 사고대비물질(이를 0.1% 이상 함유한 혼합물질)</v>
          </cell>
        </row>
        <row r="1352">
          <cell r="B1352" t="str">
            <v>545-06-2</v>
          </cell>
          <cell r="C1352" t="str">
            <v>트리클로로아세토니트릴</v>
          </cell>
          <cell r="D1352" t="str">
            <v>2001-1-521</v>
          </cell>
          <cell r="E1352" t="str">
            <v>및 이를 25% 이상 함유한 혼합물질.</v>
          </cell>
          <cell r="F1352">
            <v>25</v>
          </cell>
          <cell r="G1352" t="str">
            <v>- 서늘하고 건조하고 통풍이 잘되는 장소에서 피해야 할 물질과 떨어진 곳에 저장할 것
- 냉장 보관(약 4℃)할 것
- 용기를 완전히 밀폐시킬 것
- 눈, 피부 및 옷과 접촉하지 않도록 할 것
- 적절한 보호복과 보호 장갑을 착용할 것
- 취급 후 손을 철저하게 세척할 것
- 옷은 재사용 전에 세탁할 것
- 피부와 접촉할 경우 즉시 제조자에 의해 지정된 물질로 충분히 씻어낼 것
- 적절한 환기장치를 사용할 것</v>
          </cell>
        </row>
        <row r="1353">
          <cell r="B1353" t="str">
            <v>920-46-7</v>
          </cell>
          <cell r="C1353" t="str">
            <v>염화 2-메틸-2-프로페노일</v>
          </cell>
          <cell r="D1353" t="str">
            <v>2001-1-522</v>
          </cell>
          <cell r="E1353" t="str">
            <v>및 이를 1% 이상 함유한 혼합물질</v>
          </cell>
          <cell r="F1353">
            <v>1</v>
          </cell>
          <cell r="G1353" t="str">
            <v>- 점화원과 격리할 것
- 서늘하고 건조한 장소에 저장할 것
- 확실하게 밀폐된 용기에 저장할 것
- 냉장보관/화기엄금할 것
- 먼지, 증기, 미스트나 가스를 흡입 금지할 것
- 눈, 피부 및 옷과 접촉하지 않도록 할 것
- 취급 후, 손을 철저하게 세척할 것
- 화학물질은 흄 후드내에서만 취급해야 할 것
- 열, 스파크, 화염과 접촉을 피할 것
- 스파크를 막는 기계와 폭발을 막는 장치를 사용할 것
- 빈 용기에 가압, 절단, 용접, 납땜, 연마, 천공을 해서는 안될 것</v>
          </cell>
        </row>
        <row r="1354">
          <cell r="B1354" t="str">
            <v>38668-48-3</v>
          </cell>
          <cell r="C1354" t="str">
            <v>1,1’-(p-톨릴이미노)디프로판-2-올</v>
          </cell>
          <cell r="D1354" t="str">
            <v>2001-1-523</v>
          </cell>
          <cell r="E1354" t="str">
            <v>및 이를 25% 이상 함유한 혼합물질.</v>
          </cell>
          <cell r="F1354">
            <v>25</v>
          </cell>
          <cell r="G1354" t="str">
            <v>- 적절한 보호복과 보호 장갑을 착용할 것</v>
          </cell>
        </row>
        <row r="1355">
          <cell r="B1355" t="str">
            <v>85-63-2</v>
          </cell>
          <cell r="C1355" t="str">
            <v>헥사플루오로-1,3-부타디엔</v>
          </cell>
          <cell r="D1355" t="str">
            <v>2001-1-524</v>
          </cell>
          <cell r="E1355" t="str">
            <v>및 이를 25% 이상 함유한 혼합물질.</v>
          </cell>
          <cell r="F1355">
            <v>25</v>
          </cell>
          <cell r="G1355" t="str">
            <v>- 환기가 불량한 경우 적절한 보호 장비를 착용할 것</v>
          </cell>
        </row>
        <row r="1356">
          <cell r="B1356" t="str">
            <v>90076-65-6</v>
          </cell>
          <cell r="C1356" t="str">
            <v xml:space="preserve">1,1,1-트리플루오르-N- </v>
          </cell>
          <cell r="D1356" t="str">
            <v>2001-1-525</v>
          </cell>
          <cell r="E1356" t="str">
            <v>및 이를 25% 이상 함유한 혼합물질.</v>
          </cell>
          <cell r="F1356">
            <v>25</v>
          </cell>
          <cell r="G1356" t="str">
            <v>- 눈과 피부에 접촉을 피할 것
- 적절한 보호복과 보호 장갑을 착용할 것</v>
          </cell>
        </row>
        <row r="1357">
          <cell r="B1357" t="str">
            <v>3570-55-6</v>
          </cell>
          <cell r="C1357" t="str">
            <v>2,2'-티오디에탄티올</v>
          </cell>
          <cell r="D1357" t="str">
            <v>2002-1-526</v>
          </cell>
          <cell r="E1357" t="str">
            <v>및 이를 1% 이상 함유한 혼합물질.</v>
          </cell>
          <cell r="F1357">
            <v>1</v>
          </cell>
          <cell r="G1357" t="str">
            <v>- 서늘하고 건조하고 장소에서 용기를 완전히 밀폐하여 저장할 것
- 가스/연기/증기/분무 등을 호흡 금지할 것
- 적절한 보호복과 보호 장갑 및 안면 보호구를 착용할 것</v>
          </cell>
        </row>
        <row r="1358">
          <cell r="B1358" t="str">
            <v>1631-25-0</v>
          </cell>
          <cell r="C1358" t="str">
            <v>1-사이클로헥실-1H-피롤-2,5-디온</v>
          </cell>
          <cell r="D1358" t="str">
            <v>2002-1-527</v>
          </cell>
          <cell r="E1358" t="str">
            <v>및 이를 1% 이상 함유한 혼합물질.</v>
          </cell>
          <cell r="F1358">
            <v>1</v>
          </cell>
          <cell r="G1358" t="str">
            <v>- 가스/연기/증기/분무 등을 호흡 금지할 것
- 피부와 눈에 접촉을 피할 것
- 적절한 보호복과 보호장갑 및 안면 보호구를 착용할 것
- 환경에 배출을 피할 것</v>
          </cell>
        </row>
        <row r="1359">
          <cell r="B1359" t="str">
            <v>6711-48-4</v>
          </cell>
          <cell r="C1359" t="str">
            <v>N'-[3-(디메틸아미노)프로필]-N,N-디메틸프로판-1,3-디아민</v>
          </cell>
          <cell r="D1359" t="str">
            <v>2002-1-528</v>
          </cell>
          <cell r="E1359" t="str">
            <v>및 이를 25% 이상 함유한 혼합물질.</v>
          </cell>
          <cell r="F1359">
            <v>25</v>
          </cell>
          <cell r="G1359" t="str">
            <v>- 피부 및 눈에 접촉을 피할 것
- 적절한 보호복과 보호 장갑 및 안면 보호구를 착용할</v>
          </cell>
        </row>
        <row r="1360">
          <cell r="B1360" t="str">
            <v>75-59-2</v>
          </cell>
          <cell r="C1360" t="str">
            <v>수산화 테트라메틸 암모늄</v>
          </cell>
          <cell r="D1360" t="str">
            <v>2002-1-529</v>
          </cell>
          <cell r="E1360" t="str">
            <v>및 이를 25% 이상 함유한 혼합물질</v>
          </cell>
          <cell r="F1360">
            <v>25</v>
          </cell>
          <cell r="G1360" t="str">
            <v>- 서늘하고 건조하고 어두운 장소에서 밀폐된 용기나 실린더에 저장할 것
- 혼합금지물질 및 점화원을 격리할 것
- 구역을 안전하게 하고 라벨을 붙일 것
- 눈과 피부에 접촉을 피할 것
- 적절한 보호복과 보호 장갑을 착용할 것
- 모든 화학물질은 위험물로 간주할 것
- 화학물질은 흄 후드 내에서만 취급해야 할 것
- 훈련되지 않은 사람은 이 화학물질 또는 담긴 용기를 취급 금지할 것</v>
          </cell>
        </row>
        <row r="1361">
          <cell r="B1361" t="str">
            <v>10424-65-4</v>
          </cell>
          <cell r="C1361" t="str">
            <v>수산화 테트라메틸암모니윰 수화물</v>
          </cell>
          <cell r="D1361" t="str">
            <v>2002-1-529</v>
          </cell>
          <cell r="E1361" t="str">
            <v>및 이를 25% 이상 함유한 혼합물질</v>
          </cell>
          <cell r="F1361">
            <v>25</v>
          </cell>
          <cell r="G1361" t="str">
            <v>- 서늘하고 건조하고 어두운 장소에서 밀폐된 용기나 실린더에 저장할 것
- 혼합금지물질 및 점화원을 격리할 것
- 구역을 안전하게 하고 라벨을 붙일 것
- 눈과 피부에 접촉을 피할 것
- 적절한 보호복과 보호 장갑을 착용할 것
- 모든 화학물질은 위험물로 간주할 것
- 화학물질은 흄 후드 내에서만 취급해야 할 것
- 훈련되지 않은 사람은 이 화학물질 또는 담긴 용기를 취급 금지할 것</v>
          </cell>
        </row>
        <row r="1362">
          <cell r="B1362" t="str">
            <v>71-66-4</v>
          </cell>
          <cell r="C1362" t="str">
            <v>피리딘-트리페닐보란</v>
          </cell>
          <cell r="D1362" t="str">
            <v>2002-1-530</v>
          </cell>
          <cell r="E1362" t="str">
            <v>및 이를 25% 이상 함유한 혼합물질.</v>
          </cell>
          <cell r="F1362">
            <v>25</v>
          </cell>
          <cell r="G1362" t="str">
            <v>- 적절한 보호복과 보호 장갑 및 안면 보호구를 착용할 것
- 환경에 배출을 피할 것</v>
          </cell>
        </row>
        <row r="1363">
          <cell r="B1363" t="str">
            <v>71604-74-5</v>
          </cell>
          <cell r="C1363" t="str">
            <v>N-[3-(옥시라닐메톡시)페닐]-N-(옥시라닐메틸) 옥시란메탄 아민</v>
          </cell>
          <cell r="D1363" t="str">
            <v>2002-1-531</v>
          </cell>
          <cell r="E1363" t="str">
            <v>및 이를 1% 이상 함유한 혼합물질.</v>
          </cell>
          <cell r="F1363">
            <v>1</v>
          </cell>
          <cell r="G1363" t="str">
            <v>- 적절한 보호복과 보호 장갑 및 안면 보호구를 착용할 것</v>
          </cell>
        </row>
        <row r="1364">
          <cell r="B1364" t="str">
            <v>110656-67-2</v>
          </cell>
          <cell r="C1364" t="str">
            <v>N-[2-메틸-4-(옥시라닐메톡시)페닐]-N-(옥시라닐메틸)옥시란메탄아민</v>
          </cell>
          <cell r="D1364" t="str">
            <v>2002-1-532</v>
          </cell>
          <cell r="E1364" t="str">
            <v>및 이를 1% 이상 함유한 혼합물질.</v>
          </cell>
          <cell r="F1364">
            <v>1</v>
          </cell>
          <cell r="G1364" t="str">
            <v>- 적절한 보호복과 보호 장갑 및 안면 보호구를 착용할 것</v>
          </cell>
        </row>
        <row r="1365">
          <cell r="B1365" t="str">
            <v>97659-53-5</v>
          </cell>
          <cell r="C1365" t="str">
            <v>N-알킬(C=8~22) 폴리트리메틸렌폴리아민, 카르복시메틸 유도체., 나트륨염</v>
          </cell>
          <cell r="D1365" t="str">
            <v>2002-1-533</v>
          </cell>
          <cell r="E1365" t="str">
            <v>및 이를25% 이상 함유한 혼합물질.</v>
          </cell>
          <cell r="F1365">
            <v>25</v>
          </cell>
          <cell r="G1365" t="str">
            <v>- 환경에 배출을 피할 것</v>
          </cell>
        </row>
        <row r="1366">
          <cell r="C1366" t="str">
            <v>1,3-디-2-프로페닐-2- (2-프로페닐옥시)벤젠, 에폭시화</v>
          </cell>
          <cell r="D1366" t="str">
            <v>2002-1-534</v>
          </cell>
          <cell r="E1366" t="str">
            <v>및 이를 1% 이상 함유한 혼합물질.</v>
          </cell>
          <cell r="F1366">
            <v>1</v>
          </cell>
          <cell r="G1366" t="str">
            <v>- 적절한 보호복과 보호 장갑 및 안면 보호구를 착용할 것</v>
          </cell>
        </row>
        <row r="1367">
          <cell r="B1367" t="str">
            <v>93705-66-9</v>
          </cell>
          <cell r="C1367" t="str">
            <v>2,2'-[메틸렌비스[(2,6- 디메틸-4,1-페닐렌)옥시메틸렌]]비스옥시란</v>
          </cell>
          <cell r="D1367" t="str">
            <v>2003-1-535</v>
          </cell>
          <cell r="E1367" t="str">
            <v>및 이를 25% 이상 함유한 혼합물질.</v>
          </cell>
          <cell r="F1367">
            <v>25</v>
          </cell>
          <cell r="G1367" t="str">
            <v>- 환경에 배출 금지할 것
- 적절한 보호복과 보호 장갑 및 안면 보호구를 착용할 것</v>
          </cell>
        </row>
        <row r="1368">
          <cell r="B1368" t="str">
            <v>3410-77-3</v>
          </cell>
          <cell r="C1368" t="str">
            <v>테트라이소시아나토실란</v>
          </cell>
          <cell r="D1368" t="str">
            <v>2003-1-536</v>
          </cell>
          <cell r="E1368" t="str">
            <v>및 이를 1% 이상 함유한 혼합물질.</v>
          </cell>
          <cell r="F1368">
            <v>1</v>
          </cell>
          <cell r="G1368" t="str">
            <v>- 증기/분무 등을 호흡 금지할 것
- 적절한 보호복과 보호장갑을 착용할 것
- 환기가 불량한 경우 적절한 호흡장비를 착용할 것</v>
          </cell>
        </row>
        <row r="1369">
          <cell r="B1369" t="str">
            <v>569-64-2</v>
          </cell>
          <cell r="C1369" t="str">
            <v>[4-[α-[4-(디메틸아미노)페닐]벤질리딘] 시클로헥사-2,5-디엔-1-일리딘]디메틸암모늄 클로라이드</v>
          </cell>
          <cell r="D1369" t="str">
            <v>2003-1-537</v>
          </cell>
          <cell r="E1369" t="str">
            <v>및 이를 25% 이상 함유한 혼합물질.</v>
          </cell>
          <cell r="F1369">
            <v>25</v>
          </cell>
          <cell r="G1369" t="str">
            <v>- 서늘하고 건조한 장소에 저장할 것
- 눈, 피부 및 옷과 접촉하지 않도록 할 것
- 취급 후 손을 철저하게 세척할 것
- 적절한 보호 장갑과 안면보호구를 착용할 것
- 적절한 환기장치를 사용할 것
- 분진 발생과 분진 축적을 최소화할 것
- 용기를 완전히 밀폐시킬 것</v>
          </cell>
        </row>
        <row r="1370">
          <cell r="B1370" t="str">
            <v>109-61-5</v>
          </cell>
          <cell r="C1370" t="str">
            <v>n-프로필 클로로포름산</v>
          </cell>
          <cell r="D1370" t="str">
            <v>2003-1-538</v>
          </cell>
          <cell r="E1370" t="str">
            <v>및 이를 25% 이상 함유한 혼합물질.</v>
          </cell>
          <cell r="F1370">
            <v>25</v>
          </cell>
          <cell r="G1370" t="str">
            <v>- 서늘하고 건조하고 어두운 장소에서 밀폐된 용기나 실린더에 저장할 것
- 피해야 할 물질 및 점화원과 격리할 것
- 구역을 안전하게 하고 라벨을 부착할 것
- 물리적 손상으로부터 용기/실린더를 보호할 것
- 환기가 불량한 경우 적절한 보호 장비를 착용할 것
- 모든 화학물질은 위험물로 간주할 것
- 직접적인 물리적 접촉을 피할 것
- 적절하고 인증된 안전 장비를 사용할 것
- 화학물질은 흄 후드내에서만 취급해야 할 것
- 훈련되지 않은 사람은 이 화학물질 또는 담은 용기를 취급 금지할 것</v>
          </cell>
        </row>
        <row r="1371">
          <cell r="B1371" t="str">
            <v>75-57-0</v>
          </cell>
          <cell r="C1371" t="str">
            <v>염화테트라메틸암모늄</v>
          </cell>
          <cell r="D1371" t="str">
            <v>2003-1-539</v>
          </cell>
          <cell r="E1371" t="str">
            <v>및 이를 1% 이상 함유한 혼합물질</v>
          </cell>
          <cell r="F1371">
            <v>1</v>
          </cell>
          <cell r="G1371" t="str">
            <v>- 확실하게 밀폐된 용기에 저장할 것
- 서늘하고 건조하고 통풍이 잘되는 장소에서 혼합금지물질과 떨어진 곳에 저장할 것
- 분진을 호흡 금지할 것
- 적절한 보호복과 보호 장갑을 착용할 것
- 취급 후, 손을 철저하게 세척할 것
- 적절한 환기장치를 사용하여 분진 발생과 분진 축적을 최소화할 것</v>
          </cell>
        </row>
        <row r="1372">
          <cell r="B1372" t="str">
            <v>73602-61-6</v>
          </cell>
          <cell r="C1372" t="str">
            <v>불화 트리에틸암모늄</v>
          </cell>
          <cell r="D1372" t="str">
            <v>2003-1-540</v>
          </cell>
          <cell r="E1372" t="str">
            <v>및 이를 25% 이상 함유한 혼합물질.</v>
          </cell>
          <cell r="F1372">
            <v>25</v>
          </cell>
          <cell r="G1372" t="str">
            <v>- 열, 스파크, 화염 등 점화원과 격리할 것
- 확실하게 밀폐된 용기에 저장할 것
- 금속 또는 유리 용기에 저장 금지할 것
- 서늘하고 건조하며 통풍이 잘되는 장소에서 혼합금지물질과 떨어진 곳에 저장할 것
- 부식 장소를 피할 것
- 눈, 피부 및 옷과 접촉하지 않도록 할 것
- 취급 후, 손을 철저하게 세척할 것
- 적절한 보호복과 보호 장갑을 착용할 것
- 용기를 완전히 밀폐시킬 것
- 빈 용기에 가압, 절단, 용접, 납땜, 연마, 천공을 해서는 안 됨(잔류물 때문에 위험)할 것
- 열, 스파크, 화염과의 접촉을 피할 것
- 통풍이 잘되는 장소에서만 사용할 것
- 화학물질 흄 후드 내에서만 취급할 것</v>
          </cell>
        </row>
        <row r="1373">
          <cell r="B1373" t="str">
            <v>57214-10-5</v>
          </cell>
          <cell r="C1373" t="str">
            <v>포름알데히드 1,3-벤젠디메탄아민과 페놀의 중합체</v>
          </cell>
          <cell r="D1373" t="str">
            <v>2003-1-541</v>
          </cell>
          <cell r="E1373" t="str">
            <v>및 이를 25% 이상 함유한 혼합물질.</v>
          </cell>
          <cell r="F1373">
            <v>25</v>
          </cell>
          <cell r="G1373" t="str">
            <v>- 눈이나 피부와의 접촉을 피할 것
- 환경에 배출을 피할 것</v>
          </cell>
        </row>
        <row r="1374">
          <cell r="B1374" t="str">
            <v>404362-22-7</v>
          </cell>
          <cell r="C1374" t="str">
            <v>1,3-벤젠디메탄아민, N-(2-페닐에틸)유도체</v>
          </cell>
          <cell r="D1374" t="str">
            <v>2003-1-542</v>
          </cell>
          <cell r="E1374" t="str">
            <v>및 이를 25% 이상 함유한 혼합물질.</v>
          </cell>
          <cell r="F1374">
            <v>25</v>
          </cell>
          <cell r="G1374" t="str">
            <v>- 적절한 보호복과 보호 장갑을 착용할 것
- 환경에 배출을 피할 것</v>
          </cell>
        </row>
        <row r="1375">
          <cell r="B1375" t="str">
            <v>5350-57-2</v>
          </cell>
          <cell r="C1375" t="str">
            <v>벤조페논 히드라존</v>
          </cell>
          <cell r="D1375" t="str">
            <v>2003-1-543</v>
          </cell>
          <cell r="E1375" t="str">
            <v>및 이를 25% 이상 함유한 혼합물질.</v>
          </cell>
          <cell r="F1375">
            <v>25</v>
          </cell>
          <cell r="G1375" t="str">
            <v>- 사용하지 않는 경우에는 용기를 확실하게 밀폐할 것
- 서늘하고 건조하고 통풍이 잘 되는 장소나 냉장고(약 4℃)에 혼합금지물질과 떨어뜨려 저장할 것
- 눈, 피부 및 옷과 접촉하지 않도록 적절한 보호복과 보호 장갑을 착용할 것
- 취급 후, 손을 철저하게 세척할 것
- 적절한 환기장치를 사용하여 분진 발생과 분진 축적을 최소화할 것
- 용기를 완전히 밀폐시킬 것</v>
          </cell>
        </row>
        <row r="1376">
          <cell r="B1376" t="str">
            <v>553664-68-9</v>
          </cell>
          <cell r="C1376" t="str">
            <v>에피클로로히드린, 2-메르캡토에탄올, 황화나트륨과 티오우레아의 반응생성물</v>
          </cell>
          <cell r="D1376" t="str">
            <v>2004-1-544</v>
          </cell>
          <cell r="E1376" t="str">
            <v>및 이를 25% 이상 함유한 혼합물질.</v>
          </cell>
          <cell r="F1376">
            <v>25</v>
          </cell>
          <cell r="G1376" t="str">
            <v>- 적절한 보호복과 보호 장갑을 착용할 것
- 환경에 배출을 피할 것</v>
          </cell>
        </row>
        <row r="1377">
          <cell r="B1377" t="str">
            <v>124-63-0</v>
          </cell>
          <cell r="C1377" t="str">
            <v>염화메탄술포닐</v>
          </cell>
          <cell r="D1377" t="str">
            <v>2004-1-545</v>
          </cell>
          <cell r="E1377" t="str">
            <v>및 이를 1% 이상 함유한 혼합물질.</v>
          </cell>
          <cell r="F1377">
            <v>1</v>
          </cell>
          <cell r="G1377" t="str">
            <v>- 부식 장소를 피하고 서늘하고 건조한 장소에 저장할 것
- 확실하게 밀폐된 용기에 저장할 것
- 적절한 보호복과 보호 장갑을 착용할 것
- 취급 후, 손을 철저하게 세척할 것
- 화학물질은 흄 후드 내에서만 취급할 것</v>
          </cell>
        </row>
        <row r="1378">
          <cell r="B1378" t="str">
            <v>35184-08-8</v>
          </cell>
          <cell r="C1378" t="str">
            <v>3a,4,4a,5,8,8a,9,9a-옥타히드로-4,9:5,8-디메타노-1H-벤즈[f]인덴과 4,4a,4b,5,8,8a,9,9a-옥타히드로-1,4:5,8-디메타노-1H-플루오렌의 혼합물</v>
          </cell>
          <cell r="D1378" t="str">
            <v>2004-1-546</v>
          </cell>
          <cell r="E1378" t="str">
            <v>및 이를 25% 이상 함유한 혼합물질.</v>
          </cell>
          <cell r="F1378">
            <v>25</v>
          </cell>
          <cell r="G1378" t="str">
            <v>- 환경에 배출을 피할 것
- 환경오염을 피하기 위하여 적절한 용기를 사용할 것</v>
          </cell>
        </row>
        <row r="1379">
          <cell r="B1379" t="str">
            <v>7158-25-0</v>
          </cell>
          <cell r="C1379" t="str">
            <v>3a,4,4a,5,8,8a,9,9a-옥타히드로-4,9:5,8-디메타노-1H-벤즈[f]인덴과 4,4a,4b,5,8,8a,9,9a-옥타히드로-1,4:5,8-디메타노-1H-플루오렌의 혼합물</v>
          </cell>
          <cell r="D1379" t="str">
            <v>2004-1-546</v>
          </cell>
          <cell r="E1379" t="str">
            <v>및 이를 25% 이상 함유한 혼합물질.</v>
          </cell>
          <cell r="F1379">
            <v>25</v>
          </cell>
          <cell r="G1379" t="str">
            <v>- 환경에 배출을 피할 것
- 환경오염을 피하기 위하여 적절한 용기를 사용할 것</v>
          </cell>
        </row>
        <row r="1380">
          <cell r="B1380" t="str">
            <v>91-94-1</v>
          </cell>
          <cell r="C1380" t="str">
            <v>3,3'-디클로로벤지딘</v>
          </cell>
          <cell r="D1380" t="str">
            <v>2005-1-547</v>
          </cell>
          <cell r="E1380" t="str">
            <v>및 그중 하나를 1% 이상 함유한 혼합물질</v>
          </cell>
          <cell r="F1380">
            <v>1</v>
          </cell>
          <cell r="G1380" t="str">
            <v>- 소화로부터 나오는 유출물을 담을 수 있도록 준비할 것
- 식품 및 사료와 멀리 떨어진 곳에 보관할 것
- 밀실에 저장할 것
- 원래의 용기에 저장할 것
- 배수로나 하수구로의 접근이 가능하지 않은 지역에 저장할 것
- 서늘한 그늘 및 서늘한 곳에 저장할 것
- 노출을 피할 것
- 사용 전 노출을 피할 수 있는 추가적인 정보를 확보할 것
- 능하면 용기 또는 포장의 표시사항을 보여줄 것
- 환경에 배출을 피할 것</v>
          </cell>
        </row>
        <row r="1381">
          <cell r="B1381" t="str">
            <v>612-83-9</v>
          </cell>
          <cell r="C1381" t="str">
            <v>3,3'-디클로로벤지딘 염화물</v>
          </cell>
          <cell r="D1381" t="str">
            <v>2005-1-547</v>
          </cell>
          <cell r="E1381" t="str">
            <v>및 그중 하나를 1% 이상 함유한 혼합물질</v>
          </cell>
          <cell r="F1381">
            <v>1</v>
          </cell>
          <cell r="G1381" t="str">
            <v>- 소화로부터 나오는 유출물을 담을 수 있도록 준비할 것
- 식품 및 사료와 멀리 떨어진 곳에 보관할 것
- 밀실에 저장할 것
- 원래의 용기에 저장할 것
- 배수로나 하수구로의 접근이 가능하지 않은 지역에 저장할 것
- 서늘한 그늘 및 서늘한 곳에 저장할 것
- 노출을 피할 것
- 사용 전 노출을 피할 수 있는 추가적인 정보를 확보할 것
- 능하면 용기 또는 포장의 표시사항을 보여줄 것
- 환경에 배출을 피할 것</v>
          </cell>
        </row>
        <row r="1382">
          <cell r="B1382" t="str">
            <v>51-79-6</v>
          </cell>
          <cell r="C1382" t="str">
            <v>에틸 카바메이트</v>
          </cell>
          <cell r="D1382" t="str">
            <v>2005-1-548</v>
          </cell>
          <cell r="E1382" t="str">
            <v>및 이를 1% 이상 함유한혼합물질</v>
          </cell>
          <cell r="F1382">
            <v>1</v>
          </cell>
          <cell r="G1382" t="str">
            <v>- 열, 스파크, 화염, 점화원과 격리할 것
- 확실하게 밀폐된 용기에 저장할 것
- 서늘하고 건조하고 통풍이 잘 되는 장소에서 혼합금지물질과 떨어진 곳에 저장할 것
- 불 침투성이고 파손되지 않는 용기에 반드시 저장할 것
- 파손의 위험을 최소화하고 누수로 인한 오염을 제한하기 위해, 격리되고 명백하게 표시된 저장 지역에 반드시 저장할 것
- 저장지역에는 항상 유출 처리 장비가 사용 가능하도록 할 것
- 원래의 용기에 저장할 것
- 용기를 안전하게 밀폐시킬 것
- 서늘하고 건조하고 통풍이 잘 되는 장소에 저장할 것
- 혼합금지물질, 식료품 저장 용기와 멀리 떨어진 곳에 보관할 것
- 물리적 손상으로부터 용기를 보호하고 정기적으로 누수를 확인할 것
- 저장 및 취급 시, 제조자의 권고사항을 살펴볼 것
- 노출을 피할 것(사용 전 노출을 피할 수 있는 추가적인 정보를 확보)
- 분진 발생과 분진 축적을 최소화할 것
- 옷과 접촉하지 않도록 하며, 만약 물질에 젖을 경우 착용한 상태로 피부접촉 금지할 것
- 용기를 완전히 밀폐시킬 것
- 열, 스파크, 화염과의 접촉을 피할 것
- 미국 국립보건원은 항종양성 주사제의 조제는 Class  II  층류 생물안전작업대(Class II  laminar flow biological safety cabinet)에서 수행되어야 하며, 이것을 조제하는 사람은 적절한 개인 보호복을 착용하고 통제 하에 작업할 것
- 흡입을 포함한 모든 인체 접촉은 피할 것
- 노출 위험이 발생할 때, 보호의를 착용할 것
- 통풍이 잘 되는 장소에서 사용할 것
- 움푹한 곳에 모이지 않도록 할 것
- 대기상태가 확인될 때까지 밀폐된 공간으로 들어가지 말 것
- 사람, 외부에 노출된 식품이나 식기와 접촉 금지할 것
- 혼합금지물질과 접촉시키지 않을 것
- 취급 시 먹거나 마시거나 흡연 금지할 것
- 사용하지 않을 때에는 용기를 안전하게 밀폐시킬 것
- 용기에 물리적인 위험을 피할 것
- 적합한 작업장을 사용할 것
- 저장 및 취급 시, 제조자의 권고사항을 살펴볼 것
- 안전한 작업환경을 유지하기 위하여 대기 노출 기준을 준수할 수 있도록 공기 질을 정기적으로 확인할 것
- 빈 용기에 잔류물질은 바닥에 쌓여서 축적되어 적당한 점화원이 존재하는 경우에 폭발할 수도 있어 용기에 절삭, 천공, 연마 또는 용접을 하지 말 것</v>
          </cell>
        </row>
        <row r="1383">
          <cell r="B1383" t="str">
            <v>105-33-9</v>
          </cell>
          <cell r="C1383" t="str">
            <v>4-클로로-3-히드록시부티로니트릴</v>
          </cell>
          <cell r="D1383" t="str">
            <v>2005-1-549</v>
          </cell>
          <cell r="E1383" t="str">
            <v>및 이를 25% 이상 함유한 혼합물질</v>
          </cell>
          <cell r="F1383">
            <v>25</v>
          </cell>
          <cell r="G1383" t="str">
            <v>- 용기가 비워진 후에도 제품 찌꺼기가 남아 있을 수 있으므로 모든 MSDS/라벨 예방조치를 따를 것
- 공학적 관리 및 개인보호구를 참조하여 작업할 것
- 고온에 주의할 것</v>
          </cell>
        </row>
        <row r="1384">
          <cell r="B1384" t="str">
            <v>127913-44-4</v>
          </cell>
          <cell r="C1384" t="str">
            <v>4-클로로-3-히드록시부티로니트릴</v>
          </cell>
          <cell r="D1384" t="str">
            <v>2005-1-549</v>
          </cell>
          <cell r="E1384" t="str">
            <v>및 이를 25% 이상 함유한 혼합물질</v>
          </cell>
          <cell r="F1384">
            <v>25</v>
          </cell>
          <cell r="G1384" t="str">
            <v>- 용기가 비워진 후에도 제품 찌꺼기가 남아 있을 수 있으므로 모든 MSDS/라벨 예방조치를 따를 것
- 공학적 관리 및 개인보호구를 참조하여 작업할 것
- 고온에 주의할 것</v>
          </cell>
        </row>
        <row r="1385">
          <cell r="B1385" t="str">
            <v>84367-31-7</v>
          </cell>
          <cell r="C1385" t="str">
            <v>4-클로로-3-히드록시부티로니트릴</v>
          </cell>
          <cell r="D1385" t="str">
            <v>2005-1-549</v>
          </cell>
          <cell r="E1385" t="str">
            <v>및 이를 25% 이상 함유한 혼합물질</v>
          </cell>
          <cell r="F1385">
            <v>25</v>
          </cell>
          <cell r="G1385" t="str">
            <v>- 용기가 비워진 후에도 제품 찌꺼기가 남아 있을 수 있으므로 모든 MSDS/라벨 예방조치를 따를 것
- 공학적 관리 및 개인보호구를 참조하여 작업할 것
- 고온에 주의할 것</v>
          </cell>
        </row>
        <row r="1386">
          <cell r="C1386" t="str">
            <v>N-에틸-N'-[(1-디에틸아미노)프로필리덴]티오우레아</v>
          </cell>
          <cell r="D1386" t="str">
            <v>2005-1-550</v>
          </cell>
          <cell r="E1386" t="str">
            <v>및 이를 25% 이상 함유한 혼합물질</v>
          </cell>
          <cell r="F1386">
            <v>25</v>
          </cell>
        </row>
        <row r="1387">
          <cell r="B1387" t="str">
            <v>214534-44-8</v>
          </cell>
          <cell r="C1387" t="str">
            <v>디페닐 이오도늄과 7,7-디메틸-2-옥소비사이클로[2.2.1]헵탄-1-메탄술폰산의 염류(1:1)</v>
          </cell>
          <cell r="D1387" t="str">
            <v>2005-1-551</v>
          </cell>
          <cell r="E1387" t="str">
            <v>및 이를 1% 이상 함유한 혼합물질</v>
          </cell>
          <cell r="F1387">
            <v>1</v>
          </cell>
          <cell r="G1387" t="str">
            <v>- 취급 후 철저히 씻으시오
- 공학적 관리 및 개인보호구를 참조하여 작업할 것
- 고온에 주의할 것
- 물질 유출시 공기 중 산소 농도를 저하시켜서 밀폐된 장소에서 질식을 일으킬 수 있으므로 유출되지 않도록 주의할 것
- 공기 중 고농도 상태에서 산소 결핍을 일으켜 의식상실 혹은 사망을 일으킬 위험이 있으므로 해당 장소에 들어가기 전 산소 농도를 체크할 것
- 물질 유출시 액체가 빠르게 증발하면서 공기를 대체함에 따라 밀폐장소에서 있을 때 심각한 질식의 우려가 있으므로 유출되지 않도록 주의할 것
- 물질 유출시 공기 중에서 이 가스의 유해 농도까지 매우 빨리 도달하므로 유출되지 않도록 주의할 것
- 뿌리면 공기 입자의 유해 농도까지 매우 빨리 도달할 수 있으므로 뿌리지 마시오
- 20℃에서 이 물질이 다소 천천히 증발하면서 유해 농도에 도달하므로 20℃ 이하로 유지할 것
- 20℃에서 증발은 거의 일어나지 않으나, 뿌리면 공기 입자의 유해 농도까지 매우 빨리 도달할 수 있으므로 뿌리지 마시오
- 20℃에서 증발은 거의 일어나지 않으나, 뿌리거나 스프레이 하면 공기 입자의 유해 농도까지 매우 빨리 도달할 수 있으므로 뿌리거나 스프레이하지 마시오(특히, 파우더의 경우)
- 20℃에서 증발은 거의 일어나지 않으나, 뿌리면 공기 입자의 유해 농도까지 매우 빨리 도달할 수 있으므로 뿌리지 마시오(특히, 파우더의 경우)
- 해당 장소에 들어가기 전 산소 농도를 체크할 것
- 스프레이하거나 분무 경우 더 빠르게 증발하므로 하지 말 것
- 밀폐하여 보관할 것
- 서늘하고 건조한 장소에 저장할 것</v>
          </cell>
        </row>
        <row r="1388">
          <cell r="B1388" t="str">
            <v>119530-69-7</v>
          </cell>
          <cell r="C1388" t="str">
            <v>도데실 또는 테트라데실 N-(2,2,6,6-테트라메틸-4-피페리디닐)-β-알라닌</v>
          </cell>
          <cell r="D1388" t="str">
            <v>2005-1-552</v>
          </cell>
          <cell r="E1388" t="str">
            <v>및 이를 25% 이상 함유한 혼합물질</v>
          </cell>
          <cell r="F1388">
            <v>25</v>
          </cell>
          <cell r="G1388" t="str">
            <v>- 적절한 보호복과 보호 장갑을 착용할 것
- 안면 보호구를 착용할 것
- 환경에 배출을 피하고 특별한 지침과 물질보건안전자료를 참조할 것</v>
          </cell>
        </row>
        <row r="1389">
          <cell r="B1389" t="str">
            <v>119530-70-0</v>
          </cell>
          <cell r="C1389" t="str">
            <v>도데실 또는 테트라데실 N-(2,2,6,6-테트라메틸-4-피페리디닐)-β-알라닌</v>
          </cell>
          <cell r="D1389" t="str">
            <v>2005-1-552</v>
          </cell>
          <cell r="E1389" t="str">
            <v>및 이를 25% 이상 함유한 혼합물질</v>
          </cell>
          <cell r="F1389">
            <v>25</v>
          </cell>
          <cell r="G1389" t="str">
            <v>- 적절한 보호복과 보호 장갑을 착용할 것
- 안면 보호구를 착용할 것
- 환경에 배출을 피하고 특별한 지침과 물질보건안전자료를 참조할 것</v>
          </cell>
        </row>
        <row r="1390">
          <cell r="B1390" t="str">
            <v>21806-61-1</v>
          </cell>
          <cell r="C1390" t="str">
            <v>5H-1,2-옥사티올, 2,2-디옥시드</v>
          </cell>
          <cell r="D1390" t="str">
            <v>2005-1-553</v>
          </cell>
          <cell r="E1390" t="str">
            <v>및 이를 25% 이상 함유한 혼합물질</v>
          </cell>
          <cell r="F1390">
            <v>25</v>
          </cell>
          <cell r="G1390" t="str">
            <v>- 취급 후 철저히 씻으시오
- 공학적 관리 및 개인보호구를 참조하여 작업할 것
- 고온에 주의할 것
- 물질 유출시 공기 중 산소 농도를 저하시켜서 밀폐된 장소에서 질식을 일으킬 수 있으므로 유출되지 않도록 주의할 것
- 공기 중 고농도 상태에서 산소 결핍을 일으켜 의식상실 혹은 사망을 일으킬 위험이 있으므로 해당 장소에 들어가기 전 산소 농도를 체크할 것
- 물질 유출시 액체가 빠르게 증발하면서 공기를 대체함에 따라 밀폐장소에서 있을 때 심각한 질식의 우려가 있으므로 유출되지 않도록 주의할 것
- 물질 유출시 공기중에서 이 가스의 유해 농도까지 매우 빨리 도달하므로 유출되지 않도록 주의할 것
- 뿌리면 공기 입자의 유해 농도까지 매우 빨리 도달할 수 있으므로 스프레이 금지할 것
- 20℃에서 이 물질이 다소 천천히 증발하면서 유해 농도에 도달하므로 20℃ 이하로 유지할 것
- 20℃에서 증발은 거의 일어나지 않으나, 뿌리면 공기 입자의 유해 농도까지 매우 빨리 도달할 수 있으므로 스프레이 금지할 것
- 20℃에서 증발은 거의 일어나지 않으나, 뿌리거나 스프레이 하면 공기 입자의 유해 농도까지 매우 빨리 도달할 수 있으므로 뿌리거나 스프레이 금지(특히, 파우더의 경우)할 것
- 20℃에서 증발은 거의 일어나지 않으나, 뿌리면 공기 입자의 유해 농도까지 매우 빨리 도달할 수 있으므로 스프레이 금지(특히, 파우더의 경우)할 것
- 해당 장소에 들어가기 전 산소 농도를 체크할 것
- 스프레이하거나 뿌리는 경우 더 빠르게 증발하므로 금지할 것
- 밀폐하여 보관할 것
- 서늘하고 건조한 장소에 저장할 것</v>
          </cell>
        </row>
        <row r="1391">
          <cell r="C1391" t="str">
            <v>N,N'-비스[3-(디메틸아미노)프로필]우레아와 1,1'-옥시비스[2-클로로에탄]의 중합체</v>
          </cell>
          <cell r="D1391" t="str">
            <v>2005-1-554</v>
          </cell>
          <cell r="E1391" t="str">
            <v>및 이를 25% 이상 함유한 혼합물질</v>
          </cell>
          <cell r="F1391">
            <v>25</v>
          </cell>
          <cell r="G1391" t="str">
            <v>- 원래의 용기에 저장할 것
- 용기를 안전하게 밀폐할 것
- 극한 환경으로부터 보호받는 서늘하고 건조한 장소에 저장할 것
- 혼합금지물질, 식료품 저장 용기와 멀리 떨어진 곳에 보관할 것
- 물리적 손상으로부터 용기를 보호하고 정기적으로 누수를 확인할 것
- 저장 및 취급 시, 제조자의 권고사항을 살펴볼 것
- 양이 많고 해안지역에서 저장하는 경우 그 지역의 수원으로부터 저장 장소를 격리(빗물, 지하수, 호수나 강포함)
- 흡입을 포함한 모든 인체 접촉은 피할 것
- 노출 위험이 발생할 때, 보호의를 착용할 것
- 통풍이 잘 되는 장소에서 사용할 것
- 움푹한 곳에 모이지 않도록 할 것
- 대기상태가 확인될 때까지 밀폐된 공간으로 들어가지 말 것
- 사람, 외부에 노출된 식품이나 식기에 닿지 않도록 할 것
- 혼합금지물질과 접촉시키지 않을 것
- 취급 시 먹거나 마시거나 흡연 금지할 것
- 사용하지 않을 때에는 용기를 안전하게 밀폐시킬 것
- 용기에 물리적인 위험을 피할 것
- 취급 후에는 항상 비누와 물로 손을 세척할 것
- 적합한 작업장을 사용할 것
- 저장 및 취급 시, 제조자의 권고사항을 살펴볼 것
- 안전한 작업환경을 유지하기 위하여 대기 노출 기준을 준수할 수 있도록 공기 질을 정기적으로 확인할 것
- 빈 용기에 잔류물질은 바닥에 쌓여서 축적될 수 있으며 적당한 점화원이 존재하는 경우에 폭발할 수도 있으므로 용기에 절삭, 천공, 연마 또는 용접을 해서는 안 되고, 그러한 행위들이 적절한 작업 안전 승인 또는 허가 없이 용기 근처(차있거나 부분적으로 차있거나 비어 있는 용기)에서 수행되면 안 될 것
- 산화제와의 반응을 피할 것
- 환경에 배출을 피할 것
- 환경오염을 피하기 위하여 적절한 용기를 사용할 것</v>
          </cell>
        </row>
        <row r="1392">
          <cell r="B1392" t="str">
            <v>81741-28-8</v>
          </cell>
          <cell r="C1392" t="str">
            <v>염화 트리부틸테트라데실포스포늄</v>
          </cell>
          <cell r="D1392" t="str">
            <v>2005-1-555</v>
          </cell>
          <cell r="E1392" t="str">
            <v>및 이를 25% 이상 함유한 혼합물질</v>
          </cell>
          <cell r="F1392">
            <v>25</v>
          </cell>
          <cell r="G1392" t="str">
            <v>- 원래의 용기에 저장할 것
- 용기를 안전하게 밀폐시킬 것
- 극한 환경으로부터 보호받는 서늘하고 건조한 장소에 저장할 것
- 혼합금지물질, 식료품 저장 용기와 멀리 떨어진 곳에 보관할 것
- 물리적 손상으로부터 용기를 보호하고 정기적으로 누수를 확인할 것
- 저장 및 취급 시, 제조자의 권고사항을 살펴볼 것
- 흡입을 포함한 모든 인체 접촉은 피할 것
- 노출 위험이 발생할 때, 보호의를 착용할 것
- 통풍이 잘 되는 장소에서 사용할 것
- 격렬한 반응을 피하기 위해 항상 물에 물질을 첨가하고, 절대 물을 물질에 첨가 금지할 것
- 흡연, 직사광선이나 점화원을 피할 것
- 혼합금지물질과 접촉시키지 않을 것
- 취급 시 먹거나 마시거나 흡연 금지할 것
- 사용하지 않을 때에는 용기를 안전하게 밀폐시킬 것
- 용기에 물리적인 위험을 피할 것
- 취급 후에는 항상 비누와 물로 손을 세척할 것
- 적합한 작업장을 사용할 것
- 저장 및 취급 시, 제조자의 권고사항을 살펴볼 것
- 안전한 작업환경을 유지하기 위하여 대기 노출 기준을 준수할 수 있도록 공기 질을 정기적으로 확인할 것
- 산화제류와의 반응을 피하고 강알칼리류로부터 분리할 것
- 적절한 보호복과 보호 장갑을 착용할 것
- 안면 보호구를 착용할 것
- 눈과의 접촉을 피할 것
- 환경에 배출을 피할 것</v>
          </cell>
        </row>
        <row r="1393">
          <cell r="B1393" t="str">
            <v>117-81-7</v>
          </cell>
          <cell r="C1393" t="str">
            <v>비스(2-에틸헥실) 프탈레이트</v>
          </cell>
          <cell r="D1393" t="str">
            <v>2006-1-556</v>
          </cell>
          <cell r="E1393" t="str">
            <v>및 이를 25% 이상 함유한 혼합물질</v>
          </cell>
          <cell r="F1393">
            <v>25</v>
          </cell>
          <cell r="G1393" t="str">
            <v>- 극한 환경으로부터 보호받는 서늘하고 건조한 장소에 저장할 것
- 확실하게 밀폐된 용기에 저장할 것
- 원래의 용기에 저장할 것
- 용기를 안전하게 밀폐시킬 것
- 흡연, 직사광선이나 점화원을 피할 것
- 서늘하고 건조하고 통풍이 잘 되는 장소에 저장할 것
- 혼합금지물질, 식료품 저장 용기와 멀리 떨어진 곳에 보관할 것
- 물리적 손상으로부터 용기를 보호하고 정기적으로 누수를 확인할 것
- 저장 및 취급 시, 제조자의 권고사항을 살펴볼 것
- 분진, 증기, 미스트나 가스를 흡입 금지할 것
- 화학물질 흄 후드 내에서만 취급할 것
- 흡입을 포함한 모든 인체 접촉은 피할 것
- 노출 위험이 발생할 때, 보호의를 착용할 것
- 통풍이 잘 되는 장소에서 사용할 것
- 움푹한 곳에 모이지 않도록 할 것
- 대기상태가 확인될 때까지 밀폐된 공간으로 들어가지 말 것
- 사람, 외부에 노출된 식품이나 식기에 닿지 않도록 할 것
- 혼합금지물질과 접촉시키지 않을 것
- 취급 시 먹거나 마시거나 흡연 금지할 것
- 사용하지 않을 때에는 용기를 안전하게 밀폐시킬 것
- 용기에 물리적인 위험을 피할 것
- 취급 후에는 항상 비누와 물로 손을 세척할 것
- 적합한 작업장을 사용할 것
- 저장 및 취급 시, 제조자의 권고사항을 살펴볼 것
- 안전한 작업환경을 유지하기 위하여 대기 노출 기준을 준수할 수 있도록 공기 질을 정기적으로 확인할 것
- 노출을 피할 것(사용 전 노출을 피할 수 있는 추가적인 정보를 확보)할 것</v>
          </cell>
        </row>
        <row r="1394">
          <cell r="B1394" t="str">
            <v>84-74-2</v>
          </cell>
          <cell r="C1394" t="str">
            <v>디부틸 프탈레이트</v>
          </cell>
          <cell r="D1394" t="str">
            <v>2006-1-557</v>
          </cell>
          <cell r="E1394" t="str">
            <v>및 이를 25% 이상 함유한 혼합물질</v>
          </cell>
          <cell r="F1394">
            <v>25</v>
          </cell>
          <cell r="G1394" t="str">
            <v>- 확실하게 밀폐된 용기에 저장할 것
- 서늘하고 건조하고 통풍이 잘 되는 장소에서 혼합금지물질과 떨어진 곳에 저장할 것
- 물리적 손상으로부터 용기를 보호하고 정기적으로 누수를 확인할 것
- 저장 및 취급 시, 제조자의 권고사항을 살펴볼 것
- 취급 후, 손을 철저하게 세척할 것
- 분진 발생과 분진 축적을 최소화할 것
- 눈, 피부 및 옷과 접촉하지 않도록 할 것
- 용기를 완전히 밀폐시킬 것
- 적절한 환기장치를 사용할 것
- 재사용 전에 옷을 세탁할 것
- 흡입을 포함한 모든 인체 접촉은 피할 것
- 노출 위험이 발생할 때, 보호의를 착용할 것
- 통풍이 잘 되는 장소에서 사용할 것
- 움푹한 곳에 모이지 않도록 할 것
- 대기상태가 확인될 때까지 밀폐된 공간으로 들어가지 말 것
- 흡연, 직사광선이나 점화원을 피할 것
- 혼합금지물질과 접촉시키지 않을 것
- 용기에 물리적인 위험을 피할 것
- 적합한 작업장을 사용할 것
- 저장 및 취급 시, 제조자의 권고사항을 살펴볼 것
- 안전한 작업환경을 유지하기 위하여 대기 노출 기준을 준수할 수 있도록 공기 질을 정기적으로 확인할 것
- 노출을 피할 것(사용 전 노출을 피할 수 있는 추가적인 정보를 확보)할 것
- 환경에 배출을 피할 것</v>
          </cell>
        </row>
        <row r="1395">
          <cell r="B1395" t="str">
            <v>85-68-7</v>
          </cell>
          <cell r="C1395" t="str">
            <v>부틸벤질 프탈레이트</v>
          </cell>
          <cell r="D1395" t="str">
            <v>2006-1-558</v>
          </cell>
          <cell r="E1395" t="str">
            <v>및 이를 25% 이상 함유한 혼합물질</v>
          </cell>
          <cell r="F1395">
            <v>25</v>
          </cell>
          <cell r="G1395" t="str">
            <v>- 서늘하고 건조하고 어두운 장소에서 밀폐된 용기나 실린더에 저장할 것
- 혼합금지물질 및 점화원을 격리할 것
- 훈련되지 않은 사람은 접근하지 않을 것
- 구역을 안전하게 하고 라벨을 붙일 것
- 물리적 손상으로부터 용기/실린더를 보호할 것
- 원래의 용기에 저장할 것
- 용기를 안전하게 밀폐시킬 것
- 물리적 손상으로부터 용기를 보호하고 정기적으로 누수를 확인할 것
- 저장 및 취급 시, 제조자의 권고사항을 살펴볼 것
- 직접적인 물리적 접촉을 피할 것
- 적절하고 인증된 안전 장비를 사용할 것
- 훈련되지 않은 사람은 이 화학물질 또는 그 용기를 취급 금지할 것
- 화학물질 흄 후드 내에서 취급할 것
- 흡입을 포함한 모든 인체 접촉은 피할 것
- 노출 위험이 발생할 때, 보호의를 착용할 것
- 통풍이 잘 되는 장소에서 사용할 것
- 움푹한 곳에 모이지 않도록 할 것
- 대기상태가 확인될 때까지 밀폐된 공간으로 들어가지 말 것
- 사람, 외부에 노출된 식품이나 식기에 닿지 않도록 할 것
- 혼합금지물질과 접촉시키지 않을 것
- 취급 시 먹거나 마시거나 흡연 금지할 것
- 사용하지 않을 때에는 용기를 안전하게 밀폐시킬 것
- 용기에 물리적인 위험을 피할 것
- 취급 후에는 항상 비누와 물로 손을 세척할 것
- 적합한 작업장을 사용할 것
- 저장 및 취급 시, 제조자의 권고사항을 살펴볼 것
- 안전한 작업환경을 유지하기 위하여 대기 노출 기준을 준수할 수 있도록 공기 질을 정기적으로 확인할 것
- 노출을 피할 것(사용 전 노출을 피할 수 있는 추가적인 정보를 확보)할 것
- 환경에 배출을 피할 것</v>
          </cell>
        </row>
        <row r="1396">
          <cell r="B1396" t="str">
            <v>122454-29-9</v>
          </cell>
          <cell r="C1396" t="str">
            <v>4-브로모-2-(4-클로로페닐)-5-(트리플루오로메틸)-1H-피롤-3-카르보니트릴</v>
          </cell>
          <cell r="D1396" t="str">
            <v>2008-1-559</v>
          </cell>
          <cell r="E1396" t="str">
            <v>및 이를 25% 이상 함유한 혼합물질</v>
          </cell>
          <cell r="F1396">
            <v>25</v>
          </cell>
          <cell r="G1396" t="str">
            <v>- 용기가 비워진 후에도 제품 찌꺼기가 남아 있을 수 있으므로 모든 MSDS/라벨 예방조치를 따를 것
- 공학적 관리 및 개인보호구를 참조하여 작업할 것
- 고온에 주의할 것</v>
          </cell>
        </row>
        <row r="1397">
          <cell r="B1397" t="str">
            <v>13292-87-0</v>
          </cell>
          <cell r="C1397" t="str">
            <v>디메틸 설파이드 보란</v>
          </cell>
          <cell r="D1397" t="str">
            <v>2008-1-560</v>
          </cell>
          <cell r="E1397" t="str">
            <v>및 이를 25% 이상 함유한 혼합물질</v>
          </cell>
          <cell r="F1397">
            <v>25</v>
          </cell>
          <cell r="G1397" t="str">
            <v>- 서늘하고 건조한 장소에 저장할 것
- 확실하게 밀폐된 용기에 저장할 것
- 질소가스를 충전하여 보관할 것
- 냉장보관/화기엄금할 것
- 탱크 저장 시 공인된 기준에 맞게 설계된 압력 용기를 사용할 것
- 탱크의 액체 유입구와 방출구에는 화재발생 시 자동으로 닫히는 원격 차단 밸브가 있어야 할 것
- 같은 화합물이 누출된 지점에 두 개 이상의 탱크가 위치해 있을 때, 탱크들이 불의 영향을 받지 않기 위해 탱크와 멀리
떨어진 집수장으로 유출물이 흐르도록 해야 할 것
- 탱크와 누출 화합물은 다른 위험한 물질을 담고 있는 탱크에 적어도 30m 정도 떨어져 있어야 할 것
- 적절한 환기장치를 사용할 것
- 격렬한 반응이 일어나기 때문에 용기 안으로 물이 들어가지 않도록 할 것
- 분진, 증기, 미스트나 가스를 흡입 금지할 것
- 눈, 피부 및 옷과 접촉하지 않도록 할 것
- 열, 스파크, 화염과의 접촉을 피할 것
- 화학물질 흄 후드 내에서만 취급할 것
- 흡입을 포함한 모든 인체 접촉은 피할 것
- 노출 위험이 발생할 때, 보호의를 착용할 것
- 통풍이 잘 되는 장소에서 사용할 것
- 습기를 피할 것
- 흡연, 직사광선이나 점화원을 피할 것
- 혼합금지물질과 접촉시키지 않을 것
- 취급 시 먹거나 마시거나 흡연 금지할 것
- 사용하지 않을 때에는 용기를 안전하게 밀폐시킬 것
- 용기에 물리적인 위험을 피할 것
- 취급 후에는 항상 비누와 물로 손을 세척할 것
- 적합한 작업장을 사용할 것
- 저장 및 취급 시, 제조자의 권고사항을 살펴볼 것
- 안전한 작업환경을 유지하기 위하여 대기 노출 기준을 준수할 수 있도록 공기질을 정기적으로 확인할 것
- 용기 근처에서 가압, 절단, 용접, 납땜, 연마, 천공을 해서는
안될 것
- 수분과의 혼합은 폭발성 수소 가스를 발생시켜 밀폐된 용기에 점점 압력을 형성할 것
- 알코올, 물로부터 분리할 것
- 산화제, 산류, 산 염화물류, 산 무수물류, 클로로폼에이트류를 피할 것</v>
          </cell>
        </row>
        <row r="1398">
          <cell r="B1398" t="str">
            <v>163269-30-5</v>
          </cell>
          <cell r="C1398" t="str">
            <v>베톡사진</v>
          </cell>
          <cell r="D1398" t="str">
            <v>2008-1-561</v>
          </cell>
          <cell r="E1398" t="str">
            <v>및 이를 2.5% 이상 함유한 혼합물질</v>
          </cell>
          <cell r="F1398">
            <v>2.5</v>
          </cell>
          <cell r="G1398" t="str">
            <v>- 용기가 비워진 후에도 제품 찌꺼기가 남아 있을 수 있으므로
모든 MSDS/라벨 예방조치를 따를 것
- 공학적 관리 및 개인보호구를 참조하여 작업할 것
- 고온에 주의할 것</v>
          </cell>
        </row>
        <row r="1399">
          <cell r="B1399" t="str">
            <v>25307-17-9</v>
          </cell>
          <cell r="C1399" t="str">
            <v>2,2'-(9-옥타데세닐이미노)비스에탄올</v>
          </cell>
          <cell r="D1399" t="str">
            <v>2008-1-562</v>
          </cell>
          <cell r="E1399" t="str">
            <v>및 이를 10% 이상 함유한 혼합물질</v>
          </cell>
          <cell r="F1399">
            <v>10</v>
          </cell>
          <cell r="G1399" t="str">
            <v>- 원래의 용기에 저장할 것
- 용기를 안전하게 밀폐시킬 것
- 극한 환경으로부터 보호받는 서늘하고 건조한 장소에 저장할 것
- 혼합금지물질, 식료품 저장 용기와 멀리 떨어진 곳에 보관할 것
- 물리적 손상으로부터 용기를 보호하고 정기적으로 누수를 확인할 것
- 저장 및 취급 시, 제조자의 권고사항을 살펴볼 것
- 양이 많을 경우 제한된 구역에 저장하고 그 지역의 수원(빗물, 지하수, 호수나 강 포함)으로부터 저장 장소를 격리할 것
- 15~30℃사이에서 저장할 것
- 서늘하고 건조한 장소에 저장할 것
- 혼합금지물질과 떨어진 곳에 저장할 것
- 식료품 저장 용기와 떨어진 곳에 보관할 것
- 용기를 물리적 손상으로부터 보호할 것
- 유출 및 누출을 정기적으로 점검할 것
- 불필요한 인체접촉을 제한할 것
- 노출 위험이 발생할 때, 보호의를 착용할 것
- 통풍이 잘 되는 장소에서 사용할 것
- 혼합금지물질과 접촉시키지 않을 것
- 취급 시 먹거나 마시거나 흡연 금지할 것
- 사용하지 않을 때에는 용기를 안전하게 밀폐시킬 것
- 용기에 물리적인 위험을 피할 것
- 취급 후에는 항상 비누와 물로 손을 세척할 것
- 적합한 작업장을 사용할 것
- 저장 및 취급 시, 제조자의 권고사항을 살펴볼 것
- 안전한 작업환경을 유지하기 위하여 대기 노출 기준을 준수할 수 있도록 공기질을 정기적으로 확인할 것
- 산화제와 함께 저장하는 것을 피할 것</v>
          </cell>
        </row>
        <row r="1400">
          <cell r="B1400" t="str">
            <v>354-32-5</v>
          </cell>
          <cell r="C1400" t="str">
            <v>염화 트리플루오로아세틸</v>
          </cell>
          <cell r="D1400" t="str">
            <v>2008-1-563</v>
          </cell>
          <cell r="E1400" t="str">
            <v>및 이를 1% 이상 함유한 혼합물질</v>
          </cell>
          <cell r="F1400">
            <v>1</v>
          </cell>
          <cell r="G1400" t="str">
            <v>- 서늘하고 건조하고 어두운 장소에서 밀폐된 용기나 실린더에 저장할 것
- 혼합금지물질 및 점화원을 격리할 것
- 훈련되지 않은 사람은 접근하지 않을 것
- 구역을 안전하게 하고 라벨을 붙일 것
- 물리적 손상으로부터 용기/실린더를 보호할 것
- 외부나 분리된 저장소를 우선시 할 것
- 실린더는 통풍이 잘되고 되도록이면 개방되어 있는 특수하게 만들어진 화합물에 저장할 것
- 저장용기는 깨끗해야하고 권한이 있는 사람만 접근할 수 있도록 제한할 것
- 외부에 저장된 실린더는 녹이나 극한 날씨로부터 보호받을 것
- 저장할 때 실린더는 흔들리거나 구르지 않도록 할 것
- 실린더 밸브는 사용하지 않을 시 잠그도록 할 것
- 안전을 위해서 실린더와 안전 밸브장치가 맞도록 할 것
- 가스 실린더는 위험물법(the  Dangerous  Goods Act)의 요구조건에 따라서 분리할 것
- 되도록이면 가득 찬 실린더와 빈 실린더는 분리하여 저장할 것
- 저장 장소에 들어가기 전에 가스의 위험농도를 확인할 것
- 가장 오래된 실린더가 먼저 사용되도록 정리할 것
- 주기적으로 저장소 안의 실린더의 일반적인 상태나 누수를 확인할 것
- 물리적 손상으로부터 실린더를 보호할 것
- 취급 방법에 따라서 정확하게 실린더를 이동시키고 저장할 것
- 모든 화학물질은 위험물로 간주하고 직접적인 물리적 접촉을 피할 것
- 적절하고 인증된 안전 장비를 사용할 것
- 훈련되지 않은 사람은 이 화학물질 또는 그 용기를 취급 금지할 것
- 화학물질 흄 후드 내에서만 취급할 것
- 폐쇄되고 가압된 상태, 적절한 온도와 압력 및 안전 경감밸브 하에서 사용할 것
- 이중 파이프, 다이어프램(diaphragm)이나 벨로스(bellows)로 봉인, 부드러운 시트 밸브(seat  valve),  역류 방지 장치, 역화방지기, 흐름 관찰 장치나 흐름 제어 장치 사용을 고려 할 것
- 낮은 압력(&lt;100  psig)에서 실린더를 파이프나 시스템에 연결할 때, 감압 조절장치를 사용할 것
- 방출 라인에서 위험물질이 실린더 내로 다시 흘러 들어가는 것을 막기 위해 확인밸브나 방취판을 사용할 것
- 누출 또는 누수를 정기적으로 점검할 것
- 밸브를 꼭 잠가서 보관하도록 하며, 수동핸들 또는 실린더 키와 같은 별도의 장치는 사용 금지할 것
- 밸브 보호마개는 용기가 사용지점으로 수송되는 밸브 배출구와 함께 고정되지 않는 한, 제자리 있어야 할 것
- 실린더를 끌거나 밀거나 또는 굴리지 말고 손수레를 이용하여 실린더를 움직일 것
- 붓과 세제를 이용하여 누수를 확인하고 불꽃에 노출되지 않도록 할 것
- 실린더에서 나오는 물질의 방출속도를 증가시키기 위해 어떤 수단으로도 실린더를 가열 금지할 것
- 필요시에 누수 마개 나사를 조일 것
- 실린더 밸브가 완전하게 잠기지 않는다면, 실린더를 통풍이 잘되는 장소(예, 옥외)로 이동 시키고 비어 있다면, “불량” 태그를 붙여 공급자에게 반송할 것
- 작업자는 수리를 시도하기 전에 허가를 받을 것
- 압력 하에서, 라인이나 용기에 대한 보수 작업을 시도 금지할 것
- 누수 이후 일을 재개하기 전에 대기상태는 테스트를 받을 것
- 실린더를 연결하거나 교체 시, 시스템에 압력이 가해져서 갑자기 부유분진이 배출될 수 있으므로 주의할 것
- 가스를 다른 실린더로 이동시키지 말 것
- 강염기류 및 대부분의 금속과 접촉을 피할 것
- 알코올, 물로부터 분리하여 저장할 것</v>
          </cell>
        </row>
        <row r="1401">
          <cell r="B1401" t="str">
            <v>874299-51-1</v>
          </cell>
          <cell r="C1401" t="str">
            <v>[3-(히드록시-kO)-4-[[2-(히드록시-kO)-1-나프탈렌일]아조-kN1]-7-니트로-1-나프탈렌술포나토(3-)][4-(히드록시-kO)-3-[[2-(히드록시-kO)-5-니트로페닐]아조-kN1]-7-(페닐아미노)-2-나프탈렌술포나토(3-)]크롬산(3-), 이수소 나트륨</v>
          </cell>
          <cell r="D1401" t="str">
            <v>2008-1-564</v>
          </cell>
          <cell r="E1401" t="str">
            <v>및 이를 25% 이상 함유한 혼합물질</v>
          </cell>
          <cell r="F1401">
            <v>25</v>
          </cell>
          <cell r="G1401" t="str">
            <v>- 공학적 관리 및 개인보호구를 참조하여 작업할 것
- 고온에 주의할 것
- 물질 유출시 공기 중 산소 농도를 저하시켜서 밀폐된 장소에서 질식을 일으킬 수 있으므로 유출되지 않도록 주의할 것
- 공기 중 고농도 상태에서 산소 결핍을 일으켜 의식상실 혹은 사망을 일으킬 위험이 있으므로 해당 장소에 들어가기 전 산소 농도를 체크할 것
- 물질 유출시 액체가 빠르게 증발하면서 공기를 대체함에 따라 밀폐장소에서 있을 때 심각한 질식의 우려가 있으므로 유출되지 않도록 주의할 것
- 물질 유출시 공기중에서 이 가스의 유해 농도까지 매우 빨리 도달하므로 유출되지 않도록 주의할 것
- 뿌리면 공기 입자의 유해 농도까지 매우 빨리 도달할 수 있으므로 뿌리지 말 것
- 20℃에서 이 물질이 다소 천천히 증발하면서 유해 농도에 도달하므로 20℃ 이하로 유지할 것
- 20℃에서 증발은 거의 일어나지 않으나, 뿌리면 공기 입자의 유해 농도까지 매우 빨리 도달할 수 있으므로 금할 것
- 20℃에서 증발은 거의 일어나지 않으나, 뿌리거나 스프레이 하면 공기 입자의 유해 농도까지 매우 빨리 도달할 수 있으므로 금할 것 (특히, 파우더의 경우)
- 20℃에서 증발은 거의 일어나지 않으나, 뿌리면 공기 입자의 유해 농도까지 매우 빨리 도달할 수 있으므로 뿌리지 말 것(특히, 파우더의 경우)
- 해당 장소에 들어가기 전 산소 농도를 체크할 것
- 스프레이하거나 분무 경우 더 빠르게 증발하므로 금할 것
- 밀폐하여 보관할 것
- 서늘하고 건조한 장소에 저장할 것</v>
          </cell>
        </row>
        <row r="1402">
          <cell r="B1402" t="str">
            <v>874299-52-2</v>
          </cell>
          <cell r="C1402" t="str">
            <v>[3-(히드록시-kO)-4-[[2-(히드록시-kO)-1-나프탈렌일]아조-kN1]-7-니트로-1-나프탈렌술포나토(3-)][4-(히드록시-kO)-3-[[2-(히드록시-kO)-5-니트로페닐]아조-kN1]-8-[(2-히드록시-5-니트로페닐)아조]-7-(페닐아미노)-2-나프탈렌술포나토(3-)]크롬산(3-), 이수소 나트륨</v>
          </cell>
          <cell r="D1402" t="str">
            <v>2008-1-565</v>
          </cell>
          <cell r="E1402" t="str">
            <v>및 이를 25% 이상 함유한 혼합물질</v>
          </cell>
          <cell r="F1402">
            <v>25</v>
          </cell>
          <cell r="G1402" t="str">
            <v>- 취급 후 철저히 세척할 것
- 공학적 관리 및 개인보호구를 참조하여 작업할 것
- 고온에 주의할 것
- 물질 유출시 공기 중 산소 농도를 저하시켜서 밀폐된 장소에서 질식을 일으킬 수 있으므로 유출되지 않도록 주의할 것
- 공기 중 고농도 상태에서 산소 결핍을 일으켜 의식상실 혹은 사망을 일으킬 위험이 있으므로 해당 장소에 들어가기 전 산소 농도를 체크할 것
- 물질 유출시 액체가 빠르게 증발하면서 공기를 대체함에 따라 밀폐장소에서 있을 때 심각한 질식의 우려가 있으므로 유출되지 않도록 주의할 것
- 물질 유출시 공기중에서 이 가스의 유해 농도까지 매우 빨리 도달하므로 유출되지 않도록 주의할 것</v>
          </cell>
        </row>
        <row r="1403">
          <cell r="B1403" t="str">
            <v>874299-53-3</v>
          </cell>
          <cell r="C1403" t="str">
            <v>[μ-[4-(히드록시-kO)-3,8-비스[[2-(히드록시-kO)-5-니트로페닐]아조-kN1]-7-(페닐아미노-kN)-2-나프탈렌술포나토](5-)]비스[3-(히드록시-kO)-4-[[2-(히드록시-kO)-1-나프탈렌일]아조-kN1]-7-니트로-1-나프탈렌 술포나토(3-)]중크롬산(5-), 삼수소 이나트륨</v>
          </cell>
          <cell r="D1403" t="str">
            <v>2008-1-566</v>
          </cell>
          <cell r="E1403" t="str">
            <v>및 이를 25% 이상 함유한 혼합물질</v>
          </cell>
          <cell r="F1403">
            <v>25</v>
          </cell>
          <cell r="G1403" t="str">
            <v>- 취급 후 철저히 세척할 것
- 공학적 관리 및 개인보호구를 참조하여 작업할 것
- 고온에 주의할 것
- 물질 유출시 공기 중 산소 농도를 저하시켜서 밀폐된 장소에서 질식을 일으킬 수 있으므로 유출되지 않도록 주의할 것
- 공기 중 고농도 상태에서 산소 결핍을 일으켜 의식상실 혹은 사망을 일으킬 위험이 있으므로 해당 장소에 들어가기 전 산소 농도를 체크할 것
- 물질 유출시 액체가 빠르게 증발하면서 공기를 대체함에 따라 밀폐장소에서 있을 때 심각한 질식의 우려가 있으므로 유출되지 않도록 주의할 것
- 물질 유출시 공기중에서 이 가스의 유해 농도까지 매우 빨리 도달하므로 유출되지 않도록 주의할 것
- 뿌리면 공기 입자의 유해 농도까지 매우 빨리 도달할 수 있으므로 뿌리지 말 것
- 20℃에서 이 물질이 다소 천천히 증발하면서 유해 농도에 도달하므로 20℃ 이하로 유지할 것
- 20℃에서 증발은 거의 일어나지 않으나, 뿌리면 공기 입자의 유해 농도까지 매우 빨리 도달할 수 있으므로 뿌리지 말 것
- 20℃에서 증발은 거의 일어나지 않으나, 뿌리거나 스프레이하면 공기 입자의 유해 농도까지 매우 빨리 도달할 수 있으므로 뿌리거나 스프레이하지 말 것 (특히, 파우더의 경우)
- 20℃에서 증발은 거의 일어나지 않으나, 뿌리면 공기 입자의 유해 농도까지 매우 빨리 도달할 수 있으므로 뿌리지 말 것 (특히, 파우더의 경우)
- 해당 장소에 들어가기 전 산소 농도를 체크할 것
- 스프레이하거나 뿌리는 경우 더 빠르게 증발하므로 스프레이하거나 뿌리지 말 것
- 밀폐하여 보관할 것
- 서늘하고 건조한 장소에 저장할 것</v>
          </cell>
        </row>
        <row r="1404">
          <cell r="B1404" t="str">
            <v>131013-83-7</v>
          </cell>
          <cell r="C1404" t="str">
            <v>N,N,N-트리메틸메탄아미늄과 3,3'-[[6-[(2-히드록시에틸)아미노]-1,3,5-트리아진-2,4-디일]비스[이미노(2-메틸-4,1-페닐렌)아조]]비스[1,5-나프탈렌디술폰산]의 염(4:1)</v>
          </cell>
          <cell r="D1404" t="str">
            <v>2008-1-567</v>
          </cell>
          <cell r="E1404" t="str">
            <v>및 이를 25% 이상 함유한 혼합물질</v>
          </cell>
          <cell r="F1404">
            <v>25</v>
          </cell>
          <cell r="G1404" t="str">
            <v>- 취급 후에는 취급 부위를 철저히 세척할 것
- 용기가 비워진 후에도 제품 찌꺼기가 남아 있을 수 있으므로 모든 MSDS/라벨 예방조치를 따를 것
- 취급/저장에 주의하여 사용할 것
- 개봉 전에 조심스럽게 마개를 열 것
- 가열된 물질에서 발생하는 증기를 호흡하지 말 것
- 적절한 환기가 없으면 저장지역에 출입하지 말 것
- 공학적 관리 및 개인보호구를 참조하여 작업할 것
- 잠금장치가 있는 저장장소에 저장할 것
- 빈 드럼통은 완전히 배수하고 적절히 막아 즉시 드럼 조절기에 되돌려 놓거나 적절히 배치할 것
- 음식과 음료수로부터 멀리할 것</v>
          </cell>
        </row>
        <row r="1405">
          <cell r="B1405" t="str">
            <v>173010-79-2</v>
          </cell>
          <cell r="C1405" t="str">
            <v>염화 코코 알킬(2,3-디히드록시프로필)디메틸 암모늄 3-포스페이트, 나트륨염</v>
          </cell>
          <cell r="D1405" t="str">
            <v>2008-1-568</v>
          </cell>
          <cell r="E1405" t="str">
            <v>및 이를 25% 이상 함유한 혼합물질</v>
          </cell>
          <cell r="F1405">
            <v>25</v>
          </cell>
          <cell r="G1405" t="str">
            <v>- 취급 후 철저히 세척할 것
- 공학적 관리 및 개인보호구를 참조하여 작업할 것
- 고온에 주의할 것
- 물질 유출시 공기 중 산소 농도를 저하시켜서 밀폐된 장소에서 질식을 일으킬 수 있으므로 유출되지 않도록 주의할 것
- 공기 중 고농도 상태에서 산소 결핍을 일으켜 의식상실 혹은 사망을 일으킬 위험이 있으므로 해당 장소에 들어가기 전
산소 농도를 체크할 것
- 물질 유출시 액체가 빠르게 증발하면서 공기를 대체함에 따라 밀폐장소에서 있을 때 심각한 질식의 우려가 있으므로 유출되지 않도록 주의할 것
- 물질 유출시 공기중에서 이 가스의 유해 농도까지 매우 빨리 도달하므로 유출되지 않도록 주의할 것
- 뿌리면 공기 입자의 유해 농도까지 매우 빨리 도달할 수
있으므로 뿌리지 말 것
- 20℃에서 이 물질이 다소 천천히 증발하면서 유해 농도에 도달하므로 20℃ 이하로 유지할 것
- 20℃에서 증발은 거의 일어나지 않으나, 뿌리면 공기 입자의 유해 농도까지 매우 빨리 도달할 수 있으므로 뿌리지 말 것
- 20℃에서 증발은 거의 일어나지 않으나, 뿌리거나 스프레이 하면 공기 입자의 유해 농도까지 매우 빨리 도달할 수
있으므로 뿌리거나 스프레이하지 말 것 (특히, 파우더의 경우)
- 20℃에서 증발은 거의 일어나지 않으나, 뿌리면 공기 입자의 유해 농도까지 매우 빨리 도달할 수 있으므로 뿌리지 말 것 (특히, 파우더의 경우)
- 해당 장소에 들어가기 전 산소 농도를 체크할 것
- 스프레이하거나 뿌리는 경우 더 빠르게 증발하므로 스프레이하거나 뿌리지 말 것
- 밀폐하여 보관할 것
- 서늘하고 건조한 장소에 저장할 것</v>
          </cell>
        </row>
        <row r="1406">
          <cell r="B1406" t="str">
            <v>116340-05-7</v>
          </cell>
          <cell r="C1406" t="str">
            <v>N,N,N-트리메틸메탄아미늄과 6-아미노-4-히드록시-3-[[7-술포-4-[(4-술포페닐)아조]-1-나프탈렌일]아조]-2,7-나프탈렌디술폰산의 염(4:1)</v>
          </cell>
          <cell r="D1406" t="str">
            <v>2008-1-569</v>
          </cell>
          <cell r="E1406" t="str">
            <v>및 이를 25% 이상 함유한 혼합물질</v>
          </cell>
          <cell r="F1406">
            <v>25</v>
          </cell>
          <cell r="G1406" t="str">
            <v>- 취급 후 철저히 세척할 것
- 공학적 관리 및 개인보호구를 참조하여 작업할 것
- 고온에 주의할 것
- 물질 유출시 공기 중 산소 농도를 저하시켜서 밀폐된
장소에서 질식을 일으킬 수 있으므로 유출되지 않도록 주의할 것
- 공기 중 고농도 상태에서 산소 결핍을 일으켜 의식상실 혹은 사망을 일으킬 위험이 있으므로 해당 장소에 들어가기 전
산소 농도를 체크할 것
- 물질 유출시 액체가 빠르게 증발하면서 공기를 대체함에 따라 밀폐장소에서 있을 때 심각한 질식의 우려가 있으므로 유출되지 않도록 주의할 것
- 물질 유출시 공기중에서 이 가스의 유해 농도까지 매우 빨리 도달하므로 유출되지 않도록 주의할 것
- 뿌리면 공기 입자의 유해 농도까지 매우 빨리 도달할 수 있으므로 뿌리지 말 것
- 20℃에서 이 물질이 다소 천천히 증발하면서 유해 농도에 도달하므로 20℃ 이하로 유지할 것
- 20℃에서 증발은 거의 일어나지 않으나, 뿌리면 공기 입자의 유해 농도까지 매우 빨리 도달할 수 있으므로 뿌리지 말 것
- 20℃에서 증발은 거의 일어나지 않으나, 뿌리거나 스프레이 하면 공기 입자의 유해 농도까지 매우 빨리 도달할 수
있으므로 뿌리거나 스프레이하지 말 것 (특히, 파우더의 경우)
- 20℃에서 증발은 거의 일어나지 않으나, 뿌리면 공기 입자의 유해 농도까지 매우 빨리 도달할 수 있으므로 뿌리지 말 것 (특히, 파우더의 경우)
- 해당 장소에 들어가기 전 산소 농도를 체크할 것
- 스프레이하거나 뿌리는 경우 더 빠르게 증발하므로 스프레이하거나 뿌리지 말 것
- 밀폐하여 보관할 것
- 서늘하고 건조한 장소에 저장할 것</v>
          </cell>
        </row>
        <row r="1407">
          <cell r="B1407" t="str">
            <v>328249-37-2</v>
          </cell>
          <cell r="C1407" t="str">
            <v>2-프로펜산 테트라히드로-2-옥소-3-퓨란일</v>
          </cell>
          <cell r="D1407" t="str">
            <v>2008-1-570</v>
          </cell>
          <cell r="E1407" t="str">
            <v>및 이를 25% 이상 함유한 혼합물질</v>
          </cell>
          <cell r="F1407">
            <v>25</v>
          </cell>
          <cell r="G1407" t="str">
            <v>- 취급 후 철저히 세척할 것
- 공학적 관리 및 개인보호구를 참조하여 작업할 것
- 고온에 주의할 것
- 물질 유출시 공기 중 산소 농도를 저하시켜서 밀폐된 장소에서 질식을 일으킬 수 있으므로 유출되지 않도록 주의할 것
- 공기 중 고농도 상태에서 산소 결핍을 일으켜 의식상실 혹은 사망을 일으킬 위험이 있으므로 해당 장소에 들어가기 전 산소 농도를 체크할 것
- 물질 유출시 액체가 빠르게 증발하면서 공기를 대체함에 따라 밀폐장소에서 있을 때 심각한 질식의 우려가 있으므로 유출되지 않도록 주의할 것
- 물질 유출시 공기중에서 이 가스의 유해 농도까지 매우 빨리 도달하므로 유출되지 않도록 주의할 것
- 뿌리면 공기 입자의 유해 농도까지 매우 빨리 도달할 수 있으므로 뿌리지 말 것
- 20℃에서 이 물질이 다소 천천히 증발하면서 유해 농도에 도달하므로 20℃ 이하로 유지할 것
- 20℃에서 증발은 거의 일어나지 않으나, 뿌리면 공기 입자의 유해 농도까지 매우 빨리 도달할 수 있으므로 뿌리지 말 것
- 20℃에서 증발은 거의 일어나지 않으나, 뿌리거나 스프레이 하면 공기 입자의 유해 농도까지 매우 빨리 도달할 수
있으므로 뿌리거나 스프레이하지 말 것 (특히, 파우더의 경우)
- 20℃에서 증발은 거의 일어나지 않으나, 뿌리면 공기 입자의 유해 농도까지 매우 빨리 도달할 수 있으므로 뿌리지 말 것 (특히, 파우더의 경우)
- 해당 장소에 들어가기 전 산소 농도를 체크할 것
- 스프레이하거나 뿌리는 경우 더 빠르게 증발하므로 스프레이하거나 뿌리지 말 것
- 밀폐하여 보관할 것
- 서늘하고 건조한 장소에 저장할 것</v>
          </cell>
        </row>
        <row r="1408">
          <cell r="B1408" t="str">
            <v>30417-37-9</v>
          </cell>
          <cell r="C1408" t="str">
            <v>1,3-비스[(아크릴아미도메톡시)메틸]우레아</v>
          </cell>
          <cell r="D1408" t="str">
            <v>2008-1-571</v>
          </cell>
          <cell r="E1408" t="str">
            <v>및 이를 1% 이상 함유한 혼합물질</v>
          </cell>
          <cell r="F1408">
            <v>1</v>
          </cell>
          <cell r="G1408" t="str">
            <v>- 취급 후 철저히 세척할 것
- 공학적 관리 및 개인보호구를 참조하여 작업할 것
- 고온에 주의할 것
- 물질 유출시 공기 중 산소 농도를 저하시켜서 밀폐된 장소에서 질식을 일으킬 수 있으므로 유출되지 않도록 주의할 것
- 공기 중 고농도 상태에서 산소 결핍을 일으켜 의식상실 혹은 사망을 일으킬 위험이 있으므로 해당 장소에 들어가기 전 산소 농도를 체크할 것
- 물질 유출시 액체가 빠르게 증발하면서 공기를 대체함에 따라 밀폐장소에서 있을 때 심각한 질식의 우려가 있으므로 유출되지 않도록 주의할 것
- 물질 유출시 공기중에서 이 가스의 유해 농도까지 매우 빨리 도달하므로 유출되지 않도록 주의할 것
- 뿌리면 공기 입자의 유해 농도까지 매우 빨리 도달할 수 있으므로 뿌리지 말 것
- 20℃에서 이 물질이 다소 천천히 증발하면서 유해 농도에 도달하므로 20℃ 이하로 유지할 것
- 20℃에서 증발은 거의 일어나지 않으나, 뿌리면 공기 입자의 유해 농도까지 매우 빨리 도달할 수 있으므로 뿌리지 말 것
- 20℃에서 증발은 거의 일어나지 않으나, 뿌리거나 스프레이 하면 공기 입자의 유해 농도까지 매우 빨리 도달할 수 있으므로 뿌리지 말 것(특히, 파우더의 경우)
- 20℃에서 증발은 거의 일어나지 않으나, 뿌리면 공기 입자의 유해 농도까지 매우 빨리 도달할 수 있으므로 뿌리지 말 것(특히, 파우더의 경우)
- 해당 장소에 들어가기 전 산소 농도를 체크할 것
- 스프레이하거나 분무의 경우 더 빠르게 증발하므로 금할 것
- 밀폐하여 보관할 것
- 서늘하고 건조한 장소에 저장할 것</v>
          </cell>
        </row>
        <row r="1409">
          <cell r="B1409" t="str">
            <v>478695-70-4</v>
          </cell>
          <cell r="C1409" t="str">
            <v>1-(3,3-디메틸시클로헥실)에틸 에틸 말론산</v>
          </cell>
          <cell r="D1409" t="str">
            <v>2008-1-572</v>
          </cell>
          <cell r="E1409" t="str">
            <v>및 이를 25% 이상 함유한 혼합물질</v>
          </cell>
          <cell r="F1409">
            <v>25</v>
          </cell>
          <cell r="G1409" t="str">
            <v>- 용기가 비워진 후에도 제품 찌꺼기가 남아 있을 수 있으므로 모든 MSDS/라벨 예방조치를 따를 것
- 공학적 관리 및 개인보호구를 참조하여 작업할 것
- 고온에 주의할 것</v>
          </cell>
        </row>
        <row r="1410">
          <cell r="B1410" t="str">
            <v>148788-55-0</v>
          </cell>
          <cell r="C1410" t="str">
            <v>N-데실-N,N-디메틸-1-데칸아미늄 카보네이트</v>
          </cell>
          <cell r="D1410" t="str">
            <v>2008-1-573</v>
          </cell>
          <cell r="E1410" t="str">
            <v>및 이를 25% 이상 함유한 혼합물질</v>
          </cell>
          <cell r="F1410">
            <v>25</v>
          </cell>
          <cell r="G1410" t="str">
            <v>- 환경에 배출을 피할 것
- 적절한 보호복과 보호 장갑을 착용할 것</v>
          </cell>
        </row>
        <row r="1411">
          <cell r="B1411" t="str">
            <v>148812-65-1</v>
          </cell>
          <cell r="C1411" t="str">
            <v>N-데실-N,N-디메틸-1-데칸아미늄 카보네이트</v>
          </cell>
          <cell r="D1411" t="str">
            <v>2008-1-573</v>
          </cell>
          <cell r="E1411" t="str">
            <v>및 이를 25% 이상 함유한 혼합물질</v>
          </cell>
          <cell r="F1411">
            <v>25</v>
          </cell>
          <cell r="G1411" t="str">
            <v>- 환경에 배출을 피할 것
- 적절한 보호복과 보호 장갑을 착용할 것</v>
          </cell>
        </row>
        <row r="1412">
          <cell r="B1412" t="str">
            <v>116808-67-4</v>
          </cell>
          <cell r="C1412" t="str">
            <v>트리플루오로메탄술폰산 (4-메톡시페닐)디페닐술포늄</v>
          </cell>
          <cell r="D1412" t="str">
            <v>2008-1-574</v>
          </cell>
          <cell r="E1412" t="str">
            <v>및 이를 25% 이상 함유한 혼합물질</v>
          </cell>
          <cell r="F1412">
            <v>25</v>
          </cell>
          <cell r="G1412" t="str">
            <v>- 용기가 비워진 후에도 제품 찌꺼기가 남아 있을 수 있으므로 모든 MSDS/라벨 예방조치를 따를 것
- 공학적 관리 및 개인보호구를 참조하여 작업할 것
- 고온에 주의할 것</v>
          </cell>
        </row>
        <row r="1413">
          <cell r="B1413" t="str">
            <v>161453-44-7</v>
          </cell>
          <cell r="C1413" t="str">
            <v>4-메틸벤젠술폰산[4-(1,1-디메틸에톡시)페닐]디페닐술포늄</v>
          </cell>
          <cell r="D1413" t="str">
            <v>2008-1-575</v>
          </cell>
          <cell r="E1413" t="str">
            <v>및 이를 25% 이상 함유한 혼합물질</v>
          </cell>
          <cell r="F1413">
            <v>25</v>
          </cell>
          <cell r="G1413" t="str">
            <v>- 취급 후 철저히 세척할 것
- 공학적 관리 및 개인보호구를 참조하여 작업할 것
- 고온에 주의할 것
- 물질 유출시 공기 중 산소 농도를 저하시켜서 밀폐된
장소에서 질식을 일으킬 수 있으므로 유출되지 않도록 주의할 것
- 공기 중 고농도 상태에서 산소 결핍을 일으켜 의식상실 혹은 사망을 일으킬 위험이 있으므로 해당 장소에 들어가기 전
산소 농도를 체크할 것
- 물질 유출시 액체가 빠르게 증발하면서 공기를 대체함에 따라 밀폐장소에서 있을 때 심각한 질식의 우려가 있으므로 유출되지 않도록 주의할 것
- 물질 유출시 공기중에서 이 가스의 유해 농도까지 매우 빨리 도달하므로 유출되지 않도록 주의할 것
- 뿌리면 공기 입자의 유해 농도까지 매우 빨리 도달할 수 있으므로 뿌리지 말 것
- 20℃에서 이 물질이 다소 천천히 증발하면서 유해 농도에 도달하므로 20℃ 이하로 유지할 것
- 20℃에서 증발은 거의 일어나지 않으나, 뿌리면 공기 입자의 유해 농도까지 매우 빨리 도달할 수 있으므로 뿌리지 말 것
- 20℃에서 증발은 거의 일어나지 않으나, 뿌리거나 스프레이 하면 공기 입자의 유해 농도까지 매우 빨리 도달할 수 있으므로 뿌리거나 스프레이하지 말 것 (특히, 파우더의 경우)
- 20℃에서 증발은 거의 일어나지 않으나, 뿌리면 공기 입자의 유해 농도까지 매우 빨리 도달할 수 있으므로 뿌리지 말 것
(특히, 파우더의 경우)
- 해당 장소에 들어가기 전 산소 농도를 체크할 것
- 스프레이하거나 뿌리는 경우 더 빠르게 증발하므로 스프레이하거나 뿌리지 말 것
- 밀폐하여 보관할 것
- 서늘하고 건조한 장소에 저장할 것</v>
          </cell>
        </row>
        <row r="1414">
          <cell r="B1414" t="str">
            <v>197447-16-8</v>
          </cell>
          <cell r="C1414" t="str">
            <v>2,4,6-트리스(1-메틸에틸)벤젠술폰산 트리페닐술포늄</v>
          </cell>
          <cell r="D1414" t="str">
            <v>2008-1-576</v>
          </cell>
          <cell r="E1414" t="str">
            <v>및 이를 25% 이상 함유한 혼합물질</v>
          </cell>
          <cell r="F1414">
            <v>25</v>
          </cell>
          <cell r="G1414" t="str">
            <v>- 취급 후 철저히 세척할 것
- 공학적 관리 및 개인보호구를 참조하여 작업할 것
- 고온에 주의할 것
- 물질 유출시 공기 중 산소 농도를 저하시켜서 밀폐된
장소에서 질식을 일으킬 수 있으므로 유출되지 않도록 주의할 것
- 공기 중 고농도 상태에서 산소 결핍을 일으켜 의식상실 혹은 사망을 일으킬 위험이 있으므로 해당 장소에 들어가기 전 산소 농도를 체크할 것
- 물질 유출시 액체가 빠르게 증발하면서 공기를 대체함에 따라 밀폐장소에서 있을 때 심각한 질식의 우려가 있으므로 유출되지 않도록 주의할 것
- 물질 유출시 공기중에서 이 가스의 유해 농도까지 매우 빨리 도달하므로 유출되지 않도록 주의할 것
- 뿌리면 공기 입자의 유해 농도까지 매우 빨리 도달할 수 있으므로 뿌리지 말 것
- 20℃에서 이 물질이 다소 천천히 증발하면서 유해 농도에 도달하므로 20℃ 이하로 유지할 것
- 20℃에서 증발은 거의 일어나지 않으나, 뿌리면 공기 입자의 유해 농도까지 매우 빨리 도달할 수 있으므로 뿌리지 말 것
- 20℃에서 증발은 거의 일어나지 않으나, 뿌리거나 스프레이 하면 공기 입자의 유해 농도까지 매우 빨리 도달할 수 있으므로 뿌리거나 스프레이하지 말 것 (특히, 파우더의 경우)
- 20℃에서 증발은 거의 일어나지 않으나, 뿌리면 공기 입자의 유해 농도까지 매우 빨리 도달할 수 있으므로 뿌리지 말 것 (특히, 파우더의 경우)
- 해당 장소에 들어가기 전 산소 농도를 체크할 것
- 스프레이하거나 뿌리는 경우 더 빠르게 증발하므로 스프레이하거나 뿌리지 말 것
- 밀폐하여 보관할 것
- 서늘하고 건조한 장소에 저장할 것</v>
          </cell>
        </row>
        <row r="1415">
          <cell r="B1415" t="str">
            <v>98485-71-3</v>
          </cell>
          <cell r="C1415" t="str">
            <v>이황화 비스(2,3-에피티오프로필)</v>
          </cell>
          <cell r="D1415" t="str">
            <v>2008-1-577</v>
          </cell>
          <cell r="E1415" t="str">
            <v>및 이를 25% 이상 함유한 혼합물질</v>
          </cell>
          <cell r="F1415">
            <v>25</v>
          </cell>
          <cell r="G1415" t="str">
            <v>- 용기가 비워진 후에도 제품 찌꺼기가 남아 있을 수 있으므로 모든 MSDS/라벨 예방조치를 따를 것
- 공학적 관리 및 개인보호구를 참조하여 작업할 것
- 고온에 주의할 것</v>
          </cell>
        </row>
        <row r="1416">
          <cell r="B1416" t="str">
            <v>146058-40-4</v>
          </cell>
          <cell r="C1416" t="str">
            <v>포름알데히드와 디메틸벤젠, 2-에틸-2-(히드록시메틸)-1,3-프로판디올의 중합체</v>
          </cell>
          <cell r="D1416" t="str">
            <v>2008-1-578</v>
          </cell>
          <cell r="E1416" t="str">
            <v>및 이를 1% 이상 함유한 혼합물질</v>
          </cell>
          <cell r="F1416">
            <v>1</v>
          </cell>
          <cell r="G1416" t="str">
            <v>- 취급 후 철저히 세척할 것
- 공학적 관리 및 개인보호구를 참조하여 작업할 것
- 고온에 주의할 것
- 물질 유출시 공기 중 산소 농도를 저하시켜서 밀폐된 장소에서 질식을 일으킬 수 있으므로 유출되지 않도록 주의할
것
- 공기 중 고농도 상태에서 산소 결핍을 일으켜 의식상실 혹은 사망을 일으킬 위험이 있으므로 해당 장소에 들어가기 전 산소 농도를 체크할 것
- 물질 유출시 액체가 빠르게 증발하면서 공기를 대체함에 따라 밀폐장소에서 있을 때 심각한 질식의 우려가 있으므로 유출되지 않도록 주의할 것
- 물질 유출시 공기중에서 이 가스의 유해 농도까지 매우 빨리 도달하므로 유출되지 않도록 주의할 것
- 뿌리면 공기 입자의 유해 농도까지 매우 빨리 도달할 수 있으므로 뿌리지 말 것
- 20℃에서 이 물질이 다소 천천히 증발하면서 유해 농도에 도달하므로 20℃ 이하로 유지할 것
- 20℃에서 증발은 거의 일어나지 않으나, 뿌리면 공기 입자의 유해 농도까지 매우 빨리 도달할 수 있으므로 뿌리지 말 것
- 20℃에서 증발은 거의 일어나지 않으나, 뿌리거나 스프레이 하면 공기 입자의 유해 농도까지 매우 빨리 도달할 수 있으므로 뿌리거나 스프레이하지 말 것 (특히, 파우더의 경우)
- 20℃에서 증발은 거의 일어나지 않으나, 뿌리면 공기 입자의 유해 농도까지 매우 빨리 도달할 수 있으므로 뿌리지 말 것(특히, 파우더의 경우)
- 해당 장소에 들어가기 전 산소 농도를 체크할 것
- 스프레이하거나 뿌리는 경우 더 빠르게 증발하므로 스프레이하거나 뿌리지말 것
- 밀폐하여 보관할 것
- 서늘하고 건조한 장소에 저장할 것</v>
          </cell>
        </row>
        <row r="1417">
          <cell r="B1417" t="str">
            <v>198404-98-7</v>
          </cell>
          <cell r="C1417" t="str">
            <v>1-메틸-2-[(1,2,2-트리메틸비시클로[3.1.0]헥스-3-일)메틸]시클로프로판메탄올</v>
          </cell>
          <cell r="D1417" t="str">
            <v>2008-1-579</v>
          </cell>
          <cell r="E1417" t="str">
            <v>및 이를 25% 이상 함유한 혼합물질</v>
          </cell>
          <cell r="F1417">
            <v>25</v>
          </cell>
          <cell r="G1417" t="str">
            <v>- 용기가 비워진 후에도 제품 찌꺼기가 남아 있을 수 있으므로 모든 MSDS/라벨 예방조치를 따를 것
- 공학적 관리 및 개인보호구를 참조하여 작업할 것
- 고온에 주의할 것</v>
          </cell>
        </row>
        <row r="1418">
          <cell r="B1418" t="str">
            <v>3100-36-5</v>
          </cell>
          <cell r="C1418" t="str">
            <v>8-시클로헥사데센-1-온</v>
          </cell>
          <cell r="D1418" t="str">
            <v>2008-1-580</v>
          </cell>
          <cell r="E1418" t="str">
            <v>및 이를 25% 이상 함유한 혼합물질</v>
          </cell>
          <cell r="F1418">
            <v>25</v>
          </cell>
          <cell r="G1418" t="str">
            <v>- 원래의 용기에 저장할 것
- 용기를 안전하게 밀폐할 것
- 극한 환경으로부터 보호받는 서늘하고 건조한 장소에 저장할 것
- 혼합금지물질, 식료품 저장 용기와 멀리 떨어진 곳에 보관할 것
- 물리적 손상으로부터 용기를 보호하고 정기적으로 누수를 확인할 것
- 저장 및 취급 시, 제조자의 권고사항을 살펴볼 것
- 양이 많을 경우 제한된 구역에 저장하고 그 지역의 수원(빗물, 지하수, 호수나 강 포함)으로부터 저장 장소를
격리할 것
- 물이나 공기 중으로 의도치 않은 방출을 막는 것은 긴급재해관리계획의 목표가 되며 이는 그 지방의 허가권과 함께 협의할 것
- 흡입을 포함한 모든 인체 접촉은 피할 것
- 노출 위험이 발생할 때, 보호의를 착용할 것
- 통풍이 잘 되는 장소에서 사용할 것
- 움푹한 곳에 모이지 않도록 할 것
- 대기상태가 확인될 때까지 밀폐된 공간으로 들어가지 말 것
- 사람, 외부에 노출된 식품이나 식기와 접촉 금지할 것
- 혼합금지물질과 접촉시키지 않을 것
- 취급 시 먹거나 마시거나 흡연 금지할 것
- 사용하지 않을 때에는 용기를 안전하게 밀폐시킬 것
- 용기에 물리적인 위험을 피할 것
- 취급 후에는 항상 비누와 물로 손을 세척할 것
- 적합한 작업장을 사용할 것
- 저장 및 취급 시, 제조자의 권고사항을 살펴볼 것
- 안전한 작업환경을 유지하기 위하여 대기 노출 기준을 준수할 수 있도록 공기질을 정기적으로 확인할 것
- 빈 용기에 잔류물질은 바닥에 쌓여서 축적될 수 있고 이러한 잔류물질은 적당한 점화원이 존재하는 경우에 폭발할 수도 있으므로 용기에 절삭, 천공, 연마 또는 용접을 해서는 안되며, 그러한 행위들을 적절한 작업 안전 승인 또는 허가 없이 용기 근처(차있거나 부분적으로 차있거나 비어 있는 용기)에서 수행하지 말 것
- 산화제류, 염기류와 강환제류와 반응을 피할 것</v>
          </cell>
        </row>
        <row r="1419">
          <cell r="B1419" t="str">
            <v>3153-26-2</v>
          </cell>
          <cell r="C1419" t="str">
            <v>옥소비스(펜탄-2,4-디오나토-O,O')바나듐</v>
          </cell>
          <cell r="D1419" t="str">
            <v>2008-1-581</v>
          </cell>
          <cell r="E1419" t="str">
            <v>및 이를 25% 이상 함유한 혼합물질</v>
          </cell>
          <cell r="F1419">
            <v>25</v>
          </cell>
          <cell r="G1419" t="str">
            <v>- 사용하지 않는 경우에는 용기를 밀폐할 것
- 확실하게 밀폐된 용기에 저장할 것
- 서늘하고 건조하고 통풍이 잘 되는 장소에서 혼합금지물질과 떨어진 곳에 저장할 것
- 원래의 용기에 저장할 것
- 용기를 안전하게 밀폐시킬 것
- 서늘하고 건조하고 통풍이 잘 되는 장소에 저장할 것
- 혼합금지물질, 식료품 저장 용기와 멀리 떨어진 곳에 보관할 것
- 물리적 손상으로부터 용기를 보호하고 정기적으로 누수를 확인할 것
- 저장 및 취급 시, 제조자의 권고사항을 살펴볼 것
- 모든 전이금속 과산화물은 잠재적으로 폭발성이 있는 것으로 간주되어야하므로 과산화물과의 반응을 피하거나 제한할 것
- 보로수소화물 또는 사이아노보로수소화물, 산화제와의 반응을 피할 것
- 취급 후, 손을 철저하게 세척할 것
- 분진 발생과 분진 축적을 최소화할 것
- 눈, 피부 및 옷과 접촉하지 않도록 할 것
- 용기를 완전히 밀폐할 것
- 적절한 환기장치를 사용할 것
- 흡입을 포함한 모든 인체 접촉은 피할 것
- 노출 위험이 발생할 때, 보호의를 착용할 것
- 통풍이 잘 되는 장소에서 사용할 것
- 움푹한 곳에 모이지 않도록 할 것
- 대기상태가 확인될 때까지 밀폐된 공간으로 들어가지 말 것
- 사람, 외부에 노출된 식품이나 식기에 닿지 않도록 할 것
- 혼합금지물질과 접촉시키지 않을 것
- 취급 시 먹거나 마시거나 흡연 금지할 것
- 사용하지 않을 때에는 용기를 안전하게 밀폐시킬 것
- 용기에 물리적인 위험을 피할 것
- 취급 후에는 항상 비누와 물로 손을 세척할 것
- 적합한 작업장을 사용할 것
- 저장 및 취급 시, 제조자의 권고사항을 살펴볼 것
- 안전한 작업환경을 유지하기 위하여 대기 노출 기준을 준수할 수 있도록 공기질을 정기적으로 확인할 것
- 빈 용기에 잔류물질은 바닥에 쌓여서 축적될 수 있어서 이러한 잔류물질은 적당한 발화원이 존재하는 경우에 폭발할
수 있으니 주의할 것
- 용기에 절삭, 천공, 연마 또는 용접을 해서는 안 되며, 그러한 행위들을 적절한 작업안전 승인 또는 허가 없이 용기 근처(차있거나 부분적으로 차있거나 비어 있는 용기)에서 수행하지 말 것
- 크로뮴(0),  바나듐(0),  기타 전이금속류 (할로아렌-금속 복합체) 및 모노 또는 폴리-플루오로벤젠 사이에서 형성된 파이(π) 착률은 열에 매우 민감하며 폭발성이 있으니 주의 할 것</v>
          </cell>
        </row>
        <row r="1420">
          <cell r="B1420" t="str">
            <v>156105-38-3</v>
          </cell>
          <cell r="C1420" t="str">
            <v>2-프로파논과 5-아미노-1,3,3-트리메틸시클로헥산메탄아민의 반응생성물</v>
          </cell>
          <cell r="D1420" t="str">
            <v>2008-1-582</v>
          </cell>
          <cell r="E1420" t="str">
            <v>및 이를 10% 이상 함유한 혼합물질</v>
          </cell>
          <cell r="F1420">
            <v>10</v>
          </cell>
          <cell r="G1420" t="str">
            <v>- 취급 후 철저히 세척할 것
- 공학적 관리 및 개인보호구를 참조하여 작업할 것
- 고온에 주의할 것
- 물질 유출시 공기 중 산소 농도를 저하시켜서 밀폐된 장소에서 질식을 일으킬 수 있으므로 유출되지 않도록 주의할 것
- 공기 중 고농도 상태에서 산소 결핍을 일으켜 의식상실 혹은 사망을 일으킬 위험이 있으므로 해당 장소에 들어가기 전 산소 농도를 체크할 것
- 물질 유출시 액체가 빠르게 증발하면서 공기를 대체함에 따라 밀폐장소에서 있을 때 심각한 질식의 우려가 있으므로
유출되지 않도록 주의할 것
- 물질 유출시 공기중에서 이 가스의 유해 농도까지 매우 빨리 도달하므로 유출되지 않도록 주의할 것
- 뿌리면 공기 입자의 유해 농도까지 매우 빨리 도달할 수 있으므로 뿌리지 말 것
- 20℃에서 이 물질이 다소 천천히 증발하면서 유해 농도에 도달하므로 20℃ 이하로 유지할 것
- 20℃에서 증발은 거의 일어나지 않으나, 뿌리면 공기 입자의 유해 농도까지 매우 빨리 도달할 수 있으므로 뿌리지 말 것
- 20℃에서 증발은 거의 일어나지 않으나, 뿌리거나 스프레이 하면 공기 입자의 유해 농도까지 매우 빨리 도달할 수
있으므로 뿌리거나 스프레이하지 말 것 (특히, 파우더의 경우)
- 20℃에서 증발은 거의 일어나지 않으나, 뿌리면 공기 입자의 유해 농도까지 매우 빨리 도달할 수 있으므로 뿌리지 말 것(특히, 파우더의 경우)
- 해당 장소에 들어가기 전 산소 농도를 체크할 것
- 스프레이하거나 뿌리는 경우 더 빠르게 증발하므로 스프레이하거나 뿌리지말 것
- 밀폐하여 보관할 것
- 서늘하고 건조한 장소에 저장할 것</v>
          </cell>
        </row>
        <row r="1421">
          <cell r="B1421" t="str">
            <v>75-86-5</v>
          </cell>
          <cell r="C1421" t="str">
            <v>아세톤 시아노히드린</v>
          </cell>
          <cell r="D1421" t="str">
            <v>2008-1-583</v>
          </cell>
          <cell r="E1421" t="str">
            <v>및 이를 1% 이상 함유한 혼합물질</v>
          </cell>
          <cell r="F1421">
            <v>1</v>
          </cell>
          <cell r="G1421" t="str">
            <v>- 열, 스파크, 화염과 격리할 것
- 점화원과 격리할 것
- 서늘하고 건조한 장소 및 확실하게 밀폐된 용기에 저장할 것
- 물리적 손상으로부터 용기를 보호하고 정기적으로 누수를 확인할 것
- 저장 및 취급 시, 제조자의 권고사항을 살펴볼 것
- 통풍이 잘 되는 장소에서만 사용할 것
- 용기에 물리적인 위험을 피하고, 빈 용기에는 잔류물이 있을 수 있어 위험할 수 있으니 주의할 것
- 열, 스파크, 화염 및 혼합금지물질과의 접촉을 피할 것
- 피부, 눈과 접촉하지 않도록 하며, 섭취나 흡입 금지할 것
- 가압, 절단, 용접, 납땜, 연마, 천공을 해서는 안 되며, 열, 스파크, 화염에 빈 용기를 노출시키지 말 것
- 노출 위험이 발생할 때, 보호의를 착용하고 작업복은 분리 세탁할 것
- 움푹한 곳에 모이지 않도록 할 것
- 대기상태가 확인될 때까지 밀폐된 공간으로 들어가지 말 것
- 적합한 작업장에서 사용하고 사용하지 않을 때에는 용기를 안전하게 밀폐시킬 것
- 사람, 외부에 노출된 식품이나 식기에 닿지 않도록 할 것
- 저장 및 취급 시, 제조자의 권고사항을 살펴볼 것
- 안전한 작업환경을 유지하기 위하여 대기 노출 기준을 준수할 수 있도록 공기질을 정기적으로 확인할 것
- 억제하지 않는 한, 이 물질을 90 일 이상 보관하는 것은 위험할 수 있으니 주의할 것
- 천천히 실온에 아세톤과 수소 시안화로 분해되며 비율은 온도, pH 또는 수분 함유량의 증가(습도)에 의해 가속되고 사이안화수소(hydrogen cyanide)의  치명적 양은 증기와 액체 단계에 존재할 가능성이 있으니 주의할 것
- 환원제, 산화제류, 강산류, 산성 염화물, 산 무수물과 클로로폼에이트류, 염기류와 강환제류와 반응을 피할 것</v>
          </cell>
        </row>
        <row r="1422">
          <cell r="B1422" t="str">
            <v>1702-42-7</v>
          </cell>
          <cell r="C1422" t="str">
            <v>요오드화 트리부틸메틸포스포늄</v>
          </cell>
          <cell r="D1422" t="str">
            <v>2008-1-584</v>
          </cell>
          <cell r="E1422" t="str">
            <v>및 이를 25% 이상 함유한 혼합물질</v>
          </cell>
          <cell r="F1422">
            <v>25</v>
          </cell>
          <cell r="G1422" t="str">
            <v>- 취급 후 철저히 세척할 것
- 공학적 관리 및 개인보호구를 참조하여 작업할 것
- 고온에 주의할 것
- 물질 유출시 공기 중 산소 농도를 저하시켜서 밀폐된 장소에서 질식을 일으킬 수 있으므로 유출되지 않도록 주의할 것
- 공기 중 고농도 상태에서 산소 결핍을 일으켜 의식상실 혹은 사망을 일으킬 위험이 있으므로 해당 장소에 들어가기 전 산소 농도를 체크할 것
- 물질 유출시 액체가 빠르게 증발하면서 공기를 대체함에 따라 밀폐장소에서 있을 때 심각한 질식의 우려가 있으므로 유출되지 않도록 주의할 것
- 물질 유출시 공기중에서 이 가스의 유해 농도까지 매우 빨리 도달하므로 유출되지 않도록 주의할 것
- 뿌리면 공기 입자의 유해 농도까지 매우 빨리 도달할 수 있으므로 뿌리지 말 것
- 20℃에서 이 물질이 다소 천천히 증발하면서 유해 농도에 도달하므로 20℃ 이하로 유지할 것
- 20℃에서 증발은 거의 일어나지 않으나, 뿌리면 공기 입자의 유해 농도까지 매우 빨리 도달할 수 있으므로 뿌리지 말 것
- 20℃에서 증발은 거의 일어나지 않으나, 뿌리거나 스프레이 하면 공기 입자의 유해 농도까지 매우 빨리 도달할 수
있으므로 뿌리거나 스프레이하지 말 것(특히, 파우더의 경우)
- 20℃에서 증발은 거의 일어나지 않으나, 뿌리면 공기 입자의 유해 농도까지 매우 빨리 도달할 수 있으므로 뿌리지 말
것(특히, 파우더의 경우)
- 해당 장소에 들어가기 전 산소 농도를 체크할 것
- 스프레이하거나 뿌리는 경우 더 빠르게 증발하므로 스프레이하거나 뿌리지 말 것
- 밀폐하여 보관할 것
- 서늘하고 건조한 장소에 저장할 것</v>
          </cell>
        </row>
        <row r="1423">
          <cell r="B1423" t="str">
            <v>149057-64-7</v>
          </cell>
          <cell r="C1423" t="str">
            <v>황산 비스(3-디메틸아미노-7-히드록시-8-메틸-5-페닐페나지늄)</v>
          </cell>
          <cell r="D1423" t="str">
            <v>2008-1-585</v>
          </cell>
          <cell r="E1423" t="str">
            <v>및 이를 25% 이상 함유한 혼합물질</v>
          </cell>
          <cell r="F1423">
            <v>25</v>
          </cell>
          <cell r="G1423" t="str">
            <v>- 원래의 용기에 저장하고 안전하게 밀폐시킬 것
- 극한 환경으로부터 보호받는 서늘하고 건조한 장소에 저장할 것
- 혼합금지물질, 식료품 저장 용기와 멀리 떨어진 곳에 보관할 것
- 물리적 손상으로부터 용기를 보호하고 정기적으로 누수를 확인할 것
- 저장 및 취급 시, 제조자의 권고사항을 살펴볼 것
- 양이 많고 해안지역에서 저장하는 경우 그 지역의 수원으로부터 저장 장소를 격리하고(빗물, 지하수, 호수나 강
포할 것), 물이나 공기 중으로 의도치 않은 방출을 막는 것은 긴급재해관리계획의 목표가 되어 그 지방의 허가권과 함께 협의할 것
- 흡입을 포함한 모든 인체 접촉은 피할 것
- 노출 위험이 발생할 때, 보호의를 착용할 것
- 통풍이 잘 되는 장소에서 사용할 것
- 움푹한 곳에 모이지 않도록 할 것
- 대기상태가 확인될 때까지 밀폐된 공간으로 들어가지 말 것
- 사람, 외부에 노출된 식품이나 식기에 닿지 않도록 할 것
- 혼합금지물질과 접촉시키지 않을 것
- 취급 시 먹거나 마시거나 흡연 금지할 것
- 사용하지 않을 때에는 용기를 안전하게 밀폐시킬 것
- 용기에 물리적인 위험을 피할 것
- 취급 후에는 항상 비누와 물로 손을 세척할 것
- 적합한 작업장을 사용할 것
- 저장 및 취급 시, 제조자의 권고사항을 살펴볼 것
- 안전한 작업환경을 유지하기 위하여 대기 노출 기준을 준수할 수 있도록 공기질을 정기적으로 확인할 것
- 빈 용기에 잔류물질은 바닥에 쌓여서 축적될 수 있으며, 이러한 잔류물질은 적당한 발화원이 존재하는 경우에 폭발할 수도 있음
- 용기에 절삭, 천공, 연마 또는 용접을 해서는 안 되며, 그러한 행위들을 적절한 작업안전 승인 또는 허가 없이 용기
근처(차있거나 부분적으로 차있거나 비어 있는 용기)에서 수행하지 말 것
- 산화제류와의 반응을 피할 것</v>
          </cell>
        </row>
        <row r="1424">
          <cell r="B1424" t="str">
            <v>541-59-3</v>
          </cell>
          <cell r="C1424" t="str">
            <v>말레이미드</v>
          </cell>
          <cell r="D1424" t="str">
            <v>2008-1-586</v>
          </cell>
          <cell r="E1424" t="str">
            <v>및 이를 1% 이상 함유한 혼합물질</v>
          </cell>
          <cell r="F1424">
            <v>1</v>
          </cell>
          <cell r="G1424" t="str">
            <v>- 확실하게 밀폐된 용기에 저장할 것
- 원래의 용기에 저장할 것
- 용기를 안전하게 밀폐시킬 것
- 서늘하고 건조하고 통풍이 잘 되는 장소에 저장할 것
- 혼합금지물질, 식료품 저장 용기와 멀리 떨어진 곳에 보관할 것
- 물리적 손상으로부터 용기를 보호하고 정기적으로 누수를 확인할 것
- 저장 및 취급 시, 제조자의 권고사항을 살펴볼 것
- 산성 물질이나 산화제와 가까이에 저장 금지할 것
- 금연하고 갓이 없는 등, 열이나 점화원은 제거할 것
- 화학물질 흄 후드 내에서만 취급할 것
- 흡입을 포함한 모든 인체 접촉은 피할 것
- 노출 위험이 발생할 때, 보호의를 착용할 것
- 통풍이 잘 되는 장소에서 사용할 것
- 격렬한 반응을 피하기 위해 항상 물에 물질을 첨가하고 절대 물을 물질에 첨가 금지할 것
- 흡연, 직사광선이나 점화원을 피할 것
- 혼합금지물질과 접촉시키지 않을 것
- 취급 시 먹거나 마시거나 흡연 금지할 것
- 사용하지 않을 때에는 용기를 안전하게 밀폐시킬 것
- 용기에 물리적인 위험을 피할 것
- 취급 후에는 항상 비누와 물로 손을 세척할 것
- 적합한 작업장을 사용할 것
- 저장 및 취급 시, 제조자의 권고사항을 살펴볼 것
- 안전한 작업환경을 유지하기 위하여 대기 노출 기준을 준수할 수 있도록 공기질을 정기적으로 확인할 것
- 빈 용기에 잔류물질은 바닥에 쌓여서 축적되어 적당한 점화원이 존재하는 경우에 폭발할 수도 있어 용기에 절삭,
천공, 연마 또는 용접을 하지 말 것
- 강산류, 산성 염화물, 산 무수물과 클로로폼에이트류, 구리, 알루미늄 및 알루미늄 합금과 접촉을 피할 것
- 산화제류, 염기류와 강환제류와 반응을 피할 것</v>
          </cell>
        </row>
        <row r="1425">
          <cell r="B1425" t="str">
            <v>91-97-4</v>
          </cell>
          <cell r="C1425" t="str">
            <v>4,4'-디이소시아나토-3,3'-디메틸-1,1'-비페닐</v>
          </cell>
          <cell r="D1425" t="str">
            <v>2008-1-587</v>
          </cell>
          <cell r="E1425" t="str">
            <v>및 이를 25% 이상 함유한 혼합물질</v>
          </cell>
          <cell r="F1425">
            <v>25</v>
          </cell>
          <cell r="G1425" t="str">
            <v>- 취급 후에는 취급 부위를 철저히 세척할 것
- 용기가 비워진 후에도 제품 찌꺼기가 남아 있을 수 있으므로 모든 MSDS/라벨 예방조치를 따를 것
- 공학적 관리 및 개인보호구를 참조하여 작업할 것
- 고온에 주의할 것
- 빈 드럼통은 완전히 배수하고 적절히 막아 즉시 드럼 조절기에 되돌려 놓거나 적절히 배치할 것</v>
          </cell>
        </row>
        <row r="1426">
          <cell r="C1426" t="str">
            <v>아닐린과 1,4-비스(클로로메틸)벤젠의 공중합체와 2,5-퓨란디온의 반응생성물</v>
          </cell>
          <cell r="D1426" t="str">
            <v>2009-1-588</v>
          </cell>
          <cell r="E1426" t="str">
            <v>및 이를 25% 이상 함유한 혼합물질</v>
          </cell>
          <cell r="F1426">
            <v>25</v>
          </cell>
        </row>
        <row r="1427">
          <cell r="B1427" t="str">
            <v>113538-80-0</v>
          </cell>
          <cell r="C1427" t="str">
            <v>2-[[(3-에테닐페닐)메톡시]메틸]옥시란과 2-[[(4-에테닐페닐)메톡시]메틸]옥시란의 혼합물</v>
          </cell>
          <cell r="D1427" t="str">
            <v>2009-1-589</v>
          </cell>
          <cell r="E1427" t="str">
            <v>및 이를 1% 이상 함유한 혼합물질</v>
          </cell>
          <cell r="F1427">
            <v>1</v>
          </cell>
        </row>
        <row r="1428">
          <cell r="B1428" t="str">
            <v>95718-78-8</v>
          </cell>
          <cell r="C1428" t="str">
            <v>퍼옥시네오데칸산 3-히드록시-1,1-디메틸부틸</v>
          </cell>
          <cell r="D1428" t="str">
            <v>2009-1-590</v>
          </cell>
          <cell r="E1428" t="str">
            <v>및 이를 25% 이상 함유한 혼합물질</v>
          </cell>
          <cell r="F1428">
            <v>25</v>
          </cell>
          <cell r="G1428" t="str">
            <v>- 취급 후에는 취급 부위를 철저히 세척할 것
- 압력을 가하거나, 자르거나, 용접, 납땜, 접합, 뚫기, 연마
또는 열에 폭로, 화염, 불꽃, 정전기 또는 다른 점화원에 노출하지 말 것
- 용기가 비워진 후에도 제품 찌꺼기가 남아 있을 수 있으므로 모든 MSDS/라벨 예방조치를 따를 것
- 장기간 또는 지속적인 피부접촉을 막을 것
- 공학적 관리 및 개인보호구를 참조하여 작업할 것
- 항시 제어온도 아래로 관리할 것
- 열·스파크·화염·고열로부터 멀리할 것 - 금연
- 의복, 가연성 물질로부터 격리·보관할 것
- 원래의 용기에만 보관할 것
- 직사광선을 피할 것
- 반응성이 높은 물질이므로 저온으로 유지할 것
- 다른 물질과 격리하여 보관할 것
- 물질 찌꺼기(액체와 또는 증기)가 남아있는 빈용기는 위험할 수 있으니 주의할 것
- 빈 드럼통은 완전히 배수하고 적절히 막아 즉시 드럼 조절기에 되돌려 놓거나 적절히 배치할 것
- 항시 제어온도 아래로 관리할 것
- 밀폐하여 보관할 것</v>
          </cell>
        </row>
        <row r="1429">
          <cell r="B1429" t="str">
            <v>84-67-3</v>
          </cell>
          <cell r="C1429" t="str">
            <v>2,2'-디메틸벤지딘</v>
          </cell>
          <cell r="D1429" t="str">
            <v>2009-1-591</v>
          </cell>
          <cell r="E1429" t="str">
            <v>및 이를 25% 이상 함유한 혼합물질</v>
          </cell>
          <cell r="F1429">
            <v>25</v>
          </cell>
          <cell r="G1429" t="str">
            <v>- 원래의 용기에 저장하고 용기를 안전하게 밀폐시킬 것
- 극한 환경으로부터 보호받는 서늘하고 건조한 장소에 저장할 것
- 혼합금지물질, 식료품 저장 용기와 멀리 떨어진 곳에 보관할
것
- 물리적 손상으로부터 용기를 보호하고 정기적으로 누수를 확인할 것
- 저장 및 취급 시, 제조자의 권고사항을 살펴볼 것
- 양이 많고 해안지역에서 저장하는 경우 그 지역의 수원으로부터 저장 장소를 격리시킬 것(빗물, 지하수, 호수나 강 포할 것)
- 흡입을 포함한 모든 인체 접촉은 피하고 노출 위험이 발생할 때, 보호의를 착용할 것
- 통풍이 잘 되는 장소에서 사용할 것
- 움푹한 곳에 모이지 않도록 할 것
- 대기상태가 확인될 때까지 밀폐된 공간으로 들어가지 말 것
- 사람, 외부에 노출된 식품이나 식기에 닿지 않도록 할 것
- 혼합금지물질과 접촉시키지 않을 것
- 취급 시 먹거나 마시거나 흡연 금지할 것
- 사용하지 않을 때에는 용기를 안전하게 밀폐시킬 것
- 용기에 물리적인 위험을 피할 것
- 취급 후에는 항상 비누와 물로 손을 세척할 것
- 적합한 작업장을 사용할 것
- 저장 및 취급 시, 제조자의 권고사항을 살펴볼 것
- 안전한 작업환경을 유지하기 위하여 대기 노출 기준을 준수할 수 있도록 공기질을 정기적으로 확인할 것
- 빈 용기에 잔류물질은 바닥에 쌓여서 축적되어 적당한 점화원이 존재하는 경우에 폭발할 수도 있어 용기에 절삭, 천공, 연마 또는 용접하지 말 것
- 산화제와의 반응을 피할 것</v>
          </cell>
        </row>
        <row r="1430">
          <cell r="B1430" t="str">
            <v>109-74-0</v>
          </cell>
          <cell r="C1430" t="str">
            <v>부탄니트릴</v>
          </cell>
          <cell r="D1430" t="str">
            <v>2009-1-592</v>
          </cell>
          <cell r="E1430" t="str">
            <v>및 이를 25% 이상 함유한혼합물질</v>
          </cell>
          <cell r="F1430">
            <v>25</v>
          </cell>
          <cell r="G1430" t="str">
            <v>- 확실하게 밀폐된 용기에 저장할 것
- 승인된 화염 보호 구역에서 원래의 용기에 저장할 것
- 서늘하고 건조하고 통풍이 잘 되는 장소에서 피해야 할 물질과 떨어진 곳에 저장할 것
- 구덩이나 움푹 파인 땅, 지하실 등 증기가 갇힐 수 있는 곳에 저장 금지할 것
- 산성 물질, 열, 스파크, 화염과 격리할 것
- 연기, 직사광선, 열이나 발화원이 없도록 할 것
- 물리적 손상으로부터 용기를 보호하고 정기적으로 누수를 확인할 것
- 통풍이 잘 되는 장소에서 사용할 것
- 움푹한 곳에 모이지 않도록 할 것
- 대기압이 확인되지 않은 상태에서 밀폐된 공간으로 들어가지 말 것
- 화학물질 흄 후드 내에서 취급할 것
- 증기상 물질은 끌어올리거나 쏟아 부을 때, 정전기로 인해 발화될 수 있으니 주의할 것
- 제품을 나누거나 쏟아 부을 때, 금속용기를 접지하여 안전하게 할 것
- 물질을 이동시킬 때 용기를 땅에 밀착하여 이동할 것
- 취급 시 스파크가 없는 도구를 사용할 것
- 피해야 할 물질, 열, 스파크, 화염과 접촉시키지 않을 것
- 연기, 직사광선, 열이나 발화원을 피할 것
- 용기에 물리적인 위험을 피하고 안전하게 밀폐시킬 것
- 플라스틱 용기를 사용 금지할 것
- 빈 용기에는 잔류물이 있을 수 있어 위험할 수 있으며, 빈 용기라 하더라도 폭발성의 기체를 포함하고 있을 수 있으니
주의할 것
- 빈 용기에 가압, 절단, 용접, 납땜, 연마, 천공을 하지 말 것
- 흡입을 포함한 모든 인체 접촉은 피하고, 취급 후 손을 철저하게 세척할 것
- 노출 위험이 발생할 때, 보호의를 착용하고 작업복은 분리 세탁할 것
- 적합한 작업장을 사용할 것
- 저장 및 취급 시, 제조자의 권고사항을 살펴볼 것
- 안전한 작업환경을 유지하기 위하여 대기 노출 기준을 준수할 수 있도록 공기질을 정기적으로 확인할 것</v>
          </cell>
        </row>
        <row r="1431">
          <cell r="B1431" t="str">
            <v>16627-68-2</v>
          </cell>
          <cell r="C1431" t="str">
            <v>1,1,2,2-테트라플루오로-3-(1,1,2,2-테트라플루오로에톡시)프로판</v>
          </cell>
          <cell r="D1431" t="str">
            <v>2009-1-593</v>
          </cell>
          <cell r="E1431" t="str">
            <v>및 이를 25% 이상 함유한 혼합물질</v>
          </cell>
          <cell r="F1431">
            <v>25</v>
          </cell>
          <cell r="G1431" t="str">
            <v>- 취급 후에는 취급 부위를 철저히 세척할 것
- 이 제품을 사용할 때에는 먹거나, 마시거나 흡연하지 말 것
- 용기가 비워진 후에도 제품 찌꺼기가 남아 있을 수 있으므로 모든 MSDS/라벨 예방조치를 따를 것
- 공학적 관리 및 개인보호구를 참조하여 작업할 것
- 고온에 주의할 것
- 빈 드럼통은 완전히 배수하고 적절히 막아 즉시 드럼 조절기에 되돌려 놓거나 적절히 배치할 것
- 음식과 음료수로부터 멀리할 것</v>
          </cell>
        </row>
        <row r="1432">
          <cell r="B1432" t="str">
            <v>722-56-5</v>
          </cell>
          <cell r="C1432" t="str">
            <v>질산 디페닐요오도늄</v>
          </cell>
          <cell r="D1432" t="str">
            <v>2009-1-594</v>
          </cell>
          <cell r="E1432" t="str">
            <v>및 이를 1% 이상 함유한 혼합물질</v>
          </cell>
          <cell r="F1432">
            <v>1</v>
          </cell>
          <cell r="G1432" t="str">
            <v>- 열, 스파크, 화염과 격리할 것
- 가연성 물질과 가까이에 저장 금지할 것
- 빛을 피해서 확실하게 밀폐된 용기에 저장할 것
- 서늘하고 건조하고 통풍이 잘 되는 장소에서 혼합금지물질과 떨어진 곳에 저장할 것
- 취급 후, 손을 철저하게 세척할 것
- 적절한 환기장치를 사용할 것
- 분진 발생과 분진 축적을 최소화할 것
- 눈, 피부 및 옷과 접촉하지 않도록 할 것
- 옷과 다른 가연성 물질의 접촉을 피할 것</v>
          </cell>
        </row>
        <row r="1433">
          <cell r="B1433" t="str">
            <v>13360-57-1</v>
          </cell>
          <cell r="C1433" t="str">
            <v>염화 디메틸술파모일</v>
          </cell>
          <cell r="D1433" t="str">
            <v>2009-1-595</v>
          </cell>
          <cell r="E1433" t="str">
            <v>및 이를 1% 이상 함유한 혼합물질</v>
          </cell>
          <cell r="F1433">
            <v>1</v>
          </cell>
          <cell r="G1433" t="str">
            <v>- 확실하게 밀폐된 용기에 저장하고 원래의 용기에 저장할 것
- 공급 시, 용기를 안전하게 밀폐시킬 것
- 물리적 손상으로부터 용기를 보호하고 정기적으로 누수를 확인할 것
- 서늘하고 건조하고 통풍이 잘 되는 장소에서 혼합금지물질, 식료품 저장 용기와 떨어진 곳에 저장할 것
- 저장 및 취급 시, 제조자의 권고사항을 살펴볼 것
- 통풍이 잘 되는 장소에서 사용할 것
- 움푹한 곳에 모이지 않도록 할 것
- 적합한 작업장을 사용하고 화학물질 증기 후드 내에서만 취급할 것
- 사용하지 않을 때에는 용기를 안전하게 밀폐시킬 것
- 대기상태가 확인될 때까지 밀폐된 공간으로 들어가지 말 것
- 섭취나 흡입하지 말고 눈, 피부 및 옷과 접촉하지 않도록 할 것
- 사람, 외부에 노출된 식품이나 식기에 닿지 않도록 할 것
- 물, 혼합금지물질과 접촉시키지 않을 것
- 분진, 증기, 미스트나 가스를 흡입 금지할 것
- 습한 공기, 스팀과 접촉을 피할 것
- 물질에 젖은 옷을 착용한 상태로 피부에 접촉 금지할 것
- 용기를 완전히 밀폐시키고 물리적인 위험을 피할 것
- 취급 시 먹거나 마시거나 흡연 금지할 것
- 취급 후에는 항상 비누와 물로 손을 세척할 것
- 노출 위험이 발생할 때, 보호의를 착용할 것
- 저장 및 취급 시, 제조자의 권고사항을 살펴볼 것
- 안전한 작업환경을 유지하기 위하여 대기 노출 기준을 준수할 수 있도록 공기질을 정기적으로 확인할 것</v>
          </cell>
        </row>
        <row r="1434">
          <cell r="B1434" t="str">
            <v>913269-98-4</v>
          </cell>
          <cell r="C1434" t="str">
            <v>4-옥소-1-아다만틸옥시카르보닐디플루오로메탄 술폰산 트리페닐술포늄</v>
          </cell>
          <cell r="D1434" t="str">
            <v>2009-1-596</v>
          </cell>
          <cell r="E1434" t="str">
            <v>및 이를 25% 이상 함유한 혼합물질</v>
          </cell>
          <cell r="F1434">
            <v>25</v>
          </cell>
          <cell r="G1434" t="str">
            <v>- 취급 후 철저히 세척할 것
- 공학적 관리 및 개인보호구를 참조하여 작업할 것
- 고온에 주의할 것
- 밀폐하여 보관할 것
- 서늘하고 건조한 장소에 저장할 것</v>
          </cell>
        </row>
        <row r="1435">
          <cell r="C1435" t="str">
            <v>삼염화 포스포릴, o-페닐페놀과 페놀의 반응생성물</v>
          </cell>
          <cell r="D1435" t="str">
            <v>2009-1-597</v>
          </cell>
          <cell r="E1435" t="str">
            <v>및 이를 25% 이상 함유한 혼합물질</v>
          </cell>
          <cell r="F1435">
            <v>25</v>
          </cell>
        </row>
        <row r="1436">
          <cell r="B1436" t="str">
            <v>68156-13-8</v>
          </cell>
          <cell r="C1436" t="str">
            <v>디페닐</v>
          </cell>
          <cell r="D1436" t="str">
            <v>2009-1-598</v>
          </cell>
          <cell r="E1436" t="str">
            <v>및 이를 50% 이상 함유한 혼합물질</v>
          </cell>
          <cell r="F1436">
            <v>50</v>
          </cell>
          <cell r="G1436" t="str">
            <v>- 건조하게 유지할 것
- 원래의 용기에 저장하고 안전하게 밀폐시킬 것
- 금연하고 갓이 없는 등이나 발화원은 제거할 것
- 서늘하고 건조하고 통풍이 잘 되는 장소에 저장할 것
- 혼합금지물질과 떨어진 곳에 저장할 것
- 용기를 물리적 손상으로부터 보호하고 정기적으로 누수를 점검할 것
- 저장 및 취급 시, 제조자의 권고사항을 살펴볼 것
- 불필요한 인체접촉을 제한할 것
- 노출 위험이 발생할 때, 보호의를 착용할 것
- 통풍이 잘 되는 장소에서 사용할 것
- 취급 시 먹거나 마시거나 흡연 금지할 것
- 취급 후에는 항상 비누와 물로 손을 세척할 것
- 용기에 물리적인 위험을 피할 것
- 적합한 작업장을 사용할 것
- 저장 및 취급 시, 제조자의 권고사항을 살펴볼 것
- 산화제와의 반응을 피할 것</v>
          </cell>
        </row>
        <row r="1437">
          <cell r="B1437" t="str">
            <v>3380-34-5</v>
          </cell>
          <cell r="C1437" t="str">
            <v>트리클로산</v>
          </cell>
          <cell r="D1437" t="str">
            <v>2009-1-599</v>
          </cell>
          <cell r="E1437" t="str">
            <v>및 이를 25% 이상 함유한 혼합물질</v>
          </cell>
          <cell r="F1437">
            <v>25</v>
          </cell>
          <cell r="G1437" t="str">
            <v>- 원래의 용기에 저장하고 용기를 안전하게 밀폐시킬 것
- 서늘하고 건조하며 통풍이 잘 되는 장소에 저장할 것
- 혼합금지물질, 식료품 저장 용기와 멀리 떨어진 곳에 보관할 것
- 물리적 손상으로부터 용기를 보호하고 정기적으로 누수를 확인할 것
- 저장 및 취급 시, 제조자의 권고사항을 살펴볼 것
- 흡입을 포함한 모든 인체 접촉은 피할 것
- 노출 위험이 발생할 때, 보호의를 착용할 것
- 통풍이 잘 되는 장소에서 사용할 것
- 움푹한 곳에 모이지 않도록 할 것
- 대기상태가 확인될 때까지 밀폐된 공간으로 들어가지 말 것
- 사람, 외부에 노출된 식품이나 식기에 닿지 않도록 할 것
- 혼합금지물질과 접촉시키지 않을 것
- 취급 시 먹거나 마시거나 흡연 금지할 것
- 사용하지 않을 때에는 용기를 안전하게 밀폐시킬 것
- 용기에 물리적인 위험을 피할 것
- 취급 후에는 항상 비누와 물로 손을 세척할 것
- 적합한 작업장을 사용할 것
- 저장 및 취급 시, 제조자의 권고사항을 살펴볼 것
- 안전한 작업환경을 유지하기 위하여 대기 노출 기준을 준수할 수 있도록 공기질을 정기적으로 확인할 것
- 빈 용기에 잔류물질은 바닥에 쌓여서 축적될 수 있으며, 이는 적당한 발화원이 존재하는 경우에 폭발할 수도 있으므로, 용기에 절삭, 천공, 연마 또는 용접을 해서는 안 되고 그러한 행위들을 적절한 작업 안전 승인 또는 허가 없이 용기
근처(차있거나 부분적으로 차있거나 비어 있는 용기)에서 수행하지 말 것</v>
          </cell>
        </row>
        <row r="1438">
          <cell r="B1438" t="str">
            <v>250578-38-2</v>
          </cell>
          <cell r="C1438" t="str">
            <v>[3-(2-에틸헥실옥시)프로필아민]트리페닐보론</v>
          </cell>
          <cell r="D1438" t="str">
            <v>2010-1-600</v>
          </cell>
          <cell r="E1438" t="str">
            <v>및 이를 25% 이상 함유한혼합물질</v>
          </cell>
          <cell r="F1438">
            <v>25</v>
          </cell>
          <cell r="G1438" t="str">
            <v>- 취급 후에는 취급 부위를 철저히 세척할 것
- 이 제품을 사용할 때에는 먹거나, 마시거나 흡연하지 말 것
- 용기가 비워진 후에도 제품 찌꺼기가 남아 있을 수 있으므로 모든 MSDS/라벨 예방조치를 따를 것
- 공학적 관리 및 개인보호구를 참조하여 작업할 것
- 고온에 주의할 것
- 빈 드럼통은 완전히 배수하고 적절히 막아 즉시 드럼 조절기에 되돌려 놓거나 적절히 배치할 것
- 음식과 음료수로부터 멀리할 것</v>
          </cell>
        </row>
        <row r="1439">
          <cell r="B1439" t="str">
            <v>117933-89-8</v>
          </cell>
          <cell r="C1439" t="str">
            <v>2-(2,4-디메틸-3-시클로헥센-1-일)-5-메틸-5-(1-메틸프로필)-1,3-디옥산</v>
          </cell>
          <cell r="D1439" t="str">
            <v>2010-1-601</v>
          </cell>
          <cell r="E1439" t="str">
            <v>및 이를 25% 이상 함유한 혼합물질</v>
          </cell>
          <cell r="F1439">
            <v>25</v>
          </cell>
          <cell r="G1439" t="str">
            <v>- 원래의 용기에 저장하고 용기를 안전하게 밀폐시킬 것
- 서늘하고 건조하며 통풍이 잘 되는 장소에 저장할 것
- 혼합금지물질, 식료품 저장 용기와 멀리 떨어진 곳에 보관할 것
- 물리적 손상으로부터 용기를 보호하고 정기적으로 누수를 확인할 것
- 저장 및 취급 시, 제조자의 권고사항을 살펴볼 것
- 물질에 젖은 옷을 착용한 상태로 피부에 접촉 금지할 것
- 흡입을 포함한 모든 인체 접촉은 피할 것
- 노출 위험이 발생할 때, 보호의를 착용할 것
- 통풍이 잘 되는 장소에서 사용할 것
- 움푹한 곳에 모이지 않도록 할 것
- 대기상태가 확인될 때까지 밀폐된 공간으로 들어가지 말 것
- 흡연, 직사광선이나 점화원을 피할 것
- 혼합금지물질과 접촉시키지 않을 것
- 취급 시 먹거나 마시거나 흡연 금지할 것
- 사용하지 않을 때에는 용기를 안전하게 밀폐시킬 것
- 용기에 물리적인 위험을 피할 것
- 취급 후에는 항상 비누와 물로 손을 세척할 것
- 적합한 작업장을 사용할 것
- 저장 및 취급 시, 제조자의 권고사항을 살펴볼 것
- 안전한 작업환경을 유지하기 위하여 대기 노출 기준을 준수할 수 있도록 공기질을 정기적으로 확인할 것
- 산화제와의 반응을 피할 것</v>
          </cell>
        </row>
        <row r="1440">
          <cell r="B1440" t="str">
            <v>227199-92-0</v>
          </cell>
          <cell r="C1440" t="str">
            <v>7,7-디메틸-2-옥소비시클로[2.2.1]헵탄-1-메탄술폰산 트리페닐술포늄(1:1)</v>
          </cell>
          <cell r="D1440" t="str">
            <v>2010-1-602</v>
          </cell>
          <cell r="E1440" t="str">
            <v>및 이를 25% 이상 함유한혼합물질</v>
          </cell>
          <cell r="F1440">
            <v>25</v>
          </cell>
          <cell r="G1440" t="str">
            <v>- 취급 후 철저히 세척할 것
- 공학적 관리 및 개인보호구를 참조하여 작업할 것
- 고온에 주의할 것
- 물질 유출시 공기 중 산소 농도를 저하시켜서 밀폐된 장소에서 질식을 일으킬 수 있으므로 유출되지 않도록 주의할 것
- 공기 중 고농도 상태에서 산소 결핍을 일으켜 의식상실 혹은 사망을 일으킬 위험이 있으므로 해당 장소에 들어가기 전 산소 농도를 체크할 것
- 물질 유출시 액체가 빠르게 증발하면서 공기를 대체함에 따라 밀폐장소에서 있을 때 심각한 질식의 우려가 있으므로
유출되지 않도록 주의할 것
- 물질 유출시 공기중에서 이 가스의 유해 농도까지 매우 빨리 도달하므로 유출되지 않도록 주의할 것
- 뿌리면 공기 입자의 유해 농도까지 매우 빨리 도달할 수 있으므로 뿌리지 말 것
- 20℃에서 이 물질이 다소 천천히 증발하면서 유해 농도에 도달하므로 20℃ 이하로 유지할 것
- 20℃에서 증발은 거의 일어나지 않으나, 뿌리면 공기 입자의 유해 농도까지 매우 빨리 도달할 수 있으므로 뿌리지 말 것
- 20℃에서 증발은 거의 일어나지 않으나, 뿌리거나 스프레이 하면 공기 입자의 유해 농도까지 매우 빨리 도달할 수
있으므로 뿌리거나 스프레이하지 마시오할 것(특히, 파우더의 경우)
- 20℃에서 증발은 거의 일어나지 않으나, 뿌리면 공기 입자의 유해 농도까지 매우 빨리 도달할 수 있으므로 뿌리지 말 것 (특히, 파우더의 경우)
- 해당 장소에 들어가기 전 산소 농도를 체크할 것
- 스프레이하거나 뿌리는 경우 더 빠르게 증발하므로 스프레이하거나 뿌리지 말 것
- 밀폐하여 보관할 것
- 서늘하고 건조한 장소에 저장할 것</v>
          </cell>
        </row>
        <row r="1441">
          <cell r="B1441" t="str">
            <v>1027326-93-7</v>
          </cell>
          <cell r="C1441" t="str">
            <v>펜타에리스리톨 테트라키스(3-메르캅토부타노에이트)와 펜타에리스리톨트리스(3-메르캅토부타노에이트)의 혼합물</v>
          </cell>
          <cell r="D1441" t="str">
            <v>2010-1-603</v>
          </cell>
          <cell r="E1441" t="str">
            <v>및 이를 25% 이상 함유한 혼합물질</v>
          </cell>
          <cell r="F1441">
            <v>25</v>
          </cell>
        </row>
        <row r="1442">
          <cell r="B1442" t="str">
            <v>31775-89-0</v>
          </cell>
          <cell r="C1442" t="str">
            <v>펜타에리스리톨 테트라키스(3-메르캅토부타노에이트)와 펜타에리스리톨트리스(3-메르캅토부타노에이트)의 혼합물</v>
          </cell>
          <cell r="D1442" t="str">
            <v>2010-1-603</v>
          </cell>
          <cell r="E1442" t="str">
            <v>및 이를 25% 이상 함유한 혼합물질</v>
          </cell>
          <cell r="F1442">
            <v>25</v>
          </cell>
        </row>
        <row r="1443">
          <cell r="B1443" t="str">
            <v>7789-24-4</v>
          </cell>
          <cell r="C1443" t="str">
            <v>플루오르화 리튬</v>
          </cell>
          <cell r="D1443" t="str">
            <v>2010-1-604</v>
          </cell>
          <cell r="E1443" t="str">
            <v>및 이를 25% 이상 함유한 혼합물질</v>
          </cell>
          <cell r="F1443">
            <v>25</v>
          </cell>
          <cell r="G1443" t="str">
            <v>- 서늘하고 건조한 장소에 저장할 것
- 확실하게 밀폐된 용기에 저장할 것
- 원래의 용기에 저장할 것
- 서늘하고 건조하고 통풍이 잘 되는 장소에 저장할 것
- 혼합금지물질, 식료품 저장 용기와 멀리 떨어진 곳에 보관할 것
- 물리적 손상으로부터 용기를 보호하고 정기적으로 누수를 확인할 것
- 흡입을 포함한 모든 인체 접촉은 피할 것
- 노출 위험이 발생할 때, 보호의를 착용할 것
- 통풍이 잘 되는 장소에서 사용할 것
- 움푹한 곳에 모이지 않도록 할 것
- 대기상태가 확인될 때까지 밀폐된 공간으로 들어가지 말 것
- 사람, 외부에 노출된 식품이나 식기에 닿지 않도록 할 것
- 혼합금지물질과 접촉시키지 않을 것
- 취급 시 먹거나 마시거나 흡연 금지할 것
- 사용하지 않을 때에는 용기를 안전하게 밀폐시킬 것
- 용기에 물리적인 위험을 피할 것
- 취급 후에는 항상 비누와 물로 손을 세척할 것
- 적합한 작업장을 사용할 것
- 저장 및 취급 시, 제조자의 권고사항을 살펴볼 것
- 안전한 작업환경을 유지하기 위하여 대기 노출 기준을 준수할 수 있도록 공기질을 정기적으로 확인할 것
- 강산류, 산성 염화물, 산무수물과 클로로폼에이트류를 피할 것</v>
          </cell>
        </row>
        <row r="1444">
          <cell r="B1444" t="str">
            <v>478945-46-9</v>
          </cell>
          <cell r="C1444" t="str">
            <v>염화 클로로</v>
          </cell>
          <cell r="D1444" t="str">
            <v>2010-1-605</v>
          </cell>
          <cell r="E1444" t="str">
            <v>및 이를 25% 이상 함유한 혼합물질</v>
          </cell>
          <cell r="F1444">
            <v>25</v>
          </cell>
          <cell r="G1444" t="str">
            <v>- 취급 후 철저히 세척할 것
- 공학적 관리 및 개인보호구를 참조하여 작업할 것
- 고온에 주의할 것
- 물질 유출시 공기 중 산소 농도를 저하시켜서 밀폐된 장소에서 질식을 일으킬 수 있으므로 유출되지 않도록 주의할 것
- 공기 중 고농도 상태에서 산소 결핍을 일으켜 의식상실 혹은 사망을 일으킬 위험이 있으므로 해당 장소에 들어가기 전 산소 농도를 체크할 것
- 물질 유출시 액체가 빠르게 증발하면서 공기를 대체함에 따라 밀폐장소에서 있을 때 심각한 질식의 우려가 있으므로 유출되지 않도록 주의할 것
- 물질 유출시 공기중에서 이 가스의 유해 농도까지 매우 빨리 도달하므로 유출되지 않도록 주의할 것
- 뿌리면 공기 입자의 유해 농도까지 매우 빨리 도달할 수 있으므로 뿌리지 말 것
- 20℃에서 이 물질이 다소 천천히 증발하면서 유해 농도에 도달하므로 20℃ 이하로 유지할 것
- 20℃에서 증발은 거의 일어나지 않으나, 뿌리면 공기 입자의 유해 농도까지 매우 빨리 도달할 수 있으므로 뿌리지 말 것
- 20℃에서 증발은 거의 일어나지 않으나, 뿌리거나 스프레이 하면 공기 입자의 유해 농도까지 매우 빨리 도달할 수 있으므로 뿌리거나 스프레이하지 말 것(특히, 파우더의 경우)
- 20℃에서 증발은 거의 일어나지 않으나, 뿌리면 공기 입자의 유해 농도까지 매우 빨리 도달할 수 있으므로 뿌리지 말 것(특히, 파우더의 경우)
- 해당 장소에 들어가기 전 산소 농도를 체크할 것
- 스프레이하거나 뿌리는 경우 더 빠르게 증발하므로 스프레이하거나 뿌리지 말 것
- 밀폐하여 보관할 것
- 서늘하고 건조한 장소에 저장할 것</v>
          </cell>
        </row>
        <row r="1445">
          <cell r="B1445" t="str">
            <v>2527-66-4</v>
          </cell>
          <cell r="C1445" t="str">
            <v>2-메틸-1,2-벤즈이소티아졸린-3-온</v>
          </cell>
          <cell r="D1445" t="str">
            <v>2010-1-606</v>
          </cell>
          <cell r="E1445" t="str">
            <v>및 이를 25% 이상 함유한 혼합물질</v>
          </cell>
          <cell r="F1445">
            <v>25</v>
          </cell>
          <cell r="G1445" t="str">
            <v>- 용기가 비워진 후에도 제품 찌꺼기가 남아 있을 수 있으므로 모든 MSDS/라벨 예방조치를 따를 것
- 공학적 관리 및 개인보호구를 참조하여 작업할 것
- 고온에 주의할 것</v>
          </cell>
        </row>
        <row r="1446">
          <cell r="B1446" t="str">
            <v>678966-16-0</v>
          </cell>
          <cell r="C1446" t="str">
            <v>리튬 비스[에탄디오에이토 (2-)-κO1,κO2]디플루오로포스페이트(1-)</v>
          </cell>
          <cell r="D1446" t="str">
            <v>2010-1-607</v>
          </cell>
          <cell r="E1446" t="str">
            <v>및 이를 25% 이상 함유한 혼합물질</v>
          </cell>
          <cell r="F1446">
            <v>25</v>
          </cell>
          <cell r="G1446" t="str">
            <v>- 취급 후 철저히 세척할 것
- 공학적 관리 및 개인보호구를 참조하여 작업할 것
- 고온에 주의할 것
- 물질 유출시 공기 중 산소 농도를 저하시켜서 밀폐된 장소에서 질식을 일으킬 수 있으므로 유출되지 않도록 주의할 것
- 공기 중 고농도 상태에서 산소 결핍을 일으켜 의식상실 혹은 사망을 일으킬 위험이 있으므로 해당 장소에 들어가기 전 산소 농도를 체크할 것
- 물질 유출시 액체가 빠르게 증발하면서 공기를 대체함에 따라 밀폐장소에서 있을 때 심각한 질식의 우려가 있으므로 유출되지 않도록 주의할 것
- 물질 유출시 공기중에서 이 가스의 유해 농도까지 매우 빨리 도달하므로 유출되지 않도록 주의할 것
- 뿌리면 공기 입자의 유해 농도까지 매우 빨리 도달할 수 있으므로 뿌리지 말 것
- 20℃에서 이 물질이 다소 천천히 증발하면서 유해 농도에 도달하므로 20℃ 이하로 유지할 것
- 20℃에서 증발은 거의 일어나지 않으나, 뿌리면 공기 입자의 유해 농도까지 매우 빨리 도달할 수 있으므로 뿌리지 말 것
- 20℃에서 증발은 거의 일어나지 않으나, 뿌리거나 스프레이 하면 공기 입자의 유해 농도까지 매우 빨리 도달할 수
있으므로 뿌리거나 스프레이하지 말 것 (특히, 파우더의 경우)
- 20℃에서 증발은 거의 일어나지 않으나, 뿌리면 공기 입자의 유해 농도까지 매우 빨리 도달할 수 있으므로 뿌리지 말 것 (특히, 파우더의 경우)
- 해당 장소에 들어가기 전 산소 농도를 체크할 것
- 스프레이하거나 뿌리는 경우 더 빠르게 증발하므로 스프레이하거나 뿌리지 말 것
- 밀폐하여 보관할 것
- 서늘하고 건조한 장소에 저장할 것</v>
          </cell>
        </row>
        <row r="1447">
          <cell r="B1447" t="str">
            <v>123-81-9</v>
          </cell>
          <cell r="C1447" t="str">
            <v>에틸렌 메르캅토아세테이트</v>
          </cell>
          <cell r="D1447" t="str">
            <v>2010-1-608</v>
          </cell>
          <cell r="E1447" t="str">
            <v>및 이를 25% 이상 함유한 혼합물질</v>
          </cell>
          <cell r="F1447">
            <v>25</v>
          </cell>
          <cell r="G1447" t="str">
            <v>- 원래의 용기에 저장하고 안전하게 밀폐시킬 것
- 서늘하고 건조하며 통풍이 잘 되는 장소에 저장할 것
- 혼합금지물질, 식료품 저장 용기와 멀리 떨어진 곳에 보관할 것
- 물리적 손상으로부터 용기를 보호하고 정기적으로 누수를 확인할 것
- 저장 및 취급 시, 제조자의 권고사항을 살펴볼 것
- 흡입을 포함한 모든 인체 접촉은 피할 것
- 노출 위험이 발생할 때, 보호의를 착용할 것
- 통풍이 잘 되는 장소에서 사용할 것
- 움푹한 곳에 모이지 않도록 할 것
- 대기상태가 확인될 때까지 밀폐된 공간으로 들어가지 말 것
- 사람, 외부에 노출된 식품이나 식기에 닿지 않도록 할 것
- 혼합금지물질과 접촉시키지 않을 것
- 취급 시 먹거나 마시거나 흡연 금지할 것
- 사용하지 않을 때에는 용기를 안전하게 밀폐시킬 것
- 용기에 물리적인 위험을 피할 것
- 취급 후에는 항상 비누와 물로 손을 세척할 것
- 적합한 작업장을 사용할 것
- 저장 및 취급 시, 제조자의 권고사항을 살펴볼 것
- 안전한 작업환경을 유지하기 위하여 대기 노출 기준을 준수할 수 있도록 공기질을 정기적으로 확인할 것
- 산화제, 강염기와의 반응을 피할 것</v>
          </cell>
        </row>
        <row r="1448">
          <cell r="B1448" t="str">
            <v>7786-81-4</v>
          </cell>
          <cell r="C1448" t="str">
            <v>황산니켈</v>
          </cell>
          <cell r="D1448" t="str">
            <v>2010-1-609</v>
          </cell>
          <cell r="E1448" t="str">
            <v>및 이를 0.1% 이상 함유한 혼합물질</v>
          </cell>
          <cell r="F1448">
            <v>0.1</v>
          </cell>
          <cell r="G1448" t="str">
            <v>- 서늘한 장소에서 완전히 밀폐하여 저장할 것
- 발암성물질 예방조치 :
- 옮기는 경우를 제외하고 저장 장소는 적은 양을 사용하기 위해 실험실과 가까이 있어야 할 것
- 발암성물질은 식기장, 물리화학적 성질에 의거하여 폭발 방지 냉장고나 냉동고의 한 구역에 표를 붙이고 저장할 것
- 재고품에 발암성물질의 양과 받은 날짜를 적을 것
- 조제소와 저장소는 인접할 것
- 빈 용기도 위험할 수 있으며, 잔류물이 있을 수 있어, 주어진 데이터를 통해 모든 위험 예방조치 준수할 것
- 적합한 개인의 위생 상태에서 사용할 것
- 작업 후에는 충분한 양의 비누와 물을 사용하여 세척할 것</v>
          </cell>
        </row>
        <row r="1449">
          <cell r="B1449" t="str">
            <v>10101-97-0</v>
          </cell>
          <cell r="C1449" t="str">
            <v>황산니켈 6수화물</v>
          </cell>
          <cell r="D1449" t="str">
            <v>2010-1-609</v>
          </cell>
          <cell r="E1449" t="str">
            <v>및 이를 0.1% 이상 함유한 혼합물질</v>
          </cell>
          <cell r="F1449">
            <v>0.1</v>
          </cell>
          <cell r="G1449" t="str">
            <v>- 서늘한 장소에서 완전히 밀폐하여 저장할 것
- 발암성물질 예방조치 :
- 옮기는 경우를 제외하고 저장 장소는 적은 양을 사용하기 위해 실험실과 가까이 있어야 할 것
- 발암성물질은 식기장, 물리화학적 성질에 의거하여 폭발 방지 냉장고나 냉동고의 한 구역에 표를 붙이고 저장할 것
- 재고품에 발암성물질의 양과 받은 날짜를 적을 것
- 조제소와 저장소는 인접할 것
- 빈 용기도 위험할 수 있으며, 잔류물이 있을 수 있어, 주어진 데이터를 통해 모든 위험 예방조치 준수할 것
- 적합한 개인의 위생 상태에서 사용할 것
- 작업 후에는 충분한 양의 비누와 물을 사용하여 세척할 것</v>
          </cell>
        </row>
        <row r="1450">
          <cell r="B1450" t="str">
            <v>123-31-9</v>
          </cell>
          <cell r="C1450" t="str">
            <v>하이드로퀴논</v>
          </cell>
          <cell r="D1450" t="str">
            <v>2010-1-610</v>
          </cell>
          <cell r="E1450" t="str">
            <v>및 이를 2.5% 이상 함유한 혼합물질</v>
          </cell>
          <cell r="F1450">
            <v>2.5</v>
          </cell>
          <cell r="G1450" t="str">
            <v>- 직사광선을 피해서 저장할 것
- 원래의 용기에 저장하고 안전하게 밀폐시킬 것
- 서늘하고 건조하고 통풍이 잘 되는 장소에 저장할 것
- 혼합금지물질, 식료품 저장 용기와 멀리 떨어진 곳에 보관할 것
- 물리적 손상으로부터 용기를 보호하고 정기적으로 누수를 확인할 것
- 저장 및 취급 시, 제조자의 권고사항을 살펴볼 것
- 양이 많을 경우 제한된 구역에 저장하고 그 지역의 수원(빗물, 지하수, 호수나 강 포함)으로부터 저장 장소를 격리할 것
- 물이나 공기 중으로 의도치 않은 방출을 막는 것은 긴급재해관리계획의 목표가 되며 그 지방의 허가권과 함께 협의할 것
- 통풍이 잘 되는 장소에서만 사용할 것
- 분진 발생과 분진 축적을 최소화할 것
- 옷과 접촉하지 않도록 할 것
- 흡입을 포함한 모든 인체 접촉은 피할 것
- 노출 위험이 발생할 때, 보호의를 착용할 것
- 움푹한 곳에 모이지 않도록 할 것
- 대기상태가 확인될 때까지 밀폐된 공간으로 들어가지 말 것
- 사람, 외부에 노출된 식품이나 식기와 접촉 금지할 것
- 혼합금지물질과 접촉시키지 않을 것
- 취급 시 먹거나 마시거나 흡연 금지할 것
- 사용하지 않을 때에는 용기를 안전하게 밀폐시킬 것
- 용기에 물리적인 위험을 피할 것
- 취급 후에는 항상 비누와 물로 손을 세척할 것
- 적합한 작업장을 사용할 것
- 저장 및 취급 시, 제조자의 권고사항을 살펴볼 것
- 안전한 작업환경을 유지하기 위하여 대기 노출 기준을 준수할 수 있도록 공기질을 정기적으로 확인할 것
- 빈 용기에 잔류물질은 바닥에 쌓여서 축적될 수 있으며 적당한 점화원이 존재하는 경우에 폭발할 수도 있으므로 용기에 절삭, 천공, 연마 또는 용접을 해서는 안되고, 그러한 행위들이 적절한 작업 안전 승인 또는 허가 없이 용기 근처(차있거나 부분적으로 차있거나 비어 있는 용기)에서 수행하지 말 것
- 산화제와의 반응을 피할 것</v>
          </cell>
        </row>
        <row r="1451">
          <cell r="B1451" t="str">
            <v>584-84-9</v>
          </cell>
          <cell r="C1451" t="str">
            <v>톨루엔 디이소시아네이트</v>
          </cell>
          <cell r="D1451" t="str">
            <v>2010-1-611</v>
          </cell>
          <cell r="E1451" t="str">
            <v>및 이를 25% 이상 함유한 혼합물질(2,4-디이소시안산 톨루엔[Toluene 2,4-diisocyanate; 584-84-9], 2,6-디이소시안산 톨루엔[Toluene 2,6-diisocyanate; 91-08-7])</v>
          </cell>
          <cell r="F1451">
            <v>25</v>
          </cell>
          <cell r="G1451" t="str">
            <v>- 물, 알칼리, 강염기류 혹은 대기 습기와의 오염으로부터 보호할 것
- 확실하게 밀폐된 용기에 저장할 것
- 불활성 대기상태 하에서 저장할 것
- 과도한 열 및 직사광선으로부터 보호하고 서늘하고 건조하고 통풍이 잘 되는 장소에 서 혼합금지물질과 떨어진 곳에
저장할 것
- 물리적 손상으로부터 용기를 보호하고 정기적으로 누수를 확인할 것
- 저장 및 취급 시, 제조자의 권고사항을 살펴볼 것
- 40℃이상 및 12℃이하로 저장 금지할 것
- 노출 위험이 발생할 때, 보호의를 착용할 것
- 대기상태가 확인될 때까지 밀폐된 공간으로 들어가지 말 것
- 모든 화학물질은 위험물로 간주하고 물, 혼합금지물질과 접촉시키지 말 것
- 물질에 젖은 옷을 착용한 상태로 피부에 접촉 금지할 것
- 사람, 외부에 노출된 식품이나 식기와 접촉 금지할 것
- 사용하지 않을 때에는 용기를 안전하게 밀폐시킬 것
- 안전한 작업환경을 유지하기 위하여 대기 노출 기준을 준수할 수 있도록 공기질을 정기적으로 확인할 것
- 용기를 완전히 밀폐시키고 물리적인 위험을 피할 것
- 움푹한 곳에 모이지 않도록 할 것
- 저장 및 취급 시, 제조자의 권고사항을 살펴볼 것
- 적절하고 인증된 안전 장비, 환기장치, 적합한 작업장을 사용할 것
- 취급 시 먹거나 마시거나 흡연 금지할 것
- 취급 후에는 항상 비누와 물로 손을 세척할 것
- 통풍이 잘 되는 장소에서 사용할 것
- 화학물질 흄 후드 내에서 취급 할 것
- 훈련되지 않은 사람은 이 화학물질 또는 그 용기를 취급 금지할 것
- 흡입을 포함한 모든 인체 접촉은 피할 것
- 사고대비물질(톨루엔-2,4-디이소시아네이트 및 이를 25% 이상 함유한 혼합물질)</v>
          </cell>
        </row>
        <row r="1452">
          <cell r="B1452" t="str">
            <v>91-08-7</v>
          </cell>
          <cell r="C1452" t="str">
            <v>톨루엔 디이소시아네이트</v>
          </cell>
          <cell r="D1452" t="str">
            <v>2010-1-611</v>
          </cell>
          <cell r="E1452" t="str">
            <v>및 이를 25% 이상 함유한 혼합물질(2,4-디이소시안산 톨루엔[Toluene 2,4-diisocyanate; 584-84-9], 2,6-디이소시안산 톨루엔[Toluene 2,6-diisocyanate; 91-08-7])</v>
          </cell>
          <cell r="F1452">
            <v>25</v>
          </cell>
          <cell r="G1452" t="str">
            <v>- 물, 알칼리, 강염기류 혹은 대기 습기와의 오염으로부터 보호할 것
- 확실하게 밀폐된 용기에 저장할 것
- 불활성 대기상태 하에서 저장할 것
- 과도한 열 및 직사광선으로부터 보호하고 서늘하고 건조하고 통풍이 잘 되는 장소에 서 혼합금지물질과 떨어진 곳에
저장할 것
- 물리적 손상으로부터 용기를 보호하고 정기적으로 누수를 확인할 것
- 저장 및 취급 시, 제조자의 권고사항을 살펴볼 것
- 40℃이상 및 12℃이하로 저장 금지할 것
- 노출 위험이 발생할 때, 보호의를 착용할 것
- 대기상태가 확인될 때까지 밀폐된 공간으로 들어가지 말 것
- 모든 화학물질은 위험물로 간주하고 물, 혼합금지물질과 접촉시키지 말 것
- 물질에 젖은 옷을 착용한 상태로 피부에 접촉 금지할 것
- 사람, 외부에 노출된 식품이나 식기와 접촉 금지할 것
- 사용하지 않을 때에는 용기를 안전하게 밀폐시킬 것
- 안전한 작업환경을 유지하기 위하여 대기 노출 기준을 준수할 수 있도록 공기질을 정기적으로 확인할 것
- 용기를 완전히 밀폐시키고 물리적인 위험을 피할 것
- 움푹한 곳에 모이지 않도록 할 것
- 저장 및 취급 시, 제조자의 권고사항을 살펴볼 것
- 적절하고 인증된 안전 장비, 환기장치, 적합한 작업장을 사용할 것
- 취급 시 먹거나 마시거나 흡연 금지할 것
- 취급 후에는 항상 비누와 물로 손을 세척할 것
- 통풍이 잘 되는 장소에서 사용할 것
- 화학물질 흄 후드 내에서 취급 할 것
- 훈련되지 않은 사람은 이 화학물질 또는 그 용기를 취급 금지할 것
- 흡입을 포함한 모든 인체 접촉은 피할 것
- 사고대비물질(톨루엔-2,4-디이소시아네이트 및 이를 25% 이상 함유한 혼합물질)</v>
          </cell>
        </row>
        <row r="1453">
          <cell r="B1453" t="str">
            <v>26471-62-5</v>
          </cell>
          <cell r="C1453" t="str">
            <v>톨루엔 디이소시아네이트</v>
          </cell>
          <cell r="D1453" t="str">
            <v>2010-1-611</v>
          </cell>
          <cell r="E1453" t="str">
            <v>및 이를 25% 이상 함유한 혼합물질(2,4-디이소시안산 톨루엔[Toluene 2,4-diisocyanate; 584-84-9], 2,6-디이소시안산 톨루엔[Toluene 2,6-diisocyanate; 91-08-7])</v>
          </cell>
          <cell r="F1453">
            <v>25</v>
          </cell>
          <cell r="G1453" t="str">
            <v>- 물, 알칼리, 강염기류 혹은 대기 습기와의 오염으로부터 보호할 것
- 확실하게 밀폐된 용기에 저장할 것
- 불활성 대기상태 하에서 저장할 것
- 과도한 열 및 직사광선으로부터 보호하고 서늘하고 건조하고 통풍이 잘 되는 장소에 서 혼합금지물질과 떨어진 곳에
저장할 것
- 물리적 손상으로부터 용기를 보호하고 정기적으로 누수를 확인할 것
- 저장 및 취급 시, 제조자의 권고사항을 살펴볼 것
- 40℃이상 및 12℃이하로 저장 금지할 것
- 노출 위험이 발생할 때, 보호의를 착용할 것
- 대기상태가 확인될 때까지 밀폐된 공간으로 들어가지 말 것
- 모든 화학물질은 위험물로 간주하고 물, 혼합금지물질과 접촉시키지 말 것
- 물질에 젖은 옷을 착용한 상태로 피부에 접촉 금지할 것
- 사람, 외부에 노출된 식품이나 식기와 접촉 금지할 것
- 사용하지 않을 때에는 용기를 안전하게 밀폐시킬 것
- 안전한 작업환경을 유지하기 위하여 대기 노출 기준을 준수할 수 있도록 공기질을 정기적으로 확인할 것
- 용기를 완전히 밀폐시키고 물리적인 위험을 피할 것
- 움푹한 곳에 모이지 않도록 할 것
- 저장 및 취급 시, 제조자의 권고사항을 살펴볼 것
- 적절하고 인증된 안전 장비, 환기장치, 적합한 작업장을 사용할 것
- 취급 시 먹거나 마시거나 흡연 금지할 것
- 취급 후에는 항상 비누와 물로 손을 세척할 것
- 통풍이 잘 되는 장소에서 사용할 것
- 화학물질 흄 후드 내에서 취급 할 것
- 훈련되지 않은 사람은 이 화학물질 또는 그 용기를 취급 금지할 것
- 흡입을 포함한 모든 인체 접촉은 피할 것
- 사고대비물질(톨루엔-2,4-디이소시아네이트 및 이를 25% 이상 함유한 혼합물질)</v>
          </cell>
        </row>
        <row r="1454">
          <cell r="B1454" t="str">
            <v>2795-39-3</v>
          </cell>
          <cell r="C1454" t="str">
            <v>퍼플루오로옥탄술폰산 칼륨</v>
          </cell>
          <cell r="D1454" t="str">
            <v>2010-1-612</v>
          </cell>
          <cell r="E1454" t="str">
            <v>및 이를 0.3% 이상 함유한 혼합물질</v>
          </cell>
          <cell r="F1454">
            <v>0.3</v>
          </cell>
          <cell r="G1454" t="str">
            <v>- 원래의 용기에 저장하고 안전하게 밀폐시킬 것
- 서늘하고 건조하며 통풍이 잘 되는 장소에 저장할 것
- 혼합금지물질, 식료품 저장 용기와 멀리 떨어진 곳에 보관할 것
- 물리적 손상으로부터 용기를 보호하고 정기적으로 누수를 확인할 것
- 저장 및 취급 시, 제조자의 권고사항을 살펴볼 것
- 흡입을 포함한 모든 인체 접촉은 피할 것
- 노출 위험이 발생할 때, 보호의를 착용할 것
- 통풍이 잘 되는 장소에서 사용할 것
- 움푹한 곳에 모이지 않도록 할 것
- 대기상태가 확인될 때까지 밀폐된 공간으로 들어가지 말 것
- 사람, 외부에 노출된 식품이나 식기에 닿지 않도록 할 것
- 혼합금지물질과 접촉시키지 않을 것
- 취급 시 먹거나 마시거나 흡연 금지할 것
- 사용하지 않을 때에는 용기를 안전하게 밀폐시킬 것
- 용기에 물리적인 위험을 피할 것
- 취급 후에는 항상 비누와 물로 손을 세척할 것
- 적합한 작업장을 사용할 것
- 저장 및 취급 시, 제조자의 권고사항을 살펴볼 것
- 안전한 작업환경을 유지하기 위하여 대기 노출 기준을 준수할 수 있도록 공기질을 정기적으로 확인할 것
- 빈 용기에 잔류물질은 바닥에 쌓여서 축적되어 적당한 점화원이 존재하는 경우에 폭발할 수도 있어 용기에 절삭, 천공, 연마 또는 용접을 하지 말 것</v>
          </cell>
        </row>
        <row r="1455">
          <cell r="B1455" t="str">
            <v>94-36-0</v>
          </cell>
          <cell r="C1455" t="str">
            <v>과산화 벤조일</v>
          </cell>
          <cell r="D1455" t="str">
            <v>2010-1-613</v>
          </cell>
          <cell r="E1455" t="str">
            <v>및 이를 25% 이상 함유한 혼합물질</v>
          </cell>
          <cell r="F1455">
            <v>25</v>
          </cell>
          <cell r="G1455" t="str">
            <v>- 승인된 가연성 물질 저장지역에 격리시켜 원래의 용기에 저장할 것
- 공급 시, 용기를 안전하게 밀폐시키고 잠가서 보관할 것
- 밀봉된 용기 안에 물질이 분해가 일어나 압력이 커져서 폭발할 수 있음을 주의할 것
- 금연하고 갓이 없는 등, 열이나 점화원은 제거할 것
- 선선하고, 건조한 잘 환기되는 지역에 저장할 것
- 직사광선을 피해서 안전 저장 온도보다 낮은 온도(항상 35℃이하)에서 저장할 것
- 가연성물질, 부스러기, 쓰레기와 멀리 떨어진 곳에 저장할 것
- 접촉 시, 화재나 격렬한 반응을 유발시킬 수 있음을 주의할 것
- 혼합금지물질, 식료품 저장 용기와 떨어진 곳에 보관할 것
- 목재바닥 또는 목재 화물 운반대에 쌓지 말 것
- 용기를 물리적 손상으로부터 보호할 것
- 누출 및 누수를 정기적으로 점검하고 제조자의 저장과 취급 권고사항을 지킬 것
- 같은 장소에서 허용 수량을 제한하거나 다른 물질의 취급을 제한할 것
- 누출물을 흡수하고 중성화하는 물질은 저장소 근처에 둘 것
- 적절한 소화기가 구비되어야 할 것
- 위험물질이 오랫동안 저장되는 것을 막기 위해 적절한 재고 조절을 할 것
- 자기가속분해온도(SADT)  이하로 20℃에 저장할 것
- 모든 화학물질은 위험물로 간주하고 직접적인 물리적 접촉을 피할 것
- 적절하고 인증된 안전 장비를 사용할 것
- 훈련되지 않은 사람은 이 화학물질 또는 그 용기를 취급 금지할 것
- 화학물질 흄 후드 내에서 취급 할 것
- 적당한 양으로 섞을 것
- 원래의 용기에 혼합된 물질을 담지 말 것
- 분진, 미스트나 증기의 흡입과 인체 접촉을 피할 것
- 충분한 환기를 시킬 것
- 항상 보호장비를 착용하고 옷에 묻었을 때 즉시 세탁할 것
- 빛, 열, 가연성 물질과 멀리 떨어진 곳에 보관할 것
- 용기에 물리적인 위험을 피하고 용기에서 사용되지 않은 부분을 재포장하거나 다시 사용하지 말고 즉시 사용할 양만 끌어서 쓸 것
- 오염물질은 강렬한 열과 불을 발생시키며 분해될 수 있음을 주의할 것
- 취급 시 절대 먹거나 마시거나 흡연 금지할 것
- 취급 후에는 항상 비누와 물로 손을 세척할 것
- 적합한 작업장을 사용할 것
- 저장 및 취급 시, 제조자의 권고사항을 살펴볼 것
- 빈 용기에 잔류물질은 바닥에 쌓여서 축적되어 적당한 점화원이 존재하는 경우에 폭발할 수도 있어 용기에 절삭,
천공, 연마 또는 용접하지 말 것</v>
          </cell>
        </row>
        <row r="1456">
          <cell r="B1456" t="str">
            <v>118612-00-3</v>
          </cell>
          <cell r="C1456" t="str">
            <v>N,N-디메틸벤젠아민 테트라키스(펜타플루오로페닐)보레이트(1-)</v>
          </cell>
          <cell r="D1456" t="str">
            <v>2011-1-614</v>
          </cell>
          <cell r="E1456" t="str">
            <v>및 이를 25% 이상 함유한 혼합물질</v>
          </cell>
          <cell r="F1456">
            <v>25</v>
          </cell>
          <cell r="G1456" t="str">
            <v>- 서늘하고 건조한 장소에 저장할 것
- 확실하게 밀폐된 용기에 저장할 것
- 불활성 대기상태 하에서 저장할 것</v>
          </cell>
        </row>
        <row r="1457">
          <cell r="B1457" t="str">
            <v>1892-03-1</v>
          </cell>
          <cell r="C1457" t="str">
            <v>1,3,3,4,4,5,5-헵타플루오로시클로펜텐</v>
          </cell>
          <cell r="D1457" t="str">
            <v>2011-1-615</v>
          </cell>
          <cell r="E1457" t="str">
            <v>및 이를 25% 이상 함유한 혼합물질</v>
          </cell>
          <cell r="F1457">
            <v>25</v>
          </cell>
          <cell r="G1457" t="str">
            <v>- 취급 후 철저히 세척할 것
- 공학적 관리 및 개인보호구를 참조하여 작업할 것
- 고온에 주의할 것
- 물질 유출시 공기 중 산소 농도를 저하시켜서 밀폐된 장소에서 질식을 일으킬 수 있으므로 유출되지 않도록 주의할 것
- 공기 중 고농도 상태에서 산소 결핍을 일으켜 의식상실 혹은 사망을 일으킬 위험이 있으므로 해당 장소에 들어가기 전 산소 농도를 체크할 것
- 물질 유출시 액체가 빠르게 증발하면서 공기를 대체함에 따라 밀폐장소에서 있을 때 심각한 질식의 우려가 있으므로 유출되지 않도록 주의할 것
- 물질 유출시 공기중에서 이 가스의 유해 농도까지 매우 빨리 도달하므로 유출되지 않도록 주의할 것
- 뿌리면 공기 입자의 유해 농도까지 매우 빨리 도달할 수
있으므로 뿌리지 말 것
- 20℃에서 이 물질이 다소 천천히 증발하면서 유해 농도에 도달하므로 20℃ 이하로 유지할 것
- 20℃에서 증발은 거의 일어나지 않으나, 뿌리면 공기 입자의 유해 농도까지 매우 빨리 도달할 수 있으므로 뿌리지 말 것
- 20℃에서 증발은 거의 일어나지 않으나, 뿌리거나 스프레이 하면 공기 입자의 유해 농도까지 매우 빨리 도달할 수
있으므로 뿌리거나 스프레이하지 말 것 (특히, 파우더의 경우)
- 20℃에서 증발은 거의 일어나지 않으나, 뿌리면 공기 입자의 유해 농도까지 매우 빨리 도달할 수 있으므로 뿌리지 말 것 (특히, 파우더의 경우)
- 해당 장소에 들어가기 전 산소 농도를 체크할 것
- 스프레이하거나 뿌리는 경우 더 빠르게 증발하므로 스프레이하거나 뿌리지 말 것
- 밀폐하여 보관할 것
- 서늘하고 건조한 장소에 저장할 것</v>
          </cell>
        </row>
        <row r="1458">
          <cell r="B1458" t="str">
            <v>15396-00-6</v>
          </cell>
          <cell r="C1458" t="str">
            <v>(3-이소시아나토프로필)트리메톡시실란</v>
          </cell>
          <cell r="D1458" t="str">
            <v>2011-1-616</v>
          </cell>
          <cell r="E1458" t="str">
            <v>및 이를 1% 이상 함유한 혼합물질</v>
          </cell>
          <cell r="F1458">
            <v>1</v>
          </cell>
          <cell r="G1458" t="str">
            <v>- 서늘하고 건조하고 어두운 장소에 밀폐된 용기에 저장할 것
- 혼합금지물질 및 점화원으로 부터 떨어질 것
- 물리적 손상으로부터 용기를 보호할 것
- 직접적인 신체접촉은 피할 것
- 적절한 안정 장비를 사용할 것
- 훈련받지 않은 작업자는 이 물질 또는 용기를 취급 금지할 것
- 화학물질 흄 후드 내에서만 취급할 것
- 적절한 보호안경, 보호복 및 보호경을 착용할 것</v>
          </cell>
        </row>
        <row r="1459">
          <cell r="B1459" t="str">
            <v>12125-01-8</v>
          </cell>
          <cell r="C1459" t="str">
            <v>플루오르화 암모늄</v>
          </cell>
          <cell r="D1459" t="str">
            <v>2011-1-617</v>
          </cell>
          <cell r="E1459" t="str">
            <v>및 이를 25% 이상 함유한 혼합물질</v>
          </cell>
          <cell r="F1459">
            <v>25</v>
          </cell>
          <cell r="G1459" t="str">
            <v>- 호환성 있는 용기에 보관할 것
- 서늘하고 건조한 장소에 보관할 것
- 밀폐된 용기에 보관할 것
- 혼합금지 물질과 분리할 것</v>
          </cell>
        </row>
        <row r="1460">
          <cell r="B1460" t="str">
            <v>1530-32-1</v>
          </cell>
          <cell r="C1460" t="str">
            <v>브롬화 에틸트리페닐포스포늄</v>
          </cell>
          <cell r="D1460" t="str">
            <v>2011-1-618</v>
          </cell>
          <cell r="E1460" t="str">
            <v xml:space="preserve">및 이를 25% 이상 함유한 혼합물질 </v>
          </cell>
          <cell r="F1460">
            <v>25</v>
          </cell>
          <cell r="G1460" t="str">
            <v>- 용기가 비워진 후에도 제품 찌꺼기가 남아 있을 수 있으므로 모든 MSDS/라벨 예방조치를 따를 것
- 공학적 관리 및 개인보호구를 참조하여 작업할 것
- 고온에 주의할 것</v>
          </cell>
        </row>
        <row r="1461">
          <cell r="B1461" t="str">
            <v>101-90-6</v>
          </cell>
          <cell r="C1461" t="str">
            <v>2,2'-[1,3-페닐렌비스(옥시메틸렌)]비스[옥시란]</v>
          </cell>
          <cell r="D1461" t="str">
            <v>2011-1-619</v>
          </cell>
          <cell r="E1461" t="str">
            <v>및 이를 1% 이상 함유한 혼합물질</v>
          </cell>
          <cell r="F1461">
            <v>1</v>
          </cell>
          <cell r="G1461" t="str">
            <v>- 모든 안전 예방조치 문구를 읽고 이해하기 전에는 취급하지 말 것
- (분진·흄·가스·미스트·증기·스프레이)의 흡입을 피할 것
- 취급 후에는 취급 부위를 철저히 세척할 것
- 옥외 또는 환기가 잘 되는 곳에서만 취급할 것
- 작업장 밖으로 오염된 의복을 반출하지 말 것
- 용기가 비워진 후에도 제품 찌꺼기가 남아 있을 수 있으므로 모든 MSDS/라벨 예방조치를 따를 것
- 취급/저장에 주의하여 사용할 것
- 개봉 전에 조심스럽게 마개를 열 것
- 장기간 또는 지속적인 피부접촉을 막을 것
- 용기는 환기가 잘 되는 곳에 단단히 밀폐하여 저장할 것
- 빈 드럼통은 완전히 배수하고 적절히 막아 즉시 드럼 조절기에 되돌려 놓거나 적절히 배치할 것</v>
          </cell>
        </row>
        <row r="1462">
          <cell r="B1462" t="str">
            <v>47073-92-7</v>
          </cell>
          <cell r="C1462" t="str">
            <v>4,4'-에틸리덴디페닐 디시아네이트</v>
          </cell>
          <cell r="D1462" t="str">
            <v>2011-1-620</v>
          </cell>
          <cell r="E1462" t="str">
            <v>및 이를 25% 이상 함유한 혼합물질</v>
          </cell>
          <cell r="F1462">
            <v>25</v>
          </cell>
        </row>
        <row r="1463">
          <cell r="B1463" t="str">
            <v>86347-14-0</v>
          </cell>
          <cell r="C1463" t="str">
            <v>5-[1-(2,3-디메틸페닐)에틸]-1H-이미다졸</v>
          </cell>
          <cell r="D1463" t="str">
            <v>2011-1-621</v>
          </cell>
          <cell r="E1463" t="str">
            <v>및 이를 1% 이상 함유한 혼합물질</v>
          </cell>
          <cell r="F1463">
            <v>1</v>
          </cell>
        </row>
        <row r="1464">
          <cell r="B1464" t="str">
            <v>341-58-2</v>
          </cell>
          <cell r="C1464" t="str">
            <v>2,2'-비스(트리플루오로메틸)벤지딘</v>
          </cell>
          <cell r="D1464" t="str">
            <v>2011-1-622</v>
          </cell>
          <cell r="E1464" t="str">
            <v>및 이를 25% 이상 함유한 혼합물질</v>
          </cell>
          <cell r="F1464">
            <v>25</v>
          </cell>
          <cell r="G1464" t="str">
            <v>- 취급 후 철저히 세척할 것
- 공학적 관리 및 개인보호구를 참조하여 작업할 것
- 고온에 주의할 것
- 물질 유출시 공기 중 산소 농도를 저하시켜서 밀폐된 장소에서 질식을 일으킬 수 있으므로 유출되지 않도록 주의할 것
- 공기 중 고농도 상태에서 산소 결핍을 일으켜 의식상실 혹은 사망을 일으킬 위험이 있으므로 해당 장소에 들어가기 전 산소 농도를 체크할 것
- 물질 유출시 액체가 빠르게 증발하면서 공기를 대체함에 따라 밀폐장소에서 있을 때 심각한 질식의 우려가 있으므로 유출되지 않도록 주의할 것
- 물질 유출시 공기중에서 이 가스의 유해 농도까지 매우 빨리 도달하므로 유출되지 않도록 주의할 것
- 뿌리면 공기 입자의 유해 농도까지 매우 빨리 도달할 수 있으므로 뿌리지 말 것
- 20℃에서 이 물질이 다소 천천히 증발하면서 유해 농도에 도달하므로 20℃ 이하로 유지할 것
- 20℃에서 증발은 거의 일어나지 않으나, 뿌리면 공기 입자의 유해 농도까지 매우 빨리 도달할 수 있으므로 뿌리지 말 것
- 20℃에서 증발은 거의 일어나지 않으나, 뿌리거나 스프레이 하면 공기 입자의 유해 농도까지 매우 빨리 도달할 수
있으므로 뿌리거나 스프레이하지 말 것 (특히, 파우더의 경우)
- 20℃에서 증발은 거의 일어나지 않으나, 뿌리면 공기 입자의 유해 농도까지 매우 빨리 도달할 수 있으므로 뿌리지 말 것(특히, 파우더의 경우)
- 해당 장소에 들어가기 전 산소 농도를 체크할 것
- 스프레이하거나 뿌리는 경우 더 빠르게 증발하므로 스프레이하거나 뿌리지 말 것
- 밀폐하여 보관할 것
- 서늘하고 건조한 장소에 저장할 것</v>
          </cell>
        </row>
        <row r="1465">
          <cell r="B1465" t="str">
            <v>154279-60-4</v>
          </cell>
          <cell r="C1465" t="str">
            <v>4,4'-메틸렌비스[N-(1-메틸프로필)시클로헥산아민</v>
          </cell>
          <cell r="D1465" t="str">
            <v>2011-1-623</v>
          </cell>
          <cell r="E1465" t="str">
            <v>및 이를 25% 이상 함유한 혼합물질</v>
          </cell>
          <cell r="F1465">
            <v>25</v>
          </cell>
        </row>
        <row r="1466">
          <cell r="B1466" t="str">
            <v>137-07-5</v>
          </cell>
          <cell r="C1466" t="str">
            <v>2-아미노티오페놀</v>
          </cell>
          <cell r="D1466" t="str">
            <v>2011-1-624</v>
          </cell>
          <cell r="E1466" t="str">
            <v>및 이를 25% 이상 함유한 혼합물질</v>
          </cell>
          <cell r="F1466">
            <v>25</v>
          </cell>
          <cell r="G1466" t="str">
            <v>- 통풍이 잘 되는 장소에서 사용할 것
- 공기를 피해 저장할 것
- 불활성 대기상태 하에서 취급할 것
- 습기를 피할 것
- 피해야 할 물질과 접촉시키지 않을 것
- 열, 스파크, 화염과 접촉을 피할 것
- 용기에 물리적인 위험을 피할 것
- 사용하지 않을 때에는 용기를 완전하게 밀폐시킬 것
- 빈 용기에는 잔류물이 있을 수 있어 위험할 수 있음을 주의할 것
- 빈 용기에 가압, 절단, 용접, 납땜, 연마, 천공하지 말 것
- 취급 후에는 항상 비누와 물로 손을 세척할 것
- 흡입을 포함한 모든 인체 접촉을 피할 것
- 먼지, 증기, 미스트나 가스를 흡입하지 말 것
- 노출 위험이 발생할 때, 보호의를 착용할 것
- 적합한 작업장을 사용할 것
- 저장 및 취급시, 제조자의 권고사항을 살펴볼 것
- 안전한 작업환경을 유지하기 위하여 대기 노출 기준을 준수할 수 있도록 공기질을 정기적으로 확인할 것</v>
          </cell>
        </row>
        <row r="1467">
          <cell r="B1467" t="str">
            <v>130841-23-5</v>
          </cell>
          <cell r="C1467" t="str">
            <v>1,4-디클로로-2-(1,1,2,3,3,3-헥사플루오로프로폭시)- 5-니트로벤젠</v>
          </cell>
          <cell r="D1467" t="str">
            <v>2011-1-625</v>
          </cell>
          <cell r="E1467" t="str">
            <v>및 이를 25% 이상 함유한 혼합물질</v>
          </cell>
          <cell r="F1467">
            <v>25</v>
          </cell>
        </row>
        <row r="1468">
          <cell r="B1468" t="str">
            <v>13080-86-9</v>
          </cell>
          <cell r="C1468" t="str">
            <v>4,4'-[이소프로필리덴비스(4,1-페닐렌옥시)]디아닐린</v>
          </cell>
          <cell r="D1468" t="str">
            <v>2011-1-626</v>
          </cell>
          <cell r="E1468" t="str">
            <v>및 이를 25% 이상 함유한 혼합물질</v>
          </cell>
          <cell r="F1468">
            <v>25</v>
          </cell>
          <cell r="G1468" t="str">
            <v>- 용기가 비워진 후에도 제품 찌꺼기가 남아 있을 수 있으므로 모든 MSDS/라벨 예방조치를 따를 것
- 공학적 관리 및 개인보호구를 참조하여 작업할 것
- 고온에 주의할 것
- 취급 후 철저히 세척할 것
- 공학적 관리 및 개인보호구를 참조하여 작업할 것
- 고온에 주의할 것
- 밀폐하여 보관할 것
- 서늘하고 건조한 장소에 저장할 것</v>
          </cell>
        </row>
        <row r="1469">
          <cell r="B1469" t="str">
            <v>425670-97-9</v>
          </cell>
          <cell r="C1469" t="str">
            <v>트리페닐술포늄, 2-(트리플루오로메틸)벤젠술포네이트(1:1)</v>
          </cell>
          <cell r="D1469" t="str">
            <v>2011-1-627</v>
          </cell>
          <cell r="E1469" t="str">
            <v>및 이를 25% 이상 함유한 혼합물질</v>
          </cell>
          <cell r="F1469">
            <v>25</v>
          </cell>
        </row>
        <row r="1470">
          <cell r="B1470" t="str">
            <v>661476-43-3</v>
          </cell>
          <cell r="C1470" t="str">
            <v>2,2,3,3,4,4-헥사플루오로-4-[(트리플루오로에테닐)옥시]부탄산 메틸 중합체</v>
          </cell>
          <cell r="D1470" t="str">
            <v>2011-1-628</v>
          </cell>
          <cell r="E1470" t="str">
            <v>및 이를 25% 이상 함유한 혼합물질</v>
          </cell>
          <cell r="F1470">
            <v>25</v>
          </cell>
        </row>
        <row r="1471">
          <cell r="B1471" t="str">
            <v>29103-75-1</v>
          </cell>
          <cell r="C1471" t="str">
            <v>N,N'-비스(4-아미노페닐)-N,N'-디메틸에틸렌디아민</v>
          </cell>
          <cell r="D1471" t="str">
            <v>2011-1-629</v>
          </cell>
          <cell r="E1471" t="str">
            <v>및 이를 25% 이상 함유한 혼합물질</v>
          </cell>
          <cell r="F1471">
            <v>25</v>
          </cell>
        </row>
        <row r="1472">
          <cell r="B1472" t="str">
            <v>7479-12-1</v>
          </cell>
          <cell r="C1472" t="str">
            <v>1,4-비스(4-아미노페닐)피페라진</v>
          </cell>
          <cell r="D1472" t="str">
            <v>2012-1-630</v>
          </cell>
          <cell r="E1472" t="str">
            <v>및 이를 1% 이상 함유한 혼합물질</v>
          </cell>
          <cell r="F1472">
            <v>1</v>
          </cell>
          <cell r="G1472" t="str">
            <v>- 취급 후 철저히 세척할 것
- 공학적 관리 및 개인보호구를 참조하여 작업할 것
- 고온에 주의할 것
- 물질 유출시 공기 중 산소 농도를 저하시켜서 밀폐된 장소에서 질식을 일으킬 수 있으므로 유출되지 않도록 주의할
것
- 공기 중 고농도 상태에서 산소 결핍을 일으켜 의식상실 혹은 사망을 일으킬 위험이 있으므로 해당 장소에 들어가기 전 산소 농도를 체크할 것
- 물질 유출시 액체가 빠르게 증발하면서 공기를 대체함에 따라 밀폐장소에서 있을 때 심각한 질식의 우려가 있으므로
유출되지 않도록 주의할 것
- 물질 유출시 공기중에서 이 가스의 유해 농도까지 매우 빨리 도달하므로 유출되지 않도록 주의할 것
- 뿌리면 공기 입자의 유해 농도까지 매우 빨리 도달할 수 있으므로 뿌리지 말 것
- 20℃에서 이 물질이 다소 천천히 증발하면서 유해 농도에 도달하므로 20℃ 이하로 유지할 것
- 20℃에서 증발은 거의 일어나지 않으나, 뿌리면 공기 입자의 유해 농도까지 매우 빨리 도달할 수 있으므로 뿌리지 말 것
- 20℃에서 증발은 거의 일어나지 않으나, 뿌리거나 스프레이 하면 공기 입자의 유해 농도까지 매우 빨리 도달할 수
있으므로 뿌리거나 스프레이하지 말 것 (특히, 파우더의 경우)
- 20℃에서 증발은 거의 일어나지 않으나, 뿌리면 공기 입자의 유해 농도까지 매우 빨리 도달할 수 있으므로 뿌리지 말 것(특히, 파우더의 경우)
- 해당 장소에 들어가기 전 산소 농도를 체크할 것
- 스프레이하거나 뿌리는 경우 더 빠르게 증발하므로 스프레이하거나 뿌리지 말 것
- 밀폐하여 보관할 것
- 서늘하고 건조한 장소에 저장할 것</v>
          </cell>
        </row>
        <row r="1473">
          <cell r="B1473" t="str">
            <v>602-56-2</v>
          </cell>
          <cell r="C1473" t="str">
            <v>9-페닐아크리딘</v>
          </cell>
          <cell r="D1473" t="str">
            <v>2012-1-631</v>
          </cell>
          <cell r="E1473" t="str">
            <v>및 이를 25% 이상 함유한 혼합물질</v>
          </cell>
          <cell r="F1473">
            <v>25</v>
          </cell>
          <cell r="G1473" t="str">
            <v>- 취급 후 철저히 세척할 것
- 공학적 관리 및 개인보호구를 참조하여 작업할 것
- 고온에 주의할 것
- 물질 유출시 공기 중 산소 농도를 저하시켜서 밀폐된 장소에서 질식을 일으킬 수 있으므로 유출되지 않도록 주의할
것
- 공기 중 고농도 상태에서 산소 결핍을 일으켜 의식상실 혹은 사망을 일으킬 위험이 있으므로 해당 장소에 들어가기 전 산소 농도를 체크할 것
- 물질 유출시 액체가 빠르게 증발하면서 공기를 대체함에 따라 밀폐장소에서 있을 때 심각한 질식의 우려가 있으므로
유출되지 않도록 주의할 것
- 물질 유출시 공기중에서 이 가스의 유해 농도까지 매우 빨리 도달하므로 유출되지 않도록 주의할 것
- 뿌리면 공기 입자의 유해 농도까지 매우 빨리 도달할 수 있으므로 뿌리지 말 것
- 20℃에서 이 물질이 다소 천천히 증발하면서 유해 농도에 도달하므로 20℃ 이하로 유지할 것
- 20℃에서 증발은 거의 일어나지 않으나, 뿌리면 공기 입자의 유해 농도까지 매우 빨리 도달할 수 있으므로 뿌리지 말 것
- 20℃에서 증발은 거의 일어나지 않으나, 뿌리거나 스프레이하면 공기 입자의 유해 농도까지 매우 빨리 도달할 수
있으므로 뿌리거나 스프레이하지 말 것 (특히, 파우더의 경우)
- 20℃에서 증발은 거의 일어나지 않으나, 뿌리면 공기 입자의 유해 농도까지 매우 빨리 도달할 수 있으므로 뿌리지 말 것(특히, 파우더의 경우)
- 해당 장소에 들어가기 전 산소 농도를 체크할 것
- 스프레이하거나 뿌리는 경우 더 빠르게 증발하므로 뿌리지 말 것
- 밀폐하여 보관할 것
- 서늘하고 건조한 장소에 저장할 것</v>
          </cell>
        </row>
        <row r="1474">
          <cell r="B1474" t="str">
            <v>294847-79-3</v>
          </cell>
          <cell r="C1474" t="str">
            <v>9-(3-메틸페닐)아크리딘</v>
          </cell>
          <cell r="D1474" t="str">
            <v>2012-1-632</v>
          </cell>
          <cell r="E1474" t="str">
            <v>및 이를 25% 이상 함유한 혼합물질</v>
          </cell>
          <cell r="F1474">
            <v>25</v>
          </cell>
        </row>
        <row r="1475">
          <cell r="B1475" t="str">
            <v>34079-31-7</v>
          </cell>
          <cell r="C1475" t="str">
            <v>(2S)-2-카바모일피롤리딘-1-카르복실산 벤질</v>
          </cell>
          <cell r="D1475" t="str">
            <v>2012-1-633</v>
          </cell>
          <cell r="E1475" t="str">
            <v>및 이를 25% 이상 함유한 혼합물질</v>
          </cell>
          <cell r="F1475">
            <v>25</v>
          </cell>
        </row>
        <row r="1476">
          <cell r="B1476" t="str">
            <v>33271-88-4</v>
          </cell>
          <cell r="C1476" t="str">
            <v>(η5-2,4-시클로펜타디엔-1-일)트리스(N-메틸메탄아미나토)지르코늄</v>
          </cell>
          <cell r="D1476" t="str">
            <v>2012-1-634</v>
          </cell>
          <cell r="E1476" t="str">
            <v>및 이를 5% 이상 함유한 혼합물질</v>
          </cell>
          <cell r="F1476">
            <v>5</v>
          </cell>
        </row>
        <row r="1477">
          <cell r="B1477" t="str">
            <v>332350-93-3</v>
          </cell>
          <cell r="C1477" t="str">
            <v>트리페닐(페닐메틸)포스포늄 1,1,2,2,3,3,4,4,4-노나플루오로-N-메틸-1-부탄술폰아미드(1:1)</v>
          </cell>
          <cell r="D1477" t="str">
            <v>2012-1-635</v>
          </cell>
          <cell r="E1477" t="str">
            <v>및 이를 25% 이상 함유한 혼합물질</v>
          </cell>
          <cell r="F1477">
            <v>25</v>
          </cell>
        </row>
        <row r="1478">
          <cell r="B1478" t="str">
            <v>176022-82-5</v>
          </cell>
          <cell r="C1478" t="str">
            <v>α-[2-[비스(2-히드록시에틸)아미노]프로필]-ω-히드록시폴리[옥시(메틸-1,2-에탄디일)]과 α-히드로-ω-히드록시폴리(옥시-1,2-에탄디일)의 에테르 (1:2), 모노-C12-16-알킬 에테르</v>
          </cell>
          <cell r="D1478" t="str">
            <v>2012-1-636</v>
          </cell>
          <cell r="E1478" t="str">
            <v>및 이를 25% 이상 함유한 혼합물질</v>
          </cell>
          <cell r="F1478">
            <v>25</v>
          </cell>
        </row>
        <row r="1479">
          <cell r="B1479" t="str">
            <v>119-90-4</v>
          </cell>
          <cell r="C1479" t="str">
            <v>3,3'-디메톡시-[1,1-비페닐]- 4,4'-디아민</v>
          </cell>
          <cell r="D1479" t="str">
            <v>2012-1-637　</v>
          </cell>
          <cell r="E1479" t="str">
            <v>및 그 염산염과 그 중 하나를 1% 이상 함유한 혼합물질</v>
          </cell>
          <cell r="F1479">
            <v>1</v>
          </cell>
          <cell r="G1479" t="str">
            <v>- 분진 발생과 분진 축적을 최소화할 것
- 통풍이 잘 되는 장소에서 사용할 것
- 움푹한 곳에 모이지 않도록 할 것
- 사용하지 않을 때에는 용기를 안전하게 밀폐할 것
- 용기에 물리적인 위험을 피할 것
- 빈 용기에 잔류물질은 바닥에 쌓여서 축적되며, 적당한 점화원이 존재하는 경우에 폭발할 수도 있음을 주의할 것
- 용기에 절삭, 천공, 연마 또는 용접하지 말 것
- 그러한 행위들이 적절한 작업 안전 승인 또는 허가 없이 용기 근처(차있거나 부분적으로 차있거나 비어 있는 용기)에서 수행하지 말 것
- 취급 후, 항상 비누와 물로 손을 철저하게 세척할 것
- 흡입을 포함한 모든 인체 접촉은 피할 것
- 취급 시 먹거나 마시거나 흡연 금지할 것
- 옷과 접촉하지 않도록 할 것
- 사람, 외부에 노출된 식품이나 식기에 닿지 않도록 할 것
- 노출 위험이 발생할 때, 보호의를 착용할 것
- 대기상태가 확인될 때까지 밀폐된 공간으로 들어가지 말 것
- 혼합금지물질과 접촉시키지 않을 것
- 적합한 작업장을 사용할 것
- 저장 및 취급 시, 제조자의 권고사항을 살펴볼 것
- 안전한 작업환경을 유지하기 위하여 대기 노출 기준을 준수할 수 있도록 공기질을 정기적으로 확인할 것
- 많은 아릴아민류 (아닐린, N-에틸아닐린,  o-톨루이딘, 자일리딘 등과 이들의 혼합물과 같은 방향족 아민류)는 적색 연기를 내는 질산을 발생시키며 자동 연소됨 (자발적으로 점화됨) 아민류가 트라이에틸아민에서 용해될 때, -60  ℃가 넘지않는 온도에서 점화가 일어날 수 있음을 주의할 것
- 산화제류, 산류, 산 염화물류, 산 무수물류, 클로로폼에이트류를 피할 것</v>
          </cell>
        </row>
        <row r="1480">
          <cell r="B1480" t="str">
            <v>131812-51-6</v>
          </cell>
          <cell r="C1480" t="str">
            <v>2,4-디메틸-2-(5,6,7,8-테트라히드로-5,5,8,8-테트라메틸-2-나프탈레닐)-1,3-디옥소란</v>
          </cell>
          <cell r="D1480" t="str">
            <v>2012-1-638</v>
          </cell>
          <cell r="E1480" t="str">
            <v>및 그 중 하나를 25% 이상 함유한 혼합물질</v>
          </cell>
          <cell r="F1480">
            <v>25</v>
          </cell>
        </row>
        <row r="1481">
          <cell r="B1481" t="str">
            <v>131812-52-7</v>
          </cell>
          <cell r="C1481" t="str">
            <v>2,4-디메틸-2-(5,6,7,8-테트라히드로-5,5,8,8-테트라메틸-2-나프탈레닐)-1,3-디옥소란</v>
          </cell>
          <cell r="D1481" t="str">
            <v>2012-1-638</v>
          </cell>
          <cell r="E1481" t="str">
            <v>및 그 중 하나를 25% 이상 함유한 혼합물질</v>
          </cell>
          <cell r="F1481">
            <v>25</v>
          </cell>
        </row>
        <row r="1482">
          <cell r="B1482" t="str">
            <v>131812-67-4</v>
          </cell>
          <cell r="C1482" t="str">
            <v>2,4-디메틸-2-(5,6,7,8-테트라히드로-5,5,8,8-테트라메틸-2-나프탈레닐)-1,3-디옥소란</v>
          </cell>
          <cell r="D1482" t="str">
            <v>2012-1-638</v>
          </cell>
          <cell r="E1482" t="str">
            <v>및 이를 25% 이상 함유한 혼합물질</v>
          </cell>
          <cell r="F1482">
            <v>25</v>
          </cell>
        </row>
        <row r="1483">
          <cell r="B1483" t="str">
            <v>110-57-6</v>
          </cell>
          <cell r="C1483" t="str">
            <v>(2E)-1,4-디클로로-2-부텐</v>
          </cell>
          <cell r="D1483" t="str">
            <v>2012-1-639</v>
          </cell>
          <cell r="E1483" t="str">
            <v>및 이를 0.1% 이상 함유한 혼합물질</v>
          </cell>
          <cell r="F1483">
            <v>0.1</v>
          </cell>
          <cell r="G1483" t="str">
            <v>- 모든 안전 예방조치 문구를 읽고 이해하기 전에는 취급하지
말 것
- 폭발 방지용 전기·환기·조명장비를 사용할 것
- 스파크가 발생하지 않는 도구만을 사용할 것
- 정전기 방지 조치를 취할 것
- 취급 후에는 취급 부위를 철저히 세척할 것
- 옥외 또는 환기가 잘 되는 곳에서만 취급할 것
- 압력을 가하거나, 자르거나, 용접, 납땜, 접합, 뚫기, 연마 또는 열에 폭로, 화염, 불꽃, 정전기 또는 다른 점화원에 노출하지 말 것
- 용기가 비워진 후에도 제품 찌꺼기가 남아 있을 수 있으므로 모든 MSDS/라벨 예방조치를 따를 것
- 취급/저장에 주의하여 사용할 것
- 개봉 전에 조심스럽게 마개를 열 것
- 장기간 또는 지속적인 피부접촉을 막을 것
- 물질 취급시 모든 장비를 반드시 접지할 것
- 저지대 밀폐공간에서 작업시 산소결핍의 우려가 있으므로 작업중, 공기중 산소농도 측정 및 환기를 할 것
- 열·스파크·화염·고열로부터 멀리할 것 - 금연
- 용기는 환기가 잘 되는 곳에 단단히 밀폐하여 저장할 것
- 환기가 잘 되는 곳에 보관하고 저온으로 유지할 것
- 빈 드럼통은 완전히 배수하고 적절히 막아 즉시 드럼조절기에 되돌려 놓거나 적절히 배치할 것</v>
          </cell>
        </row>
        <row r="1484">
          <cell r="B1484" t="str">
            <v>1303-86-2</v>
          </cell>
          <cell r="C1484" t="str">
            <v>삼산화 이붕소</v>
          </cell>
          <cell r="D1484" t="str">
            <v>2012-1-640</v>
          </cell>
          <cell r="E1484" t="str">
            <v>및 이를 0.3% 이상 함유한 혼합물질</v>
          </cell>
          <cell r="F1484">
            <v>0.3</v>
          </cell>
          <cell r="G1484" t="str">
            <v>- 확실하게 밀폐된 용기에 저장
- 원래의 용기에 저장- 서늘하고 건조하고 통풍이 잘 되는 장소에 저장
- 피해야 할 물질, 식료품 저장 용기와 멀리 떨어진 곳에 보관
- 수직으로 세워서 저장- 물리적 손상으로부터 용기를 보호하고 정기적으로 누수를 확인
- 저장 및 취급시, 제조자의 권고사항을 살펴볼 것
- 통풍이 잘 되는 장소에서 사용- 움푹한 곳에 모이지 않도록 할 것
- 대기압이 확인되지 않은 상태에서 밀폐된 공간으로 들어가지 말 것
- 사람, 외부에 노출된 식품이나 식기와 접촉 금지
- 피해야 할 물질과 접촉시키지 않을 것- 용기에 물리적인 위험을 피할 것
- 사용하지 않을 때에는 용기를 안전하게 밀폐시킬 것
- 취급 후, 손을 철저하게 씻을 것
- 흡입을 포함한 모든 인체 접촉은 피할 것
- 노출 위험이 발생할 때, 보호의를 착용
- 작업복은 분리 세탁
- 재사용 전에 오염된 옷을 세탁
- 적합한 작업장을 사용
- 저장 및 취급시, 제조자의 권고사항을 살펴볼 것
- 안전한 작업환경을 유지하기 위하여 대기 노출 기준을 준수할 수 있도록 공기질을 정기적으로 확인</v>
          </cell>
        </row>
        <row r="1485">
          <cell r="B1485" t="str">
            <v>73003-80-2</v>
          </cell>
          <cell r="C1485" t="str">
            <v>2,2-디브로모프로판디아미드</v>
          </cell>
          <cell r="D1485" t="str">
            <v>2012-1-641</v>
          </cell>
          <cell r="E1485" t="str">
            <v>및 이를 1% 이상 함유한 혼합물질</v>
          </cell>
          <cell r="F1485">
            <v>1</v>
          </cell>
        </row>
        <row r="1486">
          <cell r="B1486" t="str">
            <v>920-37-6</v>
          </cell>
          <cell r="C1486" t="str">
            <v>2-클로로아크릴로니트릴</v>
          </cell>
          <cell r="D1486" t="str">
            <v>2012-1-642</v>
          </cell>
          <cell r="E1486" t="str">
            <v>및 이를 1% 이상 함유한 혼합물질</v>
          </cell>
          <cell r="F1486">
            <v>1</v>
          </cell>
          <cell r="G1486" t="str">
            <v>- 취급 후에는 취급 부위를 철저히 세척할 것
- 이 제품을 사용할 때에는 먹거나, 마시거나 흡연하지 말 것
- 옥외 또는 환기가 잘 되는 곳에서만 취급할 것
- 용기가 비워진 후에도 제품 찌꺼기가 남아 있을 수 있으므로 모든 MSDS/라벨 예방조치를 따를 것
- 취급/저장에 주의하여 사용할 것
- 개봉 전에 조심스럽게 마개를 열 것
- 공학적 관리 및 개인보호구를 참조하여 작업할 것
- 용기는 환기가 잘 되는 곳에 단단히 밀폐하여 저장할 것
- 빈 드럼통은 완전히 배수하고 적절히 막아 즉시 드럼조절기에 되돌려 놓거나 적절히 배치할 것
- 음식과 음료수로부터 멀리할 것</v>
          </cell>
        </row>
        <row r="1487">
          <cell r="B1487" t="str">
            <v>89697-78-9</v>
          </cell>
          <cell r="C1487" t="str">
            <v>폴리(이미노카본이미도일이미노-1,6-헥산디일) 포스페이트</v>
          </cell>
          <cell r="D1487" t="str">
            <v>2012-1-643</v>
          </cell>
          <cell r="E1487" t="str">
            <v>및 이를 25% 이상 함유한 혼합물질</v>
          </cell>
          <cell r="F1487">
            <v>25</v>
          </cell>
          <cell r="G1487" t="str">
            <v>- 공학적 관리 및 개인보호구를 참조하여 작업할 것
- 고온에 주의할 것
- 물질 유출시 공기 중 산소 농도를 저하시켜서 밀폐된 장소에서 질식을 일으킬 수 있으므로 유출되지 않도록 주의할
것
- 공기 중 고농도 상태에서 산소 결핍을 일으켜 의식상실 혹은 사망을 일으킬 위험이 있으므로 해당 장소에 들어가기 전 산소 농도를 체크할 것
- 물질 유출시 액체가 빠르게 증발하면서 공기를 대체함에 따라 밀폐장소에서 있을 때 심각한 질식의 우려가 있으므로
유출되지 않도록 주의할 것
- 물질 유출시 공기 중에서 이 가스의 유해 농도까지 매우 빨리 도달하므로 유출되지 않도록 주의할 것
- 뿌리면 공기 입자의 유해 농도까지 매우 빨리 도달할 수 있으므로 뿌리지 말 것
- 20℃에서 이 물질이 다소 천천히 증발하면서 유해 농도에 도달하므로 20℃ 이하로 유지할 것
- 20℃에서 증발은 거의 일어나지 않으나, 뿌리면 공기 입자의 유해 농도까지 매우 빨리 도달할 수 있으므로 뿌리지 말 것
- 20℃에서 증발은 거의 일어나지 않으나, 뿌리거나 스프레이 하면 공기 입자의 유해 농도까지 매우 빨리 도달할 수
있으므로 뿌리거나 스프레이하지 말 것 (특히, 파우더의 경우)
- 20℃에서 증발은 거의 일어나지 않으나, 뿌리면 공기 입자의 유해 농도까지 매우 빨리 도달할 수 있으므로 뿌리지 말 것 (특히, 파우더의 경우)
- 해당 장소에 들어가기 전 산소 농도를 체크할 것
- 스프레이하거나 뿌리는 경우 더 빠르게 증발하므로 스프레이하거나 뿌리지 말 것
- 밀폐하여 보관할 것
- 서늘하고 건조한 장소에 저장할 것</v>
          </cell>
        </row>
        <row r="1488">
          <cell r="B1488" t="str">
            <v>26172-55-4</v>
          </cell>
          <cell r="C1488" t="str">
            <v>5-클로로-2-메틸-4-이소티아졸린-3-온</v>
          </cell>
          <cell r="D1488" t="str">
            <v>2012-1-644</v>
          </cell>
          <cell r="E1488" t="str">
            <v>및 이를 1% 이상 함유한 혼합물질</v>
          </cell>
          <cell r="F1488">
            <v>1</v>
          </cell>
          <cell r="G1488" t="str">
            <v>- (분진·흄·가스·미스트·증기·스프레이)의 흡입을 피할 것
- 취급 후에는 취급 부위를 철저히 세척할 것
- 이 제품을 사용할 때에는 먹거나, 마시거나 흡연하지 말 것
- 옥외 또는 환기가 잘 되는 곳에서만 취급할 것
- 작업장 밖으로 오염된 의복을 반출하지 말 것
- 용기가 비워진 후에도 제품 찌꺼기가 남아 있을 수 있으므로 모든 MSDS/라벨 예방조치를 따를 것
- 취급/저장에 주의하여 사용할 것
- 개봉 전에 조심스럽게 마개를 열 것
- 장기간 또는 지속적인 피부접촉을 막을 것
- 공학적 관리 및 개인보호구를 참조하여 작업할 것
- 잠금장치가 있는 저장장소에 저장할 것
- 빈 드럼통은 완전히 배수하고 적절히 막아 즉시 드럼 조절기에 되돌려 놓거나 적절히 배치할 것
- 음식과 음료수로부터 멀리할 것</v>
          </cell>
        </row>
        <row r="1489">
          <cell r="B1489" t="str">
            <v>2682-20-4</v>
          </cell>
          <cell r="C1489" t="str">
            <v>2-메틸-4-이소티아졸린-3-온</v>
          </cell>
          <cell r="D1489" t="str">
            <v>2012-1-645</v>
          </cell>
          <cell r="E1489" t="str">
            <v>및 이를 1% 이상 함유한 혼합물질</v>
          </cell>
          <cell r="F1489">
            <v>1</v>
          </cell>
          <cell r="G1489" t="str">
            <v>- 용기가 비워진 후에도 제품 찌꺼기가 남아 있을 수 있으므로 모든 MSDS/라벨 예방조치를 따를 것
- 공학적 관리 및 개인보호구를 참조하여 작업할 것
- 고온에 주의할 것</v>
          </cell>
        </row>
        <row r="1490">
          <cell r="B1490" t="str">
            <v>7173-51-5</v>
          </cell>
          <cell r="C1490" t="str">
            <v>염화 디데실디메틸암모늄</v>
          </cell>
          <cell r="D1490" t="str">
            <v>2012-1-646</v>
          </cell>
          <cell r="E1490" t="str">
            <v>및 이를 25% 이상 함유한 혼합물질</v>
          </cell>
          <cell r="F1490">
            <v>25</v>
          </cell>
          <cell r="G1490" t="str">
            <v>- 취급 후에는 취급 부위를 철저히 세척할 것
- 이 제품을 사용할 때에는 먹거나, 마시거나 흡연하지 말 것
- 환기가 잘 되는 지역에서만 사용할 것
- 용기가 비워진 후에도 제품 찌꺼기가 남아 있을 수 있으므로 모든 MSDS/라벨 예방조치를 따를 것
- 취급/저장에 주의하여 사용할 것
- 개봉 전에 조심스럽게 마개를 열 것
- 장기간 또는 지속적인 피부접촉을 막을 것
- 가열된 물질에서 발생하는 증기를 호흡하지 말 것
- 적절한 환기가 없으면 저장지역에 출입하지 말 것
- 공학적 관리 및 개인보호구를 참조하여 작업할 것
- 빈 드럼통은 완전히 배수하고 적절히 막아 즉시 드럼조절기에 되돌려 놓거나 적절히 배치할 것
- 잠금장치가 있는 저장장소에 저장할 것</v>
          </cell>
        </row>
        <row r="1491">
          <cell r="B1491" t="str">
            <v>1193-21-1</v>
          </cell>
          <cell r="C1491" t="str">
            <v>4,6-디클로로피리미딘</v>
          </cell>
          <cell r="D1491" t="str">
            <v>2012-1-647</v>
          </cell>
          <cell r="E1491" t="str">
            <v>및 이를 25% 이상 함유한 혼합물질</v>
          </cell>
          <cell r="F1491">
            <v>25</v>
          </cell>
          <cell r="G1491" t="str">
            <v>- 취급 후 철저히 세척할 것
- 공학적 관리 및 개인보호구를 참조하여 작업할 것
- 고온에 주의할 것
- 물질 유출시 공기 중 산소 농도를 저하시켜서 밀폐된 장소에서 질식을 일으킬 수 있으므로 유출되지 않도록 주의할
것
- 공기 중 고농도 상태에서 산소 결핍을 일으켜 의식상실 혹은 사망을 일으킬 위험이 있으므로 해당 장소에 들어가기 전 산소 농도를 체크할 것
- 물질 유출시 액체가 빠르게 증발하면서 공기를 대체함에 따라 밀폐장소에서 있을 때 심각한 질식의 우려가 있으므로
유출되지 않도록 주의할 것
- 물질 유출시 공기중에서 이 가스의 유해 농도까지 매우 빨리 도달하므로 유출되지 않도록 주의할 것
- 뿌리면 공기 입자의 유해 농도까지 매우 빨리 도달할 수 있으므로 뿌리지 말 것
- 20℃에서 이 물질이 다소 천천히 증발하면서 유해 농도에 도달하므로 20℃ 이하로 유지할 것
- 20℃에서 증발은 거의 일어나지 않으나, 뿌리면 공기 입자의 유해 농도까지 매우 빨리 도달할 수 있으므로 뿌리지 말 것
- 20℃에서 증발은 거의 일어나지 않으나, 뿌리거나 스프레이 하면 공기 입자의 유해 농도까지 매우 빨리 도달할 수
있으므로 뿌리거나 스프레이하지 말 것 (특히, 파우더의 경우)
- 20℃에서 증발은 거의 일어나지 않으나, 뿌리면 공기 입자의 유해 농도까지 매우 빨리 도달할 수 있으므로 뿌리지 말 것(특히, 파우더의 경우)
- 해당 장소에 들어가기 전 산소 농도를 체크할 것
- 스프레이하거나 뿌리는 경우 더 빠르게 증발하므로 스프레이하거나 뿌리지 말 것
- 밀폐하여 보관할 것
- 서늘하고 건조한 장소에 저장할 것</v>
          </cell>
        </row>
        <row r="1492">
          <cell r="B1492" t="str">
            <v>521065-36-1</v>
          </cell>
          <cell r="C1492" t="str">
            <v>리튬 테트라플루오로(옥살라토)포스페이트</v>
          </cell>
          <cell r="D1492" t="str">
            <v>2012-1-648</v>
          </cell>
          <cell r="E1492" t="str">
            <v>및 이를 25% 이상 함유한 혼합물질</v>
          </cell>
          <cell r="F1492">
            <v>25</v>
          </cell>
        </row>
        <row r="1493">
          <cell r="B1493" t="str">
            <v>18721-51-2</v>
          </cell>
          <cell r="C1493" t="str">
            <v>시트르산 수소 니켈(2가)</v>
          </cell>
          <cell r="D1493" t="str">
            <v>2012-1-649</v>
          </cell>
          <cell r="E1493" t="str">
            <v>및 이를 1% 이상 함유한 혼합물질</v>
          </cell>
          <cell r="F1493">
            <v>1</v>
          </cell>
          <cell r="G1493" t="str">
            <v>- 모든 안전 예방조치 문구를 읽고 이해하기 전에는 취급하지 말 것
- (분진·흄·가스·미스트·증기·스프레이)의 흡입을 피할 것
- 취급 후에는 취급 부위를 철저히 세척할 것
- 작업장 밖으로 오염된 의복을 반출하지 말 것
- 환기가 잘 되는 지역에서만 사용할 것
- 용기가 비워진 후에도 제품 찌꺼기가 남아 있을 수 있으므로 모든 MSDS/라벨 예방조치를 따를 것
- 취급/저장에 주의하여 사용할 것
- 개봉 전에 조심스럽게 마개를 열 것
- 장기간 또는 지속적인 피부접촉을 막을 것
- 적절한 환기가 없으면 저장지역에 출입하지 말 것
- 잠금장치가 있는 저장장소에 저장할 것
- 빈 드럼통은 완전히 배수하고 적절히 막아 즉시 드럼조절기에 되돌려 놓거나 적절히 배치할 것</v>
          </cell>
        </row>
        <row r="1494">
          <cell r="B1494" t="str">
            <v>869795-96-0</v>
          </cell>
          <cell r="C1494" t="str">
            <v>클로로아세트산 헥사히드로-2-옥소-3,5-메타노-2H-시클로펜타</v>
          </cell>
          <cell r="D1494" t="str">
            <v>2012-1-650</v>
          </cell>
          <cell r="E1494" t="str">
            <v>및 이를 25% 이상 함유한 혼합물질</v>
          </cell>
          <cell r="F1494">
            <v>25</v>
          </cell>
          <cell r="G1494" t="str">
            <v>- 취급 후 철저히 세척할 것
- 공학적 관리 및 개인보호구를 참조하여 작업할 것
- 고온에 주의할 것
- 물질 유출시 공기 중 산소 농도를 저하시켜서 밀폐된 장소에서 질식을 일으킬 수 있으므로 유출되지 않도록 주의할
것
- 공기 중 고농도 상태에서 산소 결핍을 일으켜 의식상실 혹은 사망을 일으킬 위험이 있으므로 해당 장소에 들어가기 전 산소 농도를 체크할 것
- 물질 유출시 액체가 빠르게 증발하면서 공기를 대체함에 따라 밀폐장소에서 있을 때 심각한 질식의 우려가 있으므로
유출되지 않도록 주의할 것
- 물질 유출시 공기중에서 이 가스의 유해 농도까지 매우 빨리 도달하므로 유출되지 않도록 주의할 것
- 뿌리면 공기 입자의 유해 농도까지 매우 빨리 도달할 수 있으므로 뿌리지 말 것
- 20℃에서 이 물질이 다소 천천히 증발하면서 유해 농도에 도달하므로 20℃ 이하로 유지할 것
- 20℃에서 증발은 거의 일어나지 않으나, 뿌리면 공기 입자의 유해 농도까지 매우 빨리 도달할 수 있으므로 뿌리지 말 것
- 20℃에서 증발은 거의 일어나지 않으나, 뿌리거나 스프레이 하면 공기 입자의 유해 농도까지 매우 빨리 도달할 수
있으므로 뿌리거나 스프레이하지 말 것 (특히, 파우더의 경우)
- 20℃에서 증발은 거의 일어나지 않으나, 뿌리면 공기 입자의 유해 농도까지 매우 빨리 도달할 수 있으므로 뿌리지 말 것(특히, 파우더의 경우)
- 해당 장소에 들어가기 전 산소 농도를 체크할 것
- 스프레이하거나 뿌리는 경우 더 빠르게 증발하므로 스프레이하거나 뿌리지 말 것
- 밀폐하여 보관할 것
- 서늘하고 건조한 장소에 저장할 것</v>
          </cell>
        </row>
        <row r="1495">
          <cell r="C1495" t="str">
            <v>수산화 N1,N1,N1,N4,N4,N4-헥사부틸-1,4-부탄디아미늄</v>
          </cell>
          <cell r="D1495" t="str">
            <v>2012-1-651</v>
          </cell>
          <cell r="E1495" t="str">
            <v>및 이를 25% 이상 함유한 혼합물질</v>
          </cell>
          <cell r="F1495">
            <v>25</v>
          </cell>
        </row>
        <row r="1496">
          <cell r="B1496" t="str">
            <v>119791-41-2</v>
          </cell>
          <cell r="C1496" t="str">
            <v>에마멕틴</v>
          </cell>
          <cell r="D1496" t="str">
            <v>2012-1-652</v>
          </cell>
          <cell r="E1496" t="str">
            <v>및 이를 25% 이상 함유한 혼합물질</v>
          </cell>
          <cell r="F1496">
            <v>25</v>
          </cell>
        </row>
        <row r="1497">
          <cell r="B1497" t="str">
            <v>13159-52-9</v>
          </cell>
          <cell r="C1497" t="str">
            <v>메타아크릴산 3-클로로-2-히드록시프로필</v>
          </cell>
          <cell r="D1497" t="str">
            <v>2012-1-653</v>
          </cell>
          <cell r="E1497" t="str">
            <v>및 이를 25% 이상 함유한 혼합물질</v>
          </cell>
          <cell r="F1497">
            <v>25</v>
          </cell>
        </row>
        <row r="1498">
          <cell r="B1498" t="str">
            <v>866-81-9</v>
          </cell>
          <cell r="C1498" t="str">
            <v>시트르산 코발트(2가) (2:3)</v>
          </cell>
          <cell r="D1498" t="str">
            <v>2013-1-654</v>
          </cell>
          <cell r="E1498" t="str">
            <v>및 이를 1% 이상 함유한 혼합물질</v>
          </cell>
          <cell r="F1498">
            <v>1</v>
          </cell>
          <cell r="G1498" t="str">
            <v>- 모든 안전 예방조치 문구를 읽고 이해하기 전에는 취급하지 말 것
- 용기가 비워진 후에도 제품 찌꺼기가 남아 있을 수 있으므로 모든 MSDS/라벨 예방조치를 따를 것
- 취급/저장에 주의하여 사용할 것
- 개봉 전에 조심스럽게 마개를 열 것
- 가열된 물질에서 발생하는 증기를 호흡하지 말 것
- 적절한 환기가 없으면 저장지역에 출입하지 말 것
- 잠금장치가 있는 저장장소에 저장할 것
- 빈 드럼통은 완전히 배수하고 적절히 막아 즉시 드럼조절기에 되돌려 놓거나 적절히 배치할 것</v>
          </cell>
        </row>
        <row r="1499">
          <cell r="B1499" t="str">
            <v>141668-35-1</v>
          </cell>
          <cell r="C1499" t="str">
            <v>비-7-옥사비시클로[4.1.0]헵탄</v>
          </cell>
          <cell r="D1499" t="str">
            <v>2013-1-655</v>
          </cell>
          <cell r="E1499" t="str">
            <v>및 이를 1% 이상 함유한 혼합물질</v>
          </cell>
          <cell r="F1499">
            <v>1</v>
          </cell>
        </row>
        <row r="1500">
          <cell r="B1500" t="str">
            <v>850918-68-2</v>
          </cell>
          <cell r="C1500" t="str">
            <v>(8-퀴놀리노라토-κN1,κO8)리튬</v>
          </cell>
          <cell r="D1500" t="str">
            <v>2013-1-656</v>
          </cell>
          <cell r="E1500" t="str">
            <v>및 이를 25% 이상 함유한 혼합물질</v>
          </cell>
          <cell r="F1500">
            <v>25</v>
          </cell>
        </row>
        <row r="1501">
          <cell r="B1501" t="str">
            <v>93982-96-8</v>
          </cell>
          <cell r="C1501" t="str">
            <v>N,N'-디페닐구아니딘 브롬산염</v>
          </cell>
          <cell r="D1501" t="str">
            <v>2013-1-657</v>
          </cell>
          <cell r="E1501" t="str">
            <v>및 이를 25% 이상 함유한 혼합물질</v>
          </cell>
          <cell r="F1501">
            <v>25</v>
          </cell>
        </row>
        <row r="1502">
          <cell r="B1502" t="str">
            <v>1937-37-7</v>
          </cell>
          <cell r="C1502" t="str">
            <v>다이렉트 블랙 38</v>
          </cell>
          <cell r="D1502" t="str">
            <v>2013-1-658</v>
          </cell>
          <cell r="E1502" t="str">
            <v>및 이를 0.1% 이상 함유한 혼합물질</v>
          </cell>
          <cell r="F1502">
            <v>0.1</v>
          </cell>
          <cell r="G1502" t="str">
            <v>- 모든 안전 예방조치 문구를 읽고 이해하기 전에는 취급하지 말 것
- 취급 후에는 취급 부위를 철저히 세척할 것
- 용기가 비워진 후에도 제품 찌꺼기가 남아 있을 수 있으므로 모든 MSDS/라벨 예방조치를 따를 것
- 취급/저장에 주의하여 사용할 것
- 개봉 전에 조심스럽게 마개를 열 것
- 적절한 환기가 없으면 저장지역에 출입하지 말 것
- 빈 드럼통은 완전히 배수하고 적절히 막아 즉시 드럼 조절기에 되돌려 놓거나 적절히 배치할 것
- 잠금장치가 있는 저장장소에 저장할 것</v>
          </cell>
        </row>
        <row r="1503">
          <cell r="B1503" t="str">
            <v>16071-86-6</v>
          </cell>
          <cell r="C1503" t="str">
            <v>다이렉트 브라운 95</v>
          </cell>
          <cell r="D1503" t="str">
            <v>2013-1-659</v>
          </cell>
          <cell r="E1503" t="str">
            <v>및 이를 0.1% 이상 함유한 혼합물질</v>
          </cell>
          <cell r="F1503">
            <v>0.1</v>
          </cell>
          <cell r="G1503" t="str">
            <v>- 모든 안전 예방조치 문구를 읽고 이해하기 전에는 취급하지 말 것
- 용기가 비워진 후에도 제품 찌꺼기가 남아 있을 수 있으므로 모든 MSDS/라벨 예방조치를 따를 것
- 취급/저장에 주의하여 사용할 것
- 개봉 전에 조심스럽게 마개를 열 것
- 적절한 환기가 없으면 저장지역에 출입하지 말 것
- 빈 드럼통은 완전히 배수하고 적절히 막아 즉시 드럼 조절기에 되돌려 놓거나 적절히 배치할 것
- 잠금장치가 있는 저장장소에 저장할 것</v>
          </cell>
        </row>
        <row r="1504">
          <cell r="B1504" t="str">
            <v>556-52-5</v>
          </cell>
          <cell r="C1504" t="str">
            <v>글리시돌</v>
          </cell>
          <cell r="D1504" t="str">
            <v>2013-1-660</v>
          </cell>
          <cell r="E1504" t="str">
            <v>및 이를 0.1% 이상 함유한 혼합물질</v>
          </cell>
          <cell r="F1504">
            <v>0.1</v>
          </cell>
          <cell r="G1504" t="str">
            <v>- 열, 스파크, 화염과 격리할 것
- 확실하게 밀폐된 용기에 저장할 것
- 서늘하고 건조하고 통풍이 잘 되는 장소에서 혼합금지물질과 떨어진 곳에 저장할 것
- 원래의 용기에 저장할 것
- 용기를 안전하게 밀폐시킬 것
- 식료품 저장 용기와 멀리 떨어진 곳에 보관할 것
- 물리적 손상으로부터 용기를 보호하고 정기적으로 누수를 확인할 것
- 저장 및 취급 시, 제조자의 권고사항을 살펴볼 것
- 스파크를 막는 기계와 폭발을 막는 장치를 사용할 것
- 옷과 접촉하지 않도록 할 것
- 빈 용기에는 잔류물이 있을 수 있어 위험할 수 있으므로 주의할 것
- 열, 스파크, 화염과의 접촉을 피할 것
- 화학물질 흄 후드 내에서만 취급할 것
- 가압, 절단, 용접, 납땜, 연마, 천공을 해서는 안 되며, 열, 스파크, 화염에 빈 용기를 노출시키지 말 것
- 물질에 젖은 옷을 착용한 상태로 피부접촉 금지할 것
- 흡입을 포함한 모든 인체 접촉은 피할 것
- 노출 위험이 발생할 때, 보호의를 착용할 것
- 통풍이 잘 되는 장소에서 사용할 것
- 경고 :  격렬한 반응을 피하기 위해 항상 물에 물질을 첨가할 것 절대 물을 물질에 첨가 금지할 것
- 흡연, 직사광선이나 점화원을 피할 것
- 혼합금지물질과 접촉시키지 않을 것
- 취급 시 먹거나 마시거나 흡연 금지할 것
- 사용하지 않을 때에는 용기를 안전하게 밀폐시킬 것
- 용기에 물리적인 위험을 피할 것
- 취급 후에는 항상 비누와 물로 손을 세척할 것
- 적합한 작업장을 사용할 것
- 저장 및 취급 시, 제조자의 권고사항을 살펴볼 것
- 안전한 작업환경을 유지하기 위하여 대기 노출 기준을 준수할 수 있도록 공기질을 정기적으로 확인할 것
- 질산염류와 혼합 금지할 것
- 반응성이 매우 크고, 어떠한 오염도 잠재적으로 위험성이 있기 때문에 이 물질의 어떠한 오염도 피할 것
- 알코올, 물로부터 분리할 것
- 산화제류와 반응을 피할 것</v>
          </cell>
        </row>
        <row r="1505">
          <cell r="B1505" t="str">
            <v>88-72-2</v>
          </cell>
          <cell r="C1505" t="str">
            <v>2-니트로톨루엔</v>
          </cell>
          <cell r="D1505" t="str">
            <v>2013-1-661</v>
          </cell>
          <cell r="E1505" t="str">
            <v>및 이를 0.1% 이상 함유한 혼합물질</v>
          </cell>
          <cell r="F1505">
            <v>0.1</v>
          </cell>
          <cell r="G1505" t="str">
            <v>- 확실하게 밀폐된 용기에 저장할 것
- 서늘하고 건조하고 통풍이 잘 되는 장소에서 혼합금지물질과 떨어진 곳에 저장할 것
- 식료품 저장 용기와 멀리 떨어진 곳에 보관할 것
- 물리적 손상으로부터 용기를 보호하고 정기적으로 누수를 확인할 것
- 저장 및 취급시, 제조자의 권고사항을 살펴볼 것
- 취급 후, 손을 철저하게 세척할 것
- 통풍이 잘 되는 장소에서만 사용할 것
- 눈, 피부 및 옷과 접촉하지 않도록 할 것
- 용기를 완전히 밀폐시킬 것
- 열, 스파크, 화염과의 접촉을 피할 것
- 흡입을 포함한 모든 인체 접촉은 피할 것
- 노출 위험이 발생할 때, 보호의를 착용할 것
- 움푹한 곳에 모이지 않도록 할 것
- 대기상태가 확인될 때까지 밀폐된 공간으로 들어가지 말 것
- 사람, 외부에 노출된 식품이나 식기에 닿지 않도록 할 것
- 혼합금지물질과 접촉시키지 않을 것
- 용기에 물리적인 위험을 피할 것
- 적합한 작업장을 사용할 것
- 저장 및 취급시, 제조자의 권고사항을 살펴볼 것
- 안전한 작업환경을 유지하기 위하여 대기 노출 기준을 준수할 수 있도록 공기질을 정기적으로 확인할 것
- 빈 용기에 잔류물질은 바닥에 쌓여서 축적될 수 있고, 이러한 잔류물질은 적당한 발화원이 존재하는 경우에 폭발하므로 폭발에 주의할 것</v>
          </cell>
        </row>
        <row r="1506">
          <cell r="B1506" t="str">
            <v>50985-55-2</v>
          </cell>
          <cell r="C1506" t="str">
            <v>2,2'-[옥타히드로-4,7-메타노-1H-인덴디일)비스(메틸렌옥시메틸렌)]디옥시란</v>
          </cell>
          <cell r="D1506" t="str">
            <v>2013-1-662</v>
          </cell>
          <cell r="E1506" t="str">
            <v>및 이를 1% 이상 함유한 혼합물질</v>
          </cell>
          <cell r="F1506">
            <v>1</v>
          </cell>
        </row>
        <row r="1507">
          <cell r="B1507" t="str">
            <v>117646-83-0</v>
          </cell>
          <cell r="C1507" t="str">
            <v>2-프로펜산 2-[2-[(2-에틸헥실)옥시]에톡시]에틸</v>
          </cell>
          <cell r="D1507" t="str">
            <v>2013-1-663</v>
          </cell>
          <cell r="E1507" t="str">
            <v>및 이를 25% 이상 함유한 혼합물질</v>
          </cell>
          <cell r="F1507">
            <v>25</v>
          </cell>
        </row>
        <row r="1508">
          <cell r="B1508" t="str">
            <v>409325-06-0</v>
          </cell>
          <cell r="C1508" t="str">
            <v>2-프로펜산 (3-페녹시페닐)메틸</v>
          </cell>
          <cell r="D1508" t="str">
            <v>2013-1-664</v>
          </cell>
          <cell r="E1508" t="str">
            <v>및 이를 25% 이상 함유한 혼합물질</v>
          </cell>
          <cell r="F1508">
            <v>25</v>
          </cell>
        </row>
        <row r="1509">
          <cell r="B1509" t="str">
            <v>1233844-88-6</v>
          </cell>
          <cell r="C1509" t="str">
            <v>트리스(4-메틸페닐)술포늄과 1-</v>
          </cell>
          <cell r="D1509" t="str">
            <v>2013-1-665</v>
          </cell>
          <cell r="E1509" t="str">
            <v>및 이를 25% 이상 함유한 혼합물질</v>
          </cell>
          <cell r="F1509">
            <v>25</v>
          </cell>
        </row>
        <row r="1510">
          <cell r="B1510" t="str">
            <v>75-75-2</v>
          </cell>
          <cell r="C1510" t="str">
            <v>메탄술폰산</v>
          </cell>
          <cell r="D1510" t="str">
            <v>2013-1-666</v>
          </cell>
          <cell r="E1510" t="str">
            <v>및 이를 5% 이상 함유한 혼합물질</v>
          </cell>
          <cell r="F1510">
            <v>5</v>
          </cell>
          <cell r="G1510" t="str">
            <v>- 아르곤 용기에 저장할 것
- 플라스틱 가방에 저장할 것
- 주 : 가방을 쌓아두는 데 미끄러지거나 무너지는 것을 막기 위해 높이에 제한을 둘 것
- 원래의 용기에 저장할 것
- 확실하게 밀폐된 용기에 저장할 것
- 서늘하고 건조하고 통풍이 잘 되는 장소에 저장할 것
- 부식장소를 피할 것
- 피해야 할 물질, 식료품 저장 용기와 멀리 떨어진 곳에 보관할 것
- 물리적 손상으로부터 용기를 보호하고 정기적으로 누수를 확인할 것
- 저장 및 취급시, 제조자의 권고사항을 살펴볼 것
- 통풍이 잘 되는 장소에서 사용할 것
- 적합한 작업장을 사용할 것
- 연기, 직사광선이나 발화원을 피할 것
- 피해야 할 물질과 접촉시키지 않을 것
- 물과 접촉시키지 말 것
- 사용하지 않을 때에는 용기를 완전하게 밀폐시킬 것
- 용기에 물리적인 위험을 피할 것
- 취급 후, 손을 철저하게 세척할 것
- 흡입을 포함한 모든 인체 접촉은 피할 것
- 노출 위험이 발생할 때, 보호의를 착용할 것
- 경고 :  격렬한 반응을 피하기 위해 항상 물에 물질을 첨가할 것, 절대 물을 물질에 첨가 금지할 것
- 저장 및 취급시, 제조자의 권고사항을 살펴볼 것
- 안전한 작업환경을 유지하기 위하여 대기 노출 기준을 준수할 수 있도록 공기질을 정기적으로 확인할 것
- 빈 용기에 잔류물질은 바닥에 쌓여서 축적될 수 있어서 그러한 용기에 절삭, 천공, 연마 또는 용접을 해서는 안될 것 그러한 행위들이 적절한 작업 안전 승인 또는 허가 없이 용기 근처(차있거나 부분적으로 차있거나 비어 있는 용기)에서
수행하지 말 것</v>
          </cell>
        </row>
        <row r="1511">
          <cell r="B1511" t="str">
            <v>91-22-5</v>
          </cell>
          <cell r="C1511" t="str">
            <v>퀴놀린</v>
          </cell>
          <cell r="D1511" t="str">
            <v>2013-1-667</v>
          </cell>
          <cell r="E1511" t="str">
            <v>및 0.1% 이상 함유한 혼합물질</v>
          </cell>
          <cell r="F1511">
            <v>0.1</v>
          </cell>
          <cell r="G1511" t="str">
            <v>- 열, 화염과 격리할 것 점화원, 열과 멀리 떨어진 곳에서 저장할 것 직사광선이나 열을 피해서 저장할 것
- 원래의 용기에 저장할 것
- 용기를 안전하게 밀폐시킬 것
- 서늘하고 건조하고 통풍이 잘 되는 장소에 저장할 것
- 혼합금지물질, 식료품 저장 용기와 멀리 떨어진 곳에 보관할 것
- 물리적 손상으로부터 용기를 보호하고 정기적으로 누수를 확인할 것
- 저장 및 취급시, 제조자의 권고사항을 살펴볼 것
- 취급 후, 손을 철저하게 세척할 것
- 통풍이 잘 되는 장소에서만 사용할 것
- 가열된 물질로부터 생성된 증기를 흡입 금지할 것
- 눈, 피부 및 옷과 접촉하지 않도록 할 것
- 용기를 완전히 밀폐시킬 것
- 열, 스파크, 화염과의 접촉을 피할 것
- 물질에 젖은 옷을 착용한 상태로 피부접촉 금지할 것
- 노출 위험이 발생할 때, 보호의를 착용할 것
- 움푹한 곳에 모이지 않도록 할 것
- 대기상태가 확인될 때까지 밀폐된 공간으로 들어가지 말 것
- 외부에 노출된 식품이나 식기에 닿지 않도록 할 것
- 혼합금지물질과 접촉시키지 않을 것
- 용기에 물리적인 위험을 피할 것
- 적합한 작업장을 사용할 것
- 저장 및 취급시, 제조자의 권고사항을 살펴볼 것
- 안전한 작업환경을 유지하기 위하여 대기 노출 기준을 준수할 수 있도록 공기질을 정기적으로 확인할 것
- 습기, 증기, 직사광과 멀리 떨어진 곳에 저장할 것
- 강산류, 산성 염화물, 산 무수물과 클로로폼에이트류를 피할 것
- 산화제와의 반응을 피할 것</v>
          </cell>
        </row>
        <row r="1512">
          <cell r="B1512" t="str">
            <v>1120-71-4</v>
          </cell>
          <cell r="C1512" t="str">
            <v>1,2-옥사티올란, 2,2-디옥사이드</v>
          </cell>
          <cell r="D1512" t="str">
            <v>2013-1-668</v>
          </cell>
          <cell r="E1512" t="str">
            <v>및 0.1% 이상 함유한 혼합물질</v>
          </cell>
          <cell r="F1512">
            <v>0.1</v>
          </cell>
          <cell r="G1512" t="str">
            <v>- 확실하게 밀폐된 용기에 저장할 것
- 원래의 용기에 저장할 것
- 서늘하고 건조하고 통풍이 잘 되는 장소에 저장할 것
- 피해야 할 물질, 식료품 저장 용기와 멀리 떨어진 곳에 보관할 것
- 물리적 손상으로부터 용기를 보호하고 정기적으로 누수를 확인할 것
- 저장 및 취급시, 제조자의 권고사항을 살펴볼 것
- 통풍이 잘 되는 장소에서 사용할 것
- 움푹한 곳에 모이지 않도록 할 것
- 대기압이 확인되지 않은 상태에서 밀폐된 공간으로 들어가지 말 것
- 분진 발생과 분진 축적을 최소화할 것
- 사람, 외부에 노출된 식품이나 식기와 접촉 금지할 것
- 피해야 할 물질과 접촉시키지 않을 것
- 용기에 물리적인 위험을 피할 것
- 사용하지 않을 때에는 용기를 안전하게 밀폐시킬 것
- 빈 용기에 잔류물질은 바닥에 쌓여서 축적될 수 있어서 그러한 용기에 절삭, 천공, 연마 또는 용접을 해서는 안될 것 그러한
행위들이 적절한 작업 안전 승인 또는 허가 없이 용기
근처(차있거나 부분적으로 차있거나 비어 있는 용기)에서 수행되면 안될 것
- 취급 후, 손을 철저하게 세척할 것
- 흡입을 포함한 모든 인체 접촉은 피할 것
- 노출 위험이 발생할 때, 보호의를 착용할 것
- 적합한 작업장을 사용할 것
- 저장 및 취급시, 제조자의 권고사항을 살펴볼 것
- 안전한 작업환경을 유지하기 위하여 대기 노출 기준을 준수할 수 있도록 공기질을 정기적으로 확인할 것</v>
          </cell>
        </row>
        <row r="1513">
          <cell r="B1513" t="str">
            <v>10049-04-4</v>
          </cell>
          <cell r="C1513" t="str">
            <v>이산화 염소</v>
          </cell>
          <cell r="D1513" t="str">
            <v>2013-1-669</v>
          </cell>
          <cell r="E1513" t="str">
            <v>및 1% 이상 함유한 혼합물질</v>
          </cell>
          <cell r="F1513">
            <v>1</v>
          </cell>
          <cell r="G1513" t="str">
            <v>- 서늘하고 건조하고 어두운 장소에서 밀폐된 용기나 실린더에 저장할 것
- 혼합금지물질 및 점화원을 가까이 두지 말 것, 훈련되지 않은 사람은 접근하지 않을 것
- 구역을 안전하게 하고 라벨을 붙일 것
- 물리적 손상으로부터 용기/실린더를 보호할 것
- 실린더는 통풍이 잘되고 되도록이면 개방되어 있는 특수하게 만들어진 화합물에 저장할 것
- 저장용기는 깨끗해야 하고 권한이 있는 사람만 접근 할 수 있도록 제한할 것
- 외부에 저장된 실린더는 먼지나 극한 날씨로부터 보호받을 것
- 저장할 때 실린더는 흔들리거나 구르지 않도록 할 것
- 실린더 밸브는 사용하지 않을 시 잠그도록 할 것
- 안전을 위해서 실린더와 안전 밸브장치가 맞도록 할 것
- 가스 실린더는 위험물법(the  Dangerous  Goods Act)의 요구조건에 따라서 분리되어야 할 것
- 되도록이면 가득 찬 실린더와 빈 실린더는 분리하여 저장할 것
- 산화제가 포함된 실린더는 이 가스와 가장 최소의 거리를 유지하며 저장할 것
- 저장 장소에 들어가기 전에 가스의 위험농도를 확인할 것
- 가장 오래된 실린더가 먼저 사용되도록 정리할 것
- 주기적으로 저장소 안의 실린더의 일반적인 상태나 누수를 확인할 것
- 환원제와 함께 저장하는 것을 피할 것
- 저장장소에는 부스러기, 쓰레기, 연소물질이 없어야 할 것
- 사고대비물질(이를 25% 이상 함유한 혼합물질)</v>
          </cell>
        </row>
        <row r="1514">
          <cell r="B1514" t="str">
            <v>27804-64-4</v>
          </cell>
          <cell r="C1514" t="str">
            <v>비스(디에틸아미노)실란</v>
          </cell>
          <cell r="D1514" t="str">
            <v>2013-1-670</v>
          </cell>
          <cell r="E1514" t="str">
            <v>및 이를 5% 이상 함유한 혼합물질</v>
          </cell>
          <cell r="F1514">
            <v>5</v>
          </cell>
        </row>
        <row r="1515">
          <cell r="B1515" t="str">
            <v>13862-16-3</v>
          </cell>
          <cell r="C1515" t="str">
            <v>트리실일아민</v>
          </cell>
          <cell r="D1515" t="str">
            <v>2013-1-671</v>
          </cell>
          <cell r="E1515" t="str">
            <v>및 이를 1% 이상 함유한 혼합물질</v>
          </cell>
          <cell r="F1515">
            <v>1</v>
          </cell>
        </row>
        <row r="1516">
          <cell r="B1516" t="str">
            <v>82857-68-9</v>
          </cell>
          <cell r="C1516" t="str">
            <v>1-클로로-N,N-디에틸-1,1-디페닐-1-(페닐메틸)포스포아민</v>
          </cell>
          <cell r="D1516" t="str">
            <v>2013-1-672</v>
          </cell>
          <cell r="E1516" t="str">
            <v>및 이를 25% 이상 함유한 혼합물질</v>
          </cell>
          <cell r="F1516">
            <v>25</v>
          </cell>
        </row>
        <row r="1517">
          <cell r="B1517" t="str">
            <v>409071-16-5</v>
          </cell>
          <cell r="C1517" t="str">
            <v xml:space="preserve">리튬 이플루오로(옥살라토)보레이트(1-) </v>
          </cell>
          <cell r="D1517" t="str">
            <v>2013-1-673</v>
          </cell>
          <cell r="E1517" t="str">
            <v>및 이를 25% 이상 함유한 혼합물질</v>
          </cell>
          <cell r="F1517">
            <v>25</v>
          </cell>
        </row>
        <row r="1518">
          <cell r="B1518" t="str">
            <v>171611-11-3</v>
          </cell>
          <cell r="C1518" t="str">
            <v>리튬 비스(플루오로술포닐)이미드</v>
          </cell>
          <cell r="D1518" t="str">
            <v>2013-1-674</v>
          </cell>
          <cell r="E1518" t="str">
            <v>및 이를 25% 이상 함유한 혼합물질</v>
          </cell>
          <cell r="F1518">
            <v>25</v>
          </cell>
        </row>
        <row r="1519">
          <cell r="B1519" t="str">
            <v>96-13-9</v>
          </cell>
          <cell r="C1519" t="str">
            <v>2,3-디브로모-1-프로판올</v>
          </cell>
          <cell r="D1519" t="str">
            <v>2013-1-675</v>
          </cell>
          <cell r="E1519" t="str">
            <v>및 이를 0.1% 이상 함유한 혼합물질</v>
          </cell>
          <cell r="F1519">
            <v>0.1</v>
          </cell>
          <cell r="G1519" t="str">
            <v>- 용기가 비워진 후에도 제품 찌꺼기가 남아 있을 수 있으므로 모든 MSDS/라벨 예방조치를 따를 것
- 취급/저장에 주의하여 사용할 것
- 개봉 전에 조심스럽게 마개를 열 것
- 모든 안전 예방조치 문구를 읽고 이해하기 전에는 취급하지 말 것
- (분진·흄·가스·미스트·증기·스프레이)의 흡입을 피할 것
- 취급 후에는 취급 부위를 철저히 세척할 것
- 이 제품을 사용할 때에는 먹거나, 마시거나 흡연하지 말 것
- 옥외 또는 환기가 잘 되는 곳에서만 취급할 것
- 빈 드럼통은 완전히 배수하고 적절히 막아 즉시 드럼조절기에 되돌려 놓거나 적절히 배치할 것
- 음식과 음료수로부터 멀리할 것
- 용기는 환기가 잘 되는 곳에 단단히 밀폐하여 저장할 것</v>
          </cell>
        </row>
        <row r="1520">
          <cell r="B1520" t="str">
            <v>374572-91-5</v>
          </cell>
          <cell r="C1520" t="str">
            <v>2,2'-[1,2-에탄디일비스(옥시)]비스에탄아민과 구아니딘 염산염의 중합체</v>
          </cell>
          <cell r="D1520" t="str">
            <v>2013-1-676</v>
          </cell>
          <cell r="E1520" t="str">
            <v>및 이를 25% 이상 함유한 혼합물질</v>
          </cell>
          <cell r="F1520">
            <v>25</v>
          </cell>
        </row>
        <row r="1521">
          <cell r="B1521" t="str">
            <v>24389-25-1</v>
          </cell>
          <cell r="C1521" t="str">
            <v>리튬 디플루오로포스페이트</v>
          </cell>
          <cell r="D1521" t="str">
            <v>2013-1-677</v>
          </cell>
          <cell r="E1521" t="str">
            <v>및 이를 25% 이상 함유한 혼합물질</v>
          </cell>
          <cell r="F1521">
            <v>25</v>
          </cell>
        </row>
        <row r="1522">
          <cell r="B1522" t="str">
            <v>223436-99-5</v>
          </cell>
          <cell r="C1522" t="str">
            <v>1-에틸-1-메틸피롤리디늄과 1,1,1-트리플루오로-N-[(트리플루오로메틸)술포닐]메탄술폰아미드의 염(1:1</v>
          </cell>
          <cell r="D1522" t="str">
            <v>2013-1-678</v>
          </cell>
          <cell r="E1522" t="str">
            <v>및 이를 25% 이상 함유한 혼합물질</v>
          </cell>
          <cell r="F1522">
            <v>25</v>
          </cell>
        </row>
        <row r="1523">
          <cell r="B1523" t="str">
            <v>136040-19-2</v>
          </cell>
          <cell r="C1523" t="str">
            <v>트리페닐메틸륨 테트라키스(펜타플루오로페닐)보레이트(1-)</v>
          </cell>
          <cell r="D1523" t="str">
            <v>2013-1-679</v>
          </cell>
          <cell r="E1523" t="str">
            <v>및 이를 25% 이상 함유한 혼합물질</v>
          </cell>
          <cell r="F1523">
            <v>25</v>
          </cell>
        </row>
        <row r="1524">
          <cell r="B1524" t="str">
            <v>1458-98-6</v>
          </cell>
          <cell r="C1524" t="str">
            <v>3-브로모-2-메틸-1-프로펜</v>
          </cell>
          <cell r="D1524" t="str">
            <v>2013-1-680</v>
          </cell>
          <cell r="E1524" t="str">
            <v>및 이를 25% 이상 함유한 혼합물질</v>
          </cell>
          <cell r="F1524">
            <v>25</v>
          </cell>
        </row>
        <row r="1525">
          <cell r="B1525" t="str">
            <v>938451-30-0</v>
          </cell>
          <cell r="C1525" t="str">
            <v xml:space="preserve">(4-히드록시페닐)메틸(1-나프탈레닐메틸)술포늄 테트라키스(펜타플루오로페닐)보레이트(1-) </v>
          </cell>
          <cell r="D1525" t="str">
            <v>2014-1-681</v>
          </cell>
          <cell r="E1525" t="str">
            <v>및 이를 25% 이상 함유한 혼합물질</v>
          </cell>
        </row>
        <row r="1526">
          <cell r="B1526" t="str">
            <v>107667-02-7</v>
          </cell>
          <cell r="C1526" t="str">
            <v>비스(2,4,4-트리메틸펜틸)포스피노디티오산</v>
          </cell>
          <cell r="D1526" t="str">
            <v>2014-1-682</v>
          </cell>
          <cell r="E1526" t="str">
            <v>및 이를 1% 이상 함유한 혼합물질</v>
          </cell>
          <cell r="F1526">
            <v>1</v>
          </cell>
        </row>
        <row r="1527">
          <cell r="B1527" t="str">
            <v>65753-47-1</v>
          </cell>
          <cell r="C1527" t="str">
            <v>2-클로로-3-트리플루오로메틸피리딘</v>
          </cell>
          <cell r="D1527" t="str">
            <v>2014-1-683</v>
          </cell>
          <cell r="E1527" t="str">
            <v>및 이를 25% 이상 함유한 혼합물질</v>
          </cell>
          <cell r="F1527">
            <v>25</v>
          </cell>
        </row>
        <row r="1528">
          <cell r="B1528" t="str">
            <v>15573-38-3</v>
          </cell>
          <cell r="C1528" t="str">
            <v>트리스(트리메틸실릴)포스핀</v>
          </cell>
          <cell r="D1528" t="str">
            <v>2014-1-684</v>
          </cell>
          <cell r="E1528" t="str">
            <v>및 이를 1% 이상 함유한 혼합물질</v>
          </cell>
          <cell r="F1528">
            <v>1</v>
          </cell>
        </row>
        <row r="1529">
          <cell r="B1529" t="str">
            <v>87-90-1</v>
          </cell>
          <cell r="C1529" t="str">
            <v>심클로젠</v>
          </cell>
          <cell r="D1529" t="str">
            <v>2014-1-685</v>
          </cell>
          <cell r="E1529" t="str">
            <v>및 이를 1% 이상 함유한 혼합물질</v>
          </cell>
          <cell r="F1529">
            <v>1</v>
          </cell>
        </row>
        <row r="1530">
          <cell r="B1530" t="str">
            <v>2451-62-9</v>
          </cell>
          <cell r="C1530" t="str">
            <v>트리글리시딜 이소시아누레이트</v>
          </cell>
          <cell r="D1530" t="str">
            <v>2014-1-686</v>
          </cell>
          <cell r="E1530" t="str">
            <v>및 이를 0.1% 이상 함유한 혼합물질</v>
          </cell>
          <cell r="F1530">
            <v>0.1</v>
          </cell>
        </row>
        <row r="1531">
          <cell r="B1531" t="str">
            <v>26530-20-1</v>
          </cell>
          <cell r="C1531" t="str">
            <v>2-옥틸-3(2H)-이소티아졸론</v>
          </cell>
          <cell r="D1531" t="str">
            <v>2014-1-687</v>
          </cell>
          <cell r="E1531" t="str">
            <v>및 이를 1% 이상 함유한 혼합물질</v>
          </cell>
          <cell r="F1531">
            <v>1</v>
          </cell>
        </row>
        <row r="1532">
          <cell r="B1532" t="str">
            <v>2893-78-9</v>
          </cell>
          <cell r="C1532" t="str">
            <v xml:space="preserve">트로클로센 나트륨 </v>
          </cell>
          <cell r="D1532" t="str">
            <v>2014-1-688</v>
          </cell>
          <cell r="E1532" t="str">
            <v>및 이를 25% 이상 함유한 혼합물질</v>
          </cell>
          <cell r="F1532">
            <v>25</v>
          </cell>
        </row>
        <row r="1533">
          <cell r="B1533" t="str">
            <v>51580-86-0</v>
          </cell>
          <cell r="C1533" t="str">
            <v>Sodium dichloroisocyanurate dihydrate</v>
          </cell>
          <cell r="D1533" t="str">
            <v>2014-1-688</v>
          </cell>
          <cell r="E1533" t="str">
            <v>및 이를 25% 이상 함유한 혼합물질</v>
          </cell>
          <cell r="F1533">
            <v>25</v>
          </cell>
        </row>
        <row r="1534">
          <cell r="B1534" t="str">
            <v>79-10-7</v>
          </cell>
          <cell r="C1534" t="str">
            <v>아크릴산</v>
          </cell>
          <cell r="E1534" t="str">
            <v>및 이를 25% 이상 함유한 혼합물질</v>
          </cell>
          <cell r="F1534">
            <v>25</v>
          </cell>
          <cell r="G1534" t="str">
            <v>- 폭발 방지용 전기·환기·조명 장비를 사용할 것
- 스파크가 발생하지 않는 도구만을 사용할 것
- 정전기 방지 조치를 취할 것
- 분진·흄·가스·미스트·증기·스프레이의 흡입 주의할 것
- 취급 후에는 취급 부위를 철저히 세척할 것
- 제품을 사용할 때에는 먹거나, 마시거나 흡연 금지할 것
- 옥외 또는 환기가 잘 되는 곳에서만 취급할 것
- 압력을 가하거나, 자르거나, 용접, 납땜, 접합, 뚫기, 연마 또는 열에 노출, 화염, 불꽃, 정전기 또는 다른 점화원에 노출 금지할 것
- 용기가 비워진 후에도 제품 찌꺼기가 남아 있을 수 있으므로 모든 MSDS/라벨 예방조치 준수할 것
- 개봉 전에 조심스럽게 마개 개방할 것
- 장기간 또는 지속적인 피부접촉 금지할 것
- 물질 취급시 모든 장비를 반드시 접지할 것
- 공학적 관리 및 개인보호구를 참조하여 작업할 것
- 저지대 밀폐공간에서 작업시 산소결핍의 우려가 있으므로 작업중, 공기중 산소농도 측정 및 환기할 것
- 열·스파크·화염·고열로부터 격리, 금연할 것
- 용기는 환기가 잘 되는 곳에 단단히 밀폐하여 저장할 것
- 환기가 잘 되는 곳에 보관하고 저온으로 유지할 것
- 빈 드럼통은 완전히 배수하고 적절히 막아 즉시 드럼 조절기에 되돌려 놓거나 적절히 배치할 것</v>
          </cell>
        </row>
        <row r="1535">
          <cell r="B1535" t="str">
            <v>96-33-3</v>
          </cell>
          <cell r="C1535" t="str">
            <v>메틸 아크릴레이트</v>
          </cell>
          <cell r="E1535" t="str">
            <v>및 이를 25% 이상 함유한 혼합물질</v>
          </cell>
          <cell r="F1535">
            <v>25</v>
          </cell>
          <cell r="G1535" t="str">
            <v>- 모든 안전 예방조치 문구를 읽고 이해하기 전에는 취급 금지할 것
- 폭발 방지용 전기·환기·조명 장비를 사용할 것
- 스파크가 발생하지 않는 도구만을 사용할 것
- 정전기 방지 조치할 것
- 분진·흄·가스·미스트·증기·스프레이의 흡입 주의할 것
- 취급 후에는 취급 부위를 철저히 세척할 것
- 제품을 사용할 때에는 먹거나, 마시거나 흡연금지할 것
- 옥외 또는 환기가 잘 되는 곳에서만 취급할 것
- 작업장 밖으로 오염된 의복을 반출 금지할 것
- 압력을 가하거나, 자르거나, 용접, 납땜, 접합, 뚫기, 연마 또는 열에 노출, 화염, 불꽃, 정전기 또는 다른 점화원에 노출 금지할 것
- 용기가 비워진 후에도 제품 찌꺼기가 남아 있을 수 있으므로 모든 MSDS/라벨 예방조치 준수할 것
- 취급/저장에 주의하여 사용할 것
- 개봉 전에 조심스럽게 마개 개방할 것
- 장기간 또는 지속적인 피부접촉 금지할 것
- 물질 취급시 모든 장비를 반드시 접지할 것
- 저지대 밀폐공간에서 작업시 산소결핍의 우려가 있으므로 작업중, 공기중 산소농도 측정 및 환기할 것
- 열·스파크·화염·고열로부터 격리, 금연할 것
- 용기는 환기가 잘 되는 곳에 단단히 밀폐하여 저장할 것
- 환기가 잘 되는 곳에 보관하고 저온으로 유지할 것
- 빈 드럼통은 완전히 배수하고 적절히 막아 즉시 드럼 조절기에 되돌려 놓거나 적절히 배치할 것</v>
          </cell>
        </row>
        <row r="1536">
          <cell r="B1536" t="str">
            <v>109-73-9</v>
          </cell>
          <cell r="C1536" t="str">
            <v>노말-부틸아민</v>
          </cell>
          <cell r="E1536" t="str">
            <v>및 이를 25% 이상 함유한 혼합물질</v>
          </cell>
          <cell r="F1536">
            <v>25</v>
          </cell>
          <cell r="G1536" t="str">
            <v>- 폭발 방지용 전기·환기·조명 장비를 사용할 것
- 스파크가 발생하지 않는 도구만을 사용할 것
- 정전기 방지 조치할 것
- 취급 후에는 취급 부위를 철저히 세척할 것
- 제품을 사용할 때에는 먹거나, 마시거나 흡연금지할 것
- 압력을 가하거나, 자르거나, 용접, 납땜, 접합, 뚫기, 연마 또는 열에 노출, 화염, 불꽃, 정전기 또는 다른 점화원에 노출 금지할 것
- 환기가 잘 되는 지역에서만 사용할 것
- 용기가 비워진 후에도 제품 찌꺼기가 남아 있을 수 있으므로 모든 MSDS/라벨 예방조치 준수할 것
- 취급/저장에 주의하여 사용할 것
- 개봉 전에 조심스럽게 마개 개방할 것
- 장기간 또는 지속적인 피부접촉 금지할 것
- 적절한 환기가 없으면 저장지역에 출입금지할 것
- 물질 취급시 모든 장비를 반드시 접지할 것
- 공학적 관리 및 개인보호구를 참조하여 작업할 것
- 저지대 밀폐공간에서 작업시 산소결핍의 우려가 있으므로 작업중, 공기중 산소농도 측정 및 환기할 것
- 열·스파크·화염·고열로부터 격리, 금연할 것
- 용기를 단단히 밀폐할 것
- 환기가 잘 되는 곳에 보관하고 저온으로 유지할 것
- 잠금장치가 있는 저장장소에 저장할 것
- 빈 드럼통은 완전히 배수하고 적절히 막아 즉시 드럼조절기에 되돌려 놓거나 적절히 배치할 것</v>
          </cell>
        </row>
        <row r="1537">
          <cell r="B1537" t="str">
            <v>121-44-8</v>
          </cell>
          <cell r="C1537" t="str">
            <v>트리에틸아민</v>
          </cell>
          <cell r="E1537" t="str">
            <v>및 이를 25% 이상 함유한 혼합물질</v>
          </cell>
          <cell r="F1537">
            <v>25</v>
          </cell>
          <cell r="G1537" t="str">
            <v>- 폭발 방지용 전기·환기·조명 장비를 사용할 것
- 스파크가 발생하지 않는 도구만을 사용할 것
- 정전기 방지 조치할 것
- 분진·흄·가스·미스트·증기·스프레이의 흡입 금지할 것
- 취급 후에는 취급 부위를 철저히 세척할 것
- 제품을 사용할 때에는 먹거나, 마시거나 흡연 금지할 것
- 옥외 또는 환기가 잘 되는 곳에서만 취급할 것
- 압력을 가하거나, 자르거나, 용접, 납땜, 접합, 뚫기, 연마 또는 열에 노출, 화염, 불꽃, 정전기 또는 다른 점화원에 노출 금지할 것
- 용기가 비워진 후에도 제품 찌꺼기가 남아 있을 수 있으므로 모든 MSDS/라벨 예방조치 준수할 것
- 취급/저장에 주의하여 사용할 것
- 개봉 전에 조심스럽게 마개 개방할 것
- 장기간 또는 지속적인 피부접촉 금지할 것
- 물질 취급시 모든 장비를 반드시 접지할 것
- 공학적 관리 및 개인보호구를 참조하여 작업할 것
- 저지대 밀폐공간에서 작업시 산소결핍의 우려가 있으므로 작업중, 공기중 산소농도 측정 및 환기할 것
- 열·스파크·화염·고열로부터 격리, 금연할 것
- 용기는 환기가 잘 되는 곳에 단단히 밀폐하여 저장할 것
- 환기가 잘 되는 곳에 보관하고 저온으로 유지할 것
- 빈 드럼통은 완전히 배수하고 적절히 막아 즉시 드럼 조절기에 되돌려 놓거나 적절히 배치할 것</v>
          </cell>
        </row>
        <row r="1538">
          <cell r="C1538" t="str">
            <v>시안화나트륨</v>
          </cell>
          <cell r="E1538" t="str">
            <v>및 이를 1% 이상 함유한 혼합물질. 다만, 베를린청(Ferric ferrocyanide), 페로시안염(Ferrocyanide, salts), 페리시안염(Ferricyanide, salts) 및 그 중 하나를 함유한 혼합물질은 제외</v>
          </cell>
          <cell r="F1538">
            <v>1</v>
          </cell>
          <cell r="G1538" t="str">
            <v>- 모든 안전 예방조치 문구를 읽고 이해하기 전에는 취급 금지할 것
- 눈, 피부, 의복에 묻지 않도록 주의할 것
- 취급 후에는 취급 부위를 철저히 세척할 것
- 제품을 사용할 때에는 먹거나, 마시거나 흡연 금지할 것
- 용기가 비워진 후에도 제품 찌꺼기가 남아 있을 수 있으므로 모든 MSDS/라벨 예방조치 준수할 것
- 취급/저장에 주의하여 사용할 것
- 개봉 전에 조심스럽게 마개 개방할 것
- 적절한 환기가 없으면 저장지역에 출입 금지할 것
- 물질 취급시 모든 장비를 반드시 접지할 것
- 잠금장치가 있는 저장장소에 저장할 것
- 빈 드럼통은 완전히 배수하고 적절히 막아 즉시 드럼 조절기에 되돌려 놓거나 적절히 배치할 것</v>
          </cell>
        </row>
        <row r="1539">
          <cell r="B1539" t="str">
            <v>814-68-6</v>
          </cell>
          <cell r="C1539" t="str">
            <v>아크릴일 클로라이드</v>
          </cell>
          <cell r="E1539" t="str">
            <v>및 이를 25% 이상 함유한 혼합물질</v>
          </cell>
          <cell r="F1539">
            <v>25</v>
          </cell>
          <cell r="G1539" t="str">
            <v>- 폭발 방지용 전기·환기·조명 장비를 사용할 것
- 스파크가 발생하지 않는 도구만을 사용할 것
- 정전기 방지 조치할 것
- 옥외 또는 환기가 잘 되는 곳에서만 취급할 것
- 압력을 가하거나, 자르거나, 용접, 납땜, 접합, 뚫기, 연마 또는 열에 노출,  화염,  불꽃,  정전기 또는 다른 점화원에
노출금지할 것
- 용기가 비워진 후에도 제품 찌꺼기가 남아 있을 수 있으므로 모든 MSDS/라벨 예방조치 준수할 것
- 취급/저장에 주의하여 사용할 것
- 개봉 전에 조심스럽게 마개 개방할 것
- 물질 취급시 모든 장비를 반드시 접지할 것
- 공학적 관리 및 개인보호구를 참조하여 작업할 것
- 저지대 밀폐공간에서 작업시 산소결핍의 우려가 있으므로 작업중, 공기중 산소농도 측정 및 환기할 것
- 열·스파크·화염·고열로부터 격리, 금연할 것
- 용기는 환기가 잘 되는 곳에 단단히 밀폐하여 저장할 것
- 환기가 잘 되는 곳에 보관하고 저온으로 유지할 것
- 빈 드럼통은 완전히 배수하고 적절히 막아 즉시 드럼 조절기에 되돌려 놓거나 적절히 배치할 것</v>
          </cell>
        </row>
        <row r="1540">
          <cell r="B1540" t="str">
            <v>1338-23-4</v>
          </cell>
          <cell r="C1540" t="str">
            <v>메틸에틸케톤 과산화물</v>
          </cell>
          <cell r="E1540" t="str">
            <v>및 이를 25% 이상 함유한 혼합물질</v>
          </cell>
          <cell r="F1540">
            <v>25</v>
          </cell>
          <cell r="G1540" t="str">
            <v>- 취급 후에는 취급 부위를 철저히 세척할 것
- 제품을 사용할 때에는 먹거나, 마시거나 흡연 금지할 것
- 옥외 또는 환기가 잘 되는 곳에서만 취급할 것
- 압력을 가하거나, 자르거나, 용접, 납땜, 접합, 뚫기, 연마 또는 열에 노출, 화염, 불꽃, 정전기 또는 다른 점화원에 노출 금지할 것
- 용기가 비워진 후에도 제품 찌꺼기가 남아 있을 수 있으므로 모든 MSDS/라벨 예방조치 준수할 것
- 취급/저장에 주의하여 사용할 것
- 개봉 전에 조심스럽게 마개 개방
- 장기간 또는 지속적인 피부접촉 금지할 것
- 공학적 관리 및 개인보호구를 참조하여 작업할 것
- 열·스파크·화염·고열로부터 격리, 금연할 것
- 의복, 가연성 물질로부터 격리·보관할 것
- 원래의 용기에만 보관할 것
- 용기는 환기가 잘 되는 곳에 단단히 밀폐하여 저장할 것
- 직사광선 노출 금지할 것
- 다른 물질과 격리하여 보관할 것
- 물질 찌꺼기(액체와 또는 증기)가 남아있는 빈용기는 위험할 수 있으니 주의할 것
- 빈 드럼통은 완전히 배수하고 적절히 막아 즉시 드럼 조절기에 되돌려 놓거나 적절히 배치할 것</v>
          </cell>
        </row>
        <row r="1541">
          <cell r="B1541" t="str">
            <v>19287-45-7</v>
          </cell>
          <cell r="C1541" t="str">
            <v>디보란</v>
          </cell>
          <cell r="E1541" t="str">
            <v>및 이를 25% 이상 함유한 혼합물질</v>
          </cell>
          <cell r="F1541">
            <v>25</v>
          </cell>
          <cell r="G1541" t="str">
            <v>- 취급 후에는 취급 부위를 철저히 세척할 것
- 제품을 사용할 때에는 먹거나, 마시거나 흡연 금지할 것
- 옥외 또는 환기가 잘 되는 곳에서만 취급할 것
- 압력을 가하거나, 자르거나, 용접, 납땜, 접합, 뚫기, 연마 또는 열에 노출, 화염, 불꽃, 정전기 또는 다른 점화원에 노출
금지할 것
- 용기가 비워진 후에도 제품 찌꺼기가 남아 있을 수 있으므로 모든 MSDS/라벨 예방조치 준수할 것
- 취급/저장에 주의하여 사용할 것
- 개봉 전에 조심스럽게 마개 개방
- 장기간 또는 지속적인 피부접촉 금지할 것
- 물질 취급시 모든 장비를 반드시 접지할 것
- 공학적 관리 및 개인보호구를 참조하여 작업할 것
- 열·스파크·화염·고열로부터 격리, 금연할 것
- 용기는 환기가 잘 되는 곳에 단단히 밀폐하여 저장할 것
- 직사광선을 피하고 환기가 잘 되는 곳에 보관할 것
- 빈 드럼통은 완전히 배수하고 적절히 막아 즉시 드럼 조절기에 되돌려 놓거나 적절히 배치할 것
- 용기는 열에 노출되었을 경우 압력이 올라갈 수 있으므로 열에 노출 주의할 것</v>
          </cell>
        </row>
        <row r="1542">
          <cell r="B1542" t="str">
            <v>100-97-0</v>
          </cell>
          <cell r="C1542" t="str">
            <v>헥사민</v>
          </cell>
          <cell r="E1542" t="str">
            <v>및 이를 25% 이상 함유한 혼합물질</v>
          </cell>
          <cell r="F1542">
            <v>25</v>
          </cell>
          <cell r="G1542" t="str">
            <v>- 모든 안전 예방조치 문구를 읽고 이해하기 전에는 취급금지할 것
- 용기와 수용설비를 접합시키거나 접지할 것
- 폭발 방지용 전기·환기·조명 장비를 사용할 것
- 분진·흄·가스·미스트·증기·스프레이의 흡입 주의할 것
- 취급 후에는 취급 부위를 철저히 세척할 것
- 제품을 사용할 때에는 먹거나, 마시거나 흡연금지할 것
- 작업장 밖으로 오염된 의복을 반출 금지할 것
- 압력을 가하거나, 자르거나, 용접, 납땜, 접합, 뚫기, 연마 또는 열에 노출, 화염, 불꽃, 정전기 또는 다른 점화원에 노출 금지할 것
- 환기가 잘 되는 지역에서만 사용할 것
- 용기가 비워진 후에도 제품 찌꺼기가 남아 있을 수 있으므로 모든 MSDS/라벨 예방조치 준수할 것
- 취급/저장에 주의하여 사용할 것
- 개봉 전에 조심스럽게 마개 개방할 것
- 장기간 또는 지속적인 피부접촉 금지할 것
- 적절한 환기가 없으면 저장지역에 출입 금지할 것
- 분진 발생이나 마찰 작업시 폭발할 수 있으므로 주의할 것
- 열·스파크·화염·고열로부터 격리, 금연할 것
- 잠금장치가 있는 저장장소에 저장할 것
- 빈 드럼통은 완전히 배수하고 적절히 막아 즉시 드럼 조절기에 되돌려 놓거나 적절히 배치할 것</v>
          </cell>
        </row>
        <row r="1543">
          <cell r="B1543" t="str">
            <v>3811-04-9</v>
          </cell>
          <cell r="C1543" t="str">
            <v>염소산칼륨</v>
          </cell>
          <cell r="E1543" t="str">
            <v>및 이를 98% 이상 함유한 혼합물질</v>
          </cell>
          <cell r="F1543">
            <v>98</v>
          </cell>
          <cell r="G1543" t="str">
            <v>- 가연성 물질과 혼합되지 않도록 조치할 것
- 분진·흄·가스·미스트·증기·스프레이의 흡입 주의할 것
- 취급 후에는 취급 부위를 철저히 세척할 것
- 제품을 사용할 때에는 먹거나, 마시거나 흡연 금지할 것
- 옥외 또는 환기가 잘 되는 곳에서만 취급할 것
- 압력을 가하거나, 자르거나, 용접, 납땜, 접합, 뚫기, 연마 또는 열에 노출, 화염, 불꽃, 정전기 또는 다른 점화원에 노출 금지할 것
- 용기가 비워진 후에도 제품 찌꺼기가 남아 있을 수 있으므로 모든 MSDS/라벨 예방조치 준수할 것
- 취급/저장에 주의하여 사용할 것
- 개봉 전에 조심스럽게 마개 개방할 것
- 장기간 또는 지속적인 피부접촉 금지할 것
- 공학적 관리 및 개인보호구를 참조하여 작업할 것
- 열·스파크·화염·고열로부터 격리, 금연할 것
- 의복, 가연성 물질로부터 격리·보관할 것
- 용기는 환기가 잘 되는 곳에 단단히 밀폐하여 저장할 것
- 빈 드럼통은 완전히 배수하고 적절히 막아 즉시 드럼 조절기에 되돌려 놓거나 적절히 배치할 것</v>
          </cell>
        </row>
        <row r="1544">
          <cell r="B1544" t="str">
            <v>7722-64-7</v>
          </cell>
          <cell r="C1544" t="str">
            <v>과망간산칼륨</v>
          </cell>
          <cell r="E1544" t="str">
            <v>및 이를 98% 이상 함유한 혼합물질</v>
          </cell>
          <cell r="F1544">
            <v>98</v>
          </cell>
          <cell r="G1544" t="str">
            <v>- 모든 안전 예방조치 문구를 읽고 이해하기 전에는 취급 금지할 것
- 가연성 물질과 혼합되지 않도록 조치할 것
- 취급 후에는 취급 부위를 철저히 세척할 것
- 제품을 사용할 때에는 먹거나, 마시거나 흡연 금지할 것
- 압력을 가하거나, 자르거나, 용접, 납땜, 접합, 뚫기, 연마 또는 열에 노출, 화염, 불꽃, 정전기 또는 다른 점화원에 노출 금지할 것
- 환기가 잘 되는 지역에서만 사용할 것
- 용기가 비워진 후에도 제품 찌꺼기가 남아 있을 수 있으므로 모든 MSDS/라벨 예방조치 준수할 것
- 취급/저장에 주의하여 사용할 것
- 개봉 전에 조심스럽게 마개 개방할 것
- 장기간 또는 지속적인 피부접촉 금지할 것
- 적절한 환기가 없으면 저장지역에 출입금지할 것
- 빈 드럼통은 완전히 배수하고 적절히 막아 즉시 드럼 조절기에 되돌려 놓거나 적절히 배치할 것
- 열·스파크·화염·고열로부터 격리, 금연할 것
- 의복, 가연성 물질로부터 격리·보관할 것
- 잠금장치가 있는 저장장소에 저장할 것</v>
          </cell>
        </row>
        <row r="1545">
          <cell r="B1545" t="str">
            <v>7631-99-4</v>
          </cell>
          <cell r="C1545" t="str">
            <v>질산나트륨</v>
          </cell>
          <cell r="E1545" t="str">
            <v>및 이를 98% 이상 함유한 혼합물질</v>
          </cell>
          <cell r="F1545">
            <v>98</v>
          </cell>
          <cell r="G1545" t="str">
            <v>- 모든 안전 예방조치 문구를 읽고 이해하기 전에는 취급금지할 것
- 가연성 물질과 혼합되지 않도록 조치할 것
- 취급 후에는 취급 부위를 철저히 세척할 것
- 제품을 사용할 때에는 먹거나, 마시거나 흡연금지할 것
- 압력을 가하거나, 자르거나, 용접, 납땜, 접합, 뚫기, 연마 또는 열에 노출, 화염, 불꽃, 정전기 또는 다른 점화원에 노출 금지할 것
- 용기가 비워진 후에도 제품 찌꺼기가 남아 있을 수 있으므로 모든 MSDS/라벨 예방조치 준수할 것
- 취급/저장에 주의하여 사용할 것
- 개봉 전에 조심스럽게 마개 개방할 것
- 장기간 또는 지속적인 피부접촉 금지할 것
- 적절한 환기가 없으면 저장지역에 출입금지할 것
- 열·스파크·화염·고열로부터 격리, 금연할 것
- 의복, 가연성 물질로부터 격리·보관할 것
- 잠금장치가 있는 저장장소에 저장할 것
- 빈 드럼통은 완전히 배수하고 적절히 막아 즉시 드럼 조절기에 되돌려 놓거나 적절히 배치할 것</v>
          </cell>
        </row>
        <row r="1546">
          <cell r="B1546" t="str">
            <v>7778-74-7</v>
          </cell>
          <cell r="C1546" t="str">
            <v>과염소산칼륨</v>
          </cell>
          <cell r="E1546" t="str">
            <v>및 이를 98% 이상 함유한 혼합물질</v>
          </cell>
          <cell r="F1546">
            <v>98</v>
          </cell>
          <cell r="G1546" t="str">
            <v>- 가연성 물질과 혼합되지 않도록 조치할 것
- 분진·흄·가스·미스트·증기·스프레이의 흡입 주의할 것
- 취급 후에는 취급 부위를 철저히 세척할 것
- 옥외 또는 환기가 잘 되는 곳에서만 취급할 것
- 압력을 가하거나, 자르거나, 용접, 납땜, 접합, 뚫기, 연마 또는 열에 노출, 화염, 불꽃, 정전기 또는 다른 점화원에 노출금지할 것
- 용기가 비워진 후에도 제품 찌꺼기가 남아 있을 수 있으므로 모든 MSDS/라벨 예방조치 준수할 것
- 취급/저장에 주의하여 사용할 것
- 개봉 전에 조심스럽게 마개 개방할 것
- 장기간 또는 지속적인 피부접촉 금지할 것
- 공학적 관리 및 개인보호구를 참조하여 작업할 것
- 열·스파크·화염·고열로부터 격리, 금연할 것
- 의복, 가연성 물질로부터 격리·보관할 것
- 용기는 환기가 잘 되는 곳에 단단히 밀폐하여 저장할 것
- 빈 드럼통은 완전히 배수하고 적절히 막아 즉시 드럼 조절기에 되돌려 놓거나 적절히 배치할 것</v>
          </cell>
        </row>
        <row r="1547">
          <cell r="B1547" t="str">
            <v>107-44-8</v>
          </cell>
          <cell r="C1547" t="str">
            <v>사린</v>
          </cell>
          <cell r="E1547" t="str">
            <v>및 이를 1% 이상 함유한 혼합물질</v>
          </cell>
          <cell r="F1547">
            <v>1</v>
          </cell>
          <cell r="G1547" t="str">
            <v>- 공학적 관리 및 개인보호구를 참조하여 작업할 것</v>
          </cell>
        </row>
        <row r="1548">
          <cell r="B1548" t="str">
            <v>75-52-5</v>
          </cell>
          <cell r="C1548" t="str">
            <v>니트로메탄</v>
          </cell>
          <cell r="E1548" t="str">
            <v>및 이를 25% 이상 함유한 혼합물질</v>
          </cell>
          <cell r="F1548">
            <v>25</v>
          </cell>
          <cell r="G1548" t="str">
            <v>- 모든 안전 예방조치 문구를 읽고 이해하기 전에는 취급 금지할 것
- 폭발 방지용 전기·환기·조명 장비를 사용할 것
- 스파크가 발생하지 않는 도구만을 사용할 것
- 정전기 방지 조치할 것
- 분진·흄·가스·미스트·증기·스프레이의 흡입 주의할 것
- 취급 후에는 취급 부위를 철저히 세척할 것
- 제품을 사용할 때에는 먹거나, 마시거나 흡연금지할 것
- 옥외 또는 환기가 잘 되는 곳에서만 취급할 것
- 압력을 가하거나, 자르거나, 용접, 납땜, 접합, 뚫기, 연마 또는 열에 노출, 화염, 불꽃, 정전기 또는 다른 점화원에 노출금지할 것
- 용기가 비워진 후에도 제품 찌꺼기가 남아 있을 수 있으므로 모든 MSDS/라벨 예방조치 준수할 것
- 취급/저장에 주의하여 사용할 것
- 개봉 전에 조심스럽게 마개 개방할 것
- 물질 취급시 모든 장비를 반드시 접지할 것
- 저지대 밀폐공간에서 작업시 산소결핍의 우려가 있으므로 작업중, 공기중 산소농도 측정 및 환기할 것
- 열·스파크·화염·고열로부터 격리, 금연할 것
- 용기는 환기가 잘 되는 곳에 단단히 밀폐하여 저장할 것
- 환기가 잘 되는 곳에 보관하고 저온으로 유지할 것
- 빈 드럼통은 완전히 배수하고 적절히 막아 즉시 드럼 조절기에 되돌려 놓거나 적절히 배치할 것</v>
          </cell>
        </row>
        <row r="1549">
          <cell r="B1549" t="str">
            <v>151-56-4</v>
          </cell>
          <cell r="C1549" t="str">
            <v>에틸렌이민</v>
          </cell>
          <cell r="E1549" t="str">
            <v>및 이를 25% 이상 함유한 혼합물질</v>
          </cell>
          <cell r="F1549">
            <v>25</v>
          </cell>
          <cell r="G1549" t="str">
            <v>- 모든 안전 예방조치 문구를 읽고 이해하기 전에는 취급금지할 것
- 폭발 방지용 전기·환기·조명 장비를 사용할 것
- 스파크가 발생하지 않는 도구만을 사용할 것
- 정전기 방지 조치할 것
- 분진·흄·가스·미스트·증기·스프레이의 흡입 주의할 것
- 눈, 피부, 의복에 묻지 않도록 할 것
- 취급 후에는 취급 부위를 철저히 세척할 것
- 제품을 사용할 때에는 먹거나, 마시거나 흡연금지할 것
- 옥외 또는 환기가 잘 되는 곳에서만 취급할 것
- 작업장 밖으로 오염된 의복을 반출 금지할 것
- 압력을 가하거나, 자르거나, 용접, 납땜, 접합, 뚫기, 연마 또는 열에 노출, 화염, 불꽃, 정전기 또는 다른 점화원에 노출 금지할 것
- 용기가 비워진 후에도 제품 찌꺼기가 남아 있을 수 있으므로 모든 MSDS/라벨 예방조치 준수할 것
- 취급/저장에 주의하여 사용할 것
- 개봉 전에 조심스럽게 마개 개방할 것
- 장기간 또는 지속적인 피부접촉 금지할 것
- 물질 취급시 모든 장비를 반드시 접지할 것
- 저지대 밀폐공간에서 작업시 산소결핍의 우려가 있으므로 작업중, 공기중 산소농도 측정 및 환기할 것
- 열·스파크·화염·고열로부터 격리, 금연할 것
- 용기는 환기가 잘 되는 곳에 단단히 밀폐하여 저장할 것
- 환기가 잘 되는 곳에 보관하고 저온으로 유지할 것
- 빈 드럼통은 완전히 배수하고 적절히 막아 즉시 드럼 조절기에 되돌려 놓거나 적절히 배치할 것</v>
          </cell>
        </row>
        <row r="1550">
          <cell r="B1550" t="str">
            <v>630-08-0</v>
          </cell>
          <cell r="C1550" t="str">
            <v>일산화 탄소</v>
          </cell>
          <cell r="E1550" t="str">
            <v>및 이를 25% 이상 함유한 혼합물질</v>
          </cell>
          <cell r="F1550">
            <v>25</v>
          </cell>
          <cell r="G1550" t="str">
            <v>- 모든 안전 예방조치 문구를 읽고 이해하기 전에는 취급 금지할 것
- 분진·흄·가스·미스트·증기·스프레이의 흡입 주의할 것
- 취급 후에는 취급 부위를 철저히 세척할 것
- 제품을 사용할 때에는 먹거나, 마시거나 흡연금지할 것
- 옥외 또는 환기가 잘 되는 곳에서만 취급할 것
- 압력을 가하거나, 자르거나, 용접, 납땜, 접합, 뚫기, 연마 또는 열에 노출,  화염,  불꽃,  정전기 또는 다른 점화원에 노출금지할 것
- 용기가 비워진 후에도 제품 찌꺼기가 남아 있을 수 있으므로 모든 MSDS/라벨 예방조치 준수할 것
- 취급/저장에 주의하여 사용할 것
- 개봉 전에 조심스럽게 마개 개방할 것
- 물질 취급시 모든 장비를 반드시 접지할 것
- 열·스파크·화염·고열로부터 격리, 금연할 것
- 용기는 환기가 잘 되는 곳에 단단히 밀폐하여 저장할 것
- 직사광선을 피하고 환기가 잘 되는 곳에 보관할 것
- 빈 드럼통은 완전히 배수하고 적절히 막아 즉시 드럼 조절기에 되돌려 놓거나 적절히 배치할 것
- 용기는 열에 노출되었을 경우 압력이 올라갈 수 있으므로 열에 노출되지 않도록 할 것</v>
          </cell>
        </row>
        <row r="1551">
          <cell r="B1551" t="str">
            <v>100-44-7</v>
          </cell>
          <cell r="C1551" t="str">
            <v>염화 벤질</v>
          </cell>
          <cell r="E1551" t="str">
            <v>및 이를 25% 이상 함유한 혼합물질</v>
          </cell>
          <cell r="F1551">
            <v>25</v>
          </cell>
          <cell r="G1551" t="str">
            <v xml:space="preserve">- 모든 안전 예방조치 문구를 읽고 이해하기 전에는 취급금지할 것
- 분진·흄·가스·미스트·증기·스프레이의 흡입 주의할 것
- 취급 후에는 취급 부위를 철저히 세척할 것
- 제품을 사용할 때에는 먹거나, 마시거나 흡연금지할 것
- 옥외 또는 환기가 잘 되는 곳에서만 취급할 것
- 작업장 밖으로 오염된 의복을 반출금지할 것
- 용기가 비워진 후에도 제품 찌꺼기가 남아 있을 수 있으므로 모든 MSDS/라벨 예방조치 준수할 것
- 취급/저장에 주의하여 사용할 것
- 개봉 전에 조심스럽게 마개 개방할 것
- 장기간 또는 지속적인 피부접촉 금지할 것
- 물질 취급시 모든 장비를 반드시 접지할 것
- 저지대 밀폐공간에서 작업시 산소결핍의 우려가 있으므로 작업중, 공기중 산소농도 측정 및 환기할 것
- 원래의 용기에만 보관할 것
- 용기는 환기가 잘 되는 곳에 단단히 밀폐하여 저장할 것
- 금속부식성 물질이므로 (제조자 또는 행정관청에서 정한) 내부식성 용기에 보관할 것
- 빈 드럼통은 완전히 배수하고 적절히 막아 즉시 드럼 조절기에 되돌려 놓거나 적절히 배치할 것
</v>
          </cell>
        </row>
        <row r="1552">
          <cell r="B1552" t="str">
            <v>7775-09-9</v>
          </cell>
          <cell r="C1552" t="str">
            <v>염소산 나트륨</v>
          </cell>
          <cell r="E1552" t="str">
            <v>및 이를 98% 이상 함유한 혼합물질</v>
          </cell>
          <cell r="F1552">
            <v>98</v>
          </cell>
          <cell r="G1552" t="str">
            <v>- 가연성 물질과 혼합되지 않도록 조치할 것
- 분진·흄·가스·미스트·증기·스프레이의 흡입 주의할 것
- 취급 후에는 취급 부위를 철저히 세척할 것
- 제품을 사용할 때에는 먹거나, 마시거나 흡연금지할 것
- 작업장 밖으로 오염된 의복을 반출금지할 것
- 압력을 가하거나, 자르거나, 용접, 납땜, 접합, 뚫기, 연마 또는 열에 노출, 화염, 불꽃, 정전기 또는 다른 점화원에 노출금지할 것
- 용기가 비워진 후에도 제품 찌꺼기가 남아 있을 수 있으므로 모든 MSDS/라벨 예방조치 준수할 것
- 취급/저장에 주의하여 사용할 것
- 개봉 전에 조심스럽게 마개 개방할 것
- 장기간 또는 지속적인 피부접촉 금지할 것
- 적절한 환기가 없으면 저장지역에 출입금지할 것
- 공학적 관리 및 개인보호구를 참조하여 작업할 것
- 열·스파크·화염·고열로부터 격리, 금연할 것
- 의복, 가연성 물질로부터 격리·보관할 것
- 잠금장치가 있는 저장장소에 저장할 것
- 빈 드럼통은 완전히 배수하고 적절히 막아 즉시 드럼 조절기에 되돌려 놓거나 적절히 배치할 것</v>
          </cell>
        </row>
        <row r="1553">
          <cell r="B1553" t="str">
            <v>7782-50-5</v>
          </cell>
          <cell r="C1553" t="str">
            <v>염소</v>
          </cell>
          <cell r="E1553" t="str">
            <v>및 이를 25% 이상 함유한 혼합물질</v>
          </cell>
          <cell r="F1553">
            <v>25</v>
          </cell>
          <cell r="G1553" t="str">
            <v>- 감압 밸브에 그리스와 오일이 묻지 않도록 주의할 것
- 취급 후에는 취급 부위를 철저히 세척할 것
- 제품을 사용할 때에는 먹거나, 마시거나 흡연금지할 것
- 옥외 또는 환기가 잘 되는 곳에서만 취급할 것
- 압력을 가하거나, 자르거나, 용접, 납땜, 접합, 뚫기, 연마 또는 열에 노출, 화염, 불꽃, 정전기 또는 다른 점화원에 노출 금지할 것
- 용기가 비워진 후에도 제품 찌꺼기가 남아 있을 수 있으므로 모든 MSDS/라벨 예방조치 준수할 것
- 취급/저장에 주의하여 사용할 것
- 개봉 전에 조심스럽게 마개 개방할 것
- 장기간 또는 지속적인 피부접촉 금지할 것
- 공학적 관리 및 개인보호구를 참조하여 작업할 것
- 의복, 가연성 물질로부터 격리·보관할 것
- 용기는 환기가 잘 되는 곳에 단단히 밀폐하여 저장할 것
- 직사광선을 피하고 환기가 잘 되는 곳에 보관할 것
- 빈 드럼통은 완전히 배수하고 적절히 막아 즉시 드럼 조절기에 되돌려 놓거나 적절히 배치할 것
- 용기는 열에 노출되었을 경우 압력이 올라갈 수 있으므로 열에 노출되지 않도록 주의할 것</v>
          </cell>
        </row>
        <row r="1554">
          <cell r="B1554" t="str">
            <v>7783-06-4</v>
          </cell>
          <cell r="C1554" t="str">
            <v>황화 수소</v>
          </cell>
          <cell r="E1554" t="str">
            <v>및 이를 25% 이상 함유한 혼합물질</v>
          </cell>
          <cell r="F1554">
            <v>25</v>
          </cell>
          <cell r="G1554" t="str">
            <v>- 취급 후에는 취급 부위를 철저히 세척할 것
- 제품을 사용할 때에는 먹거나, 마시거나 흡연금지할 것
- 옥외 또는 환기가 잘 되는 곳에서만 취급할 것
- 압력을 가하거나, 자르거나, 용접, 납땜, 접합, 뚫기, 연마 또는 열에 노출,  화염,  불꽃,  정전기 또는 다른 점화원에 노출금지할 것
- 용기가 비워진 후에도 제품 찌꺼기가 남아 있을 수 있으므로 모든 MSDS/라벨 예방조치 준수할 것
- 취급/저장에 주의하여 사용할 것
- 개봉 전에 조심스럽게 마개 개방할 것
- 물질 취급시 모든 장비를 반드시 접지할 것
- 공학적 관리 및 개인보호구를 참조하여 작업할 것
- 열·스파크·화염·고열로부터 격리, 금연할 것
- 용기는 환기가 잘 되는 곳에 단단히 밀폐하여 저장할 것
- 직사광선을 피하고 환기가 잘 되는 곳에 보관할 것
- 빈 드럼통은 완전히 배수하고 적절히 막아 즉시 드럼 조절기에 되돌려 놓거나 적절히 배치할 것
- 용기는 열에 노출되었을 경우 압력이 올라갈 수 있으므로 열에 노출되지 않도록 주의할 것</v>
          </cell>
        </row>
        <row r="1555">
          <cell r="B1555" t="str">
            <v>107-15-3</v>
          </cell>
          <cell r="C1555" t="str">
            <v>에틸렌디아민</v>
          </cell>
          <cell r="E1555" t="str">
            <v>및 이를 25% 이상 함유한 혼합물질</v>
          </cell>
          <cell r="F1555">
            <v>25</v>
          </cell>
          <cell r="G1555" t="str">
            <v>- 압력을 가하거나, 자르거나, 용접, 납땜, 접합, 뚫기, 연마 또는 열에 노출,  화염,  불꽃,  정전기 또는 다른 점화원에 노출금지할 것
- 환기가 잘 되는 지역에서만 사용할 것
- 용기가 비워진 후에도 제품 찌꺼기가 남아 있을 수 있으므로 모든 MSDS/라벨 예방조치 준수할 것
- 취급/저장에 주의하여 사용할 것
- 개봉 전에 조심스럽게 마개 개방할 것
- 장기간 또는 지속적인 피부접촉 금지할 것
- 적절한 환기가 없으면 저장지역에 출입금지할 것
- 물질 취급시 모든 장비를 반드시 접지할 것
- 공학적 관리 및 개인보호구를 참조하여 작업할 것
- 저지대 밀폐공간에서 작업시 산소결핍의 우려가 있으므로 작업중, 공기중 산소농도 측정 및 환기할 것
- 폭발 방지용 전기·환기·조명 장비를 사용할 것
- 스파크가 발생하지 않는 도구만을 사용할 것
- 정전기 방지 조치할 것
- 분진·흄·가스·미스트·증기·스프레이의 흡입 주의할 것
- 취급 후에는 취급 부위를 철저히 세척할 것
- 제품을 사용할 때에는 먹거나, 마시거나 흡연금지할 것
- 작업장 밖으로 오염된 의복을 반출금지할 것
- 빈 드럼통은 완전히 배수하고 적절히 막아 즉시 드럼 조절기에 되돌려 놓거나 적절히 배치할 것
- 열·스파크·화염·고열로부터 격리, 금연할 것
- 용기를 단단히 밀폐할 것
- 환기가 잘 되는 곳에 보관하고 저온으로 유지할 것
- 잠금장치가 있는 저장장소에 저장할 것</v>
          </cell>
        </row>
        <row r="1556">
          <cell r="B1556" t="str">
            <v>7782-41-4</v>
          </cell>
          <cell r="C1556" t="str">
            <v>플루오린</v>
          </cell>
          <cell r="E1556" t="str">
            <v>및 이를 25% 이상 함유한 혼합물질</v>
          </cell>
          <cell r="F1556">
            <v>25</v>
          </cell>
          <cell r="G1556" t="str">
            <v>- 모든 안전 예방조치 문구를 읽고 이해하기 전에는 취급금지할 것
- 감압 밸브에 그리스와 오일이 묻지 않도록 주의할 것
- 취급 후에는 취급 부위를 철저히 세척할 것
- 제품을 사용할 때에는 먹거나, 마시거나 흡연금지할 것
- 옥외 또는 환기가 잘 되는 곳에서만 취급할 것
- 압력을 가하거나, 자르거나, 용접, 납땜, 접합, 뚫기, 연마 또는 열에 노출,  화염,  불꽃,  정전기 또는 다른 점화원에 노출금지할 것
- 용기가 비워진 후에도 제품 찌꺼기가 남아 있을 수 있으므로 모든 MSDS/라벨 예방조치 준수할 것
- 취급/저장에 주의하여 사용할 것
- 개봉 전에 조심스럽게 마개 개방
- 의복, 가연성 물질로부터 격리·보관할 것
- 용기는 환기가 잘 되는 곳에 단단히 밀폐하여 저장할 것
- 직사광선을 피하고 환기가 잘 되는 곳에 보관할 것
- 빈 드럼통은 완전히 배수하고 적절히 막아 즉시 드럼 조절기에 되돌려 놓거나 적절히 배치할 것
- 용기는 열에 노출되었을 경우 압력이 올라갈 수 있으므로 열에 노출되지 않도록 주의할 것</v>
          </cell>
        </row>
        <row r="1557">
          <cell r="B1557" t="str">
            <v>7784-42-1</v>
          </cell>
          <cell r="C1557" t="str">
            <v>아르신</v>
          </cell>
          <cell r="E1557" t="str">
            <v>또는 그 화합물과 비소화합물을 0.1% 이상 함유한 혼합물질</v>
          </cell>
          <cell r="F1557">
            <v>0.1</v>
          </cell>
          <cell r="G1557" t="str">
            <v>- 취급 후에는 취급 부위를 철저히 세척할 것
- 제품을 사용할 때에는 먹거나, 마시거나 흡연금지할 것
- 옥외 또는 환기가 잘 되는 곳에서만 취급할 것
- 압력을 가하거나, 자르거나, 용접, 납땜, 접합, 뚫기, 연마 또는 열에 노출, 화염, 불꽃, 정전기 또는 다른 점화원에 노출 금지할 것
- 용기가 비워진 후에도 제품 찌꺼기가 남아 있을 수 있으므로 모든 MSDS/라벨 예방조치 준수할 것
- 취급/저장에 주의하여 사용할 것
- 개봉 전에 조심스럽게 마개 개방할 것
- 물질 취급시 모든 장비를 반드시 접지할 것
- 공학적 관리 및 개인보호구를 참조하여 작업할 것
- 열·스파크·화염·고열로부터 격리, 금연할 것
- 용기는 환기가 잘 되는 곳에 단단히 밀폐하여 저장할 것
- 직사광선을 피하고 환기가 잘 되는 곳에 보관할 것
- 빈 드럼통은 완전히 배수하고 적절히 막아 즉시 드럼 조절기에 되돌려 놓거나 적절히 배치할 것
- 용기는 열에 노출되었을 경우 압력이 올라갈 수 있으므로 열에 노출되지 않도록 주의할 것</v>
          </cell>
        </row>
        <row r="1558">
          <cell r="B1558" t="str">
            <v>10102-43-9</v>
          </cell>
          <cell r="C1558" t="str">
            <v>산화질소</v>
          </cell>
          <cell r="E1558" t="str">
            <v>및 이를 1% 이상 함유한 혼합물질</v>
          </cell>
          <cell r="F1558">
            <v>1</v>
          </cell>
          <cell r="G1558" t="str">
            <v>- 감압 밸브에 그리스와 오일이 묻지 않도록 주의할 것
- 분진·흄·가스·미스트·증기·스프레이의 흡입 주의할 것
- 취급 후에는 취급 부위를 철저히 세척할 것
- 옥외 또는 환기가 잘 되는 곳에서만 취급할 것
- 압력을 가하거나, 자르거나, 용접, 납땜, 접합, 뚫기, 연마 또는 열에 노출,  화염,  불꽃,  정전기 또는 다른 점화원에 노출금지할 것
- 용기가 비워진 후에도 제품 찌꺼기가 남아 있을 수 있으므로 모든 MSDS/라벨 예방조치 준수할 것
- 취급/저장에 주의하여 사용할 것
- 개봉 전에 조심스럽게 마개 개방할 것
- 공학적 관리 및 개인보호구를 참조하여 작업할 것
- 의복, 가연성 물질로부터 격리·보관할 것
- 용기는 환기가 잘 되는 곳에 단단히 밀폐하여 저장할 것
- 직사광선을 피하고 환기가 잘 되는 곳에 보관할 것
- 빈 드럼통은 완전히 배수하고 적절히 막아 즉시 드럼 조절기에 되돌려 놓거나 적절히 배치할 것
- 용기는 열에 노출되었을 경우 압력이 올라갈 수 있으므로 열에 노출되지 않도록 주의할 것</v>
          </cell>
        </row>
        <row r="1559">
          <cell r="B1559" t="str">
            <v>6484-52-2</v>
          </cell>
          <cell r="C1559" t="str">
            <v>질산암모늄</v>
          </cell>
          <cell r="E1559" t="str">
            <v>및 이를 33% 이상 함유한 혼합물질</v>
          </cell>
          <cell r="F1559">
            <v>33</v>
          </cell>
          <cell r="G1559" t="str">
            <v>- 가연성 물질과 혼합되지 않도록 조치할 것
- 분진·흄·가스·미스트·증기·스프레이의 흡입 주의할 것
- 취급 후에는 취급 부위를 철저히 세척할 것
- 제품을 사용할 때에는 먹거나, 마시거나 흡연금지할 것
- 옥외 또는 환기가 잘 되는 곳에서만 취급할 것
- 압력을 가하거나, 자르거나, 용접, 납땜, 접합, 뚫기, 연마 또는 열에 노출, 화염, 불꽃, 정전기 또는 다른 점화원에 노출 금지할 것
- 용기가 비워진 후에도 제품 찌꺼기가 남아 있을 수 있으므로 모든 MSDS/라벨 예방조치 준수할 것
- 취급/저장에 주의하여 사용할 것
- 개봉 전에 조심스럽게 마개 개방할 것
- 장기간 또는 지속적인 피부접촉 금지할 것
- 공학적 관리 및 개인보호구를 참조하여 작업할 것
- 열·스파크·화염·고열로부터 격리, 금연할 것
- 의복, 가연성 물질로부터 격리·보관할 것
- 용기는 환기가 잘 되는 곳에 단단히 밀폐하여 저장할 것
- 빈 드럼통은 완전히 배수하고 적절히 막아 즉시 드럼 조절기에 되돌려 놓거나 적절히 배치할 것</v>
          </cell>
        </row>
        <row r="1560">
          <cell r="B1560" t="str">
            <v>7757-79-1</v>
          </cell>
          <cell r="C1560" t="str">
            <v>질산칼륨</v>
          </cell>
          <cell r="E1560" t="str">
            <v>및 이를 98% 이상 함유한 혼합물질</v>
          </cell>
          <cell r="F1560">
            <v>98</v>
          </cell>
          <cell r="G1560" t="str">
            <v>- 모든 안전 예방조치 문구를 읽고 이해하기 전에는 취급금지할 것
- 가연성 물질과 혼합되지 않도록 조치할 것
- 분진·흄·가스·미스트·증기·스프레이의 흡입 주의할 것
- 취급 후에는 취급 부위를 철저히 세척할 것
- 옥외 또는 환기가 잘 되는 곳에서만 취급할 것
- 압력을 가하거나, 자르거나, 용접, 납땜, 접합, 뚫기, 연마 또는 열에 노출, 화염, 불꽃, 정전기 또는 다른 점화원에 노출금지할 것
- 용기가 비워진 후에도 제품 찌꺼기가 남아 있을 수 있으므로 모든 MSDS/라벨 예방조치 준수할 것
- 취급/저장에 주의하여 사용할 것
- 개봉 전에 조심스럽게 마개 개방할 것
- 장기간 또는 지속적인 피부접촉 금지할 것
- 열·스파크·화염·고열로부터 격리, 금연할 것
- 의복, 가연성 물질로부터 격리·보관할 것
- 용기는 환기가 잘 되는 곳에 단단히 밀폐하여 저장할 것
- 빈 드럼통은 완전히 배수하고 적절히 막아 즉시 드럼 조절기에 되돌려 놓거나 적절히 배치할 것</v>
          </cell>
        </row>
        <row r="1561">
          <cell r="B1561" t="str">
            <v>64-18-6</v>
          </cell>
          <cell r="C1561" t="str">
            <v>포름산</v>
          </cell>
          <cell r="E1561" t="str">
            <v>및 이를 25% 이상 함유한 혼합물질</v>
          </cell>
          <cell r="F1561">
            <v>25</v>
          </cell>
          <cell r="G1561" t="str">
            <v>- 모든 안전 예방조치 문구를 읽고 이해하기 전에는 취급금지할 것
- 분진·흄·가스·미스트·증기·스프레이의 흡입 주의할 것
- 취급 후에는 취급 부위를 철저히 세척할 것
- 제품을 사용할 때에는 먹거나, 마시거나 흡연금지할 것
- 옥외 또는 환기가 잘 되는 곳에서만 취급할 것
- 용기가 비워진 후에도 제품 찌꺼기가 남아 있을 수 있으므로 모든 MSDS/라벨 예방조치 준수할 것
- 취급/저장에 주의하여 사용할 것
- 개봉 전에 조심스럽게 마개 개방할 것
- 장기간 또는 지속적인 피부접촉 금지할 것
- 잠금장치가 있는 저장장소에 저장할 것
- 빈 드럼통은 완전히 배수하고 적절히 막아 즉시 드럼 조절기에 되돌려 놓거나 적절히 배치할 것</v>
          </cell>
        </row>
        <row r="1562">
          <cell r="B1562" t="str">
            <v>74-89-5</v>
          </cell>
          <cell r="C1562" t="str">
            <v>메틸아민</v>
          </cell>
          <cell r="E1562" t="str">
            <v>및 이를 25% 이상 함유한 혼합물질</v>
          </cell>
          <cell r="F1562">
            <v>25</v>
          </cell>
          <cell r="G1562" t="str">
            <v>- 모든 안전 예방조치 문구를 읽고 이해하기 전에는 취급금지할 것
- 분진·흄·가스·미스트·증기·스프레이의 흡입 주의할 것
- 취급 후에는 취급 부위를 철저히 세척할 것
- 제품을 사용할 때에는 먹거나, 마시거나 흡연금지할 것
- 옥외 또는 환기가 잘 되는 곳에서만 취급할 것
- 압력을 가하거나, 자르거나, 용접, 납땜, 접합, 뚫기, 연마 또는 열에 노출,  화염,  불꽃,  정전기 또는 다른 점화원에 노출금지할 것
- 용기가 비워진 후에도 제품 찌꺼기가 남아 있을 수 있으므로 모든 MSDS/라벨 예방조치 준수할 것
- 취급/저장에 주의하여 사용할 것
- 개봉 전에 조심스럽게 마개 개방할 것
- 장기간 또는 지속적인 피부접촉 금지할 것
- 물질 취급시 모든 장비를 반드시 접지할 것
- 열·스파크·화염·고열로부터 격리, 금연할 것
- 용기는 환기가 잘 되는 곳에 단단히 밀폐하여 저장할 것
- 직사광선을 피하고 환기가 잘 되는 곳에 보관할 것
- 빈 드럼통은 완전히 배수하고 적절히 막아 즉시 드럼 조절기에 되돌려 놓거나 적절히 배치할 것
- 용기는 열에 노출되었을 경우 압력이 올라갈 수 있으므로 열에 노출되지 않도록 주의할 것</v>
          </cell>
        </row>
        <row r="1563">
          <cell r="B1563" t="str">
            <v>75-50-3</v>
          </cell>
          <cell r="C1563" t="str">
            <v>트리메틸아민</v>
          </cell>
          <cell r="E1563" t="str">
            <v>및 이를 25% 이상 함유한 혼합물질</v>
          </cell>
          <cell r="F1563">
            <v>25</v>
          </cell>
          <cell r="G1563" t="str">
            <v>- 분진·흄·가스·미스트·증기·스프레이의 흡입 주의할 것
- 취급 후에는 취급 부위를 철저히 세척할 것
- 제품을 사용할 때에는 먹거나, 마시거나 흡연금지할 것
- 옥외 또는 환기가 잘 되는 곳에서만 취급할 것
- 압력을 가하거나, 자르거나, 용접, 납땜, 접합, 뚫기, 연마 또는 열에 노출, 화염, 불꽃, 정전기 또는 다른 점화원에 노출 금지할 것
- 용기가 비워진 후에도 제품 찌꺼기가 남아 있을 수 있으므로 모든 MSDS/라벨 예방조치 준수할 것
- 취급/저장에 주의하여 사용할 것
- 개봉 전에 조심스럽게 마개 개방
- 장기간 또는 지속적인 피부접촉 금지할 것
- 물질 취급 시 모든 장비를 반드시 접지할 것
- 공학적 관리 및 개인보호구를 참조하여 작업할 것
- 열·스파크·화염·고열로부터 격리, 금연할 것
- 용기는 환기가 잘 되는 곳에 단단히 밀폐하여 저장할 것
- 직사광선을 피하고 환기가 잘 되는 곳에 보관할 것
- 빈 드럼통은 완전히 배수하고 적절히 막아 즉시 드럼 조절기에 되돌려 놓거나 적절히 배치할 것
- 용기는 열에 노출되었을 경우 압력이 올라갈 수 있으므로 열에 노출되지 않도록 주의할 것</v>
          </cell>
        </row>
        <row r="1564">
          <cell r="B1564" t="str">
            <v>7784-40-9</v>
          </cell>
          <cell r="C1564" t="str">
            <v>비산 납</v>
          </cell>
          <cell r="D1564" t="str">
            <v>06-4-10</v>
          </cell>
          <cell r="E1564" t="str">
            <v>및 이를 0.1%이상 함유한 혼합물질</v>
          </cell>
          <cell r="F1564">
            <v>0.1</v>
          </cell>
          <cell r="G1564" t="str">
            <v>- 용기가 비워진 후에도 제품 찌꺼기가 남아 있을 수 있으므로 모든 MSDS/라벨 예방조치 준수할 것
- 취급/저장에 주의하여 사용할 것- 개봉 전에 조심스럽게 마개 개방할 것
- 적절한 환기가 없으면 저장지역에 출입금지할 것
- 모든 안전 예방조치 문구를 읽고 이해하기 전에는 취급금지할 것
- 빈 드럼통은 완전히 배수하고 적절히 막아 즉시 드럼 조절기에 되돌려 놓거나 적절히 배치할 것
- 잠금장치가 있는 저장장소에 저장할 것</v>
          </cell>
        </row>
        <row r="1565">
          <cell r="B1565" t="str">
            <v>62-38-4</v>
          </cell>
          <cell r="C1565" t="str">
            <v>아세트산 페닐수은</v>
          </cell>
          <cell r="D1565" t="str">
            <v>06-4-16</v>
          </cell>
          <cell r="E1565" t="str">
            <v>및 이를 1%이상 함유한 혼합물질</v>
          </cell>
          <cell r="F1565">
            <v>1</v>
          </cell>
          <cell r="G1565" t="str">
            <v>- 용기가 비워진 후에도 제품 찌꺼기가 남아 있을 수 있으므로 모든 MSDS/라벨 예방조치 준수할 것
- 공학적 관리 및 개인보호구를 참조하여 작업할 것
- (분진·흄·가스·미스트·증기·스프레이)를(을) 흡입하지 말 것
- 빈 드럼통은 완전히 배수하고 적절히 막아 즉시 드럼 조절기에 되돌려 놓거나 적절히 배치할 것</v>
          </cell>
        </row>
        <row r="1566">
          <cell r="B1566" t="str">
            <v>32536-52-0</v>
          </cell>
          <cell r="C1566" t="str">
            <v>옥타브로모디페닐 옥사이드</v>
          </cell>
          <cell r="D1566" t="str">
            <v>06-4-21</v>
          </cell>
          <cell r="E1566" t="str">
            <v>및 이를 0.1%이상 함유한 혼합물질</v>
          </cell>
          <cell r="F1566">
            <v>0.1</v>
          </cell>
          <cell r="G1566" t="str">
            <v>- 용기가 비워진 후에도 제품 찌꺼기가 남아 있을 수 있으므로 모든 MSDS/라벨 예방조치 준수할 것
- 취급/저장에 주의하여 사용할 것
- 개봉 전에 조심스럽게 마개 개방할 것
- 적절한 환기가 없으면 저장지역에 출입금지할 것
- 모든 안전 예방조치 문구를 읽고 이해하기 전에는 취급 금지할 것
- 빈 드럼통은 완전히 배수하고 적절히 막아 즉시 드럼 조절기에 되돌려 놓거나 적절히 배치할 것
- 잠금장치가 있는 저장장소에 저장할 것</v>
          </cell>
        </row>
        <row r="1567">
          <cell r="B1567" t="str">
            <v>12001-28-4</v>
          </cell>
          <cell r="C1567" t="str">
            <v>청석면</v>
          </cell>
          <cell r="D1567" t="str">
            <v>06-4-27</v>
          </cell>
          <cell r="E1567" t="str">
            <v>및 이를 1%이상 함유한 혼합물질</v>
          </cell>
          <cell r="F1567">
            <v>1</v>
          </cell>
          <cell r="G1567" t="str">
            <v>- 모든 안전 예방조치 문구를 읽고 이해하기 전에는 취급금지할 것
- 취급 후에는 취급 부위를 철저히 세척할 것
- 용기가 비워진 후에도 제품 찌꺼기가 남아 있을 수 있으므로 모든 MSDS/라벨 예방조치 준수할 것
- 취급/저장에 주의하여 사용할 것
- 개봉 전에 조심스럽게 마개 개방할 것
- 적절한 환기가 없으면 저장지역에 출입금지할 것
- 고온에 주의할 것
- 잠금장치가 있는 저장장소에 저장할 것
- 빈 드럼통은 완전히 배수하고 적절히 막아 즉시 드럼 조절기에 되돌려 놓거나 적절히 배치할 것</v>
          </cell>
        </row>
        <row r="1568">
          <cell r="B1568" t="str">
            <v>12172-73-5</v>
          </cell>
          <cell r="C1568" t="str">
            <v>갈석면</v>
          </cell>
          <cell r="D1568" t="str">
            <v>06-4-27</v>
          </cell>
          <cell r="E1568" t="str">
            <v>및 이를 1%이상 함유한 혼합물질</v>
          </cell>
          <cell r="F1568">
            <v>1</v>
          </cell>
          <cell r="G1568" t="str">
            <v>- 모든 안전 예방조치 문구를 읽고 이해하기 전에는 취급금지할 것
- 취급 후에는 취급 부위를 철저히 세척할 것
- 용기가 비워진 후에도 제품 찌꺼기가 남아 있을 수 있으므로 모든 MSDS/라벨 예방조치 준수할 것
- 취급/저장에 주의하여 사용할 것
- 개봉 전에 조심스럽게 마개 개방할 것
- 적절한 환기가 없으면 저장지역에 출입금지할 것
- 고온에 주의할 것
- 잠금장치가 있는 저장장소에 저장할 것
- 빈 드럼통은 완전히 배수하고 적절히 막아 즉시 드럼 조절기에 되돌려 놓거나 적절히 배치할 것</v>
          </cell>
        </row>
        <row r="1569">
          <cell r="B1569" t="str">
            <v>77536-66-4</v>
          </cell>
          <cell r="C1569" t="str">
            <v>악티놀라이트석면</v>
          </cell>
          <cell r="D1569" t="str">
            <v>06-4-27</v>
          </cell>
          <cell r="E1569" t="str">
            <v>및 이를 1%이상 함유한 혼합물질</v>
          </cell>
          <cell r="F1569">
            <v>1</v>
          </cell>
          <cell r="G1569" t="str">
            <v>- 모든 안전 예방조치 문구를 읽고 이해하기 전에는 취급금지할 것
- 취급 후에는 취급 부위를 철저히 세척할 것
- 용기가 비워진 후에도 제품 찌꺼기가 남아 있을 수 있으므로 모든 MSDS/라벨 예방조치 준수할 것
- 취급/저장에 주의하여 사용할 것
- 개봉 전에 조심스럽게 마개 개방할 것
- 적절한 환기가 없으면 저장지역에 출입금지할 것
- 고온에 주의할 것
- 잠금장치가 있는 저장장소에 저장할 것
- 빈 드럼통은 완전히 배수하고 적절히 막아 즉시 드럼 조절기에 되돌려 놓거나 적절히 배치할 것</v>
          </cell>
        </row>
        <row r="1570">
          <cell r="B1570" t="str">
            <v>77536-67-5</v>
          </cell>
          <cell r="C1570" t="str">
            <v>안소필라이트석면</v>
          </cell>
          <cell r="D1570" t="str">
            <v>06-4-27</v>
          </cell>
          <cell r="E1570" t="str">
            <v>및 이를 1%이상 함유한 혼합물질</v>
          </cell>
          <cell r="F1570">
            <v>1</v>
          </cell>
          <cell r="G1570" t="str">
            <v>- 모든 안전 예방조치 문구를 읽고 이해하기 전에는 취급금지할 것
- 취급 후에는 취급 부위를 철저히 세척할 것
- 용기가 비워진 후에도 제품 찌꺼기가 남아 있을 수 있으므로 모든 MSDS/라벨 예방조치 준수할 것
- 취급/저장에 주의하여 사용할 것
- 개봉 전에 조심스럽게 마개 개방할 것
- 적절한 환기가 없으면 저장지역에 출입금지할 것
- 고온에 주의할 것
- 잠금장치가 있는 저장장소에 저장할 것
- 빈 드럼통은 완전히 배수하고 적절히 막아 즉시 드럼 조절기에 되돌려 놓거나 적절히 배치할 것</v>
          </cell>
        </row>
        <row r="1571">
          <cell r="B1571" t="str">
            <v>77536-68-6</v>
          </cell>
          <cell r="C1571" t="str">
            <v>트레몰라이트석면</v>
          </cell>
          <cell r="D1571" t="str">
            <v>06-4-27</v>
          </cell>
          <cell r="E1571" t="str">
            <v>및 이를 1%이상 함유한 혼합물질</v>
          </cell>
          <cell r="F1571">
            <v>1</v>
          </cell>
          <cell r="G1571" t="str">
            <v>- 모든 안전 예방조치 문구를 읽고 이해하기 전에는 취급금지할 것
- 취급 후에는 취급 부위를 철저히 세척할 것
- 용기가 비워진 후에도 제품 찌꺼기가 남아 있을 수 있으므로 모든 MSDS/라벨 예방조치 준수할 것
- 취급/저장에 주의하여 사용할 것
- 개봉 전에 조심스럽게 마개 개방할 것
- 적절한 환기가 없으면 저장지역에 출입금지할 것
- 고온에 주의할 것
- 잠금장치가 있는 저장장소에 저장할 것
- 빈 드럼통은 완전히 배수하고 적절히 막아 즉시 드럼 조절기에 되돌려 놓거나 적절히 배치할 것</v>
          </cell>
        </row>
        <row r="1572">
          <cell r="C1572" t="str">
            <v>페닐수은 트리에탄올 암모늄 붕산</v>
          </cell>
          <cell r="D1572" t="str">
            <v>06-4-47</v>
          </cell>
          <cell r="E1572" t="str">
            <v>및 이를 1%이상 함유한 혼합물질</v>
          </cell>
          <cell r="F1572">
            <v>1</v>
          </cell>
        </row>
        <row r="1573">
          <cell r="B1573" t="str">
            <v>32534-81-9</v>
          </cell>
          <cell r="C1573" t="str">
            <v>펜타브로모디페닐 옥사이드</v>
          </cell>
          <cell r="D1573" t="str">
            <v>06-4-48</v>
          </cell>
          <cell r="E1573" t="str">
            <v>및 이를 0.1%이상 함유한 혼합물</v>
          </cell>
          <cell r="F1573">
            <v>0.1</v>
          </cell>
          <cell r="G1573" t="str">
            <v>- (분진·흄·가스·미스트·증기·스프레이)를(을) 흡입 금지할 것
- 용기가 비워진 후에도 제품 찌꺼기가 남아 있을 수 있으므로 모든 MSDS/라벨 예방조치 준수할 것
- 공학적 관리 및 개인보호구를 참조하여 작업할 것
- 고온에 주의할 것
- 빈 드럼통은 완전히 배수하고 적절히 막아 즉시 드럼 조절기에 되돌려 놓거나 적절히 배치할 것</v>
          </cell>
        </row>
        <row r="1574">
          <cell r="B1574" t="str">
            <v>1303-28-2</v>
          </cell>
          <cell r="C1574" t="str">
            <v>오산화 비소</v>
          </cell>
          <cell r="D1574" t="str">
            <v>06-4-59</v>
          </cell>
          <cell r="E1574" t="str">
            <v>및 이를 0.1% 이상 함유한 혼합물질</v>
          </cell>
          <cell r="F1574">
            <v>0.1</v>
          </cell>
          <cell r="G1574" t="str">
            <v>- 용기가 비워진 후에도 제품 찌꺼기가 남아 있을 수 있으므로 모든 MSDS/라벨 예방조치 준수할 것
- 취급/저장에 주의하여 사용할 것
- 개봉 전에 조심스럽게 마개 개방할 것
- 가열된 물질에서 발생하는 증기를 호흡하지 말 것
- 적절한 환기가 없으면 저장지역에 출입금지할 것
- 모든 안전 예방조치 문구를 읽고 이해하기 전에는 취급 금지할 것
- 빈 드럼통은 완전히 배수하고 적절히 막아 즉시 드럼 조절기에 되돌려 놓거나 적절히 배치할 것
- 잠금장치가 있는 저장장소에 저장할 것</v>
          </cell>
        </row>
        <row r="1575">
          <cell r="B1575" t="str">
            <v>14807-96-6</v>
          </cell>
          <cell r="C1575" t="str">
            <v>석면이 1% 이상 함유된 탈크</v>
          </cell>
          <cell r="D1575" t="str">
            <v>06-4-60</v>
          </cell>
          <cell r="E1575" t="str">
            <v>석면이 1% 이상 함유된 탈크</v>
          </cell>
        </row>
        <row r="1576">
          <cell r="B1576" t="str">
            <v>10309-95-2</v>
          </cell>
          <cell r="C1576" t="str">
            <v>말라카이트 그린</v>
          </cell>
          <cell r="D1576" t="str">
            <v>06-5-1</v>
          </cell>
          <cell r="E1576" t="str">
            <v>및 그 중 하나를 0.1%이상 함유한 혼합물질</v>
          </cell>
          <cell r="F1576">
            <v>0.1</v>
          </cell>
        </row>
        <row r="1577">
          <cell r="B1577" t="str">
            <v>12001-29-5</v>
          </cell>
          <cell r="C1577" t="str">
            <v>백석면</v>
          </cell>
          <cell r="D1577" t="str">
            <v>06-5-7</v>
          </cell>
          <cell r="E1577" t="str">
            <v>및 이를 1% 이상 함유한 혼합물질</v>
          </cell>
          <cell r="F1577">
            <v>1</v>
          </cell>
          <cell r="G1577" t="str">
            <v>- 모든 안전 예방조치 문구를 읽고 이해하기 전에는 취급 금지할 것
- 취급 후에는 취급 부위를 철저히 세척할 것
- 용기가 비워진 후에도 제품 찌꺼기가 남아 있을 수 있으므로 모든 MSDS/라벨  예방조치를 따를 것
- 취급/저장에  주의하여 사용할 것
- 개봉 전에 조심스럽게 마개를 열 것
- 적절한 환기가 없으면 저장지역에 출입 금지할 것
- 고온에 주의할 것
- 잠금장치가 있는 저장장소에 저장할 것
- 빈 드럼통은 완전히 배수하고 적절히 막아 즉시 드럼 조절기에 되돌려 놓거나 적절히 배치할 것</v>
          </cell>
        </row>
        <row r="1578">
          <cell r="B1578" t="str">
            <v>7440-43-9</v>
          </cell>
          <cell r="C1578" t="str">
            <v>카드뮴</v>
          </cell>
          <cell r="D1578" t="str">
            <v>06-5-9</v>
          </cell>
          <cell r="E1578" t="str">
            <v>및 이를 0.1 % 이상 함유한 혼합물질</v>
          </cell>
          <cell r="F1578">
            <v>0.1</v>
          </cell>
          <cell r="G1578" t="str">
            <v>- 모든 안전 예방조치 문구를 읽고 이해하기 전에는 취급 금지할 것
- 취급 후에는 취급 부위를 철저히 세척할 것
- 옥외 또는 환기가 잘 되는 곳에서만 취급할 것
- 용기가 비워진 후에도 제품 찌꺼기가 남아 있을 수 있으므로 모든 MSDS/라벨  예방조치를 따를 것
- 취급/저장에  주의하여 사용할 것
- 개봉 전에 조심스럽게 마개를 열 것
- 빈 드럼통은 완전히 배수하고 적절히 막아 즉시 드럼 조절기에 되돌려 놓거나 적절히 배치할 것
- 용기는 환기가 잘 되는 곳에 단단히 밀폐하여 저장할 것</v>
          </cell>
        </row>
        <row r="1579">
          <cell r="B1579" t="str">
            <v>18540-29-9</v>
          </cell>
          <cell r="C1579" t="str">
            <v>크로뮴(6+)화합물</v>
          </cell>
          <cell r="D1579" t="str">
            <v>06-5-10</v>
          </cell>
          <cell r="E1579" t="str">
            <v>및 이를 0.1% 이상 함유한 혼합물질</v>
          </cell>
          <cell r="F1579">
            <v>0.1</v>
          </cell>
          <cell r="G1579" t="str">
            <v>- 용기가 비워진 후에도 제품 찌꺼기가 남아 있을 수 있으므로 모든 MSDS/라벨  예방조치를 따를 것
- 취급/저장에  주의하여 사용할 것
- 개봉 전에 조심스럽게 마개를 열 것
- 가열된 물질에서 발생하는 증기를 호흡하지 말 것
- 적절한 환기가 없으면 저장지역에 출입 금지할 것
- 모든 안전 예방조치 문구를 읽고 이해하기 전에는 취급 금지할 것
- 빈 드럼통은 완전히 배수하고 적절히 막아 즉시 드럼 조절기에 되돌려 놓거나 적절히 배치할 것
- 잠금장치가 있는 저장장소에 저장할 것</v>
          </cell>
        </row>
      </sheetData>
      <sheetData sheetId="37" refreshError="1"/>
      <sheetData sheetId="38" refreshError="1">
        <row r="1">
          <cell r="B1" t="str">
            <v>CAS No</v>
          </cell>
          <cell r="C1" t="str">
            <v>일반명</v>
          </cell>
          <cell r="D1" t="str">
            <v>함량기준설명</v>
          </cell>
          <cell r="E1" t="str">
            <v>함량기준수치</v>
          </cell>
        </row>
        <row r="2">
          <cell r="B2" t="str">
            <v>101007-06-1</v>
          </cell>
          <cell r="C2" t="str">
            <v>아크린아트린</v>
          </cell>
          <cell r="D2" t="str">
            <v>및 이를 25%이상 함유한 혼합물질</v>
          </cell>
          <cell r="E2">
            <v>25</v>
          </cell>
        </row>
        <row r="3">
          <cell r="B3" t="str">
            <v>10102-45-1</v>
          </cell>
          <cell r="C3" t="str">
            <v>질산 탈륨</v>
          </cell>
          <cell r="D3" t="str">
            <v>이를 1%이상 함유한 혼합물질</v>
          </cell>
          <cell r="E3">
            <v>1</v>
          </cell>
        </row>
        <row r="4">
          <cell r="B4" t="str">
            <v>10265-92-6</v>
          </cell>
          <cell r="C4" t="str">
            <v>메타아미도포스</v>
          </cell>
          <cell r="D4" t="str">
            <v>및 이를 1% 이상 함유한 혼합물질</v>
          </cell>
          <cell r="E4">
            <v>1</v>
          </cell>
        </row>
        <row r="5">
          <cell r="B5" t="str">
            <v>10311-84-9</v>
          </cell>
          <cell r="C5" t="str">
            <v>다이알리포스</v>
          </cell>
          <cell r="D5" t="str">
            <v>및 이를 1% 이상 함유한 혼합물질</v>
          </cell>
          <cell r="E5">
            <v>1</v>
          </cell>
        </row>
        <row r="6">
          <cell r="B6" t="str">
            <v>10476-82-1</v>
          </cell>
          <cell r="C6" t="str">
            <v>스트리시닌 비산염</v>
          </cell>
          <cell r="D6" t="str">
            <v>과 그 염류 및 그 중 하나를 1%이상 함유한 혼합물질</v>
          </cell>
          <cell r="E6">
            <v>1</v>
          </cell>
        </row>
        <row r="7">
          <cell r="B7" t="str">
            <v>10476-87-6</v>
          </cell>
          <cell r="C7" t="str">
            <v>스트리시닌 디메틸아르신산</v>
          </cell>
          <cell r="D7" t="str">
            <v>과 그 염류 및 그 중 하나를 1%이상 함유한 혼합물질</v>
          </cell>
          <cell r="E7">
            <v>1</v>
          </cell>
        </row>
        <row r="8">
          <cell r="B8" t="str">
            <v>106-93-4</v>
          </cell>
          <cell r="C8" t="str">
            <v>1,2-디브로모에탄</v>
          </cell>
          <cell r="D8" t="str">
            <v>이를 50%이상 함유한 혼합물질</v>
          </cell>
          <cell r="E8">
            <v>50</v>
          </cell>
        </row>
        <row r="9">
          <cell r="B9" t="str">
            <v>111-44-4</v>
          </cell>
          <cell r="C9" t="str">
            <v>비스(2-클로로에틸)에테르</v>
          </cell>
          <cell r="D9" t="str">
            <v>및 이를 0.1% 이상 함유한 혼합물질</v>
          </cell>
          <cell r="E9">
            <v>0.1</v>
          </cell>
        </row>
        <row r="10">
          <cell r="B10" t="str">
            <v>115-29-7</v>
          </cell>
          <cell r="C10" t="str">
            <v>엔도술판</v>
          </cell>
          <cell r="D10" t="str">
            <v>및 이를 1%이상 함유한 혼합물질</v>
          </cell>
          <cell r="E10">
            <v>1</v>
          </cell>
        </row>
        <row r="11">
          <cell r="B11" t="str">
            <v>116-06-3</v>
          </cell>
          <cell r="C11" t="str">
            <v>알디캅</v>
          </cell>
          <cell r="D11" t="str">
            <v>및 이를 1% 이상 함유한 혼합물질</v>
          </cell>
          <cell r="E11">
            <v>1</v>
          </cell>
        </row>
        <row r="12">
          <cell r="B12" t="str">
            <v>12001-28-4</v>
          </cell>
          <cell r="C12" t="str">
            <v>청석면</v>
          </cell>
          <cell r="D12" t="str">
            <v>및 이를 1%이상 함유한 혼합물질</v>
          </cell>
          <cell r="E12">
            <v>1</v>
          </cell>
        </row>
        <row r="13">
          <cell r="B13" t="str">
            <v>12172-67-7</v>
          </cell>
          <cell r="C13" t="str">
            <v>악티노라이트석면</v>
          </cell>
          <cell r="D13" t="str">
            <v>및 해당물질이 1%를 초과하여 함유한 제제</v>
          </cell>
          <cell r="E13">
            <v>1</v>
          </cell>
        </row>
        <row r="14">
          <cell r="B14" t="str">
            <v>12172-73-5</v>
          </cell>
          <cell r="C14" t="str">
            <v>갈석면</v>
          </cell>
          <cell r="D14" t="str">
            <v>및 이를 1%이상 함유한 혼합물질</v>
          </cell>
          <cell r="E14">
            <v>1</v>
          </cell>
        </row>
        <row r="15">
          <cell r="B15" t="str">
            <v>126-72-7</v>
          </cell>
          <cell r="C15" t="str">
            <v>트리스(2,3-디브로모프로필)포스페이트</v>
          </cell>
          <cell r="D15" t="str">
            <v>및 이를 0.1%이상 함유한 혼합물질</v>
          </cell>
          <cell r="E15">
            <v>0.1</v>
          </cell>
        </row>
        <row r="16">
          <cell r="B16" t="str">
            <v>1303-28-2</v>
          </cell>
          <cell r="C16" t="str">
            <v>오산화 비소</v>
          </cell>
          <cell r="D16" t="str">
            <v>및 이를 0.1% 이상 함유한 혼합물질</v>
          </cell>
          <cell r="E16">
            <v>0.1</v>
          </cell>
        </row>
        <row r="17">
          <cell r="B17" t="str">
            <v>131-52-2</v>
          </cell>
          <cell r="C17" t="str">
            <v>나트륨펜타클로로 페네이트</v>
          </cell>
          <cell r="D17" t="str">
            <v>과 그 염류 및 그 중 펜타클로로페놀로서 1%이상 함유한 혼합물질</v>
          </cell>
          <cell r="E17">
            <v>1</v>
          </cell>
        </row>
        <row r="18">
          <cell r="B18" t="str">
            <v>13171-21-6</v>
          </cell>
          <cell r="C18" t="str">
            <v>포스파미돈</v>
          </cell>
          <cell r="D18" t="str">
            <v>및 이를 1%이상 함유한 혼합물질</v>
          </cell>
          <cell r="E18">
            <v>1</v>
          </cell>
        </row>
        <row r="19">
          <cell r="B19" t="str">
            <v>1319-46-6</v>
          </cell>
          <cell r="C19" t="str">
            <v>백연을 함유한 페인트</v>
          </cell>
          <cell r="D19" t="str">
            <v>(함유된 용량비율이 2% 이하인 것은 제외)</v>
          </cell>
          <cell r="E19">
            <v>2</v>
          </cell>
        </row>
        <row r="20">
          <cell r="B20" t="str">
            <v>1323-31-5</v>
          </cell>
          <cell r="C20" t="str">
            <v>스트리시닌 글린세롤인산염</v>
          </cell>
          <cell r="D20" t="str">
            <v>과 그 염류 및 그 중 하나를 1%이상 함유한 혼합물질</v>
          </cell>
          <cell r="E20">
            <v>1</v>
          </cell>
        </row>
        <row r="21">
          <cell r="B21" t="str">
            <v>133-06-2</v>
          </cell>
          <cell r="C21" t="str">
            <v>켑탄</v>
          </cell>
          <cell r="D21" t="str">
            <v>및 이를 0.1%이상 함유한 혼합물질</v>
          </cell>
          <cell r="E21">
            <v>0.1</v>
          </cell>
        </row>
        <row r="22">
          <cell r="B22" t="str">
            <v>1336-36-3</v>
          </cell>
          <cell r="C22" t="str">
            <v>피시비</v>
          </cell>
          <cell r="D22" t="str">
            <v>및 이를 0.005%이상 함유한 혼합물질. 다만, 치환된 염소수가 3개미만인 경우는 제외</v>
          </cell>
          <cell r="E22">
            <v>5.0000000000000001E-3</v>
          </cell>
        </row>
        <row r="23">
          <cell r="B23" t="str">
            <v>134098-61-6</v>
          </cell>
          <cell r="C23" t="str">
            <v>펜피록시메이트</v>
          </cell>
          <cell r="D23" t="str">
            <v>및 이를 25%이상 함유한 혼합물질</v>
          </cell>
          <cell r="E23">
            <v>25</v>
          </cell>
        </row>
        <row r="24">
          <cell r="B24" t="str">
            <v>13654-09-6</v>
          </cell>
          <cell r="C24" t="str">
            <v>피비비</v>
          </cell>
          <cell r="D24" t="str">
            <v>및 이를 0.1%이상 함유한 혼합물질</v>
          </cell>
          <cell r="E24">
            <v>0.1</v>
          </cell>
        </row>
        <row r="25">
          <cell r="B25" t="str">
            <v>1421-86-9</v>
          </cell>
          <cell r="C25" t="str">
            <v>스트리시닌 수화염화물</v>
          </cell>
          <cell r="D25" t="str">
            <v>과 그 염류 및 그 중 하나를 1%이상 함유한 혼합물질</v>
          </cell>
          <cell r="E25">
            <v>1</v>
          </cell>
        </row>
        <row r="26">
          <cell r="B26" t="str">
            <v>14414-68-7</v>
          </cell>
          <cell r="C26" t="str">
            <v>벤지딘 염산염</v>
          </cell>
          <cell r="D26" t="str">
            <v>과 그 염류 및 그 중 하나를 0.1%이상 함유한 혼합물질</v>
          </cell>
          <cell r="E26">
            <v>0.1</v>
          </cell>
        </row>
        <row r="27">
          <cell r="B27" t="str">
            <v>14807-96-6</v>
          </cell>
          <cell r="C27" t="str">
            <v>탈크</v>
          </cell>
          <cell r="D27" t="str">
            <v>석면이 1% 이상 함유된 탈크</v>
          </cell>
          <cell r="E27">
            <v>1</v>
          </cell>
        </row>
        <row r="28">
          <cell r="B28" t="str">
            <v>1582-09-8</v>
          </cell>
          <cell r="C28" t="str">
            <v>트리플루라린</v>
          </cell>
          <cell r="D28" t="str">
            <v>및 이를 1%이상 함유한 혼합물질</v>
          </cell>
          <cell r="E28">
            <v>1</v>
          </cell>
        </row>
        <row r="29">
          <cell r="B29" t="str">
            <v>1836-75-5</v>
          </cell>
          <cell r="C29" t="str">
            <v>니트로펜</v>
          </cell>
          <cell r="D29" t="str">
            <v>및 이를 0.1% 이상 함유한 혼합물질</v>
          </cell>
          <cell r="E29">
            <v>0.1</v>
          </cell>
        </row>
        <row r="30">
          <cell r="B30" t="str">
            <v>1910-42-5</v>
          </cell>
          <cell r="C30" t="str">
            <v>파라쿠아트디염화 물</v>
          </cell>
          <cell r="D30" t="str">
            <v>및 이를 1%이상 함유한 혼합물질</v>
          </cell>
          <cell r="E30">
            <v>1</v>
          </cell>
        </row>
        <row r="31">
          <cell r="B31" t="str">
            <v>19750-95-9</v>
          </cell>
          <cell r="C31" t="str">
            <v>염산 클로르디메포름</v>
          </cell>
          <cell r="D31" t="str">
            <v>과 그 염류 및 그 중 클로르디메폼으로서 3%이상 함유한 혼합물질</v>
          </cell>
          <cell r="E31">
            <v>3</v>
          </cell>
        </row>
        <row r="32">
          <cell r="B32" t="str">
            <v>2074-50-2</v>
          </cell>
          <cell r="C32" t="str">
            <v>1,1`-디메틸- 4,4`-디피리디늄</v>
          </cell>
          <cell r="D32" t="str">
            <v>및 이를 1%이상 함유한 혼합물질</v>
          </cell>
          <cell r="E32">
            <v>1</v>
          </cell>
        </row>
        <row r="33">
          <cell r="B33" t="str">
            <v>20859-73-8</v>
          </cell>
          <cell r="C33" t="str">
            <v>인화 알루미늄</v>
          </cell>
          <cell r="D33" t="str">
            <v>및 그의 분해촉진제를 1%이상 함유한 혼합물질</v>
          </cell>
          <cell r="E33">
            <v>1</v>
          </cell>
        </row>
        <row r="34">
          <cell r="B34" t="str">
            <v>2113-61-3</v>
          </cell>
          <cell r="C34" t="str">
            <v>4-아미노비페닐 염산염</v>
          </cell>
          <cell r="D34" t="str">
            <v>과 그 염산염 및 그 중 하나를 0.1%이상 함유한 혼합물질</v>
          </cell>
          <cell r="E34">
            <v>0.1</v>
          </cell>
        </row>
        <row r="35">
          <cell r="B35" t="str">
            <v>21136-70-9</v>
          </cell>
          <cell r="C35" t="str">
            <v>황산 벤지딘</v>
          </cell>
          <cell r="D35" t="str">
            <v>과 그 염류 및 그 중 하나를 0.1%이상 함유한 혼합물질</v>
          </cell>
          <cell r="E35">
            <v>0.1</v>
          </cell>
        </row>
        <row r="36">
          <cell r="B36" t="str">
            <v>21609-90-5</v>
          </cell>
          <cell r="C36" t="str">
            <v>렙토포스</v>
          </cell>
          <cell r="D36" t="str">
            <v>및 이를 1% 이상 함유한 혼합물질</v>
          </cell>
          <cell r="E36">
            <v>1</v>
          </cell>
        </row>
        <row r="37">
          <cell r="B37" t="str">
            <v>2425-06-1</v>
          </cell>
          <cell r="C37" t="str">
            <v>켑타폴</v>
          </cell>
          <cell r="D37" t="str">
            <v>및 이를 0.1%이상 함유한 혼합물질</v>
          </cell>
          <cell r="E37">
            <v>0.1</v>
          </cell>
        </row>
        <row r="38">
          <cell r="B38" t="str">
            <v>2917-31-9</v>
          </cell>
          <cell r="C38" t="str">
            <v>펜타클로로페놀 구리염</v>
          </cell>
          <cell r="D38" t="str">
            <v>과 그 염류 및 그 중 펜타클로로페놀로서 1%이상 함유한 혼합물질</v>
          </cell>
          <cell r="E38">
            <v>1</v>
          </cell>
        </row>
        <row r="39">
          <cell r="B39" t="str">
            <v>2917-32-0</v>
          </cell>
          <cell r="C39" t="str">
            <v>펜타클로로페놀 아연염</v>
          </cell>
          <cell r="D39" t="str">
            <v>과 그 염류 및 그 중 펜타클로로페놀로서 1%이상 함유한 혼합물질</v>
          </cell>
          <cell r="E39">
            <v>1</v>
          </cell>
        </row>
        <row r="40">
          <cell r="B40" t="str">
            <v>297-78-9</v>
          </cell>
          <cell r="C40" t="str">
            <v>이소벤잔</v>
          </cell>
          <cell r="D40" t="str">
            <v>및 이를 1%이상 함유한 혼합물질</v>
          </cell>
          <cell r="E40">
            <v>1</v>
          </cell>
        </row>
        <row r="41">
          <cell r="B41" t="str">
            <v>298-00-0</v>
          </cell>
          <cell r="C41" t="str">
            <v>파라티온-메틸</v>
          </cell>
          <cell r="D41" t="str">
            <v>및 이를 1%이상 함유한 혼합물질</v>
          </cell>
          <cell r="E41">
            <v>1</v>
          </cell>
        </row>
        <row r="42">
          <cell r="B42" t="str">
            <v>298-04-4</v>
          </cell>
          <cell r="C42" t="str">
            <v>디술포톤</v>
          </cell>
          <cell r="D42" t="str">
            <v>및 이를 5% 이상 함유한 혼합물질</v>
          </cell>
          <cell r="E42">
            <v>5</v>
          </cell>
        </row>
        <row r="43">
          <cell r="B43" t="str">
            <v>309-00-2</v>
          </cell>
          <cell r="C43" t="str">
            <v>알드린</v>
          </cell>
          <cell r="D43" t="str">
            <v>및 이를 0.1%이상 함유한 혼합물질</v>
          </cell>
          <cell r="E43">
            <v>0.1</v>
          </cell>
        </row>
        <row r="44">
          <cell r="B44" t="str">
            <v>32534-81-9</v>
          </cell>
          <cell r="C44" t="str">
            <v>펜타브로모디페닐 옥사이드</v>
          </cell>
          <cell r="D44" t="str">
            <v>및 이를 0.1%이상 함유한 혼합물</v>
          </cell>
          <cell r="E44">
            <v>0.1</v>
          </cell>
        </row>
        <row r="45">
          <cell r="B45" t="str">
            <v>32536-52-0</v>
          </cell>
          <cell r="C45" t="str">
            <v>옥타브로모디페닐 옥사이드</v>
          </cell>
          <cell r="D45" t="str">
            <v>및 이를 0.1%이상 함유한 혼합물질</v>
          </cell>
          <cell r="E45">
            <v>0.1</v>
          </cell>
        </row>
        <row r="46">
          <cell r="B46" t="str">
            <v>3644-38-0</v>
          </cell>
          <cell r="C46" t="str">
            <v>TBT 펜타클로로 페네이트</v>
          </cell>
          <cell r="D46" t="str">
            <v>과 그 염류 및 그 중 펜타클로로페놀로서 1%이상 함유한 혼합물질</v>
          </cell>
          <cell r="E46">
            <v>1</v>
          </cell>
        </row>
        <row r="47">
          <cell r="B47" t="str">
            <v>50-29-3</v>
          </cell>
          <cell r="C47" t="str">
            <v>디디티</v>
          </cell>
          <cell r="D47" t="str">
            <v>및 이를 1% 이상 함유한 혼합물질</v>
          </cell>
          <cell r="E47">
            <v>1</v>
          </cell>
        </row>
        <row r="48">
          <cell r="B48" t="str">
            <v>509-42-2</v>
          </cell>
          <cell r="C48" t="str">
            <v>스트리시닌 인산염</v>
          </cell>
          <cell r="D48" t="str">
            <v>과 그 염류 및 그 중 하나를 1%이상 함유한 혼합물질</v>
          </cell>
          <cell r="E48">
            <v>1</v>
          </cell>
        </row>
        <row r="49">
          <cell r="B49" t="str">
            <v>510-15-6</v>
          </cell>
          <cell r="C49" t="str">
            <v>클로로벤질레이트</v>
          </cell>
          <cell r="D49" t="str">
            <v>및 이를 1%이상 함유한 혼합물질</v>
          </cell>
          <cell r="E49">
            <v>1</v>
          </cell>
        </row>
        <row r="50">
          <cell r="B50" t="str">
            <v>531-85-1</v>
          </cell>
          <cell r="C50" t="str">
            <v>벤지딘디수화염화 물</v>
          </cell>
          <cell r="D50" t="str">
            <v>과 그 염류 및 그 중 하나를 0.1%이상 함유한 혼합물질</v>
          </cell>
          <cell r="E50">
            <v>0.1</v>
          </cell>
        </row>
        <row r="51">
          <cell r="B51" t="str">
            <v>531-86-2</v>
          </cell>
          <cell r="C51" t="str">
            <v>황산 벤지딘</v>
          </cell>
          <cell r="D51" t="str">
            <v>과 그 염류 및 그 중 하나를 0.1%이상 함유한 혼합물질</v>
          </cell>
          <cell r="E51">
            <v>0.1</v>
          </cell>
        </row>
        <row r="52">
          <cell r="B52" t="str">
            <v>53558-25-1</v>
          </cell>
          <cell r="C52" t="str">
            <v>피리미닐</v>
          </cell>
          <cell r="D52" t="str">
            <v>및 이를 1%이상 함유한 혼합물질</v>
          </cell>
          <cell r="E52">
            <v>1</v>
          </cell>
        </row>
        <row r="53">
          <cell r="B53" t="str">
            <v>542-88-1</v>
          </cell>
          <cell r="C53" t="str">
            <v>비스(클로로메틸)에테르</v>
          </cell>
          <cell r="D53" t="str">
            <v>및 이를 0.1% 이상 함유한 혼합물질</v>
          </cell>
          <cell r="E53">
            <v>0.1</v>
          </cell>
        </row>
        <row r="54">
          <cell r="B54" t="str">
            <v>56-38-2</v>
          </cell>
          <cell r="C54" t="str">
            <v>파라티온</v>
          </cell>
          <cell r="D54" t="str">
            <v>및 이를 1%이상 함유한 혼합물질</v>
          </cell>
          <cell r="E54">
            <v>1</v>
          </cell>
        </row>
        <row r="55">
          <cell r="B55" t="str">
            <v>563-68-8</v>
          </cell>
          <cell r="C55" t="str">
            <v>아세트산 탈륨</v>
          </cell>
          <cell r="D55" t="str">
            <v>및 이를 1%이상 함유한 혼합물질</v>
          </cell>
          <cell r="E55">
            <v>1</v>
          </cell>
        </row>
        <row r="56">
          <cell r="B56" t="str">
            <v>57-24-9</v>
          </cell>
          <cell r="C56" t="str">
            <v>스트리시닌</v>
          </cell>
          <cell r="D56" t="str">
            <v>과 그 염류 및 그 중 하나를 1%이상 함유한 혼합물질</v>
          </cell>
          <cell r="E56">
            <v>1</v>
          </cell>
        </row>
        <row r="57">
          <cell r="B57" t="str">
            <v>57-74-9</v>
          </cell>
          <cell r="C57" t="str">
            <v>클로르단</v>
          </cell>
          <cell r="D57" t="str">
            <v>및 이를 1%이상 함유한 혼합물질</v>
          </cell>
          <cell r="E57">
            <v>1</v>
          </cell>
        </row>
        <row r="58">
          <cell r="B58" t="str">
            <v>59536-65-1</v>
          </cell>
          <cell r="C58" t="str">
            <v>피비비</v>
          </cell>
          <cell r="D58" t="str">
            <v>및 이를 0.1%이상 함유한 혼합물질</v>
          </cell>
          <cell r="E58">
            <v>0.1</v>
          </cell>
        </row>
        <row r="59">
          <cell r="B59" t="str">
            <v>60-41-3</v>
          </cell>
          <cell r="C59" t="str">
            <v>스트리시닌 황산염</v>
          </cell>
          <cell r="D59" t="str">
            <v>과 그 염류 및 그 중 하나를 1%이상 함유한 혼합물질</v>
          </cell>
          <cell r="E59">
            <v>1</v>
          </cell>
        </row>
        <row r="60">
          <cell r="B60" t="str">
            <v>60-51-5</v>
          </cell>
          <cell r="C60" t="str">
            <v>디메토에이트</v>
          </cell>
          <cell r="D60" t="str">
            <v>및 이를 1% 이상 함유한 혼합물질</v>
          </cell>
          <cell r="E60">
            <v>1</v>
          </cell>
        </row>
        <row r="61">
          <cell r="B61" t="str">
            <v>60-57-1</v>
          </cell>
          <cell r="C61" t="str">
            <v>디엘드린</v>
          </cell>
          <cell r="D61" t="str">
            <v>및 이를 1% 이상 함유한 혼합물질</v>
          </cell>
          <cell r="E61">
            <v>1</v>
          </cell>
        </row>
        <row r="62">
          <cell r="B62" t="str">
            <v>60491-10-3</v>
          </cell>
          <cell r="C62" t="str">
            <v>스트리시닌 황산염 수화물</v>
          </cell>
          <cell r="D62" t="str">
            <v>과 그 염류 및 그 중 하나를 1%이상 함유한 혼합물질</v>
          </cell>
          <cell r="E62">
            <v>1</v>
          </cell>
        </row>
        <row r="63">
          <cell r="B63" t="str">
            <v>608-73-1</v>
          </cell>
          <cell r="C63" t="str">
            <v>헥사클로로시클로헥산</v>
          </cell>
          <cell r="D63" t="str">
            <v>및 이를 1.5%이상 함유한 혼합물질</v>
          </cell>
          <cell r="E63">
            <v>1.5</v>
          </cell>
        </row>
        <row r="64">
          <cell r="B64" t="str">
            <v>612-52-2</v>
          </cell>
          <cell r="C64" t="str">
            <v>2-나프틸아민 염 화물</v>
          </cell>
          <cell r="D64" t="str">
            <v>과 그 염산염 및 그 중 하나를 0.1%이상 함유한 혼합물질</v>
          </cell>
          <cell r="E64">
            <v>0.1</v>
          </cell>
        </row>
        <row r="65">
          <cell r="B65" t="str">
            <v>6164-98-3</v>
          </cell>
          <cell r="C65" t="str">
            <v>클로르디메폼</v>
          </cell>
          <cell r="D65" t="str">
            <v>과 그 염류 및 그 중 클로르디메폼으로서 3%이상 함유한 혼합물질</v>
          </cell>
          <cell r="E65">
            <v>3</v>
          </cell>
        </row>
        <row r="66">
          <cell r="B66" t="str">
            <v>61788-33-8</v>
          </cell>
          <cell r="C66" t="str">
            <v>폴리클로리네이티드터페닐(PCT)</v>
          </cell>
          <cell r="D66" t="str">
            <v>및 해당물질이 1%를 초과하여 함유한 제제</v>
          </cell>
          <cell r="E66">
            <v>1</v>
          </cell>
        </row>
        <row r="67">
          <cell r="B67" t="str">
            <v>62-38-4</v>
          </cell>
          <cell r="C67" t="str">
            <v>아세트산 페닐수은</v>
          </cell>
          <cell r="D67" t="str">
            <v>및 이를 1%이상 함유한 혼합물질</v>
          </cell>
          <cell r="E67">
            <v>1</v>
          </cell>
        </row>
        <row r="68">
          <cell r="B68" t="str">
            <v>640-19-7</v>
          </cell>
          <cell r="C68" t="str">
            <v>플루오로아세트아미드</v>
          </cell>
          <cell r="D68" t="str">
            <v>이를 1%이상 함유한 혼합물질</v>
          </cell>
          <cell r="E68">
            <v>1</v>
          </cell>
        </row>
        <row r="69">
          <cell r="B69" t="str">
            <v>6923-22-4</v>
          </cell>
          <cell r="C69" t="str">
            <v>모노크로토포스</v>
          </cell>
          <cell r="D69" t="str">
            <v>및 이를 1% 이상 함유한 혼합물질</v>
          </cell>
          <cell r="E69">
            <v>1</v>
          </cell>
        </row>
        <row r="70">
          <cell r="B70" t="str">
            <v>72-20-8</v>
          </cell>
          <cell r="C70" t="str">
            <v>엔드린</v>
          </cell>
          <cell r="D70" t="str">
            <v>및 이를 1%이상 함유한 혼합물질</v>
          </cell>
          <cell r="E70">
            <v>1</v>
          </cell>
        </row>
        <row r="71">
          <cell r="B71" t="str">
            <v>7446-18-6</v>
          </cell>
          <cell r="C71" t="str">
            <v>황산 탈륨</v>
          </cell>
          <cell r="D71" t="str">
            <v>및 이를 1%이상 함유한 혼합물질</v>
          </cell>
          <cell r="E71">
            <v>1</v>
          </cell>
        </row>
        <row r="72">
          <cell r="B72" t="str">
            <v>76-06-2</v>
          </cell>
          <cell r="C72" t="str">
            <v>클로로피크린</v>
          </cell>
          <cell r="D72" t="str">
            <v>및 이를 1%이상 함유한 혼합물질</v>
          </cell>
          <cell r="E72">
            <v>1</v>
          </cell>
        </row>
        <row r="73">
          <cell r="B73" t="str">
            <v>76-44-8</v>
          </cell>
          <cell r="C73" t="str">
            <v>헵타클로르</v>
          </cell>
          <cell r="D73" t="str">
            <v>및 이를 6%이상 함유한 혼합물질</v>
          </cell>
          <cell r="E73">
            <v>6</v>
          </cell>
        </row>
        <row r="74">
          <cell r="B74" t="str">
            <v>77536-66-4</v>
          </cell>
          <cell r="C74" t="str">
            <v>악티놀라이트석면</v>
          </cell>
          <cell r="D74" t="str">
            <v>및 이를 1%이상 함유한 혼합물질</v>
          </cell>
          <cell r="E74">
            <v>1</v>
          </cell>
        </row>
        <row r="75">
          <cell r="B75" t="str">
            <v>77536-67-5</v>
          </cell>
          <cell r="C75" t="str">
            <v>안소필라이트석면</v>
          </cell>
          <cell r="D75" t="str">
            <v>및 이를 1%이상 함유한 혼합물질</v>
          </cell>
          <cell r="E75">
            <v>1</v>
          </cell>
        </row>
        <row r="76">
          <cell r="B76" t="str">
            <v>77536-68-6</v>
          </cell>
          <cell r="C76" t="str">
            <v>트레몰라이트석면</v>
          </cell>
          <cell r="D76" t="str">
            <v>및 이를 1%이상 함유한 혼합물질</v>
          </cell>
          <cell r="E76">
            <v>1</v>
          </cell>
        </row>
        <row r="77">
          <cell r="B77" t="str">
            <v>7778-73-6</v>
          </cell>
          <cell r="C77" t="str">
            <v>펜타클로로페놀 칼륨염</v>
          </cell>
          <cell r="D77" t="str">
            <v>과 그 염류 및 그 중 펜타클로로페놀로서 1%이상 함유한 혼합물질</v>
          </cell>
          <cell r="E77">
            <v>1</v>
          </cell>
        </row>
        <row r="78">
          <cell r="B78" t="str">
            <v>7784-40-9</v>
          </cell>
          <cell r="C78" t="str">
            <v>비산 납</v>
          </cell>
          <cell r="D78" t="str">
            <v>및 이를 0.1% 이상 함유한 혼합물질</v>
          </cell>
          <cell r="E78">
            <v>0.1</v>
          </cell>
        </row>
        <row r="79">
          <cell r="B79" t="str">
            <v>79622-59-6</v>
          </cell>
          <cell r="C79" t="str">
            <v>플루아지남</v>
          </cell>
          <cell r="D79" t="str">
            <v>및 이를 25%이상 함유한 혼합물질</v>
          </cell>
          <cell r="E79">
            <v>25</v>
          </cell>
        </row>
        <row r="80">
          <cell r="B80" t="str">
            <v>8001-35-2</v>
          </cell>
          <cell r="C80" t="str">
            <v>캄페클로르</v>
          </cell>
          <cell r="D80" t="str">
            <v>및 이를 1%이상 함유한 혼합물질</v>
          </cell>
          <cell r="E80">
            <v>1</v>
          </cell>
        </row>
        <row r="81">
          <cell r="B81" t="str">
            <v>86-88-4</v>
          </cell>
          <cell r="C81" t="str">
            <v>안투</v>
          </cell>
          <cell r="D81" t="str">
            <v>및 이를 1%이상 함유한 혼합물질</v>
          </cell>
          <cell r="E81">
            <v>1</v>
          </cell>
        </row>
        <row r="82">
          <cell r="B82" t="str">
            <v>87-86-5</v>
          </cell>
          <cell r="C82" t="str">
            <v>펜타클로로페놀</v>
          </cell>
          <cell r="D82" t="str">
            <v>과 그 염류 및 그 중 펜타클로로페놀로서 1%이상 함유한 혼합물질</v>
          </cell>
          <cell r="E82">
            <v>1</v>
          </cell>
        </row>
        <row r="83">
          <cell r="B83" t="str">
            <v>89784-60-1</v>
          </cell>
          <cell r="C83" t="str">
            <v>피라클로포스</v>
          </cell>
          <cell r="D83" t="str">
            <v>및 이를 25%이상 함유한 혼합물질</v>
          </cell>
          <cell r="E83">
            <v>25</v>
          </cell>
        </row>
        <row r="84">
          <cell r="B84" t="str">
            <v>91-59-8</v>
          </cell>
          <cell r="C84" t="str">
            <v>2-나프틸아민</v>
          </cell>
          <cell r="D84" t="str">
            <v>과 그 염산염 및 그 중 하나를 0.1%이상 함유한 혼합물질</v>
          </cell>
          <cell r="E84">
            <v>0.1</v>
          </cell>
        </row>
        <row r="85">
          <cell r="B85" t="str">
            <v>91-59-8</v>
          </cell>
          <cell r="C85" t="str">
            <v>베타-나프틸아민과 그 염</v>
          </cell>
          <cell r="D85" t="str">
            <v>및 해당물질이 1%를 초과하여 함유한 제제(단, 유해법 금지물질에서는 과 그 염산염 및 그 중 하나를 0.1%이상 함유한 혼합물질)</v>
          </cell>
          <cell r="E85">
            <v>1</v>
          </cell>
        </row>
        <row r="86">
          <cell r="B86" t="str">
            <v>92-67-1</v>
          </cell>
          <cell r="C86" t="str">
            <v>4-아미노비페닐</v>
          </cell>
          <cell r="D86" t="str">
            <v>과 그 염산염 및 그 중 하나를 0.1%이상 함유한 혼합물질</v>
          </cell>
          <cell r="E86">
            <v>0.1</v>
          </cell>
        </row>
        <row r="87">
          <cell r="B87" t="str">
            <v>92-87-5</v>
          </cell>
          <cell r="C87" t="str">
            <v>벤지딘</v>
          </cell>
          <cell r="D87" t="str">
            <v>과 그 염류 및 그 중 하나를 0.1%이상 함유한 혼합물질</v>
          </cell>
          <cell r="E87">
            <v>0.1</v>
          </cell>
        </row>
        <row r="88">
          <cell r="B88" t="str">
            <v>92-93-3</v>
          </cell>
          <cell r="C88" t="str">
            <v>4-니트로디페닐과 그 염</v>
          </cell>
          <cell r="D88" t="str">
            <v>및 해당물질이 1%를 초과하여 함유한 제제</v>
          </cell>
          <cell r="E88">
            <v>1</v>
          </cell>
        </row>
        <row r="89">
          <cell r="B89" t="str">
            <v>93-76-5</v>
          </cell>
          <cell r="C89" t="str">
            <v>2,4,5-티</v>
          </cell>
          <cell r="D89" t="str">
            <v>및 이를 1%이상 함유한 혼합물질</v>
          </cell>
          <cell r="E89">
            <v>1</v>
          </cell>
        </row>
        <row r="90">
          <cell r="B90" t="str">
            <v>96-12-8</v>
          </cell>
          <cell r="C90" t="str">
            <v>1,2-디브로모-3-클로로프로판</v>
          </cell>
          <cell r="D90" t="str">
            <v>및 이를 0.1%이상 함유한 혼합물질</v>
          </cell>
          <cell r="E90">
            <v>0.1</v>
          </cell>
        </row>
        <row r="91">
          <cell r="C91" t="str">
            <v>벤젠을 함유하는 고무풀(함유된 용량의 비율이 5% 이하</v>
          </cell>
          <cell r="D91" t="str">
            <v>및 해당물질이 1%를 초과하여 함유한 제제</v>
          </cell>
          <cell r="E91">
            <v>1</v>
          </cell>
        </row>
        <row r="92">
          <cell r="C92" t="str">
            <v>페닐수은 트리에탄올 암모늄 붕산</v>
          </cell>
          <cell r="D92" t="str">
            <v>및 이를 1%이상 함유한 혼합물질</v>
          </cell>
          <cell r="E92">
            <v>1</v>
          </cell>
        </row>
        <row r="93">
          <cell r="C93" t="str">
            <v>황린 성냥</v>
          </cell>
          <cell r="E93">
            <v>0</v>
          </cell>
        </row>
      </sheetData>
      <sheetData sheetId="39" refreshError="1">
        <row r="1">
          <cell r="B1" t="str">
            <v>CAS No</v>
          </cell>
          <cell r="C1" t="str">
            <v>화학물질명</v>
          </cell>
          <cell r="D1" t="str">
            <v>함량기준설명</v>
          </cell>
          <cell r="E1" t="str">
            <v>함량기준수치</v>
          </cell>
        </row>
        <row r="2">
          <cell r="B2" t="str">
            <v>119-90-4</v>
          </cell>
          <cell r="C2" t="str">
            <v>Dianisidine and its salts</v>
          </cell>
          <cell r="D2" t="str">
            <v>및 이를 중량비율 1% 초과 함유한 제제</v>
          </cell>
          <cell r="E2">
            <v>1</v>
          </cell>
        </row>
        <row r="3">
          <cell r="B3" t="str">
            <v>119-93-7</v>
          </cell>
          <cell r="C3" t="str">
            <v>o-Tolidine and its salts</v>
          </cell>
          <cell r="D3" t="str">
            <v>및 이를 중량비율 1% 초과 함유한 제제</v>
          </cell>
          <cell r="E3">
            <v>1</v>
          </cell>
        </row>
        <row r="4">
          <cell r="B4" t="str">
            <v>12001-29-5</v>
          </cell>
          <cell r="C4" t="str">
            <v>Chrysotile asbestos</v>
          </cell>
          <cell r="D4" t="str">
            <v>및 이를 중량비율 1% 초과 함유한 제제</v>
          </cell>
          <cell r="E4">
            <v>1</v>
          </cell>
        </row>
        <row r="5">
          <cell r="B5" t="str">
            <v>12035-72-2</v>
          </cell>
          <cell r="C5" t="str">
            <v>Nickel subsulfide</v>
          </cell>
          <cell r="D5" t="str">
            <v>및 이를 중량비율 1% 초과 함유한 제제</v>
          </cell>
          <cell r="E5">
            <v>1</v>
          </cell>
        </row>
        <row r="6">
          <cell r="B6" t="str">
            <v>1331-47-1</v>
          </cell>
          <cell r="C6" t="str">
            <v>Dichlorobenzidine and its salts</v>
          </cell>
          <cell r="D6" t="str">
            <v>및 이를 중량비율 1% 초과 함유한 제제</v>
          </cell>
          <cell r="E6">
            <v>1</v>
          </cell>
        </row>
        <row r="7">
          <cell r="B7" t="str">
            <v>134-32-7</v>
          </cell>
          <cell r="C7" t="str">
            <v>α-naphthylamine and its salts</v>
          </cell>
          <cell r="D7" t="str">
            <v>및 이를 중량비율 1% 초과 함유한 제제</v>
          </cell>
          <cell r="E7">
            <v>1</v>
          </cell>
        </row>
        <row r="8">
          <cell r="B8" t="str">
            <v>13530-65-9</v>
          </cell>
          <cell r="C8" t="str">
            <v>Zinc chromate</v>
          </cell>
          <cell r="D8" t="str">
            <v>및 이를 중량비율 1% 초과 함유한 제제</v>
          </cell>
          <cell r="E8">
            <v>1</v>
          </cell>
        </row>
        <row r="9">
          <cell r="B9" t="str">
            <v>16812-54-7</v>
          </cell>
          <cell r="C9" t="str">
            <v>Nickel sulfide (NiS)</v>
          </cell>
          <cell r="D9" t="str">
            <v>및 이를 중량비율 1% 초과 함유한 제제</v>
          </cell>
          <cell r="E9">
            <v>1</v>
          </cell>
        </row>
        <row r="10">
          <cell r="B10" t="str">
            <v>7440-41-7</v>
          </cell>
          <cell r="C10" t="str">
            <v>Beryllium</v>
          </cell>
          <cell r="D10" t="str">
            <v>및 이를 중량비율 1% 초과 함유한 제제</v>
          </cell>
          <cell r="E10">
            <v>1</v>
          </cell>
        </row>
        <row r="11">
          <cell r="B11" t="str">
            <v>7440-47-3</v>
          </cell>
          <cell r="C11" t="str">
            <v>Chromite ore processing(chromate)</v>
          </cell>
          <cell r="D11" t="str">
            <v>및 이를 중량비율 1% 초과 함유한 제제</v>
          </cell>
          <cell r="E11">
            <v>1</v>
          </cell>
        </row>
        <row r="12">
          <cell r="B12" t="str">
            <v>75-01-4</v>
          </cell>
          <cell r="C12" t="str">
            <v>Vinyl chloride</v>
          </cell>
          <cell r="D12" t="str">
            <v>및 이를 중량비율 1% 초과 함유한 제제</v>
          </cell>
          <cell r="E12">
            <v>1</v>
          </cell>
        </row>
        <row r="13">
          <cell r="B13" t="str">
            <v>8007-45-2</v>
          </cell>
          <cell r="C13" t="str">
            <v>Coal tar pitch volatiles</v>
          </cell>
          <cell r="D13" t="str">
            <v>및 이를 중량비율 1% 초과 함유한 제제</v>
          </cell>
          <cell r="E13">
            <v>1</v>
          </cell>
        </row>
        <row r="14">
          <cell r="B14" t="str">
            <v>98-07-7</v>
          </cell>
          <cell r="C14" t="str">
            <v>Benzotrichloride</v>
          </cell>
          <cell r="D14" t="str">
            <v>및 이를 중량비율 0.5% 초과 함유한 제제</v>
          </cell>
          <cell r="E14">
            <v>0.5</v>
          </cell>
        </row>
        <row r="15">
          <cell r="B15" t="str">
            <v>7784-44-3</v>
          </cell>
          <cell r="C15" t="str">
            <v>Ammonium  arsenate</v>
          </cell>
          <cell r="D15" t="str">
            <v>및 이를 중량비율 1% 초과 함유한 제제</v>
          </cell>
          <cell r="E15">
            <v>1</v>
          </cell>
        </row>
        <row r="16">
          <cell r="B16" t="str">
            <v>13462-93-6</v>
          </cell>
          <cell r="C16" t="str">
            <v>Ammonium dihydrogenarsenate</v>
          </cell>
          <cell r="D16" t="str">
            <v>및 이를 중량비율 1% 초과 함유한 제제</v>
          </cell>
          <cell r="E16">
            <v>1</v>
          </cell>
        </row>
        <row r="17">
          <cell r="B17" t="str">
            <v>1668-00-4</v>
          </cell>
          <cell r="C17" t="str">
            <v>Arsenazo   Ⅲ</v>
          </cell>
          <cell r="D17" t="str">
            <v>및 이를 중량비율 1% 초과 함유한 제제</v>
          </cell>
          <cell r="E17">
            <v>1</v>
          </cell>
        </row>
        <row r="18">
          <cell r="B18" t="str">
            <v>7778-39-4</v>
          </cell>
          <cell r="C18" t="str">
            <v>Arsenic  acid</v>
          </cell>
          <cell r="D18" t="str">
            <v>및 이를 중량비율 1% 초과 함유한 제제</v>
          </cell>
          <cell r="E18">
            <v>1</v>
          </cell>
        </row>
        <row r="19">
          <cell r="B19" t="str">
            <v>10103-62-5</v>
          </cell>
          <cell r="C19" t="str">
            <v>Arsenic  acid calcium salt</v>
          </cell>
          <cell r="D19" t="str">
            <v>및 이를 중량비율 1% 초과 함유한 제제</v>
          </cell>
          <cell r="E19">
            <v>1</v>
          </cell>
        </row>
        <row r="20">
          <cell r="B20" t="str">
            <v>7774-41-6</v>
          </cell>
          <cell r="C20" t="str">
            <v>Arsenic  acid hemihydrate</v>
          </cell>
          <cell r="D20" t="str">
            <v>및 이를 중량비율 1% 초과 함유한 제제</v>
          </cell>
          <cell r="E20">
            <v>1</v>
          </cell>
        </row>
        <row r="21">
          <cell r="B21" t="str">
            <v>7645-25-2</v>
          </cell>
          <cell r="C21" t="str">
            <v>Arsenic acid, lead salt</v>
          </cell>
          <cell r="D21" t="str">
            <v>및 이를 중량비율 1% 초과 함유한 제제</v>
          </cell>
          <cell r="E21">
            <v>1</v>
          </cell>
        </row>
        <row r="22">
          <cell r="B22" t="str">
            <v>10102-48-4</v>
          </cell>
          <cell r="C22" t="str">
            <v>Arsenic acid, lead(iv) salt</v>
          </cell>
          <cell r="D22" t="str">
            <v>및 이를 중량비율 1% 초과 함유한 제제</v>
          </cell>
          <cell r="E22">
            <v>1</v>
          </cell>
        </row>
        <row r="23">
          <cell r="B23" t="str">
            <v>7440-38-2</v>
          </cell>
          <cell r="C23" t="str">
            <v>Arsenic  and arsenic compounds, inorganic</v>
          </cell>
          <cell r="D23" t="str">
            <v>및 이를 중량비율 1% 초과 함유한 제제</v>
          </cell>
          <cell r="E23">
            <v>1</v>
          </cell>
        </row>
        <row r="24">
          <cell r="B24" t="str">
            <v>13770-56-4</v>
          </cell>
          <cell r="C24" t="str">
            <v>Arsenic diiodide</v>
          </cell>
          <cell r="D24" t="str">
            <v>및 이를 중량비율 1% 초과 함유한 제제</v>
          </cell>
          <cell r="E24">
            <v>1</v>
          </cell>
        </row>
        <row r="25">
          <cell r="B25" t="str">
            <v>12255-12-8</v>
          </cell>
          <cell r="C25" t="str">
            <v>Arsenic dioxide</v>
          </cell>
          <cell r="D25" t="str">
            <v>및 이를 중량비율 1% 초과 함유한 제제</v>
          </cell>
          <cell r="E25">
            <v>1</v>
          </cell>
        </row>
        <row r="26">
          <cell r="B26" t="str">
            <v>12512-03-7</v>
          </cell>
          <cell r="C26" t="str">
            <v>Arsenic diphosphide</v>
          </cell>
          <cell r="D26" t="str">
            <v>및 이를 중량비율 1% 초과 함유한 제제</v>
          </cell>
          <cell r="E26">
            <v>1</v>
          </cell>
        </row>
        <row r="27">
          <cell r="B27" t="str">
            <v>1303-35-1</v>
          </cell>
          <cell r="C27" t="str">
            <v>Arsenic hemiselenide</v>
          </cell>
          <cell r="D27" t="str">
            <v>및 이를 중량비율 1% 초과 함유한 제제</v>
          </cell>
          <cell r="E27">
            <v>1</v>
          </cell>
        </row>
        <row r="28">
          <cell r="B28" t="str">
            <v>12255-33-3</v>
          </cell>
          <cell r="C28" t="str">
            <v>Arsenic monophosphide</v>
          </cell>
          <cell r="D28" t="str">
            <v>및 이를 중량비율 1% 초과 함유한 제제</v>
          </cell>
          <cell r="E28">
            <v>1</v>
          </cell>
        </row>
        <row r="29">
          <cell r="B29" t="str">
            <v>12005-99-1</v>
          </cell>
          <cell r="C29" t="str">
            <v>Arsenic monoxide</v>
          </cell>
          <cell r="D29" t="str">
            <v>및 이를 중량비율 1% 초과 함유한 제제</v>
          </cell>
          <cell r="E29">
            <v>1</v>
          </cell>
        </row>
        <row r="30">
          <cell r="B30" t="str">
            <v>82868-10-8</v>
          </cell>
          <cell r="C30" t="str">
            <v>Arsenic oxybromide</v>
          </cell>
          <cell r="D30" t="str">
            <v>및 이를 중량비율 1% 초과 함유한 제제</v>
          </cell>
          <cell r="E30">
            <v>1</v>
          </cell>
        </row>
        <row r="31">
          <cell r="B31" t="str">
            <v>60646-36-8</v>
          </cell>
          <cell r="C31" t="str">
            <v>Arsenic oxychloride</v>
          </cell>
          <cell r="D31" t="str">
            <v>및 이를 중량비율 1% 초과 함유한 제제</v>
          </cell>
          <cell r="E31">
            <v>1</v>
          </cell>
        </row>
        <row r="32">
          <cell r="B32" t="str">
            <v>22441-45-8</v>
          </cell>
          <cell r="C32" t="str">
            <v>Arsenic pentachloride</v>
          </cell>
          <cell r="D32" t="str">
            <v>및 이를 중량비율 1% 초과 함유한 제제</v>
          </cell>
          <cell r="E32">
            <v>1</v>
          </cell>
        </row>
        <row r="33">
          <cell r="B33" t="str">
            <v>1303-37-3</v>
          </cell>
          <cell r="C33" t="str">
            <v>Arsenic pentaselenide</v>
          </cell>
          <cell r="D33" t="str">
            <v>및 이를 중량비율 1% 초과 함유한 제제</v>
          </cell>
          <cell r="E33">
            <v>1</v>
          </cell>
        </row>
        <row r="34">
          <cell r="B34" t="str">
            <v>1303-34-0</v>
          </cell>
          <cell r="C34" t="str">
            <v>Arsenic pentasulfide</v>
          </cell>
          <cell r="D34" t="str">
            <v>및 이를 중량비율 1% 초과 함유한 제제</v>
          </cell>
          <cell r="E34">
            <v>1</v>
          </cell>
        </row>
        <row r="35">
          <cell r="B35" t="str">
            <v>1303-28-2</v>
          </cell>
          <cell r="C35" t="str">
            <v>Arsenic  pentoxide</v>
          </cell>
          <cell r="D35" t="str">
            <v>및 이를 중량비율 1% 초과 함유한 제제</v>
          </cell>
          <cell r="E35">
            <v>1</v>
          </cell>
        </row>
        <row r="36">
          <cell r="B36" t="str">
            <v>12511-95-4</v>
          </cell>
          <cell r="C36" t="str">
            <v>Arsenic phosphide</v>
          </cell>
          <cell r="D36" t="str">
            <v>및 이를 중량비율 1% 초과 함유한 제제</v>
          </cell>
          <cell r="E36">
            <v>1</v>
          </cell>
        </row>
        <row r="37">
          <cell r="B37" t="str">
            <v>12344-68-2</v>
          </cell>
          <cell r="C37" t="str">
            <v>Arsenic  sulfide</v>
          </cell>
          <cell r="D37" t="str">
            <v>및 이를 중량비율 1% 초과 함유한 제제</v>
          </cell>
          <cell r="E37">
            <v>1</v>
          </cell>
        </row>
        <row r="38">
          <cell r="B38" t="str">
            <v>83527-53-1</v>
          </cell>
          <cell r="C38" t="str">
            <v>Arsenic tetraoxide</v>
          </cell>
          <cell r="D38" t="str">
            <v>및 이를 중량비율 1% 초과 함유한 제제</v>
          </cell>
          <cell r="E38">
            <v>1</v>
          </cell>
        </row>
        <row r="39">
          <cell r="B39" t="str">
            <v>12006-06-3</v>
          </cell>
          <cell r="C39" t="str">
            <v>Arsenic tetraselenide</v>
          </cell>
          <cell r="D39" t="str">
            <v>및 이를 중량비율 1% 초과 함유한 제제</v>
          </cell>
          <cell r="E39">
            <v>1</v>
          </cell>
        </row>
        <row r="40">
          <cell r="B40" t="str">
            <v>1303-32-8</v>
          </cell>
          <cell r="C40" t="str">
            <v>Arsenic tetrasulfide</v>
          </cell>
          <cell r="D40" t="str">
            <v>및 이를 중량비율 1% 초과 함유한 제제</v>
          </cell>
          <cell r="E40">
            <v>1</v>
          </cell>
        </row>
        <row r="41">
          <cell r="B41" t="str">
            <v>7784-33-0</v>
          </cell>
          <cell r="C41" t="str">
            <v>Arsenic  tribromide</v>
          </cell>
          <cell r="D41" t="str">
            <v>및 이를 중량비율 1% 초과 함유한 제제</v>
          </cell>
          <cell r="E41">
            <v>1</v>
          </cell>
        </row>
        <row r="42">
          <cell r="B42" t="str">
            <v>7784-34-1</v>
          </cell>
          <cell r="C42" t="str">
            <v>Arsenic  trichloride</v>
          </cell>
          <cell r="D42" t="str">
            <v>및 이를 중량비율 1% 초과 함유한 제제</v>
          </cell>
          <cell r="E42">
            <v>1</v>
          </cell>
        </row>
        <row r="43">
          <cell r="B43" t="str">
            <v>7784-35-2</v>
          </cell>
          <cell r="C43" t="str">
            <v>Arsenic  trifluoride</v>
          </cell>
          <cell r="D43" t="str">
            <v>및 이를 중량비율 1% 초과 함유한 제제</v>
          </cell>
          <cell r="E43">
            <v>1</v>
          </cell>
        </row>
        <row r="44">
          <cell r="B44" t="str">
            <v>1327-53-3</v>
          </cell>
          <cell r="C44" t="str">
            <v>Arsenic  trioxide</v>
          </cell>
          <cell r="D44" t="str">
            <v>및 이를 중량비율 1% 초과 함유한 제제</v>
          </cell>
          <cell r="E44">
            <v>1</v>
          </cell>
        </row>
        <row r="45">
          <cell r="B45" t="str">
            <v>12512-11-7</v>
          </cell>
          <cell r="C45" t="str">
            <v>Arsenic triphosphide</v>
          </cell>
          <cell r="D45" t="str">
            <v>및 이를 중량비율 1% 초과 함유한 제제</v>
          </cell>
          <cell r="E45">
            <v>1</v>
          </cell>
        </row>
        <row r="46">
          <cell r="B46" t="str">
            <v>1303-36-2</v>
          </cell>
          <cell r="C46" t="str">
            <v>Arsenic triselenide</v>
          </cell>
          <cell r="D46" t="str">
            <v>및 이를 중량비율 1% 초과 함유한 제제</v>
          </cell>
          <cell r="E46">
            <v>1</v>
          </cell>
        </row>
        <row r="47">
          <cell r="B47" t="str">
            <v>12044-54-1</v>
          </cell>
          <cell r="C47" t="str">
            <v>Arsenic tritelluride</v>
          </cell>
          <cell r="D47" t="str">
            <v>및 이를 중량비율 1% 초과 함유한 제제</v>
          </cell>
          <cell r="E47">
            <v>1</v>
          </cell>
        </row>
        <row r="48">
          <cell r="B48" t="str">
            <v>1303-33-9</v>
          </cell>
          <cell r="C48" t="str">
            <v>Arsenic(iii)trisulfide</v>
          </cell>
          <cell r="D48" t="str">
            <v>및 이를 중량비율 1% 초과 함유한 제제</v>
          </cell>
          <cell r="E48">
            <v>1</v>
          </cell>
        </row>
        <row r="49">
          <cell r="B49" t="str">
            <v>7784-36-3</v>
          </cell>
          <cell r="C49" t="str">
            <v>Arsenicpentafluoride</v>
          </cell>
          <cell r="D49" t="str">
            <v>및 이를 중량비율 1% 초과 함유한 제제</v>
          </cell>
          <cell r="E49">
            <v>1</v>
          </cell>
        </row>
        <row r="50">
          <cell r="B50" t="str">
            <v>7784-45-4</v>
          </cell>
          <cell r="C50" t="str">
            <v>Arsenictriiodide</v>
          </cell>
          <cell r="D50" t="str">
            <v>및 이를 중량비율 1% 초과 함유한 제제</v>
          </cell>
          <cell r="E50">
            <v>1</v>
          </cell>
        </row>
        <row r="51">
          <cell r="B51" t="str">
            <v>1303-18-0</v>
          </cell>
          <cell r="C51" t="str">
            <v>Arsenopyrite</v>
          </cell>
          <cell r="D51" t="str">
            <v>및 이를 중량비율 1% 초과 함유한 제제</v>
          </cell>
          <cell r="E51">
            <v>1</v>
          </cell>
        </row>
        <row r="52">
          <cell r="B52" t="str">
            <v>7784-42-1</v>
          </cell>
          <cell r="C52" t="str">
            <v>Arsine</v>
          </cell>
          <cell r="D52" t="str">
            <v>및 이를 중량비율 1% 초과 함유한 제제</v>
          </cell>
          <cell r="E52">
            <v>1</v>
          </cell>
        </row>
        <row r="53">
          <cell r="B53" t="str">
            <v>56997-31-0</v>
          </cell>
          <cell r="C53" t="str">
            <v>Barium arsenate</v>
          </cell>
          <cell r="D53" t="str">
            <v>및 이를 중량비율 1% 초과 함유한 제제</v>
          </cell>
          <cell r="E53">
            <v>1</v>
          </cell>
        </row>
        <row r="54">
          <cell r="B54" t="str">
            <v>125687-68-5</v>
          </cell>
          <cell r="C54" t="str">
            <v>Barium arsenite</v>
          </cell>
          <cell r="D54" t="str">
            <v>및 이를 중량비율 1% 초과 함유한 제제</v>
          </cell>
          <cell r="E54">
            <v>1</v>
          </cell>
        </row>
        <row r="55">
          <cell r="B55" t="str">
            <v>13510-31-1</v>
          </cell>
          <cell r="C55" t="str">
            <v>Boron  arsenate</v>
          </cell>
          <cell r="D55" t="str">
            <v>및 이를 중량비율 1% 초과 함유한 제제</v>
          </cell>
          <cell r="E55">
            <v>1</v>
          </cell>
        </row>
        <row r="56">
          <cell r="B56" t="str">
            <v>12006-15-4</v>
          </cell>
          <cell r="C56" t="str">
            <v>Cadmium arsenide</v>
          </cell>
          <cell r="D56" t="str">
            <v>및 이를 중량비율 1% 초과 함유한 제제</v>
          </cell>
          <cell r="E56">
            <v>1</v>
          </cell>
        </row>
        <row r="57">
          <cell r="B57" t="str">
            <v>7778-44-1</v>
          </cell>
          <cell r="C57" t="str">
            <v>Calciumarsenate</v>
          </cell>
          <cell r="D57" t="str">
            <v>및 이를 중량비율 1% 초과 함유한 제제</v>
          </cell>
          <cell r="E57">
            <v>1</v>
          </cell>
        </row>
        <row r="58">
          <cell r="B58" t="str">
            <v>52740-16-6</v>
          </cell>
          <cell r="C58" t="str">
            <v>Calcium  arsenite</v>
          </cell>
          <cell r="D58" t="str">
            <v>및 이를 중량비율 1% 초과 함유한 제제</v>
          </cell>
          <cell r="E58">
            <v>1</v>
          </cell>
        </row>
        <row r="59">
          <cell r="B59" t="str">
            <v>37337-13-6</v>
          </cell>
          <cell r="C59" t="str">
            <v>Chromated  copper arsenate</v>
          </cell>
          <cell r="D59" t="str">
            <v>및 이를 중량비율 1% 초과 함유한 제제</v>
          </cell>
          <cell r="E59">
            <v>1</v>
          </cell>
        </row>
        <row r="60">
          <cell r="B60" t="str">
            <v>27016-73-5</v>
          </cell>
          <cell r="C60" t="str">
            <v>Cobalt  arsenide, CoAs</v>
          </cell>
          <cell r="D60" t="str">
            <v>및 이를 중량비율 1% 초과 함유한 제제</v>
          </cell>
          <cell r="E60">
            <v>1</v>
          </cell>
        </row>
        <row r="61">
          <cell r="B61" t="str">
            <v>12044-42-7</v>
          </cell>
          <cell r="C61" t="str">
            <v>Cobaltarsenide,CoAs2</v>
          </cell>
          <cell r="D61" t="str">
            <v>및 이를 중량비율 1% 초과 함유한 제제</v>
          </cell>
          <cell r="E61">
            <v>1</v>
          </cell>
        </row>
        <row r="62">
          <cell r="B62" t="str">
            <v>12256-04-1</v>
          </cell>
          <cell r="C62" t="str">
            <v>Cobaltarsenide,CoAs3</v>
          </cell>
          <cell r="D62" t="str">
            <v>및 이를 중량비율 1% 초과 함유한 제제</v>
          </cell>
          <cell r="E62">
            <v>1</v>
          </cell>
        </row>
        <row r="63">
          <cell r="B63" t="str">
            <v>10103-61-4</v>
          </cell>
          <cell r="C63" t="str">
            <v>Copper  arsenate</v>
          </cell>
          <cell r="D63" t="str">
            <v>및 이를 중량비율 1% 초과 함유한 제제</v>
          </cell>
          <cell r="E63">
            <v>1</v>
          </cell>
        </row>
        <row r="64">
          <cell r="B64" t="str">
            <v>7778-41-8</v>
          </cell>
          <cell r="C64" t="str">
            <v>Copper  arsenate (cu3(aso4)2)</v>
          </cell>
          <cell r="D64" t="str">
            <v>및 이를 중량비율 1% 초과 함유한 제제</v>
          </cell>
          <cell r="E64">
            <v>1</v>
          </cell>
        </row>
        <row r="65">
          <cell r="B65" t="str">
            <v>13453-15-1</v>
          </cell>
          <cell r="C65" t="str">
            <v>Diarsenic  acid</v>
          </cell>
          <cell r="D65" t="str">
            <v>및 이를 중량비율 1% 초과 함유한 제제</v>
          </cell>
          <cell r="E65">
            <v>1</v>
          </cell>
        </row>
        <row r="66">
          <cell r="B66" t="str">
            <v>7778-43-0</v>
          </cell>
          <cell r="C66" t="str">
            <v>Disodium  arsenate</v>
          </cell>
          <cell r="D66" t="str">
            <v>및 이를 중량비율 1% 초과 함유한 제제</v>
          </cell>
          <cell r="E66">
            <v>1</v>
          </cell>
        </row>
        <row r="67">
          <cell r="B67" t="str">
            <v>10048-95-0</v>
          </cell>
          <cell r="C67" t="str">
            <v>Disodium  arsenate heptahydrate</v>
          </cell>
          <cell r="D67" t="str">
            <v>및 이를 중량비율 1% 초과 함유한 제제</v>
          </cell>
          <cell r="E67">
            <v>1</v>
          </cell>
        </row>
        <row r="68">
          <cell r="B68" t="str">
            <v>12005-81-1</v>
          </cell>
          <cell r="C68" t="str">
            <v>Dysprosium  arsenide</v>
          </cell>
          <cell r="D68" t="str">
            <v>및 이를 중량비율 1% 초과 함유한 제제</v>
          </cell>
          <cell r="E68">
            <v>1</v>
          </cell>
        </row>
        <row r="69">
          <cell r="B69" t="str">
            <v>12254-88-5</v>
          </cell>
          <cell r="C69" t="str">
            <v>Erbiumarsenide</v>
          </cell>
          <cell r="D69" t="str">
            <v>및 이를 중량비율 1% 초과 함유한 제제</v>
          </cell>
          <cell r="E69">
            <v>1</v>
          </cell>
        </row>
        <row r="70">
          <cell r="B70" t="str">
            <v>32775-46-5</v>
          </cell>
          <cell r="C70" t="str">
            <v>Europiumarsenide</v>
          </cell>
          <cell r="D70" t="str">
            <v>및 이를 중량비율 1% 초과 함유한 제제</v>
          </cell>
          <cell r="E70">
            <v>1</v>
          </cell>
        </row>
        <row r="71">
          <cell r="B71" t="str">
            <v>10102-50-8</v>
          </cell>
          <cell r="C71" t="str">
            <v>Ferrous  arsenate</v>
          </cell>
          <cell r="D71" t="str">
            <v>및 이를 중량비율 1% 초과 함유한 제제</v>
          </cell>
          <cell r="E71">
            <v>1</v>
          </cell>
        </row>
        <row r="72">
          <cell r="B72" t="str">
            <v>1303-00-0</v>
          </cell>
          <cell r="C72" t="str">
            <v>Gallium arsenide</v>
          </cell>
          <cell r="D72" t="str">
            <v>및 이를 중량비율 1% 초과 함유한 제제</v>
          </cell>
          <cell r="E72">
            <v>1</v>
          </cell>
        </row>
        <row r="73">
          <cell r="B73" t="str">
            <v>12044-20-1</v>
          </cell>
          <cell r="C73" t="str">
            <v>Gallium arsenide phosphide</v>
          </cell>
          <cell r="D73" t="str">
            <v>및 이를 중량비율 1% 초과 함유한 제제</v>
          </cell>
          <cell r="E73">
            <v>1</v>
          </cell>
        </row>
        <row r="74">
          <cell r="B74" t="str">
            <v>98106-56-0</v>
          </cell>
          <cell r="C74" t="str">
            <v>Gallium zinc triarsenide</v>
          </cell>
          <cell r="D74" t="str">
            <v>및 이를 중량비율 1% 초과 함유한 제제</v>
          </cell>
          <cell r="E74">
            <v>1</v>
          </cell>
        </row>
        <row r="75">
          <cell r="B75" t="str">
            <v>12271-72-6</v>
          </cell>
          <cell r="C75" t="str">
            <v>Germanium  arsenide</v>
          </cell>
          <cell r="D75" t="str">
            <v>및 이를 중량비율 1% 초과 함유한 제제</v>
          </cell>
          <cell r="E75">
            <v>1</v>
          </cell>
        </row>
        <row r="76">
          <cell r="B76" t="str">
            <v>12255-11-7</v>
          </cell>
          <cell r="C76" t="str">
            <v>Gersdorffite</v>
          </cell>
          <cell r="D76" t="str">
            <v>및 이를 중량비율 1% 초과 함유한 제제</v>
          </cell>
          <cell r="E76">
            <v>1</v>
          </cell>
        </row>
        <row r="77">
          <cell r="B77" t="str">
            <v>12005-92-4</v>
          </cell>
          <cell r="C77" t="str">
            <v>Holmiumarsenide</v>
          </cell>
          <cell r="D77" t="str">
            <v>및 이를 중량비율 1% 초과 함유한 제제</v>
          </cell>
          <cell r="E77">
            <v>1</v>
          </cell>
        </row>
        <row r="78">
          <cell r="B78" t="str">
            <v>12044-16-5</v>
          </cell>
          <cell r="C78" t="str">
            <v>Iron arsenide</v>
          </cell>
          <cell r="D78" t="str">
            <v>및 이를 중량비율 1% 초과 함유한 제제</v>
          </cell>
          <cell r="E78">
            <v>1</v>
          </cell>
        </row>
        <row r="79">
          <cell r="B79" t="str">
            <v>12006-21-2</v>
          </cell>
          <cell r="C79" t="str">
            <v>Iron diarsenide</v>
          </cell>
          <cell r="D79" t="str">
            <v>및 이를 중량비율 1% 초과 함유한 제제</v>
          </cell>
          <cell r="E79">
            <v>1</v>
          </cell>
        </row>
        <row r="80">
          <cell r="B80" t="str">
            <v>12255-04-8</v>
          </cell>
          <cell r="C80" t="str">
            <v>Lanthanumarsenide</v>
          </cell>
          <cell r="D80" t="str">
            <v>및 이를 중량비율 1% 초과 함유한 제제</v>
          </cell>
          <cell r="E80">
            <v>1</v>
          </cell>
        </row>
        <row r="81">
          <cell r="B81" t="str">
            <v>7784-40-9</v>
          </cell>
          <cell r="C81" t="str">
            <v>Lead hydrogen arsenate</v>
          </cell>
          <cell r="D81" t="str">
            <v>및 이를 중량비율 1% 초과 함유한 제제</v>
          </cell>
          <cell r="E81">
            <v>1</v>
          </cell>
        </row>
        <row r="82">
          <cell r="B82" t="str">
            <v>72845-34-2</v>
          </cell>
          <cell r="C82" t="str">
            <v>Lithium arsenite</v>
          </cell>
          <cell r="D82" t="str">
            <v>및 이를 중량비율 1% 초과 함유한 제제</v>
          </cell>
          <cell r="E82">
            <v>1</v>
          </cell>
        </row>
        <row r="83">
          <cell r="B83" t="str">
            <v>29935-35-1</v>
          </cell>
          <cell r="C83" t="str">
            <v>Lithium hexafluoroarsenate</v>
          </cell>
          <cell r="D83" t="str">
            <v>및 이를 중량비율 1% 초과 함유한 제제</v>
          </cell>
          <cell r="E83">
            <v>1</v>
          </cell>
        </row>
        <row r="84">
          <cell r="B84" t="str">
            <v>12005-94-6</v>
          </cell>
          <cell r="C84" t="str">
            <v>Lutetiumarsenide</v>
          </cell>
          <cell r="D84" t="str">
            <v>및 이를 중량비율 1% 초과 함유한 제제</v>
          </cell>
          <cell r="E84">
            <v>1</v>
          </cell>
        </row>
        <row r="85">
          <cell r="B85" t="str">
            <v>10103-50-1</v>
          </cell>
          <cell r="C85" t="str">
            <v>Magnesium arsenate</v>
          </cell>
          <cell r="D85" t="str">
            <v>및 이를 중량비율 1% 초과 함유한 제제</v>
          </cell>
          <cell r="E85">
            <v>1</v>
          </cell>
        </row>
        <row r="86">
          <cell r="B86" t="str">
            <v>12044-49-4</v>
          </cell>
          <cell r="C86" t="str">
            <v>Magnesium arsenide</v>
          </cell>
          <cell r="D86" t="str">
            <v>및 이를 중량비율 1% 초과 함유한 제제</v>
          </cell>
          <cell r="E86">
            <v>1</v>
          </cell>
        </row>
        <row r="87">
          <cell r="B87" t="str">
            <v>12005-96-8</v>
          </cell>
          <cell r="C87" t="str">
            <v>Manganese arsenide</v>
          </cell>
          <cell r="D87" t="str">
            <v>및 이를 중량비율 1% 초과 함유한 제제</v>
          </cell>
          <cell r="E87">
            <v>1</v>
          </cell>
        </row>
        <row r="88">
          <cell r="B88" t="str">
            <v>27526-45-0</v>
          </cell>
          <cell r="C88" t="str">
            <v>Manganese arsenate</v>
          </cell>
          <cell r="D88" t="str">
            <v>및 이를 중량비율 1% 초과 함유한 제제</v>
          </cell>
          <cell r="E88">
            <v>1</v>
          </cell>
        </row>
        <row r="89">
          <cell r="B89" t="str">
            <v>7784-38-5</v>
          </cell>
          <cell r="C89" t="str">
            <v>Manganese hydrogen arsenate</v>
          </cell>
          <cell r="D89" t="str">
            <v>및 이를 중량비율 1% 초과 함유한 제제</v>
          </cell>
          <cell r="E89">
            <v>1</v>
          </cell>
        </row>
        <row r="90">
          <cell r="B90" t="str">
            <v>7784-37-4</v>
          </cell>
          <cell r="C90" t="str">
            <v>Mercuric arsenate</v>
          </cell>
          <cell r="D90" t="str">
            <v>및 이를 중량비율 1% 초과 함유한 제제</v>
          </cell>
          <cell r="E90">
            <v>1</v>
          </cell>
        </row>
        <row r="91">
          <cell r="B91" t="str">
            <v>12255-09-3</v>
          </cell>
          <cell r="C91" t="str">
            <v>Neodymiumarsenide</v>
          </cell>
          <cell r="D91" t="str">
            <v>및 이를 중량비율 1% 초과 함유한 제제</v>
          </cell>
          <cell r="E91">
            <v>1</v>
          </cell>
        </row>
        <row r="92">
          <cell r="B92" t="str">
            <v>12255-80-0</v>
          </cell>
          <cell r="C92" t="str">
            <v>Nickel  arsenide</v>
          </cell>
          <cell r="D92" t="str">
            <v>및 이를 중량비율 1% 초과 함유한 제제</v>
          </cell>
          <cell r="E92">
            <v>1</v>
          </cell>
        </row>
        <row r="93">
          <cell r="B93" t="str">
            <v>12256-33-6</v>
          </cell>
          <cell r="C93" t="str">
            <v>Nickel  arsenide</v>
          </cell>
          <cell r="D93" t="str">
            <v>및 이를 중량비율 1% 초과 함유한 제제</v>
          </cell>
          <cell r="E93">
            <v>1</v>
          </cell>
        </row>
        <row r="94">
          <cell r="B94" t="str">
            <v>27016-75-7</v>
          </cell>
          <cell r="C94" t="str">
            <v>Nickel  arsenide</v>
          </cell>
          <cell r="D94" t="str">
            <v>및 이를 중량비율 1% 초과 함유한 제제</v>
          </cell>
          <cell r="E94">
            <v>1</v>
          </cell>
        </row>
        <row r="95">
          <cell r="B95" t="str">
            <v>12255-10-6</v>
          </cell>
          <cell r="C95" t="str">
            <v>Nickel  arsenide sulfide</v>
          </cell>
          <cell r="D95" t="str">
            <v>및 이를 중량비율 1% 초과 함유한 제제</v>
          </cell>
          <cell r="E95">
            <v>1</v>
          </cell>
        </row>
        <row r="96">
          <cell r="B96" t="str">
            <v>12068-61-0</v>
          </cell>
          <cell r="C96" t="str">
            <v>Nickel  diarsenide</v>
          </cell>
          <cell r="D96" t="str">
            <v>및 이를 중량비율 1% 초과 함유한 제제</v>
          </cell>
          <cell r="E96">
            <v>1</v>
          </cell>
        </row>
        <row r="97">
          <cell r="B97" t="str">
            <v>12255-08-2</v>
          </cell>
          <cell r="C97" t="str">
            <v>Niobiumarsenide</v>
          </cell>
          <cell r="D97" t="str">
            <v>및 이를 중량비율 1% 초과 함유한 제제</v>
          </cell>
          <cell r="E97">
            <v>1</v>
          </cell>
        </row>
        <row r="98">
          <cell r="B98" t="str">
            <v>12044-52-9</v>
          </cell>
          <cell r="C98" t="str">
            <v>Platinumarsenide</v>
          </cell>
          <cell r="D98" t="str">
            <v>및 이를 중량비율 1% 초과 함유한 제제</v>
          </cell>
          <cell r="E98">
            <v>1</v>
          </cell>
        </row>
        <row r="99">
          <cell r="B99" t="str">
            <v>7784-41-0</v>
          </cell>
          <cell r="C99" t="str">
            <v>Potassium  arsenate</v>
          </cell>
          <cell r="D99" t="str">
            <v>및 이를 중량비율 1% 초과 함유한 제제</v>
          </cell>
          <cell r="E99">
            <v>1</v>
          </cell>
        </row>
        <row r="100">
          <cell r="B100" t="str">
            <v>10124-50-2</v>
          </cell>
          <cell r="C100" t="str">
            <v>Potassium  arsenate</v>
          </cell>
          <cell r="D100" t="str">
            <v>및 이를 중량비율 1% 초과 함유한 제제</v>
          </cell>
          <cell r="E100">
            <v>1</v>
          </cell>
        </row>
        <row r="101">
          <cell r="B101" t="str">
            <v>13464-35-2</v>
          </cell>
          <cell r="C101" t="str">
            <v>Potassium  arsenate</v>
          </cell>
          <cell r="D101" t="str">
            <v>및 이를 중량비율 1% 초과 함유한 제제</v>
          </cell>
          <cell r="E101">
            <v>1</v>
          </cell>
        </row>
        <row r="102">
          <cell r="B102" t="str">
            <v>17029-22-0</v>
          </cell>
          <cell r="C102" t="str">
            <v>Potassium hexafluoroarsenate</v>
          </cell>
          <cell r="D102" t="str">
            <v>및 이를 중량비율 1% 초과 함유한 제제</v>
          </cell>
          <cell r="E102">
            <v>1</v>
          </cell>
        </row>
        <row r="103">
          <cell r="B103" t="str">
            <v>12044-28-9</v>
          </cell>
          <cell r="C103" t="str">
            <v>Praseodymium arsenide</v>
          </cell>
          <cell r="D103" t="str">
            <v>및 이를 중량비율 1% 초과 함유한 제제</v>
          </cell>
          <cell r="E103">
            <v>1</v>
          </cell>
        </row>
        <row r="104">
          <cell r="B104" t="str">
            <v>12255-39-9</v>
          </cell>
          <cell r="C104" t="str">
            <v>Samarium arsenide</v>
          </cell>
          <cell r="D104" t="str">
            <v>및 이를 중량비율 1% 초과 함유한 제제</v>
          </cell>
          <cell r="E104">
            <v>1</v>
          </cell>
        </row>
        <row r="105">
          <cell r="B105" t="str">
            <v>12005-82-2</v>
          </cell>
          <cell r="C105" t="str">
            <v>Silver hexafluoroarsenate</v>
          </cell>
          <cell r="D105" t="str">
            <v>및 이를 중량비율 1% 초과 함유한 제제</v>
          </cell>
          <cell r="E105">
            <v>1</v>
          </cell>
        </row>
        <row r="106">
          <cell r="B106" t="str">
            <v>70333-07-2</v>
          </cell>
          <cell r="C106" t="str">
            <v>Silverarsenide</v>
          </cell>
          <cell r="D106" t="str">
            <v>및 이를 중량비율 1% 초과 함유한 제제</v>
          </cell>
          <cell r="E106">
            <v>1</v>
          </cell>
        </row>
        <row r="107">
          <cell r="B107" t="str">
            <v>7631-89-2</v>
          </cell>
          <cell r="C107" t="str">
            <v>Sodiumarsenate</v>
          </cell>
          <cell r="D107" t="str">
            <v>및 이를 중량비율 1% 초과 함유한 제제</v>
          </cell>
          <cell r="E107">
            <v>1</v>
          </cell>
        </row>
        <row r="108">
          <cell r="B108" t="str">
            <v>7784-46-5</v>
          </cell>
          <cell r="C108" t="str">
            <v>Sodium  arsenite</v>
          </cell>
          <cell r="D108" t="str">
            <v>및 이를 중량비율 1% 초과 함유한 제제</v>
          </cell>
          <cell r="E108">
            <v>1</v>
          </cell>
        </row>
        <row r="109">
          <cell r="B109" t="str">
            <v>15120-17-9</v>
          </cell>
          <cell r="C109" t="str">
            <v>Sodium  metaarsenate</v>
          </cell>
          <cell r="D109" t="str">
            <v>및 이를 중량비율 1% 초과 함유한 제제</v>
          </cell>
          <cell r="E109">
            <v>1</v>
          </cell>
        </row>
        <row r="110">
          <cell r="B110" t="str">
            <v>14060-38-9</v>
          </cell>
          <cell r="C110" t="str">
            <v>Sodium  orthoarsenite</v>
          </cell>
          <cell r="D110" t="str">
            <v>및 이를 중량비율 1% 초과 함유한 제제</v>
          </cell>
          <cell r="E110">
            <v>1</v>
          </cell>
        </row>
        <row r="111">
          <cell r="B111" t="str">
            <v>15195-06-9</v>
          </cell>
          <cell r="C111" t="str">
            <v>Strontium  arsenite</v>
          </cell>
          <cell r="D111" t="str">
            <v>및 이를 중량비율 1% 초과 함유한 제제</v>
          </cell>
          <cell r="E111">
            <v>1</v>
          </cell>
        </row>
        <row r="112">
          <cell r="B112" t="str">
            <v>39297-24-0</v>
          </cell>
          <cell r="C112" t="str">
            <v>Strontiumarsenide</v>
          </cell>
          <cell r="D112" t="str">
            <v>및 이를 중량비율 1% 초과 함유한 제제</v>
          </cell>
          <cell r="E112">
            <v>1</v>
          </cell>
        </row>
        <row r="113">
          <cell r="B113" t="str">
            <v>12006-08-5</v>
          </cell>
          <cell r="C113" t="str">
            <v>Terbium  arsenide</v>
          </cell>
          <cell r="D113" t="str">
            <v>및 이를 중량비율 1% 초과 함유한 제제</v>
          </cell>
          <cell r="E113">
            <v>1</v>
          </cell>
        </row>
        <row r="114">
          <cell r="B114" t="str">
            <v>12279-90-2</v>
          </cell>
          <cell r="C114" t="str">
            <v>Tetraarsenic tetrasulfide</v>
          </cell>
          <cell r="D114" t="str">
            <v>및 이를 중량비율 1% 초과 함유한 제제</v>
          </cell>
          <cell r="E114">
            <v>1</v>
          </cell>
        </row>
        <row r="115">
          <cell r="B115" t="str">
            <v>12006-09-6</v>
          </cell>
          <cell r="C115" t="str">
            <v>Thallium  arsenide</v>
          </cell>
          <cell r="D115" t="str">
            <v>및 이를 중량비율 1% 초과 함유한 제제</v>
          </cell>
          <cell r="E115">
            <v>1</v>
          </cell>
        </row>
        <row r="116">
          <cell r="B116" t="str">
            <v>12255-36-6</v>
          </cell>
          <cell r="C116" t="str">
            <v>Triantimony  arsenide</v>
          </cell>
          <cell r="D116" t="str">
            <v>및 이를 중량비율 1% 초과 함유한 제제</v>
          </cell>
          <cell r="E116">
            <v>1</v>
          </cell>
        </row>
        <row r="117">
          <cell r="B117" t="str">
            <v>12255-50-4</v>
          </cell>
          <cell r="C117" t="str">
            <v>Tribarium  diarsenide</v>
          </cell>
          <cell r="D117" t="str">
            <v>및 이를 중량비율 1% 초과 함유한 제제</v>
          </cell>
          <cell r="E117">
            <v>1</v>
          </cell>
        </row>
        <row r="118">
          <cell r="B118" t="str">
            <v>12255-53-7</v>
          </cell>
          <cell r="C118" t="str">
            <v>Tricalcium  diarsenide</v>
          </cell>
          <cell r="D118" t="str">
            <v>및 이를 중량비율 1% 초과 함유한 제제</v>
          </cell>
          <cell r="E118">
            <v>1</v>
          </cell>
        </row>
        <row r="119">
          <cell r="B119" t="str">
            <v>24719-19-5</v>
          </cell>
          <cell r="C119" t="str">
            <v>Tricobalt  diarsenate</v>
          </cell>
          <cell r="D119" t="str">
            <v>및 이를 중량비율 1% 초과 함유한 제제</v>
          </cell>
          <cell r="E119">
            <v>1</v>
          </cell>
        </row>
        <row r="120">
          <cell r="B120" t="str">
            <v>12005-75-3</v>
          </cell>
          <cell r="C120" t="str">
            <v>Tricopper  arsenide</v>
          </cell>
          <cell r="D120" t="str">
            <v>및 이를 중량비율 1% 초과 함유한 제제</v>
          </cell>
          <cell r="E120">
            <v>1</v>
          </cell>
        </row>
        <row r="121">
          <cell r="B121" t="str">
            <v>12044-22-3</v>
          </cell>
          <cell r="C121" t="str">
            <v>Trilithium  arsenide</v>
          </cell>
          <cell r="D121" t="str">
            <v>및 이를 중량비율 1% 초과 함유한 제제</v>
          </cell>
          <cell r="E121">
            <v>1</v>
          </cell>
        </row>
        <row r="122">
          <cell r="B122" t="str">
            <v>12044-21-2</v>
          </cell>
          <cell r="C122" t="str">
            <v>Tripotassium  arsenide</v>
          </cell>
          <cell r="D122" t="str">
            <v>및 이를 중량비율 1% 초과 함유한 제제</v>
          </cell>
          <cell r="E122">
            <v>1</v>
          </cell>
        </row>
        <row r="123">
          <cell r="B123" t="str">
            <v>13510-44-6</v>
          </cell>
          <cell r="C123" t="str">
            <v>Trisilver  arsenate</v>
          </cell>
          <cell r="D123" t="str">
            <v>및 이를 중량비율 1% 초과 함유한 제제</v>
          </cell>
          <cell r="E123">
            <v>1</v>
          </cell>
        </row>
        <row r="124">
          <cell r="B124" t="str">
            <v>12044-25-6</v>
          </cell>
          <cell r="C124" t="str">
            <v>Trisodium  arsenide</v>
          </cell>
          <cell r="D124" t="str">
            <v>및 이를 중량비율 1% 초과 함유한 제제</v>
          </cell>
          <cell r="E124">
            <v>1</v>
          </cell>
        </row>
        <row r="125">
          <cell r="B125" t="str">
            <v>13464-37-4</v>
          </cell>
          <cell r="C125" t="str">
            <v>Trisodium  arsenite</v>
          </cell>
          <cell r="D125" t="str">
            <v>및 이를 중량비율 1% 초과 함유한 제제</v>
          </cell>
          <cell r="E125">
            <v>1</v>
          </cell>
        </row>
        <row r="126">
          <cell r="B126" t="str">
            <v>13464-68-1</v>
          </cell>
          <cell r="C126" t="str">
            <v>Tristrontium diarsenate</v>
          </cell>
          <cell r="D126" t="str">
            <v>및 이를 중량비율 1% 초과 함유한 제제</v>
          </cell>
          <cell r="E126">
            <v>1</v>
          </cell>
        </row>
        <row r="127">
          <cell r="B127" t="str">
            <v>12006-40-5</v>
          </cell>
          <cell r="C127" t="str">
            <v>Trizinc  diarsenide</v>
          </cell>
          <cell r="D127" t="str">
            <v>및 이를 중량비율 1% 초과 함유한 제제</v>
          </cell>
          <cell r="E127">
            <v>1</v>
          </cell>
        </row>
        <row r="128">
          <cell r="B128" t="str">
            <v>99035-51-5</v>
          </cell>
          <cell r="C128" t="str">
            <v>Vanadium(4+) diarsenate (1:1)</v>
          </cell>
          <cell r="D128" t="str">
            <v>및 이를 중량비율 1% 초과 함유한 제제</v>
          </cell>
          <cell r="E128">
            <v>1</v>
          </cell>
        </row>
        <row r="129">
          <cell r="B129" t="str">
            <v>12006-12-1</v>
          </cell>
          <cell r="C129" t="str">
            <v>Ytterbium  arsenide</v>
          </cell>
          <cell r="D129" t="str">
            <v>및 이를 중량비율 1% 초과 함유한 제제</v>
          </cell>
          <cell r="E129">
            <v>1</v>
          </cell>
        </row>
        <row r="130">
          <cell r="B130" t="str">
            <v>12255-48-0</v>
          </cell>
          <cell r="C130" t="str">
            <v>Yttrium arsenide</v>
          </cell>
          <cell r="D130" t="str">
            <v>및 이를 중량비율 1% 초과 함유한 제제</v>
          </cell>
          <cell r="E130">
            <v>1</v>
          </cell>
        </row>
        <row r="131">
          <cell r="B131" t="str">
            <v>13464-44-3</v>
          </cell>
          <cell r="C131" t="str">
            <v>Zinc  arsenate</v>
          </cell>
          <cell r="D131" t="str">
            <v>및 이를 중량비율 1% 초과 함유한 제제</v>
          </cell>
          <cell r="E131">
            <v>1</v>
          </cell>
        </row>
        <row r="132">
          <cell r="B132" t="str">
            <v>68611-46-1</v>
          </cell>
          <cell r="C132" t="str">
            <v>Zinc orthosilicate, manganese, arsenic activated</v>
          </cell>
          <cell r="D132" t="str">
            <v>및 이를 중량비율 1% 초과 함유한 제제</v>
          </cell>
          <cell r="E132">
            <v>1</v>
          </cell>
        </row>
        <row r="133">
          <cell r="B133" t="str">
            <v>60909-47-9</v>
          </cell>
          <cell r="C133" t="str">
            <v>Zirconium  arsenide</v>
          </cell>
          <cell r="D133" t="str">
            <v>및 이를 중량비율 1% 초과 함유한 제제</v>
          </cell>
          <cell r="E133">
            <v>1</v>
          </cell>
        </row>
        <row r="134">
          <cell r="B134" t="str">
            <v>65996-93-2</v>
          </cell>
          <cell r="C134" t="str">
            <v>Tar,coal</v>
          </cell>
          <cell r="D134" t="str">
            <v>및 이를 중량비율 1% 초과 함유한 제제</v>
          </cell>
          <cell r="E134">
            <v>1</v>
          </cell>
        </row>
        <row r="135">
          <cell r="B135" t="str">
            <v>612-82-8</v>
          </cell>
          <cell r="C135" t="str">
            <v>4,4'-bi-o-toluidinedihydrochloride</v>
          </cell>
          <cell r="D135" t="str">
            <v>및 이를 중량비율 1% 초과 함유한 제제</v>
          </cell>
          <cell r="E135">
            <v>1</v>
          </cell>
        </row>
        <row r="136">
          <cell r="B136" t="str">
            <v>612-83-9</v>
          </cell>
          <cell r="C136" t="str">
            <v>3,3'-dichlorobenzidine dihydrochloride</v>
          </cell>
          <cell r="D136" t="str">
            <v>및 이를 중량비율 1% 초과 함유한 제제</v>
          </cell>
          <cell r="E136">
            <v>1</v>
          </cell>
        </row>
        <row r="137">
          <cell r="B137" t="str">
            <v>91-94-1</v>
          </cell>
          <cell r="C137" t="str">
            <v>3,3'-Dichlorobenzidine</v>
          </cell>
          <cell r="E137">
            <v>1</v>
          </cell>
        </row>
      </sheetData>
      <sheetData sheetId="40" refreshError="1">
        <row r="1">
          <cell r="B1" t="str">
            <v>CAS No</v>
          </cell>
          <cell r="C1" t="str">
            <v>화학물질명</v>
          </cell>
          <cell r="D1" t="str">
            <v>함량기준설명</v>
          </cell>
          <cell r="E1" t="str">
            <v>함량기준수치</v>
          </cell>
        </row>
        <row r="2">
          <cell r="B2" t="str">
            <v>10022-68-1</v>
          </cell>
          <cell r="C2" t="str">
            <v>Cadmium nitrate tetrahydrate</v>
          </cell>
          <cell r="D2" t="str">
            <v>물질을 용량비율 0.1% 이상 함유한 제제</v>
          </cell>
          <cell r="E2">
            <v>0.1</v>
          </cell>
        </row>
        <row r="3">
          <cell r="B3" t="str">
            <v>10028-18-9</v>
          </cell>
          <cell r="C3" t="str">
            <v>Nickel fluoride (NiF2)</v>
          </cell>
          <cell r="D3" t="str">
            <v>단 불용성화합물을 0.1% 이상 함유한 제제</v>
          </cell>
          <cell r="E3">
            <v>0.1</v>
          </cell>
        </row>
        <row r="4">
          <cell r="B4" t="str">
            <v>10031-13-7</v>
          </cell>
          <cell r="C4" t="str">
            <v>Lead arsenite</v>
          </cell>
          <cell r="D4" t="str">
            <v>물질을 용량비율 0.3% 이상 함유한 제제</v>
          </cell>
          <cell r="E4">
            <v>0.3</v>
          </cell>
        </row>
        <row r="5">
          <cell r="B5" t="str">
            <v>10031-22-8</v>
          </cell>
          <cell r="C5" t="str">
            <v>Lead bromide (PbBr2)</v>
          </cell>
          <cell r="D5" t="str">
            <v>물질을 용량비율 0.3% 이상 함유한 제제</v>
          </cell>
          <cell r="E5">
            <v>0.3</v>
          </cell>
        </row>
        <row r="6">
          <cell r="B6" t="str">
            <v>100402-53-7</v>
          </cell>
          <cell r="C6" t="str">
            <v>Cadmium chloride phosphate (Cd5Cl(PO4)3), manganese-doped</v>
          </cell>
          <cell r="D6" t="str">
            <v>물질을 용량비율 0.1% 이상 함유한 제제</v>
          </cell>
          <cell r="E6">
            <v>0.1</v>
          </cell>
        </row>
        <row r="7">
          <cell r="B7" t="str">
            <v>100402-65-1</v>
          </cell>
          <cell r="C7" t="str">
            <v>Nitric acid, copper(2+) salt, reaction products with ammonia, chromic acid (H2CrO4) diammonium salt and manganese(2+) dinitrate,</v>
          </cell>
          <cell r="D7" t="str">
            <v>6가 크롬을 0.1% 이상 함유한 제제</v>
          </cell>
          <cell r="E7">
            <v>0.1</v>
          </cell>
        </row>
        <row r="8">
          <cell r="B8" t="str">
            <v>100402-96-8</v>
          </cell>
          <cell r="C8" t="str">
            <v>Silicic acid (H2sio3), calcium salt (1:1), lead and manganese-doped</v>
          </cell>
          <cell r="D8" t="str">
            <v>물질을 용량비율 0.3% 이상 함유한 제제</v>
          </cell>
          <cell r="E8">
            <v>0.3</v>
          </cell>
        </row>
        <row r="9">
          <cell r="B9" t="str">
            <v>100656-49-3</v>
          </cell>
          <cell r="C9" t="str">
            <v>Lead, dross, vanadium-zinc-containing</v>
          </cell>
          <cell r="D9" t="str">
            <v>물질을 용량비율 0.3% 이상 함유한 제제</v>
          </cell>
          <cell r="E9">
            <v>0.3</v>
          </cell>
        </row>
        <row r="10">
          <cell r="B10" t="str">
            <v>10099-74-8</v>
          </cell>
          <cell r="C10" t="str">
            <v>Lead dinitrate</v>
          </cell>
          <cell r="D10" t="str">
            <v>물질을 용량비율 0.3% 이상 함유한 제제</v>
          </cell>
          <cell r="E10">
            <v>0.3</v>
          </cell>
        </row>
        <row r="11">
          <cell r="B11" t="str">
            <v>10099-76-0</v>
          </cell>
          <cell r="C11" t="str">
            <v>Lead silicate  (H2SiO3), lead(2+) salt (1:1)</v>
          </cell>
          <cell r="D11" t="str">
            <v>물질을 용량비율 0.3% 이상 함유한 제제</v>
          </cell>
          <cell r="E11">
            <v>0.3</v>
          </cell>
        </row>
        <row r="12">
          <cell r="B12" t="str">
            <v>10099-79-3</v>
          </cell>
          <cell r="C12" t="str">
            <v>Lead vanadate</v>
          </cell>
          <cell r="D12" t="str">
            <v>물질을 용량비율 0.3% 이상 함유한 제제</v>
          </cell>
          <cell r="E12">
            <v>0.3</v>
          </cell>
        </row>
        <row r="13">
          <cell r="B13" t="str">
            <v>101012-92-4</v>
          </cell>
          <cell r="C13" t="str">
            <v>Lead, isodecanoate naphthenate complexes, basic</v>
          </cell>
          <cell r="D13" t="str">
            <v>물질을 용량비율 0.3% 이상 함유한 제제</v>
          </cell>
          <cell r="E13">
            <v>0.3</v>
          </cell>
        </row>
        <row r="14">
          <cell r="B14" t="str">
            <v>101013-06-3</v>
          </cell>
          <cell r="C14" t="str">
            <v>Lead, isooctanoate neodecanoate complexes</v>
          </cell>
          <cell r="D14" t="str">
            <v>물질을 용량비율 0.3% 이상 함유한 제제</v>
          </cell>
          <cell r="E14">
            <v>0.3</v>
          </cell>
        </row>
        <row r="15">
          <cell r="B15" t="str">
            <v>10101-63-0</v>
          </cell>
          <cell r="C15" t="str">
            <v>Lead iodide</v>
          </cell>
          <cell r="D15" t="str">
            <v>물질을 용량비율 0.3% 이상 함유한 제제</v>
          </cell>
          <cell r="E15">
            <v>0.3</v>
          </cell>
        </row>
        <row r="16">
          <cell r="B16" t="str">
            <v>10101-96-9</v>
          </cell>
          <cell r="C16" t="str">
            <v>Nickel(2+) selenite</v>
          </cell>
          <cell r="D16" t="str">
            <v>단 불용성화합물을 0.1% 이상 함유한 제제</v>
          </cell>
          <cell r="E16">
            <v>0.1</v>
          </cell>
        </row>
        <row r="17">
          <cell r="B17" t="str">
            <v>10101-97-0</v>
          </cell>
          <cell r="C17" t="str">
            <v>Nickel(II) sulfate hexahydrate (1:1:6)</v>
          </cell>
          <cell r="D17" t="str">
            <v>단 불용성화합물을 0.1% 이상 함유한 제제</v>
          </cell>
          <cell r="E17">
            <v>0.1</v>
          </cell>
        </row>
        <row r="18">
          <cell r="B18" t="str">
            <v>10101-98-1</v>
          </cell>
          <cell r="C18" t="str">
            <v>Sulfuric acid, nickel(2+) salt (1:1), heptahydrate</v>
          </cell>
          <cell r="D18" t="str">
            <v>단 불용성화합물을 0.1% 이상 함유한 제제</v>
          </cell>
          <cell r="E18">
            <v>0.1</v>
          </cell>
        </row>
        <row r="19">
          <cell r="B19" t="str">
            <v>10102-48-4</v>
          </cell>
          <cell r="C19" t="str">
            <v>Lead arsenate(ii)  (Pb3(AsO4)2)</v>
          </cell>
          <cell r="D19" t="str">
            <v>물질을 용량비율 0.3% 이상 함유한 제제</v>
          </cell>
          <cell r="E19">
            <v>0.3</v>
          </cell>
        </row>
        <row r="20">
          <cell r="B20" t="str">
            <v>10108-64-2</v>
          </cell>
          <cell r="C20" t="str">
            <v>Cadmium chloride</v>
          </cell>
          <cell r="D20" t="str">
            <v>물질을 용량비율 0.1% 이상 함유한 제제</v>
          </cell>
          <cell r="E20">
            <v>0.1</v>
          </cell>
        </row>
        <row r="21">
          <cell r="B21" t="str">
            <v>10124-36-4</v>
          </cell>
          <cell r="C21" t="str">
            <v>Cadmium sulfate</v>
          </cell>
          <cell r="D21" t="str">
            <v>물질을 용량비율 0.1% 이상 함유한 제제</v>
          </cell>
          <cell r="E21">
            <v>0.1</v>
          </cell>
        </row>
        <row r="22">
          <cell r="B22" t="str">
            <v>101356-99-4</v>
          </cell>
          <cell r="C22" t="str">
            <v>Cadmium oxide (CdO), solid solution with calcium oxide and titanium oxide (TiO2), praseodymium-doped</v>
          </cell>
          <cell r="D22" t="str">
            <v>물질을 용량비율 0.1% 이상 함유한 제제</v>
          </cell>
          <cell r="E22">
            <v>0.1</v>
          </cell>
        </row>
        <row r="23">
          <cell r="B23" t="str">
            <v>101357-00-0</v>
          </cell>
          <cell r="C23" t="str">
            <v>Cadmium selenide (CdSe), solid solution with cadmium sulfide, zinc selenide and zinc sulfide, aluminum and copper-doped</v>
          </cell>
          <cell r="D23" t="str">
            <v>물질을 용량비율 0.1% 이상 함유한 제제</v>
          </cell>
          <cell r="E23">
            <v>0.1</v>
          </cell>
        </row>
        <row r="24">
          <cell r="B24" t="str">
            <v>101357-01-1</v>
          </cell>
          <cell r="C24" t="str">
            <v>Cadmium selenide (CdSe), solid solution with cadmium sulfide, zinc selenide and zinc sulfide, copper and manganese-doped</v>
          </cell>
          <cell r="D24" t="str">
            <v>물질을 용량비율 0.1% 이상 함유한 제제</v>
          </cell>
          <cell r="E24">
            <v>0.1</v>
          </cell>
        </row>
        <row r="25">
          <cell r="B25" t="str">
            <v>101357-02-2</v>
          </cell>
          <cell r="C25" t="str">
            <v>Cadmium selenide (CdSe), solid solution with cadmium sulfide, zinc selenide and zinc sulfide, europium-doped</v>
          </cell>
          <cell r="D25" t="str">
            <v>물질을 용량비율 0.1% 이상 함유한 제제</v>
          </cell>
          <cell r="E25">
            <v>0.1</v>
          </cell>
        </row>
        <row r="26">
          <cell r="B26" t="str">
            <v>101357-03-3</v>
          </cell>
          <cell r="C26" t="str">
            <v>Cadmium selenide (CdSe), solid solution with cadmium sulfide, zinc selenide and zinc sulfide, gold and manganese-doped</v>
          </cell>
          <cell r="D26" t="str">
            <v>물질을 용량비율 0.1% 이상 함유한 제제</v>
          </cell>
          <cell r="E26">
            <v>0.1</v>
          </cell>
        </row>
        <row r="27">
          <cell r="B27" t="str">
            <v>101357-04-4</v>
          </cell>
          <cell r="C27" t="str">
            <v>Cadmium selenide (CdSe), solid solution with cadmium sulfide, zinc selenide and zinc sulfide, manganese and silver-doped</v>
          </cell>
          <cell r="D27" t="str">
            <v>물질을 용량비율 0.1% 이상 함유한 제제</v>
          </cell>
          <cell r="E27">
            <v>0.1</v>
          </cell>
        </row>
        <row r="28">
          <cell r="B28" t="str">
            <v>10190-55-3</v>
          </cell>
          <cell r="C28" t="str">
            <v>Lead molybdate</v>
          </cell>
          <cell r="D28" t="str">
            <v>물질을 용량비율 0.3% 이상 함유한 제제</v>
          </cell>
          <cell r="E28">
            <v>0.3</v>
          </cell>
        </row>
        <row r="29">
          <cell r="B29" t="str">
            <v>10196-67-5</v>
          </cell>
          <cell r="C29" t="str">
            <v>Tetradecanoic acid, cadmium salt</v>
          </cell>
          <cell r="D29" t="str">
            <v>물질을 용량비율 0.1% 이상 함유한 제제</v>
          </cell>
          <cell r="E29">
            <v>0.1</v>
          </cell>
        </row>
        <row r="30">
          <cell r="B30" t="str">
            <v>102110-30-5</v>
          </cell>
          <cell r="C30" t="str">
            <v>Cadmium oxide (CdO), solid solution with magnesium oxide, tungsten oxide (WO3) and zinc oxide</v>
          </cell>
          <cell r="D30" t="str">
            <v>물질을 용량비율 0.1% 이상 함유한 제제</v>
          </cell>
          <cell r="E30">
            <v>0.1</v>
          </cell>
        </row>
        <row r="31">
          <cell r="B31" t="str">
            <v>102110-36-1</v>
          </cell>
          <cell r="C31" t="str">
            <v>Silicic acid, calcium salt, lead and manganese-doped</v>
          </cell>
          <cell r="D31" t="str">
            <v>물질을 용량비율 0.3% 이상 함유한 제제</v>
          </cell>
          <cell r="E31">
            <v>0.3</v>
          </cell>
        </row>
        <row r="32">
          <cell r="B32" t="str">
            <v>102110-49-6</v>
          </cell>
          <cell r="C32" t="str">
            <v>Residues, copper-iron-lead-nickel matte, sulfuric acid-insol.</v>
          </cell>
          <cell r="D32" t="str">
            <v>물질을 용량비율 0.3% 이상 함유한 제제</v>
          </cell>
          <cell r="E32">
            <v>0.3</v>
          </cell>
        </row>
        <row r="33">
          <cell r="B33" t="str">
            <v>102262-19-1</v>
          </cell>
          <cell r="C33" t="str">
            <v>Chromium cobalt manganese oxide</v>
          </cell>
          <cell r="D33" t="str">
            <v>6가 크롬을 0.1% 이상 함유한 제제</v>
          </cell>
          <cell r="E33">
            <v>0.1</v>
          </cell>
        </row>
        <row r="34">
          <cell r="B34" t="str">
            <v>102262-21-5</v>
          </cell>
          <cell r="C34" t="str">
            <v>Chromium cobalt copper iron manganese oxide</v>
          </cell>
          <cell r="D34" t="str">
            <v>6가 크롬을 0.1% 이상 함유한 제제</v>
          </cell>
          <cell r="E34">
            <v>0.1</v>
          </cell>
        </row>
        <row r="35">
          <cell r="B35" t="str">
            <v>102262-22-6</v>
          </cell>
          <cell r="C35" t="str">
            <v>Chromium cobalt iron manganese oxide</v>
          </cell>
          <cell r="D35" t="str">
            <v>6가 크롬을 0.1% 이상 함유한 제제</v>
          </cell>
          <cell r="E35">
            <v>0.1</v>
          </cell>
        </row>
        <row r="36">
          <cell r="B36" t="str">
            <v>10294-40-3</v>
          </cell>
          <cell r="C36" t="str">
            <v>Barium chromate</v>
          </cell>
          <cell r="D36" t="str">
            <v>6가 크롬을 0.1% 이상 함유한 제제</v>
          </cell>
          <cell r="E36">
            <v>0.1</v>
          </cell>
        </row>
        <row r="37">
          <cell r="B37" t="str">
            <v>10294-58-3</v>
          </cell>
          <cell r="C37" t="str">
            <v>Lead diphosphinate</v>
          </cell>
          <cell r="D37" t="str">
            <v>물질을 용량비율 0.3% 이상 함유한 제제</v>
          </cell>
          <cell r="E37">
            <v>0.3</v>
          </cell>
        </row>
        <row r="38">
          <cell r="B38" t="str">
            <v>10325-94-7</v>
          </cell>
          <cell r="C38" t="str">
            <v>Cadmium nitrate</v>
          </cell>
          <cell r="D38" t="str">
            <v>물질을 용량비율 0.1% 이상 함유한 제제</v>
          </cell>
          <cell r="E38">
            <v>0.1</v>
          </cell>
        </row>
        <row r="39">
          <cell r="B39" t="str">
            <v>10381-36-9</v>
          </cell>
          <cell r="C39" t="str">
            <v>Phosphoric acid, nickel(2+) salt (2:3)</v>
          </cell>
          <cell r="D39" t="str">
            <v>단 불용성화합물을 0.1% 이상 함유한 제제</v>
          </cell>
          <cell r="E39">
            <v>0.1</v>
          </cell>
        </row>
        <row r="40">
          <cell r="B40" t="str">
            <v>10588-01-9</v>
          </cell>
          <cell r="C40" t="str">
            <v>Sodium dichromate</v>
          </cell>
          <cell r="D40" t="str">
            <v>6가 크롬을 0.1% 이상 함유한 제제</v>
          </cell>
          <cell r="E40">
            <v>0.1</v>
          </cell>
        </row>
        <row r="41">
          <cell r="B41" t="str">
            <v>106316-55-6</v>
          </cell>
          <cell r="C41" t="str">
            <v>Nickel, aqua[2-[(4,5-dihydro-3-methyl-5-oxo-1H-pyrazol-4-yl)azo]benzoato(2-)]-</v>
          </cell>
          <cell r="D41" t="str">
            <v>단 불용성화합물을 0.1% 이상 함유한 제제</v>
          </cell>
          <cell r="E41">
            <v>0.1</v>
          </cell>
        </row>
        <row r="42">
          <cell r="B42" t="str">
            <v>1067-14-7</v>
          </cell>
          <cell r="C42" t="str">
            <v>Plumbane, chlorotriethyl-</v>
          </cell>
          <cell r="D42" t="str">
            <v>물질을 용량비율 0.3% 이상 함유한 제제</v>
          </cell>
          <cell r="E42">
            <v>0.3</v>
          </cell>
        </row>
        <row r="43">
          <cell r="B43" t="str">
            <v>1068-61-7</v>
          </cell>
          <cell r="C43" t="str">
            <v>Lead methacrylate</v>
          </cell>
          <cell r="D43" t="str">
            <v>물질을 용량비율 0.3% 이상 함유한 제제</v>
          </cell>
          <cell r="E43">
            <v>0.3</v>
          </cell>
        </row>
        <row r="44">
          <cell r="B44" t="str">
            <v>106-89-8</v>
          </cell>
          <cell r="C44" t="str">
            <v>Epichlorohydrin</v>
          </cell>
          <cell r="D44" t="str">
            <v>물질을 용량비율 0.1% 이상 함유한 제제</v>
          </cell>
          <cell r="E44">
            <v>0.1</v>
          </cell>
        </row>
        <row r="45">
          <cell r="B45" t="str">
            <v>106-94-5</v>
          </cell>
          <cell r="C45" t="str">
            <v>1-Bromopropane</v>
          </cell>
          <cell r="D45" t="str">
            <v>물질을 용량비율 0.3% 이상 함유한 제제</v>
          </cell>
          <cell r="E45">
            <v>0.3</v>
          </cell>
        </row>
        <row r="46">
          <cell r="B46" t="str">
            <v>106-99-0</v>
          </cell>
          <cell r="C46" t="str">
            <v>1,3-Butadiene</v>
          </cell>
          <cell r="D46" t="str">
            <v>물질을 용량비율 0.1% 이상 함유한 제제</v>
          </cell>
          <cell r="E46">
            <v>0.1</v>
          </cell>
        </row>
        <row r="47">
          <cell r="B47" t="str">
            <v>1072-35-1</v>
          </cell>
          <cell r="C47" t="str">
            <v>Lead distearate</v>
          </cell>
          <cell r="D47" t="str">
            <v>물질을 용량비율 0.3% 이상 함유한 제제</v>
          </cell>
          <cell r="E47">
            <v>0.3</v>
          </cell>
        </row>
        <row r="48">
          <cell r="B48" t="str">
            <v>108818-89-9</v>
          </cell>
          <cell r="C48" t="str">
            <v>Nickel(2+), hexakis(1H-imidazole-N3)-, (OC-6-11)-, 1,2-benzenedicarboxylate (1:1)</v>
          </cell>
          <cell r="D48" t="str">
            <v>단 불용성화합물을 0.1% 이상 함유한 제제</v>
          </cell>
          <cell r="E48">
            <v>0.1</v>
          </cell>
        </row>
        <row r="49">
          <cell r="B49" t="str">
            <v>108-95-2</v>
          </cell>
          <cell r="C49" t="str">
            <v>Phenol</v>
          </cell>
          <cell r="D49" t="str">
            <v>물질을 용량비율 0.3% 이상 함유한 제제</v>
          </cell>
          <cell r="E49">
            <v>0.3</v>
          </cell>
        </row>
        <row r="50">
          <cell r="B50" t="str">
            <v>109707-90-6</v>
          </cell>
          <cell r="C50" t="str">
            <v>Diamyldithiocarbamate, lead</v>
          </cell>
          <cell r="D50" t="str">
            <v>물질을 용량비율 0.3% 이상 함유한 제제</v>
          </cell>
          <cell r="E50">
            <v>0.3</v>
          </cell>
        </row>
        <row r="51">
          <cell r="B51" t="str">
            <v>11099-02-8</v>
          </cell>
          <cell r="C51" t="str">
            <v>Nickel oxide</v>
          </cell>
          <cell r="D51" t="str">
            <v>단 불용성화합물을 0.1% 이상 함유한 제제</v>
          </cell>
          <cell r="E51">
            <v>0.1</v>
          </cell>
        </row>
        <row r="52">
          <cell r="B52" t="str">
            <v>11103-86-9</v>
          </cell>
          <cell r="C52" t="str">
            <v>Zinc potassium chromate</v>
          </cell>
          <cell r="D52" t="str">
            <v>6가 크롬을 0.1% 이상 함유한 제제</v>
          </cell>
          <cell r="E52">
            <v>0.1</v>
          </cell>
        </row>
        <row r="53">
          <cell r="B53" t="str">
            <v>11112-63-3</v>
          </cell>
          <cell r="C53" t="str">
            <v>Cadmium selenide sulphide</v>
          </cell>
          <cell r="D53" t="str">
            <v>물질을 용량비율 0.1% 이상 함유한 제제</v>
          </cell>
          <cell r="E53">
            <v>0.1</v>
          </cell>
        </row>
        <row r="54">
          <cell r="B54" t="str">
            <v>11113-70-5</v>
          </cell>
          <cell r="C54" t="str">
            <v>Lead chromate silicate</v>
          </cell>
          <cell r="D54" t="str">
            <v>물질을 용량비율 0.3% 이상 함유한 제제</v>
          </cell>
          <cell r="E54">
            <v>0.3</v>
          </cell>
        </row>
        <row r="55">
          <cell r="B55" t="str">
            <v>11113-74-9</v>
          </cell>
          <cell r="C55" t="str">
            <v>Nickel hydroxide</v>
          </cell>
          <cell r="D55" t="str">
            <v>단 불용성화합물을 0.1% 이상 함유한 제제</v>
          </cell>
          <cell r="E55">
            <v>0.1</v>
          </cell>
        </row>
        <row r="56">
          <cell r="B56" t="str">
            <v>11114-92-4</v>
          </cell>
          <cell r="C56" t="str">
            <v>Cobalt chromium alloy</v>
          </cell>
          <cell r="D56" t="str">
            <v>6가 크롬을 0.1% 이상 함유한 제제</v>
          </cell>
          <cell r="E56">
            <v>0.1</v>
          </cell>
        </row>
        <row r="57">
          <cell r="B57" t="str">
            <v>11116-83-9</v>
          </cell>
          <cell r="C57" t="str">
            <v>Dibismuth dilead tetraruthenium tridecaoxide</v>
          </cell>
          <cell r="D57" t="str">
            <v>물질을 용량비율 0.3% 이상 함유한 제제</v>
          </cell>
          <cell r="E57">
            <v>0.3</v>
          </cell>
        </row>
        <row r="58">
          <cell r="B58" t="str">
            <v>11119-70-3</v>
          </cell>
          <cell r="C58" t="str">
            <v>Chromium lead oxide</v>
          </cell>
          <cell r="D58" t="str">
            <v>물질을 용량비율 0.3% 이상 함유한 제제</v>
          </cell>
          <cell r="E58">
            <v>0.3</v>
          </cell>
        </row>
        <row r="59">
          <cell r="B59" t="str">
            <v>11120-22-2</v>
          </cell>
          <cell r="C59" t="str">
            <v>Lead silicate</v>
          </cell>
          <cell r="D59" t="str">
            <v>물질을 용량비율 0.3% 이상 함유한 제제</v>
          </cell>
          <cell r="E59">
            <v>0.3</v>
          </cell>
        </row>
        <row r="60">
          <cell r="B60" t="str">
            <v>11129-14-9</v>
          </cell>
          <cell r="C60" t="str">
            <v>Cadmium zinc sulfide</v>
          </cell>
          <cell r="D60" t="str">
            <v>물질을 용량비율 0.1% 이상 함유한 제제</v>
          </cell>
          <cell r="E60">
            <v>0.1</v>
          </cell>
        </row>
        <row r="61">
          <cell r="B61" t="str">
            <v>11133-76-9</v>
          </cell>
          <cell r="C61" t="str">
            <v>Iron alloy, base,(Fe.Ni)(ferronickel)</v>
          </cell>
          <cell r="D61" t="str">
            <v>단 불용성화합물을 0.1% 이상 함유한 제제</v>
          </cell>
          <cell r="E61">
            <v>0.1</v>
          </cell>
        </row>
        <row r="62">
          <cell r="B62" t="str">
            <v>1120-46-3</v>
          </cell>
          <cell r="C62" t="str">
            <v>Lead oleate</v>
          </cell>
          <cell r="D62" t="str">
            <v>물질을 용량비율 0.3% 이상 함유한 제제</v>
          </cell>
          <cell r="E62">
            <v>0.3</v>
          </cell>
        </row>
        <row r="63">
          <cell r="B63" t="str">
            <v>1153-06-6</v>
          </cell>
          <cell r="C63" t="str">
            <v>Chlorotriphenylplumbane</v>
          </cell>
          <cell r="D63" t="str">
            <v>물질을 용량비율 0.3% 이상 함유한 제제</v>
          </cell>
          <cell r="E63">
            <v>0.3</v>
          </cell>
        </row>
        <row r="64">
          <cell r="B64" t="str">
            <v>1162-06-7</v>
          </cell>
          <cell r="C64" t="str">
            <v>Acetoxytriphenylplumbane</v>
          </cell>
          <cell r="D64" t="str">
            <v>물질을 용량비율 0.3% 이상 함유한 제제</v>
          </cell>
          <cell r="E64">
            <v>0.3</v>
          </cell>
        </row>
        <row r="65">
          <cell r="B65" t="str">
            <v>116565-73-2</v>
          </cell>
          <cell r="C65" t="str">
            <v>Lead sulfomolybdochromate, silica encapsulated</v>
          </cell>
          <cell r="D65" t="str">
            <v>물질을 용량비율 0.3% 이상 함유한 제제</v>
          </cell>
          <cell r="E65">
            <v>0.3</v>
          </cell>
        </row>
        <row r="66">
          <cell r="B66" t="str">
            <v>116565-74-3</v>
          </cell>
          <cell r="C66" t="str">
            <v>Chromium lead oxide sulfate, silica-modified</v>
          </cell>
          <cell r="D66" t="str">
            <v>물질을 용량비율 0.3% 이상 함유한 제제</v>
          </cell>
          <cell r="E66">
            <v>0.3</v>
          </cell>
        </row>
        <row r="67">
          <cell r="B67" t="str">
            <v>1191-18-0</v>
          </cell>
          <cell r="C67" t="str">
            <v>Lead succinate</v>
          </cell>
          <cell r="D67" t="str">
            <v>물질을 용량비율 0.3% 이상 함유한 제제</v>
          </cell>
          <cell r="E67">
            <v>0.3</v>
          </cell>
        </row>
        <row r="68">
          <cell r="B68" t="str">
            <v>12003-78-0</v>
          </cell>
          <cell r="C68" t="str">
            <v>Aluminum, compound with nickel (1:1)</v>
          </cell>
          <cell r="D68" t="str">
            <v>단 불용성화합물을 0.1% 이상 함유한 제제</v>
          </cell>
          <cell r="E68">
            <v>0.1</v>
          </cell>
        </row>
        <row r="69">
          <cell r="B69" t="str">
            <v>12004-35-2</v>
          </cell>
          <cell r="C69" t="str">
            <v>Aluminum nickel oxide (Al2NiO4)</v>
          </cell>
          <cell r="D69" t="str">
            <v>단 불용성화합물을 0.1% 이상 함유한 제제</v>
          </cell>
          <cell r="E69">
            <v>0.1</v>
          </cell>
        </row>
        <row r="70">
          <cell r="B70" t="str">
            <v>12006-15-4</v>
          </cell>
          <cell r="C70" t="str">
            <v>Cadmium arsenide (Cd3As2)</v>
          </cell>
          <cell r="D70" t="str">
            <v>물질을 용량비율 0.1% 이상 함유한 제제</v>
          </cell>
          <cell r="E70">
            <v>0.1</v>
          </cell>
        </row>
        <row r="71">
          <cell r="B71" t="str">
            <v>12007-00-0</v>
          </cell>
          <cell r="C71" t="str">
            <v>Nickel boride (NiB)</v>
          </cell>
          <cell r="D71" t="str">
            <v>단 불용성화합물을 0.1% 이상 함유한 제제</v>
          </cell>
          <cell r="E71">
            <v>0.1</v>
          </cell>
        </row>
        <row r="72">
          <cell r="B72" t="str">
            <v>12007-01-1</v>
          </cell>
          <cell r="C72" t="str">
            <v>Nickel boride (Ni2B)</v>
          </cell>
          <cell r="D72" t="str">
            <v>단 불용성화합물을 0.1% 이상 함유한 제제</v>
          </cell>
          <cell r="E72">
            <v>0.1</v>
          </cell>
        </row>
        <row r="73">
          <cell r="B73" t="str">
            <v>12007-02-2</v>
          </cell>
          <cell r="C73" t="str">
            <v>Nickel boride (Ni3B)</v>
          </cell>
          <cell r="D73" t="str">
            <v>단 불용성화합물을 0.1% 이상 함유한 제제</v>
          </cell>
          <cell r="E73">
            <v>0.1</v>
          </cell>
        </row>
        <row r="74">
          <cell r="B74" t="str">
            <v>12013-69-3</v>
          </cell>
          <cell r="C74" t="str">
            <v>Plumbate (PbO44-), calcium (1:2), (T-4)-</v>
          </cell>
          <cell r="D74" t="str">
            <v>물질을 용량비율 0.3% 이상 함유한 제제</v>
          </cell>
          <cell r="E74">
            <v>0.3</v>
          </cell>
        </row>
        <row r="75">
          <cell r="B75" t="str">
            <v>12014-14-1</v>
          </cell>
          <cell r="C75" t="str">
            <v>Cadmium titanium oxide (CdTiO3)</v>
          </cell>
          <cell r="D75" t="str">
            <v>물질을 용량비율 0.1% 이상 함유한 제제</v>
          </cell>
          <cell r="E75">
            <v>0.1</v>
          </cell>
        </row>
        <row r="76">
          <cell r="B76" t="str">
            <v>12014-28-7</v>
          </cell>
          <cell r="C76" t="str">
            <v>Cadmium phosphide (Cd3P2)</v>
          </cell>
          <cell r="D76" t="str">
            <v>물질을 용량비율 0.1% 이상 함유한 제제</v>
          </cell>
          <cell r="E76">
            <v>0.1</v>
          </cell>
        </row>
        <row r="77">
          <cell r="B77" t="str">
            <v>12014-29-8</v>
          </cell>
          <cell r="C77" t="str">
            <v>Antimony, compound with cadmium (2:3)</v>
          </cell>
          <cell r="D77" t="str">
            <v>물질을 용량비율 0.1% 이상 함유한 제제</v>
          </cell>
          <cell r="E77">
            <v>0.1</v>
          </cell>
        </row>
        <row r="78">
          <cell r="B78" t="str">
            <v>12016-69-2</v>
          </cell>
          <cell r="C78" t="str">
            <v>Chromium cobalt oxide  (Cr2CoO4)</v>
          </cell>
          <cell r="D78" t="str">
            <v>6가 크롬을 0.1% 이상 함유한 제제</v>
          </cell>
          <cell r="E78">
            <v>0.1</v>
          </cell>
        </row>
        <row r="79">
          <cell r="B79" t="str">
            <v>12017-86-6</v>
          </cell>
          <cell r="C79" t="str">
            <v>Dilead chromate dihydroxide</v>
          </cell>
          <cell r="D79" t="str">
            <v>물질을 용량비율 0.3% 이상 함유한 제제</v>
          </cell>
          <cell r="E79">
            <v>0.3</v>
          </cell>
        </row>
        <row r="80">
          <cell r="B80" t="str">
            <v>12018-18-7</v>
          </cell>
          <cell r="C80" t="str">
            <v>Chromium nickel oxide  (Cr2NiO4)</v>
          </cell>
          <cell r="D80" t="str">
            <v>6가 크롬을 0.1% 이상 함유한 제제</v>
          </cell>
          <cell r="E80">
            <v>0.1</v>
          </cell>
        </row>
        <row r="81">
          <cell r="B81" t="str">
            <v>12018-19-8</v>
          </cell>
          <cell r="C81" t="str">
            <v>Zinc Chromite</v>
          </cell>
          <cell r="D81" t="str">
            <v>6가 크롬을 0.1% 이상 함유한 제제</v>
          </cell>
          <cell r="E81">
            <v>0.1</v>
          </cell>
        </row>
        <row r="82">
          <cell r="B82" t="str">
            <v>12023-90-4</v>
          </cell>
          <cell r="C82" t="str">
            <v>Iron lead oxide (Fe12PbO19)</v>
          </cell>
          <cell r="D82" t="str">
            <v>물질을 용량비율 0.3% 이상 함유한 제제</v>
          </cell>
          <cell r="E82">
            <v>0.3</v>
          </cell>
        </row>
        <row r="83">
          <cell r="B83" t="str">
            <v>12029-23-1</v>
          </cell>
          <cell r="C83" t="str">
            <v>Hafnium lead trioxide</v>
          </cell>
          <cell r="D83" t="str">
            <v>물질을 용량비율 0.3% 이상 함유한 제제</v>
          </cell>
          <cell r="E83">
            <v>0.3</v>
          </cell>
        </row>
        <row r="84">
          <cell r="B84" t="str">
            <v>12031-65-1</v>
          </cell>
          <cell r="C84" t="str">
            <v>Lithium nickel oxide (LiNiO2)</v>
          </cell>
          <cell r="D84" t="str">
            <v>단 불용성화합물을 0.1% 이상 함유한 제제</v>
          </cell>
          <cell r="E84">
            <v>0.1</v>
          </cell>
        </row>
        <row r="85">
          <cell r="B85" t="str">
            <v>12034-30-9</v>
          </cell>
          <cell r="C85" t="str">
            <v>Plumbate (PbO22-), disodium</v>
          </cell>
          <cell r="D85" t="str">
            <v>물질을 용량비율 0.3% 이상 함유한 제제</v>
          </cell>
          <cell r="E85">
            <v>0.3</v>
          </cell>
        </row>
        <row r="86">
          <cell r="B86" t="str">
            <v>12034-55-8</v>
          </cell>
          <cell r="C86" t="str">
            <v>Nickel, compound with niobium (1:1)</v>
          </cell>
          <cell r="D86" t="str">
            <v>단 불용성화합물을 0.1% 이상 함유한 제제</v>
          </cell>
          <cell r="E86">
            <v>0.1</v>
          </cell>
        </row>
        <row r="87">
          <cell r="B87" t="str">
            <v>12034-88-7</v>
          </cell>
          <cell r="C87" t="str">
            <v>Lead neobate</v>
          </cell>
          <cell r="D87" t="str">
            <v>물질을 용량비율 0.3% 이상 함유한 제제</v>
          </cell>
          <cell r="E87">
            <v>0.3</v>
          </cell>
        </row>
        <row r="88">
          <cell r="B88" t="str">
            <v>12035-36-8</v>
          </cell>
          <cell r="C88" t="str">
            <v>Nickel oxide (NiO2)</v>
          </cell>
          <cell r="D88" t="str">
            <v>단 불용성화합물을 0.1% 이상 함유한 제제</v>
          </cell>
          <cell r="E88">
            <v>0.1</v>
          </cell>
        </row>
        <row r="89">
          <cell r="B89" t="str">
            <v>12035-38-0</v>
          </cell>
          <cell r="C89" t="str">
            <v>Nickel tin trioxide</v>
          </cell>
          <cell r="D89" t="str">
            <v>단 불용성화합물을 0.1% 이상 함유한 제제</v>
          </cell>
          <cell r="E89">
            <v>0.1</v>
          </cell>
        </row>
        <row r="90">
          <cell r="B90" t="str">
            <v>12035-39-1</v>
          </cell>
          <cell r="C90" t="str">
            <v>Nickel titanium oxide</v>
          </cell>
          <cell r="D90" t="str">
            <v>단 불용성화합물을 0.1% 이상 함유한 제제</v>
          </cell>
          <cell r="E90">
            <v>0.1</v>
          </cell>
        </row>
        <row r="91">
          <cell r="B91" t="str">
            <v>12035-52-8</v>
          </cell>
          <cell r="C91" t="str">
            <v>Antimony, compound with nickel (1:1)</v>
          </cell>
          <cell r="D91" t="str">
            <v>단 불용성화합물을 0.1% 이상 함유한 제제</v>
          </cell>
          <cell r="E91">
            <v>0.1</v>
          </cell>
        </row>
        <row r="92">
          <cell r="B92" t="str">
            <v>12035-57-3</v>
          </cell>
          <cell r="C92" t="str">
            <v>Nickel silicide (NiSi)</v>
          </cell>
          <cell r="D92" t="str">
            <v>단 불용성화합물을 0.1% 이상 함유한 제제</v>
          </cell>
          <cell r="E92">
            <v>0.1</v>
          </cell>
        </row>
        <row r="93">
          <cell r="B93" t="str">
            <v>12035-64-2</v>
          </cell>
          <cell r="C93" t="str">
            <v>Nickel phosphide (Ni2P)</v>
          </cell>
          <cell r="D93" t="str">
            <v>단 불용성화합물을 0.1% 이상 함유한 제제</v>
          </cell>
          <cell r="E93">
            <v>0.1</v>
          </cell>
        </row>
        <row r="94">
          <cell r="B94" t="str">
            <v>12035-72-2</v>
          </cell>
          <cell r="C94" t="str">
            <v>Nickel subsulfide</v>
          </cell>
          <cell r="D94" t="str">
            <v>단 불용성화합물을 0.1% 이상 함유한 제제</v>
          </cell>
          <cell r="E94">
            <v>0.1</v>
          </cell>
        </row>
        <row r="95">
          <cell r="B95" t="str">
            <v>12036-31-6</v>
          </cell>
          <cell r="C95" t="str">
            <v>Lead tin oxide (PbSnO3)</v>
          </cell>
          <cell r="D95" t="str">
            <v>물질을 용량비율 0.3% 이상 함유한 제제</v>
          </cell>
          <cell r="E95">
            <v>0.3</v>
          </cell>
        </row>
        <row r="96">
          <cell r="B96" t="str">
            <v>12036-73-6</v>
          </cell>
          <cell r="C96" t="str">
            <v>Vanadium (IV) oxide</v>
          </cell>
          <cell r="D96" t="str">
            <v>물질을 용량비율 0.3% 이상 함유한 제제</v>
          </cell>
          <cell r="E96">
            <v>0.3</v>
          </cell>
        </row>
        <row r="97">
          <cell r="B97" t="str">
            <v>12036-76-9</v>
          </cell>
          <cell r="C97" t="str">
            <v>Lead oxide sulfate (Pb2O(SO4))</v>
          </cell>
          <cell r="D97" t="str">
            <v>물질을 용량비율 0.3% 이상 함유한 제제</v>
          </cell>
          <cell r="E97">
            <v>0.3</v>
          </cell>
        </row>
        <row r="98">
          <cell r="B98" t="str">
            <v>12048-28-1</v>
          </cell>
          <cell r="C98" t="str">
            <v>Bismuth, compound with lead (1:1)</v>
          </cell>
          <cell r="D98" t="str">
            <v>물질을 용량비율 0.3% 이상 함유한 제제</v>
          </cell>
          <cell r="E98">
            <v>0.3</v>
          </cell>
        </row>
        <row r="99">
          <cell r="B99" t="str">
            <v>12054-48-7</v>
          </cell>
          <cell r="C99" t="str">
            <v>Nickel hydroxide</v>
          </cell>
          <cell r="D99" t="str">
            <v>단 불용성화합물을 0.1% 이상 함유한 제제</v>
          </cell>
          <cell r="E99">
            <v>0.1</v>
          </cell>
        </row>
        <row r="100">
          <cell r="B100" t="str">
            <v>12059-14-2</v>
          </cell>
          <cell r="C100" t="str">
            <v>Nickel silicide (Ni2Si)</v>
          </cell>
          <cell r="D100" t="str">
            <v>단 불용성화합물을 0.1% 이상 함유한 제제</v>
          </cell>
          <cell r="E100">
            <v>0.1</v>
          </cell>
        </row>
        <row r="101">
          <cell r="B101" t="str">
            <v>12059-23-3</v>
          </cell>
          <cell r="C101" t="str">
            <v>Nickel, compound with tin (3:1)</v>
          </cell>
          <cell r="D101" t="str">
            <v>단 불용성화합물을 0.1% 이상 함유한 제제</v>
          </cell>
          <cell r="E101">
            <v>0.1</v>
          </cell>
        </row>
        <row r="102">
          <cell r="B102" t="str">
            <v>12059-89-1</v>
          </cell>
          <cell r="C102" t="str">
            <v>Lead oxide (Pb2O)</v>
          </cell>
          <cell r="D102" t="str">
            <v>물질을 용량비율 0.3% 이상 함유한 제제</v>
          </cell>
          <cell r="E102">
            <v>0.3</v>
          </cell>
        </row>
        <row r="103">
          <cell r="B103" t="str">
            <v>12060-00-3</v>
          </cell>
          <cell r="C103" t="str">
            <v>Lead titanate  (PbTiO3)</v>
          </cell>
          <cell r="D103" t="str">
            <v>물질을 용량비율 0.3% 이상 함유한 제제</v>
          </cell>
          <cell r="E103">
            <v>0.3</v>
          </cell>
        </row>
        <row r="104">
          <cell r="B104" t="str">
            <v>12060-01-4</v>
          </cell>
          <cell r="C104" t="str">
            <v>Lead zirconate</v>
          </cell>
          <cell r="D104" t="str">
            <v>물질을 용량비율 0.3% 이상 함유한 제제</v>
          </cell>
          <cell r="E104">
            <v>0.3</v>
          </cell>
        </row>
        <row r="105">
          <cell r="B105" t="str">
            <v>12065-68-8</v>
          </cell>
          <cell r="C105" t="str">
            <v>Lead tantalate</v>
          </cell>
          <cell r="D105" t="str">
            <v>물질을 용량비율 0.3% 이상 함유한 제제</v>
          </cell>
          <cell r="E105">
            <v>0.3</v>
          </cell>
        </row>
        <row r="106">
          <cell r="B106" t="str">
            <v>12065-90-6</v>
          </cell>
          <cell r="C106" t="str">
            <v>Pentalead-tetraoxide-sulphate　　 (Pb5O4(SO4))</v>
          </cell>
          <cell r="D106" t="str">
            <v>물질을 용량비율 0.3% 이상 함유한 제제</v>
          </cell>
          <cell r="E106">
            <v>0.3</v>
          </cell>
        </row>
        <row r="107">
          <cell r="B107" t="str">
            <v>12068-61-0</v>
          </cell>
          <cell r="C107" t="str">
            <v>Nickel diarsenide</v>
          </cell>
          <cell r="D107" t="str">
            <v>단 불용성화합물을 0.1% 이상 함유한 제제</v>
          </cell>
          <cell r="E107">
            <v>0.1</v>
          </cell>
        </row>
        <row r="108">
          <cell r="B108" t="str">
            <v>12069-00-0</v>
          </cell>
          <cell r="C108" t="str">
            <v>Lead selenide</v>
          </cell>
          <cell r="D108" t="str">
            <v>물질을 용량비율 0.3% 이상 함유한 제제</v>
          </cell>
          <cell r="E108">
            <v>0.3</v>
          </cell>
        </row>
        <row r="109">
          <cell r="B109" t="str">
            <v>12125-56-3</v>
          </cell>
          <cell r="C109" t="str">
            <v>Nickel hydroxide</v>
          </cell>
          <cell r="D109" t="str">
            <v>단 불용성화합물을 0.1% 이상 함유한 제제</v>
          </cell>
          <cell r="E109">
            <v>0.1</v>
          </cell>
        </row>
        <row r="110">
          <cell r="B110" t="str">
            <v>12137-74-5</v>
          </cell>
          <cell r="C110" t="str">
            <v>Lead disulphide</v>
          </cell>
          <cell r="D110" t="str">
            <v>물질을 용량비율 0.3% 이상 함유한 제제</v>
          </cell>
          <cell r="E110">
            <v>0.3</v>
          </cell>
        </row>
        <row r="111">
          <cell r="B111" t="str">
            <v>12139-22-9</v>
          </cell>
          <cell r="C111" t="str">
            <v>Cadmium peroxide (Cd(O2))</v>
          </cell>
          <cell r="D111" t="str">
            <v>물질을 용량비율 0.1% 이상 함유한 제제</v>
          </cell>
          <cell r="E111">
            <v>0.1</v>
          </cell>
        </row>
        <row r="112">
          <cell r="B112" t="str">
            <v>12139-23-0</v>
          </cell>
          <cell r="C112" t="str">
            <v>Cadmium zirconium oxide (CdZrO3)</v>
          </cell>
          <cell r="D112" t="str">
            <v>물질을 용량비율 0.1% 이상 함유한 제제</v>
          </cell>
          <cell r="E112">
            <v>0.1</v>
          </cell>
        </row>
        <row r="113">
          <cell r="B113" t="str">
            <v>12141-20-7</v>
          </cell>
          <cell r="C113" t="str">
            <v>Dibasic lead phosphate (Pb3O2(HPO3))</v>
          </cell>
          <cell r="D113" t="str">
            <v>물질을 용량비율 0.3% 이상 함유한 제제</v>
          </cell>
          <cell r="E113">
            <v>0.3</v>
          </cell>
        </row>
        <row r="114">
          <cell r="B114" t="str">
            <v>12142-88-0</v>
          </cell>
          <cell r="C114" t="str">
            <v>Nickel telluride</v>
          </cell>
          <cell r="D114" t="str">
            <v>단 불용성화합물을 0.1% 이상 함유한 제제</v>
          </cell>
          <cell r="E114">
            <v>0.1</v>
          </cell>
        </row>
        <row r="115">
          <cell r="B115" t="str">
            <v>12142-92-6</v>
          </cell>
          <cell r="C115" t="str">
            <v>Nickel, compound with zirconium (1:2)</v>
          </cell>
          <cell r="D115" t="str">
            <v>단 불용성화합물을 0.1% 이상 함유한 제제</v>
          </cell>
          <cell r="E115">
            <v>0.1</v>
          </cell>
        </row>
        <row r="116">
          <cell r="B116" t="str">
            <v>12168-54-6</v>
          </cell>
          <cell r="C116" t="str">
            <v>Diiron nickel tetraoxide</v>
          </cell>
          <cell r="D116" t="str">
            <v>단 불용성화합물을 0.1% 이상 함유한 제제</v>
          </cell>
          <cell r="E116">
            <v>0.1</v>
          </cell>
        </row>
        <row r="117">
          <cell r="B117" t="str">
            <v>12170-92-2</v>
          </cell>
          <cell r="C117" t="str">
            <v>Di-.mu.-carbonylbis(.eta.5-2,4-cyclopentadien-1-yl)dinickel</v>
          </cell>
          <cell r="D117" t="str">
            <v>단 불용성화합물을 0.1% 이상 함유한 제제</v>
          </cell>
          <cell r="E117">
            <v>0.1</v>
          </cell>
        </row>
        <row r="118">
          <cell r="B118" t="str">
            <v>12175-27-8</v>
          </cell>
          <cell r="C118" t="str">
            <v>Dysprosium, compound with nickel (1:2)</v>
          </cell>
          <cell r="D118" t="str">
            <v>단 불용성화합물을 0.1% 이상 함유한 제제</v>
          </cell>
          <cell r="E118">
            <v>0.1</v>
          </cell>
        </row>
        <row r="119">
          <cell r="B119" t="str">
            <v>12185-64-7</v>
          </cell>
          <cell r="C119" t="str">
            <v>Cadmium chloride phosphate (Cd5Cl(PO4)3)</v>
          </cell>
          <cell r="D119" t="str">
            <v>물질을 용량비율 0.1% 이상 함유한 제제</v>
          </cell>
          <cell r="E119">
            <v>0.1</v>
          </cell>
        </row>
        <row r="120">
          <cell r="B120" t="str">
            <v>12187-14-3</v>
          </cell>
          <cell r="C120" t="str">
            <v>Cadmium niobium oxide (Cd2Nb2O7)</v>
          </cell>
          <cell r="D120" t="str">
            <v>물질을 용량비율 0.1% 이상 함유한 제제</v>
          </cell>
          <cell r="E120">
            <v>0.1</v>
          </cell>
        </row>
        <row r="121">
          <cell r="B121" t="str">
            <v>12196-72-4</v>
          </cell>
          <cell r="C121" t="str">
            <v>Lanthanum, compound with nickel (1:5)</v>
          </cell>
          <cell r="D121" t="str">
            <v>단 불용성화합물을 0.1% 이상 함유한 제제</v>
          </cell>
          <cell r="E121">
            <v>0.1</v>
          </cell>
        </row>
        <row r="122">
          <cell r="B122" t="str">
            <v>12201-89-7</v>
          </cell>
          <cell r="C122" t="str">
            <v>Nickel silicide (NiSi2)</v>
          </cell>
          <cell r="D122" t="str">
            <v>단 불용성화합물을 0.1% 이상 함유한 제제</v>
          </cell>
          <cell r="E122">
            <v>0.1</v>
          </cell>
        </row>
        <row r="123">
          <cell r="B123" t="str">
            <v>12202-17-4</v>
          </cell>
          <cell r="C123" t="str">
            <v>Tetralead-trioxide-sulphate　　 (Pb4O3(SO4))</v>
          </cell>
          <cell r="D123" t="str">
            <v>물질을 용량비율 0.3% 이상 함유한 제제</v>
          </cell>
          <cell r="E123">
            <v>0.3</v>
          </cell>
        </row>
        <row r="124">
          <cell r="B124" t="str">
            <v>12205-72-0</v>
          </cell>
          <cell r="C124" t="str">
            <v>Lead chloride oxide</v>
          </cell>
          <cell r="D124" t="str">
            <v>물질을 용량비율 0.3% 이상 함유한 제제</v>
          </cell>
          <cell r="E124">
            <v>0.3</v>
          </cell>
        </row>
        <row r="125">
          <cell r="B125" t="str">
            <v>12213-70-6</v>
          </cell>
          <cell r="C125" t="str">
            <v>Cadmium selenide sulfide, (Cd2SeS)</v>
          </cell>
          <cell r="D125" t="str">
            <v>물질을 용량비율 0.1% 이상 함유한 제제</v>
          </cell>
          <cell r="E125">
            <v>0.1</v>
          </cell>
        </row>
        <row r="126">
          <cell r="B126" t="str">
            <v>12214-12-9</v>
          </cell>
          <cell r="C126" t="str">
            <v>Cadmium selenide sulfide (Cd2SeS)</v>
          </cell>
          <cell r="D126" t="str">
            <v>물질을 용량비율 0.1% 이상 함유한 제제</v>
          </cell>
          <cell r="E126">
            <v>0.1</v>
          </cell>
        </row>
        <row r="127">
          <cell r="B127" t="str">
            <v>122332-23-4</v>
          </cell>
          <cell r="C127" t="str">
            <v>Phenol, tetrapropylene-, lead(2+) salt</v>
          </cell>
          <cell r="D127" t="str">
            <v>물질을 용량비율 0.3% 이상 함유한 제제</v>
          </cell>
          <cell r="E127">
            <v>0.3</v>
          </cell>
        </row>
        <row r="128">
          <cell r="B128" t="str">
            <v>12254-85-2</v>
          </cell>
          <cell r="C128" t="str">
            <v>Chromium arsenide  (Cr2As)</v>
          </cell>
          <cell r="D128" t="str">
            <v>6가 크롬을 0.1% 이상 함유한 제제</v>
          </cell>
          <cell r="E128">
            <v>0.1</v>
          </cell>
        </row>
        <row r="129">
          <cell r="B129" t="str">
            <v>12259-56-2</v>
          </cell>
          <cell r="C129" t="str">
            <v>Nickel sulfide (Ni2S3)</v>
          </cell>
          <cell r="D129" t="str">
            <v>단 불용성화합물을 0.1% 이상 함유한 제제</v>
          </cell>
          <cell r="E129">
            <v>0.1</v>
          </cell>
        </row>
        <row r="130">
          <cell r="B130" t="str">
            <v>12266-38-5</v>
          </cell>
          <cell r="C130" t="str">
            <v>Lead antimonide</v>
          </cell>
          <cell r="D130" t="str">
            <v>물질을 용량비율 0.3% 이상 함유한 제제</v>
          </cell>
          <cell r="E130">
            <v>0.3</v>
          </cell>
        </row>
        <row r="131">
          <cell r="B131" t="str">
            <v>12268-84-7</v>
          </cell>
          <cell r="C131" t="str">
            <v>Lead hydroxide nitrate</v>
          </cell>
          <cell r="D131" t="str">
            <v>물질을 용량비율 0.3% 이상 함유한 제제</v>
          </cell>
          <cell r="E131">
            <v>0.3</v>
          </cell>
        </row>
        <row r="132">
          <cell r="B132" t="str">
            <v>12275-07-9</v>
          </cell>
          <cell r="C132" t="str">
            <v>Lead maleate tribasic</v>
          </cell>
          <cell r="D132" t="str">
            <v>물질을 용량비율 0.3% 이상 함유한 제제</v>
          </cell>
          <cell r="E132">
            <v>0.3</v>
          </cell>
        </row>
        <row r="133">
          <cell r="B133" t="str">
            <v>12292-07-8</v>
          </cell>
          <cell r="C133" t="str">
            <v>Cadmium tantalum oxide (CdTa2O6)</v>
          </cell>
          <cell r="D133" t="str">
            <v>물질을 용량비율 0.1% 이상 함유한 제제</v>
          </cell>
          <cell r="E133">
            <v>0.1</v>
          </cell>
        </row>
        <row r="134">
          <cell r="B134" t="str">
            <v>12334-31-5</v>
          </cell>
          <cell r="C134" t="str">
            <v>Nickel, [carbonato(2-)]hexahydroxytetra-</v>
          </cell>
          <cell r="D134" t="str">
            <v>단 불용성화합물을 0.1% 이상 함유한 제제</v>
          </cell>
          <cell r="E134">
            <v>0.1</v>
          </cell>
        </row>
        <row r="135">
          <cell r="B135" t="str">
            <v>12372-45-1</v>
          </cell>
          <cell r="C135" t="str">
            <v>Potassium pentadecaoxodiplumbatepentaniobate(1-)</v>
          </cell>
          <cell r="D135" t="str">
            <v>물질을 용량비율 0.3% 이상 함유한 제제</v>
          </cell>
          <cell r="E135">
            <v>0.3</v>
          </cell>
        </row>
        <row r="136">
          <cell r="B136" t="str">
            <v>12397-06-7</v>
          </cell>
          <cell r="C136" t="str">
            <v>Lead sulfate, tribasic</v>
          </cell>
          <cell r="D136" t="str">
            <v>물질을 용량비율 0.3% 이상 함유한 제제</v>
          </cell>
          <cell r="E136">
            <v>0.3</v>
          </cell>
        </row>
        <row r="137">
          <cell r="B137" t="str">
            <v>12403-82-6</v>
          </cell>
          <cell r="C137" t="str">
            <v>Lead, dihydroxy[2,4,6-trinitro-1,3-benzenediolato(2-)]di-</v>
          </cell>
          <cell r="D137" t="str">
            <v>물질을 용량비율 0.3% 이상 함유한 제제</v>
          </cell>
          <cell r="E137">
            <v>0.3</v>
          </cell>
        </row>
        <row r="138">
          <cell r="B138" t="str">
            <v>12435-47-1</v>
          </cell>
          <cell r="C138" t="str">
            <v>Lead germanate</v>
          </cell>
          <cell r="D138" t="str">
            <v>물질을 용량비율 0.3% 이상 함유한 제제</v>
          </cell>
          <cell r="E138">
            <v>0.3</v>
          </cell>
        </row>
        <row r="139">
          <cell r="B139" t="str">
            <v>12442-27-2</v>
          </cell>
          <cell r="C139" t="str">
            <v>Cadmium zinc sulfide ((Cd,Zn)S)</v>
          </cell>
          <cell r="D139" t="str">
            <v>물질을 용량비율 0.1% 이상 함유한 제제</v>
          </cell>
          <cell r="E139">
            <v>0.1</v>
          </cell>
        </row>
        <row r="140">
          <cell r="B140" t="str">
            <v>12503-49-0</v>
          </cell>
          <cell r="C140" t="str">
            <v>Antimony, compound with nickel (1:3)</v>
          </cell>
          <cell r="D140" t="str">
            <v>단 불용성화합물을 0.1% 이상 함유한 제제</v>
          </cell>
          <cell r="E140">
            <v>0.1</v>
          </cell>
        </row>
        <row r="141">
          <cell r="B141" t="str">
            <v>125328-49-6</v>
          </cell>
          <cell r="C141" t="str">
            <v>Fatty acids, C4- 20-branched, lead salts</v>
          </cell>
          <cell r="D141" t="str">
            <v>물질을 용량비율 0.3% 이상 함유한 제제</v>
          </cell>
          <cell r="E141">
            <v>0.3</v>
          </cell>
        </row>
        <row r="142">
          <cell r="B142" t="str">
            <v>125494-56-6</v>
          </cell>
          <cell r="C142" t="str">
            <v>Lead, C9- 28-neocarboxylate 2-ethylhexanoate complexes, basic</v>
          </cell>
          <cell r="D142" t="str">
            <v>물질을 용량비율 0.3% 이상 함유한 제제</v>
          </cell>
          <cell r="E142">
            <v>0.3</v>
          </cell>
        </row>
        <row r="143">
          <cell r="B143" t="str">
            <v>12565-18-3</v>
          </cell>
          <cell r="C143" t="str">
            <v>Lead, bis(octadecanoato)dioxotri-</v>
          </cell>
          <cell r="D143" t="str">
            <v>물질을 용량비율 0.3% 이상 함유한 제제</v>
          </cell>
          <cell r="E143">
            <v>0.3</v>
          </cell>
        </row>
        <row r="144">
          <cell r="B144" t="str">
            <v>12578-12-0</v>
          </cell>
          <cell r="C144" t="str">
            <v>Dioxo distearate trilead</v>
          </cell>
          <cell r="D144" t="str">
            <v>물질을 용량비율 0.3% 이상 함유한 제제</v>
          </cell>
          <cell r="E144">
            <v>0.3</v>
          </cell>
        </row>
        <row r="145">
          <cell r="B145" t="str">
            <v>12608-25-2</v>
          </cell>
          <cell r="C145" t="str">
            <v>Basic lead sulfite</v>
          </cell>
          <cell r="D145" t="str">
            <v>물질을 용량비율 0.3% 이상 함유한 제제</v>
          </cell>
          <cell r="E145">
            <v>0.3</v>
          </cell>
        </row>
        <row r="146">
          <cell r="B146" t="str">
            <v>12612-47-4</v>
          </cell>
          <cell r="C146" t="str">
            <v>Lead chloride (V.A.N.)</v>
          </cell>
          <cell r="D146" t="str">
            <v>물질을 용량비율 0.3% 이상 함유한 제제</v>
          </cell>
          <cell r="E146">
            <v>0.3</v>
          </cell>
        </row>
        <row r="147">
          <cell r="B147" t="str">
            <v>12612-55-4</v>
          </cell>
          <cell r="C147" t="str">
            <v>Nickel carbonyl</v>
          </cell>
          <cell r="D147" t="str">
            <v>단 불용성화합물을 0.1% 이상 함유한 제제</v>
          </cell>
          <cell r="E147">
            <v>0.1</v>
          </cell>
        </row>
        <row r="148">
          <cell r="B148" t="str">
            <v>12619-90-8</v>
          </cell>
          <cell r="C148" t="str">
            <v>Nickel boride</v>
          </cell>
          <cell r="D148" t="str">
            <v>단 불용성화합물을 0.1% 이상 함유한 제제</v>
          </cell>
          <cell r="E148">
            <v>0.1</v>
          </cell>
        </row>
        <row r="149">
          <cell r="B149" t="str">
            <v>12626-36-7</v>
          </cell>
          <cell r="C149" t="str">
            <v>Cadmium selenide sulfide (Cd(Se,S))</v>
          </cell>
          <cell r="D149" t="str">
            <v>물질을 용량비율 0.1% 이상 함유한 제제</v>
          </cell>
          <cell r="E149">
            <v>0.1</v>
          </cell>
        </row>
        <row r="150">
          <cell r="B150" t="str">
            <v>12626-81-2</v>
          </cell>
          <cell r="C150" t="str">
            <v>Lead zirconate titanate (Pb(Ti,Zr)O3)</v>
          </cell>
          <cell r="D150" t="str">
            <v>물질을 용량비율 0.3% 이상 함유한 제제</v>
          </cell>
          <cell r="E150">
            <v>0.3</v>
          </cell>
        </row>
        <row r="151">
          <cell r="B151" t="str">
            <v>12635-29-9</v>
          </cell>
          <cell r="C151" t="str">
            <v>Nickel alloy, base , Ni,Al</v>
          </cell>
          <cell r="D151" t="str">
            <v>단 불용성화합물을 0.1% 이상 함유한 제제</v>
          </cell>
          <cell r="E151">
            <v>0.1</v>
          </cell>
        </row>
        <row r="152">
          <cell r="B152" t="str">
            <v>12653-76-8</v>
          </cell>
          <cell r="C152" t="str">
            <v>Nickel titanium oxide</v>
          </cell>
          <cell r="D152" t="str">
            <v>단 불용성화합물을 0.1% 이상 함유한 제제</v>
          </cell>
          <cell r="E152">
            <v>0.1</v>
          </cell>
        </row>
        <row r="153">
          <cell r="B153" t="str">
            <v>12656-57-4</v>
          </cell>
          <cell r="C153" t="str">
            <v>C.I. Pigment Orange 20</v>
          </cell>
          <cell r="D153" t="str">
            <v>물질을 용량비율 0.1% 이상 함유한 제제</v>
          </cell>
          <cell r="E153">
            <v>0.1</v>
          </cell>
        </row>
        <row r="154">
          <cell r="B154" t="str">
            <v>12656-85-8</v>
          </cell>
          <cell r="C154" t="str">
            <v>Molybdate orange   (Lead chromate pigment)</v>
          </cell>
          <cell r="D154" t="str">
            <v>6가 크롬을 0.1% 이상 함유한 제제</v>
          </cell>
          <cell r="E154">
            <v>0.1</v>
          </cell>
        </row>
        <row r="155">
          <cell r="B155" t="str">
            <v>12673-58-4</v>
          </cell>
          <cell r="C155" t="str">
            <v>Molybdenum nickel oxide</v>
          </cell>
          <cell r="D155" t="str">
            <v>단 불용성화합물을 0.1% 이상 함유한 제제</v>
          </cell>
          <cell r="E155">
            <v>0.1</v>
          </cell>
        </row>
        <row r="156">
          <cell r="B156" t="str">
            <v>12687-78-4</v>
          </cell>
          <cell r="C156" t="str">
            <v>Lead silicate sulfate</v>
          </cell>
          <cell r="D156" t="str">
            <v>물질을 용량비율 0.3% 이상 함유한 제제</v>
          </cell>
          <cell r="E156">
            <v>0.3</v>
          </cell>
        </row>
        <row r="157">
          <cell r="B157" t="str">
            <v>12688-64-1</v>
          </cell>
          <cell r="C157" t="str">
            <v>Bismuth, compound with nickel (1:1)</v>
          </cell>
          <cell r="D157" t="str">
            <v>단 불용성화합물을 0.1% 이상 함유한 제제</v>
          </cell>
          <cell r="E157">
            <v>0.1</v>
          </cell>
        </row>
        <row r="158">
          <cell r="B158" t="str">
            <v>12710-36-0</v>
          </cell>
          <cell r="C158" t="str">
            <v>Nickel carbide</v>
          </cell>
          <cell r="D158" t="str">
            <v>단 불용성화합물을 0.1% 이상 함유한 제제</v>
          </cell>
          <cell r="E158">
            <v>0.1</v>
          </cell>
        </row>
        <row r="159">
          <cell r="B159" t="str">
            <v>1271-28-9</v>
          </cell>
          <cell r="C159" t="str">
            <v>Nickelocene</v>
          </cell>
          <cell r="D159" t="str">
            <v>단 불용성화합물을 0.1% 이상 함유한 제제</v>
          </cell>
          <cell r="E159">
            <v>0.1</v>
          </cell>
        </row>
        <row r="160">
          <cell r="B160" t="str">
            <v>12737-98-3</v>
          </cell>
          <cell r="C160" t="str">
            <v>Lead tungsten oxide</v>
          </cell>
          <cell r="D160" t="str">
            <v>물질을 용량비율 0.3% 이상 함유한 제제</v>
          </cell>
          <cell r="E160">
            <v>0.3</v>
          </cell>
        </row>
        <row r="161">
          <cell r="B161" t="str">
            <v>12765-51-4</v>
          </cell>
          <cell r="C161" t="str">
            <v>Lead oxide sulfate</v>
          </cell>
          <cell r="D161" t="str">
            <v>물질을 용량비율 0.3% 이상 함유한 제제</v>
          </cell>
          <cell r="E161">
            <v>0.3</v>
          </cell>
        </row>
        <row r="162">
          <cell r="B162" t="str">
            <v>12794-26-2</v>
          </cell>
          <cell r="C162" t="str">
            <v>Bis(1-nitroso-2-naphtholato)nickel</v>
          </cell>
          <cell r="D162" t="str">
            <v>단 불용성화합물을 0.1% 이상 함유한 제제</v>
          </cell>
          <cell r="E162">
            <v>0.1</v>
          </cell>
        </row>
        <row r="163">
          <cell r="B163" t="str">
            <v>1295-35-8</v>
          </cell>
          <cell r="C163" t="str">
            <v>Bis(1,5-cyclooctadiene)nickel</v>
          </cell>
          <cell r="D163" t="str">
            <v>단 불용성화합물을 0.1% 이상 함유한 제제</v>
          </cell>
          <cell r="E163">
            <v>0.1</v>
          </cell>
        </row>
        <row r="164">
          <cell r="B164" t="str">
            <v>13001-15-5</v>
          </cell>
          <cell r="C164" t="str">
            <v>Nickel(2+) oleate</v>
          </cell>
          <cell r="D164" t="str">
            <v>단 불용성화합물을 0.1% 이상 함유한 제제</v>
          </cell>
          <cell r="E164">
            <v>0.1</v>
          </cell>
        </row>
        <row r="165">
          <cell r="B165" t="str">
            <v>13007-92-6</v>
          </cell>
          <cell r="C165" t="str">
            <v>Chromium carbonyl    （Chromium hexacarbonyl）</v>
          </cell>
          <cell r="D165" t="str">
            <v>6가 크롬을 0.1% 이상 함유한 제제</v>
          </cell>
          <cell r="E165">
            <v>0.1</v>
          </cell>
        </row>
        <row r="166">
          <cell r="B166" t="str">
            <v>1303-22-6</v>
          </cell>
          <cell r="C166" t="str">
            <v>Rammelsbergite (NiAs2)</v>
          </cell>
          <cell r="D166" t="str">
            <v>단 불용성화합물을 0.1% 이상 함유한 제제</v>
          </cell>
          <cell r="E166">
            <v>0.1</v>
          </cell>
        </row>
        <row r="167">
          <cell r="B167" t="str">
            <v>1306-19-0</v>
          </cell>
          <cell r="C167" t="str">
            <v>Cadmium oxide</v>
          </cell>
          <cell r="D167" t="str">
            <v>물질을 용량비율 0.1% 이상 함유한 제제</v>
          </cell>
          <cell r="E167">
            <v>0.1</v>
          </cell>
        </row>
        <row r="168">
          <cell r="B168" t="str">
            <v>1306-23-6</v>
          </cell>
          <cell r="C168" t="str">
            <v>Cadmium sulfide</v>
          </cell>
          <cell r="D168" t="str">
            <v>물질을 용량비율 0.1% 이상 함유한 제제</v>
          </cell>
          <cell r="E168">
            <v>0.1</v>
          </cell>
        </row>
        <row r="169">
          <cell r="B169" t="str">
            <v>1306-24-7</v>
          </cell>
          <cell r="C169" t="str">
            <v>Cadmium selenide (CdSe)</v>
          </cell>
          <cell r="D169" t="str">
            <v>물질을 용량비율 0.1% 이상 함유한 제제</v>
          </cell>
          <cell r="E169">
            <v>0.1</v>
          </cell>
        </row>
        <row r="170">
          <cell r="B170" t="str">
            <v>1306-25-8</v>
          </cell>
          <cell r="C170" t="str">
            <v>Cadmium telluride (CdTe)</v>
          </cell>
          <cell r="D170" t="str">
            <v>물질을 용량비율 0.1% 이상 함유한 제제</v>
          </cell>
          <cell r="E170">
            <v>0.1</v>
          </cell>
        </row>
        <row r="171">
          <cell r="B171" t="str">
            <v>13094-04-7</v>
          </cell>
          <cell r="C171" t="str">
            <v>Lead(2+) (R)-12-hydroxyoleate</v>
          </cell>
          <cell r="D171" t="str">
            <v>물질을 용량비율 0.3% 이상 함유한 제제</v>
          </cell>
          <cell r="E171">
            <v>0.3</v>
          </cell>
        </row>
        <row r="172">
          <cell r="B172" t="str">
            <v>1309-60-0</v>
          </cell>
          <cell r="C172" t="str">
            <v>Lead dioxide</v>
          </cell>
          <cell r="D172" t="str">
            <v>물질을 용량비율 0.3% 이상 함유한 제제</v>
          </cell>
          <cell r="E172">
            <v>0.3</v>
          </cell>
        </row>
        <row r="173">
          <cell r="B173" t="str">
            <v>1309-64-4</v>
          </cell>
          <cell r="C173" t="str">
            <v>Antimony trioxide</v>
          </cell>
          <cell r="D173" t="str">
            <v>삼산화안티몬을 0.1% 이상 함유한 제제</v>
          </cell>
          <cell r="E173">
            <v>0.1</v>
          </cell>
        </row>
        <row r="174">
          <cell r="B174" t="str">
            <v>1310-03-8</v>
          </cell>
          <cell r="C174" t="str">
            <v>Lead hexafluorosilicate</v>
          </cell>
          <cell r="D174" t="str">
            <v>물질을 용량비율 0.3% 이상 함유한 제제</v>
          </cell>
          <cell r="E174">
            <v>0.3</v>
          </cell>
        </row>
        <row r="175">
          <cell r="B175" t="str">
            <v>13138-45-9</v>
          </cell>
          <cell r="C175" t="str">
            <v>Nickel nitrate (2+ salt)</v>
          </cell>
          <cell r="D175" t="str">
            <v>단 불용성화합물을 0.1% 이상 함유한 제제</v>
          </cell>
          <cell r="E175">
            <v>0.1</v>
          </cell>
        </row>
        <row r="176">
          <cell r="B176" t="str">
            <v>1313-99-1</v>
          </cell>
          <cell r="C176" t="str">
            <v>Nickel oxide</v>
          </cell>
          <cell r="D176" t="str">
            <v>단 불용성화합물을 0.1% 이상 함유한 제제</v>
          </cell>
          <cell r="E176">
            <v>0.1</v>
          </cell>
        </row>
        <row r="177">
          <cell r="B177" t="str">
            <v>1314-05-2</v>
          </cell>
          <cell r="C177" t="str">
            <v>Nickel selenide</v>
          </cell>
          <cell r="D177" t="str">
            <v>단 불용성화합물을 0.1% 이상 함유한 제제</v>
          </cell>
          <cell r="E177">
            <v>0.1</v>
          </cell>
        </row>
        <row r="178">
          <cell r="B178" t="str">
            <v>1314-06-3</v>
          </cell>
          <cell r="C178" t="str">
            <v>Nickel oxide (Ni2O3)</v>
          </cell>
          <cell r="D178" t="str">
            <v>단 불용성화합물을 0.1% 이상 함유한 제제</v>
          </cell>
          <cell r="E178">
            <v>0.1</v>
          </cell>
        </row>
        <row r="179">
          <cell r="B179" t="str">
            <v>1314-27-8</v>
          </cell>
          <cell r="C179" t="str">
            <v>Lead trioxide</v>
          </cell>
          <cell r="D179" t="str">
            <v>물질을 용량비율 0.3% 이상 함유한 제제</v>
          </cell>
          <cell r="E179">
            <v>0.3</v>
          </cell>
        </row>
        <row r="180">
          <cell r="B180" t="str">
            <v>1314-41-6</v>
          </cell>
          <cell r="C180" t="str">
            <v>Lead oxide</v>
          </cell>
          <cell r="D180" t="str">
            <v>물질을 용량비율 0.3% 이상 함유한 제제</v>
          </cell>
          <cell r="E180">
            <v>0.3</v>
          </cell>
        </row>
        <row r="181">
          <cell r="B181" t="str">
            <v>1314-87-0</v>
          </cell>
          <cell r="C181" t="str">
            <v>Lead sulfide  (PbS)</v>
          </cell>
          <cell r="D181" t="str">
            <v>물질을 용량비율 0.3% 이상 함유한 제제</v>
          </cell>
          <cell r="E181">
            <v>0.3</v>
          </cell>
        </row>
        <row r="182">
          <cell r="B182" t="str">
            <v>1314-91-6</v>
          </cell>
          <cell r="C182" t="str">
            <v>Lead telluride</v>
          </cell>
          <cell r="D182" t="str">
            <v>물질을 용량비율 0.3% 이상 함유한 제제</v>
          </cell>
          <cell r="E182">
            <v>0.3</v>
          </cell>
        </row>
        <row r="183">
          <cell r="B183" t="str">
            <v>1317-36-8</v>
          </cell>
          <cell r="C183" t="str">
            <v>Lead monoxide</v>
          </cell>
          <cell r="D183" t="str">
            <v>물질을 용량비율 0.3% 이상 함유한 제제</v>
          </cell>
          <cell r="E183">
            <v>0.3</v>
          </cell>
        </row>
        <row r="184">
          <cell r="B184" t="str">
            <v>1319-46-6</v>
          </cell>
          <cell r="C184" t="str">
            <v>Lead carbonate basic</v>
          </cell>
          <cell r="D184" t="str">
            <v>물질을 용량비율 0.3% 이상 함유한 제제</v>
          </cell>
          <cell r="E184">
            <v>0.3</v>
          </cell>
        </row>
        <row r="185">
          <cell r="B185" t="str">
            <v>1326-05-2</v>
          </cell>
          <cell r="C185" t="str">
            <v>Spiro[isobenzofuran-1(3H),9'-[9H]xanthen]-3-one, 2',4',5',7'-tetrabromo-3',6'-dihydroxy-, lead salt</v>
          </cell>
          <cell r="D185" t="str">
            <v>물질을 용량비율 0.3% 이상 함유한 제제</v>
          </cell>
          <cell r="E185">
            <v>0.3</v>
          </cell>
        </row>
        <row r="186">
          <cell r="B186" t="str">
            <v>1328-67-2</v>
          </cell>
          <cell r="C186" t="str">
            <v>Zinc chromate</v>
          </cell>
          <cell r="D186" t="str">
            <v>6가 크롬을 0.1% 이상 함유한 제제</v>
          </cell>
          <cell r="E186">
            <v>0.1</v>
          </cell>
        </row>
        <row r="187">
          <cell r="B187" t="str">
            <v>1333-82-0</v>
          </cell>
          <cell r="C187" t="str">
            <v>Chromium trioxide (CrO3)</v>
          </cell>
          <cell r="D187" t="str">
            <v>6가 크롬을 0.1% 이상 함유한 제제</v>
          </cell>
          <cell r="E187">
            <v>0.1</v>
          </cell>
        </row>
        <row r="188">
          <cell r="B188" t="str">
            <v>1335-25-7</v>
          </cell>
          <cell r="C188" t="str">
            <v>Lead oxide</v>
          </cell>
          <cell r="D188" t="str">
            <v>물질을 용량비율 0.3% 이상 함유한 제제</v>
          </cell>
          <cell r="E188">
            <v>0.3</v>
          </cell>
        </row>
        <row r="189">
          <cell r="B189" t="str">
            <v>1335-32-6</v>
          </cell>
          <cell r="C189" t="str">
            <v>Lead(Ⅱ) acetate basic</v>
          </cell>
          <cell r="D189" t="str">
            <v>물질을 용량비율 0.3% 이상 함유한 제제</v>
          </cell>
          <cell r="E189">
            <v>0.3</v>
          </cell>
        </row>
        <row r="190">
          <cell r="B190" t="str">
            <v>13406-89-8</v>
          </cell>
          <cell r="C190" t="str">
            <v>Lead(2+) 2,4-dinitroresorcinolate</v>
          </cell>
          <cell r="D190" t="str">
            <v>물질을 용량비율 0.3% 이상 함유한 제제</v>
          </cell>
          <cell r="E190">
            <v>0.3</v>
          </cell>
        </row>
        <row r="191">
          <cell r="B191" t="str">
            <v>13423-61-5</v>
          </cell>
          <cell r="C191" t="str">
            <v>Chromic acid (H2CrO4), magnesium salt (1:1)</v>
          </cell>
          <cell r="D191" t="str">
            <v>6가 크롬을 0.1% 이상 함유한 제제</v>
          </cell>
          <cell r="E191">
            <v>0.1</v>
          </cell>
        </row>
        <row r="192">
          <cell r="B192" t="str">
            <v>13424-46-9</v>
          </cell>
          <cell r="C192" t="str">
            <v>Lead azide</v>
          </cell>
          <cell r="D192" t="str">
            <v>물질을 용량비율 0.3% 이상 함유한 제제</v>
          </cell>
          <cell r="E192">
            <v>0.3</v>
          </cell>
        </row>
        <row r="193">
          <cell r="B193" t="str">
            <v>1344-36-1</v>
          </cell>
          <cell r="C193" t="str">
            <v>Lead hydroxidcarbonate</v>
          </cell>
          <cell r="D193" t="str">
            <v>물질을 용량비율 0.3% 이상 함유한 제제</v>
          </cell>
          <cell r="E193">
            <v>0.3</v>
          </cell>
        </row>
        <row r="194">
          <cell r="B194" t="str">
            <v>1344-37-2</v>
          </cell>
          <cell r="C194" t="str">
            <v>Lead chromate （Chrome yellow）</v>
          </cell>
          <cell r="D194" t="str">
            <v>물질을 용량비율 0.3% 이상 함유한 제제</v>
          </cell>
          <cell r="E194">
            <v>0.3</v>
          </cell>
        </row>
        <row r="195">
          <cell r="B195" t="str">
            <v>1344-38-3</v>
          </cell>
          <cell r="C195" t="str">
            <v>C.I. Pigment Orange 21</v>
          </cell>
          <cell r="D195" t="str">
            <v>6가 크롬을 0.1% 이상 함유한 제제</v>
          </cell>
          <cell r="E195">
            <v>0.1</v>
          </cell>
        </row>
        <row r="196">
          <cell r="B196" t="str">
            <v>1344-40-7</v>
          </cell>
          <cell r="C196" t="str">
            <v>Lead phosphite tribasic</v>
          </cell>
          <cell r="D196" t="str">
            <v>물질을 용량비율 0.3% 이상 함유한 제제</v>
          </cell>
          <cell r="E196">
            <v>0.3</v>
          </cell>
        </row>
        <row r="197">
          <cell r="B197" t="str">
            <v>13453-35-5</v>
          </cell>
          <cell r="C197" t="str">
            <v>Dithallium dichromate</v>
          </cell>
          <cell r="D197" t="str">
            <v>6가 크롬을 0.1% 이상 함유한 제제</v>
          </cell>
          <cell r="E197">
            <v>0.1</v>
          </cell>
        </row>
        <row r="198">
          <cell r="B198" t="str">
            <v>13453-65-1</v>
          </cell>
          <cell r="C198" t="str">
            <v>Phosphonic acid, lead(2+) salt (1:1)</v>
          </cell>
          <cell r="D198" t="str">
            <v>물질을 용량비율 0.3% 이상 함유한 제제</v>
          </cell>
          <cell r="E198">
            <v>0.3</v>
          </cell>
        </row>
        <row r="199">
          <cell r="B199" t="str">
            <v>13453-66-2</v>
          </cell>
          <cell r="C199" t="str">
            <v>Lead pyrophosphate</v>
          </cell>
          <cell r="D199" t="str">
            <v>물질을 용량비율 0.3% 이상 함유한 제제</v>
          </cell>
          <cell r="E199">
            <v>0.3</v>
          </cell>
        </row>
        <row r="200">
          <cell r="B200" t="str">
            <v>13454-78-9</v>
          </cell>
          <cell r="C200" t="str">
            <v>Cesium chromate</v>
          </cell>
          <cell r="D200" t="str">
            <v>6가 크롬을 0.1% 이상 함유한 제제</v>
          </cell>
          <cell r="E200">
            <v>0.1</v>
          </cell>
        </row>
        <row r="201">
          <cell r="B201" t="str">
            <v>13455-25-9</v>
          </cell>
          <cell r="C201" t="str">
            <v>Cobalt chromate</v>
          </cell>
          <cell r="D201" t="str">
            <v>6가 크롬을 0.1% 이상 함유한 제제</v>
          </cell>
          <cell r="E201">
            <v>0.1</v>
          </cell>
        </row>
        <row r="202">
          <cell r="B202" t="str">
            <v>13462-88-9</v>
          </cell>
          <cell r="C202" t="str">
            <v>Nickel bromide (NiBr2)</v>
          </cell>
          <cell r="D202" t="str">
            <v>단 불용성화합물을 0.1% 이상 함유한 제제</v>
          </cell>
          <cell r="E202">
            <v>0.1</v>
          </cell>
        </row>
        <row r="203">
          <cell r="B203" t="str">
            <v>13462-90-3</v>
          </cell>
          <cell r="C203" t="str">
            <v>Nickel(II) iodide</v>
          </cell>
          <cell r="D203" t="str">
            <v>단 불용성화합물을 0.1% 이상 함유한 제제</v>
          </cell>
          <cell r="E203">
            <v>0.1</v>
          </cell>
        </row>
        <row r="204">
          <cell r="B204" t="str">
            <v>13463-39-3</v>
          </cell>
          <cell r="C204" t="str">
            <v>Nickel carbonyl</v>
          </cell>
          <cell r="D204" t="str">
            <v>단 불용성화합물을 0.1% 이상 함유한 제제</v>
          </cell>
          <cell r="E204">
            <v>0.1</v>
          </cell>
        </row>
        <row r="205">
          <cell r="B205" t="str">
            <v>13464-92-1</v>
          </cell>
          <cell r="C205" t="str">
            <v>Cadmium bromide, tetrahydrate</v>
          </cell>
          <cell r="D205" t="str">
            <v>물질을 용량비율 0.1% 이상 함유한 제제</v>
          </cell>
          <cell r="E205">
            <v>0.1</v>
          </cell>
        </row>
        <row r="206">
          <cell r="B206" t="str">
            <v>13473-75-1</v>
          </cell>
          <cell r="C206" t="str">
            <v>Thallium (I) chromate</v>
          </cell>
          <cell r="D206" t="str">
            <v>6가 크롬을 0.1% 이상 함유한 제제</v>
          </cell>
          <cell r="E206">
            <v>0.1</v>
          </cell>
        </row>
        <row r="207">
          <cell r="B207" t="str">
            <v>13477-17-3</v>
          </cell>
          <cell r="C207" t="str">
            <v>Phosphoric acid, cadmium salt (2:3)</v>
          </cell>
          <cell r="D207" t="str">
            <v>물질을 용량비율 0.1% 이상 함유한 제제</v>
          </cell>
          <cell r="E207">
            <v>0.1</v>
          </cell>
        </row>
        <row r="208">
          <cell r="B208" t="str">
            <v>13477-19-5</v>
          </cell>
          <cell r="C208" t="str">
            <v>Silicic acid (H2SiO3), cadmium salt (1:1)</v>
          </cell>
          <cell r="D208" t="str">
            <v>물질을 용량비율 0.1% 이상 함유한 제제</v>
          </cell>
          <cell r="E208">
            <v>0.1</v>
          </cell>
        </row>
        <row r="209">
          <cell r="B209" t="str">
            <v>13477-23-1</v>
          </cell>
          <cell r="C209" t="str">
            <v>Cadmium sulphite</v>
          </cell>
          <cell r="D209" t="str">
            <v>물질을 용량비율 0.1% 이상 함유한 제제</v>
          </cell>
          <cell r="E209">
            <v>0.1</v>
          </cell>
        </row>
        <row r="210">
          <cell r="B210" t="str">
            <v>13477-70-8</v>
          </cell>
          <cell r="C210" t="str">
            <v>Trinickel bis(arsenate)</v>
          </cell>
          <cell r="D210" t="str">
            <v>단 불용성화합물을 0.1% 이상 함유한 제제</v>
          </cell>
          <cell r="E210">
            <v>0.1</v>
          </cell>
        </row>
        <row r="211">
          <cell r="B211" t="str">
            <v>13478-00-7</v>
          </cell>
          <cell r="C211" t="str">
            <v>Nickel(II) nitrate, hexahydrate (1:2:6)</v>
          </cell>
          <cell r="D211" t="str">
            <v>단 불용성화합물을 0.1% 이상 함유한 제제</v>
          </cell>
          <cell r="E211">
            <v>0.1</v>
          </cell>
        </row>
        <row r="212">
          <cell r="B212" t="str">
            <v>13478-50-7</v>
          </cell>
          <cell r="C212" t="str">
            <v>Lead thiosulfate</v>
          </cell>
          <cell r="D212" t="str">
            <v>물질을 용량비율 0.3% 이상 함유한 제제</v>
          </cell>
          <cell r="E212">
            <v>0.3</v>
          </cell>
        </row>
        <row r="213">
          <cell r="B213" t="str">
            <v>13478-93-8</v>
          </cell>
          <cell r="C213" t="str">
            <v>Bis(butanedione dioximato)nickel</v>
          </cell>
          <cell r="D213" t="str">
            <v>단 불용성화합물을 0.1% 이상 함유한 제제</v>
          </cell>
          <cell r="E213">
            <v>0.1</v>
          </cell>
        </row>
        <row r="214">
          <cell r="B214" t="str">
            <v>13510-89-9</v>
          </cell>
          <cell r="C214" t="str">
            <v>Lead antimonate</v>
          </cell>
          <cell r="D214" t="str">
            <v>물질을 용량비율 0.3% 이상 함유한 제제</v>
          </cell>
          <cell r="E214">
            <v>0.3</v>
          </cell>
        </row>
        <row r="215">
          <cell r="B215" t="str">
            <v>13520-61-1</v>
          </cell>
          <cell r="C215" t="str">
            <v>Perchloric acid, nickel(2+) salt, hexahydrate</v>
          </cell>
          <cell r="D215" t="str">
            <v>단 불용성화합물을 0.1% 이상 함유한 제제</v>
          </cell>
          <cell r="E215">
            <v>0.1</v>
          </cell>
        </row>
        <row r="216">
          <cell r="B216" t="str">
            <v>13530-65-9</v>
          </cell>
          <cell r="C216" t="str">
            <v>Zinc chromate</v>
          </cell>
          <cell r="D216" t="str">
            <v>6가 크롬을 0.1% 이상 함유한 제제</v>
          </cell>
          <cell r="E216">
            <v>0.1</v>
          </cell>
        </row>
        <row r="217">
          <cell r="B217" t="str">
            <v>13530-68-2</v>
          </cell>
          <cell r="C217" t="str">
            <v>Dichromic acid  (H2Cr2O7)</v>
          </cell>
          <cell r="D217" t="str">
            <v>6가 크롬을 0.1% 이상 함유한 제제</v>
          </cell>
          <cell r="E217">
            <v>0.1</v>
          </cell>
        </row>
        <row r="218">
          <cell r="B218" t="str">
            <v>13548-42-0</v>
          </cell>
          <cell r="C218" t="str">
            <v>Copper chromate</v>
          </cell>
          <cell r="D218" t="str">
            <v>6가 크롬을 0.1% 이상 함유한 제제</v>
          </cell>
          <cell r="E218">
            <v>0.1</v>
          </cell>
        </row>
        <row r="219">
          <cell r="B219" t="str">
            <v>13566-17-1</v>
          </cell>
          <cell r="C219" t="str">
            <v>Lead silicate</v>
          </cell>
          <cell r="D219" t="str">
            <v>물질을 용량비율 0.3% 이상 함유한 제제</v>
          </cell>
          <cell r="E219">
            <v>0.3</v>
          </cell>
        </row>
        <row r="220">
          <cell r="B220" t="str">
            <v>13637-71-3</v>
          </cell>
          <cell r="C220" t="str">
            <v>Nickel perchlorate</v>
          </cell>
          <cell r="D220" t="str">
            <v>단 불용성화합물을 0.1% 이상 함유한 제제</v>
          </cell>
          <cell r="E220">
            <v>0.1</v>
          </cell>
        </row>
        <row r="221">
          <cell r="B221" t="str">
            <v>13637-76-8</v>
          </cell>
          <cell r="C221" t="str">
            <v>Lead perchlorate</v>
          </cell>
          <cell r="D221" t="str">
            <v>물질을 용량비율 0.3% 이상 함유한 제제</v>
          </cell>
          <cell r="E221">
            <v>0.3</v>
          </cell>
        </row>
        <row r="222">
          <cell r="B222" t="str">
            <v>13654-40-5</v>
          </cell>
          <cell r="C222" t="str">
            <v>Nickel(2+) palmitate</v>
          </cell>
          <cell r="D222" t="str">
            <v>단 불용성화합물을 0.1% 이상 함유한 제제</v>
          </cell>
          <cell r="E222">
            <v>0.1</v>
          </cell>
        </row>
        <row r="223">
          <cell r="B223" t="str">
            <v>13675-47-3</v>
          </cell>
          <cell r="C223" t="str">
            <v>Copper dichromate</v>
          </cell>
          <cell r="D223" t="str">
            <v>6가 크롬을 0.1% 이상 함유한 제제</v>
          </cell>
          <cell r="E223">
            <v>0.1</v>
          </cell>
        </row>
        <row r="224">
          <cell r="B224" t="str">
            <v>13689-92-4</v>
          </cell>
          <cell r="C224" t="str">
            <v>Nickel dithiocyanate</v>
          </cell>
          <cell r="D224" t="str">
            <v>단 불용성화합물을 0.1% 이상 함유한 제제</v>
          </cell>
          <cell r="E224">
            <v>0.1</v>
          </cell>
        </row>
        <row r="225">
          <cell r="B225" t="str">
            <v>13698-55-0</v>
          </cell>
          <cell r="C225" t="str">
            <v>2-Butenedioic acid (E)-, lead salt</v>
          </cell>
          <cell r="D225" t="str">
            <v>물질을 용량비율 0.3% 이상 함유한 제제</v>
          </cell>
          <cell r="E225">
            <v>0.3</v>
          </cell>
        </row>
        <row r="226">
          <cell r="B226" t="str">
            <v>13701-66-1</v>
          </cell>
          <cell r="C226" t="str">
            <v>Diboron tricadmium hexaoxide</v>
          </cell>
          <cell r="D226" t="str">
            <v>물질을 용량비율 0.1% 이상 함유한 제제</v>
          </cell>
          <cell r="E226">
            <v>0.1</v>
          </cell>
        </row>
        <row r="227">
          <cell r="B227" t="str">
            <v>13755-33-4</v>
          </cell>
          <cell r="C227" t="str">
            <v>Dicadmium hexakis(cyano-C)ferrate(4-)</v>
          </cell>
          <cell r="D227" t="str">
            <v>물질을 용량비율 0.1% 이상 함유한 제제</v>
          </cell>
          <cell r="E227">
            <v>0.1</v>
          </cell>
        </row>
        <row r="228">
          <cell r="B228" t="str">
            <v>13765-19-0</v>
          </cell>
          <cell r="C228" t="str">
            <v>Calcium chromate</v>
          </cell>
          <cell r="D228" t="str">
            <v>6가 크롬을 0.1% 이상 함유한 제제</v>
          </cell>
          <cell r="E228">
            <v>0.1</v>
          </cell>
        </row>
        <row r="229">
          <cell r="B229" t="str">
            <v>13767-78-7</v>
          </cell>
          <cell r="C229" t="str">
            <v>Lead disulphamidate</v>
          </cell>
          <cell r="D229" t="str">
            <v>물질을 용량비율 0.3% 이상 함유한 제제</v>
          </cell>
          <cell r="E229">
            <v>0.3</v>
          </cell>
        </row>
        <row r="230">
          <cell r="B230" t="str">
            <v>13770-89-3</v>
          </cell>
          <cell r="C230" t="str">
            <v>Sulfamic acid, nickel(2+) salt (2:1)</v>
          </cell>
          <cell r="D230" t="str">
            <v>단 불용성화합물을 0.1% 이상 함유한 제제</v>
          </cell>
          <cell r="E230">
            <v>0.1</v>
          </cell>
        </row>
        <row r="231">
          <cell r="B231" t="str">
            <v>13775-54-7</v>
          </cell>
          <cell r="C231" t="str">
            <v>Dinickel orthosilicate</v>
          </cell>
          <cell r="D231" t="str">
            <v>단 불용성화합물을 0.1% 이상 함유한 제제</v>
          </cell>
          <cell r="E231">
            <v>0.1</v>
          </cell>
        </row>
        <row r="232">
          <cell r="B232" t="str">
            <v>13814-59-0</v>
          </cell>
          <cell r="C232" t="str">
            <v>Selenious acid, cadmium salt (1:1)</v>
          </cell>
          <cell r="D232" t="str">
            <v>물질을 용량비율 0.1% 이상 함유한 제제</v>
          </cell>
          <cell r="E232">
            <v>0.1</v>
          </cell>
        </row>
        <row r="233">
          <cell r="B233" t="str">
            <v>13814-62-5</v>
          </cell>
          <cell r="C233" t="str">
            <v>Selenic acid, cadmium salt (1:1)</v>
          </cell>
          <cell r="D233" t="str">
            <v>물질을 용량비율 0.1% 이상 함유한 제제</v>
          </cell>
          <cell r="E233">
            <v>0.1</v>
          </cell>
        </row>
        <row r="234">
          <cell r="B234" t="str">
            <v>13814-96-5</v>
          </cell>
          <cell r="C234" t="str">
            <v>Lead fluoborate</v>
          </cell>
          <cell r="D234" t="str">
            <v>물질을 용량비율 0.3% 이상 함유한 제제</v>
          </cell>
          <cell r="E234">
            <v>0.3</v>
          </cell>
        </row>
        <row r="235">
          <cell r="B235" t="str">
            <v>13826-65-8</v>
          </cell>
          <cell r="C235" t="str">
            <v>Nitrous acid, lead(2+) salt</v>
          </cell>
          <cell r="D235" t="str">
            <v>물질을 용량비율 0.3% 이상 함유한 제제</v>
          </cell>
          <cell r="E235">
            <v>0.3</v>
          </cell>
        </row>
        <row r="236">
          <cell r="B236" t="str">
            <v>13832-25-2</v>
          </cell>
          <cell r="C236" t="str">
            <v>Cadmium diricinoleate</v>
          </cell>
          <cell r="D236" t="str">
            <v>물질을 용량비율 0.1% 이상 함유한 제제</v>
          </cell>
          <cell r="E236">
            <v>0.1</v>
          </cell>
        </row>
        <row r="237">
          <cell r="B237" t="str">
            <v>13842-46-1</v>
          </cell>
          <cell r="C237" t="str">
            <v>Nickel dipotassium bis(sulphate)</v>
          </cell>
          <cell r="D237" t="str">
            <v>단 불용성화합물을 0.1% 이상 함유한 제제</v>
          </cell>
          <cell r="E237">
            <v>0.1</v>
          </cell>
        </row>
        <row r="238">
          <cell r="B238" t="str">
            <v>13845-35-7</v>
          </cell>
          <cell r="C238" t="str">
            <v>Lead tellurite</v>
          </cell>
          <cell r="D238" t="str">
            <v>물질을 용량비율 0.3% 이상 함유한 제제</v>
          </cell>
          <cell r="E238">
            <v>0.3</v>
          </cell>
        </row>
        <row r="239">
          <cell r="B239" t="str">
            <v>13847-17-1</v>
          </cell>
          <cell r="C239" t="str">
            <v>Phosphoric acid, cadmium salt</v>
          </cell>
          <cell r="D239" t="str">
            <v>물질을 용량비율 0.1% 이상 함유한 제제</v>
          </cell>
          <cell r="E239">
            <v>0.1</v>
          </cell>
        </row>
        <row r="240">
          <cell r="B240" t="str">
            <v>13859-60-4</v>
          </cell>
          <cell r="C240" t="str">
            <v>Dipotassium tetrafluoronickelate(2-)</v>
          </cell>
          <cell r="D240" t="str">
            <v>단 불용성화합물을 0.1% 이상 함유한 제제</v>
          </cell>
          <cell r="E240">
            <v>0.1</v>
          </cell>
        </row>
        <row r="241">
          <cell r="B241" t="str">
            <v>13859-65-9</v>
          </cell>
          <cell r="C241" t="str">
            <v>Tetrakis(trifluorophosphine)nickel</v>
          </cell>
          <cell r="D241" t="str">
            <v>단 불용성화합물을 0.1% 이상 함유한 제제</v>
          </cell>
          <cell r="E241">
            <v>0.1</v>
          </cell>
        </row>
        <row r="242">
          <cell r="B242" t="str">
            <v>13869-33-5</v>
          </cell>
          <cell r="C242" t="str">
            <v>Nickel, [N-(carboxymethyl)glycinato(2-)-N,O,ON]-</v>
          </cell>
          <cell r="D242" t="str">
            <v>단 불용성화합물을 0.1% 이상 함유한 제제</v>
          </cell>
          <cell r="E242">
            <v>0.1</v>
          </cell>
        </row>
        <row r="243">
          <cell r="B243" t="str">
            <v>13877-20-8</v>
          </cell>
          <cell r="C243" t="str">
            <v>Hexaamminenickel(2+) bis[tetrafluoroborate(1-)]</v>
          </cell>
          <cell r="D243" t="str">
            <v>단 불용성화합물을 0.1% 이상 함유한 제제</v>
          </cell>
          <cell r="E243">
            <v>0.1</v>
          </cell>
        </row>
        <row r="244">
          <cell r="B244" t="str">
            <v>13927-77-0</v>
          </cell>
          <cell r="C244" t="str">
            <v>Nickel, bis(dibutylcarbamodithioato-S,S')-, (SP-4-1)-</v>
          </cell>
          <cell r="D244" t="str">
            <v>단 불용성화합물을 0.1% 이상 함유한 제제</v>
          </cell>
          <cell r="E244">
            <v>0.1</v>
          </cell>
        </row>
        <row r="245">
          <cell r="B245" t="str">
            <v>13940-83-5</v>
          </cell>
          <cell r="C245" t="str">
            <v>Nickel fluoride (NiF2), tetrahydrate</v>
          </cell>
          <cell r="D245" t="str">
            <v>단 불용성화합물을 0.1% 이상 함유한 제제</v>
          </cell>
          <cell r="E245">
            <v>0.1</v>
          </cell>
        </row>
        <row r="246">
          <cell r="B246" t="str">
            <v>13972-68-4</v>
          </cell>
          <cell r="C246" t="str">
            <v>Cadmium molybdenum oxide (CdMoO4)</v>
          </cell>
          <cell r="D246" t="str">
            <v>물질을 용량비율 0.1% 이상 함유한 제제</v>
          </cell>
          <cell r="E246">
            <v>0.1</v>
          </cell>
        </row>
        <row r="247">
          <cell r="B247" t="str">
            <v>14017-36-8</v>
          </cell>
          <cell r="C247" t="str">
            <v>Sulfamic acid, cadmium salt (2:1)</v>
          </cell>
          <cell r="D247" t="str">
            <v>물질을 용량비율 0.1% 이상 함유한 제제</v>
          </cell>
          <cell r="E247">
            <v>0.1</v>
          </cell>
        </row>
        <row r="248">
          <cell r="B248" t="str">
            <v>14018-95-2</v>
          </cell>
          <cell r="C248" t="str">
            <v>Zinc dichromate</v>
          </cell>
          <cell r="D248" t="str">
            <v>6가 크롬을 0.1% 이상 함유한 제제</v>
          </cell>
          <cell r="E248">
            <v>0.1</v>
          </cell>
        </row>
        <row r="249">
          <cell r="B249" t="str">
            <v>14038-85-8</v>
          </cell>
          <cell r="C249" t="str">
            <v>Nickelate(2-), tetrakis(cyano-C)-, disodium, (SP-4-1)-</v>
          </cell>
          <cell r="D249" t="str">
            <v>단 불용성화합물을 0.1% 이상 함유한 제제</v>
          </cell>
          <cell r="E249">
            <v>0.1</v>
          </cell>
        </row>
        <row r="250">
          <cell r="B250" t="str">
            <v>14055-02-8</v>
          </cell>
          <cell r="C250" t="str">
            <v>Nickel, [29H,31H-phthalocyaninato(2-)-N29,N30,N31,N32]-, (SP-4-1)-</v>
          </cell>
          <cell r="D250" t="str">
            <v>단 불용성화합물을 0.1% 이상 함유한 제제</v>
          </cell>
          <cell r="E250">
            <v>0.1</v>
          </cell>
        </row>
        <row r="251">
          <cell r="B251" t="str">
            <v>14067-62-0</v>
          </cell>
          <cell r="C251" t="str">
            <v>Cadmium hydrogen phosphate</v>
          </cell>
          <cell r="D251" t="str">
            <v>물질을 용량비율 0.1% 이상 함유한 제제</v>
          </cell>
          <cell r="E251">
            <v>0.1</v>
          </cell>
        </row>
        <row r="252">
          <cell r="B252" t="str">
            <v>14100-15-3</v>
          </cell>
          <cell r="C252" t="str">
            <v>Bis(quinolin-8-olato-N1,O8)nickel</v>
          </cell>
          <cell r="D252" t="str">
            <v>단 불용성화합물을 0.1% 이상 함유한 제제</v>
          </cell>
          <cell r="E252">
            <v>0.1</v>
          </cell>
        </row>
        <row r="253">
          <cell r="B253" t="str">
            <v>141-00-4</v>
          </cell>
          <cell r="C253" t="str">
            <v>Cadmium succinate</v>
          </cell>
          <cell r="D253" t="str">
            <v>물질을 용량비율 0.1% 이상 함유한 제제</v>
          </cell>
          <cell r="E253">
            <v>0.1</v>
          </cell>
        </row>
        <row r="254">
          <cell r="B254" t="str">
            <v>14104-85-9</v>
          </cell>
          <cell r="C254" t="str">
            <v>Magnesium dichromate</v>
          </cell>
          <cell r="D254" t="str">
            <v>6가 크롬을 0.1% 이상 함유한 제제</v>
          </cell>
          <cell r="E254">
            <v>0.1</v>
          </cell>
        </row>
        <row r="255">
          <cell r="B255" t="str">
            <v>14119-28-9</v>
          </cell>
          <cell r="C255" t="str">
            <v>Lead 205</v>
          </cell>
          <cell r="D255" t="str">
            <v>물질을 용량비율 0.3% 이상 함유한 제제</v>
          </cell>
          <cell r="E255">
            <v>0.3</v>
          </cell>
        </row>
        <row r="256">
          <cell r="B256" t="str">
            <v>14119-30-3</v>
          </cell>
          <cell r="C256" t="str">
            <v>Lead 209</v>
          </cell>
          <cell r="D256" t="str">
            <v>물질을 용량비율 0.3% 이상 함유한 제제</v>
          </cell>
          <cell r="E256">
            <v>0.3</v>
          </cell>
        </row>
        <row r="257">
          <cell r="B257" t="str">
            <v>14177-51-6</v>
          </cell>
          <cell r="C257" t="str">
            <v>Nickel tungsten oxide (NiWO4)</v>
          </cell>
          <cell r="D257" t="str">
            <v>단 불용성화합물을 0.1% 이상 함유한 제제</v>
          </cell>
          <cell r="E257">
            <v>0.1</v>
          </cell>
        </row>
        <row r="258">
          <cell r="B258" t="str">
            <v>14177-55-0</v>
          </cell>
          <cell r="C258" t="str">
            <v>Molybdenum nickel oxide (MoNiO4)</v>
          </cell>
          <cell r="D258" t="str">
            <v>단 불용성화합물을 0.1% 이상 함유한 제제</v>
          </cell>
          <cell r="E258">
            <v>0.1</v>
          </cell>
        </row>
        <row r="259">
          <cell r="B259" t="str">
            <v>14216-75-2</v>
          </cell>
          <cell r="C259" t="str">
            <v>Nickel nitrate</v>
          </cell>
          <cell r="D259" t="str">
            <v>단 불용성화합물을 0.1% 이상 함유한 제제</v>
          </cell>
          <cell r="E259">
            <v>0.1</v>
          </cell>
        </row>
        <row r="260">
          <cell r="B260" t="str">
            <v>14220-17-8</v>
          </cell>
          <cell r="C260" t="str">
            <v>Nickel potassium cyanide</v>
          </cell>
          <cell r="D260" t="str">
            <v>단 불용성화합물을 0.1% 이상 함유한 제제</v>
          </cell>
          <cell r="E260">
            <v>0.1</v>
          </cell>
        </row>
        <row r="261">
          <cell r="B261" t="str">
            <v>14221-00-2</v>
          </cell>
          <cell r="C261" t="str">
            <v>Nickel, tetrakis(triphenyl phosphite-P)-, (T-4)-</v>
          </cell>
          <cell r="D261" t="str">
            <v>단 불용성화합물을 0.1% 이상 함유한 제제</v>
          </cell>
          <cell r="E261">
            <v>0.1</v>
          </cell>
        </row>
        <row r="262">
          <cell r="B262" t="str">
            <v>14255-04-0</v>
          </cell>
          <cell r="C262" t="str">
            <v>Lead 210</v>
          </cell>
          <cell r="D262" t="str">
            <v>물질을 용량비율 0.3% 이상 함유한 제제</v>
          </cell>
          <cell r="E262">
            <v>0.3</v>
          </cell>
        </row>
        <row r="263">
          <cell r="B263" t="str">
            <v>14264-16-5</v>
          </cell>
          <cell r="C263" t="str">
            <v>Nickel, dichlorobis(triphenylphosphine)-</v>
          </cell>
          <cell r="D263" t="str">
            <v>단 불용성화합물을 0.1% 이상 함유한 제제</v>
          </cell>
          <cell r="E263">
            <v>0.1</v>
          </cell>
        </row>
        <row r="264">
          <cell r="B264" t="str">
            <v>14267-17-5</v>
          </cell>
          <cell r="C264" t="str">
            <v>Nickel, bis(diethylcarbamodithioato-S,S')-, (SP-4-1)-</v>
          </cell>
          <cell r="D264" t="str">
            <v>단 불용성화합물을 0.1% 이상 함유한 제제</v>
          </cell>
          <cell r="E264">
            <v>0.1</v>
          </cell>
        </row>
        <row r="265">
          <cell r="B265" t="str">
            <v>14307-35-8</v>
          </cell>
          <cell r="C265" t="str">
            <v>Lithium chromate</v>
          </cell>
          <cell r="D265" t="str">
            <v>6가 크롬을 0.1% 이상 함유한 제제</v>
          </cell>
          <cell r="E265">
            <v>0.1</v>
          </cell>
        </row>
        <row r="266">
          <cell r="B266" t="str">
            <v>14312-00-6</v>
          </cell>
          <cell r="C266" t="str">
            <v>Cadmium chromate</v>
          </cell>
          <cell r="D266" t="str">
            <v>물질을 용량비율 0.1% 이상 함유한 제제</v>
          </cell>
          <cell r="E266">
            <v>0.1</v>
          </cell>
        </row>
        <row r="267">
          <cell r="B267" t="str">
            <v>14332-34-4</v>
          </cell>
          <cell r="C267" t="str">
            <v>Nickel hydrogen phosphate</v>
          </cell>
          <cell r="D267" t="str">
            <v>단 불용성화합물을 0.1% 이상 함유한 제제</v>
          </cell>
          <cell r="E267">
            <v>0.1</v>
          </cell>
        </row>
        <row r="268">
          <cell r="B268" t="str">
            <v>14402-75-6</v>
          </cell>
          <cell r="C268" t="str">
            <v>Cadmate(2-), tetrakis(cyano-C)-, dipotassium, (T-4)-</v>
          </cell>
          <cell r="D268" t="str">
            <v>물질을 용량비율 0.1% 이상 함유한 제제</v>
          </cell>
          <cell r="E268">
            <v>0.1</v>
          </cell>
        </row>
        <row r="269">
          <cell r="B269" t="str">
            <v>14445-91-1</v>
          </cell>
          <cell r="C269" t="str">
            <v>Chromic acid, ammonium salt</v>
          </cell>
          <cell r="D269" t="str">
            <v>6가 크롬을 0.1% 이상 함유한 제제</v>
          </cell>
          <cell r="E269">
            <v>0.1</v>
          </cell>
        </row>
        <row r="270">
          <cell r="B270" t="str">
            <v>14448-18-1</v>
          </cell>
          <cell r="C270" t="str">
            <v>Diphosphoric acid, nickel(2+) salt (1:2)</v>
          </cell>
          <cell r="D270" t="str">
            <v>단 불용성화합물을 0.1% 이상 함유한 제제</v>
          </cell>
          <cell r="E270">
            <v>0.1</v>
          </cell>
        </row>
        <row r="271">
          <cell r="B271" t="str">
            <v>14450-60-3</v>
          </cell>
          <cell r="C271" t="str">
            <v>1,2,3-Propanetricarboxylic acid, 2-hydroxy-, lead salt</v>
          </cell>
          <cell r="D271" t="str">
            <v>물질을 용량비율 0.3% 이상 함유한 제제</v>
          </cell>
          <cell r="E271">
            <v>0.3</v>
          </cell>
        </row>
        <row r="272">
          <cell r="B272" t="str">
            <v>14466-01-4</v>
          </cell>
          <cell r="C272" t="str">
            <v>Lead acrylate</v>
          </cell>
          <cell r="D272" t="str">
            <v>물질을 용량비율 0.3% 이상 함유한 제제</v>
          </cell>
          <cell r="E272">
            <v>0.3</v>
          </cell>
        </row>
        <row r="273">
          <cell r="B273" t="str">
            <v>14486-19-2</v>
          </cell>
          <cell r="C273" t="str">
            <v>Cadmium fluoborate</v>
          </cell>
          <cell r="D273" t="str">
            <v>물질을 용량비율 0.1% 이상 함유한 제제</v>
          </cell>
          <cell r="E273">
            <v>0.1</v>
          </cell>
        </row>
        <row r="274">
          <cell r="B274" t="str">
            <v>14507-36-9</v>
          </cell>
          <cell r="C274" t="str">
            <v>Nickel bis(phosphinate)</v>
          </cell>
          <cell r="D274" t="str">
            <v>단 불용성화합물을 0.1% 이상 함유한 제제</v>
          </cell>
          <cell r="E274">
            <v>0.1</v>
          </cell>
        </row>
        <row r="275">
          <cell r="B275" t="str">
            <v>14520-70-8</v>
          </cell>
          <cell r="C275" t="str">
            <v>Phosphoric acid, ammonium cadmium salt (1:1:1)</v>
          </cell>
          <cell r="D275" t="str">
            <v>물질을 용량비율 0.1% 이상 함유한 제제</v>
          </cell>
          <cell r="E275">
            <v>0.1</v>
          </cell>
        </row>
        <row r="276">
          <cell r="B276" t="str">
            <v>14550-87-9</v>
          </cell>
          <cell r="C276" t="str">
            <v>Nickel dibromate</v>
          </cell>
          <cell r="D276" t="str">
            <v>단 불용성화합물을 0.1% 이상 함유한 제제</v>
          </cell>
          <cell r="E276">
            <v>0.1</v>
          </cell>
        </row>
        <row r="277">
          <cell r="B277" t="str">
            <v>14687-25-3</v>
          </cell>
          <cell r="C277" t="str">
            <v>Lead 203</v>
          </cell>
          <cell r="D277" t="str">
            <v>물질을 용량비율 0.3% 이상 함유한 제제</v>
          </cell>
          <cell r="E277">
            <v>0.3</v>
          </cell>
        </row>
        <row r="278">
          <cell r="B278" t="str">
            <v>14708-14-6</v>
          </cell>
          <cell r="C278" t="str">
            <v>Nickel(II) fluoborate</v>
          </cell>
          <cell r="D278" t="str">
            <v>단 불용성화합물을 0.1% 이상 함유한 제제</v>
          </cell>
          <cell r="E278">
            <v>0.1</v>
          </cell>
        </row>
        <row r="279">
          <cell r="B279" t="str">
            <v>14720-53-7</v>
          </cell>
          <cell r="C279" t="str">
            <v>Lead borate</v>
          </cell>
          <cell r="D279" t="str">
            <v>물질을 용량비율 0.3% 이상 함유한 제제</v>
          </cell>
          <cell r="E279">
            <v>0.3</v>
          </cell>
        </row>
        <row r="280">
          <cell r="B280" t="str">
            <v>14721-18-7</v>
          </cell>
          <cell r="C280" t="str">
            <v>Nickel chromate</v>
          </cell>
          <cell r="D280" t="str">
            <v>6가 크롬을 0.1% 이상 함유한 제제</v>
          </cell>
          <cell r="E280">
            <v>0.1</v>
          </cell>
        </row>
        <row r="281">
          <cell r="B281" t="str">
            <v>14846-40-3</v>
          </cell>
          <cell r="C281" t="str">
            <v>Plumbane, tetrakis(1-methylethyl)-</v>
          </cell>
          <cell r="D281" t="str">
            <v>물질을 용량비율 0.3% 이상 함유한 제제</v>
          </cell>
          <cell r="E281">
            <v>0.3</v>
          </cell>
        </row>
        <row r="282">
          <cell r="B282" t="str">
            <v>14874-78-3</v>
          </cell>
          <cell r="C282" t="str">
            <v>Dinickel hexacyanoferrate</v>
          </cell>
          <cell r="D282" t="str">
            <v>단 불용성화합물을 0.1% 이상 함유한 제제</v>
          </cell>
          <cell r="E282">
            <v>0.1</v>
          </cell>
        </row>
        <row r="283">
          <cell r="B283" t="str">
            <v>14923-81-0</v>
          </cell>
          <cell r="C283" t="str">
            <v>Cadmium diicosanoate</v>
          </cell>
          <cell r="D283" t="str">
            <v>물질을 용량비율 0.1% 이상 함유한 제제</v>
          </cell>
          <cell r="E283">
            <v>0.1</v>
          </cell>
        </row>
        <row r="284">
          <cell r="B284" t="str">
            <v>14949-69-0</v>
          </cell>
          <cell r="C284" t="str">
            <v>Bis(1,1,1,5,5,5-hexafluoropentane-2,4-dionato-O,O')nickel</v>
          </cell>
          <cell r="D284" t="str">
            <v>단 불용성화합물을 0.1% 이상 함유한 제제</v>
          </cell>
          <cell r="E284">
            <v>0.1</v>
          </cell>
        </row>
        <row r="285">
          <cell r="B285" t="str">
            <v>14977-61-8</v>
          </cell>
          <cell r="C285" t="str">
            <v>Chromyl chloride</v>
          </cell>
          <cell r="D285" t="str">
            <v>6가 크롬을 0.1% 이상 함유한 제제</v>
          </cell>
          <cell r="E285">
            <v>0.1</v>
          </cell>
        </row>
        <row r="286">
          <cell r="B286" t="str">
            <v>14986-48-2</v>
          </cell>
          <cell r="C286" t="str">
            <v>Chromium (VI) chloride</v>
          </cell>
          <cell r="D286" t="str">
            <v>6가 크롬을 0.1% 이상 함유한 제제</v>
          </cell>
          <cell r="E286">
            <v>0.1</v>
          </cell>
        </row>
        <row r="287">
          <cell r="B287" t="str">
            <v>14998-37-9</v>
          </cell>
          <cell r="C287" t="str">
            <v>Nickel acetate</v>
          </cell>
          <cell r="D287" t="str">
            <v>단 불용성화합물을 0.1% 이상 함유한 제제</v>
          </cell>
          <cell r="E287">
            <v>0.1</v>
          </cell>
        </row>
        <row r="288">
          <cell r="B288" t="str">
            <v>15060-62-5</v>
          </cell>
          <cell r="C288" t="str">
            <v>Nickel selenate</v>
          </cell>
          <cell r="D288" t="str">
            <v>단 불용성화합물을 0.1% 이상 함유한 제제</v>
          </cell>
          <cell r="E288">
            <v>0.1</v>
          </cell>
        </row>
        <row r="289">
          <cell r="B289" t="str">
            <v>15067-28-4</v>
          </cell>
          <cell r="C289" t="str">
            <v>Lead 214</v>
          </cell>
          <cell r="D289" t="str">
            <v>물질을 용량비율 0.3% 이상 함유한 제제</v>
          </cell>
          <cell r="E289">
            <v>0.3</v>
          </cell>
        </row>
        <row r="290">
          <cell r="B290" t="str">
            <v>15092-94-1</v>
          </cell>
          <cell r="C290" t="str">
            <v>Lead 212</v>
          </cell>
          <cell r="D290" t="str">
            <v>물질을 용량비율 0.3% 이상 함유한 제제</v>
          </cell>
          <cell r="E290">
            <v>0.3</v>
          </cell>
        </row>
        <row r="291">
          <cell r="B291" t="str">
            <v>15187-16-3</v>
          </cell>
          <cell r="C291" t="str">
            <v>Lead, [29H,31H-phthalocyaninato(2-)-N29,N30,N31,N32]-, (SP-4-1)-</v>
          </cell>
          <cell r="D291" t="str">
            <v>물질을 용량비율 0.3% 이상 함유한 제제</v>
          </cell>
          <cell r="E291">
            <v>0.3</v>
          </cell>
        </row>
        <row r="292">
          <cell r="B292" t="str">
            <v>1520-78-1</v>
          </cell>
          <cell r="C292" t="str">
            <v>Chlorotrimethylplumbane</v>
          </cell>
          <cell r="D292" t="str">
            <v>물질을 용량비율 0.3% 이상 함유한 제제</v>
          </cell>
          <cell r="E292">
            <v>0.3</v>
          </cell>
        </row>
        <row r="293">
          <cell r="B293" t="str">
            <v>15245-44-0</v>
          </cell>
          <cell r="C293" t="str">
            <v>1,3-Benzenediol, 2,4,6-trinitro-, lead salt</v>
          </cell>
          <cell r="D293" t="str">
            <v>물질을 용량비율 0.3% 이상 함유한 제제</v>
          </cell>
          <cell r="E293">
            <v>0.3</v>
          </cell>
        </row>
        <row r="294">
          <cell r="B294" t="str">
            <v>15282-88-9</v>
          </cell>
          <cell r="C294" t="str">
            <v>Bis(pentane-2,4-dionato-O,O')lead</v>
          </cell>
          <cell r="D294" t="str">
            <v>물질을 용량비율 0.3% 이상 함유한 제제</v>
          </cell>
          <cell r="E294">
            <v>0.3</v>
          </cell>
        </row>
        <row r="295">
          <cell r="B295" t="str">
            <v>15306-30-6</v>
          </cell>
          <cell r="C295" t="str">
            <v>Lauric acid, lead salt</v>
          </cell>
          <cell r="D295" t="str">
            <v>물질을 용량비율 0.3% 이상 함유한 제제</v>
          </cell>
          <cell r="E295">
            <v>0.3</v>
          </cell>
        </row>
        <row r="296">
          <cell r="B296" t="str">
            <v>15317-78-9</v>
          </cell>
          <cell r="C296" t="str">
            <v>Nickel, bis[bis(2-methylpropyl)carbamodithioato-S,S']-, (SP-4-1)-</v>
          </cell>
          <cell r="D296" t="str">
            <v>단 불용성화합물을 0.1% 이상 함유한 제제</v>
          </cell>
          <cell r="E296">
            <v>0.1</v>
          </cell>
        </row>
        <row r="297">
          <cell r="B297" t="str">
            <v>15337-60-7</v>
          </cell>
          <cell r="C297" t="str">
            <v>Cadmium-barium laurate</v>
          </cell>
          <cell r="D297" t="str">
            <v>물질을 용량비율 0.1% 이상 함유한 제제</v>
          </cell>
          <cell r="E297">
            <v>0.1</v>
          </cell>
        </row>
        <row r="298">
          <cell r="B298" t="str">
            <v>15347-55-4</v>
          </cell>
          <cell r="C298" t="str">
            <v>9-Octadecenoic acid (Z)-, lead salt</v>
          </cell>
          <cell r="D298" t="str">
            <v>물질을 용량비율 0.3% 이상 함유한 제제</v>
          </cell>
          <cell r="E298">
            <v>0.3</v>
          </cell>
        </row>
        <row r="299">
          <cell r="B299" t="str">
            <v>15347-57-6</v>
          </cell>
          <cell r="C299" t="str">
            <v>Lead acetate</v>
          </cell>
          <cell r="D299" t="str">
            <v>물질을 용량비율 0.3% 이상 함유한 제제</v>
          </cell>
          <cell r="E299">
            <v>0.3</v>
          </cell>
        </row>
        <row r="300">
          <cell r="B300" t="str">
            <v>15521-60-5</v>
          </cell>
          <cell r="C300" t="str">
            <v>Phosphonic acid, lead(2+) salt (2:1)</v>
          </cell>
          <cell r="D300" t="str">
            <v>물질을 용량비율 0.3% 이상 함유한 제제</v>
          </cell>
          <cell r="E300">
            <v>0.3</v>
          </cell>
        </row>
        <row r="301">
          <cell r="B301" t="str">
            <v>15521-65-0</v>
          </cell>
          <cell r="C301" t="str">
            <v>Nickel dimethyldithiocarbamate</v>
          </cell>
          <cell r="D301" t="str">
            <v>단 불용성화합물을 0.1% 이상 함유한 제제</v>
          </cell>
          <cell r="E301">
            <v>0.1</v>
          </cell>
        </row>
        <row r="302">
          <cell r="B302" t="str">
            <v>15586-38-6</v>
          </cell>
          <cell r="C302" t="str">
            <v>Chromic acid (H2Cr2O7), nickel(2+) salt (1:1)</v>
          </cell>
          <cell r="D302" t="str">
            <v>6가 크롬을 0.1% 이상 함유한 제제</v>
          </cell>
          <cell r="E302">
            <v>0.1</v>
          </cell>
        </row>
        <row r="303">
          <cell r="B303" t="str">
            <v>15600-62-1</v>
          </cell>
          <cell r="C303" t="str">
            <v>Diphosphoric acid, cadmium salt (1:2)</v>
          </cell>
          <cell r="D303" t="str">
            <v>물질을 용량비율 0.1% 이상 함유한 제제</v>
          </cell>
          <cell r="E303">
            <v>0.1</v>
          </cell>
        </row>
        <row r="304">
          <cell r="B304" t="str">
            <v>15696-43-2</v>
          </cell>
          <cell r="C304" t="str">
            <v>Lead isooctanoate</v>
          </cell>
          <cell r="D304" t="str">
            <v>물질을 용량비율 0.3% 이상 함유한 제제</v>
          </cell>
          <cell r="E304">
            <v>0.3</v>
          </cell>
        </row>
        <row r="305">
          <cell r="B305" t="str">
            <v>15699-18-0</v>
          </cell>
          <cell r="C305" t="str">
            <v>Nickel ammonium sulfate</v>
          </cell>
          <cell r="D305" t="str">
            <v>단 불용성화합물을 0.1% 이상 함유한 제제</v>
          </cell>
          <cell r="E305">
            <v>0.1</v>
          </cell>
        </row>
        <row r="306">
          <cell r="B306" t="str">
            <v>15739-80-7</v>
          </cell>
          <cell r="C306" t="str">
            <v>Tribasic lead sulfate</v>
          </cell>
          <cell r="D306" t="str">
            <v>물질을 용량비율 0.3% 이상 함유한 제제</v>
          </cell>
          <cell r="E306">
            <v>0.3</v>
          </cell>
        </row>
        <row r="307">
          <cell r="B307" t="str">
            <v>15743-19-8</v>
          </cell>
          <cell r="C307" t="str">
            <v>Cadmium acrylate</v>
          </cell>
          <cell r="D307" t="str">
            <v>물질을 용량비율 0.1% 이상 함유한 제제</v>
          </cell>
          <cell r="E307">
            <v>0.1</v>
          </cell>
        </row>
        <row r="308">
          <cell r="B308" t="str">
            <v>15748-73-9</v>
          </cell>
          <cell r="C308" t="str">
            <v>Lead, bis(2-hydroxybenzoato-O1,O2)-, (T-4)-</v>
          </cell>
          <cell r="D308" t="str">
            <v>물질을 용량비율 0.3% 이상 함유한 제제</v>
          </cell>
          <cell r="E308">
            <v>0.3</v>
          </cell>
        </row>
        <row r="309">
          <cell r="B309" t="str">
            <v>15752-86-0</v>
          </cell>
          <cell r="C309" t="str">
            <v>Lead 202</v>
          </cell>
          <cell r="D309" t="str">
            <v>물질을 용량비율 0.3% 이상 함유한 제제</v>
          </cell>
          <cell r="E309">
            <v>0.3</v>
          </cell>
        </row>
        <row r="310">
          <cell r="B310" t="str">
            <v>15773-52-1</v>
          </cell>
          <cell r="C310" t="str">
            <v>Lead(2+) decanoate</v>
          </cell>
          <cell r="D310" t="str">
            <v>물질을 용량비율 0.3% 이상 함유한 제제</v>
          </cell>
          <cell r="E310">
            <v>0.3</v>
          </cell>
        </row>
        <row r="311">
          <cell r="B311" t="str">
            <v>15773-53-2</v>
          </cell>
          <cell r="C311" t="str">
            <v>Lead dihexanoate</v>
          </cell>
          <cell r="D311" t="str">
            <v>물질을 용량비율 0.3% 이상 함유한 제제</v>
          </cell>
          <cell r="E311">
            <v>0.3</v>
          </cell>
        </row>
        <row r="312">
          <cell r="B312" t="str">
            <v>15773-55-4</v>
          </cell>
          <cell r="C312" t="str">
            <v>Dodecanoic acid, lead(2+) salt</v>
          </cell>
          <cell r="D312" t="str">
            <v>물질을 용량비율 0.3% 이상 함유한 제제</v>
          </cell>
          <cell r="E312">
            <v>0.3</v>
          </cell>
        </row>
        <row r="313">
          <cell r="B313" t="str">
            <v>15773-56-5</v>
          </cell>
          <cell r="C313" t="str">
            <v>Lead dipalmitate</v>
          </cell>
          <cell r="D313" t="str">
            <v>물질을 용량비율 0.3% 이상 함유한 제제</v>
          </cell>
          <cell r="E313">
            <v>0.3</v>
          </cell>
        </row>
        <row r="314">
          <cell r="B314" t="str">
            <v>15780-33-3</v>
          </cell>
          <cell r="C314" t="str">
            <v>Nickel uranium oxide (NiU3O10)</v>
          </cell>
          <cell r="D314" t="str">
            <v>단 불용성화합물을 0.1% 이상 함유한 제제</v>
          </cell>
          <cell r="E314">
            <v>0.1</v>
          </cell>
        </row>
        <row r="315">
          <cell r="B315" t="str">
            <v>15816-77-0</v>
          </cell>
          <cell r="C315" t="str">
            <v>Lead 211</v>
          </cell>
          <cell r="D315" t="str">
            <v>물질을 용량비율 0.3% 이상 함유한 제제</v>
          </cell>
          <cell r="E315">
            <v>0.3</v>
          </cell>
        </row>
        <row r="316">
          <cell r="B316" t="str">
            <v>15843-02-4</v>
          </cell>
          <cell r="C316" t="str">
            <v>Nickel formate</v>
          </cell>
          <cell r="D316" t="str">
            <v>단 불용성화합물을 0.1% 이상 함유한 제제</v>
          </cell>
          <cell r="E316">
            <v>0.1</v>
          </cell>
        </row>
        <row r="317">
          <cell r="B317" t="str">
            <v>15843-91-1</v>
          </cell>
          <cell r="C317" t="str">
            <v>Bis[2-hydroxy-4-(octyloxy)benzophenonato]nickel</v>
          </cell>
          <cell r="D317" t="str">
            <v>단 불용성화합물을 0.1% 이상 함유한 제제</v>
          </cell>
          <cell r="E317">
            <v>0.1</v>
          </cell>
        </row>
        <row r="318">
          <cell r="B318" t="str">
            <v>15845-52-0</v>
          </cell>
          <cell r="C318" t="str">
            <v>Phosphoric acid, lead(2+) salt (1:1)</v>
          </cell>
          <cell r="D318" t="str">
            <v>물질을 용량비율 0.3% 이상 함유한 제제</v>
          </cell>
          <cell r="E318">
            <v>0.3</v>
          </cell>
        </row>
        <row r="319">
          <cell r="B319" t="str">
            <v>15851-44-2</v>
          </cell>
          <cell r="C319" t="str">
            <v>Telluric acid (H2TeO3), cadmium salt (1:1)</v>
          </cell>
          <cell r="D319" t="str">
            <v>물질을 용량비율 0.1% 이상 함유한 제제</v>
          </cell>
          <cell r="E319">
            <v>0.1</v>
          </cell>
        </row>
        <row r="320">
          <cell r="B320" t="str">
            <v>15851-47-5</v>
          </cell>
          <cell r="C320" t="str">
            <v>Telluric acid (H2TeO3), lead(2+) salt (1:1)</v>
          </cell>
          <cell r="D320" t="str">
            <v>물질을 용량비율 0.3% 이상 함유한 제제</v>
          </cell>
          <cell r="E320">
            <v>0.3</v>
          </cell>
        </row>
        <row r="321">
          <cell r="B321" t="str">
            <v>15851-52-2</v>
          </cell>
          <cell r="C321" t="str">
            <v>Telluric acid (H2TeO3), nickel(2+) salt (1:1)</v>
          </cell>
          <cell r="D321" t="str">
            <v>단 불용성화합물을 0.1% 이상 함유한 제제</v>
          </cell>
          <cell r="E321">
            <v>0.1</v>
          </cell>
        </row>
        <row r="322">
          <cell r="B322" t="str">
            <v>15852-14-9</v>
          </cell>
          <cell r="C322" t="str">
            <v>Telluric acid (H2TeO4), cadmium salt (1:1)</v>
          </cell>
          <cell r="D322" t="str">
            <v>물질을 용량비율 0.1% 이상 함유한 제제</v>
          </cell>
          <cell r="E322">
            <v>0.1</v>
          </cell>
        </row>
        <row r="323">
          <cell r="B323" t="str">
            <v>15852-21-8</v>
          </cell>
          <cell r="C323" t="str">
            <v>Telluric acid (H2TeO4), nickel(2+) salt (1:1)</v>
          </cell>
          <cell r="D323" t="str">
            <v>단 불용성화합물을 0.1% 이상 함유한 제제</v>
          </cell>
          <cell r="E323">
            <v>0.1</v>
          </cell>
        </row>
        <row r="324">
          <cell r="B324" t="str">
            <v>15906-71-5</v>
          </cell>
          <cell r="C324" t="str">
            <v>Lead silicate</v>
          </cell>
          <cell r="D324" t="str">
            <v>물질을 용량비율 0.3% 이상 함유한 제제</v>
          </cell>
          <cell r="E324">
            <v>0.3</v>
          </cell>
        </row>
        <row r="325">
          <cell r="B325" t="str">
            <v>15907-04-7</v>
          </cell>
          <cell r="C325" t="str">
            <v>Lead benzoate</v>
          </cell>
          <cell r="D325" t="str">
            <v>물질을 용량비율 0.3% 이상 함유한 제제</v>
          </cell>
          <cell r="E325">
            <v>0.3</v>
          </cell>
        </row>
        <row r="326">
          <cell r="B326" t="str">
            <v>15930-94-6</v>
          </cell>
          <cell r="C326" t="str">
            <v>Zinc chromate hydroxide</v>
          </cell>
          <cell r="D326" t="str">
            <v>6가 크롬을 0.1% 이상 함유한 제제</v>
          </cell>
          <cell r="E326">
            <v>0.1</v>
          </cell>
        </row>
        <row r="327">
          <cell r="B327" t="str">
            <v>16037-50-6</v>
          </cell>
          <cell r="C327" t="str">
            <v>Chromate(1-), chlorotrioxo-, potassium, (T-4)-</v>
          </cell>
          <cell r="D327" t="str">
            <v>6가 크롬을 0.1% 이상 함유한 제제</v>
          </cell>
          <cell r="E327">
            <v>0.1</v>
          </cell>
        </row>
        <row r="328">
          <cell r="B328" t="str">
            <v>16038-76-9</v>
          </cell>
          <cell r="C328" t="str">
            <v>Lead phosphite</v>
          </cell>
          <cell r="D328" t="str">
            <v>물질을 용량비율 0.3% 이상 함유한 제제</v>
          </cell>
          <cell r="E328">
            <v>0.3</v>
          </cell>
        </row>
        <row r="329">
          <cell r="B329" t="str">
            <v>16056-72-7</v>
          </cell>
          <cell r="C329" t="str">
            <v>Cadmium vanadium oxide (CdV2O6)</v>
          </cell>
          <cell r="D329" t="str">
            <v>물질을 용량비율 0.1% 이상 함유한 제제</v>
          </cell>
          <cell r="E329">
            <v>0.1</v>
          </cell>
        </row>
        <row r="330">
          <cell r="B330" t="str">
            <v>16083-14-0</v>
          </cell>
          <cell r="C330" t="str">
            <v>Nickel(2+) trifluoroacetate</v>
          </cell>
          <cell r="D330" t="str">
            <v>단 불용성화합물을 0.1% 이상 함유한 제제</v>
          </cell>
          <cell r="E330">
            <v>0.1</v>
          </cell>
        </row>
        <row r="331">
          <cell r="B331" t="str">
            <v>16183-12-3</v>
          </cell>
          <cell r="C331" t="str">
            <v>Lead phthalate</v>
          </cell>
          <cell r="D331" t="str">
            <v>물질을 용량비율 0.3% 이상 함유한 제제</v>
          </cell>
          <cell r="E331">
            <v>0.3</v>
          </cell>
        </row>
        <row r="332">
          <cell r="B332" t="str">
            <v>16337-84-1</v>
          </cell>
          <cell r="C332" t="str">
            <v>Carbonic acid, nickel salt</v>
          </cell>
          <cell r="D332" t="str">
            <v>단 불용성화합물을 0.1% 이상 함유한 제제</v>
          </cell>
          <cell r="E332">
            <v>0.1</v>
          </cell>
        </row>
        <row r="333">
          <cell r="B333" t="str">
            <v>16432-37-4</v>
          </cell>
          <cell r="C333" t="str">
            <v>Nickel, [[2,2'-sulfonylbis[4-(1,1,3,3-tetramethylbutyl)phenolato]](2-)-O1,O1',O2]-</v>
          </cell>
          <cell r="D333" t="str">
            <v>단 불용성화합물을 0.1% 이상 함유한 제제</v>
          </cell>
          <cell r="E333">
            <v>0.1</v>
          </cell>
        </row>
        <row r="334">
          <cell r="B334" t="str">
            <v>16450-50-3</v>
          </cell>
          <cell r="C334" t="str">
            <v>Diantimony lead tetroxide</v>
          </cell>
          <cell r="D334" t="str">
            <v>물질을 용량비율 0.3% 이상 함유한 제제</v>
          </cell>
          <cell r="E334">
            <v>0.3</v>
          </cell>
        </row>
        <row r="335">
          <cell r="B335" t="str">
            <v>16565-94-9</v>
          </cell>
          <cell r="C335" t="str">
            <v>Chromic acid (H2CrO4), lanthanum(3+) salt (3:2)</v>
          </cell>
          <cell r="D335" t="str">
            <v>6가 크롬을 0.1% 이상 함유한 제제</v>
          </cell>
          <cell r="E335">
            <v>0.1</v>
          </cell>
        </row>
        <row r="336">
          <cell r="B336" t="str">
            <v>16645-99-1</v>
          </cell>
          <cell r="C336" t="str">
            <v>Lead 200</v>
          </cell>
          <cell r="D336" t="str">
            <v>물질을 용량비율 0.3% 이상 함유한 제제</v>
          </cell>
          <cell r="E336">
            <v>0.3</v>
          </cell>
        </row>
        <row r="337">
          <cell r="B337" t="str">
            <v>16646-00-7</v>
          </cell>
          <cell r="C337" t="str">
            <v>Lead 198</v>
          </cell>
          <cell r="D337" t="str">
            <v>물질을 용량비율 0.3% 이상 함유한 제제</v>
          </cell>
          <cell r="E337">
            <v>0.3</v>
          </cell>
        </row>
        <row r="338">
          <cell r="B338" t="str">
            <v>16812-54-7</v>
          </cell>
          <cell r="C338" t="str">
            <v>Nickel sulfide (NiS)</v>
          </cell>
          <cell r="D338" t="str">
            <v>단 불용성화합물을 0.1% 이상 함유한 제제</v>
          </cell>
          <cell r="E338">
            <v>0.1</v>
          </cell>
        </row>
        <row r="339">
          <cell r="B339" t="str">
            <v>16984-36-4</v>
          </cell>
          <cell r="C339" t="str">
            <v>Propanoic acid, cadmium salt</v>
          </cell>
          <cell r="D339" t="str">
            <v>물질을 용량비율 0.1% 이상 함유한 제제</v>
          </cell>
          <cell r="E339">
            <v>0.1</v>
          </cell>
        </row>
        <row r="340">
          <cell r="B340" t="str">
            <v>16986-83-7</v>
          </cell>
          <cell r="C340" t="str">
            <v>Cadmium propionate</v>
          </cell>
          <cell r="D340" t="str">
            <v>물질을 용량비율 0.1% 이상 함유한 제제</v>
          </cell>
          <cell r="E340">
            <v>0.1</v>
          </cell>
        </row>
        <row r="341">
          <cell r="B341" t="str">
            <v>16996-40-0</v>
          </cell>
          <cell r="C341" t="str">
            <v>Lead 2-ethylhexoate</v>
          </cell>
          <cell r="D341" t="str">
            <v>물질을 용량비율 0.3% 이상 함유한 제제</v>
          </cell>
          <cell r="E341">
            <v>0.3</v>
          </cell>
        </row>
        <row r="342">
          <cell r="B342" t="str">
            <v>16996-51-3</v>
          </cell>
          <cell r="C342" t="str">
            <v>Lead linoleate</v>
          </cell>
          <cell r="D342" t="str">
            <v>물질을 용량비율 0.3% 이상 함유한 제제</v>
          </cell>
          <cell r="E342">
            <v>0.3</v>
          </cell>
        </row>
        <row r="343">
          <cell r="B343" t="str">
            <v>17010-21-8</v>
          </cell>
          <cell r="C343" t="str">
            <v>Cadmium hexafluorosilicate(2-)      Cadmium fluorosilicate</v>
          </cell>
          <cell r="D343" t="str">
            <v>물질을 용량비율 0.1% 이상 함유한 제제</v>
          </cell>
          <cell r="E343">
            <v>0.1</v>
          </cell>
        </row>
        <row r="344">
          <cell r="B344" t="str">
            <v>17169-61-8</v>
          </cell>
          <cell r="C344" t="str">
            <v>Phosphoric acid, calcium nickel salt</v>
          </cell>
          <cell r="D344" t="str">
            <v>단 불용성화합물을 0.1% 이상 함유한 제제</v>
          </cell>
          <cell r="E344">
            <v>0.1</v>
          </cell>
        </row>
        <row r="345">
          <cell r="B345" t="str">
            <v>17237-93-3</v>
          </cell>
          <cell r="C345" t="str">
            <v>Carbonic acid, nickel(2+) salt (2:1)</v>
          </cell>
          <cell r="D345" t="str">
            <v>단 불용성화합물을 0.1% 이상 함유한 제제</v>
          </cell>
          <cell r="E345">
            <v>0.1</v>
          </cell>
        </row>
        <row r="346">
          <cell r="B346" t="str">
            <v>17239-87-1</v>
          </cell>
          <cell r="C346" t="str">
            <v>Lead 201</v>
          </cell>
          <cell r="D346" t="str">
            <v>물질을 용량비율 0.3% 이상 함유한 제제</v>
          </cell>
          <cell r="E346">
            <v>0.3</v>
          </cell>
        </row>
        <row r="347">
          <cell r="B347" t="str">
            <v>17406-54-1</v>
          </cell>
          <cell r="C347" t="str">
            <v>Lead(II) maleate</v>
          </cell>
          <cell r="D347" t="str">
            <v>물질을 용량비율 0.3% 이상 함유한 제제</v>
          </cell>
          <cell r="E347">
            <v>0.3</v>
          </cell>
        </row>
        <row r="348">
          <cell r="B348" t="str">
            <v>17549-30-3</v>
          </cell>
          <cell r="C348" t="str">
            <v>Bis(diethyldithiocarbamato-S,S')lead</v>
          </cell>
          <cell r="D348" t="str">
            <v>물질을 용량비율 0.3% 이상 함유한 제제</v>
          </cell>
          <cell r="E348">
            <v>0.3</v>
          </cell>
        </row>
        <row r="349">
          <cell r="B349" t="str">
            <v>17570-76-2</v>
          </cell>
          <cell r="C349" t="str">
            <v>Lead methanesulfonate</v>
          </cell>
          <cell r="D349" t="str">
            <v>물질을 용량비율 0.3% 이상 함유한 제제</v>
          </cell>
          <cell r="E349">
            <v>0.3</v>
          </cell>
        </row>
        <row r="350">
          <cell r="B350" t="str">
            <v>1762-26-1</v>
          </cell>
          <cell r="C350" t="str">
            <v>Plumbane, ethyltrimethyl-</v>
          </cell>
          <cell r="D350" t="str">
            <v>물질을 용량비율 0.3% 이상 함유한 제제</v>
          </cell>
          <cell r="E350">
            <v>0.3</v>
          </cell>
        </row>
        <row r="351">
          <cell r="B351" t="str">
            <v>1762-27-2</v>
          </cell>
          <cell r="C351" t="str">
            <v>Plumbane, diethyldimethyl-</v>
          </cell>
          <cell r="D351" t="str">
            <v>물질을 용량비율 0.3% 이상 함유한 제제</v>
          </cell>
          <cell r="E351">
            <v>0.3</v>
          </cell>
        </row>
        <row r="352">
          <cell r="B352" t="str">
            <v>1762-28-3</v>
          </cell>
          <cell r="C352" t="str">
            <v>Plumbane, triethylmethyl-</v>
          </cell>
          <cell r="D352" t="str">
            <v>물질을 용량비율 0.3% 이상 함유한 제제</v>
          </cell>
          <cell r="E352">
            <v>0.3</v>
          </cell>
        </row>
        <row r="353">
          <cell r="B353" t="str">
            <v>17861-62-0</v>
          </cell>
          <cell r="C353" t="str">
            <v>Nickel nitrite</v>
          </cell>
          <cell r="D353" t="str">
            <v>단 불용성화합물을 0.1% 이상 함유한 제제</v>
          </cell>
          <cell r="E353">
            <v>0.1</v>
          </cell>
        </row>
        <row r="354">
          <cell r="B354" t="str">
            <v>17976-43-1</v>
          </cell>
          <cell r="C354" t="str">
            <v>Cyclo-di-μ-oxo(μ-phthalate)trilead</v>
          </cell>
          <cell r="D354" t="str">
            <v>물질을 용량비율 0.3% 이상 함유한 제제</v>
          </cell>
          <cell r="E354">
            <v>0.3</v>
          </cell>
        </row>
        <row r="355">
          <cell r="B355" t="str">
            <v>18283-82-4</v>
          </cell>
          <cell r="C355" t="str">
            <v>Citric acid , ammonium nickel salt</v>
          </cell>
          <cell r="D355" t="str">
            <v>단 불용성화합물을 0.1% 이상 함유한 제제</v>
          </cell>
          <cell r="E355">
            <v>0.1</v>
          </cell>
        </row>
        <row r="356">
          <cell r="B356" t="str">
            <v>18454-12-1</v>
          </cell>
          <cell r="C356" t="str">
            <v>Lead chromate oxide</v>
          </cell>
          <cell r="D356" t="str">
            <v>6가 크롬을 0.1% 이상 함유한 제제</v>
          </cell>
          <cell r="E356">
            <v>0.1</v>
          </cell>
        </row>
        <row r="357">
          <cell r="B357" t="str">
            <v>18540-29-9</v>
          </cell>
          <cell r="C357" t="str">
            <v>Chromium (VI)</v>
          </cell>
          <cell r="D357" t="str">
            <v>6가 크롬을 0.1% 이상 함유한 제제</v>
          </cell>
          <cell r="E357">
            <v>0.1</v>
          </cell>
        </row>
        <row r="358">
          <cell r="B358" t="str">
            <v>18608-34-9</v>
          </cell>
          <cell r="C358" t="str">
            <v>1,2-Benzenedicarboxylic acid, lead(2+) salt</v>
          </cell>
          <cell r="D358" t="str">
            <v>물질을 용량비율 0.3% 이상 함유한 제제</v>
          </cell>
          <cell r="E358">
            <v>0.3</v>
          </cell>
        </row>
        <row r="359">
          <cell r="B359" t="str">
            <v>18718-11-1</v>
          </cell>
          <cell r="C359" t="str">
            <v>Nickel bis(dihydrogen phosphate)</v>
          </cell>
          <cell r="D359" t="str">
            <v>단 불용성화합물을 0.1% 이상 함유한 제제</v>
          </cell>
          <cell r="E359">
            <v>0.1</v>
          </cell>
        </row>
        <row r="360">
          <cell r="B360" t="str">
            <v>18721-51-2</v>
          </cell>
          <cell r="C360" t="str">
            <v>Nickel(2+) hydrogen citrate</v>
          </cell>
          <cell r="D360" t="str">
            <v>단 불용성화합물을 0.1% 이상 함유한 제제</v>
          </cell>
          <cell r="E360">
            <v>0.1</v>
          </cell>
        </row>
        <row r="361">
          <cell r="B361" t="str">
            <v>18824-79-8</v>
          </cell>
          <cell r="C361" t="str">
            <v>1,2-Benzenedicarboxylic acid, 3,4,5,6-tetrabromo-, nickel(2+) salt (1:1)</v>
          </cell>
          <cell r="D361" t="str">
            <v>단 불용성화합물을 0.1% 이상 함유한 제제</v>
          </cell>
          <cell r="E361">
            <v>0.1</v>
          </cell>
        </row>
        <row r="362">
          <cell r="B362" t="str">
            <v>18917-82-3</v>
          </cell>
          <cell r="C362" t="str">
            <v>Lead dilactate</v>
          </cell>
          <cell r="D362" t="str">
            <v>물질을 용량비율 0.3% 이상 함유한 제제</v>
          </cell>
          <cell r="E362">
            <v>0.3</v>
          </cell>
        </row>
        <row r="363">
          <cell r="B363" t="str">
            <v>18972-69-5</v>
          </cell>
          <cell r="C363" t="str">
            <v>Nickel(2+), bis(1,2-propanediamine)-, bis[dicyanoaurate(1-)]</v>
          </cell>
          <cell r="D363" t="str">
            <v>단 불용성화합물을 0.1% 이상 함유한 제제</v>
          </cell>
          <cell r="E363">
            <v>0.1</v>
          </cell>
        </row>
        <row r="364">
          <cell r="B364" t="str">
            <v>19010-66-3</v>
          </cell>
          <cell r="C364" t="str">
            <v>Lead dimethyldithiocarbamate</v>
          </cell>
          <cell r="D364" t="str">
            <v>물질을 용량비율 0.3% 이상 함유한 제제</v>
          </cell>
          <cell r="E364">
            <v>0.3</v>
          </cell>
        </row>
        <row r="365">
          <cell r="B365" t="str">
            <v>19136-34-6</v>
          </cell>
          <cell r="C365" t="str">
            <v>Lead maleate</v>
          </cell>
          <cell r="D365" t="str">
            <v>물질을 용량비율 0.3% 이상 함유한 제제</v>
          </cell>
          <cell r="E365">
            <v>0.3</v>
          </cell>
        </row>
        <row r="366">
          <cell r="B366" t="str">
            <v>1920-90-7</v>
          </cell>
          <cell r="C366" t="str">
            <v>Plumbane, tetrabutyl-</v>
          </cell>
          <cell r="D366" t="str">
            <v>물질을 용량비율 0.3% 이상 함유한 제제</v>
          </cell>
          <cell r="E366">
            <v>0.3</v>
          </cell>
        </row>
        <row r="367">
          <cell r="B367" t="str">
            <v>19262-93-2</v>
          </cell>
          <cell r="C367" t="str">
            <v>Diphosphoric acid, cadmium salt</v>
          </cell>
          <cell r="D367" t="str">
            <v>물질을 용량비율 0.1% 이상 함유한 제제</v>
          </cell>
          <cell r="E367">
            <v>0.1</v>
          </cell>
        </row>
        <row r="368">
          <cell r="B368" t="str">
            <v>19372-20-4</v>
          </cell>
          <cell r="C368" t="str">
            <v>Diphosphoric acid, nickel(2+) salt</v>
          </cell>
          <cell r="D368" t="str">
            <v>단 불용성화합물을 0.1% 이상 함유한 제제</v>
          </cell>
          <cell r="E368">
            <v>0.1</v>
          </cell>
        </row>
        <row r="369">
          <cell r="B369" t="str">
            <v>19528-55-3</v>
          </cell>
          <cell r="C369" t="str">
            <v>Lead palmitate</v>
          </cell>
          <cell r="D369" t="str">
            <v>물질을 용량비율 0.3% 이상 함유한 제제</v>
          </cell>
          <cell r="E369">
            <v>0.3</v>
          </cell>
        </row>
        <row r="370">
          <cell r="B370" t="str">
            <v>19651-80-0</v>
          </cell>
          <cell r="C370" t="str">
            <v>7,11-Metheno-11H,13H-tetrazolo[1,5-c][1,7,3,5,2,6]dioxadiazadiplumbacyclododecine, 5,5,13,13-tetradehydro-4,5-dihydro-4,8,10,15-</v>
          </cell>
          <cell r="D370" t="str">
            <v>물질을 용량비율 0.3% 이상 함유한 제제</v>
          </cell>
          <cell r="E370">
            <v>0.3</v>
          </cell>
        </row>
        <row r="371">
          <cell r="B371" t="str">
            <v>19783-14-3</v>
          </cell>
          <cell r="C371" t="str">
            <v>Lead hydroxide</v>
          </cell>
          <cell r="D371" t="str">
            <v>물질을 용량비율 0.3% 이상 함유한 제제</v>
          </cell>
          <cell r="E371">
            <v>0.3</v>
          </cell>
        </row>
        <row r="372">
          <cell r="B372" t="str">
            <v>20383-42-0</v>
          </cell>
          <cell r="C372" t="str">
            <v>Phosphorodithioate O,O-bis(1,3-dimethylbutyl), lead salt</v>
          </cell>
          <cell r="D372" t="str">
            <v>물질을 용량비율 0.3% 이상 함유한 제제</v>
          </cell>
          <cell r="E372">
            <v>0.3</v>
          </cell>
        </row>
        <row r="373">
          <cell r="B373" t="str">
            <v>20403-41-2</v>
          </cell>
          <cell r="C373" t="str">
            <v>Lead myristate</v>
          </cell>
          <cell r="D373" t="str">
            <v>물질을 용량비율 0.3% 이상 함유한 제제</v>
          </cell>
          <cell r="E373">
            <v>0.3</v>
          </cell>
        </row>
        <row r="374">
          <cell r="B374" t="str">
            <v>20403-42-3</v>
          </cell>
          <cell r="C374" t="str">
            <v>Decanoic acid, lead salt</v>
          </cell>
          <cell r="D374" t="str">
            <v>물질을 용량비율 0.3% 이상 함유한 제제</v>
          </cell>
          <cell r="E374">
            <v>0.3</v>
          </cell>
        </row>
        <row r="375">
          <cell r="B375" t="str">
            <v>20437-10-9</v>
          </cell>
          <cell r="C375" t="str">
            <v>Nickel, [[1,1'-[1,2-phenylenebis(nitrilomethylidyne)]bis[2-naphthalenolato]](2-)-N,N',O,O']-, (SP-4-2)-</v>
          </cell>
          <cell r="D375" t="str">
            <v>단 불용성화합물을 0.1% 이상 함유한 제제</v>
          </cell>
          <cell r="E375">
            <v>0.1</v>
          </cell>
        </row>
        <row r="376">
          <cell r="B376" t="str">
            <v>20543-06-0</v>
          </cell>
          <cell r="C376" t="str">
            <v>Oxalic acid, nickel salt</v>
          </cell>
          <cell r="D376" t="str">
            <v>단 불용성화합물을 0.1% 이상 함유한 제제</v>
          </cell>
          <cell r="E376">
            <v>0.1</v>
          </cell>
        </row>
        <row r="377">
          <cell r="B377" t="str">
            <v>20648-91-3</v>
          </cell>
          <cell r="C377" t="str">
            <v>Dipotassium tetrachlorocadmate(2-)</v>
          </cell>
          <cell r="D377" t="str">
            <v>물질을 용량비율 0.1% 이상 함유한 제제</v>
          </cell>
          <cell r="E377">
            <v>0.1</v>
          </cell>
        </row>
        <row r="378">
          <cell r="B378" t="str">
            <v>20837-86-9</v>
          </cell>
          <cell r="C378" t="str">
            <v>Lead cyanamide</v>
          </cell>
          <cell r="D378" t="str">
            <v>물질을 용량비율 0.3% 이상 함유한 제제</v>
          </cell>
          <cell r="E378">
            <v>0.3</v>
          </cell>
        </row>
        <row r="379">
          <cell r="B379" t="str">
            <v>20890-10-2</v>
          </cell>
          <cell r="C379" t="str">
            <v>Lead cyanamidate</v>
          </cell>
          <cell r="D379" t="str">
            <v>물질을 용량비율 0.3% 이상 함유한 제제</v>
          </cell>
          <cell r="E379">
            <v>0.3</v>
          </cell>
        </row>
        <row r="380">
          <cell r="B380" t="str">
            <v>20936-32-7</v>
          </cell>
          <cell r="C380" t="str">
            <v>Lead 2,4-dihydroxybenzoate</v>
          </cell>
          <cell r="D380" t="str">
            <v>물질을 용량비율 0.3% 이상 함유한 제제</v>
          </cell>
          <cell r="E380">
            <v>0.3</v>
          </cell>
        </row>
        <row r="381">
          <cell r="B381" t="str">
            <v>21041-95-2</v>
          </cell>
          <cell r="C381" t="str">
            <v>Cadmium hydroxide (Cd(OH)2)</v>
          </cell>
          <cell r="D381" t="str">
            <v>물질을 용량비율 0.1% 이상 함유한 제제</v>
          </cell>
          <cell r="E381">
            <v>0.1</v>
          </cell>
        </row>
        <row r="382">
          <cell r="B382" t="str">
            <v>2117-69-3</v>
          </cell>
          <cell r="C382" t="str">
            <v>Diphenyllead dichloride</v>
          </cell>
          <cell r="D382" t="str">
            <v>물질을 용량비율 0.3% 이상 함유한 제제</v>
          </cell>
          <cell r="E382">
            <v>0.3</v>
          </cell>
        </row>
        <row r="383">
          <cell r="B383" t="str">
            <v>21264-77-7</v>
          </cell>
          <cell r="C383" t="str">
            <v>Nickel(2+), bis(ethylenediamine)-, sulfate (1:1)</v>
          </cell>
          <cell r="D383" t="str">
            <v>단 불용성화합물을 0.1% 이상 함유한 제제</v>
          </cell>
          <cell r="E383">
            <v>0.1</v>
          </cell>
        </row>
        <row r="384">
          <cell r="B384" t="str">
            <v>21784-78-1</v>
          </cell>
          <cell r="C384" t="str">
            <v>Nickel(2+) silicate</v>
          </cell>
          <cell r="D384" t="str">
            <v>단 불용성화합물을 0.1% 이상 함유한 제제</v>
          </cell>
          <cell r="E384">
            <v>0.1</v>
          </cell>
        </row>
        <row r="385">
          <cell r="B385" t="str">
            <v>2223-93-0</v>
          </cell>
          <cell r="C385" t="str">
            <v>Cadmium stearate</v>
          </cell>
          <cell r="D385" t="str">
            <v>물질을 용량비율 0.1% 이상 함유한 제제</v>
          </cell>
          <cell r="E385">
            <v>0.1</v>
          </cell>
        </row>
        <row r="386">
          <cell r="B386" t="str">
            <v>2223-95-2</v>
          </cell>
          <cell r="C386" t="str">
            <v>Octadecanoic acid, nickel(2+) salt</v>
          </cell>
          <cell r="D386" t="str">
            <v>단 불용성화합물을 0.1% 이상 함유한 제제</v>
          </cell>
          <cell r="E386">
            <v>0.1</v>
          </cell>
        </row>
        <row r="387">
          <cell r="B387" t="str">
            <v>22484-07-7</v>
          </cell>
          <cell r="C387" t="str">
            <v>[.mu.-[[1,1',1'',1'''-[Benzene-1,2,4,5-tetrayltetrakis(nitromethylidyne)]naphth-2-olato](4-)]]dinickel</v>
          </cell>
          <cell r="D387" t="str">
            <v>단 불용성화합물을 0.1% 이상 함유한 제제</v>
          </cell>
          <cell r="E387">
            <v>0.1</v>
          </cell>
        </row>
        <row r="388">
          <cell r="B388" t="str">
            <v>22569-74-0</v>
          </cell>
          <cell r="C388" t="str">
            <v>Lead silicate</v>
          </cell>
          <cell r="D388" t="str">
            <v>물질을 용량비율 0.3% 이상 함유한 제제</v>
          </cell>
          <cell r="E388">
            <v>0.3</v>
          </cell>
        </row>
        <row r="389">
          <cell r="B389" t="str">
            <v>22605-92-1</v>
          </cell>
          <cell r="C389" t="str">
            <v>Citric acid, nickel salt</v>
          </cell>
          <cell r="D389" t="str">
            <v>단 불용성화합물을 0.1% 이상 함유한 제제</v>
          </cell>
          <cell r="E389">
            <v>0.1</v>
          </cell>
        </row>
        <row r="390">
          <cell r="B390" t="str">
            <v>22904-40-1</v>
          </cell>
          <cell r="C390" t="str">
            <v>Glycine, N,N'-1,2-ethanediylbis[N-(carboxymethyl)-, lead(2+) sodiumsalt (1:1:2)</v>
          </cell>
          <cell r="D390" t="str">
            <v>물질을 용량비율 0.3% 이상 함유한 제제</v>
          </cell>
          <cell r="E390">
            <v>0.3</v>
          </cell>
        </row>
        <row r="391">
          <cell r="B391" t="str">
            <v>23621-79-6</v>
          </cell>
          <cell r="C391" t="str">
            <v>Hexanoic acid, 3,5,5-trimethyl-, lead salt</v>
          </cell>
          <cell r="D391" t="str">
            <v>물질을 용량비율 0.3% 이상 함유한 제제</v>
          </cell>
          <cell r="E391">
            <v>0.3</v>
          </cell>
        </row>
        <row r="392">
          <cell r="B392" t="str">
            <v>2388-00-3</v>
          </cell>
          <cell r="C392" t="str">
            <v>Diplumbane, hexaethyl-</v>
          </cell>
          <cell r="D392" t="str">
            <v>물질을 용량비율 0.3% 이상 함유한 제제</v>
          </cell>
          <cell r="E392">
            <v>0.3</v>
          </cell>
        </row>
        <row r="393">
          <cell r="B393" t="str">
            <v>24640-21-9</v>
          </cell>
          <cell r="C393" t="str">
            <v>Nickelate(1-), trichloro-, ammonium</v>
          </cell>
          <cell r="D393" t="str">
            <v>단 불용성화합물을 0.1% 이상 함유한 제제</v>
          </cell>
          <cell r="E393">
            <v>0.1</v>
          </cell>
        </row>
        <row r="394">
          <cell r="B394" t="str">
            <v>24824-71-3</v>
          </cell>
          <cell r="C394" t="str">
            <v>Phosphonic acid, lead(2+) salt</v>
          </cell>
          <cell r="D394" t="str">
            <v>물질을 용량비율 0.3% 이상 함유한 제제</v>
          </cell>
          <cell r="E394">
            <v>0.3</v>
          </cell>
        </row>
        <row r="395">
          <cell r="B395" t="str">
            <v>25481-21-4</v>
          </cell>
          <cell r="C395" t="str">
            <v>Nickelate(2-), [[N,N'-1,2-ethanediylbis[N-(carboxymethyl)glycinato]](4-)-N,N',O,O',ON,ON']-, dihydrogen, (OC-6-21)-</v>
          </cell>
          <cell r="D395" t="str">
            <v>단 불용성화합물을 0.1% 이상 함유한 제제</v>
          </cell>
          <cell r="E395">
            <v>0.1</v>
          </cell>
        </row>
        <row r="396">
          <cell r="B396" t="str">
            <v>25510-11-6</v>
          </cell>
          <cell r="C396" t="str">
            <v>Carbonic acid, lead(2+) salt</v>
          </cell>
          <cell r="D396" t="str">
            <v>물질을 용량비율 0.3% 이상 함유한 제제</v>
          </cell>
          <cell r="E396">
            <v>0.3</v>
          </cell>
        </row>
        <row r="397">
          <cell r="B397" t="str">
            <v>25659-31-8</v>
          </cell>
          <cell r="C397" t="str">
            <v>Lead iodate</v>
          </cell>
          <cell r="D397" t="str">
            <v>물질을 용량비율 0.3% 이상 함유한 제제</v>
          </cell>
          <cell r="E397">
            <v>0.3</v>
          </cell>
        </row>
        <row r="398">
          <cell r="B398" t="str">
            <v>25721-38-4</v>
          </cell>
          <cell r="C398" t="str">
            <v>Lead picrate</v>
          </cell>
          <cell r="D398" t="str">
            <v>물질을 용량비율 0.3% 이상 함유한 제제</v>
          </cell>
          <cell r="E398">
            <v>0.3</v>
          </cell>
        </row>
        <row r="399">
          <cell r="B399" t="str">
            <v>25808-74-6</v>
          </cell>
          <cell r="C399" t="str">
            <v>Lead silicofluoride　/　Lead hexafluorosilicate</v>
          </cell>
          <cell r="D399" t="str">
            <v>물질을 용량비율 0.3% 이상 함유한 제제</v>
          </cell>
          <cell r="E399">
            <v>0.3</v>
          </cell>
        </row>
        <row r="400">
          <cell r="B400" t="str">
            <v>2587-82-8</v>
          </cell>
          <cell r="C400" t="str">
            <v>Acetoxytributylplumbane</v>
          </cell>
          <cell r="D400" t="str">
            <v>물질을 용량비율 0.3% 이상 함유한 제제</v>
          </cell>
          <cell r="E400">
            <v>0.3</v>
          </cell>
        </row>
        <row r="401">
          <cell r="B401" t="str">
            <v>26043-11-8</v>
          </cell>
          <cell r="C401" t="str">
            <v>Nickel(II) fluosilicate</v>
          </cell>
          <cell r="D401" t="str">
            <v>단 불용성화합물을 0.1% 이상 함유한 제제</v>
          </cell>
          <cell r="E401">
            <v>0.1</v>
          </cell>
        </row>
        <row r="402">
          <cell r="B402" t="str">
            <v>26265-65-6</v>
          </cell>
          <cell r="C402" t="str">
            <v>Thiosulphuric acid, lead salt</v>
          </cell>
          <cell r="D402" t="str">
            <v>물질을 용량비율 0.3% 이상 함유한 제제</v>
          </cell>
          <cell r="E402">
            <v>0.3</v>
          </cell>
        </row>
        <row r="403">
          <cell r="B403" t="str">
            <v>27016-75-7</v>
          </cell>
          <cell r="C403" t="str">
            <v>Nickel arsenide (NiAs)</v>
          </cell>
          <cell r="D403" t="str">
            <v>단 불용성화합물을 0.1% 이상 함유한 제제</v>
          </cell>
          <cell r="E403">
            <v>0.1</v>
          </cell>
        </row>
        <row r="404">
          <cell r="B404" t="str">
            <v>27133-66-0</v>
          </cell>
          <cell r="C404" t="str">
            <v>Chromic acid, barium potassium salt</v>
          </cell>
          <cell r="D404" t="str">
            <v>6가 크롬을 0.1% 이상 함유한 제제</v>
          </cell>
          <cell r="E404">
            <v>0.1</v>
          </cell>
        </row>
        <row r="405">
          <cell r="B405" t="str">
            <v>27253-28-7</v>
          </cell>
          <cell r="C405" t="str">
            <v>Lead neodecanoate</v>
          </cell>
          <cell r="D405" t="str">
            <v>물질을 용량비율 0.3% 이상 함유한 제제</v>
          </cell>
          <cell r="E405">
            <v>0.3</v>
          </cell>
        </row>
        <row r="406">
          <cell r="B406" t="str">
            <v>27253-41-4</v>
          </cell>
          <cell r="C406" t="str">
            <v>Isononanoic acid, lead salt</v>
          </cell>
          <cell r="D406" t="str">
            <v>물질을 용량비율 0.3% 이상 함유한 제제</v>
          </cell>
          <cell r="E406">
            <v>0.3</v>
          </cell>
        </row>
        <row r="407">
          <cell r="B407" t="str">
            <v>27486-00-6</v>
          </cell>
          <cell r="C407" t="str">
            <v>Lead 199</v>
          </cell>
          <cell r="D407" t="str">
            <v>물질을 용량비율 0.3% 이상 함유한 제제</v>
          </cell>
          <cell r="E407">
            <v>0.3</v>
          </cell>
        </row>
        <row r="408">
          <cell r="B408" t="str">
            <v>27574-34-1</v>
          </cell>
          <cell r="C408" t="str">
            <v>Nickel, [[2,2'-thiobis[4-(1,1,3,3-tetramethylbutyl)phenolato]](2-)-O,O',S]-</v>
          </cell>
          <cell r="D408" t="str">
            <v>단 불용성화합물을 0.1% 이상 함유한 제제</v>
          </cell>
          <cell r="E408">
            <v>0.1</v>
          </cell>
        </row>
        <row r="409">
          <cell r="B409" t="str">
            <v>27637-46-3</v>
          </cell>
          <cell r="C409" t="str">
            <v>Nickel isooctanoate</v>
          </cell>
          <cell r="D409" t="str">
            <v>단 불용성화합물을 0.1% 이상 함유한 제제</v>
          </cell>
          <cell r="E409">
            <v>0.1</v>
          </cell>
        </row>
        <row r="410">
          <cell r="B410" t="str">
            <v>28680-76-4</v>
          </cell>
          <cell r="C410" t="str">
            <v>Nickel, [29H,31H-phthalocyanine-C,C,C,C-tetrasulfonyl tetrachloridato(2)-N29,N30,N31,N32]-</v>
          </cell>
          <cell r="D410" t="str">
            <v>단 불용성화합물을 0.1% 이상 함유한 제제</v>
          </cell>
          <cell r="E410">
            <v>0.1</v>
          </cell>
        </row>
        <row r="411">
          <cell r="B411" t="str">
            <v>28984-20-5</v>
          </cell>
          <cell r="C411" t="str">
            <v>Nickel, bis[1,2-diphenyl-1,2-ethenedithiolato(2-)-S,S']-, (SP-4-1)-</v>
          </cell>
          <cell r="D411" t="str">
            <v>단 불용성화합물을 0.1% 이상 함유한 제제</v>
          </cell>
          <cell r="E411">
            <v>0.1</v>
          </cell>
        </row>
        <row r="412">
          <cell r="B412" t="str">
            <v>29204-84-0</v>
          </cell>
          <cell r="C412" t="str">
            <v>Nickel, bis[2,3-bis(hydroxyimino)-N-phenylbutanamidato-N2,N3]-</v>
          </cell>
          <cell r="D412" t="str">
            <v>단 불용성화합물을 0.1% 이상 함유한 제제</v>
          </cell>
          <cell r="E412">
            <v>0.1</v>
          </cell>
        </row>
        <row r="413">
          <cell r="B413" t="str">
            <v>29317-63-3</v>
          </cell>
          <cell r="C413" t="str">
            <v>Nickel(II) isooctanoate</v>
          </cell>
          <cell r="D413" t="str">
            <v>단 불용성화합물을 0.1% 이상 함유한 제제</v>
          </cell>
          <cell r="E413">
            <v>0.1</v>
          </cell>
        </row>
        <row r="414">
          <cell r="B414" t="str">
            <v>29473-77-6</v>
          </cell>
          <cell r="C414" t="str">
            <v>Lead sebacate</v>
          </cell>
          <cell r="D414" t="str">
            <v>물질을 용량비율 0.3% 이상 함유한 제제</v>
          </cell>
          <cell r="E414">
            <v>0.3</v>
          </cell>
        </row>
        <row r="415">
          <cell r="B415" t="str">
            <v>29597-84-0</v>
          </cell>
          <cell r="C415" t="str">
            <v>Lead didocosanoate</v>
          </cell>
          <cell r="D415" t="str">
            <v>물질을 용량비율 0.3% 이상 함유한 제제</v>
          </cell>
          <cell r="E415">
            <v>0.3</v>
          </cell>
        </row>
        <row r="416">
          <cell r="B416" t="str">
            <v>29870-72-2</v>
          </cell>
          <cell r="C416" t="str">
            <v>Cadmium mercury telluride ((Cd,Hg)Te)</v>
          </cell>
          <cell r="D416" t="str">
            <v>물질을 용량비율 0.1% 이상 함유한 제제</v>
          </cell>
          <cell r="E416">
            <v>0.1</v>
          </cell>
        </row>
        <row r="417">
          <cell r="B417" t="str">
            <v>301-04-2</v>
          </cell>
          <cell r="C417" t="str">
            <v>Lead(II) acetate</v>
          </cell>
          <cell r="D417" t="str">
            <v>물질을 용량비율 0.3% 이상 함유한 제제</v>
          </cell>
          <cell r="E417">
            <v>0.3</v>
          </cell>
        </row>
        <row r="418">
          <cell r="B418" t="str">
            <v>301-08-6</v>
          </cell>
          <cell r="C418" t="str">
            <v>Hexanoic acid, 2-ethyl-, lead(2+) salt</v>
          </cell>
          <cell r="D418" t="str">
            <v>물질을 용량비율 0.3% 이상 함유한 제제</v>
          </cell>
          <cell r="E418">
            <v>0.3</v>
          </cell>
        </row>
        <row r="419">
          <cell r="B419" t="str">
            <v>30868-55-4</v>
          </cell>
          <cell r="C419" t="str">
            <v>Zirconate(2-), hexafluoro-, nickel(2+) (1:1), (OC-6-11)-</v>
          </cell>
          <cell r="D419" t="str">
            <v>단 불용성화합물을 0.1% 이상 함유한 제제</v>
          </cell>
          <cell r="E419">
            <v>0.1</v>
          </cell>
        </row>
        <row r="420">
          <cell r="B420" t="str">
            <v>30947-30-9</v>
          </cell>
          <cell r="C420" t="str">
            <v>Phosphonic acid, [[3,5-bis(1,1-dimethylethyl)-4-hydroxyphenyl]methyl]-, monoethyl ester, nickel(2+) salt (2:1)</v>
          </cell>
          <cell r="D420" t="str">
            <v>단 불용성화합물을 0.1% 이상 함유한 제제</v>
          </cell>
          <cell r="E420">
            <v>0.1</v>
          </cell>
        </row>
        <row r="421">
          <cell r="B421" t="str">
            <v>3124-01-4</v>
          </cell>
          <cell r="C421" t="str">
            <v>Diplumbane, hexaphenyl-</v>
          </cell>
          <cell r="D421" t="str">
            <v>물질을 용량비율 0.3% 이상 함유한 제제</v>
          </cell>
          <cell r="E421">
            <v>0.3</v>
          </cell>
        </row>
        <row r="422">
          <cell r="B422" t="str">
            <v>31748-25-1</v>
          </cell>
          <cell r="C422" t="str">
            <v>Silicic acid (H2SiO3), nickel(2+) salt (4:3)</v>
          </cell>
          <cell r="D422" t="str">
            <v>단 불용성화합물을 0.1% 이상 함유한 제제</v>
          </cell>
          <cell r="E422">
            <v>0.1</v>
          </cell>
        </row>
        <row r="423">
          <cell r="B423" t="str">
            <v>32112-52-0</v>
          </cell>
          <cell r="C423" t="str">
            <v>Lead dimyristate</v>
          </cell>
          <cell r="D423" t="str">
            <v>물질을 용량비율 0.3% 이상 함유한 제제</v>
          </cell>
          <cell r="E423">
            <v>0.3</v>
          </cell>
        </row>
        <row r="424">
          <cell r="B424" t="str">
            <v>3249-61-4</v>
          </cell>
          <cell r="C424" t="str">
            <v>Docosanoic acid, lead salt</v>
          </cell>
          <cell r="D424" t="str">
            <v>물질을 용량비율 0.3% 이상 함유한 제제</v>
          </cell>
          <cell r="E424">
            <v>0.3</v>
          </cell>
        </row>
        <row r="425">
          <cell r="B425" t="str">
            <v>3264-82-2</v>
          </cell>
          <cell r="C425" t="str">
            <v>Nickel, bis(2,4-pentanedionato-O,O')-, (SP-4-1)-</v>
          </cell>
          <cell r="D425" t="str">
            <v>단 불용성화합물을 0.1% 이상 함유한 제제</v>
          </cell>
          <cell r="E425">
            <v>0.1</v>
          </cell>
        </row>
        <row r="426">
          <cell r="B426" t="str">
            <v>3333-67-3</v>
          </cell>
          <cell r="C426" t="str">
            <v>Nickel carbonate</v>
          </cell>
          <cell r="D426" t="str">
            <v>단 불용성화합물을 0.1% 이상 함유한 제제</v>
          </cell>
          <cell r="E426">
            <v>0.1</v>
          </cell>
        </row>
        <row r="427">
          <cell r="B427" t="str">
            <v>3349-06-2</v>
          </cell>
          <cell r="C427" t="str">
            <v>Formic acid, nickel(2+) salt</v>
          </cell>
          <cell r="D427" t="str">
            <v>단 불용성화합물을 0.1% 이상 함유한 제제</v>
          </cell>
          <cell r="E427">
            <v>0.1</v>
          </cell>
        </row>
        <row r="428">
          <cell r="B428" t="str">
            <v>3349-08-4</v>
          </cell>
          <cell r="C428" t="str">
            <v>Nickel(2+) propionate</v>
          </cell>
          <cell r="D428" t="str">
            <v>단 불용성화합물을 0.1% 이상 함유한 제제</v>
          </cell>
          <cell r="E428">
            <v>0.1</v>
          </cell>
        </row>
        <row r="429">
          <cell r="B429" t="str">
            <v>33627-12-2</v>
          </cell>
          <cell r="C429" t="str">
            <v>Lead dilinoleate</v>
          </cell>
          <cell r="D429" t="str">
            <v>물질을 용량비율 0.3% 이상 함유한 제제</v>
          </cell>
          <cell r="E429">
            <v>0.3</v>
          </cell>
        </row>
        <row r="430">
          <cell r="B430" t="str">
            <v>33882-09-6</v>
          </cell>
          <cell r="C430" t="str">
            <v>[[2,2'-Thiobis[3-octylphenolato]](2-)-O,O',S]nickel</v>
          </cell>
          <cell r="D430" t="str">
            <v>단 불용성화합물을 0.1% 이상 함유한 제제</v>
          </cell>
          <cell r="E430">
            <v>0.1</v>
          </cell>
        </row>
        <row r="431">
          <cell r="B431" t="str">
            <v>34018-28-5</v>
          </cell>
          <cell r="C431" t="str">
            <v>Lead dibromate</v>
          </cell>
          <cell r="D431" t="str">
            <v>물질을 용량비율 0.3% 이상 함유한 제제</v>
          </cell>
          <cell r="E431">
            <v>0.3</v>
          </cell>
        </row>
        <row r="432">
          <cell r="B432" t="str">
            <v>34109-80-3</v>
          </cell>
          <cell r="C432" t="str">
            <v>Titanate(2-), hexafluoro-, nickel(2+), (1:1), (OC-6-11)-</v>
          </cell>
          <cell r="D432" t="str">
            <v>단 불용성화합물을 0.1% 이상 함유한 제제</v>
          </cell>
          <cell r="E432">
            <v>0.1</v>
          </cell>
        </row>
        <row r="433">
          <cell r="B433" t="str">
            <v>3440-75-3</v>
          </cell>
          <cell r="C433" t="str">
            <v>Tetrapropyl lead</v>
          </cell>
          <cell r="D433" t="str">
            <v>물질을 용량비율 0.3% 이상 함유한 제제</v>
          </cell>
          <cell r="E433">
            <v>0.3</v>
          </cell>
        </row>
        <row r="434">
          <cell r="B434" t="str">
            <v>34831-03-3</v>
          </cell>
          <cell r="C434" t="str">
            <v>Nickelate(1-), [N,N-bis(carboxymethyl)glycinato(3-)-N,O,O',O'']-, hydrogen, (T-4)-</v>
          </cell>
          <cell r="D434" t="str">
            <v>단 불용성화합물을 0.1% 이상 함유한 제제</v>
          </cell>
          <cell r="E434">
            <v>0.1</v>
          </cell>
        </row>
        <row r="435">
          <cell r="B435" t="str">
            <v>35029-96-0</v>
          </cell>
          <cell r="C435" t="str">
            <v>Lead (II) methylthiolate</v>
          </cell>
          <cell r="D435" t="str">
            <v>물질을 용량비율 0.3% 이상 함유한 제제</v>
          </cell>
          <cell r="E435">
            <v>0.3</v>
          </cell>
        </row>
        <row r="436">
          <cell r="B436" t="str">
            <v>35112-70-0</v>
          </cell>
          <cell r="C436" t="str">
            <v>Lead cyanamide</v>
          </cell>
          <cell r="D436" t="str">
            <v>물질을 용량비율 0.3% 이상 함유한 제제</v>
          </cell>
          <cell r="E436">
            <v>0.3</v>
          </cell>
        </row>
        <row r="437">
          <cell r="B437" t="str">
            <v>35498-15-8</v>
          </cell>
          <cell r="C437" t="str">
            <v>Orthoboric acid, lead(2+) salt</v>
          </cell>
          <cell r="D437" t="str">
            <v>물질을 용량비율 0.3% 이상 함유한 제제</v>
          </cell>
          <cell r="E437">
            <v>0.3</v>
          </cell>
        </row>
        <row r="438">
          <cell r="B438" t="str">
            <v>35837-70-8</v>
          </cell>
          <cell r="C438" t="str">
            <v>Lead bis(3,5,5-trimethylhexanoate)</v>
          </cell>
          <cell r="D438" t="str">
            <v>물질을 용량비율 0.3% 이상 함유한 제제</v>
          </cell>
          <cell r="E438">
            <v>0.3</v>
          </cell>
        </row>
        <row r="439">
          <cell r="B439" t="str">
            <v>35884-66-3</v>
          </cell>
          <cell r="C439" t="str">
            <v>Nickel, tetrakis[tris(methylphenyl) phosphite-P]-</v>
          </cell>
          <cell r="D439" t="str">
            <v>단 불용성화합물을 0.1% 이상 함유한 제제</v>
          </cell>
          <cell r="E439">
            <v>0.1</v>
          </cell>
        </row>
        <row r="440">
          <cell r="B440" t="str">
            <v>36026-88-7</v>
          </cell>
          <cell r="C440" t="str">
            <v>Nickel bisphosphinate</v>
          </cell>
          <cell r="D440" t="str">
            <v>단 불용성화합물을 0.1% 이상 함유한 제제</v>
          </cell>
          <cell r="E440">
            <v>0.1</v>
          </cell>
        </row>
        <row r="441">
          <cell r="B441" t="str">
            <v>36259-37-7</v>
          </cell>
          <cell r="C441" t="str">
            <v>Nickel, bis(dipentylcarbamodithioato-S,S')-, (SP-4-1)-</v>
          </cell>
          <cell r="D441" t="str">
            <v>단 불용성화합물을 0.1% 이상 함유한 제제</v>
          </cell>
          <cell r="E441">
            <v>0.1</v>
          </cell>
        </row>
        <row r="442">
          <cell r="B442" t="str">
            <v>36545-21-8</v>
          </cell>
          <cell r="C442" t="str">
            <v>Nickel, bis(phenyldiazenecarbothioic acid 2-phenylhydrazidato)-</v>
          </cell>
          <cell r="D442" t="str">
            <v>단 불용성화합물을 0.1% 이상 함유한 제제</v>
          </cell>
          <cell r="E442">
            <v>0.1</v>
          </cell>
        </row>
        <row r="443">
          <cell r="B443" t="str">
            <v>3687-31-8</v>
          </cell>
          <cell r="C443" t="str">
            <v>Diarsenic acid trilead</v>
          </cell>
          <cell r="D443" t="str">
            <v>물질을 용량비율 0.3% 이상 함유한 제제</v>
          </cell>
          <cell r="E443">
            <v>0.3</v>
          </cell>
        </row>
        <row r="444">
          <cell r="B444" t="str">
            <v>37131-86-5</v>
          </cell>
          <cell r="C444" t="str">
            <v>Diphosphoric acid, barium cadmium salt</v>
          </cell>
          <cell r="D444" t="str">
            <v>물질을 용량비율 0.1% 이상 함유한 제제</v>
          </cell>
          <cell r="E444">
            <v>0.1</v>
          </cell>
        </row>
        <row r="445">
          <cell r="B445" t="str">
            <v>37194-88-0</v>
          </cell>
          <cell r="C445" t="str">
            <v>Lead ruthenium oxide   (PbRuO3)</v>
          </cell>
          <cell r="D445" t="str">
            <v>물질을 용량비율 0.3% 이상 함유한 제제</v>
          </cell>
          <cell r="E445">
            <v>0.3</v>
          </cell>
        </row>
        <row r="446">
          <cell r="B446" t="str">
            <v>37240-96-3</v>
          </cell>
          <cell r="C446" t="str">
            <v>Dilead dirhodium heptaoxide</v>
          </cell>
          <cell r="D446" t="str">
            <v>물질을 용량비율 0.3% 이상 함유한 제제</v>
          </cell>
          <cell r="E446">
            <v>0.3</v>
          </cell>
        </row>
        <row r="447">
          <cell r="B447" t="str">
            <v>37300-23-5</v>
          </cell>
          <cell r="C447" t="str">
            <v>Zinc yellow (Zinc chromate pigment)</v>
          </cell>
          <cell r="D447" t="str">
            <v>6가 크롬을 0.1% 이상 함유한 제제</v>
          </cell>
          <cell r="E447">
            <v>0.1</v>
          </cell>
        </row>
        <row r="448">
          <cell r="B448" t="str">
            <v>373-02-4</v>
          </cell>
          <cell r="C448" t="str">
            <v>Nickel(II) acetate</v>
          </cell>
          <cell r="D448" t="str">
            <v>단 불용성화합물을 0.1% 이상 함유한 제제</v>
          </cell>
          <cell r="E448">
            <v>0.1</v>
          </cell>
        </row>
        <row r="449">
          <cell r="B449" t="str">
            <v>37382-24-4</v>
          </cell>
          <cell r="C449" t="str">
            <v>Chromium cobalt oxide</v>
          </cell>
          <cell r="D449" t="str">
            <v>6가 크롬을 0.1% 이상 함유한 제제</v>
          </cell>
          <cell r="E449">
            <v>0.1</v>
          </cell>
        </row>
        <row r="450">
          <cell r="B450" t="str">
            <v>38465-55-3</v>
          </cell>
          <cell r="C450" t="str">
            <v>Nickel, bis[1-[4-(dimethylamino)phenyl]-2-phenyl-1,2-ethenedithiolato(2-)-S,S']-</v>
          </cell>
          <cell r="D450" t="str">
            <v>단 불용성화합물을 0.1% 이상 함유한 제제</v>
          </cell>
          <cell r="E450">
            <v>0.1</v>
          </cell>
        </row>
        <row r="451">
          <cell r="B451" t="str">
            <v>38780-90-4</v>
          </cell>
          <cell r="C451" t="str">
            <v>Nickel(2+), tris(4,7-diphenyl-1,10-phenanthroline-N1,N10)-, (OC-6-11)-, dinitrate</v>
          </cell>
          <cell r="D451" t="str">
            <v>단 불용성화합물을 0.1% 이상 함유한 제제</v>
          </cell>
          <cell r="E451">
            <v>0.1</v>
          </cell>
        </row>
        <row r="452">
          <cell r="B452" t="str">
            <v>38787-87-0</v>
          </cell>
          <cell r="C452" t="str">
            <v>Lead isophthalate</v>
          </cell>
          <cell r="D452" t="str">
            <v>물질을 용량비율 0.3% 이상 함유한 제제</v>
          </cell>
          <cell r="E452">
            <v>0.3</v>
          </cell>
        </row>
        <row r="453">
          <cell r="B453" t="str">
            <v>38951-94-9</v>
          </cell>
          <cell r="C453" t="str">
            <v>Nickel, bis[2-butene-2,3-dithiolato(2-)-S,S']-, (SP-4-1)-</v>
          </cell>
          <cell r="D453" t="str">
            <v>단 불용성화합물을 0.1% 이상 함유한 제제</v>
          </cell>
          <cell r="E453">
            <v>0.1</v>
          </cell>
        </row>
        <row r="454">
          <cell r="B454" t="str">
            <v>38951-97-2</v>
          </cell>
          <cell r="C454" t="str">
            <v>Nickel, bis[1,2-bis(4-methoxyphenyl)-1,2-ethenedithiolato(2-)-S,S']-, (SP-4-1)-</v>
          </cell>
          <cell r="D454" t="str">
            <v>단 불용성화합물을 0.1% 이상 함유한 제제</v>
          </cell>
          <cell r="E454">
            <v>0.1</v>
          </cell>
        </row>
        <row r="455">
          <cell r="B455" t="str">
            <v>39049-81-5</v>
          </cell>
          <cell r="C455" t="str">
            <v>Dipotassium tris(cyano-c)nickelate(2-)</v>
          </cell>
          <cell r="D455" t="str">
            <v>단 불용성화합물을 0.1% 이상 함유한 제제</v>
          </cell>
          <cell r="E455">
            <v>0.1</v>
          </cell>
        </row>
        <row r="456">
          <cell r="B456" t="str">
            <v>3906-55-6</v>
          </cell>
          <cell r="C456" t="str">
            <v>Cyclohexanebutanoic acid, nickel(2+) salt</v>
          </cell>
          <cell r="D456" t="str">
            <v>단 불용성화합물을 0.1% 이상 함유한 제제</v>
          </cell>
          <cell r="E456">
            <v>0.1</v>
          </cell>
        </row>
        <row r="457">
          <cell r="B457" t="str">
            <v>39345-91-0</v>
          </cell>
          <cell r="C457" t="str">
            <v>Lead hydroxide</v>
          </cell>
          <cell r="D457" t="str">
            <v>물질을 용량비율 0.3% 이상 함유한 제제</v>
          </cell>
          <cell r="E457">
            <v>0.3</v>
          </cell>
        </row>
        <row r="458">
          <cell r="B458" t="str">
            <v>39412-44-7</v>
          </cell>
          <cell r="C458" t="str">
            <v>Tin alloy</v>
          </cell>
          <cell r="D458" t="str">
            <v>물질을 용량비율 0.3% 이상 함유한 제제</v>
          </cell>
          <cell r="E458">
            <v>0.3</v>
          </cell>
        </row>
        <row r="459">
          <cell r="B459" t="str">
            <v>39430-27-8</v>
          </cell>
          <cell r="C459" t="str">
            <v>Nickel, (carbonato(2-))tetrahydroxytri-, tetrahydrate</v>
          </cell>
          <cell r="D459" t="str">
            <v>단 불용성화합물을 0.1% 이상 함유한 제제</v>
          </cell>
          <cell r="E459">
            <v>0.1</v>
          </cell>
        </row>
        <row r="460">
          <cell r="B460" t="str">
            <v>39819-65-3</v>
          </cell>
          <cell r="C460" t="str">
            <v>Nickel bis(benzenesulphonate)</v>
          </cell>
          <cell r="D460" t="str">
            <v>단 불용성화합물을 0.1% 이상 함유한 제제</v>
          </cell>
          <cell r="E460">
            <v>0.1</v>
          </cell>
        </row>
        <row r="461">
          <cell r="B461" t="str">
            <v>41189-36-0</v>
          </cell>
          <cell r="C461" t="str">
            <v>Chromic acid, potassium zinc salt</v>
          </cell>
          <cell r="D461" t="str">
            <v>6가 크롬을 0.1% 이상 함유한 제제</v>
          </cell>
          <cell r="E461">
            <v>0.1</v>
          </cell>
        </row>
        <row r="462">
          <cell r="B462" t="str">
            <v>41453-50-3</v>
          </cell>
          <cell r="C462" t="str">
            <v>Lead b-resorcylate</v>
          </cell>
          <cell r="D462" t="str">
            <v>물질을 용량비율 0.3% 이상 함유한 제제</v>
          </cell>
          <cell r="E462">
            <v>0.3</v>
          </cell>
        </row>
        <row r="463">
          <cell r="B463" t="str">
            <v>41476-75-9</v>
          </cell>
          <cell r="C463" t="str">
            <v>Nickel bis(piperidine-1-carbodithioate)</v>
          </cell>
          <cell r="D463" t="str">
            <v>단 불용성화합물을 0.1% 이상 함유한 제제</v>
          </cell>
          <cell r="E463">
            <v>0.1</v>
          </cell>
        </row>
        <row r="464">
          <cell r="B464" t="str">
            <v>41556-46-1</v>
          </cell>
          <cell r="C464" t="str">
            <v>Lead bis(piperidine-1-carbodithioate)</v>
          </cell>
          <cell r="D464" t="str">
            <v>물질을 용량비율 0.3% 이상 함유한 제제</v>
          </cell>
          <cell r="E464">
            <v>0.3</v>
          </cell>
        </row>
        <row r="465">
          <cell r="B465" t="str">
            <v>42558-73-6</v>
          </cell>
          <cell r="C465" t="str">
            <v>Lead propionate</v>
          </cell>
          <cell r="D465" t="str">
            <v>물질을 용량비율 0.3% 이상 함유한 제제</v>
          </cell>
          <cell r="E465">
            <v>0.3</v>
          </cell>
        </row>
        <row r="466">
          <cell r="B466" t="str">
            <v>42579-89-5</v>
          </cell>
          <cell r="C466" t="str">
            <v>Sulfuric acid, barium lead salt</v>
          </cell>
          <cell r="D466" t="str">
            <v>물질을 용량비율 0.3% 이상 함유한 제제</v>
          </cell>
          <cell r="E466">
            <v>0.3</v>
          </cell>
        </row>
        <row r="467">
          <cell r="B467" t="str">
            <v>42612-06-6</v>
          </cell>
          <cell r="C467" t="str">
            <v>Zirconium alloy, base, Zr 40-82, Ni 18-60</v>
          </cell>
          <cell r="D467" t="str">
            <v>단 불용성화합물을 0.1% 이상 함유한 제제</v>
          </cell>
          <cell r="E467">
            <v>0.1</v>
          </cell>
        </row>
        <row r="468">
          <cell r="B468" t="str">
            <v>42739-61-7</v>
          </cell>
          <cell r="C468" t="str">
            <v>Nickel, bis[2,3-bis(hydroxyimino)-N-(2-methoxyphenyl)butanamidato]-</v>
          </cell>
          <cell r="D468" t="str">
            <v>단 불용성화합물을 0.1% 이상 함유한 제제</v>
          </cell>
          <cell r="E468">
            <v>0.1</v>
          </cell>
        </row>
        <row r="469">
          <cell r="B469" t="str">
            <v>42844-93-9</v>
          </cell>
          <cell r="C469" t="str">
            <v>Nickel, [1,3-dihydro-5,6-bis[[(2-hydroxy-1-naphthalenyl)methylene]amino]-2H-benzimidazol-2-onato(2-)-N5,N6,O5,O6]-, (SP-4-2)-</v>
          </cell>
          <cell r="D469" t="str">
            <v>단 불용성화합물을 0.1% 이상 함유한 제제</v>
          </cell>
          <cell r="E469">
            <v>0.1</v>
          </cell>
        </row>
        <row r="470">
          <cell r="B470" t="str">
            <v>4454-16-4</v>
          </cell>
          <cell r="C470" t="str">
            <v>Hexanoic acid, 2-ethyl-, nickel(2+) salt</v>
          </cell>
          <cell r="D470" t="str">
            <v>단 불용성화합물을 0.1% 이상 함유한 제제</v>
          </cell>
          <cell r="E470">
            <v>0.1</v>
          </cell>
        </row>
        <row r="471">
          <cell r="B471" t="str">
            <v>47726-62-5</v>
          </cell>
          <cell r="C471" t="str">
            <v>[[2,2'-(4,8-Dichlorobenzo[1,2-d:4,5-d']bisoxazole-2,6-diyl)bis[4,6-dichlorophenolato]](2-)]nickel</v>
          </cell>
          <cell r="D471" t="str">
            <v>단 불용성화합물을 0.1% 이상 함유한 제제</v>
          </cell>
          <cell r="E471">
            <v>0.1</v>
          </cell>
        </row>
        <row r="472">
          <cell r="B472" t="str">
            <v>49663-84-5</v>
          </cell>
          <cell r="C472" t="str">
            <v>Pentazinc chromate octahydroxide</v>
          </cell>
          <cell r="D472" t="str">
            <v>6가 크롬을 0.1% 이상 함유한 제제</v>
          </cell>
          <cell r="E472">
            <v>0.1</v>
          </cell>
        </row>
        <row r="473">
          <cell r="B473" t="str">
            <v>4995-91-9</v>
          </cell>
          <cell r="C473" t="str">
            <v>Octanoic acid, nickel(2+) salt</v>
          </cell>
          <cell r="D473" t="str">
            <v>단 불용성화합물을 0.1% 이상 함유한 제제</v>
          </cell>
          <cell r="E473">
            <v>0.1</v>
          </cell>
        </row>
        <row r="474">
          <cell r="B474" t="str">
            <v>50-00-0</v>
          </cell>
          <cell r="C474" t="str">
            <v>Formaldehyde</v>
          </cell>
          <cell r="D474" t="str">
            <v>물질을 용량비율 0.1% 이상 함유한 제제</v>
          </cell>
          <cell r="E474">
            <v>0.1</v>
          </cell>
        </row>
        <row r="475">
          <cell r="B475" t="str">
            <v>50319-14-7</v>
          </cell>
          <cell r="C475" t="str">
            <v>Phenol, 2-methyldinitro-, lead salt</v>
          </cell>
          <cell r="D475" t="str">
            <v>물질을 용량비율 0.3% 이상 함유한 제제</v>
          </cell>
          <cell r="E475">
            <v>0.3</v>
          </cell>
        </row>
        <row r="476">
          <cell r="B476" t="str">
            <v>50825-29-1</v>
          </cell>
          <cell r="C476" t="str">
            <v>Lead naphthalate</v>
          </cell>
          <cell r="D476" t="str">
            <v>물질을 용량비율 0.3% 이상 함유한 제제</v>
          </cell>
          <cell r="E476">
            <v>0.3</v>
          </cell>
        </row>
        <row r="477">
          <cell r="B477" t="str">
            <v>51105-45-4</v>
          </cell>
          <cell r="C477" t="str">
            <v>3-(Triphenylplumbyl)-1H-pyrazole</v>
          </cell>
          <cell r="D477" t="str">
            <v>물질을 용량비율 0.3% 이상 함유한 제제</v>
          </cell>
          <cell r="E477">
            <v>0.3</v>
          </cell>
        </row>
        <row r="478">
          <cell r="B478" t="str">
            <v>51222-18-5</v>
          </cell>
          <cell r="C478" t="str">
            <v>Nickel acrylate</v>
          </cell>
          <cell r="D478" t="str">
            <v>단 불용성화합물을 0.1% 이상 함유한 제제</v>
          </cell>
          <cell r="E478">
            <v>0.1</v>
          </cell>
        </row>
        <row r="479">
          <cell r="B479" t="str">
            <v>51222-60-7</v>
          </cell>
          <cell r="C479" t="str">
            <v>Boric acid, cadmium salt</v>
          </cell>
          <cell r="D479" t="str">
            <v>물질을 용량비율 0.1% 이상 함유한 제제</v>
          </cell>
          <cell r="E479">
            <v>0.1</v>
          </cell>
        </row>
        <row r="480">
          <cell r="B480" t="str">
            <v>512-26-5</v>
          </cell>
          <cell r="C480" t="str">
            <v>1,2,3-Propanetricarboxylic acid, 2-hydroxy-, lead(2+) salt (2:3)</v>
          </cell>
          <cell r="D480" t="str">
            <v>물질을 용량비율 0.3% 이상 함유한 제제</v>
          </cell>
          <cell r="E480">
            <v>0.3</v>
          </cell>
        </row>
        <row r="481">
          <cell r="B481" t="str">
            <v>51317-24-9</v>
          </cell>
          <cell r="C481" t="str">
            <v>Lead nitroresorcinate</v>
          </cell>
          <cell r="D481" t="str">
            <v>물질을 용량비율 0.3% 이상 함유한 제제</v>
          </cell>
          <cell r="E481">
            <v>0.3</v>
          </cell>
        </row>
        <row r="482">
          <cell r="B482" t="str">
            <v>51325-28-1</v>
          </cell>
          <cell r="C482" t="str">
            <v>Trinitrophloroglucinol, lead salt</v>
          </cell>
          <cell r="D482" t="str">
            <v>물질을 용량비율 0.3% 이상 함유한 제제</v>
          </cell>
          <cell r="E482">
            <v>0.3</v>
          </cell>
        </row>
        <row r="483">
          <cell r="B483" t="str">
            <v>513-78-0</v>
          </cell>
          <cell r="C483" t="str">
            <v>Cadmium carbonate</v>
          </cell>
          <cell r="D483" t="str">
            <v>물질을 용량비율 0.1% 이상 함유한 제제</v>
          </cell>
          <cell r="E483">
            <v>0.1</v>
          </cell>
        </row>
        <row r="484">
          <cell r="B484" t="str">
            <v>51404-69-4</v>
          </cell>
          <cell r="C484" t="str">
            <v>Acetic acid, lead salt, basic</v>
          </cell>
          <cell r="D484" t="str">
            <v>물질을 용량비율 0.3% 이상 함유한 제제</v>
          </cell>
          <cell r="E484">
            <v>0.3</v>
          </cell>
        </row>
        <row r="485">
          <cell r="B485" t="str">
            <v>51449-18-4</v>
          </cell>
          <cell r="C485" t="str">
            <v>Nickel, bis[1-[4-(diethylamino)phenyl]-2-phenyl-1,2-ethenedithiolato(2-)-S,S']-</v>
          </cell>
          <cell r="D485" t="str">
            <v>단 불용성화합물을 0.1% 이상 함유한 제제</v>
          </cell>
          <cell r="E485">
            <v>0.1</v>
          </cell>
        </row>
        <row r="486">
          <cell r="B486" t="str">
            <v>51467-07-3</v>
          </cell>
          <cell r="C486" t="str">
            <v>Nickel(2++), hexaammine-, dihydroxide, (OC-6-11)-</v>
          </cell>
          <cell r="D486" t="str">
            <v>단 불용성화합물을 0.1% 이상 함유한 제제</v>
          </cell>
          <cell r="E486">
            <v>0.1</v>
          </cell>
        </row>
        <row r="487">
          <cell r="B487" t="str">
            <v>51818-56-5</v>
          </cell>
          <cell r="C487" t="str">
            <v>Neodecanoic acid, nickel salt</v>
          </cell>
          <cell r="D487" t="str">
            <v>단 불용성화합물을 0.1% 이상 함유한 제제</v>
          </cell>
          <cell r="E487">
            <v>0.1</v>
          </cell>
        </row>
        <row r="488">
          <cell r="B488" t="str">
            <v>51899-02-6</v>
          </cell>
          <cell r="C488" t="str">
            <v>Lead chromate sulfate (Pb9(CrO4)5(SO4)4)</v>
          </cell>
          <cell r="D488" t="str">
            <v>물질을 용량비율 0.3% 이상 함유한 제제</v>
          </cell>
          <cell r="E488">
            <v>0.3</v>
          </cell>
        </row>
        <row r="489">
          <cell r="B489" t="str">
            <v>51912-52-8</v>
          </cell>
          <cell r="C489" t="str">
            <v>Copper, compound with lanthanum and nickel (4:1:1)</v>
          </cell>
          <cell r="D489" t="str">
            <v>단 불용성화합물을 0.1% 이상 함유한 제제</v>
          </cell>
          <cell r="E489">
            <v>0.1</v>
          </cell>
        </row>
        <row r="490">
          <cell r="B490" t="str">
            <v>51931-46-5</v>
          </cell>
          <cell r="C490" t="str">
            <v>Nickel, bis[3-[(4-chlorophenyl)azo]-2,4(1H,3H)-quinolinedionato]-</v>
          </cell>
          <cell r="D490" t="str">
            <v>단 불용성화합물을 0.1% 이상 함유한 제제</v>
          </cell>
          <cell r="E490">
            <v>0.1</v>
          </cell>
        </row>
        <row r="491">
          <cell r="B491" t="str">
            <v>52022-10-3</v>
          </cell>
          <cell r="C491" t="str">
            <v>Nickel [R(R*,R*)]-tartrate</v>
          </cell>
          <cell r="D491" t="str">
            <v>단 불용성화합물을 0.1% 이상 함유한 제제</v>
          </cell>
          <cell r="E491">
            <v>0.1</v>
          </cell>
        </row>
        <row r="492">
          <cell r="B492" t="str">
            <v>52080-60-1</v>
          </cell>
          <cell r="C492" t="str">
            <v>Octadecanoic acid, lead(2+) salt, tribasic</v>
          </cell>
          <cell r="D492" t="str">
            <v>물질을 용량비율 0.3% 이상 함유한 제제</v>
          </cell>
          <cell r="E492">
            <v>0.3</v>
          </cell>
        </row>
        <row r="493">
          <cell r="B493" t="str">
            <v>52231-92-2</v>
          </cell>
          <cell r="C493" t="str">
            <v>Sulfurous acid, lead salt, basic</v>
          </cell>
          <cell r="D493" t="str">
            <v>물질을 용량비율 0.3% 이상 함유한 제제</v>
          </cell>
          <cell r="E493">
            <v>0.3</v>
          </cell>
        </row>
        <row r="494">
          <cell r="B494" t="str">
            <v>52486-98-3</v>
          </cell>
          <cell r="C494" t="str">
            <v>Bis[(2-hydroxyethyl)dithiocarbamato-S,S']nickel</v>
          </cell>
          <cell r="D494" t="str">
            <v>단 불용성화합물을 0.1% 이상 함유한 제제</v>
          </cell>
          <cell r="E494">
            <v>0.1</v>
          </cell>
        </row>
        <row r="495">
          <cell r="B495" t="str">
            <v>52486-99-4</v>
          </cell>
          <cell r="C495" t="str">
            <v>Bis[bis(2-hydroxyethyl)dithiocarbamato-S,S']nickel</v>
          </cell>
          <cell r="D495" t="str">
            <v>단 불용성화합물을 0.1% 이상 함유한 제제</v>
          </cell>
          <cell r="E495">
            <v>0.1</v>
          </cell>
        </row>
        <row r="496">
          <cell r="B496" t="str">
            <v>52496-91-0</v>
          </cell>
          <cell r="C496" t="str">
            <v>Nickel(2+) methacrylate</v>
          </cell>
          <cell r="D496" t="str">
            <v>단 불용성화합물을 0.1% 이상 함유한 제제</v>
          </cell>
          <cell r="E496">
            <v>0.1</v>
          </cell>
        </row>
        <row r="497">
          <cell r="B497" t="str">
            <v>52502-12-2</v>
          </cell>
          <cell r="C497" t="str">
            <v>Nickel vanadium oxide (NiV2O6)</v>
          </cell>
          <cell r="D497" t="str">
            <v>단 불용성화합물을 0.1% 이상 함유한 제제</v>
          </cell>
          <cell r="E497">
            <v>0.1</v>
          </cell>
        </row>
        <row r="498">
          <cell r="B498" t="str">
            <v>52609-46-8</v>
          </cell>
          <cell r="C498" t="str">
            <v>Lead methacrylate</v>
          </cell>
          <cell r="D498" t="str">
            <v>물질을 용량비율 0.3% 이상 함유한 제제</v>
          </cell>
          <cell r="E498">
            <v>0.3</v>
          </cell>
        </row>
        <row r="499">
          <cell r="B499" t="str">
            <v>52610-81-8</v>
          </cell>
          <cell r="C499" t="str">
            <v>Bis(diethyldithiocarbamato-S,S')nickel</v>
          </cell>
          <cell r="D499" t="str">
            <v>단 불용성화합물을 0.1% 이상 함유한 제제</v>
          </cell>
          <cell r="E499">
            <v>0.1</v>
          </cell>
        </row>
        <row r="500">
          <cell r="B500" t="str">
            <v>52625-25-9</v>
          </cell>
          <cell r="C500" t="str">
            <v>Benzoic acid, 3,5-bis(1,1-dimethylethyl)-4-hydroxy-, nickel(2+) salt (2:1)</v>
          </cell>
          <cell r="D500" t="str">
            <v>단 불용성화합물을 0.1% 이상 함유한 제제</v>
          </cell>
          <cell r="E500">
            <v>0.1</v>
          </cell>
        </row>
        <row r="501">
          <cell r="B501" t="str">
            <v>52652-59-2</v>
          </cell>
          <cell r="C501" t="str">
            <v>Lead stearate dibasic</v>
          </cell>
          <cell r="D501" t="str">
            <v>물질을 용량비율 0.3% 이상 함유한 제제</v>
          </cell>
          <cell r="E501">
            <v>0.3</v>
          </cell>
        </row>
        <row r="502">
          <cell r="B502" t="str">
            <v>52732-72-6</v>
          </cell>
          <cell r="C502" t="str">
            <v>Sulfuric acid, lead salt, tetrabasic</v>
          </cell>
          <cell r="D502" t="str">
            <v>물질을 용량비율 0.3% 이상 함유한 제제</v>
          </cell>
          <cell r="E502">
            <v>0.3</v>
          </cell>
        </row>
        <row r="503">
          <cell r="B503" t="str">
            <v>52847-85-5</v>
          </cell>
          <cell r="C503" t="str">
            <v>Lead bis(isononanoate)</v>
          </cell>
          <cell r="D503" t="str">
            <v>물질을 용량비율 0.3% 이상 함유한 제제</v>
          </cell>
          <cell r="E503">
            <v>0.3</v>
          </cell>
        </row>
        <row r="504">
          <cell r="B504" t="str">
            <v>53199-85-2</v>
          </cell>
          <cell r="C504" t="str">
            <v>Nickel(1+), [1-(2-amino-4-imino-5(4H)-thiazolylidene)-N-[1-(2-amino-4-imino-5(4H)-thiazolylidene)-1H-isoindol-3-yl]-1H-isoindol-</v>
          </cell>
          <cell r="D504" t="str">
            <v>단 불용성화합물을 0.1% 이상 함유한 제제</v>
          </cell>
          <cell r="E504">
            <v>0.1</v>
          </cell>
        </row>
        <row r="505">
          <cell r="B505" t="str">
            <v>53404-12-9</v>
          </cell>
          <cell r="C505" t="str">
            <v>Arsenic acid, lead (4+) salt</v>
          </cell>
          <cell r="D505" t="str">
            <v>물질을 용량비율 0.3% 이상 함유한 제제</v>
          </cell>
          <cell r="E505">
            <v>0.3</v>
          </cell>
        </row>
        <row r="506">
          <cell r="B506" t="str">
            <v>53807-64-0</v>
          </cell>
          <cell r="C506" t="str">
            <v>Phosphonic acid, lead salt, basic</v>
          </cell>
          <cell r="D506" t="str">
            <v>물질을 용량비율 0.3% 이상 함유한 제제</v>
          </cell>
          <cell r="E506">
            <v>0.3</v>
          </cell>
        </row>
        <row r="507">
          <cell r="B507" t="str">
            <v>542-83-6</v>
          </cell>
          <cell r="C507" t="str">
            <v>Cadmium cyanide (Cd(CN)2)</v>
          </cell>
          <cell r="D507" t="str">
            <v>물질을 용량비율 0.1% 이상 함유한 제제</v>
          </cell>
          <cell r="E507">
            <v>0.1</v>
          </cell>
        </row>
        <row r="508">
          <cell r="B508" t="str">
            <v>543-90-8</v>
          </cell>
          <cell r="C508" t="str">
            <v>Cadmium acetate</v>
          </cell>
          <cell r="D508" t="str">
            <v>물질을 용량비율 0.1% 이상 함유한 제제</v>
          </cell>
          <cell r="E508">
            <v>0.1</v>
          </cell>
        </row>
        <row r="509">
          <cell r="B509" t="str">
            <v>54554-36-8</v>
          </cell>
          <cell r="C509" t="str">
            <v>1,3,5-Triazine-2,4,6(1H,3H,5H)-trione, lead salt</v>
          </cell>
          <cell r="D509" t="str">
            <v>물질을 용량비율 0.3% 이상 함유한 제제</v>
          </cell>
          <cell r="E509">
            <v>0.3</v>
          </cell>
        </row>
        <row r="510">
          <cell r="B510" t="str">
            <v>546-67-8</v>
          </cell>
          <cell r="C510" t="str">
            <v>Lead tetraacetate</v>
          </cell>
          <cell r="D510" t="str">
            <v>물질을 용량비율 0.3% 이상 함유한 제제</v>
          </cell>
          <cell r="E510">
            <v>0.3</v>
          </cell>
        </row>
        <row r="511">
          <cell r="B511" t="str">
            <v>547-67-1</v>
          </cell>
          <cell r="C511" t="str">
            <v>Ethanedioic acid, nickel(2+) salt (1:1)</v>
          </cell>
          <cell r="D511" t="str">
            <v>단 불용성화합물을 0.1% 이상 함유한 제제</v>
          </cell>
          <cell r="E511">
            <v>0.1</v>
          </cell>
        </row>
        <row r="512">
          <cell r="B512" t="str">
            <v>553-71-9</v>
          </cell>
          <cell r="C512" t="str">
            <v>Nickel dibenzoate</v>
          </cell>
          <cell r="D512" t="str">
            <v>단 불용성화합물을 0.1% 이상 함유한 제제</v>
          </cell>
          <cell r="E512">
            <v>0.1</v>
          </cell>
        </row>
        <row r="513">
          <cell r="B513" t="str">
            <v>557-19-7</v>
          </cell>
          <cell r="C513" t="str">
            <v>Nickel cyanide</v>
          </cell>
          <cell r="D513" t="str">
            <v>단 불용성화합물을 0.1% 이상 함유한 제제</v>
          </cell>
          <cell r="E513">
            <v>0.1</v>
          </cell>
        </row>
        <row r="514">
          <cell r="B514" t="str">
            <v>55868-93-4</v>
          </cell>
          <cell r="C514" t="str">
            <v>Benzenepropanoic acid, 3,5-bis(1,1-dimethylethyl)-4-hydroxy-, nickel(2+) salt (2:1)</v>
          </cell>
          <cell r="D514" t="str">
            <v>단 불용성화합물을 0.1% 이상 함유한 제제</v>
          </cell>
          <cell r="E514">
            <v>0.1</v>
          </cell>
        </row>
        <row r="515">
          <cell r="B515" t="str">
            <v>56189-09-4</v>
          </cell>
          <cell r="C515" t="str">
            <v>Lead stearate dibasic</v>
          </cell>
          <cell r="D515" t="str">
            <v>물질을 용량비율 0.3% 이상 함유한 제제</v>
          </cell>
          <cell r="E515">
            <v>0.3</v>
          </cell>
        </row>
        <row r="516">
          <cell r="B516" t="str">
            <v>56-23-5</v>
          </cell>
          <cell r="C516" t="str">
            <v>Carbontetrachloride</v>
          </cell>
          <cell r="D516" t="str">
            <v>물질을 용량비율 0.1% 이상 함유한 제제</v>
          </cell>
          <cell r="E516">
            <v>0.1</v>
          </cell>
        </row>
        <row r="517">
          <cell r="B517" t="str">
            <v>56557-00-7</v>
          </cell>
          <cell r="C517" t="str">
            <v>Nickel, bis[2,4-dihydro-5-methyl-4-(1-oxodecyl)-2-phenyl-3H-pyrazol-3-onato-O,O']-</v>
          </cell>
          <cell r="D517" t="str">
            <v>단 불용성화합물을 0.1% 이상 함유한 제제</v>
          </cell>
          <cell r="E517">
            <v>0.1</v>
          </cell>
        </row>
        <row r="518">
          <cell r="B518" t="str">
            <v>5711-19-3</v>
          </cell>
          <cell r="C518" t="str">
            <v>Acetoxytrimethylplumbane</v>
          </cell>
          <cell r="D518" t="str">
            <v>물질을 용량비율 0.3% 이상 함유한 제제</v>
          </cell>
          <cell r="E518">
            <v>0.3</v>
          </cell>
        </row>
        <row r="519">
          <cell r="B519" t="str">
            <v>57142-78-6</v>
          </cell>
          <cell r="C519" t="str">
            <v>Lead, [1,2-benzenedicarboxylato(2-)]oxodi-</v>
          </cell>
          <cell r="D519" t="str">
            <v>물질을 용량비율 0.3% 이상 함유한 제제</v>
          </cell>
          <cell r="E519">
            <v>0.3</v>
          </cell>
        </row>
        <row r="520">
          <cell r="B520" t="str">
            <v>58405-97-3</v>
          </cell>
          <cell r="C520" t="str">
            <v>Lead bis(12-hydroxystearate)</v>
          </cell>
          <cell r="D520" t="str">
            <v>물질을 용량비율 0.3% 이상 함유한 제제</v>
          </cell>
          <cell r="E520">
            <v>0.3</v>
          </cell>
        </row>
        <row r="521">
          <cell r="B521" t="str">
            <v>58591-45-0</v>
          </cell>
          <cell r="C521" t="str">
            <v>Cobalt nickel oxide (CoNiO2)</v>
          </cell>
          <cell r="D521" t="str">
            <v>단 불용성화합물을 0.1% 이상 함유한 제제</v>
          </cell>
          <cell r="E521">
            <v>0.1</v>
          </cell>
        </row>
        <row r="522">
          <cell r="B522" t="str">
            <v>592-05-2</v>
          </cell>
          <cell r="C522" t="str">
            <v>Lead cyanide</v>
          </cell>
          <cell r="D522" t="str">
            <v>물질을 용량비율 0.3% 이상 함유한 제제</v>
          </cell>
          <cell r="E522">
            <v>0.3</v>
          </cell>
        </row>
        <row r="523">
          <cell r="B523" t="str">
            <v>592-87-0</v>
          </cell>
          <cell r="C523" t="str">
            <v>Lead dithiocyanate</v>
          </cell>
          <cell r="D523" t="str">
            <v>물질을 용량비율 0.3% 이상 함유한 제제</v>
          </cell>
          <cell r="E523">
            <v>0.3</v>
          </cell>
        </row>
        <row r="524">
          <cell r="B524" t="str">
            <v>595-89-1</v>
          </cell>
          <cell r="C524" t="str">
            <v>Tetraphenyllead</v>
          </cell>
          <cell r="D524" t="str">
            <v>물질을 용량비율 0.3% 이상 함유한 제제</v>
          </cell>
          <cell r="E524">
            <v>0.3</v>
          </cell>
        </row>
        <row r="525">
          <cell r="B525" t="str">
            <v>598-63-0</v>
          </cell>
          <cell r="C525" t="str">
            <v>Lead carbonate</v>
          </cell>
          <cell r="D525" t="str">
            <v>물질을 용량비율 0.3% 이상 함유한 제제</v>
          </cell>
          <cell r="E525">
            <v>0.3</v>
          </cell>
        </row>
        <row r="526">
          <cell r="B526" t="str">
            <v>6018-89-9</v>
          </cell>
          <cell r="C526" t="str">
            <v>Nickel acetate tetrahydrate</v>
          </cell>
          <cell r="D526" t="str">
            <v>단 불용성화합물을 0.1% 이상 함유한 제제</v>
          </cell>
          <cell r="E526">
            <v>0.1</v>
          </cell>
        </row>
        <row r="527">
          <cell r="B527" t="str">
            <v>6018-92-4</v>
          </cell>
          <cell r="C527" t="str">
            <v>1,2,3-Propanetricarboxylic acid, 2-hydroxy-, nickel(2+) salt (2:3)</v>
          </cell>
          <cell r="D527" t="str">
            <v>단 불용성화합물을 0.1% 이상 함유한 제제</v>
          </cell>
          <cell r="E527">
            <v>0.1</v>
          </cell>
        </row>
        <row r="528">
          <cell r="B528" t="str">
            <v>60580-60-1</v>
          </cell>
          <cell r="C528" t="str">
            <v>Lead 5-nitroterephthalate</v>
          </cell>
          <cell r="D528" t="str">
            <v>물질을 용량비율 0.3% 이상 함유한 제제</v>
          </cell>
          <cell r="E528">
            <v>0.3</v>
          </cell>
        </row>
        <row r="529">
          <cell r="B529" t="str">
            <v>60700-37-0</v>
          </cell>
          <cell r="C529" t="str">
            <v>Nickel(2+) acrylate</v>
          </cell>
          <cell r="D529" t="str">
            <v>단 불용성화합물을 0.1% 이상 함유한 제제</v>
          </cell>
          <cell r="E529">
            <v>0.1</v>
          </cell>
        </row>
        <row r="530">
          <cell r="B530" t="str">
            <v>6080-56-4</v>
          </cell>
          <cell r="C530" t="str">
            <v>Lead(ii) acetate trihydrate</v>
          </cell>
          <cell r="D530" t="str">
            <v>물질을 용량비율 0.3% 이상 함유한 제제</v>
          </cell>
          <cell r="E530">
            <v>0.3</v>
          </cell>
        </row>
        <row r="531">
          <cell r="B531" t="str">
            <v>6107-83-1</v>
          </cell>
          <cell r="C531" t="str">
            <v>1,2,3-Propanetricarboxylic acid, 2-hydroxy-, lead(2+) salt (2:3), trihydrate</v>
          </cell>
          <cell r="D531" t="str">
            <v>물질을 용량비율 0.3% 이상 함유한 제제</v>
          </cell>
          <cell r="E531">
            <v>0.3</v>
          </cell>
        </row>
        <row r="532">
          <cell r="B532" t="str">
            <v>6107-93-3</v>
          </cell>
          <cell r="C532" t="str">
            <v>Salicylate, lead (II)</v>
          </cell>
          <cell r="D532" t="str">
            <v>물질을 용량비율 0.3% 이상 함유한 제제</v>
          </cell>
          <cell r="E532">
            <v>0.3</v>
          </cell>
        </row>
        <row r="533">
          <cell r="B533" t="str">
            <v>61300-98-9</v>
          </cell>
          <cell r="C533" t="str">
            <v>Nickelate(1-), [3,4-bis[[(2-hydroxy-1-naphthalenyl)methylene]amino]benzoato(3-)-N3,N4,O3,O4]-, hydrogen</v>
          </cell>
          <cell r="D533" t="str">
            <v>단 불용성화합물을 0.1% 이상 함유한 제제</v>
          </cell>
          <cell r="E533">
            <v>0.1</v>
          </cell>
        </row>
        <row r="534">
          <cell r="B534" t="str">
            <v>61788-52-1</v>
          </cell>
          <cell r="C534" t="str">
            <v>Naphthenic acids, lead manganese salts</v>
          </cell>
          <cell r="D534" t="str">
            <v>물질을 용량비율 0.3% 이상 함유한 제제</v>
          </cell>
          <cell r="E534">
            <v>0.3</v>
          </cell>
        </row>
        <row r="535">
          <cell r="B535" t="str">
            <v>61788-53-2</v>
          </cell>
          <cell r="C535" t="str">
            <v>Fatty acids, tall-oil, lead manganese salts</v>
          </cell>
          <cell r="D535" t="str">
            <v>물질을 용량비율 0.3% 이상 함유한 제제</v>
          </cell>
          <cell r="E535">
            <v>0.3</v>
          </cell>
        </row>
        <row r="536">
          <cell r="B536" t="str">
            <v>61788-54-3</v>
          </cell>
          <cell r="C536" t="str">
            <v>Fatty acids, tall-oil, lead salts</v>
          </cell>
          <cell r="D536" t="str">
            <v>물질을 용량비율 0.3% 이상 함유한 제제</v>
          </cell>
          <cell r="E536">
            <v>0.3</v>
          </cell>
        </row>
        <row r="537">
          <cell r="B537" t="str">
            <v>61788-71-4</v>
          </cell>
          <cell r="C537" t="str">
            <v>Naphthenic acids, nickel salts</v>
          </cell>
          <cell r="D537" t="str">
            <v>단 불용성화합물을 0.1% 이상 함유한 제제</v>
          </cell>
          <cell r="E537">
            <v>0.1</v>
          </cell>
        </row>
        <row r="538">
          <cell r="B538" t="str">
            <v>61790-14-5</v>
          </cell>
          <cell r="C538" t="str">
            <v>Lead naphthenate</v>
          </cell>
          <cell r="D538" t="str">
            <v>물질을 용량비율 0.3% 이상 함유한 제제</v>
          </cell>
          <cell r="E538">
            <v>0.3</v>
          </cell>
        </row>
        <row r="539">
          <cell r="B539" t="str">
            <v>61867-68-3</v>
          </cell>
          <cell r="C539" t="str">
            <v>Naphthalenesulfonic acid, dinonyl-, lead(2+) salt</v>
          </cell>
          <cell r="D539" t="str">
            <v>물질을 용량비율 0.3% 이상 함유한 제제</v>
          </cell>
          <cell r="E539">
            <v>0.3</v>
          </cell>
        </row>
        <row r="540">
          <cell r="B540" t="str">
            <v>62229-08-7</v>
          </cell>
          <cell r="C540" t="str">
            <v>Sulfurous acid, lead salt, dibasic</v>
          </cell>
          <cell r="D540" t="str">
            <v>물질을 용량비율 0.3% 이상 함유한 제제</v>
          </cell>
          <cell r="E540">
            <v>0.3</v>
          </cell>
        </row>
        <row r="541">
          <cell r="B541" t="str">
            <v>62451-77-8</v>
          </cell>
          <cell r="C541" t="str">
            <v>Bis(o-acetoxybenzoato)lead</v>
          </cell>
          <cell r="D541" t="str">
            <v>물질을 용량비율 0.3% 이상 함유한 제제</v>
          </cell>
          <cell r="E541">
            <v>0.3</v>
          </cell>
        </row>
        <row r="542">
          <cell r="B542" t="str">
            <v>62637-99-4</v>
          </cell>
          <cell r="C542" t="str">
            <v>Cyclohexanebutanoic acid, lead(2+) salt</v>
          </cell>
          <cell r="D542" t="str">
            <v>물질을 용량비율 0.3% 이상 함유한 제제</v>
          </cell>
          <cell r="E542">
            <v>0.3</v>
          </cell>
        </row>
        <row r="543">
          <cell r="B543" t="str">
            <v>6283-67-6</v>
          </cell>
          <cell r="C543" t="str">
            <v>Nickel(II) fumarate</v>
          </cell>
          <cell r="D543" t="str">
            <v>단 불용성화합물을 0.1% 이상 함유한 제제</v>
          </cell>
          <cell r="E543">
            <v>0.1</v>
          </cell>
        </row>
        <row r="544">
          <cell r="B544" t="str">
            <v>63399-94-0</v>
          </cell>
          <cell r="C544" t="str">
            <v>Lead(2+) heptadecanoate</v>
          </cell>
          <cell r="D544" t="str">
            <v>물질을 용량비율 0.3% 이상 함유한 제제</v>
          </cell>
          <cell r="E544">
            <v>0.3</v>
          </cell>
        </row>
        <row r="545">
          <cell r="B545" t="str">
            <v>63427-32-7</v>
          </cell>
          <cell r="C545" t="str">
            <v>Copper(2+), bis(1,2-ethanediamine-N,N')-, (SP-4-1)-tetrakis(cyano-C)nickelate(2-) (1:1)</v>
          </cell>
          <cell r="D545" t="str">
            <v>단 불용성화합물을 0.1% 이상 함유한 제제</v>
          </cell>
          <cell r="E545">
            <v>0.1</v>
          </cell>
        </row>
        <row r="546">
          <cell r="B546" t="str">
            <v>63568-30-9</v>
          </cell>
          <cell r="C546" t="str">
            <v>Naphthalenesulfonic acid, diisononyl-, lead(2+) salt</v>
          </cell>
          <cell r="D546" t="str">
            <v>물질을 용량비율 0.3% 이상 함유한 제제</v>
          </cell>
          <cell r="E546">
            <v>0.3</v>
          </cell>
        </row>
        <row r="547">
          <cell r="B547" t="str">
            <v>63588-33-0</v>
          </cell>
          <cell r="C547" t="str">
            <v>Nickelate(4-), [[[nitrilotris(methylene)]tris[phosphonato]](6-)-N,OP,OP',OP'']-, tetrapotassium, (T-4)-</v>
          </cell>
          <cell r="D547" t="str">
            <v>단 불용성화합물을 0.1% 이상 함유한 제제</v>
          </cell>
          <cell r="E547">
            <v>0.1</v>
          </cell>
        </row>
        <row r="548">
          <cell r="B548" t="str">
            <v>63597-34-2</v>
          </cell>
          <cell r="C548" t="str">
            <v>Nickelate(3-), [N,N-bis(phosphonomethyl)glycinato(5-)]-, tripotassium, (T-4)-</v>
          </cell>
          <cell r="D548" t="str">
            <v>단 불용성화합물을 0.1% 이상 함유한 제제</v>
          </cell>
          <cell r="E548">
            <v>0.1</v>
          </cell>
        </row>
        <row r="549">
          <cell r="B549" t="str">
            <v>63640-18-6</v>
          </cell>
          <cell r="C549" t="str">
            <v>Potassium [N,N-bis(carboxymethyl)glycinato(3-)-N,O,O',O'']nickelate(1-)</v>
          </cell>
          <cell r="D549" t="str">
            <v>단 불용성화합물을 0.1% 이상 함유한 제제</v>
          </cell>
          <cell r="E549">
            <v>0.1</v>
          </cell>
        </row>
        <row r="550">
          <cell r="B550" t="str">
            <v>63918-97-8</v>
          </cell>
          <cell r="C550" t="str">
            <v>Lead styphnate</v>
          </cell>
          <cell r="D550" t="str">
            <v>물질을 용량비율 0.3% 이상 함유한 제제</v>
          </cell>
          <cell r="E550">
            <v>0.3</v>
          </cell>
        </row>
        <row r="551">
          <cell r="B551" t="str">
            <v>64504-12-7</v>
          </cell>
          <cell r="C551" t="str">
            <v>Isooctanoic acid, lead salt</v>
          </cell>
          <cell r="D551" t="str">
            <v>물질을 용량비율 0.3% 이상 함유한 제제</v>
          </cell>
          <cell r="E551">
            <v>0.3</v>
          </cell>
        </row>
        <row r="552">
          <cell r="B552" t="str">
            <v>64696-98-6</v>
          </cell>
          <cell r="C552" t="str">
            <v>[2,3'-Bis[[(2-hydroxyphenyl)methylene]amino]but-2-enedinitrilato(2-)-N2,N3,O2,O3]nickel</v>
          </cell>
          <cell r="D552" t="str">
            <v>단 불용성화합물을 0.1% 이상 함유한 제제</v>
          </cell>
          <cell r="E552">
            <v>0.1</v>
          </cell>
        </row>
        <row r="553">
          <cell r="B553" t="str">
            <v>6477-64-1</v>
          </cell>
          <cell r="C553" t="str">
            <v>Lead dipicrate</v>
          </cell>
          <cell r="D553" t="str">
            <v>물질을 용량비율 0.3% 이상 함유한 제제</v>
          </cell>
          <cell r="E553">
            <v>0.3</v>
          </cell>
        </row>
        <row r="554">
          <cell r="B554" t="str">
            <v>65119-94-0</v>
          </cell>
          <cell r="C554" t="str">
            <v>Lead dibutanolate</v>
          </cell>
          <cell r="D554" t="str">
            <v>물질을 용량비율 0.3% 이상 함유한 제제</v>
          </cell>
          <cell r="E554">
            <v>0.3</v>
          </cell>
        </row>
        <row r="555">
          <cell r="B555" t="str">
            <v>65121-76-8</v>
          </cell>
          <cell r="C555" t="str">
            <v>Lead(2+) 4,6-dinitro-o-cresolate</v>
          </cell>
          <cell r="D555" t="str">
            <v>물질을 용량비율 0.3% 이상 함유한 제제</v>
          </cell>
          <cell r="E555">
            <v>0.3</v>
          </cell>
        </row>
        <row r="556">
          <cell r="B556" t="str">
            <v>65127-78-8</v>
          </cell>
          <cell r="C556" t="str">
            <v>Lead 12-hydroxyoctadecanoate</v>
          </cell>
          <cell r="D556" t="str">
            <v>물질을 용량비율 0.3% 이상 함유한 제제</v>
          </cell>
          <cell r="E556">
            <v>0.3</v>
          </cell>
        </row>
        <row r="557">
          <cell r="B557" t="str">
            <v>65151-08-8</v>
          </cell>
          <cell r="C557" t="str">
            <v>Plumbane, tetrakis(1-methylpropyl)-</v>
          </cell>
          <cell r="D557" t="str">
            <v>물질을 용량비율 0.3% 이상 함유한 제제</v>
          </cell>
          <cell r="E557">
            <v>0.3</v>
          </cell>
        </row>
        <row r="558">
          <cell r="B558" t="str">
            <v>65229-22-3</v>
          </cell>
          <cell r="C558" t="str">
            <v>Bismuth lead ruthenium oxide</v>
          </cell>
          <cell r="D558" t="str">
            <v>물질을 용량비율 0.3% 이상 함유한 제제</v>
          </cell>
          <cell r="E558">
            <v>0.3</v>
          </cell>
        </row>
        <row r="559">
          <cell r="B559" t="str">
            <v>65405-96-1</v>
          </cell>
          <cell r="C559" t="str">
            <v>[.mu.-[Carbonato(2-)-O:O']]dihydroxydinickel</v>
          </cell>
          <cell r="D559" t="str">
            <v>단 불용성화합물을 0.1% 이상 함유한 제제</v>
          </cell>
          <cell r="E559">
            <v>0.1</v>
          </cell>
        </row>
        <row r="560">
          <cell r="B560" t="str">
            <v>67674-14-0</v>
          </cell>
          <cell r="C560" t="str">
            <v>Petrolatum, petroleum, oxidized, lead salt</v>
          </cell>
          <cell r="D560" t="str">
            <v>물질을 용량비율 0.3% 이상 함유한 제제</v>
          </cell>
          <cell r="E560">
            <v>0.3</v>
          </cell>
        </row>
        <row r="561">
          <cell r="B561" t="str">
            <v>67711-86-8</v>
          </cell>
          <cell r="C561" t="str">
            <v>Lead silicate sulfate</v>
          </cell>
          <cell r="D561" t="str">
            <v>물질을 용량비율 0.3% 이상 함유한 제제</v>
          </cell>
          <cell r="E561">
            <v>0.3</v>
          </cell>
        </row>
        <row r="562">
          <cell r="B562" t="str">
            <v>67763-27-3</v>
          </cell>
          <cell r="C562" t="str">
            <v>Nickel, (2-propanol)[[2,2'-thiobis[4-(1,1,3,3-tetramethylbutyl)phenolato]](2-)-O,O',S]-</v>
          </cell>
          <cell r="D562" t="str">
            <v>단 불용성화합물을 0.1% 이상 함유한 제제</v>
          </cell>
          <cell r="E562">
            <v>0.1</v>
          </cell>
        </row>
        <row r="563">
          <cell r="B563" t="str">
            <v>67806-76-2</v>
          </cell>
          <cell r="C563" t="str">
            <v>Nickel(2++), hexaammine-, (OC-6-11)-, carbonate (1:1)</v>
          </cell>
          <cell r="D563" t="str">
            <v>단 불용성화합물을 0.1% 이상 함유한 제제</v>
          </cell>
          <cell r="E563">
            <v>0.1</v>
          </cell>
        </row>
        <row r="564">
          <cell r="B564" t="str">
            <v>67906-12-1</v>
          </cell>
          <cell r="C564" t="str">
            <v>Nickelate(1-), [[N,N'-1,2-ethanediylbis[N-(carboxymethyl)glycinato]](4-)-N,N',O,O',ON,ON']-, potassium, (OC-6-21)-</v>
          </cell>
          <cell r="D564" t="str">
            <v>단 불용성화합물을 0.1% 이상 함유한 제제</v>
          </cell>
          <cell r="E564">
            <v>0.1</v>
          </cell>
        </row>
        <row r="565">
          <cell r="B565" t="str">
            <v>67952-41-4</v>
          </cell>
          <cell r="C565" t="str">
            <v>Butanedioic acid, 2,3-dihydroxy- [R-(R*,R*)]-, nickel(2+) salt (2:1)</v>
          </cell>
          <cell r="D565" t="str">
            <v>단 불용성화합물을 0.1% 이상 함유한 제제</v>
          </cell>
          <cell r="E565">
            <v>0.1</v>
          </cell>
        </row>
        <row r="566">
          <cell r="B566" t="str">
            <v>67952-43-6</v>
          </cell>
          <cell r="C566" t="str">
            <v>Chloric acid, nickel(2+) salt</v>
          </cell>
          <cell r="D566" t="str">
            <v>단 불용성화합물을 0.1% 이상 함유한 제제</v>
          </cell>
          <cell r="E566">
            <v>0.1</v>
          </cell>
        </row>
        <row r="567">
          <cell r="B567" t="str">
            <v>67952-69-6</v>
          </cell>
          <cell r="C567" t="str">
            <v>1,2,3-Propanetriol, mono(dihydrogen phosphate), nickel(2+) salt (1:1)</v>
          </cell>
          <cell r="D567" t="str">
            <v>단 불용성화합물을 0.1% 이상 함유한 제제</v>
          </cell>
          <cell r="E567">
            <v>0.1</v>
          </cell>
        </row>
        <row r="568">
          <cell r="B568" t="str">
            <v>67968-22-3</v>
          </cell>
          <cell r="C568" t="str">
            <v>Nickelate(4-), [[[nitrilotris(methylene)]tris[phosphonato]](6-)-N,OP,OP',OP'']-, triammonium hydrogen, (T-4)-</v>
          </cell>
          <cell r="D568" t="str">
            <v>단 불용성화합물을 0.1% 이상 함유한 제제</v>
          </cell>
          <cell r="E568">
            <v>0.1</v>
          </cell>
        </row>
        <row r="569">
          <cell r="B569" t="str">
            <v>68016-03-5</v>
          </cell>
          <cell r="C569" t="str">
            <v>Cobalt molybdenum nickel oxide (CoMo2NiO8)</v>
          </cell>
          <cell r="D569" t="str">
            <v>단 불용성화합물을 0.1% 이상 함유한 제제</v>
          </cell>
          <cell r="E569">
            <v>0.1</v>
          </cell>
        </row>
        <row r="570">
          <cell r="B570" t="str">
            <v>68025-13-8</v>
          </cell>
          <cell r="C570" t="str">
            <v>1,2,3-Propanetricarboxylic acid, 2-hydroxy-, ammonium nickel(2+) salt (2:2:1)</v>
          </cell>
          <cell r="D570" t="str">
            <v>단 불용성화합물을 0.1% 이상 함유한 제제</v>
          </cell>
          <cell r="E570">
            <v>0.1</v>
          </cell>
        </row>
        <row r="571">
          <cell r="B571" t="str">
            <v>68025-40-1</v>
          </cell>
          <cell r="C571" t="str">
            <v>Nickelate(3-), [N,N-bis(phosphonomethyl)glycinato(5-)]-, triammonium, (T-4)-</v>
          </cell>
          <cell r="D571" t="str">
            <v>단 불용성화합물을 0.1% 이상 함유한 제제</v>
          </cell>
          <cell r="E571">
            <v>0.1</v>
          </cell>
        </row>
        <row r="572">
          <cell r="B572" t="str">
            <v>68025-41-2</v>
          </cell>
          <cell r="C572" t="str">
            <v>Nickelate(3-), [N,N-bis(phosphonomethyl)glycinato(5-)]-, trisodium,(T-4)-</v>
          </cell>
          <cell r="D572" t="str">
            <v>단 불용성화합물을 0.1% 이상 함유한 제제</v>
          </cell>
          <cell r="E572">
            <v>0.1</v>
          </cell>
        </row>
        <row r="573">
          <cell r="B573" t="str">
            <v>68052-00-6</v>
          </cell>
          <cell r="C573" t="str">
            <v>Nickelate(4-), [[[nitrilotris(methylene)]tris[phosphonato]](6-)-N,OP,OP',OP'']-, tetrasodium, (T-4)-</v>
          </cell>
          <cell r="D573" t="str">
            <v>단 불용성화합물을 0.1% 이상 함유한 제제</v>
          </cell>
          <cell r="E573">
            <v>0.1</v>
          </cell>
        </row>
        <row r="574">
          <cell r="B574" t="str">
            <v>68130-19-8</v>
          </cell>
          <cell r="C574" t="str">
            <v>Silicic acid, lead nickel salt</v>
          </cell>
          <cell r="D574" t="str">
            <v>물질을 용량비율 0.3% 이상 함유한 제제</v>
          </cell>
          <cell r="E574">
            <v>0.3</v>
          </cell>
        </row>
        <row r="575">
          <cell r="B575" t="str">
            <v>68131-60-2</v>
          </cell>
          <cell r="C575" t="str">
            <v>Fatty acids, C12-18, lead salts</v>
          </cell>
          <cell r="D575" t="str">
            <v>물질을 용량비율 0.3% 이상 함유한 제제</v>
          </cell>
          <cell r="E575">
            <v>0.3</v>
          </cell>
        </row>
        <row r="576">
          <cell r="B576" t="str">
            <v>68133-84-6</v>
          </cell>
          <cell r="C576" t="str">
            <v>Nickel, [(2-amino-2-oxoethoxy)acetato(2-)]-</v>
          </cell>
          <cell r="D576" t="str">
            <v>단 불용성화합물을 0.1% 이상 함유한 제제</v>
          </cell>
          <cell r="E576">
            <v>0.1</v>
          </cell>
        </row>
        <row r="577">
          <cell r="B577" t="str">
            <v>68134-59-8</v>
          </cell>
          <cell r="C577" t="str">
            <v>Formic acid, copper nickel salt</v>
          </cell>
          <cell r="D577" t="str">
            <v>단 불용성화합물을 0.1% 이상 함유한 제제</v>
          </cell>
          <cell r="E577">
            <v>0.1</v>
          </cell>
        </row>
        <row r="578">
          <cell r="B578" t="str">
            <v>68152-99-8</v>
          </cell>
          <cell r="C578" t="str">
            <v>Linseed oil, reaction products with lead oxide (Pb3O4) and mastic</v>
          </cell>
          <cell r="D578" t="str">
            <v>물질을 용량비율 0.3% 이상 함유한 제제</v>
          </cell>
          <cell r="E578">
            <v>0.3</v>
          </cell>
        </row>
        <row r="579">
          <cell r="B579" t="str">
            <v>68155-47-5</v>
          </cell>
          <cell r="C579" t="str">
            <v>2-Propenoic acid, 2-methyl-, methyl ester, polymer with ethenylbenzene, lead(2+) bis(2-methyl-2-propenoate) and .alpha.-(2-methy</v>
          </cell>
          <cell r="D579" t="str">
            <v>물질을 용량비율 0.3% 이상 함유한 제제</v>
          </cell>
          <cell r="E579">
            <v>0.3</v>
          </cell>
        </row>
        <row r="580">
          <cell r="B580" t="str">
            <v>68187-37-1</v>
          </cell>
          <cell r="C580" t="str">
            <v>Lead, 2-ethylhexanoate tall-oil fatty acids complexes</v>
          </cell>
          <cell r="D580" t="str">
            <v>물질을 용량비율 0.3% 이상 함유한 제제</v>
          </cell>
          <cell r="E580">
            <v>0.3</v>
          </cell>
        </row>
        <row r="581">
          <cell r="B581" t="str">
            <v>68189-15-1</v>
          </cell>
          <cell r="C581" t="str">
            <v>Nickel, bis[(2-hydroxy-4-octylphenyl)phenylmethanonato-O,O']-</v>
          </cell>
          <cell r="D581" t="str">
            <v>단 불용성화합물을 0.1% 이상 함유한 제제</v>
          </cell>
          <cell r="E581">
            <v>0.1</v>
          </cell>
        </row>
        <row r="582">
          <cell r="B582" t="str">
            <v>68309-97-7</v>
          </cell>
          <cell r="C582" t="str">
            <v>Nickel(2+), tris(4,7-diphenyl-1,10-phenanthroline-N1,N10)-, (OC-6-11)-, bis[tetrafluoroborate(1-)]</v>
          </cell>
          <cell r="D582" t="str">
            <v>단 불용성화합물을 0.1% 이상 함유한 제제</v>
          </cell>
          <cell r="E582">
            <v>0.1</v>
          </cell>
        </row>
        <row r="583">
          <cell r="B583" t="str">
            <v>6838-85-3</v>
          </cell>
          <cell r="C583" t="str">
            <v>Lead phthalate</v>
          </cell>
          <cell r="D583" t="str">
            <v>물질을 용량비율 0.3% 이상 함유한 제제</v>
          </cell>
          <cell r="E583">
            <v>0.3</v>
          </cell>
        </row>
        <row r="584">
          <cell r="B584" t="str">
            <v>68391-37-7</v>
          </cell>
          <cell r="C584" t="str">
            <v>1,2,3-Propanetriol, 1-(dihydrogen phosphate), nickel(2+) salt (1:1)</v>
          </cell>
          <cell r="D584" t="str">
            <v>단 불용성화합물을 0.1% 이상 함유한 제제</v>
          </cell>
          <cell r="E584">
            <v>0.1</v>
          </cell>
        </row>
        <row r="585">
          <cell r="B585" t="str">
            <v>68409-79-0</v>
          </cell>
          <cell r="C585" t="str">
            <v>Fatty acids, C8-10-branched, lead salts, basic</v>
          </cell>
          <cell r="D585" t="str">
            <v>물질을 용량비율 0.3% 이상 함유한 제제</v>
          </cell>
          <cell r="E585">
            <v>0.3</v>
          </cell>
        </row>
        <row r="586">
          <cell r="B586" t="str">
            <v>68411-07-4</v>
          </cell>
          <cell r="C586" t="str">
            <v>Copper, .beta.-resorcylate salicylate lead complexes</v>
          </cell>
          <cell r="D586" t="str">
            <v>물질을 용량비율 0.3% 이상 함유한 제제</v>
          </cell>
          <cell r="E586">
            <v>0.3</v>
          </cell>
        </row>
        <row r="587">
          <cell r="B587" t="str">
            <v>68411-78-9</v>
          </cell>
          <cell r="C587" t="str">
            <v>Lead oxide (PbO), lead-contg.</v>
          </cell>
          <cell r="D587" t="str">
            <v>물질을 용량비율 0.3% 이상 함유한 제제</v>
          </cell>
          <cell r="E587">
            <v>0.3</v>
          </cell>
        </row>
        <row r="588">
          <cell r="B588" t="str">
            <v>68475-49-0</v>
          </cell>
          <cell r="C588" t="str">
            <v>Chromium hydroxide oxide silicate</v>
          </cell>
          <cell r="D588" t="str">
            <v>6가 크롬을 0.1% 이상 함유한 제제</v>
          </cell>
          <cell r="E588">
            <v>0.1</v>
          </cell>
        </row>
        <row r="589">
          <cell r="B589" t="str">
            <v>68515-80-0</v>
          </cell>
          <cell r="C589" t="str">
            <v>Lead, isooctanoate naphthenate complexes</v>
          </cell>
          <cell r="D589" t="str">
            <v>물질을 용량비율 0.3% 이상 함유한 제제</v>
          </cell>
          <cell r="E589">
            <v>0.3</v>
          </cell>
        </row>
        <row r="590">
          <cell r="B590" t="str">
            <v>68585-48-8</v>
          </cell>
          <cell r="C590" t="str">
            <v>Sulfuric acid, nickel(2+) salt (1:1), reaction products with nickel and nickel oxide (NiO)</v>
          </cell>
          <cell r="D590" t="str">
            <v>단 불용성화합물을 0.1% 이상 함유한 제제</v>
          </cell>
          <cell r="E590">
            <v>0.1</v>
          </cell>
        </row>
        <row r="591">
          <cell r="B591" t="str">
            <v>68586-21-0</v>
          </cell>
          <cell r="C591" t="str">
            <v>Phenol, dodecyl-, lead(2+) salt</v>
          </cell>
          <cell r="D591" t="str">
            <v>물질을 용량비율 0.3% 이상 함유한 제제</v>
          </cell>
          <cell r="E591">
            <v>0.3</v>
          </cell>
        </row>
        <row r="592">
          <cell r="B592" t="str">
            <v>68604-05-7</v>
          </cell>
          <cell r="C592" t="str">
            <v>Castor oil, dehydrated, polymer with rosin, calcium lead zinc salt</v>
          </cell>
          <cell r="D592" t="str">
            <v>물질을 용량비율 0.3% 이상 함유한 제제</v>
          </cell>
          <cell r="E592">
            <v>0.3</v>
          </cell>
        </row>
        <row r="593">
          <cell r="B593" t="str">
            <v>68610-17-3</v>
          </cell>
          <cell r="C593" t="str">
            <v>Plumbane, ethyl methyl derivitives</v>
          </cell>
          <cell r="D593" t="str">
            <v>물질을 용량비율 0.3% 이상 함유한 제제</v>
          </cell>
          <cell r="E593">
            <v>0.3</v>
          </cell>
        </row>
        <row r="594">
          <cell r="B594" t="str">
            <v>68698-80-6</v>
          </cell>
          <cell r="C594" t="str">
            <v>Nickelate(6-), [4-[[5-[[(3,6-dichloro-4-pyridazinyl)carbonyl]amino]-2-sulfophenyl]azo]-4,5-dihydro-5-oxo-1-[5-[[(trisulfo-29H,31</v>
          </cell>
          <cell r="D594" t="str">
            <v>단 불용성화합물을 0.1% 이상 함유한 제제</v>
          </cell>
          <cell r="E594">
            <v>0.1</v>
          </cell>
        </row>
        <row r="595">
          <cell r="B595" t="str">
            <v>68758-60-1</v>
          </cell>
          <cell r="C595" t="str">
            <v>Nickel(2+), hexaammine-, (OC-6-11)-, diformate</v>
          </cell>
          <cell r="D595" t="str">
            <v>단 불용성화합물을 0.1% 이상 함유한 제제</v>
          </cell>
          <cell r="E595">
            <v>0.1</v>
          </cell>
        </row>
        <row r="596">
          <cell r="B596" t="str">
            <v>68901-11-1</v>
          </cell>
          <cell r="C596" t="str">
            <v>2,4-Cyclohexadien-1-one, 3,5,6-trihydroxy-4,6-bis(3-methyl-2-butenyl)-2-(3-methyl-2-oxobutyl)-, lead salt, (R)-</v>
          </cell>
          <cell r="D596" t="str">
            <v>물질을 용량비율 0.3% 이상 함유한 제제</v>
          </cell>
          <cell r="E596">
            <v>0.3</v>
          </cell>
        </row>
        <row r="597">
          <cell r="B597" t="str">
            <v>68901-12-2</v>
          </cell>
          <cell r="C597" t="str">
            <v>.alpha.-D-Glucopyranose, 1-(dihydrogen phosphate), lead salt</v>
          </cell>
          <cell r="D597" t="str">
            <v>물질을 용량비율 0.3% 이상 함유한 제제</v>
          </cell>
          <cell r="E597">
            <v>0.3</v>
          </cell>
        </row>
        <row r="598">
          <cell r="B598" t="str">
            <v>68912-08-3</v>
          </cell>
          <cell r="C598" t="str">
            <v>Nickel, bis(2-heptadecyl-1H-imidazole-N3)bis(octanoato-O)-</v>
          </cell>
          <cell r="D598" t="str">
            <v>단 불용성화합물을 0.1% 이상 함유한 제제</v>
          </cell>
          <cell r="E598">
            <v>0.1</v>
          </cell>
        </row>
        <row r="599">
          <cell r="B599" t="str">
            <v>68958-86-1</v>
          </cell>
          <cell r="C599" t="str">
            <v>Nickelate(6-),[[[1,2-ethanediylbis[nitrilobis(methylene)]]tetrakis[phosphonato]](8-)], pentaammonium hydrogen,(OC-6-21)-</v>
          </cell>
          <cell r="D599" t="str">
            <v>단 불용성화합물을 0.1% 이상 함유한 제제</v>
          </cell>
          <cell r="E599">
            <v>0.1</v>
          </cell>
        </row>
        <row r="600">
          <cell r="B600" t="str">
            <v>68958-87-2</v>
          </cell>
          <cell r="C600" t="str">
            <v>Nickelate(6-),[[[1,2-ethanediylbis[nitrilobis(methylene)]]tetrakis[phosphonato]](8-)], pentapotassium hydrogen,(OC-6-21)-</v>
          </cell>
          <cell r="D600" t="str">
            <v>단 불용성화합물을 0.1% 이상 함유한 제제</v>
          </cell>
          <cell r="E600">
            <v>0.1</v>
          </cell>
        </row>
        <row r="601">
          <cell r="B601" t="str">
            <v>68958-88-3</v>
          </cell>
          <cell r="C601" t="str">
            <v>Nickelate(6-),[[[1,2-ethanediylbis[nitrilobis(methylene)]]tetrakis[phosphonato]](8-)], pentasodium hydrogen,(OC-6-21)-</v>
          </cell>
          <cell r="D601" t="str">
            <v>단 불용성화합물을 0.1% 이상 함유한 제제</v>
          </cell>
          <cell r="E601">
            <v>0.1</v>
          </cell>
        </row>
        <row r="602">
          <cell r="B602" t="str">
            <v>68958-89-4</v>
          </cell>
          <cell r="C602" t="str">
            <v>Nickel(2+), bis(1,2-ethanediamine-N,N')-, bis[bis(cyano-C)aurate(1-)]</v>
          </cell>
          <cell r="D602" t="str">
            <v>단 불용성화합물을 0.1% 이상 함유한 제제</v>
          </cell>
          <cell r="E602">
            <v>0.1</v>
          </cell>
        </row>
        <row r="603">
          <cell r="B603" t="str">
            <v>68989-89-9</v>
          </cell>
          <cell r="C603" t="str">
            <v>Gilsonite, polymer with linseed oil, lead salt</v>
          </cell>
          <cell r="D603" t="str">
            <v>물질을 용량비율 0.3% 이상 함유한 제제</v>
          </cell>
          <cell r="E603">
            <v>0.3</v>
          </cell>
        </row>
        <row r="604">
          <cell r="B604" t="str">
            <v>68990-75-0</v>
          </cell>
          <cell r="C604" t="str">
            <v>Linseed oil, polymer with tung oil, lead salt</v>
          </cell>
          <cell r="D604" t="str">
            <v>물질을 용량비율 0.3% 이상 함유한 제제</v>
          </cell>
          <cell r="E604">
            <v>0.3</v>
          </cell>
        </row>
        <row r="605">
          <cell r="B605" t="str">
            <v>69011-05-8</v>
          </cell>
          <cell r="C605" t="str">
            <v>Nickel titanium tungsten oxide (NiTi20W2O47)</v>
          </cell>
          <cell r="D605" t="str">
            <v>단 불용성화합물을 0.1% 이상 함유한 제제</v>
          </cell>
          <cell r="E605">
            <v>0.1</v>
          </cell>
        </row>
        <row r="606">
          <cell r="B606" t="str">
            <v>69011-06-9</v>
          </cell>
          <cell r="C606" t="str">
            <v>Dibasic lead phthalate</v>
          </cell>
          <cell r="D606" t="str">
            <v>물질을 용량비율 0.3% 이상 함유한 제제</v>
          </cell>
          <cell r="E606">
            <v>0.3</v>
          </cell>
        </row>
        <row r="607">
          <cell r="B607" t="str">
            <v>69011-07-0</v>
          </cell>
          <cell r="C607" t="str">
            <v>Lead chromate silicate (Pb3(CrO4)(SiO4))</v>
          </cell>
          <cell r="D607" t="str">
            <v>물질을 용량비율 0.3% 이상 함유한 제제</v>
          </cell>
          <cell r="E607">
            <v>0.3</v>
          </cell>
        </row>
        <row r="608">
          <cell r="B608" t="str">
            <v>69011-59-2</v>
          </cell>
          <cell r="C608" t="str">
            <v>Lead alloy, dross</v>
          </cell>
          <cell r="D608" t="str">
            <v>물질을 용량비율 0.3% 이상 함유한 제제</v>
          </cell>
          <cell r="E608">
            <v>0.3</v>
          </cell>
        </row>
        <row r="609">
          <cell r="B609" t="str">
            <v>69011-60-5</v>
          </cell>
          <cell r="C609" t="str">
            <v>Lead alloy, Pb,Sn, dross</v>
          </cell>
          <cell r="D609" t="str">
            <v>물질을 용량비율 0.3% 이상 함유한 제제</v>
          </cell>
          <cell r="E609">
            <v>0.3</v>
          </cell>
        </row>
        <row r="610">
          <cell r="B610" t="str">
            <v>69029-45-4</v>
          </cell>
          <cell r="C610" t="str">
            <v>Lead, dross, antimony-rich</v>
          </cell>
          <cell r="D610" t="str">
            <v>물질을 용량비율 0.3% 이상 함유한 제제</v>
          </cell>
          <cell r="E610">
            <v>0.3</v>
          </cell>
        </row>
        <row r="611">
          <cell r="B611" t="str">
            <v>69029-46-5</v>
          </cell>
          <cell r="C611" t="str">
            <v>Lead, dross, bismuth-rich</v>
          </cell>
          <cell r="D611" t="str">
            <v>물질을 용량비율 0.3% 이상 함유한 제제</v>
          </cell>
          <cell r="E611">
            <v>0.3</v>
          </cell>
        </row>
        <row r="612">
          <cell r="B612" t="str">
            <v>69029-50-1</v>
          </cell>
          <cell r="C612" t="str">
            <v>Lead, antimonial</v>
          </cell>
          <cell r="D612" t="str">
            <v>물질을 용량비율 0.3% 이상 함유한 제제</v>
          </cell>
          <cell r="E612">
            <v>0.3</v>
          </cell>
        </row>
        <row r="613">
          <cell r="B613" t="str">
            <v>69029-51-2</v>
          </cell>
          <cell r="C613" t="str">
            <v>Lead, antimonial, dross</v>
          </cell>
          <cell r="D613" t="str">
            <v>물질을 용량비율 0.3% 이상 함유한 제제</v>
          </cell>
          <cell r="E613">
            <v>0.3</v>
          </cell>
        </row>
        <row r="614">
          <cell r="B614" t="str">
            <v>69029-52-3</v>
          </cell>
          <cell r="C614" t="str">
            <v>Lead, dross</v>
          </cell>
          <cell r="D614" t="str">
            <v>물질을 용량비율 0.3% 이상 함유한 제제</v>
          </cell>
          <cell r="E614">
            <v>0.3</v>
          </cell>
        </row>
        <row r="615">
          <cell r="B615" t="str">
            <v>69029-53-4</v>
          </cell>
          <cell r="C615" t="str">
            <v>Lead oxide (PbO), retort</v>
          </cell>
          <cell r="D615" t="str">
            <v>물질을 용량비율 0.3% 이상 함유한 제제</v>
          </cell>
          <cell r="E615">
            <v>0.3</v>
          </cell>
        </row>
        <row r="616">
          <cell r="B616" t="str">
            <v>69029-71-6</v>
          </cell>
          <cell r="C616" t="str">
            <v>Leach residues, lead slag</v>
          </cell>
          <cell r="D616" t="str">
            <v>물질을 용량비율 0.3% 이상 함유한 제제</v>
          </cell>
          <cell r="E616">
            <v>0.3</v>
          </cell>
        </row>
        <row r="617">
          <cell r="B617" t="str">
            <v>69227-11-8</v>
          </cell>
          <cell r="C617" t="str">
            <v>Lead, dross, copper-rich</v>
          </cell>
          <cell r="D617" t="str">
            <v>물질을 용량비율 0.3% 이상 함유한 제제</v>
          </cell>
          <cell r="E617">
            <v>0.3</v>
          </cell>
        </row>
        <row r="618">
          <cell r="B618" t="str">
            <v>6928-68-3</v>
          </cell>
          <cell r="C618" t="str">
            <v>Diacetoxydiphenylplumbane</v>
          </cell>
          <cell r="D618" t="str">
            <v>물질을 용량비율 0.3% 이상 함유한 제제</v>
          </cell>
          <cell r="E618">
            <v>0.3</v>
          </cell>
        </row>
        <row r="619">
          <cell r="B619" t="str">
            <v>69524-96-5</v>
          </cell>
          <cell r="C619" t="str">
            <v>Bis(4-benzoyl-2,4-dihydro-5-methyl-2-phenyl-3H-pyrazol-3-onato-O,O')nickel</v>
          </cell>
          <cell r="D619" t="str">
            <v>단 불용성화합물을 0.1% 이상 함유한 제제</v>
          </cell>
          <cell r="E619">
            <v>0.1</v>
          </cell>
        </row>
        <row r="620">
          <cell r="B620" t="str">
            <v>70084-67-2</v>
          </cell>
          <cell r="C620" t="str">
            <v>Lead, C6-19-branched carboxylate naphthenate complexes</v>
          </cell>
          <cell r="D620" t="str">
            <v>물질을 용량비율 0.3% 이상 함유한 제제</v>
          </cell>
          <cell r="E620">
            <v>0.3</v>
          </cell>
        </row>
        <row r="621">
          <cell r="B621" t="str">
            <v>70268-38-1</v>
          </cell>
          <cell r="C621" t="str">
            <v>1,3-Benzenediol, nitro-, lead(2+) salt (1:1)</v>
          </cell>
          <cell r="D621" t="str">
            <v>물질을 용량비율 0.3% 이상 함유한 제제</v>
          </cell>
          <cell r="E621">
            <v>0.3</v>
          </cell>
        </row>
        <row r="622">
          <cell r="B622" t="str">
            <v>70321-55-0</v>
          </cell>
          <cell r="C622" t="str">
            <v>Lead, decanoate octanoate complexes</v>
          </cell>
          <cell r="D622" t="str">
            <v>물질을 용량비율 0.3% 이상 함유한 제제</v>
          </cell>
          <cell r="E622">
            <v>0.3</v>
          </cell>
        </row>
        <row r="623">
          <cell r="B623" t="str">
            <v>70513-89-2</v>
          </cell>
          <cell r="C623" t="str">
            <v>Lead, alkyls, manufacturing wastes</v>
          </cell>
          <cell r="D623" t="str">
            <v>물질을 용량비율 0.3% 이상 함유한 제제</v>
          </cell>
          <cell r="E623">
            <v>0.3</v>
          </cell>
        </row>
        <row r="624">
          <cell r="B624" t="str">
            <v>70514-05-5</v>
          </cell>
          <cell r="C624" t="str">
            <v>Flue dust, lead blast furnace</v>
          </cell>
          <cell r="D624" t="str">
            <v>물질을 용량비율 0.3% 이상 함유한 제제</v>
          </cell>
          <cell r="E624">
            <v>0.3</v>
          </cell>
        </row>
        <row r="625">
          <cell r="B625" t="str">
            <v>70514-37-3</v>
          </cell>
          <cell r="C625" t="str">
            <v>Slimes and sludges, lead sinter dust scrubber</v>
          </cell>
          <cell r="D625" t="str">
            <v>물질을 용량비율 0.3% 이상 함유한 제제</v>
          </cell>
          <cell r="E625">
            <v>0.3</v>
          </cell>
        </row>
        <row r="626">
          <cell r="B626" t="str">
            <v>7056-83-9</v>
          </cell>
          <cell r="C626" t="str">
            <v>Formic acid, lead salt</v>
          </cell>
          <cell r="D626" t="str">
            <v>물질을 용량비율 0.3% 이상 함유한 제제</v>
          </cell>
          <cell r="E626">
            <v>0.3</v>
          </cell>
        </row>
        <row r="627">
          <cell r="B627" t="str">
            <v>70692-93-2</v>
          </cell>
          <cell r="C627" t="str">
            <v>Nickel zirconium oxide (NiZrO3)</v>
          </cell>
          <cell r="D627" t="str">
            <v>단 불용성화합물을 0.1% 이상 함유한 제제</v>
          </cell>
          <cell r="E627">
            <v>0.1</v>
          </cell>
        </row>
        <row r="628">
          <cell r="B628" t="str">
            <v>70727-02-5</v>
          </cell>
          <cell r="C628" t="str">
            <v>Lead(2+) isooctadecanoate</v>
          </cell>
          <cell r="D628" t="str">
            <v>물질을 용량비율 0.3% 이상 함유한 제제</v>
          </cell>
          <cell r="E628">
            <v>0.3</v>
          </cell>
        </row>
        <row r="629">
          <cell r="B629" t="str">
            <v>70729-79-2</v>
          </cell>
          <cell r="C629" t="str">
            <v>Nickelate(4-), [22-[[(4-sulfophenyl)amino]sulfonyl]-29H,31H-phthalocyanine-1,8,15-trisulfonato(6-)-N29,N30,N31,N32]-, tetrahydro</v>
          </cell>
          <cell r="D629" t="str">
            <v>단 불용성화합물을 0.1% 이상 함유한 제제</v>
          </cell>
          <cell r="E629">
            <v>0.1</v>
          </cell>
        </row>
        <row r="630">
          <cell r="B630" t="str">
            <v>70776-98-6</v>
          </cell>
          <cell r="C630" t="str">
            <v>Nickel, (2-ethylhexanoato-O)(trifluoroacetato-O)-</v>
          </cell>
          <cell r="D630" t="str">
            <v>단 불용성화합물을 0.1% 이상 함유한 제제</v>
          </cell>
          <cell r="E630">
            <v>0.1</v>
          </cell>
        </row>
        <row r="631">
          <cell r="B631" t="str">
            <v>70824-02-1</v>
          </cell>
          <cell r="C631" t="str">
            <v>Bis(5-oxo-L-prolinato-N1,O2)nickel</v>
          </cell>
          <cell r="D631" t="str">
            <v>단 불용성화합물을 0.1% 이상 함유한 제제</v>
          </cell>
          <cell r="E631">
            <v>0.1</v>
          </cell>
        </row>
        <row r="632">
          <cell r="B632" t="str">
            <v>70833-37-3</v>
          </cell>
          <cell r="C632" t="str">
            <v>Nickel, bis(3-amino-4,5,6,7-tetrachloro-1H-isoindol-1-one oximato-N2,O1)-</v>
          </cell>
          <cell r="D632" t="str">
            <v>단 불용성화합물을 0.1% 이상 함유한 제제</v>
          </cell>
          <cell r="E632">
            <v>0.1</v>
          </cell>
        </row>
        <row r="633">
          <cell r="B633" t="str">
            <v>71050-57-2</v>
          </cell>
          <cell r="C633" t="str">
            <v>Acetic acid, nickel(2+) salt, polymer with formaldehyde and 4-(1,1,3,3-tetramethylbutyl)phenol</v>
          </cell>
          <cell r="D633" t="str">
            <v>단 불용성화합물을 0.1% 이상 함유한 제제</v>
          </cell>
          <cell r="E633">
            <v>0.1</v>
          </cell>
        </row>
        <row r="634">
          <cell r="B634" t="str">
            <v>71215-73-1</v>
          </cell>
          <cell r="C634" t="str">
            <v>Nickel, [[2,2'-[methylenebis(thio)]bis[acetato]](2-)]-</v>
          </cell>
          <cell r="D634" t="str">
            <v>단 불용성화합물을 0.1% 이상 함유한 제제</v>
          </cell>
          <cell r="E634">
            <v>0.1</v>
          </cell>
        </row>
        <row r="635">
          <cell r="B635" t="str">
            <v>71215-97-9</v>
          </cell>
          <cell r="C635" t="str">
            <v>Nickel(2+), tris(1,2-ethanediamine-N,N')-, (OC-6-11)-, salt with dimethylbenzenesulfonic acid (1:2)</v>
          </cell>
          <cell r="D635" t="str">
            <v>단 불용성화합물을 0.1% 이상 함유한 제제</v>
          </cell>
          <cell r="E635">
            <v>0.1</v>
          </cell>
        </row>
        <row r="636">
          <cell r="B636" t="str">
            <v>71215-98-0</v>
          </cell>
          <cell r="C636" t="str">
            <v>Nickel(2+), bis(1,2-ethanediamine-N,N')-, salt with dimethylbenzenesulfonic acid (1:2)</v>
          </cell>
          <cell r="D636" t="str">
            <v>단 불용성화합물을 0.1% 이상 함유한 제제</v>
          </cell>
          <cell r="E636">
            <v>0.1</v>
          </cell>
        </row>
        <row r="637">
          <cell r="B637" t="str">
            <v>71243-75-9</v>
          </cell>
          <cell r="C637" t="str">
            <v>Cadmium selenide sulfide (CdSe0.53S0.47)</v>
          </cell>
          <cell r="D637" t="str">
            <v>물질을 용량비율 0.1% 이상 함유한 제제</v>
          </cell>
          <cell r="E637">
            <v>0.1</v>
          </cell>
        </row>
        <row r="638">
          <cell r="B638" t="str">
            <v>71243-96-4</v>
          </cell>
          <cell r="C638" t="str">
            <v>Nickelate(3-), [22-[[[3-[(5-chloro-2,6-difluoro-4-pyrimidinyl)amino]phenyl]amino]sulfonyl]-29H,31H-phthalocyanine-1,8,15-trisulf</v>
          </cell>
          <cell r="D638" t="str">
            <v>단 불용성화합물을 0.1% 이상 함유한 제제</v>
          </cell>
          <cell r="E638">
            <v>0.1</v>
          </cell>
        </row>
        <row r="639">
          <cell r="B639" t="str">
            <v>71-43-2</v>
          </cell>
          <cell r="C639" t="str">
            <v>Benzene</v>
          </cell>
          <cell r="D639" t="str">
            <v>물질을 용량비율 0.1% 이상 함유한 제제</v>
          </cell>
          <cell r="E639">
            <v>0.1</v>
          </cell>
        </row>
        <row r="640">
          <cell r="B640" t="str">
            <v>71605-83-9</v>
          </cell>
          <cell r="C640" t="str">
            <v>Nickel, bis[N-hydroxy-3-(hydroxyimino)-N'-(2-methoxyphenyl)butanimidamidato-N',N3]-</v>
          </cell>
          <cell r="D640" t="str">
            <v>단 불용성화합물을 0.1% 이상 함유한 제제</v>
          </cell>
          <cell r="E640">
            <v>0.1</v>
          </cell>
        </row>
        <row r="641">
          <cell r="B641" t="str">
            <v>71684-29-2</v>
          </cell>
          <cell r="C641" t="str">
            <v>Lead(2+) neodecanoate</v>
          </cell>
          <cell r="D641" t="str">
            <v>물질을 용량비율 0.3% 이상 함유한 제제</v>
          </cell>
          <cell r="E641">
            <v>0.3</v>
          </cell>
        </row>
        <row r="642">
          <cell r="B642" t="str">
            <v>71686-03-8</v>
          </cell>
          <cell r="C642" t="str">
            <v>Lead(II) fumarate</v>
          </cell>
          <cell r="D642" t="str">
            <v>물질을 용량비율 0.3% 이상 함유한 제제</v>
          </cell>
          <cell r="E642">
            <v>0.3</v>
          </cell>
        </row>
        <row r="643">
          <cell r="B643" t="str">
            <v>71720-48-4</v>
          </cell>
          <cell r="C643" t="str">
            <v>Ethyl hydrogen sulphate, nickel(2+) salt</v>
          </cell>
          <cell r="D643" t="str">
            <v>단 불용성화합물을 0.1% 이상 함유한 제제</v>
          </cell>
          <cell r="E643">
            <v>0.1</v>
          </cell>
        </row>
        <row r="644">
          <cell r="B644" t="str">
            <v>71753-04-3</v>
          </cell>
          <cell r="C644" t="str">
            <v>Hydroxy(neodecanoato-O)lead</v>
          </cell>
          <cell r="D644" t="str">
            <v>물질을 용량비율 0.3% 이상 함유한 제제</v>
          </cell>
          <cell r="E644">
            <v>0.3</v>
          </cell>
        </row>
        <row r="645">
          <cell r="B645" t="str">
            <v>71767-12-9</v>
          </cell>
          <cell r="C645" t="str">
            <v>Nickel uranyl tetraacetate, of uranium depleted in uranium-235</v>
          </cell>
          <cell r="D645" t="str">
            <v>단 불용성화합물을 0.1% 이상 함유한 제제</v>
          </cell>
          <cell r="E645">
            <v>0.1</v>
          </cell>
        </row>
        <row r="646">
          <cell r="B646" t="str">
            <v>71889-20-8</v>
          </cell>
          <cell r="C646" t="str">
            <v>Nickel, [N-(4-chlorophenyl)-2-[3-[[[1-(4-chlorophenyl)-4,5-dihydro-3-methyl-5-oxo-1H-pyrazol-4-yl]methylene]hydrazino]-1H-isoind</v>
          </cell>
          <cell r="D646" t="str">
            <v>단 불용성화합물을 0.1% 이상 함유한 제제</v>
          </cell>
          <cell r="E646">
            <v>0.1</v>
          </cell>
        </row>
        <row r="647">
          <cell r="B647" t="str">
            <v>71889-22-0</v>
          </cell>
          <cell r="C647" t="str">
            <v>Nickel, [.mu.-(piperazine-N1:N4)]bis[3-[1-[(4,5,6,7-tetrachloro-1-oxo-1H-isoindol-3-yl)hydrazono]ethyl]-2,4(1H,3H)-quinolinedion</v>
          </cell>
          <cell r="D647" t="str">
            <v>단 불용성화합물을 0.1% 이상 함유한 제제</v>
          </cell>
          <cell r="E647">
            <v>0.1</v>
          </cell>
        </row>
        <row r="648">
          <cell r="B648" t="str">
            <v>71957-07-8</v>
          </cell>
          <cell r="C648" t="str">
            <v>Bis(D-gluconato-O1,O2)nickel</v>
          </cell>
          <cell r="D648" t="str">
            <v>단 불용성화합물을 0.1% 이상 함유한 제제</v>
          </cell>
          <cell r="E648">
            <v>0.1</v>
          </cell>
        </row>
        <row r="649">
          <cell r="B649" t="str">
            <v>72139-08-3</v>
          </cell>
          <cell r="C649" t="str">
            <v>Nickelate(8-), bis[3-[(2-amino-8-hydroxy-6-sulfo-1-naphthalenyl)azo]-2-hydroxy-5-sulfobenzoato(5-)]-, hexasodium dihydrogen</v>
          </cell>
          <cell r="D649" t="str">
            <v>단 불용성화합물을 0.1% 이상 함유한 제제</v>
          </cell>
          <cell r="E649">
            <v>0.1</v>
          </cell>
        </row>
        <row r="650">
          <cell r="B650" t="str">
            <v>72152-45-5</v>
          </cell>
          <cell r="C650" t="str">
            <v>C.I. Reactive green 12</v>
          </cell>
          <cell r="D650" t="str">
            <v>단 불용성화합물을 0.1% 이상 함유한 제제</v>
          </cell>
          <cell r="E650">
            <v>0.1</v>
          </cell>
        </row>
        <row r="651">
          <cell r="B651" t="str">
            <v>72162-32-4</v>
          </cell>
          <cell r="C651" t="str">
            <v>Sulfuric acid, nickel salt, reaction products with sulfurized calcium phenolate</v>
          </cell>
          <cell r="D651" t="str">
            <v>단 불용성화합물을 0.1% 이상 함유한 제제</v>
          </cell>
          <cell r="E651">
            <v>0.1</v>
          </cell>
        </row>
        <row r="652">
          <cell r="B652" t="str">
            <v>72229-81-3</v>
          </cell>
          <cell r="C652" t="str">
            <v>Nickelate(3-), [C-[[[3-[(4-amino-6-chloro-1,3,5-triazin-2-yl)amino]phenyl]amino]sulfonyl]-C,C,C-tris(aminosulfonyl)-29H,31H-phth</v>
          </cell>
          <cell r="D652" t="str">
            <v>단 불용성화합물을 0.1% 이상 함유한 제제</v>
          </cell>
          <cell r="E652">
            <v>0.1</v>
          </cell>
        </row>
        <row r="653">
          <cell r="B653" t="str">
            <v>72252-57-4</v>
          </cell>
          <cell r="C653" t="str">
            <v>Nickel, [N,N',N''-tris[4-(4,5-dihydro-3-methyl-5-oxo-1H-pyrazol-1-yl)phenyl]-29H,31H-phthalocyanine-C,C,C-trisulfonamidato(2-)-N</v>
          </cell>
          <cell r="D653" t="str">
            <v>단 불용성화합물을 0.1% 이상 함유한 제제</v>
          </cell>
          <cell r="E653">
            <v>0.1</v>
          </cell>
        </row>
        <row r="654">
          <cell r="B654" t="str">
            <v>72319-19-8</v>
          </cell>
          <cell r="C654" t="str">
            <v>2,7-Naphthalenedisulfonic acid, nickel(2+) salt (1:1)</v>
          </cell>
          <cell r="D654" t="str">
            <v>단 불용성화합물을 0.1% 이상 함유한 제제</v>
          </cell>
          <cell r="E654">
            <v>0.1</v>
          </cell>
        </row>
        <row r="655">
          <cell r="B655" t="str">
            <v>72453-55-5</v>
          </cell>
          <cell r="C655" t="str">
            <v>Nickelate(6-), [C-[[[3-[[4,5-dihydro-3-methyl-5-oxo-1-[3-sulfo-4-[2-[2-sulfo-4-[(2,5,6-trichloro-4-pyrimidinyl)amino]phenyl]ethe</v>
          </cell>
          <cell r="D655" t="str">
            <v>단 불용성화합물을 0.1% 이상 함유한 제제</v>
          </cell>
          <cell r="E655">
            <v>0.1</v>
          </cell>
        </row>
        <row r="656">
          <cell r="B656" t="str">
            <v>72586-00-6</v>
          </cell>
          <cell r="C656" t="str">
            <v>Lead bis(nonylphenolate)</v>
          </cell>
          <cell r="D656" t="str">
            <v>물질을 용량비율 0.3% 이상 함유한 제제</v>
          </cell>
          <cell r="E656">
            <v>0.3</v>
          </cell>
        </row>
        <row r="657">
          <cell r="B657" t="str">
            <v>72986-45-9</v>
          </cell>
          <cell r="C657" t="str">
            <v>Nickel, [N,N',N'',N'''-tetrakis[4-(4,5-dihydro-3-methyl-5-oxo-1H-pyrazol-1-yl)phenyl]-29H,31H-phthalocyanine-C,C,C,C-tetrasulfon</v>
          </cell>
          <cell r="D657" t="str">
            <v>단 불용성화합물을 0.1% 이상 함유한 제제</v>
          </cell>
          <cell r="E657">
            <v>0.1</v>
          </cell>
        </row>
        <row r="658">
          <cell r="B658" t="str">
            <v>7319-86-0</v>
          </cell>
          <cell r="C658" t="str">
            <v>Lead(2+) octanoate</v>
          </cell>
          <cell r="D658" t="str">
            <v>물질을 용량비율 0.3% 이상 함유한 제제</v>
          </cell>
          <cell r="E658">
            <v>0.3</v>
          </cell>
        </row>
        <row r="659">
          <cell r="B659" t="str">
            <v>73892-02-1</v>
          </cell>
          <cell r="C659" t="str">
            <v>Antimony oxide (Sb2O3), solid solution with nickel oxide (NiO) and titanium oxide (TiO2)</v>
          </cell>
          <cell r="D659" t="str">
            <v>단 불용성화합물을 0.1% 이상 함유한 제제</v>
          </cell>
          <cell r="E659">
            <v>0.1</v>
          </cell>
        </row>
        <row r="660">
          <cell r="B660" t="str">
            <v>7428-48-0</v>
          </cell>
          <cell r="C660" t="str">
            <v>Lead stearate</v>
          </cell>
          <cell r="D660" t="str">
            <v>물질을 용량비율 0.3% 이상 함유한 제제</v>
          </cell>
          <cell r="E660">
            <v>0.3</v>
          </cell>
        </row>
        <row r="661">
          <cell r="B661" t="str">
            <v>7439-92-1</v>
          </cell>
          <cell r="C661" t="str">
            <v>Lead</v>
          </cell>
          <cell r="D661" t="str">
            <v>물질을 용량비율 0.3% 이상 함유한 제제</v>
          </cell>
          <cell r="E661">
            <v>0.3</v>
          </cell>
        </row>
        <row r="662">
          <cell r="B662" t="str">
            <v>7440-02-0</v>
          </cell>
          <cell r="C662" t="str">
            <v>Nickel</v>
          </cell>
          <cell r="D662" t="str">
            <v>단 불용성화합물을 0.1% 이상 함유한 제제</v>
          </cell>
          <cell r="E662">
            <v>0.1</v>
          </cell>
        </row>
        <row r="663">
          <cell r="B663" t="str">
            <v>7440-43-9</v>
          </cell>
          <cell r="C663" t="str">
            <v>Cadmium</v>
          </cell>
          <cell r="D663" t="str">
            <v>물질을 용량비율 0.1% 이상 함유한 제제</v>
          </cell>
          <cell r="E663">
            <v>0.1</v>
          </cell>
        </row>
        <row r="664">
          <cell r="B664" t="str">
            <v>7446-10-8</v>
          </cell>
          <cell r="C664" t="str">
            <v>Sulfurous acid, lead(2++) salt (1:1)</v>
          </cell>
          <cell r="D664" t="str">
            <v>물질을 용량비율 0.3% 이상 함유한 제제</v>
          </cell>
          <cell r="E664">
            <v>0.3</v>
          </cell>
        </row>
        <row r="665">
          <cell r="B665" t="str">
            <v>7446-14-2</v>
          </cell>
          <cell r="C665" t="str">
            <v>Lead(Ⅱ) sulfate</v>
          </cell>
          <cell r="D665" t="str">
            <v>물질을 용량비율 0.3% 이상 함유한 제제</v>
          </cell>
          <cell r="E665">
            <v>0.3</v>
          </cell>
        </row>
        <row r="666">
          <cell r="B666" t="str">
            <v>7446-15-3</v>
          </cell>
          <cell r="C666" t="str">
            <v>Lead selenate</v>
          </cell>
          <cell r="D666" t="str">
            <v>물질을 용량비율 0.3% 이상 함유한 제제</v>
          </cell>
          <cell r="E666">
            <v>0.3</v>
          </cell>
        </row>
        <row r="667">
          <cell r="B667" t="str">
            <v>7446-27-7</v>
          </cell>
          <cell r="C667" t="str">
            <v>Trilead diorthophosphate</v>
          </cell>
          <cell r="D667" t="str">
            <v>물질을 용량비율 0.3% 이상 함유한 제제</v>
          </cell>
          <cell r="E667">
            <v>0.3</v>
          </cell>
        </row>
        <row r="668">
          <cell r="B668" t="str">
            <v>7488-51-9</v>
          </cell>
          <cell r="C668" t="str">
            <v>Lead selenite</v>
          </cell>
          <cell r="D668" t="str">
            <v>물질을 용량비율 0.3% 이상 함유한 제제</v>
          </cell>
          <cell r="E668">
            <v>0.3</v>
          </cell>
        </row>
        <row r="669">
          <cell r="B669" t="str">
            <v>75-21-8</v>
          </cell>
          <cell r="C669" t="str">
            <v>Ethylene oxide</v>
          </cell>
          <cell r="D669" t="str">
            <v>물질을 용량비율 0.1% 이상 함유한 제제</v>
          </cell>
          <cell r="E669">
            <v>0.1</v>
          </cell>
        </row>
        <row r="670">
          <cell r="B670" t="str">
            <v>75-26-3</v>
          </cell>
          <cell r="C670" t="str">
            <v>2-Bromopropane</v>
          </cell>
          <cell r="D670" t="str">
            <v>물질을 용량비율 0.3% 이상 함유한 제제</v>
          </cell>
          <cell r="E670">
            <v>0.3</v>
          </cell>
        </row>
        <row r="671">
          <cell r="B671" t="str">
            <v>75-74-1</v>
          </cell>
          <cell r="C671" t="str">
            <v>Tetramethyl lead</v>
          </cell>
          <cell r="D671" t="str">
            <v>물질을 용량비율 0.3% 이상 함유한 제제</v>
          </cell>
          <cell r="E671">
            <v>0.3</v>
          </cell>
        </row>
        <row r="672">
          <cell r="B672" t="str">
            <v>75790-73-7</v>
          </cell>
          <cell r="C672" t="str">
            <v>Lead, bis(diphenylcarbamodithioato-S,S')-, (T-4)-</v>
          </cell>
          <cell r="D672" t="str">
            <v>물질을 용량비율 0.3% 이상 함유한 제제</v>
          </cell>
          <cell r="E672">
            <v>0.3</v>
          </cell>
        </row>
        <row r="673">
          <cell r="B673" t="str">
            <v>7580-31-6</v>
          </cell>
          <cell r="C673" t="str">
            <v>2-Ethylhexanoic acid, nickel salt</v>
          </cell>
          <cell r="D673" t="str">
            <v>단 불용성화합물을 0.1% 이상 함유한 제제</v>
          </cell>
          <cell r="E673">
            <v>0.1</v>
          </cell>
        </row>
        <row r="674">
          <cell r="B674" t="str">
            <v>7645-25-2</v>
          </cell>
          <cell r="C674" t="str">
            <v>Lead arsenate, unspecified</v>
          </cell>
          <cell r="D674" t="str">
            <v>물질을 용량비율 0.3% 이상 함유한 제제</v>
          </cell>
          <cell r="E674">
            <v>0.3</v>
          </cell>
        </row>
        <row r="675">
          <cell r="B675" t="str">
            <v>76625-10-0</v>
          </cell>
          <cell r="C675" t="str">
            <v>Bis[N-(2-hydroxyethyl)-N-methylglycinato-N,O,on]nickel</v>
          </cell>
          <cell r="D675" t="str">
            <v>단 불용성화합물을 0.1% 이상 함유한 제제</v>
          </cell>
          <cell r="E675">
            <v>0.1</v>
          </cell>
        </row>
        <row r="676">
          <cell r="B676" t="str">
            <v>7664-93-9</v>
          </cell>
          <cell r="C676" t="str">
            <v>Sulfuric acid</v>
          </cell>
          <cell r="D676" t="str">
            <v>pH2.0 이하 강산을 0.1% 이상 함유한 제제</v>
          </cell>
          <cell r="E676">
            <v>0.1</v>
          </cell>
        </row>
        <row r="677">
          <cell r="B677" t="str">
            <v>7717-46-6</v>
          </cell>
          <cell r="C677" t="str">
            <v>Lead(4+) stearate</v>
          </cell>
          <cell r="D677" t="str">
            <v>물질을 용량비율 0.3% 이상 함유한 제제</v>
          </cell>
          <cell r="E677">
            <v>0.3</v>
          </cell>
        </row>
        <row r="678">
          <cell r="B678" t="str">
            <v>7718-54-9</v>
          </cell>
          <cell r="C678" t="str">
            <v>Nickel chloride</v>
          </cell>
          <cell r="D678" t="str">
            <v>단 불용성화합물을 0.1% 이상 함유한 제제</v>
          </cell>
          <cell r="E678">
            <v>0.1</v>
          </cell>
        </row>
        <row r="679">
          <cell r="B679" t="str">
            <v>77245-35-3</v>
          </cell>
          <cell r="C679" t="str">
            <v>Nickel, bis[[didecyl (1,2-dicyano-1,2-ethenediyl)bis[carbamato]](2-)]-</v>
          </cell>
          <cell r="D679" t="str">
            <v>단 불용성화합물을 0.1% 이상 함유한 제제</v>
          </cell>
          <cell r="E679">
            <v>0.1</v>
          </cell>
        </row>
        <row r="680">
          <cell r="B680" t="str">
            <v>7738-94-5</v>
          </cell>
          <cell r="C680" t="str">
            <v>Chromic acid</v>
          </cell>
          <cell r="D680" t="str">
            <v>6가 크롬을 0.1% 이상 함유한 제제</v>
          </cell>
          <cell r="E680">
            <v>0.1</v>
          </cell>
        </row>
        <row r="681">
          <cell r="B681" t="str">
            <v>7757-95-1</v>
          </cell>
          <cell r="C681" t="str">
            <v>Nickel(2+) sulphite</v>
          </cell>
          <cell r="D681" t="str">
            <v>단 불용성화합물을 0.1% 이상 함유한 제제</v>
          </cell>
          <cell r="E681">
            <v>0.1</v>
          </cell>
        </row>
        <row r="682">
          <cell r="B682" t="str">
            <v>7758-95-4</v>
          </cell>
          <cell r="C682" t="str">
            <v>Lead chloride</v>
          </cell>
          <cell r="D682" t="str">
            <v>물질을 용량비율 0.3% 이상 함유한 제제</v>
          </cell>
          <cell r="E682">
            <v>0.3</v>
          </cell>
        </row>
        <row r="683">
          <cell r="B683" t="str">
            <v>7758-97-6</v>
          </cell>
          <cell r="C683" t="str">
            <v>Lead chromate</v>
          </cell>
          <cell r="D683" t="str">
            <v>6가 크롬을 0.1% 이상 함유한 제제</v>
          </cell>
          <cell r="E683">
            <v>0.1</v>
          </cell>
        </row>
        <row r="684">
          <cell r="B684" t="str">
            <v>7759-01-5</v>
          </cell>
          <cell r="C684" t="str">
            <v>Lead tungsten oxide</v>
          </cell>
          <cell r="D684" t="str">
            <v>물질을 용량비율 0.3% 이상 함유한 제제</v>
          </cell>
          <cell r="E684">
            <v>0.3</v>
          </cell>
        </row>
        <row r="685">
          <cell r="B685" t="str">
            <v>7775-11-3</v>
          </cell>
          <cell r="C685" t="str">
            <v>Sodium chromate</v>
          </cell>
          <cell r="D685" t="str">
            <v>6가 크롬을 0.1% 이상 함유한 제제</v>
          </cell>
          <cell r="E685">
            <v>0.1</v>
          </cell>
        </row>
        <row r="686">
          <cell r="B686" t="str">
            <v>7778-50-9</v>
          </cell>
          <cell r="C686" t="str">
            <v>Potassium dichromate</v>
          </cell>
          <cell r="D686" t="str">
            <v>6가 크롬을 0.1% 이상 함유한 제제</v>
          </cell>
          <cell r="E686">
            <v>0.1</v>
          </cell>
        </row>
        <row r="687">
          <cell r="B687" t="str">
            <v>7783-46-2</v>
          </cell>
          <cell r="C687" t="str">
            <v>Lead difluoride</v>
          </cell>
          <cell r="D687" t="str">
            <v>물질을 용량비율 0.3% 이상 함유한 제제</v>
          </cell>
          <cell r="E687">
            <v>0.3</v>
          </cell>
        </row>
        <row r="688">
          <cell r="B688" t="str">
            <v>7783-59-7</v>
          </cell>
          <cell r="C688" t="str">
            <v>Lead(IV) fluoride</v>
          </cell>
          <cell r="D688" t="str">
            <v>물질을 용량비율 0.3% 이상 함유한 제제</v>
          </cell>
          <cell r="E688">
            <v>0.3</v>
          </cell>
        </row>
        <row r="689">
          <cell r="B689" t="str">
            <v>7784-01-2</v>
          </cell>
          <cell r="C689" t="str">
            <v>Silver chromate</v>
          </cell>
          <cell r="D689" t="str">
            <v>6가 크롬을 0.1% 이상 함유한 제제</v>
          </cell>
          <cell r="E689">
            <v>0.1</v>
          </cell>
        </row>
        <row r="690">
          <cell r="B690" t="str">
            <v>7784-40-9</v>
          </cell>
          <cell r="C690" t="str">
            <v>Lead arsenate</v>
          </cell>
          <cell r="D690" t="str">
            <v>물질을 용량비율 0.3% 이상 함유한 제제</v>
          </cell>
          <cell r="E690">
            <v>0.3</v>
          </cell>
        </row>
        <row r="691">
          <cell r="B691" t="str">
            <v>7785-20-8</v>
          </cell>
          <cell r="C691" t="str">
            <v>Sulfuric acid, ammonium nickel(2+) salt</v>
          </cell>
          <cell r="D691" t="str">
            <v>단 불용성화합물을 0.1% 이상 함유한 제제</v>
          </cell>
          <cell r="E691">
            <v>0.1</v>
          </cell>
        </row>
        <row r="692">
          <cell r="B692" t="str">
            <v>7786-81-4</v>
          </cell>
          <cell r="C692" t="str">
            <v>Nickel sulfate</v>
          </cell>
          <cell r="D692" t="str">
            <v>단 불용성화합물을 0.1% 이상 함유한 제제</v>
          </cell>
          <cell r="E692">
            <v>0.1</v>
          </cell>
        </row>
        <row r="693">
          <cell r="B693" t="str">
            <v>7788-98-9</v>
          </cell>
          <cell r="C693" t="str">
            <v>Ammonium chromate</v>
          </cell>
          <cell r="D693" t="str">
            <v>6가 크롬을 0.1% 이상 함유한 제제</v>
          </cell>
          <cell r="E693">
            <v>0.1</v>
          </cell>
        </row>
        <row r="694">
          <cell r="B694" t="str">
            <v>7789-00-6</v>
          </cell>
          <cell r="C694" t="str">
            <v>Potassium chromate</v>
          </cell>
          <cell r="D694" t="str">
            <v>6가 크롬을 0.1% 이상 함유한 제제</v>
          </cell>
          <cell r="E694">
            <v>0.1</v>
          </cell>
        </row>
        <row r="695">
          <cell r="B695" t="str">
            <v>7789-06-2</v>
          </cell>
          <cell r="C695" t="str">
            <v>Strontium chromate</v>
          </cell>
          <cell r="D695" t="str">
            <v>6가 크롬을 0.1% 이상 함유한 제제</v>
          </cell>
          <cell r="E695">
            <v>0.1</v>
          </cell>
        </row>
        <row r="696">
          <cell r="B696" t="str">
            <v>7789-09-5</v>
          </cell>
          <cell r="C696" t="str">
            <v>Ammonium bichromate</v>
          </cell>
          <cell r="D696" t="str">
            <v>6가 크롬을 0.1% 이상 함유한 제제</v>
          </cell>
          <cell r="E696">
            <v>0.1</v>
          </cell>
        </row>
        <row r="697">
          <cell r="B697" t="str">
            <v>7789-12-0</v>
          </cell>
          <cell r="C697" t="str">
            <v>Sodium dichromate dihydrate</v>
          </cell>
          <cell r="D697" t="str">
            <v>6가 크롬을 0.1% 이상 함유한 제제</v>
          </cell>
          <cell r="E697">
            <v>0.1</v>
          </cell>
        </row>
        <row r="698">
          <cell r="B698" t="str">
            <v>7789-42-6</v>
          </cell>
          <cell r="C698" t="str">
            <v>Cadmium bromide</v>
          </cell>
          <cell r="D698" t="str">
            <v>물질을 용량비율 0.1% 이상 함유한 제제</v>
          </cell>
          <cell r="E698">
            <v>0.1</v>
          </cell>
        </row>
        <row r="699">
          <cell r="B699" t="str">
            <v>7789-49-3</v>
          </cell>
          <cell r="C699" t="str">
            <v>Nickel bromide (NiBr2), trihydrate</v>
          </cell>
          <cell r="D699" t="str">
            <v>단 불용성화합물을 0.1% 이상 함유한 제제</v>
          </cell>
          <cell r="E699">
            <v>0.1</v>
          </cell>
        </row>
        <row r="700">
          <cell r="B700" t="str">
            <v>7790-78-5</v>
          </cell>
          <cell r="C700" t="str">
            <v>Cadmium chloride, hydrate (2:5)</v>
          </cell>
          <cell r="D700" t="str">
            <v>물질을 용량비율 0.1% 이상 함유한 제제</v>
          </cell>
          <cell r="E700">
            <v>0.1</v>
          </cell>
        </row>
        <row r="701">
          <cell r="B701" t="str">
            <v>7790-79-6</v>
          </cell>
          <cell r="C701" t="str">
            <v>Cadmium fluoride (CdF2)</v>
          </cell>
          <cell r="D701" t="str">
            <v>물질을 용량비율 0.1% 이상 함유한 제제</v>
          </cell>
          <cell r="E701">
            <v>0.1</v>
          </cell>
        </row>
        <row r="702">
          <cell r="B702" t="str">
            <v>7790-80-9</v>
          </cell>
          <cell r="C702" t="str">
            <v>Cadmium iodide</v>
          </cell>
          <cell r="D702" t="str">
            <v>물질을 용량비율 0.1% 이상 함유한 제제</v>
          </cell>
          <cell r="E702">
            <v>0.1</v>
          </cell>
        </row>
        <row r="703">
          <cell r="B703" t="str">
            <v>7790-81-0</v>
          </cell>
          <cell r="C703" t="str">
            <v>Cadmium iodate</v>
          </cell>
          <cell r="D703" t="str">
            <v>물질을 용량비율 0.1% 이상 함유한 제제</v>
          </cell>
          <cell r="E703">
            <v>0.1</v>
          </cell>
        </row>
        <row r="704">
          <cell r="B704" t="str">
            <v>7790-83-2</v>
          </cell>
          <cell r="C704" t="str">
            <v>Cadmium dinitrite</v>
          </cell>
          <cell r="D704" t="str">
            <v>물질을 용량비율 0.1% 이상 함유한 제제</v>
          </cell>
          <cell r="E704">
            <v>0.1</v>
          </cell>
        </row>
        <row r="705">
          <cell r="B705" t="str">
            <v>7790-84-3</v>
          </cell>
          <cell r="C705" t="str">
            <v>Cadmium sulfate 3/8 hydrate</v>
          </cell>
          <cell r="D705" t="str">
            <v>물질을 용량비율 0.1% 이상 함유한 제제</v>
          </cell>
          <cell r="E705">
            <v>0.1</v>
          </cell>
        </row>
        <row r="706">
          <cell r="B706" t="str">
            <v>7790-85-4</v>
          </cell>
          <cell r="C706" t="str">
            <v>Cadmium tungsten oxide (CdWO4)</v>
          </cell>
          <cell r="D706" t="str">
            <v>물질을 용량비율 0.1% 이상 함유한 제제</v>
          </cell>
          <cell r="E706">
            <v>0.1</v>
          </cell>
        </row>
        <row r="707">
          <cell r="B707" t="str">
            <v>7791-20-0</v>
          </cell>
          <cell r="C707" t="str">
            <v>Nickel chloride hexahydrate</v>
          </cell>
          <cell r="D707" t="str">
            <v>단 불용성화합물을 0.1% 이상 함유한 제제</v>
          </cell>
          <cell r="E707">
            <v>0.1</v>
          </cell>
        </row>
        <row r="708">
          <cell r="B708" t="str">
            <v>78-00-2</v>
          </cell>
          <cell r="C708" t="str">
            <v>Tetraethyl lead</v>
          </cell>
          <cell r="D708" t="str">
            <v>물질을 용량비율 0.3% 이상 함유한 제제</v>
          </cell>
          <cell r="E708">
            <v>0.3</v>
          </cell>
        </row>
        <row r="709">
          <cell r="B709" t="str">
            <v>79-01-6</v>
          </cell>
          <cell r="C709" t="str">
            <v>Trichloroethylene</v>
          </cell>
          <cell r="D709" t="str">
            <v>물질을 용량비율 0.1% 이상 함유한 제제</v>
          </cell>
          <cell r="E709">
            <v>0.1</v>
          </cell>
        </row>
        <row r="710">
          <cell r="B710" t="str">
            <v>79102-62-8</v>
          </cell>
          <cell r="C710" t="str">
            <v>Tetrahydrogen [[[(3-amino-4-sulphophenyl)amino]sulphonyl]-29H,31H-phthalocyaninetrisulphonato(6-)-N29,N30,N31,N32]nickelate(4-)</v>
          </cell>
          <cell r="D710" t="str">
            <v>단 불용성화합물을 0.1% 이상 함유한 제제</v>
          </cell>
          <cell r="E710">
            <v>0.1</v>
          </cell>
        </row>
        <row r="711">
          <cell r="B711" t="str">
            <v>79121-51-0</v>
          </cell>
          <cell r="C711" t="str">
            <v>Bis(4-benzoyl-2,4-dihydro-5-methyl-2-phenyl-3H-pyrazol-3-onato-O,O')(2,2,4,4-tetramethyl-7-oxa-3,20-diazadispiro[5.1.11.2]henico</v>
          </cell>
          <cell r="D711" t="str">
            <v>단 불용성화합물을 0.1% 이상 함유한 제제</v>
          </cell>
          <cell r="E711">
            <v>0.1</v>
          </cell>
        </row>
        <row r="712">
          <cell r="B712" t="str">
            <v>79357-62-3</v>
          </cell>
          <cell r="C712" t="str">
            <v>Lead, (2-methyl-4,6-dinitrophenolato-O1)(nitrato-O)-.mu.-oxodi-, monohydrate</v>
          </cell>
          <cell r="D712" t="str">
            <v>물질을 용량비율 0.3% 이상 함유한 제제</v>
          </cell>
          <cell r="E712">
            <v>0.3</v>
          </cell>
        </row>
        <row r="713">
          <cell r="B713" t="str">
            <v>79357-65-6</v>
          </cell>
          <cell r="C713" t="str">
            <v>Aluminum, triethyl-, reaction products with nickel(2+) bis(2-ethylhexanoate)</v>
          </cell>
          <cell r="D713" t="str">
            <v>단 불용성화합물을 0.1% 이상 함유한 제제</v>
          </cell>
          <cell r="E713">
            <v>0.1</v>
          </cell>
        </row>
        <row r="714">
          <cell r="B714" t="str">
            <v>79745-01-0</v>
          </cell>
          <cell r="C714" t="str">
            <v>Nickel,[6,8,16,18-tetrachloro-1,11-bis(2-furanylmethyl)-1,10,11, 20-tetrahydrodibenzo[c,j]dipyrazolo[3,4-f:3',4'-m][1,2,5,8,9,12</v>
          </cell>
          <cell r="D714" t="str">
            <v>단 불용성화합물을 0.1% 이상 함유한 제제</v>
          </cell>
          <cell r="E714">
            <v>0.1</v>
          </cell>
        </row>
        <row r="715">
          <cell r="B715" t="str">
            <v>79803-79-5</v>
          </cell>
          <cell r="C715" t="str">
            <v>Lead, C3-13-fatty acid naphthenate complexes</v>
          </cell>
          <cell r="D715" t="str">
            <v>물질을 용량비율 0.3% 이상 함유한 제제</v>
          </cell>
          <cell r="E715">
            <v>0.3</v>
          </cell>
        </row>
        <row r="716">
          <cell r="B716" t="str">
            <v>79817-91-7</v>
          </cell>
          <cell r="C716" t="str">
            <v>Nickelate(3-), [5-[(4,5-dihydro-3-methyl-5-oxo-1-phenyl-1H-pyrazol-4-yl)azo]-4-hydroxy-3-[( 2-hydroxy-3-nitro-5-sulfophenyl)azo]</v>
          </cell>
          <cell r="D716" t="str">
            <v>단 불용성화합물을 0.1% 이상 함유한 제제</v>
          </cell>
          <cell r="E716">
            <v>0.1</v>
          </cell>
        </row>
        <row r="717">
          <cell r="B717" t="str">
            <v>811-54-1</v>
          </cell>
          <cell r="C717" t="str">
            <v>Lead formate</v>
          </cell>
          <cell r="D717" t="str">
            <v>물질을 용량비율 0.3% 이상 함유한 제제</v>
          </cell>
          <cell r="E717">
            <v>0.3</v>
          </cell>
        </row>
        <row r="718">
          <cell r="B718" t="str">
            <v>81412-57-9</v>
          </cell>
          <cell r="C718" t="str">
            <v>Fatty acids, C9-11-branched, lead salts</v>
          </cell>
          <cell r="D718" t="str">
            <v>물질을 용량비율 0.3% 이상 함유한 제제</v>
          </cell>
          <cell r="E718">
            <v>0.3</v>
          </cell>
        </row>
        <row r="719">
          <cell r="B719" t="str">
            <v>814-70-0</v>
          </cell>
          <cell r="C719" t="str">
            <v>Lead dipropionate</v>
          </cell>
          <cell r="D719" t="str">
            <v>물질을 용량비율 0.3% 이상 함유한 제제</v>
          </cell>
          <cell r="E719">
            <v>0.3</v>
          </cell>
        </row>
        <row r="720">
          <cell r="B720" t="str">
            <v>814-93-7</v>
          </cell>
          <cell r="C720" t="str">
            <v>Lead oxalate</v>
          </cell>
          <cell r="D720" t="str">
            <v>물질을 용량비율 0.3% 이상 함유한 제제</v>
          </cell>
          <cell r="E720">
            <v>0.3</v>
          </cell>
        </row>
        <row r="721">
          <cell r="B721" t="str">
            <v>815-84-9</v>
          </cell>
          <cell r="C721" t="str">
            <v>Butanedioic acid, 2,3-dihydroxy- [R-(R*,R*)]-, lead(2+) salt (1:1)</v>
          </cell>
          <cell r="D721" t="str">
            <v>물질을 용량비율 0.3% 이상 함유한 제제</v>
          </cell>
          <cell r="E721">
            <v>0.3</v>
          </cell>
        </row>
        <row r="722">
          <cell r="B722" t="str">
            <v>816-68-2</v>
          </cell>
          <cell r="C722" t="str">
            <v>Lead malate</v>
          </cell>
          <cell r="D722" t="str">
            <v>물질을 용량비율 0.3% 이상 함유한 제제</v>
          </cell>
          <cell r="E722">
            <v>0.3</v>
          </cell>
        </row>
        <row r="723">
          <cell r="B723" t="str">
            <v>819-73-8</v>
          </cell>
          <cell r="C723" t="str">
            <v>Lead dibutyrate</v>
          </cell>
          <cell r="D723" t="str">
            <v>물질을 용량비율 0.3% 이상 함유한 제제</v>
          </cell>
          <cell r="E723">
            <v>0.3</v>
          </cell>
        </row>
        <row r="724">
          <cell r="B724" t="str">
            <v>83711-45-9</v>
          </cell>
          <cell r="C724" t="str">
            <v>Lead, C5-23-branched carboxylate C4-10-fatty acid naphthenate complexes</v>
          </cell>
          <cell r="D724" t="str">
            <v>물질을 용량비율 0.3% 이상 함유한 제제</v>
          </cell>
          <cell r="E724">
            <v>0.3</v>
          </cell>
        </row>
        <row r="725">
          <cell r="B725" t="str">
            <v>83711-46-0</v>
          </cell>
          <cell r="C725" t="str">
            <v>Lead, C5-23-branched carboxylate naphthenate complexes</v>
          </cell>
          <cell r="D725" t="str">
            <v>물질을 용량비율 0.3% 이상 함유한 제제</v>
          </cell>
          <cell r="E725">
            <v>0.3</v>
          </cell>
        </row>
        <row r="726">
          <cell r="B726" t="str">
            <v>83711-47-1</v>
          </cell>
          <cell r="C726" t="str">
            <v>Lead, C5-23-branched carboxylate naphthenate octanoate complexes</v>
          </cell>
          <cell r="D726" t="str">
            <v>물질을 용량비율 0.3% 이상 함유한 제제</v>
          </cell>
          <cell r="E726">
            <v>0.3</v>
          </cell>
        </row>
        <row r="727">
          <cell r="B727" t="str">
            <v>83864-02-2</v>
          </cell>
          <cell r="C727" t="str">
            <v>Nickel, bis[(cyano-C)triphenylborato(1-)-N]bis(hexanedinitrile-N,N')-</v>
          </cell>
          <cell r="D727" t="str">
            <v>단 불용성화합물을 0.1% 이상 함유한 제제</v>
          </cell>
          <cell r="E727">
            <v>0.1</v>
          </cell>
        </row>
        <row r="728">
          <cell r="B728" t="str">
            <v>83898-70-8</v>
          </cell>
          <cell r="C728" t="str">
            <v>Dimethoxy[29H,31H-phthalocyaninato(2-)-N29,N30,N31,N32]nickel</v>
          </cell>
          <cell r="D728" t="str">
            <v>단 불용성화합물을 0.1% 이상 함유한 제제</v>
          </cell>
          <cell r="E728">
            <v>0.1</v>
          </cell>
        </row>
        <row r="729">
          <cell r="B729" t="str">
            <v>84066-98-8</v>
          </cell>
          <cell r="C729" t="str">
            <v>Lead, C5-23-branched carboxylate C4-10-fatty acid complexes</v>
          </cell>
          <cell r="D729" t="str">
            <v>물질을 용량비율 0.3% 이상 함유한 제제</v>
          </cell>
          <cell r="E729">
            <v>0.3</v>
          </cell>
        </row>
        <row r="730">
          <cell r="B730" t="str">
            <v>84066-99-9</v>
          </cell>
          <cell r="C730" t="str">
            <v>Lead, C5-23-branched carboxylate octanoate complexes</v>
          </cell>
          <cell r="D730" t="str">
            <v>물질을 용량비율 0.3% 이상 함유한 제제</v>
          </cell>
          <cell r="E730">
            <v>0.3</v>
          </cell>
        </row>
        <row r="731">
          <cell r="B731" t="str">
            <v>84067-00-5</v>
          </cell>
          <cell r="C731" t="str">
            <v>Lead, C4-10-fatty acid naphthenate complexes</v>
          </cell>
          <cell r="D731" t="str">
            <v>물질을 용량비율 0.3% 이상 함유한 제제</v>
          </cell>
          <cell r="E731">
            <v>0.3</v>
          </cell>
        </row>
        <row r="732">
          <cell r="B732" t="str">
            <v>84144-92-3</v>
          </cell>
          <cell r="C732" t="str">
            <v>Leach residues, nickel-vanadium ore - Residues from basic leaching of nickel-bearing vanadium ores.  Composed primarily of silic</v>
          </cell>
          <cell r="D732" t="str">
            <v>단 불용성화합물을 0.1% 이상 함유한 제제</v>
          </cell>
          <cell r="E732">
            <v>0.1</v>
          </cell>
        </row>
        <row r="733">
          <cell r="B733" t="str">
            <v>84394-98-9</v>
          </cell>
          <cell r="C733" t="str">
            <v>Lead bis(p-octylphenolate)</v>
          </cell>
          <cell r="D733" t="str">
            <v>물질을 용량비율 0.3% 이상 함유한 제제</v>
          </cell>
          <cell r="E733">
            <v>0.3</v>
          </cell>
        </row>
        <row r="734">
          <cell r="B734" t="str">
            <v>84604-95-5</v>
          </cell>
          <cell r="C734" t="str">
            <v>Bis[di(3,5,5-trimethylhexyl)dithiocarbamato-S,S']nickel</v>
          </cell>
          <cell r="D734" t="str">
            <v>단 불용성화합물을 0.1% 이상 함유한 제제</v>
          </cell>
          <cell r="E734">
            <v>0.1</v>
          </cell>
        </row>
        <row r="735">
          <cell r="B735" t="str">
            <v>84776-36-3</v>
          </cell>
          <cell r="C735" t="str">
            <v>Fatty acids, C8-18 and C18-unsaturated, lead salts</v>
          </cell>
          <cell r="D735" t="str">
            <v>물질을 용량비율 0.3% 이상 함유한 제제</v>
          </cell>
          <cell r="E735">
            <v>0.3</v>
          </cell>
        </row>
        <row r="736">
          <cell r="B736" t="str">
            <v>84776-45-4</v>
          </cell>
          <cell r="C736" t="str">
            <v>Fatty acids, C8-18 and C18-unsaturated, nickel salts</v>
          </cell>
          <cell r="D736" t="str">
            <v>단 불용성화합물을 0.1% 이상 함유한 제제</v>
          </cell>
          <cell r="E736">
            <v>0.1</v>
          </cell>
        </row>
        <row r="737">
          <cell r="B737" t="str">
            <v>84776-53-4</v>
          </cell>
          <cell r="C737" t="str">
            <v>Fatty acids, C8-12, lead salts</v>
          </cell>
          <cell r="D737" t="str">
            <v>물질을 용량비율 0.3% 이상 함유한 제제</v>
          </cell>
          <cell r="E737">
            <v>0.3</v>
          </cell>
        </row>
        <row r="738">
          <cell r="B738" t="str">
            <v>84776-54-5</v>
          </cell>
          <cell r="C738" t="str">
            <v>Fatty acids, C18-24, lead salts</v>
          </cell>
          <cell r="D738" t="str">
            <v>물질을 용량비율 0.3% 이상 함유한 제제</v>
          </cell>
          <cell r="E738">
            <v>0.3</v>
          </cell>
        </row>
        <row r="739">
          <cell r="B739" t="str">
            <v>84837-22-9</v>
          </cell>
          <cell r="C739" t="str">
            <v>[.mu.-(4,6-Dinitroresorcinolato(2-)-O1,O3)]dihydroxydilead</v>
          </cell>
          <cell r="D739" t="str">
            <v>물질을 용량비율 0.3% 이상 함유한 제제</v>
          </cell>
          <cell r="E739">
            <v>0.3</v>
          </cell>
        </row>
        <row r="740">
          <cell r="B740" t="str">
            <v>84852-34-6</v>
          </cell>
          <cell r="C740" t="str">
            <v>Lead(II) isodecanoate</v>
          </cell>
          <cell r="D740" t="str">
            <v>물질을 용량비율 0.3% 이상 함유한 제제</v>
          </cell>
          <cell r="E740">
            <v>0.3</v>
          </cell>
        </row>
        <row r="741">
          <cell r="B741" t="str">
            <v>84852-35-7</v>
          </cell>
          <cell r="C741" t="str">
            <v>(Isooctanoato-O)(neodecanoato-O)nickel</v>
          </cell>
          <cell r="D741" t="str">
            <v>단 불용성화합물을 0.1% 이상 함유한 제제</v>
          </cell>
          <cell r="E741">
            <v>0.1</v>
          </cell>
        </row>
        <row r="742">
          <cell r="B742" t="str">
            <v>84852-36-8</v>
          </cell>
          <cell r="C742" t="str">
            <v>(Isodecanoato-O)(isononanoato-O)nickel</v>
          </cell>
          <cell r="D742" t="str">
            <v>단 불용성화합물을 0.1% 이상 함유한 제제</v>
          </cell>
          <cell r="E742">
            <v>0.1</v>
          </cell>
        </row>
        <row r="743">
          <cell r="B743" t="str">
            <v>84852-37-9</v>
          </cell>
          <cell r="C743" t="str">
            <v>Isononanoic acid, nickel(2+) salt</v>
          </cell>
          <cell r="D743" t="str">
            <v>단 불용성화합물을 0.1% 이상 함유한 제제</v>
          </cell>
          <cell r="E743">
            <v>0.1</v>
          </cell>
        </row>
        <row r="744">
          <cell r="B744" t="str">
            <v>84852-38-0</v>
          </cell>
          <cell r="C744" t="str">
            <v>(2-Ethylhexanoato-O)(isooctanoato-O)nickel</v>
          </cell>
          <cell r="D744" t="str">
            <v>단 불용성화합물을 0.1% 이상 함유한 제제</v>
          </cell>
          <cell r="E744">
            <v>0.1</v>
          </cell>
        </row>
        <row r="745">
          <cell r="B745" t="str">
            <v>84852-39-1</v>
          </cell>
          <cell r="C745" t="str">
            <v>(2-Ethylhexanoato-O)(isodecanoato-O)nickel</v>
          </cell>
          <cell r="D745" t="str">
            <v>단 불용성화합물을 0.1% 이상 함유한 제제</v>
          </cell>
          <cell r="E745">
            <v>0.1</v>
          </cell>
        </row>
        <row r="746">
          <cell r="B746" t="str">
            <v>84929-94-2</v>
          </cell>
          <cell r="C746" t="str">
            <v>Lead, isononanoate isooctanoate complexes, basic</v>
          </cell>
          <cell r="D746" t="str">
            <v>물질을 용량비율 0.3% 이상 함유한 제제</v>
          </cell>
          <cell r="E746">
            <v>0.3</v>
          </cell>
        </row>
        <row r="747">
          <cell r="B747" t="str">
            <v>84929-95-3</v>
          </cell>
          <cell r="C747" t="str">
            <v>Lead, isooctanoate neodecanoate complexes, basic</v>
          </cell>
          <cell r="D747" t="str">
            <v>물질을 용량비율 0.3% 이상 함유한 제제</v>
          </cell>
          <cell r="E747">
            <v>0.3</v>
          </cell>
        </row>
        <row r="748">
          <cell r="B748" t="str">
            <v>84929-96-4</v>
          </cell>
          <cell r="C748" t="str">
            <v>Lead, naphthenate neodecanoate complexes, basic</v>
          </cell>
          <cell r="D748" t="str">
            <v>물질을 용량비율 0.3% 이상 함유한 제제</v>
          </cell>
          <cell r="E748">
            <v>0.3</v>
          </cell>
        </row>
        <row r="749">
          <cell r="B749" t="str">
            <v>84929-97-5</v>
          </cell>
          <cell r="C749" t="str">
            <v>Lead, isononanoate naphthenate complexes</v>
          </cell>
          <cell r="D749" t="str">
            <v>물질을 용량비율 0.3% 이상 함유한 제제</v>
          </cell>
          <cell r="E749">
            <v>0.3</v>
          </cell>
        </row>
        <row r="750">
          <cell r="B750" t="str">
            <v>84961-75-1</v>
          </cell>
          <cell r="C750" t="str">
            <v>Benzenesulfonic acid, 4-C10-13-sec-alkyl derivitives, lead(2+) salts</v>
          </cell>
          <cell r="D750" t="str">
            <v>물질을 용량비율 0.3% 이상 함유한 제제</v>
          </cell>
          <cell r="E750">
            <v>0.3</v>
          </cell>
        </row>
        <row r="751">
          <cell r="B751" t="str">
            <v>85026-81-9</v>
          </cell>
          <cell r="C751" t="str">
            <v>Bis(5-oxo-DL-prolinato-N1,O2)nickel</v>
          </cell>
          <cell r="D751" t="str">
            <v>단 불용성화합물을 0.1% 이상 함유한 제제</v>
          </cell>
          <cell r="E751">
            <v>0.1</v>
          </cell>
        </row>
        <row r="752">
          <cell r="B752" t="str">
            <v>85049-42-9</v>
          </cell>
          <cell r="C752" t="str">
            <v>Fatty acids, C8-10-branched, lead salts</v>
          </cell>
          <cell r="D752" t="str">
            <v>물질을 용량비율 0.3% 이상 함유한 제제</v>
          </cell>
          <cell r="E752">
            <v>0.3</v>
          </cell>
        </row>
        <row r="753">
          <cell r="B753" t="str">
            <v>85135-77-9</v>
          </cell>
          <cell r="C753" t="str">
            <v>(2-Ethylhexanoato-O)(neodecanoato-O)nickel</v>
          </cell>
          <cell r="D753" t="str">
            <v>단 불용성화합물을 0.1% 이상 함유한 제제</v>
          </cell>
          <cell r="E753">
            <v>0.1</v>
          </cell>
        </row>
        <row r="754">
          <cell r="B754" t="str">
            <v>85166-19-4</v>
          </cell>
          <cell r="C754" t="str">
            <v>(Isodecanoato-O)(isooctanoato-O)nickel</v>
          </cell>
          <cell r="D754" t="str">
            <v>단 불용성화합물을 0.1% 이상 함유한 제제</v>
          </cell>
          <cell r="E754">
            <v>0.1</v>
          </cell>
        </row>
        <row r="755">
          <cell r="B755" t="str">
            <v>85269-39-2</v>
          </cell>
          <cell r="C755" t="str">
            <v>Bis[N-(2,4-dimethoxyphenyl)-2,3-bis(hydroxyimino)butyramidato-N2,N3]nickel</v>
          </cell>
          <cell r="D755" t="str">
            <v>단 불용성화합물을 0.1% 이상 함유한 제제</v>
          </cell>
          <cell r="E755">
            <v>0.1</v>
          </cell>
        </row>
        <row r="756">
          <cell r="B756" t="str">
            <v>85292-77-9</v>
          </cell>
          <cell r="C756" t="str">
            <v>Lead(2+) 4-(1,1-dimethylethyl)benzoate</v>
          </cell>
          <cell r="D756" t="str">
            <v>물질을 용량비율 0.3% 이상 함유한 제제</v>
          </cell>
          <cell r="E756">
            <v>0.3</v>
          </cell>
        </row>
        <row r="757">
          <cell r="B757" t="str">
            <v>85298-61-9</v>
          </cell>
          <cell r="C757" t="str">
            <v>Nickel, bis(diisononylcarbamodithioato-,')-</v>
          </cell>
          <cell r="D757" t="str">
            <v>단 불용성화합물을 0.1% 이상 함유한 제제</v>
          </cell>
          <cell r="E757">
            <v>0.1</v>
          </cell>
        </row>
        <row r="758">
          <cell r="B758" t="str">
            <v>85392-77-4</v>
          </cell>
          <cell r="C758" t="str">
            <v>Lead bis(5-oxo-L-prolinate)</v>
          </cell>
          <cell r="D758" t="str">
            <v>물질을 용량비율 0.3% 이상 함유한 제제</v>
          </cell>
          <cell r="E758">
            <v>0.3</v>
          </cell>
        </row>
        <row r="759">
          <cell r="B759" t="str">
            <v>85392-78-5</v>
          </cell>
          <cell r="C759" t="str">
            <v>Lead bis(5-oxo-DL-prolinate)</v>
          </cell>
          <cell r="D759" t="str">
            <v>물질을 용량비율 0.3% 이상 함유한 제제</v>
          </cell>
          <cell r="E759">
            <v>0.3</v>
          </cell>
        </row>
        <row r="760">
          <cell r="B760" t="str">
            <v>85480-75-7</v>
          </cell>
          <cell r="C760" t="str">
            <v>Nickel, 2,2'-thiobis[4-nonylphenol] complexes</v>
          </cell>
          <cell r="D760" t="str">
            <v>단 불용성화합물을 0.1% 이상 함유한 제제</v>
          </cell>
          <cell r="E760">
            <v>0.1</v>
          </cell>
        </row>
        <row r="761">
          <cell r="B761" t="str">
            <v>85508-42-5</v>
          </cell>
          <cell r="C761" t="str">
            <v>(Isodecanoato-O)(neodecanoato-O)nickel</v>
          </cell>
          <cell r="D761" t="str">
            <v>단 불용성화합물을 0.1% 이상 함유한 제제</v>
          </cell>
          <cell r="E761">
            <v>0.1</v>
          </cell>
        </row>
        <row r="762">
          <cell r="B762" t="str">
            <v>85508-43-6</v>
          </cell>
          <cell r="C762" t="str">
            <v>Nickel(II) isodecanoate</v>
          </cell>
          <cell r="D762" t="str">
            <v>단 불용성화합물을 0.1% 이상 함유한 제제</v>
          </cell>
          <cell r="E762">
            <v>0.1</v>
          </cell>
        </row>
        <row r="763">
          <cell r="B763" t="str">
            <v>85508-44-7</v>
          </cell>
          <cell r="C763" t="str">
            <v>Nickel(2+) neodecanoate</v>
          </cell>
          <cell r="D763" t="str">
            <v>단 불용성화합물을 0.1% 이상 함유한 제제</v>
          </cell>
          <cell r="E763">
            <v>0.1</v>
          </cell>
        </row>
        <row r="764">
          <cell r="B764" t="str">
            <v>85508-45-8</v>
          </cell>
          <cell r="C764" t="str">
            <v>(2-Ethylhexanoato-O)(isononanoato-O)nickel</v>
          </cell>
          <cell r="D764" t="str">
            <v>단 불용성화합물을 0.1% 이상 함유한 제제</v>
          </cell>
          <cell r="E764">
            <v>0.1</v>
          </cell>
        </row>
        <row r="765">
          <cell r="B765" t="str">
            <v>85508-46-9</v>
          </cell>
          <cell r="C765" t="str">
            <v>(Isononanoato-O)(isooctanoato-O)nickel</v>
          </cell>
          <cell r="D765" t="str">
            <v>단 불용성화합물을 0.1% 이상 함유한 제제</v>
          </cell>
          <cell r="E765">
            <v>0.1</v>
          </cell>
        </row>
        <row r="766">
          <cell r="B766" t="str">
            <v>85536-79-4</v>
          </cell>
          <cell r="C766" t="str">
            <v>Lead uranate pigment</v>
          </cell>
          <cell r="D766" t="str">
            <v>물질을 용량비율 0.3% 이상 함유한 제제</v>
          </cell>
          <cell r="E766">
            <v>0.3</v>
          </cell>
        </row>
        <row r="767">
          <cell r="B767" t="str">
            <v>85551-28-6</v>
          </cell>
          <cell r="C767" t="str">
            <v>(Isononanoato-O)(neodecanoato-O)nickel</v>
          </cell>
          <cell r="D767" t="str">
            <v>단 불용성화합물을 0.1% 이상 함유한 제제</v>
          </cell>
          <cell r="E767">
            <v>0.1</v>
          </cell>
        </row>
        <row r="768">
          <cell r="B768" t="str">
            <v>85585-97-3</v>
          </cell>
          <cell r="C768" t="str">
            <v>Nickel, isodecanoate naphthenate complexes</v>
          </cell>
          <cell r="D768" t="str">
            <v>단 불용성화합물을 0.1% 이상 함유한 제제</v>
          </cell>
          <cell r="E768">
            <v>0.1</v>
          </cell>
        </row>
        <row r="769">
          <cell r="B769" t="str">
            <v>85585-98-4</v>
          </cell>
          <cell r="C769" t="str">
            <v>Nickel, isononanoate naphthenate complexes</v>
          </cell>
          <cell r="D769" t="str">
            <v>단 불용성화합물을 0.1% 이상 함유한 제제</v>
          </cell>
          <cell r="E769">
            <v>0.1</v>
          </cell>
        </row>
        <row r="770">
          <cell r="B770" t="str">
            <v>85585-99-5</v>
          </cell>
          <cell r="C770" t="str">
            <v>Nickel, naphthenate neodecanoate complexes</v>
          </cell>
          <cell r="D770" t="str">
            <v>단 불용성화합물을 0.1% 이상 함유한 제제</v>
          </cell>
          <cell r="E770">
            <v>0.1</v>
          </cell>
        </row>
        <row r="771">
          <cell r="B771" t="str">
            <v>85586-46-5</v>
          </cell>
          <cell r="C771" t="str">
            <v>Bis(1H-1,2,4-triazole-3-sulphonato-N2,O3)nickel</v>
          </cell>
          <cell r="D771" t="str">
            <v>단 불용성화합물을 0.1% 이상 함유한 제제</v>
          </cell>
          <cell r="E771">
            <v>0.1</v>
          </cell>
        </row>
        <row r="772">
          <cell r="B772" t="str">
            <v>85865-91-4</v>
          </cell>
          <cell r="C772" t="str">
            <v>Lead bis(tetracosylbenzenesulphonate)</v>
          </cell>
          <cell r="D772" t="str">
            <v>물질을 용량비율 0.3% 이상 함유한 제제</v>
          </cell>
          <cell r="E772">
            <v>0.3</v>
          </cell>
        </row>
        <row r="773">
          <cell r="B773" t="str">
            <v>85865-92-5</v>
          </cell>
          <cell r="C773" t="str">
            <v>Lead bis[didodecylbenzenesulphonate]</v>
          </cell>
          <cell r="D773" t="str">
            <v>물질을 용량비율 0.3% 이상 함유한 제제</v>
          </cell>
          <cell r="E773">
            <v>0.3</v>
          </cell>
        </row>
        <row r="774">
          <cell r="B774" t="str">
            <v>85958-80-1</v>
          </cell>
          <cell r="C774" t="str">
            <v>Nickel, [2-hydroxybenzoic acid [3-[1-cyano-2-(methylamino)-2-oxoethylidene]-2,3-dihydro-1H-isoindol-1-ylidene]hydrazidato(2-)]-</v>
          </cell>
          <cell r="D774" t="str">
            <v>단 불용성화합물을 0.1% 이상 함유한 제제</v>
          </cell>
          <cell r="E774">
            <v>0.1</v>
          </cell>
        </row>
        <row r="775">
          <cell r="B775" t="str">
            <v>867-47-0</v>
          </cell>
          <cell r="C775" t="str">
            <v>Lead(2+) acrylate</v>
          </cell>
          <cell r="D775" t="str">
            <v>물질을 용량비율 0.3% 이상 함유한 제제</v>
          </cell>
          <cell r="E775">
            <v>0.3</v>
          </cell>
        </row>
        <row r="776">
          <cell r="B776" t="str">
            <v>873-54-1</v>
          </cell>
          <cell r="C776" t="str">
            <v>Lead dibenzoate</v>
          </cell>
          <cell r="D776" t="str">
            <v>물질을 용량비율 0.3% 이상 함유한 제제</v>
          </cell>
          <cell r="E776">
            <v>0.3</v>
          </cell>
        </row>
        <row r="777">
          <cell r="B777" t="str">
            <v>87903-39-7</v>
          </cell>
          <cell r="C777" t="str">
            <v>Lead hydroxysalicylate</v>
          </cell>
          <cell r="D777" t="str">
            <v>물질을 용량비율 0.3% 이상 함유한 제제</v>
          </cell>
          <cell r="E777">
            <v>0.3</v>
          </cell>
        </row>
        <row r="778">
          <cell r="B778" t="str">
            <v>90193-83-2</v>
          </cell>
          <cell r="C778" t="str">
            <v>1,2-Benzenedicarboxylic acid, lead(2+) salt, basic</v>
          </cell>
          <cell r="D778" t="str">
            <v>물질을 용량비율 0.3% 이상 함유한 제제</v>
          </cell>
          <cell r="E778">
            <v>0.3</v>
          </cell>
        </row>
        <row r="779">
          <cell r="B779" t="str">
            <v>90268-59-0</v>
          </cell>
          <cell r="C779" t="str">
            <v>2-Butenoic acid, lead salt, basic</v>
          </cell>
          <cell r="D779" t="str">
            <v>물질을 용량비율 0.3% 이상 함유한 제제</v>
          </cell>
          <cell r="E779">
            <v>0.3</v>
          </cell>
        </row>
        <row r="780">
          <cell r="B780" t="str">
            <v>90268-66-9</v>
          </cell>
          <cell r="C780" t="str">
            <v>2-Butenedioic acid (Z)-, lead(2+) salt, basic</v>
          </cell>
          <cell r="D780" t="str">
            <v>물질을 용량비율 0.3% 이상 함유한 제제</v>
          </cell>
          <cell r="E780">
            <v>0.3</v>
          </cell>
        </row>
        <row r="781">
          <cell r="B781" t="str">
            <v>90342-24-8</v>
          </cell>
          <cell r="C781" t="str">
            <v>Decanoic acid, branched, lead salts</v>
          </cell>
          <cell r="D781" t="str">
            <v>물질을 용량비율 0.3% 이상 함유한 제제</v>
          </cell>
          <cell r="E781">
            <v>0.3</v>
          </cell>
        </row>
        <row r="782">
          <cell r="B782" t="str">
            <v>90342-56-6</v>
          </cell>
          <cell r="C782" t="str">
            <v>Dodecanoic acid, lead salt, basic</v>
          </cell>
          <cell r="D782" t="str">
            <v>물질을 용량비율 0.3% 이상 함유한 제제</v>
          </cell>
          <cell r="E782">
            <v>0.3</v>
          </cell>
        </row>
        <row r="783">
          <cell r="B783" t="str">
            <v>90388-09-3</v>
          </cell>
          <cell r="C783" t="str">
            <v>Hexadecanoic acid, lead salt, basic</v>
          </cell>
          <cell r="D783" t="str">
            <v>물질을 용량비율 0.3% 이상 함유한 제제</v>
          </cell>
          <cell r="E783">
            <v>0.3</v>
          </cell>
        </row>
        <row r="784">
          <cell r="B784" t="str">
            <v>90388-10-6</v>
          </cell>
          <cell r="C784" t="str">
            <v>Hexadecanoic acid, lead(2+) salt, basic</v>
          </cell>
          <cell r="D784" t="str">
            <v>물질을 용량비율 0.3% 이상 함유한 제제</v>
          </cell>
          <cell r="E784">
            <v>0.3</v>
          </cell>
        </row>
        <row r="785">
          <cell r="B785" t="str">
            <v>90388-15-1</v>
          </cell>
          <cell r="C785" t="str">
            <v>9-Hexadecenoic acid, lead(2+) salt, (Z)-, basic</v>
          </cell>
          <cell r="D785" t="str">
            <v>물질을 용량비율 0.3% 이상 함유한 제제</v>
          </cell>
          <cell r="E785">
            <v>0.3</v>
          </cell>
        </row>
        <row r="786">
          <cell r="B786" t="str">
            <v>90431-14-4</v>
          </cell>
          <cell r="C786" t="str">
            <v>Isodecanoic acid, lead salt, basic</v>
          </cell>
          <cell r="D786" t="str">
            <v>물질을 용량비율 0.3% 이상 함유한 제제</v>
          </cell>
          <cell r="E786">
            <v>0.3</v>
          </cell>
        </row>
        <row r="787">
          <cell r="B787" t="str">
            <v>90431-21-3</v>
          </cell>
          <cell r="C787" t="str">
            <v>Isononanoic acid, lead salt, basic</v>
          </cell>
          <cell r="D787" t="str">
            <v>물질을 용량비율 0.3% 이상 함유한 제제</v>
          </cell>
          <cell r="E787">
            <v>0.3</v>
          </cell>
        </row>
        <row r="788">
          <cell r="B788" t="str">
            <v>90431-26-8</v>
          </cell>
          <cell r="C788" t="str">
            <v>Isooctanoic acid, lead salt, basic</v>
          </cell>
          <cell r="D788" t="str">
            <v>물질을 용량비율 0.3% 이상 함유한 제제</v>
          </cell>
          <cell r="E788">
            <v>0.3</v>
          </cell>
        </row>
        <row r="789">
          <cell r="B789" t="str">
            <v>90431-27-9</v>
          </cell>
          <cell r="C789" t="str">
            <v>Lead, C8-10-branched fatty acids C9-11-neofatty acids naphthenate complexes, overbased</v>
          </cell>
          <cell r="D789" t="str">
            <v>물질을 용량비율 0.3% 이상 함유한 제제</v>
          </cell>
          <cell r="E789">
            <v>0.3</v>
          </cell>
        </row>
        <row r="790">
          <cell r="B790" t="str">
            <v>90431-28-0</v>
          </cell>
          <cell r="C790" t="str">
            <v>Lead, C8-10-branched fatty acids C9-11-neofatty acids naphthenate complexes</v>
          </cell>
          <cell r="D790" t="str">
            <v>물질을 용량비율 0.3% 이상 함유한 제제</v>
          </cell>
          <cell r="E790">
            <v>0.3</v>
          </cell>
        </row>
        <row r="791">
          <cell r="B791" t="str">
            <v>90431-30-4</v>
          </cell>
          <cell r="C791" t="str">
            <v>Lead, 2-ethylhexanoate isodecanoate complexes, basic</v>
          </cell>
          <cell r="D791" t="str">
            <v>물질을 용량비율 0.3% 이상 함유한 제제</v>
          </cell>
          <cell r="E791">
            <v>0.3</v>
          </cell>
        </row>
        <row r="792">
          <cell r="B792" t="str">
            <v>90431-31-5</v>
          </cell>
          <cell r="C792" t="str">
            <v>Lead, 2-ethylhexanoate isononanoate complexes, basic</v>
          </cell>
          <cell r="D792" t="str">
            <v>물질을 용량비율 0.3% 이상 함유한 제제</v>
          </cell>
          <cell r="E792">
            <v>0.3</v>
          </cell>
        </row>
        <row r="793">
          <cell r="B793" t="str">
            <v>90431-32-6</v>
          </cell>
          <cell r="C793" t="str">
            <v>Lead, 2-ethylhexanoate isooctanoate complexes, basic</v>
          </cell>
          <cell r="D793" t="str">
            <v>물질을 용량비율 0.3% 이상 함유한 제제</v>
          </cell>
          <cell r="E793">
            <v>0.3</v>
          </cell>
        </row>
        <row r="794">
          <cell r="B794" t="str">
            <v>90431-33-7</v>
          </cell>
          <cell r="C794" t="str">
            <v>Lead, 2-ethylhexanoate naphthenate complexes</v>
          </cell>
          <cell r="D794" t="str">
            <v>물질을 용량비율 0.3% 이상 함유한 제제</v>
          </cell>
          <cell r="E794">
            <v>0.3</v>
          </cell>
        </row>
        <row r="795">
          <cell r="B795" t="str">
            <v>90431-34-8</v>
          </cell>
          <cell r="C795" t="str">
            <v>Lead, 2-ethylhexanoate naphthenate complexes, basic</v>
          </cell>
          <cell r="D795" t="str">
            <v>물질을 용량비율 0.3% 이상 함유한 제제</v>
          </cell>
          <cell r="E795">
            <v>0.3</v>
          </cell>
        </row>
        <row r="796">
          <cell r="B796" t="str">
            <v>90431-35-9</v>
          </cell>
          <cell r="C796" t="str">
            <v>Lead, 2-ethylhexanoate neodecanoate complexes, basic</v>
          </cell>
          <cell r="D796" t="str">
            <v>물질을 용량비율 0.3% 이상 함유한 제제</v>
          </cell>
          <cell r="E796">
            <v>0.3</v>
          </cell>
        </row>
        <row r="797">
          <cell r="B797" t="str">
            <v>90431-36-0</v>
          </cell>
          <cell r="C797" t="str">
            <v>Lead, isodecanoate isononanoate complexes, basic</v>
          </cell>
          <cell r="D797" t="str">
            <v>물질을 용량비율 0.3% 이상 함유한 제제</v>
          </cell>
          <cell r="E797">
            <v>0.3</v>
          </cell>
        </row>
        <row r="798">
          <cell r="B798" t="str">
            <v>90431-37-1</v>
          </cell>
          <cell r="C798" t="str">
            <v>Lead, isodecanoate isooctanoate complexes, basic</v>
          </cell>
          <cell r="D798" t="str">
            <v>물질을 용량비율 0.3% 이상 함유한 제제</v>
          </cell>
          <cell r="E798">
            <v>0.3</v>
          </cell>
        </row>
        <row r="799">
          <cell r="B799" t="str">
            <v>90431-38-2</v>
          </cell>
          <cell r="C799" t="str">
            <v>Lead, isodecanoate naphthenate complexes</v>
          </cell>
          <cell r="D799" t="str">
            <v>물질을 용량비율 0.3% 이상 함유한 제제</v>
          </cell>
          <cell r="E799">
            <v>0.3</v>
          </cell>
        </row>
        <row r="800">
          <cell r="B800" t="str">
            <v>90431-39-3</v>
          </cell>
          <cell r="C800" t="str">
            <v>Lead, isodecanoate neodecanoate complexes, basic</v>
          </cell>
          <cell r="D800" t="str">
            <v>물질을 용량비율 0.3% 이상 함유한 제제</v>
          </cell>
          <cell r="E800">
            <v>0.3</v>
          </cell>
        </row>
        <row r="801">
          <cell r="B801" t="str">
            <v>90431-40-6</v>
          </cell>
          <cell r="C801" t="str">
            <v>Lead, isononanoate naphthenate complexes, basic</v>
          </cell>
          <cell r="D801" t="str">
            <v>물질을 용량비율 0.3% 이상 함유한 제제</v>
          </cell>
          <cell r="E801">
            <v>0.3</v>
          </cell>
        </row>
        <row r="802">
          <cell r="B802" t="str">
            <v>90431-41-7</v>
          </cell>
          <cell r="C802" t="str">
            <v>Lead, isononanoate neodecanoate complexes, basic</v>
          </cell>
          <cell r="D802" t="str">
            <v>물질을 용량비율 0.3% 이상 함유한 제제</v>
          </cell>
          <cell r="E802">
            <v>0.3</v>
          </cell>
        </row>
        <row r="803">
          <cell r="B803" t="str">
            <v>90431-42-8</v>
          </cell>
          <cell r="C803" t="str">
            <v>Lead, isooctanoate naphthenate complexes, basic</v>
          </cell>
          <cell r="D803" t="str">
            <v>물질을 용량비율 0.3% 이상 함유한 제제</v>
          </cell>
          <cell r="E803">
            <v>0.3</v>
          </cell>
        </row>
        <row r="804">
          <cell r="B804" t="str">
            <v>90431-43-9</v>
          </cell>
          <cell r="C804" t="str">
            <v>Lead, naphthenate neodecanoate complexes</v>
          </cell>
          <cell r="D804" t="str">
            <v>물질을 용량비율 0.3% 이상 함유한 제제</v>
          </cell>
          <cell r="E804">
            <v>0.3</v>
          </cell>
        </row>
        <row r="805">
          <cell r="B805" t="str">
            <v>90431-44-0</v>
          </cell>
          <cell r="C805" t="str">
            <v>Lead, neononanoate neoundecanoate complexes, basic</v>
          </cell>
          <cell r="D805" t="str">
            <v>물질을 용량비율 0.3% 이상 함유한 제제</v>
          </cell>
          <cell r="E805">
            <v>0.3</v>
          </cell>
        </row>
        <row r="806">
          <cell r="B806" t="str">
            <v>90459-25-9</v>
          </cell>
          <cell r="C806" t="str">
            <v>Neodecanoic acid, lead salt, basic</v>
          </cell>
          <cell r="D806" t="str">
            <v>물질을 용량비율 0.3% 이상 함유한 제제</v>
          </cell>
          <cell r="E806">
            <v>0.3</v>
          </cell>
        </row>
        <row r="807">
          <cell r="B807" t="str">
            <v>90459-26-0</v>
          </cell>
          <cell r="C807" t="str">
            <v>Neononanoic acid, lead salt, basic</v>
          </cell>
          <cell r="D807" t="str">
            <v>물질을 용량비율 0.3% 이상 함유한 제제</v>
          </cell>
          <cell r="E807">
            <v>0.3</v>
          </cell>
        </row>
        <row r="808">
          <cell r="B808" t="str">
            <v>90459-28-2</v>
          </cell>
          <cell r="C808" t="str">
            <v>Neoundecanoic acid, lead salt, basic</v>
          </cell>
          <cell r="D808" t="str">
            <v>물질을 용량비율 0.3% 이상 함유한 제제</v>
          </cell>
          <cell r="E808">
            <v>0.3</v>
          </cell>
        </row>
        <row r="809">
          <cell r="B809" t="str">
            <v>90459-30-6</v>
          </cell>
          <cell r="C809" t="str">
            <v>Nickel, acetate carbonate C8-10-branched fatty acids C9-11-neofatty acids complexes</v>
          </cell>
          <cell r="D809" t="str">
            <v>단 불용성화합물을 0.1% 이상 함유한 제제</v>
          </cell>
          <cell r="E809">
            <v>0.1</v>
          </cell>
        </row>
        <row r="810">
          <cell r="B810" t="str">
            <v>90459-31-7</v>
          </cell>
          <cell r="C810" t="str">
            <v>Nickel, borate C8-10-branched carboxylate complexes</v>
          </cell>
          <cell r="D810" t="str">
            <v>단 불용성화합물을 0.1% 이상 함유한 제제</v>
          </cell>
          <cell r="E810">
            <v>0.1</v>
          </cell>
        </row>
        <row r="811">
          <cell r="B811" t="str">
            <v>90459-32-8</v>
          </cell>
          <cell r="C811" t="str">
            <v>Nickel, C5-C23-branched carboxylate octanoate complexes</v>
          </cell>
          <cell r="D811" t="str">
            <v>단 불용성화합물을 0.1% 이상 함유한 제제</v>
          </cell>
          <cell r="E811">
            <v>0.1</v>
          </cell>
        </row>
        <row r="812">
          <cell r="B812" t="str">
            <v>90459-33-9</v>
          </cell>
          <cell r="C812" t="str">
            <v>Nickel, isooctanoate naphthenate complexes</v>
          </cell>
          <cell r="D812" t="str">
            <v>단 불용성화합물을 0.1% 이상 함유한 제제</v>
          </cell>
          <cell r="E812">
            <v>0.1</v>
          </cell>
        </row>
        <row r="813">
          <cell r="B813" t="str">
            <v>90459-34-0</v>
          </cell>
          <cell r="C813" t="str">
            <v>Nickel, acetylacetone 6-methyl-2,4-heptanedione complexes</v>
          </cell>
          <cell r="D813" t="str">
            <v>단 불용성화합물을 0.1% 이상 함유한 제제</v>
          </cell>
          <cell r="E813">
            <v>0.1</v>
          </cell>
        </row>
        <row r="814">
          <cell r="B814" t="str">
            <v>90459-35-1</v>
          </cell>
          <cell r="C814" t="str">
            <v>Nickel, [29H,31H-phthalocyaninato(2-)-N29,N30,N31,N32]-, [[3-[(5-chloro-2,6-difluoro-4-pyrimidinyl)amino]phenyl]amino]sulfonyl s</v>
          </cell>
          <cell r="D814" t="str">
            <v>단 불용성화합물을 0.1% 이상 함유한 제제</v>
          </cell>
          <cell r="E814">
            <v>0.1</v>
          </cell>
        </row>
        <row r="815">
          <cell r="B815" t="str">
            <v>90459-36-2</v>
          </cell>
          <cell r="C815" t="str">
            <v>Nickelate(4-), [bis[[[3-[[4,5-dihydro-3-methyl-5-oxo-1-[4-[[2-(sulfooxy)ethyl]sulfonyl]phenyl]-1H-pyrazol-4-yl]azo]phenyl]amino]</v>
          </cell>
          <cell r="D815" t="str">
            <v>단 불용성화합물을 0.1% 이상 함유한 제제</v>
          </cell>
          <cell r="E815">
            <v>0.1</v>
          </cell>
        </row>
        <row r="816">
          <cell r="B816" t="str">
            <v>90459-51-1</v>
          </cell>
          <cell r="C816" t="str">
            <v>Octadecanoic acid, lead salt, basic</v>
          </cell>
          <cell r="D816" t="str">
            <v>물질을 용량비율 0.3% 이상 함유한 제제</v>
          </cell>
          <cell r="E816">
            <v>0.3</v>
          </cell>
        </row>
        <row r="817">
          <cell r="B817" t="str">
            <v>90459-52-2</v>
          </cell>
          <cell r="C817" t="str">
            <v>Octadecanoic acid, lead(2+) salt, basic</v>
          </cell>
          <cell r="D817" t="str">
            <v>물질을 용량비율 0.3% 이상 함유한 제제</v>
          </cell>
          <cell r="E817">
            <v>0.3</v>
          </cell>
        </row>
        <row r="818">
          <cell r="B818" t="str">
            <v>90459-88-4</v>
          </cell>
          <cell r="C818" t="str">
            <v>9-Octadecenoic acid (Z)-, lead salt, basic</v>
          </cell>
          <cell r="D818" t="str">
            <v>물질을 용량비율 0.3% 이상 함유한 제제</v>
          </cell>
          <cell r="E818">
            <v>0.3</v>
          </cell>
        </row>
        <row r="819">
          <cell r="B819" t="str">
            <v>90552-19-5</v>
          </cell>
          <cell r="C819" t="str">
            <v>2-Propenoic acid, 2-methyl-, lead salt, basic</v>
          </cell>
          <cell r="D819" t="str">
            <v>물질을 용량비율 0.3% 이상 함유한 제제</v>
          </cell>
          <cell r="E819">
            <v>0.3</v>
          </cell>
        </row>
        <row r="820">
          <cell r="B820" t="str">
            <v>90583-07-6</v>
          </cell>
          <cell r="C820" t="str">
            <v>Sulfuric acid, lead(2+) salt, basic</v>
          </cell>
          <cell r="D820" t="str">
            <v>물질을 용량비율 0.3% 이상 함유한 제제</v>
          </cell>
          <cell r="E820">
            <v>0.3</v>
          </cell>
        </row>
        <row r="821">
          <cell r="B821" t="str">
            <v>90583-37-2</v>
          </cell>
          <cell r="C821" t="str">
            <v>Sulfurous acid, lead(2+) salt, basic</v>
          </cell>
          <cell r="D821" t="str">
            <v>물질을 용량비율 0.3% 이상 함유한 제제</v>
          </cell>
          <cell r="E821">
            <v>0.3</v>
          </cell>
        </row>
        <row r="822">
          <cell r="B822" t="str">
            <v>90583-65-6</v>
          </cell>
          <cell r="C822" t="str">
            <v>Tetradecanoic acid, lead salt, basic</v>
          </cell>
          <cell r="D822" t="str">
            <v>물질을 용량비율 0.3% 이상 함유한 제제</v>
          </cell>
          <cell r="E822">
            <v>0.3</v>
          </cell>
        </row>
        <row r="823">
          <cell r="B823" t="str">
            <v>91002-20-9</v>
          </cell>
          <cell r="C823" t="str">
            <v>Fatty acids, C6- 19-branched, lead salts</v>
          </cell>
          <cell r="D823" t="str">
            <v>물질을 용량비율 0.3% 이상 함유한 제제</v>
          </cell>
          <cell r="E823">
            <v>0.3</v>
          </cell>
        </row>
        <row r="824">
          <cell r="B824" t="str">
            <v>91031-60-6</v>
          </cell>
          <cell r="C824" t="str">
            <v>Fatty acids, C8-9, lead salts</v>
          </cell>
          <cell r="D824" t="str">
            <v>물질을 용량비율 0.3% 이상 함유한 제제</v>
          </cell>
          <cell r="E824">
            <v>0.3</v>
          </cell>
        </row>
        <row r="825">
          <cell r="B825" t="str">
            <v>91031-61-7</v>
          </cell>
          <cell r="C825" t="str">
            <v>Fatty acids, C8-10, lead salts</v>
          </cell>
          <cell r="D825" t="str">
            <v>물질을 용량비율 0.3% 이상 함유한 제제</v>
          </cell>
          <cell r="E825">
            <v>0.3</v>
          </cell>
        </row>
        <row r="826">
          <cell r="B826" t="str">
            <v>91031-62-8</v>
          </cell>
          <cell r="C826" t="str">
            <v>Fatty acids, C16-18, lead salts</v>
          </cell>
          <cell r="D826" t="str">
            <v>물질을 용량비율 0.3% 이상 함유한 제제</v>
          </cell>
          <cell r="E826">
            <v>0.3</v>
          </cell>
        </row>
        <row r="827">
          <cell r="B827" t="str">
            <v>91078-81-8</v>
          </cell>
          <cell r="C827" t="str">
            <v>Naphthenic acids, lead (2+) salts</v>
          </cell>
          <cell r="D827" t="str">
            <v>물질을 용량비율 0.3% 이상 함유한 제제</v>
          </cell>
          <cell r="E827">
            <v>0.3</v>
          </cell>
        </row>
        <row r="828">
          <cell r="B828" t="str">
            <v>91671-82-8</v>
          </cell>
          <cell r="C828" t="str">
            <v>Isodecanoic acid, lead(2+) salt, basic</v>
          </cell>
          <cell r="D828" t="str">
            <v>물질을 용량비율 0.3% 이상 함유한 제제</v>
          </cell>
          <cell r="E828">
            <v>0.3</v>
          </cell>
        </row>
        <row r="829">
          <cell r="B829" t="str">
            <v>91671-83-9</v>
          </cell>
          <cell r="C829" t="str">
            <v>Isooctanoic acid, lead(2+) salt, basic</v>
          </cell>
          <cell r="D829" t="str">
            <v>물질을 용량비율 0.3% 이상 함유한 제제</v>
          </cell>
          <cell r="E829">
            <v>0.3</v>
          </cell>
        </row>
        <row r="830">
          <cell r="B830" t="str">
            <v>91671-84-0</v>
          </cell>
          <cell r="C830" t="str">
            <v>Isoundecanoic acid, lead(2+) salt, basic</v>
          </cell>
          <cell r="D830" t="str">
            <v>물질을 용량비율 0.3% 이상 함유한 제제</v>
          </cell>
          <cell r="E830">
            <v>0.3</v>
          </cell>
        </row>
        <row r="831">
          <cell r="B831" t="str">
            <v>91697-36-8</v>
          </cell>
          <cell r="C831" t="str">
            <v>Fatty acids, castor-oil, hydrogenated, lead salts</v>
          </cell>
          <cell r="D831" t="str">
            <v>물질을 용량비율 0.3% 이상 함유한 제제</v>
          </cell>
          <cell r="E831">
            <v>0.3</v>
          </cell>
        </row>
        <row r="832">
          <cell r="B832" t="str">
            <v>91697-41-5</v>
          </cell>
          <cell r="C832" t="str">
            <v>Fatty acids, C6-19-branched, nickel salts</v>
          </cell>
          <cell r="D832" t="str">
            <v>단 불용성화합물을 0.1% 이상 함유한 제제</v>
          </cell>
          <cell r="E832">
            <v>0.1</v>
          </cell>
        </row>
        <row r="833">
          <cell r="B833" t="str">
            <v>91783-10-7</v>
          </cell>
          <cell r="C833" t="str">
            <v>Phosphorodithioic acid, mixed O,O-bis(bu and pentyl) esters, lead(2+) salt</v>
          </cell>
          <cell r="D833" t="str">
            <v>물질을 용량비율 0.3% 이상 함유한 제제</v>
          </cell>
          <cell r="E833">
            <v>0.3</v>
          </cell>
        </row>
        <row r="834">
          <cell r="B834" t="str">
            <v>92044-89-8</v>
          </cell>
          <cell r="C834" t="str">
            <v>Fatty acids, coco, lead salts</v>
          </cell>
          <cell r="D834" t="str">
            <v>물질을 용량비율 0.3% 이상 함유한 제제</v>
          </cell>
          <cell r="E834">
            <v>0.3</v>
          </cell>
        </row>
        <row r="835">
          <cell r="B835" t="str">
            <v>92045-67-5</v>
          </cell>
          <cell r="C835" t="str">
            <v>Naphthenic acids, lead salts, basic</v>
          </cell>
          <cell r="D835" t="str">
            <v>물질을 용량비율 0.3% 이상 함유한 제제</v>
          </cell>
          <cell r="E835">
            <v>0.3</v>
          </cell>
        </row>
        <row r="836">
          <cell r="B836" t="str">
            <v>92200-92-5</v>
          </cell>
          <cell r="C836" t="str">
            <v>Lead, C4-10-fatty acid octanoate complexes</v>
          </cell>
          <cell r="D836" t="str">
            <v>물질을 용량비율 0.3% 이상 함유한 제제</v>
          </cell>
          <cell r="E836">
            <v>0.3</v>
          </cell>
        </row>
        <row r="837">
          <cell r="B837" t="str">
            <v>92200-98-1</v>
          </cell>
          <cell r="C837" t="str">
            <v>Nickel, C5-23-branched carboxylate naphthenate complexes</v>
          </cell>
          <cell r="D837" t="str">
            <v>단 불용성화합물을 0.1% 이상 함유한 제제</v>
          </cell>
          <cell r="E837">
            <v>0.1</v>
          </cell>
        </row>
        <row r="838">
          <cell r="B838" t="str">
            <v>92200-99-2</v>
          </cell>
          <cell r="C838" t="str">
            <v>Nickel, C5-25-branched carboxylate naphthenate octanoate complexes</v>
          </cell>
          <cell r="D838" t="str">
            <v>단 불용성화합물을 0.1% 이상 함유한 제제</v>
          </cell>
          <cell r="E838">
            <v>0.1</v>
          </cell>
        </row>
        <row r="839">
          <cell r="B839" t="str">
            <v>92502-55-1</v>
          </cell>
          <cell r="C839" t="str">
            <v>Nickel, borate neodecanoate complexes</v>
          </cell>
          <cell r="D839" t="str">
            <v>단 불용성화합물을 0.1% 이상 함유한 제제</v>
          </cell>
          <cell r="E839">
            <v>0.1</v>
          </cell>
        </row>
        <row r="840">
          <cell r="B840" t="str">
            <v>93165-26-5</v>
          </cell>
          <cell r="C840" t="str">
            <v>Fatty acids, C14-26, lead salts</v>
          </cell>
          <cell r="D840" t="str">
            <v>물질을 용량비율 0.3% 이상 함유한 제제</v>
          </cell>
          <cell r="E840">
            <v>0.3</v>
          </cell>
        </row>
        <row r="841">
          <cell r="B841" t="str">
            <v>93573-14-9</v>
          </cell>
          <cell r="C841" t="str">
            <v>Nickel, C5-23-branched carboxylate C4-10-fatty acids naphthenate complexes</v>
          </cell>
          <cell r="D841" t="str">
            <v>단 불용성화합물을 0.1% 이상 함유한 제제</v>
          </cell>
          <cell r="E841">
            <v>0.1</v>
          </cell>
        </row>
        <row r="842">
          <cell r="B842" t="str">
            <v>93573-15-0</v>
          </cell>
          <cell r="C842" t="str">
            <v>Nickel, C4-10 fatty acids naphthenate complexes</v>
          </cell>
          <cell r="D842" t="str">
            <v>단 불용성화합물을 0.1% 이상 함유한 제제</v>
          </cell>
          <cell r="E842">
            <v>0.1</v>
          </cell>
        </row>
        <row r="843">
          <cell r="B843" t="str">
            <v>93573-16-1</v>
          </cell>
          <cell r="C843" t="str">
            <v>Nickel, C4-10 fatty acids octanoate complexes</v>
          </cell>
          <cell r="D843" t="str">
            <v>단 불용성화합물을 0.1% 이상 함유한 제제</v>
          </cell>
          <cell r="E843">
            <v>0.1</v>
          </cell>
        </row>
        <row r="844">
          <cell r="B844" t="str">
            <v>93573-17-2</v>
          </cell>
          <cell r="C844" t="str">
            <v>Nickel, [29H,31H-phthalocyaninato(2-)-N29,N30,N31,N32]-, chlorosulfonyl derivitives, reaction products with 2-[(4-aminophenyl)su</v>
          </cell>
          <cell r="D844" t="str">
            <v>단 불용성화합물을 0.1% 이상 함유한 제제</v>
          </cell>
          <cell r="E844">
            <v>0.1</v>
          </cell>
        </row>
        <row r="845">
          <cell r="B845" t="str">
            <v>93762-59-5</v>
          </cell>
          <cell r="C845" t="str">
            <v>Nickel, C5-23-branched carboxylate C4-10 fatty acids complexes</v>
          </cell>
          <cell r="D845" t="str">
            <v>단 불용성화합물을 0.1% 이상 함유한 제제</v>
          </cell>
          <cell r="E845">
            <v>0.1</v>
          </cell>
        </row>
        <row r="846">
          <cell r="B846" t="str">
            <v>93820-02-1</v>
          </cell>
          <cell r="C846" t="str">
            <v>Carbonic acid, cadmium salt</v>
          </cell>
          <cell r="D846" t="str">
            <v>물질을 용량비율 0.1% 이상 함유한 제제</v>
          </cell>
          <cell r="E846">
            <v>0.1</v>
          </cell>
        </row>
        <row r="847">
          <cell r="B847" t="str">
            <v>93821-72-8</v>
          </cell>
          <cell r="C847" t="str">
            <v>Speiss, lead-zinc</v>
          </cell>
          <cell r="D847" t="str">
            <v>물질을 용량비율 0.3% 이상 함유한 제제</v>
          </cell>
          <cell r="E847">
            <v>0.3</v>
          </cell>
        </row>
        <row r="848">
          <cell r="B848" t="str">
            <v>93839-98-6</v>
          </cell>
          <cell r="C848" t="str">
            <v>Lead 3-(acetamido)phthalate</v>
          </cell>
          <cell r="D848" t="str">
            <v>물질을 용량비율 0.3% 이상 함유한 제제</v>
          </cell>
          <cell r="E848">
            <v>0.3</v>
          </cell>
        </row>
        <row r="849">
          <cell r="B849" t="str">
            <v>93840-04-1</v>
          </cell>
          <cell r="C849" t="str">
            <v>Lead bis(2-ethylhexanolate)</v>
          </cell>
          <cell r="D849" t="str">
            <v>물질을 용량비율 0.3% 이상 함유한 제제</v>
          </cell>
          <cell r="E849">
            <v>0.3</v>
          </cell>
        </row>
        <row r="850">
          <cell r="B850" t="str">
            <v>93858-23-2</v>
          </cell>
          <cell r="C850" t="str">
            <v>Lead(2+) 4,4'-isopropylidenebisphenolate</v>
          </cell>
          <cell r="D850" t="str">
            <v>물질을 용량비율 0.3% 이상 함유한 제제</v>
          </cell>
          <cell r="E850">
            <v>0.3</v>
          </cell>
        </row>
        <row r="851">
          <cell r="B851" t="str">
            <v>93858-24-3</v>
          </cell>
          <cell r="C851" t="str">
            <v>Lead(2+) (Z)-hexadec-9-enoate</v>
          </cell>
          <cell r="D851" t="str">
            <v>물질을 용량비율 0.3% 이상 함유한 제제</v>
          </cell>
          <cell r="E851">
            <v>0.3</v>
          </cell>
        </row>
        <row r="852">
          <cell r="B852" t="str">
            <v>93891-86-2</v>
          </cell>
          <cell r="C852" t="str">
            <v>Nickelate(6-), [4-[[5-[[(3,6-dichloro-4-pyridazinyl)carbonyl]amino]-2-sulfophenyl]azo]-4,5-dihydro-5-oxo-1-[2-sulfo-5-[[(trisulf</v>
          </cell>
          <cell r="D852" t="str">
            <v>단 불용성화합물을 0.1% 이상 함유한 제제</v>
          </cell>
          <cell r="E852">
            <v>0.1</v>
          </cell>
        </row>
        <row r="853">
          <cell r="B853" t="str">
            <v>93892-65-0</v>
          </cell>
          <cell r="C853" t="str">
            <v>Carbamodithioic acid, ethylphenyl-, lead(2+) salt</v>
          </cell>
          <cell r="D853" t="str">
            <v>물질을 용량비율 0.3% 이상 함유한 제제</v>
          </cell>
          <cell r="E853">
            <v>0.3</v>
          </cell>
        </row>
        <row r="854">
          <cell r="B854" t="str">
            <v>93894-48-5</v>
          </cell>
          <cell r="C854" t="str">
            <v>Lead(2+) neononanoate</v>
          </cell>
          <cell r="D854" t="str">
            <v>물질을 용량비율 0.3% 이상 함유한 제제</v>
          </cell>
          <cell r="E854">
            <v>0.3</v>
          </cell>
        </row>
        <row r="855">
          <cell r="B855" t="str">
            <v>93894-49-6</v>
          </cell>
          <cell r="C855" t="str">
            <v>Lead(2+) neoundecanoate</v>
          </cell>
          <cell r="D855" t="str">
            <v>물질을 용량비율 0.3% 이상 함유한 제제</v>
          </cell>
          <cell r="E855">
            <v>0.3</v>
          </cell>
        </row>
        <row r="856">
          <cell r="B856" t="str">
            <v>93894-64-5</v>
          </cell>
          <cell r="C856" t="str">
            <v>(Neononanoato-O)(neoundecanoato-O)lead</v>
          </cell>
          <cell r="D856" t="str">
            <v>물질을 용량비율 0.3% 이상 함유한 제제</v>
          </cell>
          <cell r="E856">
            <v>0.3</v>
          </cell>
        </row>
        <row r="857">
          <cell r="B857" t="str">
            <v>93920-08-2</v>
          </cell>
          <cell r="C857" t="str">
            <v>(Neononanoato-O)(neoundecanoato-O)nickel</v>
          </cell>
          <cell r="D857" t="str">
            <v>단 불용성화합물을 0.1% 이상 함유한 제제</v>
          </cell>
          <cell r="E857">
            <v>0.1</v>
          </cell>
        </row>
        <row r="858">
          <cell r="B858" t="str">
            <v>93920-09-3</v>
          </cell>
          <cell r="C858" t="str">
            <v>Nickel(2+) neoundecanoate</v>
          </cell>
          <cell r="D858" t="str">
            <v>단 불용성화합물을 0.1% 이상 함유한 제제</v>
          </cell>
          <cell r="E858">
            <v>0.1</v>
          </cell>
        </row>
        <row r="859">
          <cell r="B859" t="str">
            <v>93920-10-6</v>
          </cell>
          <cell r="C859" t="str">
            <v>Nickel(2+) neononanoate</v>
          </cell>
          <cell r="D859" t="str">
            <v>단 불용성화합물을 0.1% 이상 함유한 제제</v>
          </cell>
          <cell r="E859">
            <v>0.1</v>
          </cell>
        </row>
        <row r="860">
          <cell r="B860" t="str">
            <v>93925-27-0</v>
          </cell>
          <cell r="C860" t="str">
            <v>Phosphoric acid, mixed butyl and hexyl diesters, lead(2+) salts</v>
          </cell>
          <cell r="D860" t="str">
            <v>물질을 용량비율 0.3% 이상 함유한 제제</v>
          </cell>
          <cell r="E860">
            <v>0.3</v>
          </cell>
        </row>
        <row r="861">
          <cell r="B861" t="str">
            <v>93939-76-5</v>
          </cell>
          <cell r="C861" t="str">
            <v>Tetrasodium [[[(3-amino-4-sulphophenyl)amino]sulphonyl]-29H,31H-phthalocyaninetrisulphonato(6-)-N29,N30,N31,N32]nickelate(4-)</v>
          </cell>
          <cell r="D861" t="str">
            <v>단 불용성화합물을 0.1% 이상 함유한 제제</v>
          </cell>
          <cell r="E861">
            <v>0.1</v>
          </cell>
        </row>
        <row r="862">
          <cell r="B862" t="str">
            <v>93965-29-8</v>
          </cell>
          <cell r="C862" t="str">
            <v>Lead bis(isoundecanoate)</v>
          </cell>
          <cell r="D862" t="str">
            <v>물질을 용량비율 0.3% 이상 함유한 제제</v>
          </cell>
          <cell r="E862">
            <v>0.3</v>
          </cell>
        </row>
        <row r="863">
          <cell r="B863" t="str">
            <v>93966-37-1</v>
          </cell>
          <cell r="C863" t="str">
            <v>Lead bis(tricosanoate)</v>
          </cell>
          <cell r="D863" t="str">
            <v>물질을 용량비율 0.3% 이상 함유한 제제</v>
          </cell>
          <cell r="E863">
            <v>0.3</v>
          </cell>
        </row>
        <row r="864">
          <cell r="B864" t="str">
            <v>93966-38-2</v>
          </cell>
          <cell r="C864" t="str">
            <v>Lead tetracosanoate</v>
          </cell>
          <cell r="D864" t="str">
            <v>물질을 용량비율 0.3% 이상 함유한 제제</v>
          </cell>
          <cell r="E864">
            <v>0.3</v>
          </cell>
        </row>
        <row r="865">
          <cell r="B865" t="str">
            <v>93966-74-6</v>
          </cell>
          <cell r="C865" t="str">
            <v>Lead pentadecanoate</v>
          </cell>
          <cell r="D865" t="str">
            <v>물질을 용량비율 0.3% 이상 함유한 제제</v>
          </cell>
          <cell r="E865">
            <v>0.3</v>
          </cell>
        </row>
        <row r="866">
          <cell r="B866" t="str">
            <v>93981-67-0</v>
          </cell>
          <cell r="C866" t="str">
            <v>Lead(II) isooctanoate</v>
          </cell>
          <cell r="D866" t="str">
            <v>물질을 용량비율 0.3% 이상 함유한 제제</v>
          </cell>
          <cell r="E866">
            <v>0.3</v>
          </cell>
        </row>
        <row r="867">
          <cell r="B867" t="str">
            <v>93983-68-7</v>
          </cell>
          <cell r="C867" t="str">
            <v>Dimethylhexanoic acid, nickel salt</v>
          </cell>
          <cell r="D867" t="str">
            <v>단 불용성화합물을 0.1% 이상 함유한 제제</v>
          </cell>
          <cell r="E867">
            <v>0.1</v>
          </cell>
        </row>
        <row r="868">
          <cell r="B868" t="str">
            <v>94006-20-9</v>
          </cell>
          <cell r="C868" t="str">
            <v>Hexacosanoic acid, lead salt</v>
          </cell>
          <cell r="D868" t="str">
            <v>물질을 용량비율 0.3% 이상 함유한 제제</v>
          </cell>
          <cell r="E868">
            <v>0.3</v>
          </cell>
        </row>
        <row r="869">
          <cell r="B869" t="str">
            <v>94015-57-3</v>
          </cell>
          <cell r="C869" t="str">
            <v>[.mu.-[[5,5'-Azobis[1H-tetrazolato]](2-)]]dihydroxydilead</v>
          </cell>
          <cell r="D869" t="str">
            <v>물질을 용량비율 0.3% 이상 함유한 제제</v>
          </cell>
          <cell r="E869">
            <v>0.3</v>
          </cell>
        </row>
        <row r="870">
          <cell r="B870" t="str">
            <v>94232-40-3</v>
          </cell>
          <cell r="C870" t="str">
            <v>Lead diundec-10-enoate</v>
          </cell>
          <cell r="D870" t="str">
            <v>물질을 용량비율 0.3% 이상 함유한 제제</v>
          </cell>
          <cell r="E870">
            <v>0.3</v>
          </cell>
        </row>
        <row r="871">
          <cell r="B871" t="str">
            <v>94232-44-7</v>
          </cell>
          <cell r="C871" t="str">
            <v>Cobalt(2+) dinickel(2+) bis[2-hydroxypropane-1,2,3-tricarboxylate]</v>
          </cell>
          <cell r="D871" t="str">
            <v>단 불용성화합물을 0.1% 이상 함유한 제제</v>
          </cell>
          <cell r="E871">
            <v>0.1</v>
          </cell>
        </row>
        <row r="872">
          <cell r="B872" t="str">
            <v>94232-84-5</v>
          </cell>
          <cell r="C872" t="str">
            <v>Dicobalt(2+) nickel(2+) bis[2-hydroxypropane-1,2,3-tricarboxylate]</v>
          </cell>
          <cell r="D872" t="str">
            <v>단 불용성화합물을 0.1% 이상 함유한 제제</v>
          </cell>
          <cell r="E872">
            <v>0.1</v>
          </cell>
        </row>
        <row r="873">
          <cell r="B873" t="str">
            <v>94246-84-1</v>
          </cell>
          <cell r="C873" t="str">
            <v>(Isononanoato-O)(isooctanoato-O)lead</v>
          </cell>
          <cell r="D873" t="str">
            <v>물질을 용량비율 0.3% 이상 함유한 제제</v>
          </cell>
          <cell r="E873">
            <v>0.3</v>
          </cell>
        </row>
        <row r="874">
          <cell r="B874" t="str">
            <v>94246-85-2</v>
          </cell>
          <cell r="C874" t="str">
            <v>(Isodecanoato-O)(isooctanoato-O)lead</v>
          </cell>
          <cell r="D874" t="str">
            <v>물질을 용량비율 0.3% 이상 함유한 제제</v>
          </cell>
          <cell r="E874">
            <v>0.3</v>
          </cell>
        </row>
        <row r="875">
          <cell r="B875" t="str">
            <v>94246-86-3</v>
          </cell>
          <cell r="C875" t="str">
            <v>(Isodecanoato-O)(isononanoato-O)lead</v>
          </cell>
          <cell r="D875" t="str">
            <v>물질을 용량비율 0.3% 이상 함유한 제제</v>
          </cell>
          <cell r="E875">
            <v>0.3</v>
          </cell>
        </row>
        <row r="876">
          <cell r="B876" t="str">
            <v>94246-87-4</v>
          </cell>
          <cell r="C876" t="str">
            <v>(Isodecanoato-O)(neodecanoato-O)lead</v>
          </cell>
          <cell r="D876" t="str">
            <v>물질을 용량비율 0.3% 이상 함유한 제제</v>
          </cell>
          <cell r="E876">
            <v>0.3</v>
          </cell>
        </row>
        <row r="877">
          <cell r="B877" t="str">
            <v>94246-90-9</v>
          </cell>
          <cell r="C877" t="str">
            <v>(2-Ethylhexanoato-O)(isooctanoato-O)lead</v>
          </cell>
          <cell r="D877" t="str">
            <v>물질을 용량비율 0.3% 이상 함유한 제제</v>
          </cell>
          <cell r="E877">
            <v>0.3</v>
          </cell>
        </row>
        <row r="878">
          <cell r="B878" t="str">
            <v>94246-91-0</v>
          </cell>
          <cell r="C878" t="str">
            <v>(2-Ethylhexanoato-O)(isononanoato-O)lead</v>
          </cell>
          <cell r="D878" t="str">
            <v>물질을 용량비율 0.3% 이상 함유한 제제</v>
          </cell>
          <cell r="E878">
            <v>0.3</v>
          </cell>
        </row>
        <row r="879">
          <cell r="B879" t="str">
            <v>94246-92-1</v>
          </cell>
          <cell r="C879" t="str">
            <v>(2-Ethylhexanoato-O)(isodecanoato-O)lead</v>
          </cell>
          <cell r="D879" t="str">
            <v>물질을 용량비율 0.3% 이상 함유한 제제</v>
          </cell>
          <cell r="E879">
            <v>0.3</v>
          </cell>
        </row>
        <row r="880">
          <cell r="B880" t="str">
            <v>94246-93-2</v>
          </cell>
          <cell r="C880" t="str">
            <v>(2-Ethylhexanoato-O)(neodecanoato-O)lead</v>
          </cell>
          <cell r="D880" t="str">
            <v>물질을 용량비율 0.3% 이상 함유한 제제</v>
          </cell>
          <cell r="E880">
            <v>0.3</v>
          </cell>
        </row>
        <row r="881">
          <cell r="B881" t="str">
            <v>94266-31-6</v>
          </cell>
          <cell r="C881" t="str">
            <v>Lead icosanoate (1:2)</v>
          </cell>
          <cell r="D881" t="str">
            <v>물질을 용량비율 0.3% 이상 함유한 제제</v>
          </cell>
          <cell r="E881">
            <v>0.3</v>
          </cell>
        </row>
        <row r="882">
          <cell r="B882" t="str">
            <v>94266-32-7</v>
          </cell>
          <cell r="C882" t="str">
            <v>Lead icosanoate</v>
          </cell>
          <cell r="D882" t="str">
            <v>물질을 용량비율 0.3% 이상 함유한 제제</v>
          </cell>
          <cell r="E882">
            <v>0.3</v>
          </cell>
        </row>
        <row r="883">
          <cell r="B883" t="str">
            <v>94275-78-2</v>
          </cell>
          <cell r="C883" t="str">
            <v>Nickel methacrylate</v>
          </cell>
          <cell r="D883" t="str">
            <v>단 불용성화합물을 0.1% 이상 함유한 제제</v>
          </cell>
          <cell r="E883">
            <v>0.1</v>
          </cell>
        </row>
        <row r="884">
          <cell r="B884" t="str">
            <v>94349-78-7</v>
          </cell>
          <cell r="C884" t="str">
            <v>Fatty acids, tallow, reaction products with lead oxide</v>
          </cell>
          <cell r="D884" t="str">
            <v>물질을 용량비율 0.3% 이상 함유한 제제</v>
          </cell>
          <cell r="E884">
            <v>0.3</v>
          </cell>
        </row>
        <row r="885">
          <cell r="B885" t="str">
            <v>94481-58-0</v>
          </cell>
          <cell r="C885" t="str">
            <v>(Isononanoato-O)(neodecanoato-O)lead</v>
          </cell>
          <cell r="D885" t="str">
            <v>물질을 용량비율 0.3% 이상 함유한 제제</v>
          </cell>
          <cell r="E885">
            <v>0.3</v>
          </cell>
        </row>
        <row r="886">
          <cell r="B886" t="str">
            <v>94551-60-7</v>
          </cell>
          <cell r="C886" t="str">
            <v>Lead, zinc dross</v>
          </cell>
          <cell r="D886" t="str">
            <v>물질을 용량비율 0.3% 이상 함유한 제제</v>
          </cell>
          <cell r="E886">
            <v>0.3</v>
          </cell>
        </row>
        <row r="887">
          <cell r="B887" t="str">
            <v>95046-47-2</v>
          </cell>
          <cell r="C887" t="str">
            <v>Spinels, cobalt nickel zinc grey</v>
          </cell>
          <cell r="D887" t="str">
            <v>단 불용성화합물을 0.1% 이상 함유한 제제</v>
          </cell>
          <cell r="E887">
            <v>0.1</v>
          </cell>
        </row>
        <row r="888">
          <cell r="B888" t="str">
            <v>95892-13-0</v>
          </cell>
          <cell r="C888" t="str">
            <v>Lead(2+) isohexadecanoate</v>
          </cell>
          <cell r="D888" t="str">
            <v>물질을 용량비율 0.3% 이상 함유한 제제</v>
          </cell>
          <cell r="E888">
            <v>0.3</v>
          </cell>
        </row>
        <row r="889">
          <cell r="B889" t="str">
            <v>96471-22-6</v>
          </cell>
          <cell r="C889" t="str">
            <v>Lead, di-.mu.-hydroxy(2-methyl-4,6-dinitrophenolato-O1)(nitrato-O)di-</v>
          </cell>
          <cell r="D889" t="str">
            <v>물질을 용량비율 0.3% 이상 함유한 제제</v>
          </cell>
          <cell r="E889">
            <v>0.3</v>
          </cell>
        </row>
        <row r="890">
          <cell r="B890" t="str">
            <v>97280-68-7</v>
          </cell>
          <cell r="C890" t="str">
            <v>Tetrasodium [bis[[[4-[[2-(sulphooxy)ethyl]sulphonyl]phenyl]amino]sulphonyl]-29H,31H-phthalocyaninedisulphonato(6)-N29,N30,N31,N3</v>
          </cell>
          <cell r="D890" t="str">
            <v>단 불용성화합물을 0.1% 이상 함유한 제제</v>
          </cell>
          <cell r="E890">
            <v>0.1</v>
          </cell>
        </row>
        <row r="891">
          <cell r="B891" t="str">
            <v>97404-21-2</v>
          </cell>
          <cell r="C891" t="str">
            <v>[[N,N',N''-[29H,31H-Phthalocyaninetriyltris(sulphonylimino-3,1-phenylene)]tris[3-oxobutyramidato]](2-)-N29,N30,N31,N32]nickel</v>
          </cell>
          <cell r="D891" t="str">
            <v>단 불용성화합물을 0.1% 이상 함유한 제제</v>
          </cell>
          <cell r="E891">
            <v>0.1</v>
          </cell>
        </row>
        <row r="892">
          <cell r="B892" t="str">
            <v>97404-22-3</v>
          </cell>
          <cell r="C892" t="str">
            <v>[[N,N',N'',N'''-[29H,31H-Phthalocyaninetetrayltetrakis(sulphonylimino-3,1-phenylene)]tetrakis[3-oxobutyramidato]](2-)-N29,N30,N3</v>
          </cell>
          <cell r="D892" t="str">
            <v>단 불용성화합물을 0.1% 이상 함유한 제제</v>
          </cell>
          <cell r="E892">
            <v>0.1</v>
          </cell>
        </row>
        <row r="893">
          <cell r="B893" t="str">
            <v>97435-21-7</v>
          </cell>
          <cell r="C893" t="str">
            <v>Diiron nickel zinc tetraoxide</v>
          </cell>
          <cell r="D893" t="str">
            <v>단 불용성화합물을 0.1% 이상 함유한 제제</v>
          </cell>
          <cell r="E893">
            <v>0.1</v>
          </cell>
        </row>
        <row r="894">
          <cell r="B894" t="str">
            <v>97808-88-3</v>
          </cell>
          <cell r="C894" t="str">
            <v>Lead, bullion</v>
          </cell>
          <cell r="D894" t="str">
            <v>물질을 용량비율 0.3% 이상 함유한 제제</v>
          </cell>
          <cell r="E894">
            <v>0.3</v>
          </cell>
        </row>
        <row r="895">
          <cell r="B895" t="str">
            <v>97889-90-2</v>
          </cell>
          <cell r="C895" t="str">
            <v>Lead fluoride hydroxide</v>
          </cell>
          <cell r="D895" t="str">
            <v>물질을 용량비율 0.3% 이상 함유한 제제</v>
          </cell>
          <cell r="E895">
            <v>0.3</v>
          </cell>
        </row>
        <row r="896">
          <cell r="B896" t="str">
            <v>97952-39-1</v>
          </cell>
          <cell r="C896" t="str">
            <v>7-Methyloctanoic acid, lead salt</v>
          </cell>
          <cell r="D896" t="str">
            <v>물질을 용량비율 0.3% 이상 함유한 제제</v>
          </cell>
          <cell r="E896">
            <v>0.3</v>
          </cell>
        </row>
        <row r="897">
          <cell r="B897" t="str">
            <v>97953-08-7</v>
          </cell>
          <cell r="C897" t="str">
            <v>Nitric acid, lead(2+) salt, reaction products with sodium tin oxide</v>
          </cell>
          <cell r="D897" t="str">
            <v>물질을 용량비율 0.3% 이상 함유한 제제</v>
          </cell>
          <cell r="E897">
            <v>0.3</v>
          </cell>
        </row>
        <row r="898">
          <cell r="B898" t="str">
            <v>99328-50-4</v>
          </cell>
          <cell r="C898" t="str">
            <v>Nitric acid, barium salt, reaction products with ammonia, chromic acid (H2CrO4) diammonium salt and copper(2+) dinitrate, calcin</v>
          </cell>
          <cell r="D898" t="str">
            <v>6가 크롬을 0.1% 이상 함유한 제제</v>
          </cell>
          <cell r="E898">
            <v>0.1</v>
          </cell>
        </row>
        <row r="899">
          <cell r="B899" t="str">
            <v>99328-54-8</v>
          </cell>
          <cell r="C899" t="str">
            <v>Sulfuric acid, barium salt (1:1), lead-doped</v>
          </cell>
          <cell r="D899" t="str">
            <v>물질을 용량비율 0.3% 이상 함유한 제제</v>
          </cell>
          <cell r="E899">
            <v>0.3</v>
          </cell>
        </row>
        <row r="900">
          <cell r="B900" t="str">
            <v>99587-11-8</v>
          </cell>
          <cell r="C900" t="str">
            <v>Diammonium tetrachloronickelate(2-)</v>
          </cell>
          <cell r="D900" t="str">
            <v>단 불용성화합물을 0.1% 이상 함유한 제제</v>
          </cell>
          <cell r="E900">
            <v>0.1</v>
          </cell>
        </row>
        <row r="901">
          <cell r="B901" t="str">
            <v>99749-23-2</v>
          </cell>
          <cell r="C901" t="str">
            <v>Cassiterite, cobalt manganese nickel grey</v>
          </cell>
          <cell r="D901" t="str">
            <v>단 불용성화합물을 0.1% 이상 함유한 제제</v>
          </cell>
          <cell r="E901">
            <v>0.1</v>
          </cell>
        </row>
        <row r="902">
          <cell r="B902" t="str">
            <v>99749-31-2</v>
          </cell>
          <cell r="C902" t="str">
            <v>Perchloric acid, reaction products with lead oxide (pbo) and triethanolamine</v>
          </cell>
          <cell r="D902" t="str">
            <v>물질을 용량비율 0.3% 이상 함유한 제제</v>
          </cell>
          <cell r="E902">
            <v>0.3</v>
          </cell>
        </row>
      </sheetData>
      <sheetData sheetId="41" refreshError="1">
        <row r="1">
          <cell r="B1" t="str">
            <v>CAS No</v>
          </cell>
          <cell r="C1" t="str">
            <v>화학물질명</v>
          </cell>
          <cell r="D1" t="str">
            <v>함량기준설명</v>
          </cell>
          <cell r="E1" t="str">
            <v>함량기준수치</v>
          </cell>
        </row>
        <row r="2">
          <cell r="B2" t="str">
            <v>100-00-5</v>
          </cell>
          <cell r="C2" t="str">
            <v>p-Nitrochlorobenzene</v>
          </cell>
          <cell r="D2" t="str">
            <v>물질을 용량비율 1% 이상 함유한 제제</v>
          </cell>
          <cell r="E2">
            <v>1</v>
          </cell>
        </row>
        <row r="3">
          <cell r="B3" t="str">
            <v>100-01-6</v>
          </cell>
          <cell r="C3" t="str">
            <v>p-Nitroaniline</v>
          </cell>
          <cell r="D3" t="str">
            <v>물질을 용량비율 1% 이상 함유한 제제</v>
          </cell>
          <cell r="E3">
            <v>1</v>
          </cell>
        </row>
        <row r="4">
          <cell r="B4" t="str">
            <v>10028-15-6</v>
          </cell>
          <cell r="C4" t="str">
            <v>Ozone</v>
          </cell>
          <cell r="D4" t="str">
            <v>물질을 용량비율 1% 이상 함유한 제제</v>
          </cell>
          <cell r="E4">
            <v>1</v>
          </cell>
        </row>
        <row r="5">
          <cell r="B5" t="str">
            <v>10035-10-6</v>
          </cell>
          <cell r="C5" t="str">
            <v>Hydrogen bromide</v>
          </cell>
          <cell r="D5" t="str">
            <v>물질을 용량비율 1% 이상 함유한 제제</v>
          </cell>
          <cell r="E5">
            <v>1</v>
          </cell>
        </row>
        <row r="6">
          <cell r="B6" t="str">
            <v>100-37-8</v>
          </cell>
          <cell r="C6" t="str">
            <v>2-Diethylaminoethanol</v>
          </cell>
          <cell r="D6" t="str">
            <v>물질을 용량비율 1% 이상 함유한 제제</v>
          </cell>
          <cell r="E6">
            <v>1</v>
          </cell>
        </row>
        <row r="7">
          <cell r="B7" t="str">
            <v>100-41-4</v>
          </cell>
          <cell r="C7" t="str">
            <v>Ethyl benzene</v>
          </cell>
          <cell r="D7" t="str">
            <v>물질을 용량비율 1% 이상 함유한 제제</v>
          </cell>
          <cell r="E7">
            <v>1</v>
          </cell>
        </row>
        <row r="8">
          <cell r="B8" t="str">
            <v>100-42-5</v>
          </cell>
          <cell r="C8" t="str">
            <v>Styrene</v>
          </cell>
          <cell r="D8" t="str">
            <v>물질을 용량비율 1% 이상 함유한 제제</v>
          </cell>
          <cell r="E8">
            <v>1</v>
          </cell>
        </row>
        <row r="9">
          <cell r="B9" t="str">
            <v>10102-43-9</v>
          </cell>
          <cell r="C9" t="str">
            <v>Nitric oxide</v>
          </cell>
          <cell r="D9" t="str">
            <v>물질을 용량비율 1% 이상 함유한 제제</v>
          </cell>
          <cell r="E9">
            <v>1</v>
          </cell>
        </row>
        <row r="10">
          <cell r="B10" t="str">
            <v>10102-44-0</v>
          </cell>
          <cell r="C10" t="str">
            <v>Nitrogen dioxide</v>
          </cell>
          <cell r="D10" t="str">
            <v>물질을 용량비율 1% 이상 함유한 제제</v>
          </cell>
          <cell r="E10">
            <v>1</v>
          </cell>
        </row>
        <row r="11">
          <cell r="B11" t="str">
            <v>101-68-8</v>
          </cell>
          <cell r="C11" t="str">
            <v>4,4'-Methylenediphenyl diisocyanate</v>
          </cell>
          <cell r="D11" t="str">
            <v>물질을 용량비율 1% 이상 함유한 제제</v>
          </cell>
          <cell r="E11">
            <v>1</v>
          </cell>
        </row>
        <row r="12">
          <cell r="B12" t="str">
            <v>106-42-3</v>
          </cell>
          <cell r="C12" t="str">
            <v>p-Xylene</v>
          </cell>
          <cell r="D12" t="str">
            <v>물질을 용량비율 1% 이상 함유한 제제</v>
          </cell>
          <cell r="E12">
            <v>1</v>
          </cell>
        </row>
        <row r="13">
          <cell r="B13" t="str">
            <v>106-44-5</v>
          </cell>
          <cell r="C13" t="str">
            <v>p-Cresol</v>
          </cell>
          <cell r="D13" t="str">
            <v>물질을 용량비율 1% 이상 함유한 제제</v>
          </cell>
          <cell r="E13">
            <v>1</v>
          </cell>
        </row>
        <row r="14">
          <cell r="B14" t="str">
            <v>106-89-8</v>
          </cell>
          <cell r="C14" t="str">
            <v>Epichlorohydrin</v>
          </cell>
          <cell r="D14" t="str">
            <v>특별관리물질, 용량비율 0.1% 이상 함유한 제제</v>
          </cell>
          <cell r="E14">
            <v>0.1</v>
          </cell>
        </row>
        <row r="15">
          <cell r="B15" t="str">
            <v>106-92-3</v>
          </cell>
          <cell r="C15" t="str">
            <v>Allyl glycidyl ether(AGE)</v>
          </cell>
          <cell r="D15" t="str">
            <v>물질을 용량비율 1% 이상 함유한 제제</v>
          </cell>
          <cell r="E15">
            <v>1</v>
          </cell>
        </row>
        <row r="16">
          <cell r="B16" t="str">
            <v>106-94-5</v>
          </cell>
          <cell r="C16" t="str">
            <v>1-Bromopropane</v>
          </cell>
          <cell r="D16" t="str">
            <v>특별관리물질, 용량비율 0.3% 이상 함유한 제제</v>
          </cell>
          <cell r="E16">
            <v>0.3</v>
          </cell>
        </row>
        <row r="17">
          <cell r="B17" t="str">
            <v>106-99-0</v>
          </cell>
          <cell r="C17" t="str">
            <v>1,3-Butadiene</v>
          </cell>
          <cell r="D17" t="str">
            <v>특별관리물질, 용량비율 0.1% 이상 함유한 제제</v>
          </cell>
          <cell r="E17">
            <v>0.1</v>
          </cell>
        </row>
        <row r="18">
          <cell r="B18" t="str">
            <v>107-06-2</v>
          </cell>
          <cell r="C18" t="str">
            <v>Ethylene dichloride</v>
          </cell>
          <cell r="D18" t="str">
            <v>물질을 용량비율 1% 이상 함유한 제제</v>
          </cell>
          <cell r="E18">
            <v>1</v>
          </cell>
        </row>
        <row r="19">
          <cell r="B19" t="str">
            <v>107-07-3</v>
          </cell>
          <cell r="C19" t="str">
            <v>Ethylene chlorohydrin</v>
          </cell>
          <cell r="D19" t="str">
            <v>물질을 용량비율 1% 이상 함유한 제제</v>
          </cell>
          <cell r="E19">
            <v>1</v>
          </cell>
        </row>
        <row r="20">
          <cell r="B20" t="str">
            <v>107-13-1</v>
          </cell>
          <cell r="C20" t="str">
            <v>Acrylonitrile</v>
          </cell>
          <cell r="D20" t="str">
            <v>물질을 용량비율 1% 이상 함유한 제제</v>
          </cell>
          <cell r="E20">
            <v>1</v>
          </cell>
        </row>
        <row r="21">
          <cell r="B21" t="str">
            <v>107-21-1</v>
          </cell>
          <cell r="C21" t="str">
            <v>Ethylene glycol</v>
          </cell>
          <cell r="D21" t="str">
            <v>물질을 용량비율 1% 이상 함유한 제제</v>
          </cell>
          <cell r="E21">
            <v>1</v>
          </cell>
        </row>
        <row r="22">
          <cell r="B22" t="str">
            <v>108-05-4</v>
          </cell>
          <cell r="C22" t="str">
            <v>Vinyl acetate</v>
          </cell>
          <cell r="D22" t="str">
            <v>물질을 용량비율 1% 이상 함유한 제제</v>
          </cell>
          <cell r="E22">
            <v>1</v>
          </cell>
        </row>
        <row r="23">
          <cell r="B23" t="str">
            <v>108-10-1</v>
          </cell>
          <cell r="C23" t="str">
            <v>Methyl isobutyl ketone</v>
          </cell>
          <cell r="D23" t="str">
            <v>물질을 용량비율 1% 이상 함유한 제제</v>
          </cell>
          <cell r="E23">
            <v>1</v>
          </cell>
        </row>
        <row r="24">
          <cell r="B24" t="str">
            <v>108-21-4</v>
          </cell>
          <cell r="C24" t="str">
            <v>Isopropyl acetate</v>
          </cell>
          <cell r="D24" t="str">
            <v>물질을 용량비율 1% 이상 함유한 제제</v>
          </cell>
          <cell r="E24">
            <v>1</v>
          </cell>
        </row>
        <row r="25">
          <cell r="B25" t="str">
            <v>108-24-7</v>
          </cell>
          <cell r="C25" t="str">
            <v>Acetic anhydride</v>
          </cell>
          <cell r="D25" t="str">
            <v>물질을 용량비율 1% 이상 함유한 제제</v>
          </cell>
          <cell r="E25">
            <v>1</v>
          </cell>
        </row>
        <row r="26">
          <cell r="B26" t="str">
            <v>108-31-6</v>
          </cell>
          <cell r="C26" t="str">
            <v>Maleic anhydride</v>
          </cell>
          <cell r="D26" t="str">
            <v>물질을 용량비율 1% 이상 함유한 제제</v>
          </cell>
          <cell r="E26">
            <v>1</v>
          </cell>
        </row>
        <row r="27">
          <cell r="B27" t="str">
            <v>108-38-3</v>
          </cell>
          <cell r="C27" t="str">
            <v>m-Xylene</v>
          </cell>
          <cell r="D27" t="str">
            <v>물질을 용량비율 1% 이상 함유한 제제</v>
          </cell>
          <cell r="E27">
            <v>1</v>
          </cell>
        </row>
        <row r="28">
          <cell r="B28" t="str">
            <v>108-39-4</v>
          </cell>
          <cell r="C28" t="str">
            <v>m-Cresol</v>
          </cell>
          <cell r="D28" t="str">
            <v>물질을 용량비율 1% 이상 함유한 제제</v>
          </cell>
          <cell r="E28">
            <v>1</v>
          </cell>
        </row>
        <row r="29">
          <cell r="B29" t="str">
            <v>108-83-8</v>
          </cell>
          <cell r="C29" t="str">
            <v>Diisobutyl ketone</v>
          </cell>
          <cell r="D29" t="str">
            <v>물질을 용량비율 1% 이상 함유한 제제</v>
          </cell>
          <cell r="E29">
            <v>1</v>
          </cell>
        </row>
        <row r="30">
          <cell r="B30" t="str">
            <v>108-88-3</v>
          </cell>
          <cell r="C30" t="str">
            <v>Toluene</v>
          </cell>
          <cell r="D30" t="str">
            <v>물질을 용량비율 1% 이상 함유한 제제</v>
          </cell>
          <cell r="E30">
            <v>1</v>
          </cell>
        </row>
        <row r="31">
          <cell r="B31" t="str">
            <v>108-90-7</v>
          </cell>
          <cell r="C31" t="str">
            <v>Chlorobenzene</v>
          </cell>
          <cell r="D31" t="str">
            <v>물질을 용량비율 1% 이상 함유한 제제</v>
          </cell>
          <cell r="E31">
            <v>1</v>
          </cell>
        </row>
        <row r="32">
          <cell r="B32" t="str">
            <v>108-93-0</v>
          </cell>
          <cell r="C32" t="str">
            <v>Cyclohexanol</v>
          </cell>
          <cell r="D32" t="str">
            <v>물질을 용량비율 1% 이상 함유한 제제</v>
          </cell>
          <cell r="E32">
            <v>1</v>
          </cell>
        </row>
        <row r="33">
          <cell r="B33" t="str">
            <v>108-94-1</v>
          </cell>
          <cell r="C33" t="str">
            <v>Cyclohexanone</v>
          </cell>
          <cell r="D33" t="str">
            <v>물질을 용량비율 1% 이상 함유한 제제</v>
          </cell>
          <cell r="E33">
            <v>1</v>
          </cell>
        </row>
        <row r="34">
          <cell r="B34" t="str">
            <v>108-95-2</v>
          </cell>
          <cell r="C34" t="str">
            <v>Phenol</v>
          </cell>
          <cell r="D34" t="str">
            <v>특별관리물질, 용량비율 0.3% 이상 함유한 제제</v>
          </cell>
          <cell r="E34">
            <v>0.3</v>
          </cell>
        </row>
        <row r="35">
          <cell r="B35" t="str">
            <v>109-60-4</v>
          </cell>
          <cell r="C35" t="str">
            <v>n-Propyl acetate</v>
          </cell>
          <cell r="D35" t="str">
            <v>물질을 용량비율 1% 이상 함유한 제제</v>
          </cell>
          <cell r="E35">
            <v>1</v>
          </cell>
        </row>
        <row r="36">
          <cell r="B36" t="str">
            <v>109-86-4</v>
          </cell>
          <cell r="C36" t="str">
            <v>2-Methoxyethanol</v>
          </cell>
          <cell r="D36" t="str">
            <v>물질을 용량비율 1% 이상 함유한 제제</v>
          </cell>
          <cell r="E36">
            <v>1</v>
          </cell>
        </row>
        <row r="37">
          <cell r="B37" t="str">
            <v>109-89-7</v>
          </cell>
          <cell r="C37" t="str">
            <v>Diethylamine</v>
          </cell>
          <cell r="D37" t="str">
            <v>물질을 용량비율 1% 이상 함유한 제제</v>
          </cell>
          <cell r="E37">
            <v>1</v>
          </cell>
        </row>
        <row r="38">
          <cell r="B38" t="str">
            <v>109-99-9</v>
          </cell>
          <cell r="C38" t="str">
            <v>Tetrahydrofuran</v>
          </cell>
          <cell r="D38" t="str">
            <v>물질을 용량비율 1% 이상 함유한 제제</v>
          </cell>
          <cell r="E38">
            <v>1</v>
          </cell>
        </row>
        <row r="39">
          <cell r="B39" t="str">
            <v>110-19-0</v>
          </cell>
          <cell r="C39" t="str">
            <v>Isobutyl acetate</v>
          </cell>
          <cell r="D39" t="str">
            <v>물질을 용량비율 1% 이상 함유한 제제</v>
          </cell>
          <cell r="E39">
            <v>1</v>
          </cell>
        </row>
        <row r="40">
          <cell r="B40" t="str">
            <v>110-43-0</v>
          </cell>
          <cell r="C40" t="str">
            <v>Methyl n-amyl ketone</v>
          </cell>
          <cell r="D40" t="str">
            <v>물질을 용량비율 1% 이상 함유한 제제</v>
          </cell>
          <cell r="E40">
            <v>1</v>
          </cell>
        </row>
        <row r="41">
          <cell r="B41" t="str">
            <v>110-49-6</v>
          </cell>
          <cell r="C41" t="str">
            <v>2-Methoxyethyl acetate</v>
          </cell>
          <cell r="D41" t="str">
            <v>물질을 용량비율 1% 이상 함유한 제제</v>
          </cell>
          <cell r="E41">
            <v>1</v>
          </cell>
        </row>
        <row r="42">
          <cell r="B42" t="str">
            <v>110-54-3</v>
          </cell>
          <cell r="C42" t="str">
            <v>Hexane (n-hexane)</v>
          </cell>
          <cell r="D42" t="str">
            <v>물질을 용량비율 1% 이상 함유한 제제</v>
          </cell>
          <cell r="E42">
            <v>1</v>
          </cell>
        </row>
        <row r="43">
          <cell r="B43" t="str">
            <v>110-80-5</v>
          </cell>
          <cell r="C43" t="str">
            <v>2-Ethoxy ethanol(EGEE)</v>
          </cell>
          <cell r="D43" t="str">
            <v>물질을 용량비율 1% 이상 함유한 제제</v>
          </cell>
          <cell r="E43">
            <v>1</v>
          </cell>
        </row>
        <row r="44">
          <cell r="B44" t="str">
            <v>110-82-7</v>
          </cell>
          <cell r="C44" t="str">
            <v>Cyclohexane</v>
          </cell>
          <cell r="D44" t="str">
            <v>물질을 용량비율 1% 이상 함유한 제제</v>
          </cell>
          <cell r="E44">
            <v>1</v>
          </cell>
        </row>
        <row r="45">
          <cell r="B45" t="str">
            <v>110-83-8</v>
          </cell>
          <cell r="C45" t="str">
            <v>Cyclohexene</v>
          </cell>
          <cell r="D45" t="str">
            <v>물질을 용량비율 1% 이상 함유한 제제</v>
          </cell>
          <cell r="E45">
            <v>1</v>
          </cell>
        </row>
        <row r="46">
          <cell r="B46" t="str">
            <v>110-86-1</v>
          </cell>
          <cell r="C46" t="str">
            <v>Pyridine</v>
          </cell>
          <cell r="D46" t="str">
            <v>물질을 용량비율 1% 이상 함유한 제제</v>
          </cell>
          <cell r="E46">
            <v>1</v>
          </cell>
        </row>
        <row r="47">
          <cell r="B47" t="str">
            <v>111-15-9</v>
          </cell>
          <cell r="C47" t="str">
            <v>2-Ethoxy ethylacetate(EGEEA)</v>
          </cell>
          <cell r="D47" t="str">
            <v>물질을 용량비율 1% 이상 함유한 제제</v>
          </cell>
          <cell r="E47">
            <v>1</v>
          </cell>
        </row>
        <row r="48">
          <cell r="B48" t="str">
            <v>111-30-8</v>
          </cell>
          <cell r="C48" t="str">
            <v>Glutaraldehyde</v>
          </cell>
          <cell r="D48" t="str">
            <v>물질을 용량비율 1% 이상 함유한 제제</v>
          </cell>
          <cell r="E48">
            <v>1</v>
          </cell>
        </row>
        <row r="49">
          <cell r="B49" t="str">
            <v>111-40-0</v>
          </cell>
          <cell r="C49" t="str">
            <v>Diethylene triamine</v>
          </cell>
          <cell r="D49" t="str">
            <v>물질을 용량비율 1% 이상 함유한 제제</v>
          </cell>
          <cell r="E49">
            <v>1</v>
          </cell>
        </row>
        <row r="50">
          <cell r="B50" t="str">
            <v>111-42-2</v>
          </cell>
          <cell r="C50" t="str">
            <v>Diethanolamine</v>
          </cell>
          <cell r="D50" t="str">
            <v>물질을 용량비율 1% 이상 함유한 제제</v>
          </cell>
          <cell r="E50">
            <v>1</v>
          </cell>
        </row>
        <row r="51">
          <cell r="B51" t="str">
            <v>111-76-2</v>
          </cell>
          <cell r="C51" t="str">
            <v>2-Butoxyethanol (EGBE)</v>
          </cell>
          <cell r="D51" t="str">
            <v>물질을 용량비율 1% 이상 함유한 제제</v>
          </cell>
          <cell r="E51">
            <v>1</v>
          </cell>
        </row>
        <row r="52">
          <cell r="B52" t="str">
            <v>112-07-2</v>
          </cell>
          <cell r="C52" t="str">
            <v>2-Butoxyethyl acetate(EGBEA)</v>
          </cell>
          <cell r="D52" t="str">
            <v>물질을 용량비율 1% 이상 함유한 제제</v>
          </cell>
          <cell r="E52">
            <v>1</v>
          </cell>
        </row>
        <row r="53">
          <cell r="B53" t="str">
            <v>121-44-8</v>
          </cell>
          <cell r="C53" t="str">
            <v>Triethyl amine</v>
          </cell>
          <cell r="D53" t="str">
            <v>물질을 용량비율 1% 이상 함유한 제제</v>
          </cell>
          <cell r="E53">
            <v>1</v>
          </cell>
        </row>
        <row r="54">
          <cell r="B54" t="str">
            <v>121-69-7</v>
          </cell>
          <cell r="C54" t="str">
            <v>Dimethylaniline(N,N-Dimethyl-aniline)</v>
          </cell>
          <cell r="D54" t="str">
            <v>물질을 용량비율 1% 이상 함유한 제제</v>
          </cell>
          <cell r="E54">
            <v>1</v>
          </cell>
        </row>
        <row r="55">
          <cell r="B55" t="str">
            <v>123-31-9</v>
          </cell>
          <cell r="C55" t="str">
            <v>Dihydroxy benzene</v>
          </cell>
          <cell r="D55" t="str">
            <v>물질을 용량비율 1% 이상 함유한 제제</v>
          </cell>
          <cell r="E55">
            <v>1</v>
          </cell>
        </row>
        <row r="56">
          <cell r="B56" t="str">
            <v>123-51-3</v>
          </cell>
          <cell r="C56" t="str">
            <v>Isoamyl alcohol</v>
          </cell>
          <cell r="D56" t="str">
            <v>물질을 용량비율 1% 이상 함유한 제제</v>
          </cell>
          <cell r="E56">
            <v>1</v>
          </cell>
        </row>
        <row r="57">
          <cell r="B57" t="str">
            <v>123-86-4</v>
          </cell>
          <cell r="C57" t="str">
            <v>n-Butyl acetate</v>
          </cell>
          <cell r="D57" t="str">
            <v>물질을 용량비율 1% 이상 함유한 제제</v>
          </cell>
          <cell r="E57">
            <v>1</v>
          </cell>
        </row>
        <row r="58">
          <cell r="B58" t="str">
            <v>123-91-1</v>
          </cell>
          <cell r="C58" t="str">
            <v>Dioxane(Diethyl dioxide)</v>
          </cell>
          <cell r="D58" t="str">
            <v>물질을 용량비율 1% 이상 함유한 제제</v>
          </cell>
          <cell r="E58">
            <v>1</v>
          </cell>
        </row>
        <row r="59">
          <cell r="B59" t="str">
            <v>123-92-2</v>
          </cell>
          <cell r="C59" t="str">
            <v>Isoamyl acetate</v>
          </cell>
          <cell r="D59" t="str">
            <v>물질을 용량비율 1% 이상 함유한 제제</v>
          </cell>
          <cell r="E59">
            <v>1</v>
          </cell>
        </row>
        <row r="60">
          <cell r="B60" t="str">
            <v>124-40-3</v>
          </cell>
          <cell r="C60" t="str">
            <v>Dimethylamine</v>
          </cell>
          <cell r="D60" t="str">
            <v>물질을 용량비율 1% 이상 함유한 제제</v>
          </cell>
          <cell r="E60">
            <v>1</v>
          </cell>
        </row>
        <row r="61">
          <cell r="B61" t="str">
            <v>127-18-4</v>
          </cell>
          <cell r="C61" t="str">
            <v>Perchloroethylene</v>
          </cell>
          <cell r="D61" t="str">
            <v>물질을 용량비율 1% 이상 함유한 제제</v>
          </cell>
          <cell r="E61">
            <v>1</v>
          </cell>
        </row>
        <row r="62">
          <cell r="B62" t="str">
            <v>127-19-5</v>
          </cell>
          <cell r="C62" t="str">
            <v>N,N-Dimethyl acetamide</v>
          </cell>
          <cell r="D62" t="str">
            <v>물질을 용량비율 1% 이상 함유한 제제</v>
          </cell>
          <cell r="E62">
            <v>1</v>
          </cell>
        </row>
        <row r="63">
          <cell r="B63" t="str">
            <v>1309-48-4</v>
          </cell>
          <cell r="C63" t="str">
            <v>Magnesium oxide</v>
          </cell>
          <cell r="D63" t="str">
            <v>물질을 용량비율 1% 이상 함유한 제제</v>
          </cell>
          <cell r="E63">
            <v>1</v>
          </cell>
        </row>
        <row r="64">
          <cell r="B64" t="str">
            <v>1310-58-3</v>
          </cell>
          <cell r="C64" t="str">
            <v>Potassium hydroxide</v>
          </cell>
          <cell r="D64" t="str">
            <v>물질을 용량비율 1% 이상 함유한 제제</v>
          </cell>
          <cell r="E64">
            <v>1</v>
          </cell>
        </row>
        <row r="65">
          <cell r="B65" t="str">
            <v>1310-73-2</v>
          </cell>
          <cell r="C65" t="str">
            <v>Sodium hydroxide</v>
          </cell>
          <cell r="D65" t="str">
            <v>물질을 용량비율 1% 이상 함유한 제제</v>
          </cell>
          <cell r="E65">
            <v>1</v>
          </cell>
        </row>
        <row r="66">
          <cell r="B66" t="str">
            <v>1314-62-1</v>
          </cell>
          <cell r="C66" t="str">
            <v>Vanadium pentoxide</v>
          </cell>
          <cell r="D66" t="str">
            <v>물질을 용량비율 1% 이상 함유한 제제</v>
          </cell>
          <cell r="E66">
            <v>1</v>
          </cell>
        </row>
        <row r="67">
          <cell r="B67" t="str">
            <v>1319-77-3</v>
          </cell>
          <cell r="C67" t="str">
            <v>Cresol</v>
          </cell>
          <cell r="D67" t="str">
            <v>물질을 용량비율 1% 이상 함유한 제제</v>
          </cell>
          <cell r="E67">
            <v>1</v>
          </cell>
        </row>
        <row r="68">
          <cell r="B68" t="str">
            <v>1330-20-7</v>
          </cell>
          <cell r="C68" t="str">
            <v>Xylene</v>
          </cell>
          <cell r="D68" t="str">
            <v>물질을 용량비율 1% 이상 함유한 제제</v>
          </cell>
          <cell r="E68">
            <v>1</v>
          </cell>
        </row>
        <row r="69">
          <cell r="B69" t="str">
            <v>13463-67-7</v>
          </cell>
          <cell r="C69" t="str">
            <v>Titanium dioxide</v>
          </cell>
          <cell r="D69" t="str">
            <v>물질을 용량비율 1% 이상 함유한 제제</v>
          </cell>
          <cell r="E69">
            <v>1</v>
          </cell>
        </row>
        <row r="70">
          <cell r="B70" t="str">
            <v>140-88-5</v>
          </cell>
          <cell r="C70" t="str">
            <v>Ethyl acrylate</v>
          </cell>
          <cell r="D70" t="str">
            <v>물질을 용량비율 1% 이상 함유한 제제</v>
          </cell>
          <cell r="E70">
            <v>1</v>
          </cell>
        </row>
        <row r="71">
          <cell r="B71" t="str">
            <v>141-43-5</v>
          </cell>
          <cell r="C71" t="str">
            <v>Ethanolamine</v>
          </cell>
          <cell r="D71" t="str">
            <v>물질을 용량비율 1% 이상 함유한 제제</v>
          </cell>
          <cell r="E71">
            <v>1</v>
          </cell>
        </row>
        <row r="72">
          <cell r="B72" t="str">
            <v>141-78-6</v>
          </cell>
          <cell r="C72" t="str">
            <v>Ethyl acetate</v>
          </cell>
          <cell r="D72" t="str">
            <v>물질을 용량비율 1% 이상 함유한 제제</v>
          </cell>
          <cell r="E72">
            <v>1</v>
          </cell>
        </row>
        <row r="73">
          <cell r="B73" t="str">
            <v>142-82-5</v>
          </cell>
          <cell r="C73" t="str">
            <v>Heptane</v>
          </cell>
          <cell r="D73" t="str">
            <v>물질을 용량비율 1% 이상 함유한 제제</v>
          </cell>
          <cell r="E73">
            <v>1</v>
          </cell>
        </row>
        <row r="74">
          <cell r="B74" t="str">
            <v>143-33-9</v>
          </cell>
          <cell r="C74" t="str">
            <v>Sodium cyanide</v>
          </cell>
          <cell r="D74" t="str">
            <v>물질을 용량비율 1% 이상 함유한 제제</v>
          </cell>
          <cell r="E74">
            <v>1</v>
          </cell>
        </row>
        <row r="75">
          <cell r="B75" t="str">
            <v>151-50-8</v>
          </cell>
          <cell r="C75" t="str">
            <v>Potassium cyanide</v>
          </cell>
          <cell r="D75" t="str">
            <v>물질을 용량비율 1% 이상 함유한 제제</v>
          </cell>
          <cell r="E75">
            <v>1</v>
          </cell>
        </row>
        <row r="76">
          <cell r="B76" t="str">
            <v>151-56-4</v>
          </cell>
          <cell r="C76" t="str">
            <v>Ethyleneimine</v>
          </cell>
          <cell r="D76" t="str">
            <v>물질을 용량비율 1% 이상 함유한 제제</v>
          </cell>
          <cell r="E76">
            <v>1</v>
          </cell>
        </row>
        <row r="77">
          <cell r="B77" t="str">
            <v>156-60-5</v>
          </cell>
          <cell r="C77" t="str">
            <v>1,2-Dichloroethylene(trans)</v>
          </cell>
          <cell r="D77" t="str">
            <v>물질을 용량비율 1% 이상 함유한 제제</v>
          </cell>
          <cell r="E77">
            <v>1</v>
          </cell>
        </row>
        <row r="78">
          <cell r="B78" t="str">
            <v>1717-00-6</v>
          </cell>
          <cell r="C78" t="str">
            <v>1,1-Dichloro-1-fluoroethane</v>
          </cell>
          <cell r="D78" t="str">
            <v>물질을 용량비율 1% 이상 함유한 제제</v>
          </cell>
          <cell r="E78">
            <v>1</v>
          </cell>
        </row>
        <row r="79">
          <cell r="B79" t="str">
            <v>7446-09-5</v>
          </cell>
          <cell r="C79" t="str">
            <v>Sulfur dioxide</v>
          </cell>
          <cell r="D79" t="str">
            <v>물질을 용량비율 1% 이상 함유한 제제</v>
          </cell>
          <cell r="E79">
            <v>1</v>
          </cell>
        </row>
        <row r="80">
          <cell r="B80" t="str">
            <v>25321-14-6</v>
          </cell>
          <cell r="C80" t="str">
            <v>Dinitrotoluene</v>
          </cell>
          <cell r="D80" t="str">
            <v>물질을 용량비율 1% 이상 함유한 제제</v>
          </cell>
          <cell r="E80">
            <v>1</v>
          </cell>
        </row>
        <row r="81">
          <cell r="B81" t="str">
            <v>25639-42-3</v>
          </cell>
          <cell r="C81" t="str">
            <v>Methyl cyclohexanol</v>
          </cell>
          <cell r="D81" t="str">
            <v>물질을 용량비율 1% 이상 함유한 제제</v>
          </cell>
          <cell r="E81">
            <v>1</v>
          </cell>
        </row>
        <row r="82">
          <cell r="B82" t="str">
            <v>302-01-2</v>
          </cell>
          <cell r="C82" t="str">
            <v>Hydrazine</v>
          </cell>
          <cell r="D82" t="str">
            <v>물질을 용량비율 1% 이상 함유한 제제</v>
          </cell>
          <cell r="E82">
            <v>1</v>
          </cell>
        </row>
        <row r="83">
          <cell r="B83" t="str">
            <v>50-00-0</v>
          </cell>
          <cell r="C83" t="str">
            <v>Formaldehyde</v>
          </cell>
          <cell r="D83" t="str">
            <v>특별관리물질, 용량비율 0.1% 이상 함유한 제제</v>
          </cell>
          <cell r="E83">
            <v>0.1</v>
          </cell>
        </row>
        <row r="84">
          <cell r="B84" t="str">
            <v>540-59-0</v>
          </cell>
          <cell r="C84" t="str">
            <v>1,2-Dichloroethylene</v>
          </cell>
          <cell r="D84" t="str">
            <v>물질을 용량비율 1% 이상 함유한 제제</v>
          </cell>
          <cell r="E84">
            <v>1</v>
          </cell>
        </row>
        <row r="85">
          <cell r="B85" t="str">
            <v>55-63-0</v>
          </cell>
          <cell r="C85" t="str">
            <v>Nitroglycerin</v>
          </cell>
          <cell r="D85" t="str">
            <v>물질을 용량비율 1% 이상 함유한 제제</v>
          </cell>
          <cell r="E85">
            <v>1</v>
          </cell>
        </row>
        <row r="86">
          <cell r="B86" t="str">
            <v>556-52-5</v>
          </cell>
          <cell r="C86" t="str">
            <v>2,3-Expoxy-1-propanol</v>
          </cell>
          <cell r="D86" t="str">
            <v>물질을 용량비율 1% 이상 함유한 제제</v>
          </cell>
          <cell r="E86">
            <v>1</v>
          </cell>
        </row>
        <row r="87">
          <cell r="B87" t="str">
            <v>56-23-5</v>
          </cell>
          <cell r="C87" t="str">
            <v>Carbon tetrachloride</v>
          </cell>
          <cell r="D87" t="str">
            <v>특별관리물질, 용량비율 0.1% 이상 함유한 제제</v>
          </cell>
          <cell r="E87">
            <v>0.1</v>
          </cell>
        </row>
        <row r="88">
          <cell r="B88" t="str">
            <v>583-59-5</v>
          </cell>
          <cell r="C88" t="str">
            <v>2-Methyl cyclohexanol</v>
          </cell>
          <cell r="D88" t="str">
            <v>물질을 용량비율 1% 이상 함유한 제제</v>
          </cell>
          <cell r="E88">
            <v>1</v>
          </cell>
        </row>
        <row r="89">
          <cell r="B89" t="str">
            <v>583-60-8</v>
          </cell>
          <cell r="C89" t="str">
            <v>o-Methyl cyclohexanone</v>
          </cell>
          <cell r="D89" t="str">
            <v>물질을 용량비율 1% 이상 함유한 제제</v>
          </cell>
          <cell r="E89">
            <v>1</v>
          </cell>
        </row>
        <row r="90">
          <cell r="B90" t="str">
            <v>584-84-9</v>
          </cell>
          <cell r="C90" t="str">
            <v>Toluene-2,4-diisocyanate</v>
          </cell>
          <cell r="D90" t="str">
            <v>물질을 용량비율 1% 이상 함유한 제제</v>
          </cell>
          <cell r="E90">
            <v>1</v>
          </cell>
        </row>
        <row r="91">
          <cell r="B91" t="str">
            <v>589-91-3</v>
          </cell>
          <cell r="C91" t="str">
            <v>4-Methyl cyclohexanol</v>
          </cell>
          <cell r="D91" t="str">
            <v>물질을 용량비율 1% 이상 함유한 제제</v>
          </cell>
          <cell r="E91">
            <v>1</v>
          </cell>
        </row>
        <row r="92">
          <cell r="B92" t="str">
            <v>591-23-1</v>
          </cell>
          <cell r="C92" t="str">
            <v>3-Methyl cyclohexanol</v>
          </cell>
          <cell r="D92" t="str">
            <v>물질을 용량비율 1% 이상 함유한 제제</v>
          </cell>
          <cell r="E92">
            <v>1</v>
          </cell>
        </row>
        <row r="93">
          <cell r="B93" t="str">
            <v>591-78-6</v>
          </cell>
          <cell r="C93" t="str">
            <v>Methyl n-Butyl ketone</v>
          </cell>
          <cell r="D93" t="str">
            <v>물질을 용량비율 1% 이상 함유한 제제</v>
          </cell>
          <cell r="E93">
            <v>1</v>
          </cell>
        </row>
        <row r="94">
          <cell r="B94" t="str">
            <v>592-01-8</v>
          </cell>
          <cell r="C94" t="str">
            <v>Calcium cyanide</v>
          </cell>
          <cell r="D94" t="str">
            <v>물질을 용량비율 1% 이상 함유한 제제</v>
          </cell>
          <cell r="E94">
            <v>1</v>
          </cell>
        </row>
        <row r="95">
          <cell r="B95" t="str">
            <v>60-29-7</v>
          </cell>
          <cell r="C95" t="str">
            <v>Diethyl ether</v>
          </cell>
          <cell r="D95" t="str">
            <v>물질을 용량비율 1% 이상 함유한 제제</v>
          </cell>
          <cell r="E95">
            <v>1</v>
          </cell>
        </row>
        <row r="96">
          <cell r="B96" t="str">
            <v>62-53-3</v>
          </cell>
          <cell r="C96" t="str">
            <v>Aniline &amp; homologues</v>
          </cell>
          <cell r="D96" t="str">
            <v>물질을 용량비율 1% 이상 함유한 제제</v>
          </cell>
          <cell r="E96">
            <v>1</v>
          </cell>
        </row>
        <row r="97">
          <cell r="B97" t="str">
            <v>628-96-6</v>
          </cell>
          <cell r="C97" t="str">
            <v>Ethylene glycol dinitrate</v>
          </cell>
          <cell r="D97" t="str">
            <v>물질을 용량비율 1% 이상 함유한 제제</v>
          </cell>
          <cell r="E97">
            <v>1</v>
          </cell>
        </row>
        <row r="98">
          <cell r="B98" t="str">
            <v>630-08-0</v>
          </cell>
          <cell r="C98" t="str">
            <v>Carbon monoxide</v>
          </cell>
          <cell r="D98" t="str">
            <v>물질을 용량비율 1% 이상 함유한 제제</v>
          </cell>
          <cell r="E98">
            <v>1</v>
          </cell>
        </row>
        <row r="99">
          <cell r="B99" t="str">
            <v>64-18-6</v>
          </cell>
          <cell r="C99" t="str">
            <v>Formic acid</v>
          </cell>
          <cell r="D99" t="str">
            <v>물질을 용량비율 1% 이상 함유한 제제</v>
          </cell>
          <cell r="E99">
            <v>1</v>
          </cell>
        </row>
        <row r="100">
          <cell r="B100" t="str">
            <v>64-19-7</v>
          </cell>
          <cell r="C100" t="str">
            <v>Acetic acid</v>
          </cell>
          <cell r="D100" t="str">
            <v>물질을 용량비율 1% 이상 함유한 제제</v>
          </cell>
          <cell r="E100">
            <v>1</v>
          </cell>
        </row>
        <row r="101">
          <cell r="B101" t="str">
            <v>67-56-1</v>
          </cell>
          <cell r="C101" t="str">
            <v>Methyl alcohol</v>
          </cell>
          <cell r="D101" t="str">
            <v>물질을 용량비율 1% 이상 함유한 제제</v>
          </cell>
          <cell r="E101">
            <v>1</v>
          </cell>
        </row>
        <row r="102">
          <cell r="B102" t="str">
            <v>67-63-0</v>
          </cell>
          <cell r="C102" t="str">
            <v>Isopropyl alcohol</v>
          </cell>
          <cell r="D102" t="str">
            <v>물질을 용량비율 1% 이상 함유한 제제</v>
          </cell>
          <cell r="E102">
            <v>1</v>
          </cell>
        </row>
        <row r="103">
          <cell r="B103" t="str">
            <v>67-64-1</v>
          </cell>
          <cell r="C103" t="str">
            <v>Acetone</v>
          </cell>
          <cell r="D103" t="str">
            <v>물질을 용량비율 1% 이상 함유한 제제</v>
          </cell>
          <cell r="E103">
            <v>1</v>
          </cell>
        </row>
        <row r="104">
          <cell r="B104" t="str">
            <v>67-66-3</v>
          </cell>
          <cell r="C104" t="str">
            <v>Trichloromethane</v>
          </cell>
          <cell r="D104" t="str">
            <v>물질을 용량비율 1% 이상 함유한 제제</v>
          </cell>
          <cell r="E104">
            <v>1</v>
          </cell>
        </row>
        <row r="105">
          <cell r="B105" t="str">
            <v>68-12-2</v>
          </cell>
          <cell r="C105" t="str">
            <v>Dimethylformamide</v>
          </cell>
          <cell r="D105" t="str">
            <v>물질을 용량비율 1% 이상 함유한 제제</v>
          </cell>
          <cell r="E105">
            <v>1</v>
          </cell>
        </row>
        <row r="106">
          <cell r="B106" t="str">
            <v>71-36-3</v>
          </cell>
          <cell r="C106" t="str">
            <v>n-Butyl alcohol</v>
          </cell>
          <cell r="D106" t="str">
            <v>물질을 용량비율 1% 이상 함유한 제제</v>
          </cell>
          <cell r="E106">
            <v>1</v>
          </cell>
        </row>
        <row r="107">
          <cell r="B107" t="str">
            <v>71-43-2</v>
          </cell>
          <cell r="C107" t="str">
            <v>Benzene</v>
          </cell>
          <cell r="D107" t="str">
            <v>특별관리물질, 용량비율 0.1% 이상 함유한 제제</v>
          </cell>
          <cell r="E107">
            <v>0.1</v>
          </cell>
        </row>
        <row r="108">
          <cell r="B108" t="str">
            <v>71-55-6</v>
          </cell>
          <cell r="C108" t="str">
            <v>Methyl chloroform</v>
          </cell>
          <cell r="D108" t="str">
            <v>물질을 용량비율 1% 이상 함유한 제제</v>
          </cell>
          <cell r="E108">
            <v>1</v>
          </cell>
        </row>
        <row r="109">
          <cell r="B109" t="str">
            <v>7429-90-5</v>
          </cell>
          <cell r="C109" t="str">
            <v>Aluminum and compounds</v>
          </cell>
          <cell r="D109" t="str">
            <v>물질을 용량비율 1% 이상 함유한 제제</v>
          </cell>
          <cell r="E109">
            <v>1</v>
          </cell>
        </row>
        <row r="110">
          <cell r="B110" t="str">
            <v>7439-89-6</v>
          </cell>
          <cell r="C110" t="str">
            <v>Iron and compounds</v>
          </cell>
          <cell r="D110" t="str">
            <v>물질을 용량비율 1% 이상 함유한 제제</v>
          </cell>
          <cell r="E110">
            <v>1</v>
          </cell>
        </row>
        <row r="111">
          <cell r="B111" t="str">
            <v>7439-92-1</v>
          </cell>
          <cell r="C111" t="str">
            <v>Lead and inorganic compounds</v>
          </cell>
          <cell r="D111" t="str">
            <v>특별관리물질, 용량비율 0.3% 이상 함유한 제제</v>
          </cell>
          <cell r="E111">
            <v>0.3</v>
          </cell>
        </row>
        <row r="112">
          <cell r="B112" t="str">
            <v>7439-96-5</v>
          </cell>
          <cell r="C112" t="str">
            <v>Manganese and compounds</v>
          </cell>
          <cell r="D112" t="str">
            <v>물질을 용량비율 1% 이상 함유한 제제</v>
          </cell>
          <cell r="E112">
            <v>1</v>
          </cell>
        </row>
        <row r="113">
          <cell r="B113" t="str">
            <v>7439-97-6</v>
          </cell>
          <cell r="C113" t="str">
            <v>Mercury and compounds</v>
          </cell>
          <cell r="D113" t="str">
            <v>물질을 용량비율 1% 이상 함유한 제제</v>
          </cell>
          <cell r="E113">
            <v>1</v>
          </cell>
        </row>
        <row r="114">
          <cell r="B114" t="str">
            <v>7440-02-0</v>
          </cell>
          <cell r="C114" t="str">
            <v>Nickel and compounds</v>
          </cell>
          <cell r="D114" t="str">
            <v>물질을 중량비율 1% 이상 함유한 제제, 단 불용성화합물을 0.1% 이상 함유한 제제는 특별관리물질</v>
          </cell>
          <cell r="E114">
            <v>1</v>
          </cell>
        </row>
        <row r="115">
          <cell r="B115" t="str">
            <v>7440-06-4</v>
          </cell>
          <cell r="C115" t="str">
            <v>Platinum and compounds</v>
          </cell>
          <cell r="D115" t="str">
            <v>물질을 용량비율 1% 이상 함유한 제제</v>
          </cell>
          <cell r="E115">
            <v>1</v>
          </cell>
        </row>
        <row r="116">
          <cell r="B116" t="str">
            <v>7440-22-4</v>
          </cell>
          <cell r="C116" t="str">
            <v>Silver and compounds</v>
          </cell>
          <cell r="D116" t="str">
            <v>물질을 용량비율 1% 이상 함유한 제제</v>
          </cell>
          <cell r="E116">
            <v>1</v>
          </cell>
        </row>
        <row r="117">
          <cell r="B117" t="str">
            <v>7440-31-5</v>
          </cell>
          <cell r="C117" t="str">
            <v>Tin and compounds</v>
          </cell>
          <cell r="D117" t="str">
            <v>물질을 용량비율 1% 이상 함유한 제제</v>
          </cell>
          <cell r="E117">
            <v>1</v>
          </cell>
        </row>
        <row r="118">
          <cell r="B118" t="str">
            <v>7440-33-7</v>
          </cell>
          <cell r="C118" t="str">
            <v>Tungsten and compounds</v>
          </cell>
          <cell r="D118" t="str">
            <v>물질을 용량비율 1% 이상 함유한 제제</v>
          </cell>
          <cell r="E118">
            <v>1</v>
          </cell>
        </row>
        <row r="119">
          <cell r="B119" t="str">
            <v>7440-36-0</v>
          </cell>
          <cell r="C119" t="str">
            <v>Antimony and compounds</v>
          </cell>
          <cell r="D119" t="str">
            <v>물질을 중량비율 1% 이상 함유한 제제, 단 삼산화안티몬을 0.1% 이상 함유한 제제는 특별관리물질</v>
          </cell>
          <cell r="E119">
            <v>1</v>
          </cell>
        </row>
        <row r="120">
          <cell r="B120" t="str">
            <v>7440-39-3</v>
          </cell>
          <cell r="C120" t="str">
            <v>Barium and soluble compounds</v>
          </cell>
          <cell r="D120" t="str">
            <v>물질을 용량비율 1% 이상 함유한 제제</v>
          </cell>
          <cell r="E120">
            <v>1</v>
          </cell>
        </row>
        <row r="121">
          <cell r="B121" t="str">
            <v>7440-43-9</v>
          </cell>
          <cell r="C121" t="str">
            <v>Cadmium and compounds</v>
          </cell>
          <cell r="D121" t="str">
            <v>특별관리물질, 용량비율 0.1% 이상 함유한 제제</v>
          </cell>
          <cell r="E121">
            <v>0.1</v>
          </cell>
        </row>
        <row r="122">
          <cell r="B122" t="str">
            <v>7440-47-3</v>
          </cell>
          <cell r="C122" t="str">
            <v>Chromium and compounds</v>
          </cell>
          <cell r="D122" t="str">
            <v>물질을 중량비율 1% 이상 함유한 제제, 단 6가 크롬을 0.1% 이상 함유한 제제는 특별관리물질</v>
          </cell>
          <cell r="E122">
            <v>1</v>
          </cell>
        </row>
        <row r="123">
          <cell r="B123" t="str">
            <v>7440-48-4</v>
          </cell>
          <cell r="C123" t="str">
            <v>Cobalt and inorganic compounds</v>
          </cell>
          <cell r="D123" t="str">
            <v>물질을 용량비율 1% 이상 함유한 제제</v>
          </cell>
          <cell r="E123">
            <v>1</v>
          </cell>
        </row>
        <row r="124">
          <cell r="B124" t="str">
            <v>7440-50-8</v>
          </cell>
          <cell r="C124" t="str">
            <v>Copper and compounds</v>
          </cell>
          <cell r="D124" t="str">
            <v>물질을 용량비율 1% 이상 함유한 제제</v>
          </cell>
          <cell r="E124">
            <v>1</v>
          </cell>
        </row>
        <row r="125">
          <cell r="B125" t="str">
            <v>7440-67-7</v>
          </cell>
          <cell r="C125" t="str">
            <v>Zirconium and compounds</v>
          </cell>
          <cell r="D125" t="str">
            <v>물질을 용량비율 1% 이상 함유한 제제</v>
          </cell>
          <cell r="E125">
            <v>1</v>
          </cell>
        </row>
        <row r="126">
          <cell r="B126" t="str">
            <v>74-83-9</v>
          </cell>
          <cell r="C126" t="str">
            <v>Methyl bromide</v>
          </cell>
          <cell r="D126" t="str">
            <v>물질을 용량비율 1% 이상 함유한 제제</v>
          </cell>
          <cell r="E126">
            <v>1</v>
          </cell>
        </row>
        <row r="127">
          <cell r="B127" t="str">
            <v>74-87-3</v>
          </cell>
          <cell r="C127" t="str">
            <v>Methyl chloride</v>
          </cell>
          <cell r="D127" t="str">
            <v>물질을 용량비율 1% 이상 함유한 제제</v>
          </cell>
          <cell r="E127">
            <v>1</v>
          </cell>
        </row>
        <row r="128">
          <cell r="B128" t="str">
            <v>74-88-4</v>
          </cell>
          <cell r="C128" t="str">
            <v>Methyl iodide</v>
          </cell>
          <cell r="D128" t="str">
            <v>물질을 용량비율 1% 이상 함유한 제제</v>
          </cell>
          <cell r="E128">
            <v>1</v>
          </cell>
        </row>
        <row r="129">
          <cell r="B129" t="str">
            <v>74-89-5</v>
          </cell>
          <cell r="C129" t="str">
            <v>Methylamine</v>
          </cell>
          <cell r="D129" t="str">
            <v>물질을 용량비율 1% 이상 함유한 제제</v>
          </cell>
          <cell r="E129">
            <v>1</v>
          </cell>
        </row>
        <row r="130">
          <cell r="B130" t="str">
            <v>74-90-8</v>
          </cell>
          <cell r="C130" t="str">
            <v>Hydrogen cyanide</v>
          </cell>
          <cell r="D130" t="str">
            <v>물질을 용량비율 1% 이상 함유한 제제</v>
          </cell>
          <cell r="E130">
            <v>1</v>
          </cell>
        </row>
        <row r="131">
          <cell r="B131" t="str">
            <v>75-04-7</v>
          </cell>
          <cell r="C131" t="str">
            <v>Ethylamine</v>
          </cell>
          <cell r="D131" t="str">
            <v>물질을 용량비율 1% 이상 함유한 제제</v>
          </cell>
          <cell r="E131">
            <v>1</v>
          </cell>
        </row>
        <row r="132">
          <cell r="B132" t="str">
            <v>75-05-8</v>
          </cell>
          <cell r="C132" t="str">
            <v>Acetonitrile</v>
          </cell>
          <cell r="D132" t="str">
            <v>물질을 용량비율 1% 이상 함유한 제제</v>
          </cell>
          <cell r="E132">
            <v>1</v>
          </cell>
        </row>
        <row r="133">
          <cell r="B133" t="str">
            <v>75-07-0</v>
          </cell>
          <cell r="C133" t="str">
            <v>Acetaldehyde</v>
          </cell>
          <cell r="D133" t="str">
            <v>물질을 용량비율 1% 이상 함유한 제제</v>
          </cell>
          <cell r="E133">
            <v>1</v>
          </cell>
        </row>
        <row r="134">
          <cell r="B134" t="str">
            <v>75-09-2</v>
          </cell>
          <cell r="C134" t="str">
            <v>Dichloromethane</v>
          </cell>
          <cell r="D134" t="str">
            <v>물질을 용량비율 1% 이상 함유한 제제</v>
          </cell>
          <cell r="E134">
            <v>1</v>
          </cell>
        </row>
        <row r="135">
          <cell r="B135" t="str">
            <v>75-15-0</v>
          </cell>
          <cell r="C135" t="str">
            <v>Carbon disulfide</v>
          </cell>
          <cell r="D135" t="str">
            <v>물질을 용량비율 1% 이상 함유한 제제</v>
          </cell>
          <cell r="E135">
            <v>1</v>
          </cell>
        </row>
        <row r="136">
          <cell r="B136" t="str">
            <v>75-21-8</v>
          </cell>
          <cell r="C136" t="str">
            <v>Ethylene oxide</v>
          </cell>
          <cell r="D136" t="str">
            <v>특별관리물질, 용량비율 0.1% 이상 함유한 제제</v>
          </cell>
          <cell r="E136">
            <v>0.1</v>
          </cell>
        </row>
        <row r="137">
          <cell r="B137" t="str">
            <v>75-26-3</v>
          </cell>
          <cell r="C137" t="str">
            <v>2-Bromopropane</v>
          </cell>
          <cell r="D137" t="str">
            <v>특별관리물질, 용량비율 0.3% 이상 함유한 제제</v>
          </cell>
          <cell r="E137">
            <v>0.3</v>
          </cell>
        </row>
        <row r="138">
          <cell r="B138" t="str">
            <v>75-43-4</v>
          </cell>
          <cell r="C138" t="str">
            <v>Dichlorofluoromethane</v>
          </cell>
          <cell r="D138" t="str">
            <v>물질을 용량비율 1% 이상 함유한 제제</v>
          </cell>
          <cell r="E138">
            <v>1</v>
          </cell>
        </row>
        <row r="139">
          <cell r="B139" t="str">
            <v>75-44-5</v>
          </cell>
          <cell r="C139" t="str">
            <v>Phosgene</v>
          </cell>
          <cell r="D139" t="str">
            <v>물질을 용량비율 1% 이상 함유한 제제</v>
          </cell>
          <cell r="E139">
            <v>1</v>
          </cell>
        </row>
        <row r="140">
          <cell r="B140" t="str">
            <v>75-52-5</v>
          </cell>
          <cell r="C140" t="str">
            <v>Nitromethane</v>
          </cell>
          <cell r="D140" t="str">
            <v>물질을 용량비율 1% 이상 함유한 제제</v>
          </cell>
          <cell r="E140">
            <v>1</v>
          </cell>
        </row>
        <row r="141">
          <cell r="B141" t="str">
            <v>7553-56-2</v>
          </cell>
          <cell r="C141" t="str">
            <v>Iodine</v>
          </cell>
          <cell r="D141" t="str">
            <v>물질을 용량비율 1% 이상 함유한 제제</v>
          </cell>
          <cell r="E141">
            <v>1</v>
          </cell>
        </row>
        <row r="142">
          <cell r="B142" t="str">
            <v>75-55-8</v>
          </cell>
          <cell r="C142" t="str">
            <v>Propylene imine</v>
          </cell>
          <cell r="D142" t="str">
            <v>물질을 용량비율 1% 이상 함유한 제제</v>
          </cell>
          <cell r="E142">
            <v>1</v>
          </cell>
        </row>
        <row r="143">
          <cell r="B143" t="str">
            <v>75-56-9</v>
          </cell>
          <cell r="C143" t="str">
            <v>1,2-Epoxypropane</v>
          </cell>
          <cell r="D143" t="str">
            <v>물질을 용량비율 1% 이상 함유한 제제</v>
          </cell>
          <cell r="E143">
            <v>1</v>
          </cell>
        </row>
        <row r="144">
          <cell r="B144" t="str">
            <v>76-03-9</v>
          </cell>
          <cell r="C144" t="str">
            <v>Trichloro acetic acid</v>
          </cell>
          <cell r="D144" t="str">
            <v>물질을 용량비율 1% 이상 함유한 제제</v>
          </cell>
          <cell r="E144">
            <v>1</v>
          </cell>
        </row>
        <row r="145">
          <cell r="B145" t="str">
            <v>7647-01-0</v>
          </cell>
          <cell r="C145" t="str">
            <v>Hydrogen chloride</v>
          </cell>
          <cell r="D145" t="str">
            <v>물질을 용량비율 1% 이상 함유한 제제</v>
          </cell>
          <cell r="E145">
            <v>1</v>
          </cell>
        </row>
        <row r="146">
          <cell r="B146" t="str">
            <v>7664-38-2</v>
          </cell>
          <cell r="C146" t="str">
            <v>Phosphoric acid</v>
          </cell>
          <cell r="D146" t="str">
            <v>물질을 용량비율 1% 이상 함유한 제제</v>
          </cell>
          <cell r="E146">
            <v>1</v>
          </cell>
        </row>
        <row r="147">
          <cell r="B147" t="str">
            <v>7664-39-3</v>
          </cell>
          <cell r="C147" t="str">
            <v>Hydrogen fluoride</v>
          </cell>
          <cell r="D147" t="str">
            <v>물질을 용량비율 1% 이상 함유한 제제</v>
          </cell>
          <cell r="E147">
            <v>1</v>
          </cell>
        </row>
        <row r="148">
          <cell r="B148" t="str">
            <v>7664-41-7</v>
          </cell>
          <cell r="C148" t="str">
            <v>Ammonia</v>
          </cell>
          <cell r="D148" t="str">
            <v>물질을 용량비율 1% 이상 함유한 제제</v>
          </cell>
          <cell r="E148">
            <v>1</v>
          </cell>
        </row>
        <row r="149">
          <cell r="B149" t="str">
            <v>7664-93-9</v>
          </cell>
          <cell r="C149" t="str">
            <v>Sulfuric acid</v>
          </cell>
          <cell r="D149" t="str">
            <v>물질을 중량비율 1% 이상 함유한 제제, 단 pH2.0 이하 강산을 0.1% 이상 함유한 제제는 특별관리물질</v>
          </cell>
          <cell r="E149">
            <v>1</v>
          </cell>
        </row>
        <row r="150">
          <cell r="B150" t="str">
            <v>7697-37-2</v>
          </cell>
          <cell r="C150" t="str">
            <v>Nitric acid</v>
          </cell>
          <cell r="D150" t="str">
            <v>물질을 용량비율 1% 이상 함유한 제제</v>
          </cell>
          <cell r="E150">
            <v>1</v>
          </cell>
        </row>
        <row r="151">
          <cell r="B151" t="str">
            <v>7722-84-1</v>
          </cell>
          <cell r="C151" t="str">
            <v>Hydrogen peroxide</v>
          </cell>
          <cell r="D151" t="str">
            <v>물질을 용량비율 1% 이상 함유한 제제</v>
          </cell>
          <cell r="E151">
            <v>1</v>
          </cell>
        </row>
        <row r="152">
          <cell r="B152" t="str">
            <v>7726-95-6</v>
          </cell>
          <cell r="C152" t="str">
            <v>Bromine</v>
          </cell>
          <cell r="D152" t="str">
            <v>물질을 용량비율 1% 이상 함유한 제제</v>
          </cell>
          <cell r="E152">
            <v>1</v>
          </cell>
        </row>
        <row r="153">
          <cell r="B153" t="str">
            <v>7740-66-6</v>
          </cell>
          <cell r="C153" t="str">
            <v>Zinc and compounds</v>
          </cell>
          <cell r="D153" t="str">
            <v>물질을 용량비율 1% 이상 함유한 제제</v>
          </cell>
          <cell r="E153">
            <v>1</v>
          </cell>
        </row>
        <row r="154">
          <cell r="B154" t="str">
            <v>77-78-1</v>
          </cell>
          <cell r="C154" t="str">
            <v>Dimethyl sulfate</v>
          </cell>
          <cell r="D154" t="str">
            <v>물질을 용량비율 1% 이상 함유한 제제</v>
          </cell>
          <cell r="E154">
            <v>1</v>
          </cell>
        </row>
        <row r="155">
          <cell r="B155" t="str">
            <v>7782-41-4</v>
          </cell>
          <cell r="C155" t="str">
            <v>Fluorine</v>
          </cell>
          <cell r="D155" t="str">
            <v>물질을 용량비율 1% 이상 함유한 제제</v>
          </cell>
          <cell r="E155">
            <v>1</v>
          </cell>
        </row>
        <row r="156">
          <cell r="B156" t="str">
            <v>7782-49-2</v>
          </cell>
          <cell r="C156" t="str">
            <v>Selenium and compounds</v>
          </cell>
          <cell r="D156" t="str">
            <v>물질을 용량비율 1% 이상 함유한 제제</v>
          </cell>
          <cell r="E156">
            <v>1</v>
          </cell>
        </row>
        <row r="157">
          <cell r="B157" t="str">
            <v>7782-50-5</v>
          </cell>
          <cell r="C157" t="str">
            <v>Chlorine</v>
          </cell>
          <cell r="D157" t="str">
            <v>물질을 용량비율 1% 이상 함유한 제제</v>
          </cell>
          <cell r="E157">
            <v>1</v>
          </cell>
        </row>
        <row r="158">
          <cell r="B158" t="str">
            <v>7783-06-4</v>
          </cell>
          <cell r="C158" t="str">
            <v>Hydrogen sulfide</v>
          </cell>
          <cell r="D158" t="str">
            <v>물질을 용량비율 1% 이상 함유한 제제</v>
          </cell>
          <cell r="E158">
            <v>1</v>
          </cell>
        </row>
        <row r="159">
          <cell r="B159" t="str">
            <v>7784-42-1</v>
          </cell>
          <cell r="C159" t="str">
            <v>Arsine</v>
          </cell>
          <cell r="D159" t="str">
            <v>물질을 용량비율 1% 이상 함유한 제제</v>
          </cell>
          <cell r="E159">
            <v>1</v>
          </cell>
        </row>
        <row r="160">
          <cell r="B160" t="str">
            <v>7803-51-2</v>
          </cell>
          <cell r="C160" t="str">
            <v>Phosphine</v>
          </cell>
          <cell r="D160" t="str">
            <v>물질을 용량비율 1% 이상 함유한 제제</v>
          </cell>
          <cell r="E160">
            <v>1</v>
          </cell>
        </row>
        <row r="161">
          <cell r="B161" t="str">
            <v>78-83-1</v>
          </cell>
          <cell r="C161" t="str">
            <v>Isobutyl alcohol</v>
          </cell>
          <cell r="D161" t="str">
            <v>물질을 용량비율 1% 이상 함유한 제제</v>
          </cell>
          <cell r="E161">
            <v>1</v>
          </cell>
        </row>
        <row r="162">
          <cell r="B162" t="str">
            <v>78-92-2</v>
          </cell>
          <cell r="C162" t="str">
            <v>sec-Butyl alcohol</v>
          </cell>
          <cell r="D162" t="str">
            <v>물질을 용량비율 1% 이상 함유한 제제</v>
          </cell>
          <cell r="E162">
            <v>1</v>
          </cell>
        </row>
        <row r="163">
          <cell r="B163" t="str">
            <v>78-93-3</v>
          </cell>
          <cell r="C163" t="str">
            <v>Methyl ehtyl ketone(M.E.K)</v>
          </cell>
          <cell r="D163" t="str">
            <v>물질을 용량비율 1% 이상 함유한 제제</v>
          </cell>
          <cell r="E163">
            <v>1</v>
          </cell>
        </row>
        <row r="164">
          <cell r="B164" t="str">
            <v>79-00-5</v>
          </cell>
          <cell r="C164" t="str">
            <v>1,1,2-Trichloro ethane</v>
          </cell>
          <cell r="D164" t="str">
            <v>물질을 용량비율 1% 이상 함유한 제제</v>
          </cell>
          <cell r="E164">
            <v>1</v>
          </cell>
        </row>
        <row r="165">
          <cell r="B165" t="str">
            <v>79-01-6</v>
          </cell>
          <cell r="C165" t="str">
            <v>Trichloroethylene</v>
          </cell>
          <cell r="D165" t="str">
            <v>특별관리물질, 용량비율 0.1% 이상 함유한 제제</v>
          </cell>
          <cell r="E165">
            <v>0.1</v>
          </cell>
        </row>
        <row r="166">
          <cell r="B166" t="str">
            <v>79-06-1</v>
          </cell>
          <cell r="C166" t="str">
            <v>Acrylamide</v>
          </cell>
          <cell r="D166" t="str">
            <v>물질을 용량비율 1% 이상 함유한 제제</v>
          </cell>
          <cell r="E166">
            <v>1</v>
          </cell>
        </row>
        <row r="167">
          <cell r="B167" t="str">
            <v>79-10-7</v>
          </cell>
          <cell r="C167" t="str">
            <v>Acrylic acid</v>
          </cell>
          <cell r="D167" t="str">
            <v>물질을 용량비율 1% 이상 함유한 제제</v>
          </cell>
          <cell r="E167">
            <v>1</v>
          </cell>
        </row>
        <row r="168">
          <cell r="B168" t="str">
            <v>79-20-9</v>
          </cell>
          <cell r="C168" t="str">
            <v>Methyl acetate</v>
          </cell>
          <cell r="D168" t="str">
            <v>물질을 용량비율 1% 이상 함유한 제제</v>
          </cell>
          <cell r="E168">
            <v>1</v>
          </cell>
        </row>
        <row r="169">
          <cell r="B169" t="str">
            <v>79-34-5</v>
          </cell>
          <cell r="C169" t="str">
            <v>1,1,2,2-Tetrachloroethane</v>
          </cell>
          <cell r="D169" t="str">
            <v>물질을 용량비율 1% 이상 함유한 제제</v>
          </cell>
          <cell r="E169">
            <v>1</v>
          </cell>
        </row>
        <row r="170">
          <cell r="B170" t="str">
            <v>8052-41-3</v>
          </cell>
          <cell r="C170" t="str">
            <v>Stoddard solvent</v>
          </cell>
          <cell r="D170" t="str">
            <v>물질을 용량비율 1% 이상 함유한 제제</v>
          </cell>
          <cell r="E170">
            <v>1</v>
          </cell>
        </row>
        <row r="171">
          <cell r="B171" t="str">
            <v>822-06-0</v>
          </cell>
          <cell r="C171" t="str">
            <v>Hexamethylene diisocyanate</v>
          </cell>
          <cell r="D171" t="str">
            <v>물질을 용량비율 1% 이상 함유한 제제</v>
          </cell>
          <cell r="E171">
            <v>1</v>
          </cell>
        </row>
        <row r="172">
          <cell r="B172" t="str">
            <v>85-44-9</v>
          </cell>
          <cell r="C172" t="str">
            <v>Phthalic anhydride</v>
          </cell>
          <cell r="D172" t="str">
            <v>물질을 용량비율 1% 이상 함유한 제제</v>
          </cell>
          <cell r="E172">
            <v>1</v>
          </cell>
        </row>
        <row r="173">
          <cell r="B173" t="str">
            <v>91-08-7</v>
          </cell>
          <cell r="C173" t="str">
            <v>Toluene-2,6-diisocyanate</v>
          </cell>
          <cell r="D173" t="str">
            <v>물질을 용량비율 1% 이상 함유한 제제</v>
          </cell>
          <cell r="E173">
            <v>1</v>
          </cell>
        </row>
        <row r="174">
          <cell r="B174" t="str">
            <v>95-47-6</v>
          </cell>
          <cell r="C174" t="str">
            <v>o-Xylene</v>
          </cell>
          <cell r="D174" t="str">
            <v>물질을 용량비율 1% 이상 함유한 제제</v>
          </cell>
          <cell r="E174">
            <v>1</v>
          </cell>
        </row>
        <row r="175">
          <cell r="B175" t="str">
            <v>95-48-7</v>
          </cell>
          <cell r="C175" t="str">
            <v>o-Cresol</v>
          </cell>
          <cell r="D175" t="str">
            <v>물질을 용량비율 1% 이상 함유한 제제</v>
          </cell>
          <cell r="E175">
            <v>1</v>
          </cell>
        </row>
        <row r="176">
          <cell r="B176" t="str">
            <v>95-50-1</v>
          </cell>
          <cell r="C176" t="str">
            <v>o-Dichlorobenzene</v>
          </cell>
          <cell r="D176" t="str">
            <v>물질을 용량비율 1% 이상 함유한 제제</v>
          </cell>
          <cell r="E176">
            <v>1</v>
          </cell>
        </row>
        <row r="177">
          <cell r="B177" t="str">
            <v>96-18-4</v>
          </cell>
          <cell r="C177" t="str">
            <v>1,2,3-Trichloro propane</v>
          </cell>
          <cell r="D177" t="str">
            <v>물질을 용량비율 1% 이상 함유한 제제</v>
          </cell>
          <cell r="E177">
            <v>1</v>
          </cell>
        </row>
        <row r="178">
          <cell r="B178" t="str">
            <v>98-95-3</v>
          </cell>
          <cell r="C178" t="str">
            <v>Nitrobenzene</v>
          </cell>
          <cell r="D178" t="str">
            <v>물질을 용량비율 1% 이상 함유한 제제</v>
          </cell>
          <cell r="E178">
            <v>1</v>
          </cell>
        </row>
        <row r="179">
          <cell r="B179" t="str">
            <v>156-59-2</v>
          </cell>
          <cell r="C179" t="str">
            <v>1,2-Dichloroethylene(cis)</v>
          </cell>
          <cell r="D179" t="str">
            <v>물질을 용량비율 1% 이상 함유한 제제</v>
          </cell>
          <cell r="E179">
            <v>1</v>
          </cell>
        </row>
      </sheetData>
      <sheetData sheetId="42" refreshError="1">
        <row r="1">
          <cell r="B1" t="str">
            <v>CAS No</v>
          </cell>
          <cell r="C1" t="str">
            <v>화학물질명</v>
          </cell>
          <cell r="D1" t="str">
            <v>TWA_mg/m3</v>
          </cell>
        </row>
        <row r="2">
          <cell r="B2" t="str">
            <v>75-26-3</v>
          </cell>
          <cell r="C2" t="str">
            <v>2-Bromopropane</v>
          </cell>
          <cell r="D2">
            <v>5</v>
          </cell>
        </row>
        <row r="3">
          <cell r="B3" t="str">
            <v>100402-65-1</v>
          </cell>
          <cell r="C3" t="str">
            <v>Nitric acid, copper(2+) salt, reaction products with ammonia, chromic acid (H2CrO4) diammonium salt and manganese(2+) dinitrate,</v>
          </cell>
          <cell r="D3">
            <v>0.05</v>
          </cell>
        </row>
        <row r="4">
          <cell r="B4" t="str">
            <v>102262-19-1</v>
          </cell>
          <cell r="C4" t="str">
            <v>Chromium cobalt manganese oxide</v>
          </cell>
          <cell r="D4">
            <v>0.05</v>
          </cell>
        </row>
        <row r="5">
          <cell r="B5" t="str">
            <v>102262-21-5</v>
          </cell>
          <cell r="C5" t="str">
            <v>Chromium cobalt copper iron manganese oxide</v>
          </cell>
          <cell r="D5">
            <v>0.05</v>
          </cell>
        </row>
        <row r="6">
          <cell r="B6" t="str">
            <v>102262-22-6</v>
          </cell>
          <cell r="C6" t="str">
            <v>Chromium cobalt iron manganese oxide</v>
          </cell>
          <cell r="D6">
            <v>0.05</v>
          </cell>
        </row>
        <row r="7">
          <cell r="B7" t="str">
            <v>10294-40-3</v>
          </cell>
          <cell r="C7" t="str">
            <v>Barium chromate</v>
          </cell>
          <cell r="D7">
            <v>0.01</v>
          </cell>
        </row>
        <row r="8">
          <cell r="B8" t="str">
            <v>10588-01-9</v>
          </cell>
          <cell r="C8" t="str">
            <v>Sodium dichromate</v>
          </cell>
          <cell r="D8">
            <v>0.05</v>
          </cell>
        </row>
        <row r="9">
          <cell r="B9" t="str">
            <v>11103-86-9</v>
          </cell>
          <cell r="C9" t="str">
            <v>Zinc potassium chromate</v>
          </cell>
          <cell r="D9">
            <v>0.05</v>
          </cell>
        </row>
        <row r="10">
          <cell r="B10" t="str">
            <v>11114-92-4</v>
          </cell>
          <cell r="C10" t="str">
            <v>Cobalt chromium alloy</v>
          </cell>
          <cell r="D10">
            <v>0.05</v>
          </cell>
        </row>
        <row r="11">
          <cell r="B11" t="str">
            <v>12016-69-2</v>
          </cell>
          <cell r="C11" t="str">
            <v>Chromium cobalt oxide  (Cr2CoO4)</v>
          </cell>
          <cell r="D11">
            <v>0.05</v>
          </cell>
        </row>
        <row r="12">
          <cell r="B12" t="str">
            <v>12018-18-7</v>
          </cell>
          <cell r="C12" t="str">
            <v>Chromium nickel oxide  (Cr2NiO4)</v>
          </cell>
          <cell r="D12">
            <v>0.01</v>
          </cell>
        </row>
        <row r="13">
          <cell r="B13" t="str">
            <v>12018-19-8</v>
          </cell>
          <cell r="C13" t="str">
            <v>Zinc Chromite</v>
          </cell>
          <cell r="D13">
            <v>0.05</v>
          </cell>
        </row>
        <row r="14">
          <cell r="B14" t="str">
            <v>12254-85-2</v>
          </cell>
          <cell r="C14" t="str">
            <v>Chromium arsenide  (Cr2As)</v>
          </cell>
          <cell r="D14">
            <v>0.05</v>
          </cell>
        </row>
        <row r="15">
          <cell r="B15" t="str">
            <v>12656-85-8</v>
          </cell>
          <cell r="C15" t="str">
            <v>Molybdate orange   (Lead chromate pigment)</v>
          </cell>
          <cell r="D15">
            <v>0.05</v>
          </cell>
        </row>
        <row r="16">
          <cell r="B16" t="str">
            <v>13007-92-6</v>
          </cell>
          <cell r="C16" t="str">
            <v>Chromium carbonyl    （Chromium hexacarbonyl）</v>
          </cell>
          <cell r="D16">
            <v>0.05</v>
          </cell>
        </row>
        <row r="17">
          <cell r="B17" t="str">
            <v>1328-67-2</v>
          </cell>
          <cell r="C17" t="str">
            <v>Zinc chromate</v>
          </cell>
          <cell r="D17">
            <v>0.05</v>
          </cell>
        </row>
        <row r="18">
          <cell r="B18" t="str">
            <v>1333-82-0</v>
          </cell>
          <cell r="C18" t="str">
            <v>Chromium trioxide (CrO3)</v>
          </cell>
          <cell r="D18">
            <v>0.05</v>
          </cell>
        </row>
        <row r="19">
          <cell r="B19" t="str">
            <v>13423-61-5</v>
          </cell>
          <cell r="C19" t="str">
            <v>Chromic acid (H2CrO4), magnesium salt (1:1)</v>
          </cell>
          <cell r="D19">
            <v>0.05</v>
          </cell>
        </row>
        <row r="20">
          <cell r="B20" t="str">
            <v>1344-38-3</v>
          </cell>
          <cell r="C20" t="str">
            <v>C.I. Pigment Orange 21</v>
          </cell>
          <cell r="D20">
            <v>0.05</v>
          </cell>
        </row>
        <row r="21">
          <cell r="B21" t="str">
            <v>13453-35-5</v>
          </cell>
          <cell r="C21" t="str">
            <v>Dithallium dichromate</v>
          </cell>
          <cell r="D21">
            <v>0.05</v>
          </cell>
        </row>
        <row r="22">
          <cell r="B22" t="str">
            <v>13454-78-9</v>
          </cell>
          <cell r="C22" t="str">
            <v>Cesium chromate</v>
          </cell>
          <cell r="D22">
            <v>0.05</v>
          </cell>
        </row>
        <row r="23">
          <cell r="B23" t="str">
            <v>13455-25-9</v>
          </cell>
          <cell r="C23" t="str">
            <v>Cobalt chromate</v>
          </cell>
          <cell r="D23">
            <v>0.01</v>
          </cell>
        </row>
        <row r="24">
          <cell r="B24" t="str">
            <v>13473-75-1</v>
          </cell>
          <cell r="C24" t="str">
            <v>Thallium (I) chromate</v>
          </cell>
          <cell r="D24">
            <v>0.05</v>
          </cell>
        </row>
        <row r="25">
          <cell r="B25" t="str">
            <v>13530-65-9</v>
          </cell>
          <cell r="C25" t="str">
            <v>Zinc chromate</v>
          </cell>
          <cell r="D25">
            <v>0.01</v>
          </cell>
        </row>
        <row r="26">
          <cell r="B26" t="str">
            <v>13530-68-2</v>
          </cell>
          <cell r="C26" t="str">
            <v>Dichromic acid  (H2Cr2O7)</v>
          </cell>
          <cell r="D26">
            <v>0.05</v>
          </cell>
        </row>
        <row r="27">
          <cell r="B27" t="str">
            <v>13548-42-0</v>
          </cell>
          <cell r="C27" t="str">
            <v>Copper chromate</v>
          </cell>
          <cell r="D27">
            <v>0.05</v>
          </cell>
        </row>
        <row r="28">
          <cell r="B28" t="str">
            <v>13675-47-3</v>
          </cell>
          <cell r="C28" t="str">
            <v>Copper dichromate</v>
          </cell>
          <cell r="D28">
            <v>0.05</v>
          </cell>
        </row>
        <row r="29">
          <cell r="B29" t="str">
            <v>13765-19-0</v>
          </cell>
          <cell r="C29" t="str">
            <v>Calcium chromate</v>
          </cell>
          <cell r="D29">
            <v>0.05</v>
          </cell>
        </row>
        <row r="30">
          <cell r="B30" t="str">
            <v>14018-95-2</v>
          </cell>
          <cell r="C30" t="str">
            <v>Zinc dichromate</v>
          </cell>
          <cell r="D30">
            <v>0.05</v>
          </cell>
        </row>
        <row r="31">
          <cell r="B31" t="str">
            <v>14104-85-9</v>
          </cell>
          <cell r="C31" t="str">
            <v>Magnesium dichromate</v>
          </cell>
          <cell r="D31">
            <v>0.05</v>
          </cell>
        </row>
        <row r="32">
          <cell r="B32" t="str">
            <v>14307-35-8</v>
          </cell>
          <cell r="C32" t="str">
            <v>Lithium chromate</v>
          </cell>
          <cell r="D32">
            <v>0.05</v>
          </cell>
        </row>
        <row r="33">
          <cell r="B33" t="str">
            <v>14445-91-1</v>
          </cell>
          <cell r="C33" t="str">
            <v>Chromic acid, ammonium salt</v>
          </cell>
          <cell r="D33">
            <v>0.05</v>
          </cell>
        </row>
        <row r="34">
          <cell r="B34" t="str">
            <v>14721-18-7</v>
          </cell>
          <cell r="C34" t="str">
            <v>Nickel chromate</v>
          </cell>
          <cell r="D34">
            <v>0.01</v>
          </cell>
        </row>
        <row r="35">
          <cell r="B35" t="str">
            <v>14977-61-8</v>
          </cell>
          <cell r="C35" t="str">
            <v>Chromyl chloride</v>
          </cell>
          <cell r="D35">
            <v>0.05</v>
          </cell>
        </row>
        <row r="36">
          <cell r="B36" t="str">
            <v>14986-48-2</v>
          </cell>
          <cell r="C36" t="str">
            <v>Chromium (VI) chloride</v>
          </cell>
          <cell r="D36">
            <v>0.05</v>
          </cell>
        </row>
        <row r="37">
          <cell r="B37" t="str">
            <v>15586-38-6</v>
          </cell>
          <cell r="C37" t="str">
            <v>Chromic acid (H2Cr2O7), nickel(2+) salt (1:1)</v>
          </cell>
          <cell r="D37">
            <v>0.01</v>
          </cell>
        </row>
        <row r="38">
          <cell r="B38" t="str">
            <v>15930-94-6</v>
          </cell>
          <cell r="C38" t="str">
            <v>Zinc chromate hydroxide</v>
          </cell>
          <cell r="D38">
            <v>0.05</v>
          </cell>
        </row>
        <row r="39">
          <cell r="B39" t="str">
            <v>16037-50-6</v>
          </cell>
          <cell r="C39" t="str">
            <v>Chromate(1-), chlorotrioxo-, potassium, (T-4)-</v>
          </cell>
          <cell r="D39">
            <v>0.05</v>
          </cell>
        </row>
        <row r="40">
          <cell r="B40" t="str">
            <v>16565-94-9</v>
          </cell>
          <cell r="C40" t="str">
            <v>Chromic acid (H2CrO4), lanthanum(3+) salt (3:2)</v>
          </cell>
          <cell r="D40">
            <v>0.05</v>
          </cell>
        </row>
        <row r="41">
          <cell r="B41" t="str">
            <v>18454-12-1</v>
          </cell>
          <cell r="C41" t="str">
            <v>Lead chromate oxide</v>
          </cell>
          <cell r="D41">
            <v>0.05</v>
          </cell>
        </row>
        <row r="42">
          <cell r="B42" t="str">
            <v>18540-29-9</v>
          </cell>
          <cell r="C42" t="str">
            <v>Chromium (VI)</v>
          </cell>
          <cell r="D42">
            <v>0.01</v>
          </cell>
        </row>
        <row r="43">
          <cell r="B43" t="str">
            <v>27133-66-0</v>
          </cell>
          <cell r="C43" t="str">
            <v>Chromic acid, barium potassium salt</v>
          </cell>
          <cell r="D43">
            <v>0.05</v>
          </cell>
        </row>
        <row r="44">
          <cell r="B44" t="str">
            <v>37300-23-5</v>
          </cell>
          <cell r="C44" t="str">
            <v>Zinc yellow (Zinc chromate pigment)</v>
          </cell>
          <cell r="D44">
            <v>0.01</v>
          </cell>
        </row>
        <row r="45">
          <cell r="B45" t="str">
            <v>37382-24-4</v>
          </cell>
          <cell r="C45" t="str">
            <v>Chromium cobalt oxide</v>
          </cell>
          <cell r="D45">
            <v>0.05</v>
          </cell>
        </row>
        <row r="46">
          <cell r="B46" t="str">
            <v>41189-36-0</v>
          </cell>
          <cell r="C46" t="str">
            <v>Chromic acid, potassium zinc salt</v>
          </cell>
          <cell r="D46">
            <v>0.05</v>
          </cell>
        </row>
        <row r="47">
          <cell r="B47" t="str">
            <v>49663-84-5</v>
          </cell>
          <cell r="C47" t="str">
            <v>Pentazinc chromate octahydroxide</v>
          </cell>
          <cell r="D47">
            <v>0.05</v>
          </cell>
        </row>
        <row r="48">
          <cell r="B48" t="str">
            <v>68475-49-0</v>
          </cell>
          <cell r="C48" t="str">
            <v>Chromium hydroxide oxide silicate</v>
          </cell>
          <cell r="D48">
            <v>0.05</v>
          </cell>
        </row>
        <row r="49">
          <cell r="B49" t="str">
            <v>7440-47-3</v>
          </cell>
          <cell r="C49" t="str">
            <v>Chromium and compounds</v>
          </cell>
          <cell r="D49">
            <v>0.05</v>
          </cell>
        </row>
        <row r="50">
          <cell r="B50" t="str">
            <v>7738-94-5</v>
          </cell>
          <cell r="C50" t="str">
            <v>Chromic acid</v>
          </cell>
          <cell r="D50">
            <v>0.05</v>
          </cell>
        </row>
        <row r="51">
          <cell r="B51" t="str">
            <v>7758-97-6</v>
          </cell>
          <cell r="C51" t="str">
            <v>Lead chromate</v>
          </cell>
          <cell r="D51">
            <v>0.05</v>
          </cell>
        </row>
        <row r="52">
          <cell r="B52" t="str">
            <v>7775-11-3</v>
          </cell>
          <cell r="C52" t="str">
            <v>Sodium chromate</v>
          </cell>
          <cell r="D52">
            <v>0.05</v>
          </cell>
        </row>
        <row r="53">
          <cell r="B53" t="str">
            <v>7778-50-9</v>
          </cell>
          <cell r="C53" t="str">
            <v>Potassium dichromate</v>
          </cell>
          <cell r="D53">
            <v>0.05</v>
          </cell>
        </row>
        <row r="54">
          <cell r="B54" t="str">
            <v>7784-01-2</v>
          </cell>
          <cell r="C54" t="str">
            <v>Silver chromate</v>
          </cell>
          <cell r="D54">
            <v>0.05</v>
          </cell>
        </row>
        <row r="55">
          <cell r="B55" t="str">
            <v>7788-98-9</v>
          </cell>
          <cell r="C55" t="str">
            <v>Ammonium chromate</v>
          </cell>
          <cell r="D55">
            <v>0.05</v>
          </cell>
        </row>
        <row r="56">
          <cell r="B56" t="str">
            <v>7789-00-6</v>
          </cell>
          <cell r="C56" t="str">
            <v>Potassium chromate</v>
          </cell>
          <cell r="D56">
            <v>0.05</v>
          </cell>
        </row>
        <row r="57">
          <cell r="B57" t="str">
            <v>7789-06-2</v>
          </cell>
          <cell r="C57" t="str">
            <v>Strontium chromate</v>
          </cell>
          <cell r="D57">
            <v>0.01</v>
          </cell>
        </row>
        <row r="58">
          <cell r="B58" t="str">
            <v>7789-09-5</v>
          </cell>
          <cell r="C58" t="str">
            <v>Ammonium bichromate</v>
          </cell>
          <cell r="D58">
            <v>0.05</v>
          </cell>
        </row>
        <row r="59">
          <cell r="B59" t="str">
            <v>7789-12-0</v>
          </cell>
          <cell r="C59" t="str">
            <v>Sodium dichromate dihydrate</v>
          </cell>
          <cell r="D59">
            <v>0.05</v>
          </cell>
        </row>
        <row r="60">
          <cell r="B60" t="str">
            <v>99328-50-4</v>
          </cell>
          <cell r="C60" t="str">
            <v>Nitric acid, barium salt, reaction products with ammonia, chromic acid (H2CrO4) diammonium salt and copper(2+) dinitrate, calcin</v>
          </cell>
          <cell r="D60">
            <v>0.05</v>
          </cell>
        </row>
        <row r="61">
          <cell r="B61" t="str">
            <v>10031-13-7</v>
          </cell>
          <cell r="C61" t="str">
            <v>Lead arsenite</v>
          </cell>
          <cell r="D61">
            <v>0.05</v>
          </cell>
        </row>
        <row r="62">
          <cell r="B62" t="str">
            <v>10031-22-8</v>
          </cell>
          <cell r="C62" t="str">
            <v>Lead bromide (PbBr2)</v>
          </cell>
          <cell r="D62">
            <v>0.05</v>
          </cell>
        </row>
        <row r="63">
          <cell r="B63" t="str">
            <v>10099-74-8</v>
          </cell>
          <cell r="C63" t="str">
            <v>Lead dinitrate</v>
          </cell>
          <cell r="D63">
            <v>0.05</v>
          </cell>
        </row>
        <row r="64">
          <cell r="B64" t="str">
            <v>10099-76-0</v>
          </cell>
          <cell r="C64" t="str">
            <v>Lead silicate  (H2SiO3), lead(2+) salt (1:1)</v>
          </cell>
          <cell r="D64">
            <v>0.05</v>
          </cell>
        </row>
        <row r="65">
          <cell r="B65" t="str">
            <v>10099-79-3</v>
          </cell>
          <cell r="C65" t="str">
            <v>Lead vanadate</v>
          </cell>
          <cell r="D65">
            <v>0.05</v>
          </cell>
        </row>
        <row r="66">
          <cell r="B66" t="str">
            <v>10101-63-0</v>
          </cell>
          <cell r="C66" t="str">
            <v>Lead iodide</v>
          </cell>
          <cell r="D66">
            <v>0.05</v>
          </cell>
        </row>
        <row r="67">
          <cell r="B67" t="str">
            <v>10190-55-3</v>
          </cell>
          <cell r="C67" t="str">
            <v>Lead molybdate</v>
          </cell>
          <cell r="D67">
            <v>0.05</v>
          </cell>
        </row>
        <row r="68">
          <cell r="B68" t="str">
            <v>10294-58-3</v>
          </cell>
          <cell r="C68" t="str">
            <v>Lead diphosphinate</v>
          </cell>
          <cell r="D68">
            <v>0.05</v>
          </cell>
        </row>
        <row r="69">
          <cell r="B69" t="str">
            <v>12034-88-7</v>
          </cell>
          <cell r="C69" t="str">
            <v>Lead neobate</v>
          </cell>
          <cell r="D69">
            <v>0.05</v>
          </cell>
        </row>
        <row r="70">
          <cell r="B70" t="str">
            <v>12060-00-3</v>
          </cell>
          <cell r="C70" t="str">
            <v>Lead titanate  (PbTiO3)</v>
          </cell>
          <cell r="D70">
            <v>0.05</v>
          </cell>
        </row>
        <row r="71">
          <cell r="B71" t="str">
            <v>12060-01-4</v>
          </cell>
          <cell r="C71" t="str">
            <v>Lead zirconate</v>
          </cell>
          <cell r="D71">
            <v>0.05</v>
          </cell>
        </row>
        <row r="72">
          <cell r="B72" t="str">
            <v>12065-68-8</v>
          </cell>
          <cell r="C72" t="str">
            <v>Lead tantalate</v>
          </cell>
          <cell r="D72">
            <v>0.05</v>
          </cell>
        </row>
        <row r="73">
          <cell r="B73" t="str">
            <v>12069-00-0</v>
          </cell>
          <cell r="C73" t="str">
            <v>Lead selenide</v>
          </cell>
          <cell r="D73">
            <v>0.05</v>
          </cell>
        </row>
        <row r="74">
          <cell r="B74" t="str">
            <v>1309-60-0</v>
          </cell>
          <cell r="C74" t="str">
            <v>Lead dioxide</v>
          </cell>
          <cell r="D74">
            <v>0.05</v>
          </cell>
        </row>
        <row r="75">
          <cell r="B75" t="str">
            <v>1314-27-8</v>
          </cell>
          <cell r="C75" t="str">
            <v>Lead trioxide</v>
          </cell>
          <cell r="D75">
            <v>0.05</v>
          </cell>
        </row>
        <row r="76">
          <cell r="B76" t="str">
            <v>1314-41-6</v>
          </cell>
          <cell r="C76" t="str">
            <v>Lead oxide</v>
          </cell>
          <cell r="D76">
            <v>0.05</v>
          </cell>
        </row>
        <row r="77">
          <cell r="B77" t="str">
            <v>1314-87-0</v>
          </cell>
          <cell r="C77" t="str">
            <v>Lead sulfide  (PbS)</v>
          </cell>
          <cell r="D77">
            <v>0.05</v>
          </cell>
        </row>
        <row r="78">
          <cell r="B78" t="str">
            <v>1314-91-6</v>
          </cell>
          <cell r="C78" t="str">
            <v>Lead telluride</v>
          </cell>
          <cell r="D78">
            <v>0.05</v>
          </cell>
        </row>
        <row r="79">
          <cell r="B79" t="str">
            <v>1317-36-8</v>
          </cell>
          <cell r="C79" t="str">
            <v>Lead monoxide</v>
          </cell>
          <cell r="D79">
            <v>0.05</v>
          </cell>
        </row>
        <row r="80">
          <cell r="B80" t="str">
            <v>1335-25-7</v>
          </cell>
          <cell r="C80" t="str">
            <v>Lead oxide</v>
          </cell>
          <cell r="D80">
            <v>0.05</v>
          </cell>
        </row>
        <row r="81">
          <cell r="B81" t="str">
            <v>13424-46-9</v>
          </cell>
          <cell r="C81" t="str">
            <v>Lead azide</v>
          </cell>
          <cell r="D81">
            <v>0.05</v>
          </cell>
        </row>
        <row r="82">
          <cell r="B82" t="str">
            <v>1344-37-2</v>
          </cell>
          <cell r="C82" t="str">
            <v>Lead chromate （Chrome yellow）</v>
          </cell>
          <cell r="D82">
            <v>0.05</v>
          </cell>
        </row>
        <row r="83">
          <cell r="B83" t="str">
            <v>13510-89-9</v>
          </cell>
          <cell r="C83" t="str">
            <v>Lead antimonate</v>
          </cell>
          <cell r="D83">
            <v>0.05</v>
          </cell>
        </row>
        <row r="84">
          <cell r="B84" t="str">
            <v>13566-17-1</v>
          </cell>
          <cell r="C84" t="str">
            <v>Lead silicate</v>
          </cell>
          <cell r="D84">
            <v>0.05</v>
          </cell>
        </row>
        <row r="85">
          <cell r="B85" t="str">
            <v>13814-96-5</v>
          </cell>
          <cell r="C85" t="str">
            <v>Lead fluoborate</v>
          </cell>
          <cell r="D85">
            <v>0.05</v>
          </cell>
        </row>
        <row r="86">
          <cell r="B86" t="str">
            <v>19783-14-3</v>
          </cell>
          <cell r="C86" t="str">
            <v>Lead hydroxide</v>
          </cell>
          <cell r="D86">
            <v>0.05</v>
          </cell>
        </row>
        <row r="87">
          <cell r="B87" t="str">
            <v>25659-31-8</v>
          </cell>
          <cell r="C87" t="str">
            <v>Lead iodate</v>
          </cell>
          <cell r="D87">
            <v>0.05</v>
          </cell>
        </row>
        <row r="88">
          <cell r="B88" t="str">
            <v>25808-74-6</v>
          </cell>
          <cell r="C88" t="str">
            <v>Lead silicofluoride　/　Lead hexafluorosilicate</v>
          </cell>
          <cell r="D88">
            <v>0.05</v>
          </cell>
        </row>
        <row r="89">
          <cell r="B89" t="str">
            <v>3687-31-8</v>
          </cell>
          <cell r="C89" t="str">
            <v>Diarsenic acid trilead</v>
          </cell>
          <cell r="D89">
            <v>0.05</v>
          </cell>
        </row>
        <row r="90">
          <cell r="B90" t="str">
            <v>592-05-2</v>
          </cell>
          <cell r="C90" t="str">
            <v>Lead cyanide</v>
          </cell>
          <cell r="D90">
            <v>0.05</v>
          </cell>
        </row>
        <row r="91">
          <cell r="B91" t="str">
            <v>592-87-0</v>
          </cell>
          <cell r="C91" t="str">
            <v>Lead dithiocyanate</v>
          </cell>
          <cell r="D91">
            <v>0.05</v>
          </cell>
        </row>
        <row r="92">
          <cell r="B92" t="str">
            <v>7439-92-1</v>
          </cell>
          <cell r="C92" t="str">
            <v>Lead and inorganic compounds</v>
          </cell>
          <cell r="D92">
            <v>0.05</v>
          </cell>
        </row>
        <row r="93">
          <cell r="B93" t="str">
            <v>7446-14-2</v>
          </cell>
          <cell r="C93" t="str">
            <v>Lead(Ⅱ) sulfate</v>
          </cell>
          <cell r="D93">
            <v>0.05</v>
          </cell>
        </row>
        <row r="94">
          <cell r="B94" t="str">
            <v>7446-15-3</v>
          </cell>
          <cell r="C94" t="str">
            <v>Lead selenate</v>
          </cell>
          <cell r="D94">
            <v>0.05</v>
          </cell>
        </row>
        <row r="95">
          <cell r="B95" t="str">
            <v>7446-27-7</v>
          </cell>
          <cell r="C95" t="str">
            <v>Trilead diorthophosphate</v>
          </cell>
          <cell r="D95">
            <v>0.05</v>
          </cell>
        </row>
        <row r="96">
          <cell r="B96" t="str">
            <v>7488-51-9</v>
          </cell>
          <cell r="C96" t="str">
            <v>Lead selenite</v>
          </cell>
          <cell r="D96">
            <v>0.05</v>
          </cell>
        </row>
        <row r="97">
          <cell r="B97" t="str">
            <v>7758-95-4</v>
          </cell>
          <cell r="C97" t="str">
            <v>Lead chloride</v>
          </cell>
          <cell r="D97">
            <v>0.05</v>
          </cell>
        </row>
        <row r="98">
          <cell r="B98" t="str">
            <v>7783-46-2</v>
          </cell>
          <cell r="C98" t="str">
            <v>Lead difluoride</v>
          </cell>
          <cell r="D98">
            <v>0.05</v>
          </cell>
        </row>
        <row r="99">
          <cell r="B99" t="str">
            <v>7783-59-7</v>
          </cell>
          <cell r="C99" t="str">
            <v>Lead(IV) fluoride</v>
          </cell>
          <cell r="D99">
            <v>0.05</v>
          </cell>
        </row>
        <row r="100">
          <cell r="B100" t="str">
            <v>7784-40-9</v>
          </cell>
          <cell r="C100" t="str">
            <v>Lead arsenate</v>
          </cell>
          <cell r="D100">
            <v>0.05</v>
          </cell>
        </row>
        <row r="101">
          <cell r="B101" t="str">
            <v>110-54-3</v>
          </cell>
          <cell r="C101" t="str">
            <v>n-Hexane</v>
          </cell>
          <cell r="D101">
            <v>180</v>
          </cell>
        </row>
        <row r="102">
          <cell r="B102" t="str">
            <v>10101-96-9</v>
          </cell>
          <cell r="C102" t="str">
            <v>Nickel(2+) selenite</v>
          </cell>
          <cell r="D102">
            <v>0.5</v>
          </cell>
        </row>
        <row r="103">
          <cell r="B103" t="str">
            <v>11133-76-9</v>
          </cell>
          <cell r="C103" t="str">
            <v>Iron alloy, base,(Fe.Ni)(ferronickel)</v>
          </cell>
          <cell r="D103">
            <v>0.5</v>
          </cell>
        </row>
        <row r="104">
          <cell r="B104" t="str">
            <v>12003-78-0</v>
          </cell>
          <cell r="C104" t="str">
            <v>Aluminum, compound with nickel (1:1)</v>
          </cell>
          <cell r="D104">
            <v>0.5</v>
          </cell>
        </row>
        <row r="105">
          <cell r="B105" t="str">
            <v>12004-35-2</v>
          </cell>
          <cell r="C105" t="str">
            <v>Aluminum nickel oxide (Al2NiO4)</v>
          </cell>
          <cell r="D105">
            <v>0.5</v>
          </cell>
        </row>
        <row r="106">
          <cell r="B106" t="str">
            <v>12007-00-0</v>
          </cell>
          <cell r="C106" t="str">
            <v>Nickel boride (NiB)</v>
          </cell>
          <cell r="D106">
            <v>0.5</v>
          </cell>
        </row>
        <row r="107">
          <cell r="B107" t="str">
            <v>12007-01-1</v>
          </cell>
          <cell r="C107" t="str">
            <v>Nickel boride (Ni2B)</v>
          </cell>
          <cell r="D107">
            <v>0.5</v>
          </cell>
        </row>
        <row r="108">
          <cell r="B108" t="str">
            <v>12007-02-2</v>
          </cell>
          <cell r="C108" t="str">
            <v>Nickel boride (Ni3B)</v>
          </cell>
          <cell r="D108">
            <v>0.5</v>
          </cell>
        </row>
        <row r="109">
          <cell r="B109" t="str">
            <v>12031-65-1</v>
          </cell>
          <cell r="C109" t="str">
            <v>Lithium nickel oxide (LiNiO2)</v>
          </cell>
          <cell r="D109">
            <v>0.5</v>
          </cell>
        </row>
        <row r="110">
          <cell r="B110" t="str">
            <v>12034-55-8</v>
          </cell>
          <cell r="C110" t="str">
            <v>Nickel, compound with niobium (1:1)</v>
          </cell>
          <cell r="D110">
            <v>0.5</v>
          </cell>
        </row>
        <row r="111">
          <cell r="B111" t="str">
            <v>12035-36-8</v>
          </cell>
          <cell r="C111" t="str">
            <v>Nickel oxide (NiO2)</v>
          </cell>
          <cell r="D111">
            <v>0.5</v>
          </cell>
        </row>
        <row r="112">
          <cell r="B112" t="str">
            <v>12035-38-0</v>
          </cell>
          <cell r="C112" t="str">
            <v>Nickel tin trioxide</v>
          </cell>
          <cell r="D112">
            <v>0.5</v>
          </cell>
        </row>
        <row r="113">
          <cell r="B113" t="str">
            <v>12035-39-1</v>
          </cell>
          <cell r="C113" t="str">
            <v>Nickel titanium oxide</v>
          </cell>
          <cell r="D113">
            <v>0.5</v>
          </cell>
        </row>
        <row r="114">
          <cell r="B114" t="str">
            <v>12035-52-8</v>
          </cell>
          <cell r="C114" t="str">
            <v>Antimony, compound with nickel (1:1)</v>
          </cell>
          <cell r="D114">
            <v>0.5</v>
          </cell>
        </row>
        <row r="115">
          <cell r="B115" t="str">
            <v>12035-64-2</v>
          </cell>
          <cell r="C115" t="str">
            <v>Nickel phosphide (Ni2P)</v>
          </cell>
          <cell r="D115">
            <v>0.5</v>
          </cell>
        </row>
        <row r="116">
          <cell r="B116" t="str">
            <v>12059-14-2</v>
          </cell>
          <cell r="C116" t="str">
            <v>Nickel silicide (Ni2Si)</v>
          </cell>
          <cell r="D116">
            <v>0.5</v>
          </cell>
        </row>
        <row r="117">
          <cell r="B117" t="str">
            <v>12059-23-3</v>
          </cell>
          <cell r="C117" t="str">
            <v>Nickel, compound with tin (3:1)</v>
          </cell>
          <cell r="D117">
            <v>0.5</v>
          </cell>
        </row>
        <row r="118">
          <cell r="B118" t="str">
            <v>12068-61-0</v>
          </cell>
          <cell r="C118" t="str">
            <v>Nickel diarsenide</v>
          </cell>
          <cell r="D118">
            <v>0.5</v>
          </cell>
        </row>
        <row r="119">
          <cell r="B119" t="str">
            <v>12142-92-6</v>
          </cell>
          <cell r="C119" t="str">
            <v>Nickel, compound with zirconium (1:2)</v>
          </cell>
          <cell r="D119">
            <v>0.5</v>
          </cell>
        </row>
        <row r="120">
          <cell r="B120" t="str">
            <v>12168-54-6</v>
          </cell>
          <cell r="C120" t="str">
            <v>Diiron nickel tetraoxide</v>
          </cell>
          <cell r="D120">
            <v>0.5</v>
          </cell>
        </row>
        <row r="121">
          <cell r="B121" t="str">
            <v>12175-27-8</v>
          </cell>
          <cell r="C121" t="str">
            <v>Dysprosium, compound with nickel (1:2)</v>
          </cell>
          <cell r="D121">
            <v>0.5</v>
          </cell>
        </row>
        <row r="122">
          <cell r="B122" t="str">
            <v>12196-72-4</v>
          </cell>
          <cell r="C122" t="str">
            <v>Lanthanum, compound with nickel (1:5)</v>
          </cell>
          <cell r="D122">
            <v>0.5</v>
          </cell>
        </row>
        <row r="123">
          <cell r="B123" t="str">
            <v>12201-89-7</v>
          </cell>
          <cell r="C123" t="str">
            <v>Nickel silicide (NiSi2)</v>
          </cell>
          <cell r="D123">
            <v>0.5</v>
          </cell>
        </row>
        <row r="124">
          <cell r="B124" t="str">
            <v>12503-49-0</v>
          </cell>
          <cell r="C124" t="str">
            <v>Antimony, compound with nickel (1:3)</v>
          </cell>
          <cell r="D124">
            <v>0.5</v>
          </cell>
        </row>
        <row r="125">
          <cell r="B125" t="str">
            <v>12619-90-8</v>
          </cell>
          <cell r="C125" t="str">
            <v>Nickel boride</v>
          </cell>
          <cell r="D125">
            <v>0.5</v>
          </cell>
        </row>
        <row r="126">
          <cell r="B126" t="str">
            <v>12653-76-8</v>
          </cell>
          <cell r="C126" t="str">
            <v>Nickel titanium oxide</v>
          </cell>
          <cell r="D126">
            <v>0.5</v>
          </cell>
        </row>
        <row r="127">
          <cell r="B127" t="str">
            <v>12673-58-4</v>
          </cell>
          <cell r="C127" t="str">
            <v>Molybdenum nickel oxide</v>
          </cell>
          <cell r="D127">
            <v>0.5</v>
          </cell>
        </row>
        <row r="128">
          <cell r="B128" t="str">
            <v>12688-64-1</v>
          </cell>
          <cell r="C128" t="str">
            <v>Bismuth, compound with nickel (1:1)</v>
          </cell>
          <cell r="D128">
            <v>0.5</v>
          </cell>
        </row>
        <row r="129">
          <cell r="B129" t="str">
            <v>1314-05-2</v>
          </cell>
          <cell r="C129" t="str">
            <v>Nickel selenide</v>
          </cell>
          <cell r="D129">
            <v>0.5</v>
          </cell>
        </row>
        <row r="130">
          <cell r="B130" t="str">
            <v>13477-70-8</v>
          </cell>
          <cell r="C130" t="str">
            <v>Trinickel bis(arsenate)</v>
          </cell>
          <cell r="D130">
            <v>0.5</v>
          </cell>
        </row>
        <row r="131">
          <cell r="B131" t="str">
            <v>13637-71-3</v>
          </cell>
          <cell r="C131" t="str">
            <v>Nickel perchlorate</v>
          </cell>
          <cell r="D131">
            <v>0.5</v>
          </cell>
        </row>
        <row r="132">
          <cell r="B132" t="str">
            <v>13775-54-7</v>
          </cell>
          <cell r="C132" t="str">
            <v>Dinickel orthosilicate</v>
          </cell>
          <cell r="D132">
            <v>0.5</v>
          </cell>
        </row>
        <row r="133">
          <cell r="B133" t="str">
            <v>13842-46-1</v>
          </cell>
          <cell r="C133" t="str">
            <v>Nickel dipotassium bis(sulphate)</v>
          </cell>
          <cell r="D133">
            <v>0.5</v>
          </cell>
        </row>
        <row r="134">
          <cell r="B134" t="str">
            <v>13859-60-4</v>
          </cell>
          <cell r="C134" t="str">
            <v>Dipotassium tetrafluoronickelate(2-)</v>
          </cell>
          <cell r="D134">
            <v>0.5</v>
          </cell>
        </row>
        <row r="135">
          <cell r="B135" t="str">
            <v>13877-20-8</v>
          </cell>
          <cell r="C135" t="str">
            <v>Hexaamminenickel(2+) bis[tetrafluoroborate(1-)]</v>
          </cell>
          <cell r="D135">
            <v>0.5</v>
          </cell>
        </row>
        <row r="136">
          <cell r="B136" t="str">
            <v>13940-83-5</v>
          </cell>
          <cell r="C136" t="str">
            <v>Nickel fluoride (NiF2), tetrahydrate</v>
          </cell>
          <cell r="D136">
            <v>0.5</v>
          </cell>
        </row>
        <row r="137">
          <cell r="B137" t="str">
            <v>14177-51-6</v>
          </cell>
          <cell r="C137" t="str">
            <v>Nickel tungsten oxide (NiWO4)</v>
          </cell>
          <cell r="D137">
            <v>0.5</v>
          </cell>
        </row>
        <row r="138">
          <cell r="B138" t="str">
            <v>14332-34-4</v>
          </cell>
          <cell r="C138" t="str">
            <v>Nickel hydrogen phosphate</v>
          </cell>
          <cell r="D138">
            <v>0.5</v>
          </cell>
        </row>
        <row r="139">
          <cell r="B139" t="str">
            <v>14448-18-1</v>
          </cell>
          <cell r="C139" t="str">
            <v>Diphosphoric acid, nickel(2+) salt (1:2)</v>
          </cell>
          <cell r="D139">
            <v>0.5</v>
          </cell>
        </row>
        <row r="140">
          <cell r="B140" t="str">
            <v>14507-36-9</v>
          </cell>
          <cell r="C140" t="str">
            <v>Nickel bis(phosphinate)</v>
          </cell>
          <cell r="D140">
            <v>0.5</v>
          </cell>
        </row>
        <row r="141">
          <cell r="B141" t="str">
            <v>14550-87-9</v>
          </cell>
          <cell r="C141" t="str">
            <v>Nickel dibromate</v>
          </cell>
          <cell r="D141">
            <v>0.5</v>
          </cell>
        </row>
        <row r="142">
          <cell r="B142" t="str">
            <v>14708-14-6</v>
          </cell>
          <cell r="C142" t="str">
            <v>Nickel(II) fluoborate</v>
          </cell>
          <cell r="D142">
            <v>0.5</v>
          </cell>
        </row>
        <row r="143">
          <cell r="B143" t="str">
            <v>15780-33-3</v>
          </cell>
          <cell r="C143" t="str">
            <v>Nickel uranium oxide (NiU3O10)</v>
          </cell>
          <cell r="D143">
            <v>0.5</v>
          </cell>
        </row>
        <row r="144">
          <cell r="B144" t="str">
            <v>15851-52-2</v>
          </cell>
          <cell r="C144" t="str">
            <v>Telluric acid (H2TeO3), nickel(2+) salt (1:1)</v>
          </cell>
          <cell r="D144">
            <v>0.5</v>
          </cell>
        </row>
        <row r="145">
          <cell r="B145" t="str">
            <v>15852-21-8</v>
          </cell>
          <cell r="C145" t="str">
            <v>Telluric acid (H2TeO4), nickel(2+) salt (1:1)</v>
          </cell>
          <cell r="D145">
            <v>0.5</v>
          </cell>
        </row>
        <row r="146">
          <cell r="B146" t="str">
            <v>17169-61-8</v>
          </cell>
          <cell r="C146" t="str">
            <v>Phosphoric acid, calcium nickel salt</v>
          </cell>
          <cell r="D146">
            <v>0.5</v>
          </cell>
        </row>
        <row r="147">
          <cell r="B147" t="str">
            <v>21784-78-1</v>
          </cell>
          <cell r="C147" t="str">
            <v>Nickel(2+) silicate</v>
          </cell>
          <cell r="D147">
            <v>0.5</v>
          </cell>
        </row>
        <row r="148">
          <cell r="B148" t="str">
            <v>26043-11-8</v>
          </cell>
          <cell r="C148" t="str">
            <v>Nickel(II) fluosilicate</v>
          </cell>
          <cell r="D148">
            <v>0.5</v>
          </cell>
        </row>
        <row r="149">
          <cell r="B149" t="str">
            <v>27016-75-7</v>
          </cell>
          <cell r="C149" t="str">
            <v>Nickel arsenide (NiAs)</v>
          </cell>
          <cell r="D149">
            <v>0.5</v>
          </cell>
        </row>
        <row r="150">
          <cell r="B150" t="str">
            <v>30868-55-4</v>
          </cell>
          <cell r="C150" t="str">
            <v>Zirconate(2-), hexafluoro-, nickel(2+) (1:1), (OC-6-11)-</v>
          </cell>
          <cell r="D150">
            <v>0.5</v>
          </cell>
        </row>
        <row r="151">
          <cell r="B151" t="str">
            <v>31748-25-1</v>
          </cell>
          <cell r="C151" t="str">
            <v>Silicic acid (H2SiO3), nickel(2+) salt (4:3)</v>
          </cell>
          <cell r="D151">
            <v>0.5</v>
          </cell>
        </row>
        <row r="152">
          <cell r="B152" t="str">
            <v>52502-12-2</v>
          </cell>
          <cell r="C152" t="str">
            <v>Nickel vanadium oxide (NiV2O6)</v>
          </cell>
          <cell r="D152">
            <v>0.5</v>
          </cell>
        </row>
        <row r="153">
          <cell r="B153" t="str">
            <v>557-19-7</v>
          </cell>
          <cell r="C153" t="str">
            <v>Nickel cyanide</v>
          </cell>
          <cell r="D153">
            <v>0.5</v>
          </cell>
        </row>
        <row r="154">
          <cell r="B154" t="str">
            <v>58591-45-0</v>
          </cell>
          <cell r="C154" t="str">
            <v>Cobalt nickel oxide (CoNiO2)</v>
          </cell>
          <cell r="D154">
            <v>0.5</v>
          </cell>
        </row>
        <row r="155">
          <cell r="B155" t="str">
            <v>65405-96-1</v>
          </cell>
          <cell r="C155" t="str">
            <v>[.mu.-[Carbonato(2-)-O:O']]dihydroxydinickel</v>
          </cell>
          <cell r="D155">
            <v>0.5</v>
          </cell>
        </row>
        <row r="156">
          <cell r="B156" t="str">
            <v>68016-03-5</v>
          </cell>
          <cell r="C156" t="str">
            <v>Cobalt molybdenum nickel oxide (CoMo2NiO8)</v>
          </cell>
          <cell r="D156">
            <v>0.5</v>
          </cell>
        </row>
        <row r="157">
          <cell r="B157" t="str">
            <v>68134-59-8</v>
          </cell>
          <cell r="C157" t="str">
            <v>Formic acid, copper nickel salt</v>
          </cell>
          <cell r="D157">
            <v>0.5</v>
          </cell>
        </row>
        <row r="158">
          <cell r="B158" t="str">
            <v>69011-05-8</v>
          </cell>
          <cell r="C158" t="str">
            <v>Nickel titanium tungsten oxide (NiTi20W2O47)</v>
          </cell>
          <cell r="D158">
            <v>0.5</v>
          </cell>
        </row>
        <row r="159">
          <cell r="B159" t="str">
            <v>70692-93-2</v>
          </cell>
          <cell r="C159" t="str">
            <v>Nickel zirconium oxide (NiZrO3)</v>
          </cell>
          <cell r="D159">
            <v>0.5</v>
          </cell>
        </row>
        <row r="160">
          <cell r="B160" t="str">
            <v>97435-21-7</v>
          </cell>
          <cell r="C160" t="str">
            <v>Diiron nickel zinc tetraoxide</v>
          </cell>
          <cell r="D160">
            <v>0.5</v>
          </cell>
        </row>
        <row r="161">
          <cell r="B161" t="str">
            <v>99587-11-8</v>
          </cell>
          <cell r="C161" t="str">
            <v>Diammonium tetrachloronickelate(2-)</v>
          </cell>
          <cell r="D161">
            <v>0.5</v>
          </cell>
        </row>
        <row r="162">
          <cell r="B162" t="str">
            <v>7440-02-0</v>
          </cell>
          <cell r="C162" t="str">
            <v>Insoluble inorganic compounds</v>
          </cell>
          <cell r="D162">
            <v>0.5</v>
          </cell>
        </row>
        <row r="163">
          <cell r="B163" t="str">
            <v>68-12-2</v>
          </cell>
          <cell r="C163" t="str">
            <v>Dimethylformamide</v>
          </cell>
          <cell r="D163">
            <v>30</v>
          </cell>
        </row>
        <row r="164">
          <cell r="B164" t="str">
            <v>71-43-2</v>
          </cell>
          <cell r="C164" t="str">
            <v>Benzene</v>
          </cell>
          <cell r="D164">
            <v>3</v>
          </cell>
        </row>
        <row r="165">
          <cell r="B165" t="str">
            <v>1332-21-4</v>
          </cell>
          <cell r="C165" t="str">
            <v>Asbestos, chrysotile</v>
          </cell>
          <cell r="D165">
            <v>0.1</v>
          </cell>
        </row>
        <row r="166">
          <cell r="B166" t="str">
            <v>75-15-0</v>
          </cell>
          <cell r="C166" t="str">
            <v>Carbon disulfide</v>
          </cell>
          <cell r="D166">
            <v>30</v>
          </cell>
        </row>
        <row r="167">
          <cell r="B167" t="str">
            <v>10022-68-1</v>
          </cell>
          <cell r="C167" t="str">
            <v>Cadmium nitrate tetrahydrate</v>
          </cell>
          <cell r="D167">
            <v>0.03</v>
          </cell>
        </row>
        <row r="168">
          <cell r="B168" t="str">
            <v>100402-53-7</v>
          </cell>
          <cell r="C168" t="str">
            <v>Cadmium chloride phosphate (Cd5Cl(PO4)3), manganese-doped</v>
          </cell>
          <cell r="D168">
            <v>0.03</v>
          </cell>
        </row>
        <row r="169">
          <cell r="B169" t="str">
            <v>10108-64-2</v>
          </cell>
          <cell r="C169" t="str">
            <v>Cadmium chloride</v>
          </cell>
          <cell r="D169">
            <v>0.03</v>
          </cell>
        </row>
        <row r="170">
          <cell r="B170" t="str">
            <v>10124-36-4</v>
          </cell>
          <cell r="C170" t="str">
            <v>Cadmium sulfate</v>
          </cell>
          <cell r="D170">
            <v>0.03</v>
          </cell>
        </row>
        <row r="171">
          <cell r="B171" t="str">
            <v>101356-99-4</v>
          </cell>
          <cell r="C171" t="str">
            <v>Cadmium oxide (CdO), solid solution with calcium oxide and titanium oxide (TiO2), praseodymium-doped</v>
          </cell>
          <cell r="D171">
            <v>0.03</v>
          </cell>
        </row>
        <row r="172">
          <cell r="B172" t="str">
            <v>101357-00-0</v>
          </cell>
          <cell r="C172" t="str">
            <v>Cadmium selenide (CdSe), solid solution with cadmium sulfide, zinc selenide and zinc sulfide, aluminum and copper-doped</v>
          </cell>
          <cell r="D172">
            <v>0.03</v>
          </cell>
        </row>
        <row r="173">
          <cell r="B173" t="str">
            <v>101357-01-1</v>
          </cell>
          <cell r="C173" t="str">
            <v>Cadmium selenide (CdSe), solid solution with cadmium sulfide, zinc selenide and zinc sulfide, copper and manganese-doped</v>
          </cell>
          <cell r="D173">
            <v>0.03</v>
          </cell>
        </row>
        <row r="174">
          <cell r="B174" t="str">
            <v>101357-02-2</v>
          </cell>
          <cell r="C174" t="str">
            <v>Cadmium selenide (CdSe), solid solution with cadmium sulfide, zinc selenide and zinc sulfide, europium-doped</v>
          </cell>
          <cell r="D174">
            <v>0.03</v>
          </cell>
        </row>
        <row r="175">
          <cell r="B175" t="str">
            <v>101357-03-3</v>
          </cell>
          <cell r="C175" t="str">
            <v>Cadmium selenide (CdSe), solid solution with cadmium sulfide, zinc selenide and zinc sulfide, gold and manganese-doped</v>
          </cell>
          <cell r="D175">
            <v>0.03</v>
          </cell>
        </row>
        <row r="176">
          <cell r="B176" t="str">
            <v>101357-04-4</v>
          </cell>
          <cell r="C176" t="str">
            <v>Cadmium selenide (CdSe), solid solution with cadmium sulfide, zinc selenide and zinc sulfide, manganese and silver-doped</v>
          </cell>
          <cell r="D176">
            <v>0.03</v>
          </cell>
        </row>
        <row r="177">
          <cell r="B177" t="str">
            <v>10196-67-5</v>
          </cell>
          <cell r="C177" t="str">
            <v>Tetradecanoic acid, cadmium salt</v>
          </cell>
          <cell r="D177">
            <v>0.03</v>
          </cell>
        </row>
        <row r="178">
          <cell r="B178" t="str">
            <v>102110-30-5</v>
          </cell>
          <cell r="C178" t="str">
            <v>Cadmium oxide (CdO), solid solution with magnesium oxide, tungsten oxide (WO3) and zinc oxide</v>
          </cell>
          <cell r="D178">
            <v>0.03</v>
          </cell>
        </row>
        <row r="179">
          <cell r="B179" t="str">
            <v>10325-94-7</v>
          </cell>
          <cell r="C179" t="str">
            <v>Cadmium nitrate</v>
          </cell>
          <cell r="D179">
            <v>0.03</v>
          </cell>
        </row>
        <row r="180">
          <cell r="B180" t="str">
            <v>11112-63-3</v>
          </cell>
          <cell r="C180" t="str">
            <v>Cadmium selenide sulphide</v>
          </cell>
          <cell r="D180">
            <v>0.03</v>
          </cell>
        </row>
        <row r="181">
          <cell r="B181" t="str">
            <v>11129-14-9</v>
          </cell>
          <cell r="C181" t="str">
            <v>Cadmium zinc sulfide</v>
          </cell>
          <cell r="D181">
            <v>0.03</v>
          </cell>
        </row>
        <row r="182">
          <cell r="B182" t="str">
            <v>12006-15-4</v>
          </cell>
          <cell r="C182" t="str">
            <v>Cadmium arsenide (Cd3As2)</v>
          </cell>
          <cell r="D182">
            <v>0.03</v>
          </cell>
        </row>
        <row r="183">
          <cell r="B183" t="str">
            <v>12014-14-1</v>
          </cell>
          <cell r="C183" t="str">
            <v>Cadmium titanium oxide (CdTiO3)</v>
          </cell>
          <cell r="D183">
            <v>0.03</v>
          </cell>
        </row>
        <row r="184">
          <cell r="B184" t="str">
            <v>12014-28-7</v>
          </cell>
          <cell r="C184" t="str">
            <v>Cadmium phosphide (Cd3P2)</v>
          </cell>
          <cell r="D184">
            <v>0.03</v>
          </cell>
        </row>
        <row r="185">
          <cell r="B185" t="str">
            <v>12014-29-8</v>
          </cell>
          <cell r="C185" t="str">
            <v>Antimony, compound with cadmium (2:3)</v>
          </cell>
          <cell r="D185">
            <v>0.03</v>
          </cell>
        </row>
        <row r="186">
          <cell r="B186" t="str">
            <v>12139-22-9</v>
          </cell>
          <cell r="C186" t="str">
            <v>Cadmium peroxide (Cd(O2))</v>
          </cell>
          <cell r="D186">
            <v>0.03</v>
          </cell>
        </row>
        <row r="187">
          <cell r="B187" t="str">
            <v>12139-23-0</v>
          </cell>
          <cell r="C187" t="str">
            <v>Cadmium zirconium oxide (CdZrO3)</v>
          </cell>
          <cell r="D187">
            <v>0.03</v>
          </cell>
        </row>
        <row r="188">
          <cell r="B188" t="str">
            <v>12185-64-7</v>
          </cell>
          <cell r="C188" t="str">
            <v>Cadmium chloride phosphate (Cd5Cl(PO4)3)</v>
          </cell>
          <cell r="D188">
            <v>0.03</v>
          </cell>
        </row>
        <row r="189">
          <cell r="B189" t="str">
            <v>12187-14-3</v>
          </cell>
          <cell r="C189" t="str">
            <v>Cadmium niobium oxide (Cd2Nb2O7)</v>
          </cell>
          <cell r="D189">
            <v>0.03</v>
          </cell>
        </row>
        <row r="190">
          <cell r="B190" t="str">
            <v>12213-70-6</v>
          </cell>
          <cell r="C190" t="str">
            <v>Cadmium selenide sulfide, (Cd2SeS)</v>
          </cell>
          <cell r="D190">
            <v>0.03</v>
          </cell>
        </row>
        <row r="191">
          <cell r="B191" t="str">
            <v>12214-12-9</v>
          </cell>
          <cell r="C191" t="str">
            <v>Cadmium selenide sulfide (Cd2SeS)</v>
          </cell>
          <cell r="D191">
            <v>0.03</v>
          </cell>
        </row>
        <row r="192">
          <cell r="B192" t="str">
            <v>12292-07-8</v>
          </cell>
          <cell r="C192" t="str">
            <v>Cadmium tantalum oxide (CdTa2O6)</v>
          </cell>
          <cell r="D192">
            <v>0.03</v>
          </cell>
        </row>
        <row r="193">
          <cell r="B193" t="str">
            <v>12442-27-2</v>
          </cell>
          <cell r="C193" t="str">
            <v>Cadmium zinc sulfide ((Cd,Zn)S)</v>
          </cell>
          <cell r="D193">
            <v>0.03</v>
          </cell>
        </row>
        <row r="194">
          <cell r="B194" t="str">
            <v>12626-36-7</v>
          </cell>
          <cell r="C194" t="str">
            <v>Cadmium selenide sulfide (Cd(Se,S))</v>
          </cell>
          <cell r="D194">
            <v>0.03</v>
          </cell>
        </row>
        <row r="195">
          <cell r="B195" t="str">
            <v>12656-57-4</v>
          </cell>
          <cell r="C195" t="str">
            <v>C.I. Pigment Orange 20</v>
          </cell>
          <cell r="D195">
            <v>0.03</v>
          </cell>
        </row>
        <row r="196">
          <cell r="B196" t="str">
            <v>1306-19-0</v>
          </cell>
          <cell r="C196" t="str">
            <v>Cadmium oxide</v>
          </cell>
          <cell r="D196">
            <v>0.03</v>
          </cell>
        </row>
        <row r="197">
          <cell r="B197" t="str">
            <v>1306-23-6</v>
          </cell>
          <cell r="C197" t="str">
            <v>Cadmium sulfide</v>
          </cell>
          <cell r="D197">
            <v>0.03</v>
          </cell>
        </row>
        <row r="198">
          <cell r="B198" t="str">
            <v>1306-24-7</v>
          </cell>
          <cell r="C198" t="str">
            <v>Cadmium selenide (CdSe)</v>
          </cell>
          <cell r="D198">
            <v>0.03</v>
          </cell>
        </row>
        <row r="199">
          <cell r="B199" t="str">
            <v>1306-25-8</v>
          </cell>
          <cell r="C199" t="str">
            <v>Cadmium telluride (CdTe)</v>
          </cell>
          <cell r="D199">
            <v>0.03</v>
          </cell>
        </row>
        <row r="200">
          <cell r="B200" t="str">
            <v>13464-92-1</v>
          </cell>
          <cell r="C200" t="str">
            <v>Cadmium bromide, tetrahydrate</v>
          </cell>
          <cell r="D200">
            <v>0.03</v>
          </cell>
        </row>
        <row r="201">
          <cell r="B201" t="str">
            <v>13477-17-3</v>
          </cell>
          <cell r="C201" t="str">
            <v>Phosphoric acid, cadmium salt (2:3)</v>
          </cell>
          <cell r="D201">
            <v>0.03</v>
          </cell>
        </row>
        <row r="202">
          <cell r="B202" t="str">
            <v>13477-19-5</v>
          </cell>
          <cell r="C202" t="str">
            <v>Silicic acid (H2SiO3), cadmium salt (1:1)</v>
          </cell>
          <cell r="D202">
            <v>0.03</v>
          </cell>
        </row>
        <row r="203">
          <cell r="B203" t="str">
            <v>13477-23-1</v>
          </cell>
          <cell r="C203" t="str">
            <v>Cadmium sulphite</v>
          </cell>
          <cell r="D203">
            <v>0.03</v>
          </cell>
        </row>
        <row r="204">
          <cell r="B204" t="str">
            <v>13701-66-1</v>
          </cell>
          <cell r="C204" t="str">
            <v>Diboron tricadmium hexaoxide</v>
          </cell>
          <cell r="D204">
            <v>0.03</v>
          </cell>
        </row>
        <row r="205">
          <cell r="B205" t="str">
            <v>13755-33-4</v>
          </cell>
          <cell r="C205" t="str">
            <v>Dicadmium hexakis(cyano-C)ferrate(4-)</v>
          </cell>
          <cell r="D205">
            <v>0.03</v>
          </cell>
        </row>
        <row r="206">
          <cell r="B206" t="str">
            <v>13814-59-0</v>
          </cell>
          <cell r="C206" t="str">
            <v>Selenious acid, cadmium salt (1:1)</v>
          </cell>
          <cell r="D206">
            <v>0.03</v>
          </cell>
        </row>
        <row r="207">
          <cell r="B207" t="str">
            <v>13814-62-5</v>
          </cell>
          <cell r="C207" t="str">
            <v>Selenic acid, cadmium salt (1:1)</v>
          </cell>
          <cell r="D207">
            <v>0.03</v>
          </cell>
        </row>
        <row r="208">
          <cell r="B208" t="str">
            <v>13832-25-2</v>
          </cell>
          <cell r="C208" t="str">
            <v>Cadmium diricinoleate</v>
          </cell>
          <cell r="D208">
            <v>0.03</v>
          </cell>
        </row>
        <row r="209">
          <cell r="B209" t="str">
            <v>13847-17-1</v>
          </cell>
          <cell r="C209" t="str">
            <v>Phosphoric acid, cadmium salt</v>
          </cell>
          <cell r="D209">
            <v>0.03</v>
          </cell>
        </row>
        <row r="210">
          <cell r="B210" t="str">
            <v>13972-68-4</v>
          </cell>
          <cell r="C210" t="str">
            <v>Cadmium molybdenum oxide (CdMoO4)</v>
          </cell>
          <cell r="D210">
            <v>0.03</v>
          </cell>
        </row>
        <row r="211">
          <cell r="B211" t="str">
            <v>14017-36-8</v>
          </cell>
          <cell r="C211" t="str">
            <v>Sulfamic acid, cadmium salt (2:1)</v>
          </cell>
          <cell r="D211">
            <v>0.03</v>
          </cell>
        </row>
        <row r="212">
          <cell r="B212" t="str">
            <v>14067-62-0</v>
          </cell>
          <cell r="C212" t="str">
            <v>Cadmium hydrogen phosphate</v>
          </cell>
          <cell r="D212">
            <v>0.03</v>
          </cell>
        </row>
        <row r="213">
          <cell r="B213" t="str">
            <v>141-00-4</v>
          </cell>
          <cell r="C213" t="str">
            <v>Cadmium succinate</v>
          </cell>
          <cell r="D213">
            <v>0.03</v>
          </cell>
        </row>
        <row r="214">
          <cell r="B214" t="str">
            <v>14312-00-6</v>
          </cell>
          <cell r="C214" t="str">
            <v>Cadmium chromate</v>
          </cell>
          <cell r="D214">
            <v>0.03</v>
          </cell>
        </row>
        <row r="215">
          <cell r="B215" t="str">
            <v>14402-75-6</v>
          </cell>
          <cell r="C215" t="str">
            <v>Cadmate(2-), tetrakis(cyano-C)-, dipotassium, (T-4)-</v>
          </cell>
          <cell r="D215">
            <v>0.03</v>
          </cell>
        </row>
        <row r="216">
          <cell r="B216" t="str">
            <v>14486-19-2</v>
          </cell>
          <cell r="C216" t="str">
            <v>Cadmium fluoborate</v>
          </cell>
          <cell r="D216">
            <v>0.03</v>
          </cell>
        </row>
        <row r="217">
          <cell r="B217" t="str">
            <v>14520-70-8</v>
          </cell>
          <cell r="C217" t="str">
            <v>Phosphoric acid, ammonium cadmium salt (1:1:1)</v>
          </cell>
          <cell r="D217">
            <v>0.03</v>
          </cell>
        </row>
        <row r="218">
          <cell r="B218" t="str">
            <v>14923-81-0</v>
          </cell>
          <cell r="C218" t="str">
            <v>Cadmium diicosanoate</v>
          </cell>
          <cell r="D218">
            <v>0.03</v>
          </cell>
        </row>
        <row r="219">
          <cell r="B219" t="str">
            <v>15337-60-7</v>
          </cell>
          <cell r="C219" t="str">
            <v>Cadmium-barium laurate</v>
          </cell>
          <cell r="D219">
            <v>0.03</v>
          </cell>
        </row>
        <row r="220">
          <cell r="B220" t="str">
            <v>15600-62-1</v>
          </cell>
          <cell r="C220" t="str">
            <v>Diphosphoric acid, cadmium salt (1:2)</v>
          </cell>
          <cell r="D220">
            <v>0.03</v>
          </cell>
        </row>
        <row r="221">
          <cell r="B221" t="str">
            <v>15743-19-8</v>
          </cell>
          <cell r="C221" t="str">
            <v>Cadmium acrylate</v>
          </cell>
          <cell r="D221">
            <v>0.03</v>
          </cell>
        </row>
        <row r="222">
          <cell r="B222" t="str">
            <v>15851-44-2</v>
          </cell>
          <cell r="C222" t="str">
            <v>Telluric acid (H2TeO3), cadmium salt (1:1)</v>
          </cell>
          <cell r="D222">
            <v>0.03</v>
          </cell>
        </row>
        <row r="223">
          <cell r="B223" t="str">
            <v>15852-14-9</v>
          </cell>
          <cell r="C223" t="str">
            <v>Telluric acid (H2TeO4), cadmium salt (1:1)</v>
          </cell>
          <cell r="D223">
            <v>0.03</v>
          </cell>
        </row>
        <row r="224">
          <cell r="B224" t="str">
            <v>16056-72-7</v>
          </cell>
          <cell r="C224" t="str">
            <v>Cadmium vanadium oxide (CdV2O6)</v>
          </cell>
          <cell r="D224">
            <v>0.03</v>
          </cell>
        </row>
        <row r="225">
          <cell r="B225" t="str">
            <v>16984-36-4</v>
          </cell>
          <cell r="C225" t="str">
            <v>Propanoic acid, cadmium salt</v>
          </cell>
          <cell r="D225">
            <v>0.03</v>
          </cell>
        </row>
        <row r="226">
          <cell r="B226" t="str">
            <v>16986-83-7</v>
          </cell>
          <cell r="C226" t="str">
            <v>Cadmium propionate</v>
          </cell>
          <cell r="D226">
            <v>0.03</v>
          </cell>
        </row>
        <row r="227">
          <cell r="B227" t="str">
            <v>17010-21-8</v>
          </cell>
          <cell r="C227" t="str">
            <v>Cadmium hexafluorosilicate(2-)      Cadmium fluorosilicate</v>
          </cell>
          <cell r="D227">
            <v>0.03</v>
          </cell>
        </row>
        <row r="228">
          <cell r="B228" t="str">
            <v>19262-93-2</v>
          </cell>
          <cell r="C228" t="str">
            <v>Diphosphoric acid, cadmium salt</v>
          </cell>
          <cell r="D228">
            <v>0.03</v>
          </cell>
        </row>
        <row r="229">
          <cell r="B229" t="str">
            <v>20648-91-3</v>
          </cell>
          <cell r="C229" t="str">
            <v>Dipotassium tetrachlorocadmate(2-)</v>
          </cell>
          <cell r="D229">
            <v>0.03</v>
          </cell>
        </row>
        <row r="230">
          <cell r="B230" t="str">
            <v>21041-95-2</v>
          </cell>
          <cell r="C230" t="str">
            <v>Cadmium hydroxide (Cd(OH)2)</v>
          </cell>
          <cell r="D230">
            <v>0.03</v>
          </cell>
        </row>
        <row r="231">
          <cell r="B231" t="str">
            <v>2223-93-0</v>
          </cell>
          <cell r="C231" t="str">
            <v>Cadmium stearate</v>
          </cell>
          <cell r="D231">
            <v>0.03</v>
          </cell>
        </row>
        <row r="232">
          <cell r="B232" t="str">
            <v>29870-72-2</v>
          </cell>
          <cell r="C232" t="str">
            <v>Cadmium mercury telluride ((Cd,Hg)Te)</v>
          </cell>
          <cell r="D232">
            <v>0.03</v>
          </cell>
        </row>
        <row r="233">
          <cell r="B233" t="str">
            <v>37131-86-5</v>
          </cell>
          <cell r="C233" t="str">
            <v>Diphosphoric acid, barium cadmium salt</v>
          </cell>
          <cell r="D233">
            <v>0.03</v>
          </cell>
        </row>
        <row r="234">
          <cell r="B234" t="str">
            <v>51222-60-7</v>
          </cell>
          <cell r="C234" t="str">
            <v>Boric acid, cadmium salt</v>
          </cell>
          <cell r="D234">
            <v>0.03</v>
          </cell>
        </row>
        <row r="235">
          <cell r="B235" t="str">
            <v>513-78-0</v>
          </cell>
          <cell r="C235" t="str">
            <v>Cadmium carbonate</v>
          </cell>
          <cell r="D235">
            <v>0.03</v>
          </cell>
        </row>
        <row r="236">
          <cell r="B236" t="str">
            <v>542-83-6</v>
          </cell>
          <cell r="C236" t="str">
            <v>Cadmium cyanide (Cd(CN)2)</v>
          </cell>
          <cell r="D236">
            <v>0.03</v>
          </cell>
        </row>
        <row r="237">
          <cell r="B237" t="str">
            <v>543-90-8</v>
          </cell>
          <cell r="C237" t="str">
            <v>Cadmium acetate</v>
          </cell>
          <cell r="D237">
            <v>0.03</v>
          </cell>
        </row>
        <row r="238">
          <cell r="B238" t="str">
            <v>71243-75-9</v>
          </cell>
          <cell r="C238" t="str">
            <v>Cadmium selenide sulfide (CdSe0.53S0.47)</v>
          </cell>
          <cell r="D238">
            <v>0.03</v>
          </cell>
        </row>
        <row r="239">
          <cell r="B239" t="str">
            <v>7440-43-9</v>
          </cell>
          <cell r="C239" t="str">
            <v>Cadmium and compounds</v>
          </cell>
          <cell r="D239">
            <v>0.03</v>
          </cell>
        </row>
        <row r="240">
          <cell r="B240" t="str">
            <v>7789-42-6</v>
          </cell>
          <cell r="C240" t="str">
            <v>Cadmium bromide</v>
          </cell>
          <cell r="D240">
            <v>0.03</v>
          </cell>
        </row>
        <row r="241">
          <cell r="B241" t="str">
            <v>7790-78-5</v>
          </cell>
          <cell r="C241" t="str">
            <v>Cadmium chloride, hydrate (2:5)</v>
          </cell>
          <cell r="D241">
            <v>0.03</v>
          </cell>
        </row>
        <row r="242">
          <cell r="B242" t="str">
            <v>7790-79-6</v>
          </cell>
          <cell r="C242" t="str">
            <v>Cadmium fluoride (CdF2)</v>
          </cell>
          <cell r="D242">
            <v>0.03</v>
          </cell>
        </row>
        <row r="243">
          <cell r="B243" t="str">
            <v>7790-80-9</v>
          </cell>
          <cell r="C243" t="str">
            <v>Cadmium iodide</v>
          </cell>
          <cell r="D243">
            <v>0.03</v>
          </cell>
        </row>
        <row r="244">
          <cell r="B244" t="str">
            <v>7790-81-0</v>
          </cell>
          <cell r="C244" t="str">
            <v>Cadmium iodate</v>
          </cell>
          <cell r="D244">
            <v>0.03</v>
          </cell>
        </row>
        <row r="245">
          <cell r="B245" t="str">
            <v>7790-83-2</v>
          </cell>
          <cell r="C245" t="str">
            <v>Cadmium dinitrite</v>
          </cell>
          <cell r="D245">
            <v>0.03</v>
          </cell>
        </row>
        <row r="246">
          <cell r="B246" t="str">
            <v>7790-84-3</v>
          </cell>
          <cell r="C246" t="str">
            <v>Cadmium sulfate 3/8 hydrate</v>
          </cell>
          <cell r="D246">
            <v>0.03</v>
          </cell>
        </row>
        <row r="247">
          <cell r="B247" t="str">
            <v>7790-85-4</v>
          </cell>
          <cell r="C247" t="str">
            <v>Cadmium tungsten oxide (CdWO4)</v>
          </cell>
          <cell r="D247">
            <v>0.03</v>
          </cell>
        </row>
        <row r="248">
          <cell r="B248" t="str">
            <v>93820-02-1</v>
          </cell>
          <cell r="C248" t="str">
            <v>Carbonic acid, cadmium salt</v>
          </cell>
          <cell r="D248">
            <v>0.03</v>
          </cell>
        </row>
        <row r="249">
          <cell r="B249" t="str">
            <v>584-84-9</v>
          </cell>
          <cell r="C249" t="str">
            <v>Toluene-2,4-diisocyanate</v>
          </cell>
          <cell r="D249">
            <v>0.04</v>
          </cell>
        </row>
        <row r="250">
          <cell r="B250" t="str">
            <v>79-01-6</v>
          </cell>
          <cell r="C250" t="str">
            <v>Trichloroethylene</v>
          </cell>
          <cell r="D250">
            <v>270</v>
          </cell>
        </row>
        <row r="251">
          <cell r="B251" t="str">
            <v>50-00-0</v>
          </cell>
          <cell r="C251" t="str">
            <v>Formaldehyde</v>
          </cell>
          <cell r="D251">
            <v>0.75</v>
          </cell>
        </row>
        <row r="252">
          <cell r="B252" t="str">
            <v>10034-82-9</v>
          </cell>
          <cell r="C252" t="str">
            <v>Sodium  chromate, tetrahydrate</v>
          </cell>
          <cell r="D252">
            <v>0.05</v>
          </cell>
        </row>
        <row r="253">
          <cell r="B253" t="str">
            <v>11113-70-5</v>
          </cell>
          <cell r="C253" t="str">
            <v>Lead  chromate silicate</v>
          </cell>
          <cell r="D253">
            <v>0.05</v>
          </cell>
        </row>
        <row r="254">
          <cell r="B254" t="str">
            <v>1189-85-1</v>
          </cell>
          <cell r="C254" t="str">
            <v>Tert-butyl  chromate</v>
          </cell>
          <cell r="D254">
            <v>0.05</v>
          </cell>
        </row>
        <row r="255">
          <cell r="B255" t="str">
            <v>13446-72-5</v>
          </cell>
          <cell r="C255" t="str">
            <v>Rubidium chromate</v>
          </cell>
          <cell r="D255">
            <v>0.05</v>
          </cell>
        </row>
        <row r="256">
          <cell r="B256" t="str">
            <v>13446-73-6</v>
          </cell>
          <cell r="C256" t="str">
            <v>Dirubidium dichromate</v>
          </cell>
          <cell r="D256">
            <v>0.05</v>
          </cell>
        </row>
        <row r="257">
          <cell r="B257" t="str">
            <v>13517-17-4</v>
          </cell>
          <cell r="C257" t="str">
            <v>Sodium  chromate decahydrate</v>
          </cell>
          <cell r="D257">
            <v>0.05</v>
          </cell>
        </row>
        <row r="258">
          <cell r="B258" t="str">
            <v>13530-67-1</v>
          </cell>
          <cell r="C258" t="str">
            <v>Cesium  dichromate</v>
          </cell>
          <cell r="D258">
            <v>0.05</v>
          </cell>
        </row>
        <row r="259">
          <cell r="B259" t="str">
            <v>14307-33-6</v>
          </cell>
          <cell r="C259" t="str">
            <v>Calcium dichromate(VI)</v>
          </cell>
          <cell r="D259">
            <v>0.05</v>
          </cell>
        </row>
        <row r="260">
          <cell r="B260" t="str">
            <v>20039-37-6</v>
          </cell>
          <cell r="C260" t="str">
            <v>Pyridinium dichromate</v>
          </cell>
          <cell r="D260">
            <v>0.05</v>
          </cell>
        </row>
        <row r="261">
          <cell r="B261" t="str">
            <v>2146108</v>
          </cell>
          <cell r="C261" t="str">
            <v>Sodium  chromate</v>
          </cell>
          <cell r="D261">
            <v>0.05</v>
          </cell>
        </row>
        <row r="262">
          <cell r="B262" t="str">
            <v>2149090</v>
          </cell>
          <cell r="C262" t="str">
            <v>Silver  chromate</v>
          </cell>
          <cell r="D262">
            <v>0.05</v>
          </cell>
        </row>
        <row r="263">
          <cell r="B263" t="str">
            <v>2150922</v>
          </cell>
          <cell r="C263" t="str">
            <v>Lithium chromate</v>
          </cell>
          <cell r="D263">
            <v>0.05</v>
          </cell>
        </row>
        <row r="264">
          <cell r="B264" t="str">
            <v>2151068</v>
          </cell>
          <cell r="C264" t="str">
            <v>Strontium  chromate</v>
          </cell>
          <cell r="D264">
            <v>0.05</v>
          </cell>
        </row>
        <row r="265">
          <cell r="B265" t="str">
            <v>2151163</v>
          </cell>
          <cell r="C265" t="str">
            <v>Ammonium dichromate</v>
          </cell>
          <cell r="D265">
            <v>0.05</v>
          </cell>
        </row>
        <row r="266">
          <cell r="B266" t="str">
            <v>37337-13-6</v>
          </cell>
          <cell r="C266" t="str">
            <v>Chromated  copper arsenate</v>
          </cell>
          <cell r="D266">
            <v>0.05</v>
          </cell>
        </row>
        <row r="267">
          <cell r="B267" t="str">
            <v>51899-02-6</v>
          </cell>
          <cell r="C267" t="str">
            <v>Leadchromatesulfate</v>
          </cell>
          <cell r="D267">
            <v>0.05</v>
          </cell>
        </row>
        <row r="268">
          <cell r="B268" t="str">
            <v>69011-07-0</v>
          </cell>
          <cell r="C268" t="str">
            <v>Leadchromatesilicate</v>
          </cell>
          <cell r="D268">
            <v>0.05</v>
          </cell>
        </row>
        <row r="269">
          <cell r="B269" t="str">
            <v>24613-89-6</v>
          </cell>
          <cell r="C269" t="str">
            <v>Chromic  chromate</v>
          </cell>
          <cell r="D269">
            <v>0.01</v>
          </cell>
        </row>
        <row r="270">
          <cell r="B270" t="str">
            <v>50922-29-7</v>
          </cell>
          <cell r="C270" t="str">
            <v>Chromium  zinc oxide</v>
          </cell>
          <cell r="D270">
            <v>0.01</v>
          </cell>
        </row>
        <row r="271">
          <cell r="B271" t="str">
            <v>63020-43-9</v>
          </cell>
          <cell r="C271" t="str">
            <v>Potassium  zinc chromate</v>
          </cell>
          <cell r="D271">
            <v>0.01</v>
          </cell>
        </row>
        <row r="272">
          <cell r="B272" t="str">
            <v>10294-47-0</v>
          </cell>
          <cell r="C272" t="str">
            <v>Lead(II) chlorate</v>
          </cell>
          <cell r="D272">
            <v>0.05</v>
          </cell>
        </row>
        <row r="273">
          <cell r="B273" t="str">
            <v>13453-62-8</v>
          </cell>
          <cell r="C273" t="str">
            <v>Lead(II) perchlorate</v>
          </cell>
          <cell r="D273">
            <v>0.05</v>
          </cell>
        </row>
        <row r="274">
          <cell r="B274" t="str">
            <v>13463-30-4</v>
          </cell>
          <cell r="C274" t="str">
            <v>Lead(IV) chloride</v>
          </cell>
          <cell r="D274">
            <v>0.05</v>
          </cell>
        </row>
        <row r="275">
          <cell r="B275" t="str">
            <v>13701-91-2</v>
          </cell>
          <cell r="C275" t="str">
            <v>Lead(IV) bromide</v>
          </cell>
          <cell r="D275">
            <v>0.05</v>
          </cell>
        </row>
        <row r="276">
          <cell r="B276" t="str">
            <v>15875-18-0</v>
          </cell>
          <cell r="C276" t="str">
            <v>Lead(IV) hydride</v>
          </cell>
          <cell r="D276">
            <v>0.05</v>
          </cell>
        </row>
        <row r="277">
          <cell r="B277" t="str">
            <v>39280-96-1</v>
          </cell>
          <cell r="C277" t="str">
            <v>Lead(II) telluride</v>
          </cell>
          <cell r="D277">
            <v>0.05</v>
          </cell>
        </row>
        <row r="278">
          <cell r="B278" t="str">
            <v>469906-25-0</v>
          </cell>
          <cell r="C278" t="str">
            <v>Lead(II) oxide</v>
          </cell>
          <cell r="D278">
            <v>0.05</v>
          </cell>
        </row>
        <row r="279">
          <cell r="B279" t="str">
            <v>7759--01-5</v>
          </cell>
          <cell r="C279" t="str">
            <v>Lead(II) tungstate</v>
          </cell>
          <cell r="D279">
            <v>0.05</v>
          </cell>
        </row>
        <row r="280">
          <cell r="B280" t="str">
            <v>11105-19-4</v>
          </cell>
          <cell r="C280" t="str">
            <v>Nickel  copper iron manganese</v>
          </cell>
          <cell r="D280">
            <v>0.5</v>
          </cell>
        </row>
        <row r="281">
          <cell r="B281" t="str">
            <v>11121-96-3</v>
          </cell>
          <cell r="C281" t="str">
            <v>Iron-nickel-chronium  alloy</v>
          </cell>
          <cell r="D281">
            <v>0.5</v>
          </cell>
        </row>
        <row r="282">
          <cell r="B282" t="str">
            <v>12004-71-6</v>
          </cell>
          <cell r="C282" t="str">
            <v>Nickel  aluminide</v>
          </cell>
          <cell r="D282">
            <v>0.5</v>
          </cell>
        </row>
        <row r="283">
          <cell r="B283" t="str">
            <v>12137-13-2</v>
          </cell>
          <cell r="C283" t="str">
            <v>Nickel  subselenide</v>
          </cell>
          <cell r="D283">
            <v>0.5</v>
          </cell>
        </row>
        <row r="284">
          <cell r="B284" t="str">
            <v>12255-10-6</v>
          </cell>
          <cell r="C284" t="str">
            <v>Nickel  arsenide sulfide</v>
          </cell>
          <cell r="D284">
            <v>0.5</v>
          </cell>
        </row>
        <row r="285">
          <cell r="B285" t="str">
            <v>12255-80-0</v>
          </cell>
          <cell r="C285" t="str">
            <v>Nickel  arsenide</v>
          </cell>
          <cell r="D285">
            <v>0.5</v>
          </cell>
        </row>
        <row r="286">
          <cell r="B286" t="str">
            <v>12263-13-7</v>
          </cell>
          <cell r="C286" t="str">
            <v>Molybdophosphoric  acid</v>
          </cell>
          <cell r="D286">
            <v>0.5</v>
          </cell>
        </row>
        <row r="287">
          <cell r="B287" t="str">
            <v>124594-15-6</v>
          </cell>
          <cell r="C287" t="str">
            <v>Nickel(II)  sulfamate tetrahydrate</v>
          </cell>
          <cell r="D287">
            <v>0.5</v>
          </cell>
        </row>
        <row r="288">
          <cell r="B288" t="str">
            <v>12519-85-6</v>
          </cell>
          <cell r="C288" t="str">
            <v>Trihydrogen  hydroxybis[orthosilicato(4-)] trinickelate(3-)</v>
          </cell>
          <cell r="D288">
            <v>0.5</v>
          </cell>
        </row>
        <row r="289">
          <cell r="B289" t="str">
            <v>12607-70-4</v>
          </cell>
          <cell r="C289" t="str">
            <v>Nickel  carbonate</v>
          </cell>
          <cell r="D289">
            <v>0.5</v>
          </cell>
        </row>
        <row r="290">
          <cell r="B290" t="str">
            <v>12645-50-0</v>
          </cell>
          <cell r="C290" t="str">
            <v>Iron  nickel zinc oxide</v>
          </cell>
          <cell r="D290">
            <v>0.5</v>
          </cell>
        </row>
        <row r="291">
          <cell r="B291" t="str">
            <v>12681-83-3</v>
          </cell>
          <cell r="C291" t="str">
            <v>Nickel-containing  steels</v>
          </cell>
          <cell r="D291">
            <v>0.5</v>
          </cell>
        </row>
        <row r="292">
          <cell r="B292" t="str">
            <v>12737-30-3</v>
          </cell>
          <cell r="C292" t="str">
            <v>cobalt  nickel gray periclase, C.I. Pigment Black 25</v>
          </cell>
          <cell r="D292">
            <v>0.5</v>
          </cell>
        </row>
        <row r="293">
          <cell r="B293" t="str">
            <v>13845-06-2</v>
          </cell>
          <cell r="C293" t="str">
            <v>Nickel  potassium fluoride</v>
          </cell>
          <cell r="D293">
            <v>0.5</v>
          </cell>
        </row>
        <row r="294">
          <cell r="B294" t="str">
            <v>37187-84-1</v>
          </cell>
          <cell r="C294" t="str">
            <v>Nickel  aluminium alloys</v>
          </cell>
          <cell r="D294">
            <v>0.5</v>
          </cell>
        </row>
        <row r="295">
          <cell r="B295" t="str">
            <v>37321-15-6</v>
          </cell>
          <cell r="C295" t="str">
            <v>Nickel  silicate</v>
          </cell>
          <cell r="D295">
            <v>0.5</v>
          </cell>
        </row>
        <row r="296">
          <cell r="B296" t="str">
            <v>61431-86-5</v>
          </cell>
          <cell r="C296" t="str">
            <v>Nickel  aluminium alloys</v>
          </cell>
          <cell r="D296">
            <v>0.5</v>
          </cell>
        </row>
        <row r="297">
          <cell r="B297" t="str">
            <v>68130-36-9</v>
          </cell>
          <cell r="C297" t="str">
            <v>Molybdenum  nickel hydroxide oxide phosphate</v>
          </cell>
          <cell r="D297">
            <v>0.5</v>
          </cell>
        </row>
        <row r="298">
          <cell r="B298" t="str">
            <v>68186-89-0</v>
          </cell>
          <cell r="C298" t="str">
            <v>cobalt  nickel gray periclase, C.I. Pigment Black 25</v>
          </cell>
          <cell r="D298">
            <v>0.5</v>
          </cell>
        </row>
        <row r="299">
          <cell r="B299" t="str">
            <v>68611-43-8</v>
          </cell>
          <cell r="C299" t="str">
            <v>Nickel  niobium titanate</v>
          </cell>
          <cell r="D299">
            <v>0.5</v>
          </cell>
        </row>
      </sheetData>
      <sheetData sheetId="43" refreshError="1">
        <row r="1">
          <cell r="B1" t="str">
            <v>CAS No</v>
          </cell>
          <cell r="C1" t="str">
            <v>화학물질명</v>
          </cell>
          <cell r="D1" t="str">
            <v>TWA_ppm</v>
          </cell>
          <cell r="E1" t="str">
            <v>TWA_mg/m3</v>
          </cell>
          <cell r="F1" t="str">
            <v>TWA_개/cm3</v>
          </cell>
          <cell r="G1" t="str">
            <v>STEL_ppm</v>
          </cell>
          <cell r="H1" t="str">
            <v>STEL_mg/m3</v>
          </cell>
          <cell r="I1" t="str">
            <v>Ceiling_ppm</v>
          </cell>
          <cell r="J1" t="str">
            <v>Ceiling_mg/m3</v>
          </cell>
          <cell r="K1" t="str">
            <v>Skin*</v>
          </cell>
        </row>
        <row r="2">
          <cell r="B2" t="str">
            <v>100-00-5</v>
          </cell>
          <cell r="C2" t="str">
            <v>p-Nitrochlorobenzene</v>
          </cell>
          <cell r="D2">
            <v>0.1</v>
          </cell>
          <cell r="E2">
            <v>0.6</v>
          </cell>
          <cell r="F2" t="str">
            <v/>
          </cell>
          <cell r="G2" t="str">
            <v/>
          </cell>
          <cell r="H2" t="str">
            <v/>
          </cell>
          <cell r="I2" t="str">
            <v/>
          </cell>
          <cell r="J2" t="str">
            <v/>
          </cell>
          <cell r="K2" t="str">
            <v>Skin</v>
          </cell>
        </row>
        <row r="3">
          <cell r="B3" t="str">
            <v>100-01-6</v>
          </cell>
          <cell r="C3" t="str">
            <v>p-Nitroaniline</v>
          </cell>
          <cell r="D3" t="str">
            <v/>
          </cell>
          <cell r="E3">
            <v>3</v>
          </cell>
          <cell r="F3" t="str">
            <v/>
          </cell>
          <cell r="G3" t="str">
            <v/>
          </cell>
          <cell r="H3" t="str">
            <v/>
          </cell>
          <cell r="I3" t="str">
            <v/>
          </cell>
          <cell r="J3" t="str">
            <v/>
          </cell>
          <cell r="K3" t="str">
            <v>Skin</v>
          </cell>
        </row>
        <row r="4">
          <cell r="B4" t="str">
            <v>100-25-4</v>
          </cell>
          <cell r="C4" t="str">
            <v>Dinitrobenzene(all isomers)</v>
          </cell>
          <cell r="D4">
            <v>0.15</v>
          </cell>
          <cell r="E4">
            <v>1</v>
          </cell>
          <cell r="F4" t="str">
            <v/>
          </cell>
          <cell r="G4" t="str">
            <v/>
          </cell>
          <cell r="H4" t="str">
            <v/>
          </cell>
          <cell r="I4" t="str">
            <v/>
          </cell>
          <cell r="J4" t="str">
            <v/>
          </cell>
          <cell r="K4" t="str">
            <v>Skin</v>
          </cell>
        </row>
        <row r="5">
          <cell r="B5" t="str">
            <v>10025-67-9</v>
          </cell>
          <cell r="C5" t="str">
            <v>Sulfur monochloride</v>
          </cell>
          <cell r="D5" t="str">
            <v/>
          </cell>
          <cell r="E5" t="str">
            <v/>
          </cell>
          <cell r="F5" t="str">
            <v/>
          </cell>
          <cell r="G5" t="str">
            <v/>
          </cell>
          <cell r="H5" t="str">
            <v/>
          </cell>
          <cell r="I5">
            <v>1</v>
          </cell>
          <cell r="J5">
            <v>6</v>
          </cell>
          <cell r="K5" t="str">
            <v/>
          </cell>
        </row>
        <row r="6">
          <cell r="B6" t="str">
            <v>10025-87-3</v>
          </cell>
          <cell r="C6" t="str">
            <v>Phosphorus oxychloride</v>
          </cell>
          <cell r="D6">
            <v>0.1</v>
          </cell>
          <cell r="E6">
            <v>0.6</v>
          </cell>
          <cell r="F6" t="str">
            <v/>
          </cell>
          <cell r="G6">
            <v>0.5</v>
          </cell>
          <cell r="H6">
            <v>3</v>
          </cell>
          <cell r="I6" t="str">
            <v/>
          </cell>
          <cell r="J6" t="str">
            <v/>
          </cell>
          <cell r="K6" t="str">
            <v/>
          </cell>
        </row>
        <row r="7">
          <cell r="B7" t="str">
            <v>10026-13-8</v>
          </cell>
          <cell r="C7" t="str">
            <v>Phosphorus pentachloride</v>
          </cell>
          <cell r="D7">
            <v>0.1</v>
          </cell>
          <cell r="E7">
            <v>1</v>
          </cell>
          <cell r="F7" t="str">
            <v/>
          </cell>
          <cell r="G7" t="str">
            <v/>
          </cell>
          <cell r="H7" t="str">
            <v/>
          </cell>
          <cell r="I7" t="str">
            <v/>
          </cell>
          <cell r="J7" t="str">
            <v/>
          </cell>
          <cell r="K7" t="str">
            <v/>
          </cell>
        </row>
        <row r="8">
          <cell r="B8" t="str">
            <v>10028-15-6</v>
          </cell>
          <cell r="C8" t="str">
            <v>Ozone</v>
          </cell>
          <cell r="D8">
            <v>0.08</v>
          </cell>
          <cell r="E8">
            <v>0.16</v>
          </cell>
          <cell r="F8" t="str">
            <v/>
          </cell>
          <cell r="G8">
            <v>0.2</v>
          </cell>
          <cell r="H8">
            <v>0.4</v>
          </cell>
          <cell r="I8" t="str">
            <v/>
          </cell>
          <cell r="J8" t="str">
            <v/>
          </cell>
          <cell r="K8" t="str">
            <v/>
          </cell>
        </row>
        <row r="9">
          <cell r="B9" t="str">
            <v>10034-76-1</v>
          </cell>
          <cell r="C9" t="str">
            <v>Plaster of Paris</v>
          </cell>
          <cell r="D9" t="str">
            <v/>
          </cell>
          <cell r="E9">
            <v>10</v>
          </cell>
          <cell r="F9" t="str">
            <v/>
          </cell>
          <cell r="G9" t="str">
            <v/>
          </cell>
          <cell r="H9" t="str">
            <v/>
          </cell>
          <cell r="I9" t="str">
            <v/>
          </cell>
          <cell r="J9" t="str">
            <v/>
          </cell>
          <cell r="K9" t="str">
            <v/>
          </cell>
        </row>
        <row r="10">
          <cell r="B10" t="str">
            <v>10035-10-6</v>
          </cell>
          <cell r="C10" t="str">
            <v>Hydrogen bromide</v>
          </cell>
          <cell r="D10" t="str">
            <v/>
          </cell>
          <cell r="E10" t="str">
            <v/>
          </cell>
          <cell r="F10" t="str">
            <v/>
          </cell>
          <cell r="G10" t="str">
            <v/>
          </cell>
          <cell r="H10" t="str">
            <v/>
          </cell>
          <cell r="I10">
            <v>2</v>
          </cell>
          <cell r="J10">
            <v>6.62</v>
          </cell>
          <cell r="K10" t="str">
            <v/>
          </cell>
        </row>
        <row r="11">
          <cell r="B11" t="str">
            <v>100-37-8</v>
          </cell>
          <cell r="C11" t="str">
            <v>2-Diethylamino ethanol</v>
          </cell>
          <cell r="D11">
            <v>2</v>
          </cell>
          <cell r="E11">
            <v>9.6</v>
          </cell>
          <cell r="F11" t="str">
            <v/>
          </cell>
          <cell r="G11" t="str">
            <v/>
          </cell>
          <cell r="H11" t="str">
            <v/>
          </cell>
          <cell r="I11" t="str">
            <v/>
          </cell>
          <cell r="J11" t="str">
            <v/>
          </cell>
          <cell r="K11" t="str">
            <v>Skin</v>
          </cell>
        </row>
        <row r="12">
          <cell r="B12" t="str">
            <v>100-41-4</v>
          </cell>
          <cell r="C12" t="str">
            <v>Ethyl benzene</v>
          </cell>
          <cell r="D12">
            <v>100</v>
          </cell>
          <cell r="E12">
            <v>435</v>
          </cell>
          <cell r="F12" t="str">
            <v/>
          </cell>
          <cell r="G12">
            <v>125</v>
          </cell>
          <cell r="H12">
            <v>545</v>
          </cell>
          <cell r="I12" t="str">
            <v/>
          </cell>
          <cell r="J12" t="str">
            <v/>
          </cell>
          <cell r="K12" t="str">
            <v/>
          </cell>
        </row>
        <row r="13">
          <cell r="B13" t="str">
            <v>100-42-5</v>
          </cell>
          <cell r="C13" t="str">
            <v>Phenyl ethylene; Styrene; Vinyl benzene</v>
          </cell>
          <cell r="D13">
            <v>20</v>
          </cell>
          <cell r="E13">
            <v>85</v>
          </cell>
          <cell r="F13" t="str">
            <v/>
          </cell>
          <cell r="G13">
            <v>40</v>
          </cell>
          <cell r="H13">
            <v>170</v>
          </cell>
          <cell r="I13" t="str">
            <v/>
          </cell>
          <cell r="J13" t="str">
            <v/>
          </cell>
          <cell r="K13" t="str">
            <v>Skin</v>
          </cell>
        </row>
        <row r="14">
          <cell r="B14" t="str">
            <v>100-44-7</v>
          </cell>
          <cell r="C14" t="str">
            <v>Benzyl chloride</v>
          </cell>
          <cell r="D14">
            <v>1</v>
          </cell>
          <cell r="E14">
            <v>5</v>
          </cell>
          <cell r="F14" t="str">
            <v/>
          </cell>
          <cell r="G14" t="str">
            <v/>
          </cell>
          <cell r="H14" t="str">
            <v/>
          </cell>
          <cell r="I14" t="str">
            <v/>
          </cell>
          <cell r="J14" t="str">
            <v/>
          </cell>
          <cell r="K14" t="str">
            <v/>
          </cell>
        </row>
        <row r="15">
          <cell r="B15" t="str">
            <v>10049-04-4</v>
          </cell>
          <cell r="C15" t="str">
            <v>Chlorine dioxide</v>
          </cell>
          <cell r="D15">
            <v>0.1</v>
          </cell>
          <cell r="E15">
            <v>0.3</v>
          </cell>
          <cell r="F15" t="str">
            <v/>
          </cell>
          <cell r="G15">
            <v>0.3</v>
          </cell>
          <cell r="H15">
            <v>0.9</v>
          </cell>
          <cell r="I15" t="str">
            <v/>
          </cell>
          <cell r="J15" t="str">
            <v/>
          </cell>
          <cell r="K15" t="str">
            <v/>
          </cell>
        </row>
        <row r="16">
          <cell r="B16" t="str">
            <v>100-61-8</v>
          </cell>
          <cell r="C16" t="str">
            <v>N-Methyl aniline</v>
          </cell>
          <cell r="D16">
            <v>0.5</v>
          </cell>
          <cell r="E16">
            <v>2</v>
          </cell>
          <cell r="F16" t="str">
            <v/>
          </cell>
          <cell r="G16" t="str">
            <v/>
          </cell>
          <cell r="H16" t="str">
            <v/>
          </cell>
          <cell r="I16" t="str">
            <v/>
          </cell>
          <cell r="J16" t="str">
            <v/>
          </cell>
          <cell r="K16" t="str">
            <v>Skin</v>
          </cell>
        </row>
        <row r="17">
          <cell r="B17" t="str">
            <v>100-63-0</v>
          </cell>
          <cell r="C17" t="str">
            <v>Phenyl hydrazine</v>
          </cell>
          <cell r="D17">
            <v>5</v>
          </cell>
          <cell r="E17">
            <v>20</v>
          </cell>
          <cell r="F17" t="str">
            <v/>
          </cell>
          <cell r="G17">
            <v>10</v>
          </cell>
          <cell r="H17">
            <v>45</v>
          </cell>
          <cell r="I17" t="str">
            <v/>
          </cell>
          <cell r="J17" t="str">
            <v/>
          </cell>
          <cell r="K17" t="str">
            <v>Skin</v>
          </cell>
        </row>
        <row r="18">
          <cell r="B18" t="str">
            <v>100-74-3</v>
          </cell>
          <cell r="C18" t="str">
            <v>N-Ethylmorpholine</v>
          </cell>
          <cell r="D18">
            <v>5</v>
          </cell>
          <cell r="E18">
            <v>23</v>
          </cell>
          <cell r="F18" t="str">
            <v/>
          </cell>
          <cell r="G18" t="str">
            <v/>
          </cell>
          <cell r="H18" t="str">
            <v/>
          </cell>
          <cell r="I18" t="str">
            <v/>
          </cell>
          <cell r="J18" t="str">
            <v/>
          </cell>
          <cell r="K18" t="str">
            <v>Skin</v>
          </cell>
        </row>
        <row r="19">
          <cell r="B19" t="str">
            <v>10102-43-9</v>
          </cell>
          <cell r="C19" t="str">
            <v>Nitric monoxide</v>
          </cell>
          <cell r="D19">
            <v>25</v>
          </cell>
          <cell r="E19">
            <v>30</v>
          </cell>
          <cell r="F19" t="str">
            <v/>
          </cell>
          <cell r="G19" t="str">
            <v/>
          </cell>
          <cell r="H19" t="str">
            <v/>
          </cell>
          <cell r="I19" t="str">
            <v/>
          </cell>
          <cell r="J19" t="str">
            <v/>
          </cell>
          <cell r="K19" t="str">
            <v/>
          </cell>
        </row>
        <row r="20">
          <cell r="B20" t="str">
            <v>10102-44-0</v>
          </cell>
          <cell r="C20" t="str">
            <v>Nitrogen dioxide</v>
          </cell>
          <cell r="D20">
            <v>3</v>
          </cell>
          <cell r="E20">
            <v>6</v>
          </cell>
          <cell r="F20" t="str">
            <v/>
          </cell>
          <cell r="G20">
            <v>5</v>
          </cell>
          <cell r="H20">
            <v>10</v>
          </cell>
          <cell r="I20" t="str">
            <v/>
          </cell>
          <cell r="J20" t="str">
            <v/>
          </cell>
          <cell r="K20" t="str">
            <v/>
          </cell>
        </row>
        <row r="21">
          <cell r="B21" t="str">
            <v>101-14-4</v>
          </cell>
          <cell r="C21" t="str">
            <v>4,4'-Methylenebis(2-chloroaniline)</v>
          </cell>
          <cell r="D21">
            <v>0.01</v>
          </cell>
          <cell r="E21">
            <v>0.11</v>
          </cell>
          <cell r="F21" t="str">
            <v/>
          </cell>
          <cell r="G21" t="str">
            <v/>
          </cell>
          <cell r="H21" t="str">
            <v/>
          </cell>
          <cell r="I21" t="str">
            <v/>
          </cell>
          <cell r="J21" t="str">
            <v/>
          </cell>
          <cell r="K21" t="str">
            <v>Skin</v>
          </cell>
        </row>
        <row r="22">
          <cell r="B22" t="str">
            <v>101-68-8</v>
          </cell>
          <cell r="C22" t="str">
            <v>Methylene bisphenyl isocyanate</v>
          </cell>
          <cell r="D22">
            <v>5.0000000000000001E-3</v>
          </cell>
          <cell r="E22">
            <v>5.5E-2</v>
          </cell>
          <cell r="F22" t="str">
            <v/>
          </cell>
          <cell r="G22" t="str">
            <v/>
          </cell>
          <cell r="H22" t="str">
            <v/>
          </cell>
          <cell r="I22" t="str">
            <v/>
          </cell>
          <cell r="J22" t="str">
            <v/>
          </cell>
          <cell r="K22" t="str">
            <v/>
          </cell>
        </row>
        <row r="23">
          <cell r="B23" t="str">
            <v>101-77-9</v>
          </cell>
          <cell r="C23" t="str">
            <v>4,4'-Methylenedianiline</v>
          </cell>
          <cell r="D23">
            <v>0.1</v>
          </cell>
          <cell r="E23">
            <v>0.8</v>
          </cell>
          <cell r="F23" t="str">
            <v/>
          </cell>
          <cell r="G23" t="str">
            <v/>
          </cell>
          <cell r="H23" t="str">
            <v/>
          </cell>
          <cell r="I23" t="str">
            <v/>
          </cell>
          <cell r="J23" t="str">
            <v/>
          </cell>
          <cell r="K23" t="str">
            <v>Skin</v>
          </cell>
        </row>
        <row r="24">
          <cell r="B24" t="str">
            <v>101-84-8</v>
          </cell>
          <cell r="C24" t="str">
            <v>Phenyl ether(Vapor)</v>
          </cell>
          <cell r="D24">
            <v>1</v>
          </cell>
          <cell r="E24">
            <v>7</v>
          </cell>
          <cell r="F24" t="str">
            <v/>
          </cell>
          <cell r="G24">
            <v>2</v>
          </cell>
          <cell r="H24">
            <v>14</v>
          </cell>
          <cell r="I24" t="str">
            <v/>
          </cell>
          <cell r="J24" t="str">
            <v/>
          </cell>
          <cell r="K24" t="str">
            <v/>
          </cell>
        </row>
        <row r="25">
          <cell r="B25" t="str">
            <v>10210-68-1</v>
          </cell>
          <cell r="C25" t="str">
            <v>Cobalt carbonyl, as Co</v>
          </cell>
          <cell r="D25" t="str">
            <v/>
          </cell>
          <cell r="E25">
            <v>0.1</v>
          </cell>
          <cell r="F25" t="str">
            <v/>
          </cell>
          <cell r="G25" t="str">
            <v/>
          </cell>
          <cell r="H25" t="str">
            <v/>
          </cell>
          <cell r="I25" t="str">
            <v/>
          </cell>
          <cell r="J25" t="str">
            <v/>
          </cell>
          <cell r="K25" t="str">
            <v/>
          </cell>
        </row>
        <row r="26">
          <cell r="B26" t="str">
            <v>102-54-5</v>
          </cell>
          <cell r="C26" t="str">
            <v>Dicyclopentadienyl iron</v>
          </cell>
          <cell r="D26" t="str">
            <v/>
          </cell>
          <cell r="E26">
            <v>10</v>
          </cell>
          <cell r="F26" t="str">
            <v/>
          </cell>
          <cell r="G26" t="str">
            <v/>
          </cell>
          <cell r="H26" t="str">
            <v/>
          </cell>
          <cell r="I26" t="str">
            <v/>
          </cell>
          <cell r="J26" t="str">
            <v/>
          </cell>
          <cell r="K26" t="str">
            <v/>
          </cell>
        </row>
        <row r="27">
          <cell r="B27" t="str">
            <v>102-81-8</v>
          </cell>
          <cell r="C27" t="str">
            <v>2-N-Dibutylaminoethanol</v>
          </cell>
          <cell r="D27">
            <v>2</v>
          </cell>
          <cell r="E27">
            <v>14</v>
          </cell>
          <cell r="F27" t="str">
            <v/>
          </cell>
          <cell r="G27" t="str">
            <v/>
          </cell>
          <cell r="H27" t="str">
            <v/>
          </cell>
          <cell r="I27" t="str">
            <v/>
          </cell>
          <cell r="J27" t="str">
            <v/>
          </cell>
          <cell r="K27" t="str">
            <v>Skin</v>
          </cell>
        </row>
        <row r="28">
          <cell r="B28" t="str">
            <v>10294-33-4</v>
          </cell>
          <cell r="C28" t="str">
            <v>Boron tribromide</v>
          </cell>
          <cell r="D28" t="str">
            <v/>
          </cell>
          <cell r="E28" t="str">
            <v/>
          </cell>
          <cell r="F28" t="str">
            <v/>
          </cell>
          <cell r="G28" t="str">
            <v/>
          </cell>
          <cell r="H28" t="str">
            <v/>
          </cell>
          <cell r="I28">
            <v>1</v>
          </cell>
          <cell r="J28">
            <v>10</v>
          </cell>
          <cell r="K28" t="str">
            <v/>
          </cell>
        </row>
        <row r="29">
          <cell r="B29" t="str">
            <v>105-46-4</v>
          </cell>
          <cell r="C29" t="str">
            <v>sec-Butyl acetate</v>
          </cell>
          <cell r="D29">
            <v>200</v>
          </cell>
          <cell r="E29">
            <v>950</v>
          </cell>
          <cell r="F29" t="str">
            <v/>
          </cell>
          <cell r="G29" t="str">
            <v/>
          </cell>
          <cell r="H29" t="str">
            <v/>
          </cell>
          <cell r="I29" t="str">
            <v/>
          </cell>
          <cell r="J29" t="str">
            <v/>
          </cell>
          <cell r="K29" t="str">
            <v/>
          </cell>
        </row>
        <row r="30">
          <cell r="B30" t="str">
            <v>105-60-2</v>
          </cell>
          <cell r="C30" t="str">
            <v>Caprolactum(Dust)</v>
          </cell>
          <cell r="D30" t="str">
            <v/>
          </cell>
          <cell r="E30">
            <v>1</v>
          </cell>
          <cell r="F30" t="str">
            <v/>
          </cell>
          <cell r="G30" t="str">
            <v/>
          </cell>
          <cell r="H30">
            <v>3</v>
          </cell>
          <cell r="I30" t="str">
            <v/>
          </cell>
          <cell r="J30" t="str">
            <v/>
          </cell>
          <cell r="K30" t="str">
            <v/>
          </cell>
        </row>
        <row r="31">
          <cell r="C31" t="str">
            <v>Caprolactum(Vapor)(CAS 105-60-2)</v>
          </cell>
          <cell r="D31">
            <v>5</v>
          </cell>
          <cell r="E31">
            <v>20</v>
          </cell>
          <cell r="F31" t="str">
            <v/>
          </cell>
          <cell r="G31">
            <v>10</v>
          </cell>
          <cell r="H31">
            <v>40</v>
          </cell>
          <cell r="I31" t="str">
            <v/>
          </cell>
          <cell r="J31" t="str">
            <v/>
          </cell>
          <cell r="K31" t="str">
            <v/>
          </cell>
        </row>
        <row r="32">
          <cell r="B32" t="str">
            <v>106-35-4</v>
          </cell>
          <cell r="C32" t="str">
            <v>Ethyl butyl ketone</v>
          </cell>
          <cell r="D32">
            <v>50</v>
          </cell>
          <cell r="E32">
            <v>230</v>
          </cell>
          <cell r="F32" t="str">
            <v/>
          </cell>
          <cell r="G32" t="str">
            <v/>
          </cell>
          <cell r="H32" t="str">
            <v/>
          </cell>
          <cell r="I32" t="str">
            <v/>
          </cell>
          <cell r="J32" t="str">
            <v/>
          </cell>
          <cell r="K32" t="str">
            <v/>
          </cell>
        </row>
        <row r="33">
          <cell r="B33" t="str">
            <v>106-42-3</v>
          </cell>
          <cell r="C33" t="str">
            <v>Xylene(o,m,p-isomers)</v>
          </cell>
          <cell r="D33">
            <v>100</v>
          </cell>
          <cell r="E33">
            <v>435</v>
          </cell>
          <cell r="F33" t="str">
            <v/>
          </cell>
          <cell r="G33">
            <v>150</v>
          </cell>
          <cell r="H33">
            <v>655</v>
          </cell>
          <cell r="I33" t="str">
            <v/>
          </cell>
          <cell r="J33" t="str">
            <v/>
          </cell>
          <cell r="K33" t="str">
            <v/>
          </cell>
        </row>
        <row r="34">
          <cell r="B34" t="str">
            <v>106-46-7</v>
          </cell>
          <cell r="C34" t="str">
            <v>p-Dichlorobenzene</v>
          </cell>
          <cell r="D34">
            <v>10</v>
          </cell>
          <cell r="E34">
            <v>60</v>
          </cell>
          <cell r="F34" t="str">
            <v/>
          </cell>
          <cell r="G34">
            <v>20</v>
          </cell>
          <cell r="H34">
            <v>110</v>
          </cell>
          <cell r="I34" t="str">
            <v/>
          </cell>
          <cell r="J34" t="str">
            <v/>
          </cell>
          <cell r="K34" t="str">
            <v/>
          </cell>
        </row>
        <row r="35">
          <cell r="B35" t="str">
            <v>106-49-0</v>
          </cell>
          <cell r="C35" t="str">
            <v>p-Toluidine</v>
          </cell>
          <cell r="D35">
            <v>2</v>
          </cell>
          <cell r="E35">
            <v>9</v>
          </cell>
          <cell r="F35" t="str">
            <v/>
          </cell>
          <cell r="G35" t="str">
            <v/>
          </cell>
          <cell r="H35" t="str">
            <v/>
          </cell>
          <cell r="I35" t="str">
            <v/>
          </cell>
          <cell r="J35" t="str">
            <v/>
          </cell>
          <cell r="K35" t="str">
            <v>Skin</v>
          </cell>
        </row>
        <row r="36">
          <cell r="B36" t="str">
            <v>106-50-3</v>
          </cell>
          <cell r="C36" t="str">
            <v>p-Phenylene diamine</v>
          </cell>
          <cell r="D36" t="str">
            <v/>
          </cell>
          <cell r="E36">
            <v>0.1</v>
          </cell>
          <cell r="F36" t="str">
            <v/>
          </cell>
          <cell r="G36" t="str">
            <v/>
          </cell>
          <cell r="H36" t="str">
            <v/>
          </cell>
          <cell r="I36" t="str">
            <v/>
          </cell>
          <cell r="J36" t="str">
            <v/>
          </cell>
          <cell r="K36" t="str">
            <v>Skin</v>
          </cell>
        </row>
        <row r="37">
          <cell r="B37" t="str">
            <v>106-51-4</v>
          </cell>
          <cell r="C37" t="str">
            <v>p-Benzoquinone</v>
          </cell>
          <cell r="D37">
            <v>0.1</v>
          </cell>
          <cell r="E37">
            <v>0.4</v>
          </cell>
          <cell r="F37" t="str">
            <v/>
          </cell>
          <cell r="G37" t="str">
            <v/>
          </cell>
          <cell r="H37" t="str">
            <v/>
          </cell>
          <cell r="I37" t="str">
            <v/>
          </cell>
          <cell r="J37" t="str">
            <v/>
          </cell>
          <cell r="K37" t="str">
            <v/>
          </cell>
        </row>
        <row r="38">
          <cell r="B38" t="str">
            <v>106-87-6</v>
          </cell>
          <cell r="C38" t="str">
            <v>Vinyl cyclohexenedioxide</v>
          </cell>
          <cell r="D38">
            <v>0.1</v>
          </cell>
          <cell r="E38">
            <v>0.56999999999999995</v>
          </cell>
          <cell r="F38" t="str">
            <v/>
          </cell>
          <cell r="G38" t="str">
            <v/>
          </cell>
          <cell r="H38" t="str">
            <v/>
          </cell>
          <cell r="I38" t="str">
            <v/>
          </cell>
          <cell r="J38" t="str">
            <v/>
          </cell>
          <cell r="K38" t="str">
            <v>Skin</v>
          </cell>
        </row>
        <row r="39">
          <cell r="B39" t="str">
            <v>106-89-8</v>
          </cell>
          <cell r="C39" t="str">
            <v>Epichlorohydrin</v>
          </cell>
          <cell r="D39">
            <v>0.5</v>
          </cell>
          <cell r="E39">
            <v>1.9</v>
          </cell>
          <cell r="F39" t="str">
            <v/>
          </cell>
          <cell r="G39" t="str">
            <v/>
          </cell>
          <cell r="H39" t="str">
            <v/>
          </cell>
          <cell r="I39" t="str">
            <v/>
          </cell>
          <cell r="J39" t="str">
            <v/>
          </cell>
          <cell r="K39" t="str">
            <v/>
          </cell>
        </row>
        <row r="40">
          <cell r="B40" t="str">
            <v>106-92-3</v>
          </cell>
          <cell r="C40" t="str">
            <v>Allyl glycidyl ether(AGE)</v>
          </cell>
          <cell r="D40">
            <v>1</v>
          </cell>
          <cell r="E40">
            <v>4.7</v>
          </cell>
          <cell r="F40" t="str">
            <v/>
          </cell>
          <cell r="G40" t="str">
            <v/>
          </cell>
          <cell r="H40" t="str">
            <v/>
          </cell>
          <cell r="I40" t="str">
            <v/>
          </cell>
          <cell r="J40" t="str">
            <v/>
          </cell>
          <cell r="K40" t="str">
            <v>Skin</v>
          </cell>
        </row>
        <row r="41">
          <cell r="B41" t="str">
            <v>106-93-4</v>
          </cell>
          <cell r="C41" t="str">
            <v>1,2-Dibromoethane</v>
          </cell>
          <cell r="D41" t="str">
            <v/>
          </cell>
          <cell r="E41" t="str">
            <v/>
          </cell>
          <cell r="F41" t="str">
            <v/>
          </cell>
          <cell r="G41" t="str">
            <v/>
          </cell>
          <cell r="H41" t="str">
            <v/>
          </cell>
          <cell r="I41" t="str">
            <v/>
          </cell>
          <cell r="J41" t="str">
            <v/>
          </cell>
          <cell r="K41" t="str">
            <v>Skin</v>
          </cell>
        </row>
        <row r="42">
          <cell r="B42" t="str">
            <v>106-94-5</v>
          </cell>
          <cell r="C42" t="str">
            <v>1-Bromopropane</v>
          </cell>
          <cell r="D42">
            <v>25</v>
          </cell>
          <cell r="E42">
            <v>125</v>
          </cell>
          <cell r="F42" t="str">
            <v/>
          </cell>
          <cell r="G42" t="str">
            <v/>
          </cell>
          <cell r="H42" t="str">
            <v/>
          </cell>
          <cell r="I42" t="str">
            <v/>
          </cell>
          <cell r="J42" t="str">
            <v/>
          </cell>
          <cell r="K42" t="str">
            <v/>
          </cell>
        </row>
        <row r="43">
          <cell r="B43" t="str">
            <v>106-97-8</v>
          </cell>
          <cell r="C43" t="str">
            <v>Butane</v>
          </cell>
          <cell r="D43">
            <v>800</v>
          </cell>
          <cell r="E43">
            <v>1900</v>
          </cell>
          <cell r="F43" t="str">
            <v/>
          </cell>
          <cell r="G43" t="str">
            <v/>
          </cell>
          <cell r="H43" t="str">
            <v/>
          </cell>
          <cell r="I43" t="str">
            <v/>
          </cell>
          <cell r="J43" t="str">
            <v/>
          </cell>
          <cell r="K43" t="str">
            <v/>
          </cell>
        </row>
        <row r="44">
          <cell r="B44" t="str">
            <v>106-99-0</v>
          </cell>
          <cell r="C44" t="str">
            <v>1,3-Butadiene</v>
          </cell>
          <cell r="D44">
            <v>2</v>
          </cell>
          <cell r="E44">
            <v>4.4000000000000004</v>
          </cell>
          <cell r="F44" t="str">
            <v/>
          </cell>
          <cell r="G44">
            <v>10</v>
          </cell>
          <cell r="H44">
            <v>22</v>
          </cell>
          <cell r="I44" t="str">
            <v/>
          </cell>
          <cell r="J44" t="str">
            <v/>
          </cell>
          <cell r="K44" t="str">
            <v/>
          </cell>
        </row>
        <row r="45">
          <cell r="B45" t="str">
            <v>107-02-8</v>
          </cell>
          <cell r="C45" t="str">
            <v>Acrolein</v>
          </cell>
          <cell r="D45">
            <v>0.1</v>
          </cell>
          <cell r="E45">
            <v>0.25</v>
          </cell>
          <cell r="F45" t="str">
            <v/>
          </cell>
          <cell r="G45">
            <v>0.3</v>
          </cell>
          <cell r="H45">
            <v>0.8</v>
          </cell>
          <cell r="I45" t="str">
            <v/>
          </cell>
          <cell r="J45" t="str">
            <v/>
          </cell>
          <cell r="K45" t="str">
            <v/>
          </cell>
        </row>
        <row r="46">
          <cell r="B46" t="str">
            <v>107-05-1</v>
          </cell>
          <cell r="C46" t="str">
            <v>Allyl chloride</v>
          </cell>
          <cell r="D46">
            <v>1</v>
          </cell>
          <cell r="E46">
            <v>3</v>
          </cell>
          <cell r="F46" t="str">
            <v/>
          </cell>
          <cell r="G46">
            <v>2</v>
          </cell>
          <cell r="H46">
            <v>6</v>
          </cell>
          <cell r="I46" t="str">
            <v/>
          </cell>
          <cell r="J46" t="str">
            <v/>
          </cell>
          <cell r="K46" t="str">
            <v>Skin</v>
          </cell>
        </row>
        <row r="47">
          <cell r="B47" t="str">
            <v>107-06-2</v>
          </cell>
          <cell r="C47" t="str">
            <v>1,2-Dichloroethane</v>
          </cell>
          <cell r="D47">
            <v>10</v>
          </cell>
          <cell r="E47">
            <v>40</v>
          </cell>
          <cell r="F47" t="str">
            <v/>
          </cell>
          <cell r="G47" t="str">
            <v/>
          </cell>
          <cell r="H47" t="str">
            <v/>
          </cell>
          <cell r="I47" t="str">
            <v/>
          </cell>
          <cell r="J47" t="str">
            <v/>
          </cell>
          <cell r="K47" t="str">
            <v/>
          </cell>
        </row>
        <row r="48">
          <cell r="B48" t="str">
            <v>107-07-3</v>
          </cell>
          <cell r="C48" t="str">
            <v>Ethylene chlorohydrin</v>
          </cell>
          <cell r="D48" t="str">
            <v/>
          </cell>
          <cell r="E48" t="str">
            <v/>
          </cell>
          <cell r="F48" t="str">
            <v/>
          </cell>
          <cell r="G48" t="str">
            <v/>
          </cell>
          <cell r="H48" t="str">
            <v/>
          </cell>
          <cell r="I48">
            <v>1</v>
          </cell>
          <cell r="J48">
            <v>3</v>
          </cell>
          <cell r="K48" t="str">
            <v>Skin</v>
          </cell>
        </row>
        <row r="49">
          <cell r="B49" t="str">
            <v>107-13-1</v>
          </cell>
          <cell r="C49" t="str">
            <v>Acrylonitrile</v>
          </cell>
          <cell r="D49">
            <v>2</v>
          </cell>
          <cell r="E49">
            <v>4.5</v>
          </cell>
          <cell r="F49" t="str">
            <v/>
          </cell>
          <cell r="G49" t="str">
            <v/>
          </cell>
          <cell r="H49" t="str">
            <v/>
          </cell>
          <cell r="I49" t="str">
            <v/>
          </cell>
          <cell r="J49" t="str">
            <v/>
          </cell>
          <cell r="K49" t="str">
            <v>Skin</v>
          </cell>
        </row>
        <row r="50">
          <cell r="B50" t="str">
            <v>107-15-3</v>
          </cell>
          <cell r="C50" t="str">
            <v>Ethylenediamine</v>
          </cell>
          <cell r="D50">
            <v>10</v>
          </cell>
          <cell r="E50">
            <v>25</v>
          </cell>
          <cell r="F50" t="str">
            <v/>
          </cell>
          <cell r="G50" t="str">
            <v/>
          </cell>
          <cell r="H50" t="str">
            <v/>
          </cell>
          <cell r="I50" t="str">
            <v/>
          </cell>
          <cell r="J50" t="str">
            <v/>
          </cell>
          <cell r="K50" t="str">
            <v>Skin</v>
          </cell>
        </row>
        <row r="51">
          <cell r="B51" t="str">
            <v>107-18-6</v>
          </cell>
          <cell r="C51" t="str">
            <v>Allyl alcohol</v>
          </cell>
          <cell r="D51">
            <v>0.5</v>
          </cell>
          <cell r="E51">
            <v>1.2</v>
          </cell>
          <cell r="F51" t="str">
            <v/>
          </cell>
          <cell r="G51">
            <v>4</v>
          </cell>
          <cell r="H51">
            <v>10</v>
          </cell>
          <cell r="I51" t="str">
            <v/>
          </cell>
          <cell r="J51" t="str">
            <v/>
          </cell>
          <cell r="K51" t="str">
            <v>Skin</v>
          </cell>
        </row>
        <row r="52">
          <cell r="B52" t="str">
            <v>107-19-7</v>
          </cell>
          <cell r="C52" t="str">
            <v>Propargyl alcohol</v>
          </cell>
          <cell r="D52">
            <v>1</v>
          </cell>
          <cell r="E52">
            <v>2</v>
          </cell>
          <cell r="F52" t="str">
            <v/>
          </cell>
          <cell r="G52" t="str">
            <v/>
          </cell>
          <cell r="H52" t="str">
            <v/>
          </cell>
          <cell r="I52" t="str">
            <v/>
          </cell>
          <cell r="J52" t="str">
            <v/>
          </cell>
          <cell r="K52" t="str">
            <v>Skin</v>
          </cell>
        </row>
        <row r="53">
          <cell r="B53" t="str">
            <v>107-20-0</v>
          </cell>
          <cell r="C53" t="str">
            <v>Chloroacetaldehyde</v>
          </cell>
          <cell r="D53" t="str">
            <v/>
          </cell>
          <cell r="E53" t="str">
            <v/>
          </cell>
          <cell r="F53" t="str">
            <v/>
          </cell>
          <cell r="G53" t="str">
            <v/>
          </cell>
          <cell r="H53" t="str">
            <v/>
          </cell>
          <cell r="I53">
            <v>1</v>
          </cell>
          <cell r="J53">
            <v>3</v>
          </cell>
          <cell r="K53" t="str">
            <v/>
          </cell>
        </row>
        <row r="54">
          <cell r="B54" t="str">
            <v>107-21-1</v>
          </cell>
          <cell r="C54" t="str">
            <v>Ethylene glycol(Vapor and mist)</v>
          </cell>
          <cell r="D54" t="str">
            <v/>
          </cell>
          <cell r="E54" t="str">
            <v/>
          </cell>
          <cell r="F54" t="str">
            <v/>
          </cell>
          <cell r="G54" t="str">
            <v/>
          </cell>
          <cell r="H54" t="str">
            <v/>
          </cell>
          <cell r="I54">
            <v>40</v>
          </cell>
          <cell r="J54">
            <v>100</v>
          </cell>
          <cell r="K54" t="str">
            <v/>
          </cell>
        </row>
        <row r="55">
          <cell r="B55" t="str">
            <v>107-30-2</v>
          </cell>
          <cell r="C55" t="str">
            <v>Chloromethyl methylether</v>
          </cell>
          <cell r="D55" t="str">
            <v/>
          </cell>
          <cell r="E55" t="str">
            <v/>
          </cell>
          <cell r="F55" t="str">
            <v/>
          </cell>
          <cell r="G55" t="str">
            <v/>
          </cell>
          <cell r="H55" t="str">
            <v/>
          </cell>
          <cell r="I55" t="str">
            <v/>
          </cell>
          <cell r="J55" t="str">
            <v/>
          </cell>
          <cell r="K55" t="str">
            <v/>
          </cell>
        </row>
        <row r="56">
          <cell r="B56" t="str">
            <v>107-31-3</v>
          </cell>
          <cell r="C56" t="str">
            <v>Methyl formate</v>
          </cell>
          <cell r="D56">
            <v>100</v>
          </cell>
          <cell r="E56">
            <v>250</v>
          </cell>
          <cell r="F56" t="str">
            <v/>
          </cell>
          <cell r="G56">
            <v>150</v>
          </cell>
          <cell r="H56">
            <v>375</v>
          </cell>
          <cell r="I56" t="str">
            <v/>
          </cell>
          <cell r="J56" t="str">
            <v/>
          </cell>
          <cell r="K56" t="str">
            <v/>
          </cell>
        </row>
        <row r="57">
          <cell r="B57" t="str">
            <v>107-41-5</v>
          </cell>
          <cell r="C57" t="str">
            <v>Hexylene glycol</v>
          </cell>
          <cell r="D57" t="str">
            <v/>
          </cell>
          <cell r="E57" t="str">
            <v/>
          </cell>
          <cell r="F57" t="str">
            <v/>
          </cell>
          <cell r="G57" t="str">
            <v/>
          </cell>
          <cell r="H57" t="str">
            <v/>
          </cell>
          <cell r="I57">
            <v>25</v>
          </cell>
          <cell r="J57">
            <v>125</v>
          </cell>
          <cell r="K57" t="str">
            <v/>
          </cell>
        </row>
        <row r="58">
          <cell r="B58" t="str">
            <v>107-49-3</v>
          </cell>
          <cell r="C58" t="str">
            <v>Tetraethyl pyrophosphate (TEPP)</v>
          </cell>
          <cell r="D58" t="str">
            <v/>
          </cell>
          <cell r="E58">
            <v>0.01</v>
          </cell>
          <cell r="F58" t="str">
            <v/>
          </cell>
          <cell r="G58" t="str">
            <v/>
          </cell>
          <cell r="H58" t="str">
            <v/>
          </cell>
          <cell r="I58" t="str">
            <v/>
          </cell>
          <cell r="J58" t="str">
            <v/>
          </cell>
          <cell r="K58" t="str">
            <v>Skin</v>
          </cell>
        </row>
        <row r="59">
          <cell r="B59" t="str">
            <v>107-66-4</v>
          </cell>
          <cell r="C59" t="str">
            <v>Dibutyl phosphate</v>
          </cell>
          <cell r="D59">
            <v>1</v>
          </cell>
          <cell r="E59">
            <v>5</v>
          </cell>
          <cell r="F59" t="str">
            <v/>
          </cell>
          <cell r="G59">
            <v>2</v>
          </cell>
          <cell r="H59">
            <v>10</v>
          </cell>
          <cell r="I59" t="str">
            <v/>
          </cell>
          <cell r="J59" t="str">
            <v/>
          </cell>
          <cell r="K59" t="str">
            <v>Skin</v>
          </cell>
        </row>
        <row r="60">
          <cell r="B60" t="str">
            <v>107-87-9</v>
          </cell>
          <cell r="C60" t="str">
            <v>Methyl propyl ketone</v>
          </cell>
          <cell r="D60">
            <v>200</v>
          </cell>
          <cell r="E60">
            <v>700</v>
          </cell>
          <cell r="F60" t="str">
            <v/>
          </cell>
          <cell r="G60">
            <v>250</v>
          </cell>
          <cell r="H60">
            <v>875</v>
          </cell>
          <cell r="I60" t="str">
            <v/>
          </cell>
          <cell r="J60" t="str">
            <v/>
          </cell>
          <cell r="K60" t="str">
            <v/>
          </cell>
        </row>
        <row r="61">
          <cell r="B61" t="str">
            <v>107-98-2</v>
          </cell>
          <cell r="C61" t="str">
            <v>Propylene glycolmonomethyl ether</v>
          </cell>
          <cell r="D61">
            <v>100</v>
          </cell>
          <cell r="E61">
            <v>360</v>
          </cell>
          <cell r="F61" t="str">
            <v/>
          </cell>
          <cell r="G61">
            <v>150</v>
          </cell>
          <cell r="H61">
            <v>540</v>
          </cell>
          <cell r="I61" t="str">
            <v/>
          </cell>
          <cell r="J61" t="str">
            <v/>
          </cell>
          <cell r="K61" t="str">
            <v/>
          </cell>
        </row>
        <row r="62">
          <cell r="B62" t="str">
            <v>108-03-2</v>
          </cell>
          <cell r="C62" t="str">
            <v>1-Nitropropane</v>
          </cell>
          <cell r="D62">
            <v>25</v>
          </cell>
          <cell r="E62">
            <v>90</v>
          </cell>
          <cell r="F62" t="str">
            <v/>
          </cell>
          <cell r="G62" t="str">
            <v/>
          </cell>
          <cell r="H62" t="str">
            <v/>
          </cell>
          <cell r="I62" t="str">
            <v/>
          </cell>
          <cell r="J62" t="str">
            <v/>
          </cell>
          <cell r="K62" t="str">
            <v/>
          </cell>
        </row>
        <row r="63">
          <cell r="B63" t="str">
            <v>108-05-4</v>
          </cell>
          <cell r="C63" t="str">
            <v>Vinyl acetate</v>
          </cell>
          <cell r="D63">
            <v>10</v>
          </cell>
          <cell r="E63" t="str">
            <v/>
          </cell>
          <cell r="F63" t="str">
            <v/>
          </cell>
          <cell r="G63">
            <v>15</v>
          </cell>
          <cell r="H63" t="str">
            <v/>
          </cell>
          <cell r="I63" t="str">
            <v/>
          </cell>
          <cell r="J63" t="str">
            <v/>
          </cell>
          <cell r="K63" t="str">
            <v/>
          </cell>
        </row>
        <row r="64">
          <cell r="B64" t="str">
            <v>108-10-1</v>
          </cell>
          <cell r="C64" t="str">
            <v>Methyl isobutyl ketone</v>
          </cell>
          <cell r="D64">
            <v>50</v>
          </cell>
          <cell r="E64">
            <v>205</v>
          </cell>
          <cell r="F64" t="str">
            <v/>
          </cell>
          <cell r="G64">
            <v>75</v>
          </cell>
          <cell r="H64">
            <v>300</v>
          </cell>
          <cell r="I64" t="str">
            <v/>
          </cell>
          <cell r="J64" t="str">
            <v/>
          </cell>
          <cell r="K64" t="str">
            <v/>
          </cell>
        </row>
        <row r="65">
          <cell r="B65" t="str">
            <v>108-11-2</v>
          </cell>
          <cell r="C65" t="str">
            <v>Methyl isobutyl carbinol</v>
          </cell>
          <cell r="D65">
            <v>25</v>
          </cell>
          <cell r="E65">
            <v>100</v>
          </cell>
          <cell r="F65" t="str">
            <v/>
          </cell>
          <cell r="G65">
            <v>40</v>
          </cell>
          <cell r="H65">
            <v>165</v>
          </cell>
          <cell r="I65" t="str">
            <v/>
          </cell>
          <cell r="J65" t="str">
            <v/>
          </cell>
          <cell r="K65" t="str">
            <v>Skin</v>
          </cell>
        </row>
        <row r="66">
          <cell r="B66" t="str">
            <v>108-18-9</v>
          </cell>
          <cell r="C66" t="str">
            <v>Diisopropylamine</v>
          </cell>
          <cell r="D66">
            <v>5</v>
          </cell>
          <cell r="E66">
            <v>20</v>
          </cell>
          <cell r="F66" t="str">
            <v/>
          </cell>
          <cell r="G66" t="str">
            <v/>
          </cell>
          <cell r="H66" t="str">
            <v/>
          </cell>
          <cell r="I66" t="str">
            <v/>
          </cell>
          <cell r="J66" t="str">
            <v/>
          </cell>
          <cell r="K66" t="str">
            <v>Skin</v>
          </cell>
        </row>
        <row r="67">
          <cell r="B67" t="str">
            <v>108-20-3</v>
          </cell>
          <cell r="C67" t="str">
            <v>Isopropyl ether</v>
          </cell>
          <cell r="D67">
            <v>250</v>
          </cell>
          <cell r="E67">
            <v>1025</v>
          </cell>
          <cell r="F67" t="str">
            <v/>
          </cell>
          <cell r="G67">
            <v>310</v>
          </cell>
          <cell r="H67">
            <v>1320</v>
          </cell>
          <cell r="I67" t="str">
            <v/>
          </cell>
          <cell r="J67" t="str">
            <v/>
          </cell>
          <cell r="K67" t="str">
            <v/>
          </cell>
        </row>
        <row r="68">
          <cell r="B68" t="str">
            <v>108-21-4</v>
          </cell>
          <cell r="C68" t="str">
            <v>Isopropyl acetate</v>
          </cell>
          <cell r="D68">
            <v>100</v>
          </cell>
          <cell r="E68">
            <v>420</v>
          </cell>
          <cell r="F68" t="str">
            <v/>
          </cell>
          <cell r="G68">
            <v>200</v>
          </cell>
          <cell r="H68">
            <v>840</v>
          </cell>
          <cell r="I68" t="str">
            <v/>
          </cell>
          <cell r="J68" t="str">
            <v/>
          </cell>
          <cell r="K68" t="str">
            <v/>
          </cell>
        </row>
        <row r="69">
          <cell r="B69" t="str">
            <v>108-24-7</v>
          </cell>
          <cell r="C69" t="str">
            <v>Acetic anhydride</v>
          </cell>
          <cell r="D69">
            <v>1</v>
          </cell>
          <cell r="E69">
            <v>4.2</v>
          </cell>
          <cell r="F69" t="str">
            <v/>
          </cell>
          <cell r="G69">
            <v>3</v>
          </cell>
          <cell r="H69">
            <v>12.6</v>
          </cell>
          <cell r="I69" t="str">
            <v/>
          </cell>
          <cell r="J69" t="str">
            <v/>
          </cell>
          <cell r="K69" t="str">
            <v/>
          </cell>
        </row>
        <row r="70">
          <cell r="B70" t="str">
            <v>108-31-6</v>
          </cell>
          <cell r="C70" t="str">
            <v>Maleic anhydride</v>
          </cell>
          <cell r="D70">
            <v>0.1</v>
          </cell>
          <cell r="E70">
            <v>0.4</v>
          </cell>
          <cell r="F70" t="str">
            <v/>
          </cell>
          <cell r="G70" t="str">
            <v/>
          </cell>
          <cell r="H70" t="str">
            <v/>
          </cell>
          <cell r="I70" t="str">
            <v/>
          </cell>
          <cell r="J70" t="str">
            <v/>
          </cell>
          <cell r="K70" t="str">
            <v/>
          </cell>
        </row>
        <row r="71">
          <cell r="B71" t="str">
            <v>108-38-3</v>
          </cell>
          <cell r="C71" t="str">
            <v>Xylene(o,m,p-isomers)</v>
          </cell>
          <cell r="D71">
            <v>100</v>
          </cell>
          <cell r="E71">
            <v>435</v>
          </cell>
          <cell r="F71" t="str">
            <v/>
          </cell>
          <cell r="G71">
            <v>150</v>
          </cell>
          <cell r="H71">
            <v>655</v>
          </cell>
          <cell r="I71" t="str">
            <v/>
          </cell>
          <cell r="J71" t="str">
            <v/>
          </cell>
          <cell r="K71" t="str">
            <v/>
          </cell>
        </row>
        <row r="72">
          <cell r="B72" t="str">
            <v>108-44-1</v>
          </cell>
          <cell r="C72" t="str">
            <v>m-Toluidine</v>
          </cell>
          <cell r="D72">
            <v>2</v>
          </cell>
          <cell r="E72">
            <v>9</v>
          </cell>
          <cell r="F72" t="str">
            <v/>
          </cell>
          <cell r="G72" t="str">
            <v/>
          </cell>
          <cell r="H72" t="str">
            <v/>
          </cell>
          <cell r="I72" t="str">
            <v/>
          </cell>
          <cell r="J72" t="str">
            <v/>
          </cell>
          <cell r="K72" t="str">
            <v>Skin</v>
          </cell>
        </row>
        <row r="73">
          <cell r="B73" t="str">
            <v>108-46-3</v>
          </cell>
          <cell r="C73" t="str">
            <v>Resorcinol</v>
          </cell>
          <cell r="D73">
            <v>10</v>
          </cell>
          <cell r="E73">
            <v>45</v>
          </cell>
          <cell r="F73" t="str">
            <v/>
          </cell>
          <cell r="G73">
            <v>20</v>
          </cell>
          <cell r="H73">
            <v>90</v>
          </cell>
          <cell r="I73" t="str">
            <v/>
          </cell>
          <cell r="J73" t="str">
            <v/>
          </cell>
          <cell r="K73" t="str">
            <v/>
          </cell>
        </row>
        <row r="74">
          <cell r="B74" t="str">
            <v>108-83-8</v>
          </cell>
          <cell r="C74" t="str">
            <v>Diisobutyl ketone</v>
          </cell>
          <cell r="D74">
            <v>25</v>
          </cell>
          <cell r="E74">
            <v>150</v>
          </cell>
          <cell r="F74" t="str">
            <v/>
          </cell>
          <cell r="G74" t="str">
            <v/>
          </cell>
          <cell r="H74" t="str">
            <v/>
          </cell>
          <cell r="I74" t="str">
            <v/>
          </cell>
          <cell r="J74" t="str">
            <v/>
          </cell>
          <cell r="K74" t="str">
            <v/>
          </cell>
        </row>
        <row r="75">
          <cell r="B75" t="str">
            <v>108-84-9</v>
          </cell>
          <cell r="C75" t="str">
            <v>sec-Hexyl acetate</v>
          </cell>
          <cell r="D75">
            <v>50</v>
          </cell>
          <cell r="E75">
            <v>300</v>
          </cell>
          <cell r="F75" t="str">
            <v/>
          </cell>
          <cell r="G75" t="str">
            <v/>
          </cell>
          <cell r="H75" t="str">
            <v/>
          </cell>
          <cell r="I75" t="str">
            <v/>
          </cell>
          <cell r="J75" t="str">
            <v/>
          </cell>
          <cell r="K75" t="str">
            <v/>
          </cell>
        </row>
        <row r="76">
          <cell r="B76" t="str">
            <v>108-87-2</v>
          </cell>
          <cell r="C76" t="str">
            <v>Methylcyclohexane</v>
          </cell>
          <cell r="D76">
            <v>400</v>
          </cell>
          <cell r="E76">
            <v>1600</v>
          </cell>
          <cell r="F76" t="str">
            <v/>
          </cell>
          <cell r="G76" t="str">
            <v/>
          </cell>
          <cell r="H76" t="str">
            <v/>
          </cell>
          <cell r="I76" t="str">
            <v/>
          </cell>
          <cell r="J76" t="str">
            <v/>
          </cell>
          <cell r="K76" t="str">
            <v/>
          </cell>
        </row>
        <row r="77">
          <cell r="B77" t="str">
            <v>108-88-3</v>
          </cell>
          <cell r="C77" t="str">
            <v>Toluene</v>
          </cell>
          <cell r="D77">
            <v>50</v>
          </cell>
          <cell r="E77">
            <v>188</v>
          </cell>
          <cell r="F77" t="str">
            <v/>
          </cell>
          <cell r="G77">
            <v>150</v>
          </cell>
          <cell r="H77">
            <v>560</v>
          </cell>
          <cell r="I77" t="str">
            <v/>
          </cell>
          <cell r="J77" t="str">
            <v/>
          </cell>
          <cell r="K77" t="str">
            <v/>
          </cell>
        </row>
        <row r="78">
          <cell r="B78" t="str">
            <v>108-90-7</v>
          </cell>
          <cell r="C78" t="str">
            <v>Chlorobenzene</v>
          </cell>
          <cell r="D78">
            <v>10</v>
          </cell>
          <cell r="E78">
            <v>46</v>
          </cell>
          <cell r="F78" t="str">
            <v/>
          </cell>
          <cell r="G78">
            <v>20</v>
          </cell>
          <cell r="H78">
            <v>94</v>
          </cell>
          <cell r="I78" t="str">
            <v/>
          </cell>
          <cell r="J78" t="str">
            <v/>
          </cell>
          <cell r="K78" t="str">
            <v/>
          </cell>
        </row>
        <row r="79">
          <cell r="B79" t="str">
            <v>108-91-8</v>
          </cell>
          <cell r="C79" t="str">
            <v>Cyclohexylamine</v>
          </cell>
          <cell r="D79">
            <v>10</v>
          </cell>
          <cell r="E79">
            <v>40</v>
          </cell>
          <cell r="F79" t="str">
            <v/>
          </cell>
          <cell r="G79" t="str">
            <v/>
          </cell>
          <cell r="H79" t="str">
            <v/>
          </cell>
          <cell r="I79" t="str">
            <v/>
          </cell>
          <cell r="J79" t="str">
            <v/>
          </cell>
          <cell r="K79" t="str">
            <v/>
          </cell>
        </row>
        <row r="80">
          <cell r="B80" t="str">
            <v>108-93-0</v>
          </cell>
          <cell r="C80" t="str">
            <v>Cyclohexanol</v>
          </cell>
          <cell r="D80">
            <v>50</v>
          </cell>
          <cell r="E80">
            <v>200</v>
          </cell>
          <cell r="F80" t="str">
            <v/>
          </cell>
          <cell r="G80" t="str">
            <v/>
          </cell>
          <cell r="H80" t="str">
            <v/>
          </cell>
          <cell r="I80" t="str">
            <v/>
          </cell>
          <cell r="J80" t="str">
            <v/>
          </cell>
          <cell r="K80" t="str">
            <v>Skin</v>
          </cell>
        </row>
        <row r="81">
          <cell r="B81" t="str">
            <v>108-94-1</v>
          </cell>
          <cell r="C81" t="str">
            <v>Cyclohexanone</v>
          </cell>
          <cell r="D81">
            <v>25</v>
          </cell>
          <cell r="E81">
            <v>100</v>
          </cell>
          <cell r="F81" t="str">
            <v/>
          </cell>
          <cell r="G81">
            <v>50</v>
          </cell>
          <cell r="H81">
            <v>200</v>
          </cell>
          <cell r="I81" t="str">
            <v/>
          </cell>
          <cell r="J81" t="str">
            <v/>
          </cell>
          <cell r="K81" t="str">
            <v>Skin</v>
          </cell>
        </row>
        <row r="82">
          <cell r="B82" t="str">
            <v>108-95-2</v>
          </cell>
          <cell r="C82" t="str">
            <v>Phenol</v>
          </cell>
          <cell r="D82">
            <v>5</v>
          </cell>
          <cell r="E82">
            <v>19</v>
          </cell>
          <cell r="F82" t="str">
            <v/>
          </cell>
          <cell r="G82" t="str">
            <v/>
          </cell>
          <cell r="H82" t="str">
            <v/>
          </cell>
          <cell r="I82" t="str">
            <v/>
          </cell>
          <cell r="J82" t="str">
            <v/>
          </cell>
          <cell r="K82" t="str">
            <v>Skin</v>
          </cell>
        </row>
        <row r="83">
          <cell r="B83" t="str">
            <v>108-98-5</v>
          </cell>
          <cell r="C83" t="str">
            <v>Phenyl mercaptan</v>
          </cell>
          <cell r="D83">
            <v>0.1</v>
          </cell>
          <cell r="E83">
            <v>0.45</v>
          </cell>
          <cell r="F83" t="str">
            <v/>
          </cell>
          <cell r="G83" t="str">
            <v/>
          </cell>
          <cell r="H83" t="str">
            <v/>
          </cell>
          <cell r="I83" t="str">
            <v/>
          </cell>
          <cell r="J83" t="str">
            <v/>
          </cell>
          <cell r="K83" t="str">
            <v>Skin</v>
          </cell>
        </row>
        <row r="84">
          <cell r="B84" t="str">
            <v>109-59-1</v>
          </cell>
          <cell r="C84" t="str">
            <v>Isopropoxyethanol</v>
          </cell>
          <cell r="D84">
            <v>25</v>
          </cell>
          <cell r="E84">
            <v>105</v>
          </cell>
          <cell r="F84" t="str">
            <v/>
          </cell>
          <cell r="G84" t="str">
            <v/>
          </cell>
          <cell r="H84" t="str">
            <v/>
          </cell>
          <cell r="I84" t="str">
            <v/>
          </cell>
          <cell r="J84" t="str">
            <v/>
          </cell>
          <cell r="K84" t="str">
            <v/>
          </cell>
        </row>
        <row r="85">
          <cell r="B85" t="str">
            <v>109-60-4</v>
          </cell>
          <cell r="C85" t="str">
            <v>n-Propyl acetate</v>
          </cell>
          <cell r="D85">
            <v>200</v>
          </cell>
          <cell r="E85">
            <v>840</v>
          </cell>
          <cell r="F85" t="str">
            <v/>
          </cell>
          <cell r="G85">
            <v>250</v>
          </cell>
          <cell r="H85">
            <v>1050</v>
          </cell>
          <cell r="I85" t="str">
            <v/>
          </cell>
          <cell r="J85" t="str">
            <v/>
          </cell>
          <cell r="K85" t="str">
            <v/>
          </cell>
        </row>
        <row r="86">
          <cell r="B86" t="str">
            <v>109-66-0</v>
          </cell>
          <cell r="C86" t="str">
            <v>Pentane</v>
          </cell>
          <cell r="D86">
            <v>600</v>
          </cell>
          <cell r="E86">
            <v>1800</v>
          </cell>
          <cell r="F86" t="str">
            <v/>
          </cell>
          <cell r="G86">
            <v>750</v>
          </cell>
          <cell r="H86">
            <v>2250</v>
          </cell>
          <cell r="I86" t="str">
            <v/>
          </cell>
          <cell r="J86" t="str">
            <v/>
          </cell>
          <cell r="K86" t="str">
            <v/>
          </cell>
        </row>
        <row r="87">
          <cell r="B87" t="str">
            <v>109-73-9</v>
          </cell>
          <cell r="C87" t="str">
            <v>Butylamine</v>
          </cell>
          <cell r="D87" t="str">
            <v/>
          </cell>
          <cell r="E87" t="str">
            <v/>
          </cell>
          <cell r="F87" t="str">
            <v/>
          </cell>
          <cell r="G87" t="str">
            <v/>
          </cell>
          <cell r="H87" t="str">
            <v/>
          </cell>
          <cell r="I87">
            <v>5</v>
          </cell>
          <cell r="J87">
            <v>15</v>
          </cell>
          <cell r="K87" t="str">
            <v>Skin</v>
          </cell>
        </row>
        <row r="88">
          <cell r="B88" t="str">
            <v>109-79-5</v>
          </cell>
          <cell r="C88" t="str">
            <v>Butyl mercaptan</v>
          </cell>
          <cell r="D88">
            <v>0.5</v>
          </cell>
          <cell r="E88">
            <v>1.5</v>
          </cell>
          <cell r="F88" t="str">
            <v/>
          </cell>
          <cell r="G88" t="str">
            <v/>
          </cell>
          <cell r="H88" t="str">
            <v/>
          </cell>
          <cell r="I88" t="str">
            <v/>
          </cell>
          <cell r="J88" t="str">
            <v/>
          </cell>
          <cell r="K88" t="str">
            <v/>
          </cell>
        </row>
        <row r="89">
          <cell r="B89" t="str">
            <v>109-86-4</v>
          </cell>
          <cell r="C89" t="str">
            <v>2-Methoxyethanol</v>
          </cell>
          <cell r="D89">
            <v>5</v>
          </cell>
          <cell r="E89">
            <v>16</v>
          </cell>
          <cell r="F89" t="str">
            <v/>
          </cell>
          <cell r="G89" t="str">
            <v/>
          </cell>
          <cell r="H89" t="str">
            <v/>
          </cell>
          <cell r="I89" t="str">
            <v/>
          </cell>
          <cell r="J89" t="str">
            <v/>
          </cell>
          <cell r="K89" t="str">
            <v>Skin</v>
          </cell>
        </row>
        <row r="90">
          <cell r="B90" t="str">
            <v>109-87-5</v>
          </cell>
          <cell r="C90" t="str">
            <v>Dimethoxymethane</v>
          </cell>
          <cell r="D90">
            <v>1000</v>
          </cell>
          <cell r="E90">
            <v>3100</v>
          </cell>
          <cell r="F90" t="str">
            <v/>
          </cell>
          <cell r="G90" t="str">
            <v/>
          </cell>
          <cell r="H90" t="str">
            <v/>
          </cell>
          <cell r="I90" t="str">
            <v/>
          </cell>
          <cell r="J90" t="str">
            <v/>
          </cell>
          <cell r="K90" t="str">
            <v/>
          </cell>
        </row>
        <row r="91">
          <cell r="B91" t="str">
            <v>109-89-7</v>
          </cell>
          <cell r="C91" t="str">
            <v>Diethylamine</v>
          </cell>
          <cell r="D91">
            <v>5</v>
          </cell>
          <cell r="E91">
            <v>15</v>
          </cell>
          <cell r="F91" t="str">
            <v/>
          </cell>
          <cell r="G91">
            <v>15</v>
          </cell>
          <cell r="H91">
            <v>45</v>
          </cell>
          <cell r="I91" t="str">
            <v/>
          </cell>
          <cell r="J91" t="str">
            <v/>
          </cell>
          <cell r="K91" t="str">
            <v>Skin</v>
          </cell>
        </row>
        <row r="92">
          <cell r="B92" t="str">
            <v>109-94-4</v>
          </cell>
          <cell r="C92" t="str">
            <v>Ethyl formate</v>
          </cell>
          <cell r="D92">
            <v>100</v>
          </cell>
          <cell r="E92">
            <v>300</v>
          </cell>
          <cell r="F92" t="str">
            <v/>
          </cell>
          <cell r="G92" t="str">
            <v/>
          </cell>
          <cell r="H92" t="str">
            <v/>
          </cell>
          <cell r="I92" t="str">
            <v/>
          </cell>
          <cell r="J92" t="str">
            <v/>
          </cell>
          <cell r="K92" t="str">
            <v/>
          </cell>
        </row>
        <row r="93">
          <cell r="B93" t="str">
            <v>109-99-9</v>
          </cell>
          <cell r="C93" t="str">
            <v>Tetrahydrofuran</v>
          </cell>
          <cell r="D93">
            <v>50</v>
          </cell>
          <cell r="E93">
            <v>140</v>
          </cell>
          <cell r="F93" t="str">
            <v/>
          </cell>
          <cell r="G93">
            <v>100</v>
          </cell>
          <cell r="H93">
            <v>280</v>
          </cell>
          <cell r="I93" t="str">
            <v/>
          </cell>
          <cell r="J93" t="str">
            <v/>
          </cell>
          <cell r="K93" t="str">
            <v>Skin</v>
          </cell>
        </row>
        <row r="94">
          <cell r="B94" t="str">
            <v>110-12-3</v>
          </cell>
          <cell r="C94" t="str">
            <v>Methyl isoamyl ketone</v>
          </cell>
          <cell r="D94">
            <v>50</v>
          </cell>
          <cell r="E94">
            <v>240</v>
          </cell>
          <cell r="F94" t="str">
            <v/>
          </cell>
          <cell r="G94" t="str">
            <v/>
          </cell>
          <cell r="H94" t="str">
            <v/>
          </cell>
          <cell r="I94" t="str">
            <v/>
          </cell>
          <cell r="J94" t="str">
            <v/>
          </cell>
          <cell r="K94" t="str">
            <v/>
          </cell>
        </row>
        <row r="95">
          <cell r="B95" t="str">
            <v>110-19-0</v>
          </cell>
          <cell r="C95" t="str">
            <v>Isobutyl acetate</v>
          </cell>
          <cell r="D95">
            <v>150</v>
          </cell>
          <cell r="E95">
            <v>700</v>
          </cell>
          <cell r="F95" t="str">
            <v/>
          </cell>
          <cell r="G95">
            <v>187</v>
          </cell>
          <cell r="H95">
            <v>875</v>
          </cell>
          <cell r="I95" t="str">
            <v/>
          </cell>
          <cell r="J95" t="str">
            <v/>
          </cell>
          <cell r="K95" t="str">
            <v/>
          </cell>
        </row>
        <row r="96">
          <cell r="B96" t="str">
            <v>110-43-0</v>
          </cell>
          <cell r="C96" t="str">
            <v>2-Heptanone</v>
          </cell>
          <cell r="D96">
            <v>50</v>
          </cell>
          <cell r="E96">
            <v>235</v>
          </cell>
          <cell r="F96" t="str">
            <v/>
          </cell>
          <cell r="G96" t="str">
            <v/>
          </cell>
          <cell r="H96" t="str">
            <v/>
          </cell>
          <cell r="I96" t="str">
            <v/>
          </cell>
          <cell r="J96" t="str">
            <v/>
          </cell>
          <cell r="K96" t="str">
            <v/>
          </cell>
        </row>
        <row r="97">
          <cell r="B97" t="str">
            <v>110-49-6</v>
          </cell>
          <cell r="C97" t="str">
            <v>Ethylene glycol methyl ether acetate</v>
          </cell>
          <cell r="D97">
            <v>5</v>
          </cell>
          <cell r="E97">
            <v>24</v>
          </cell>
          <cell r="F97" t="str">
            <v/>
          </cell>
          <cell r="G97" t="str">
            <v/>
          </cell>
          <cell r="H97" t="str">
            <v/>
          </cell>
          <cell r="I97" t="str">
            <v/>
          </cell>
          <cell r="J97" t="str">
            <v/>
          </cell>
          <cell r="K97" t="str">
            <v>Skin</v>
          </cell>
        </row>
        <row r="98">
          <cell r="B98" t="str">
            <v>110-54-3</v>
          </cell>
          <cell r="C98" t="str">
            <v>n-Hexane</v>
          </cell>
          <cell r="D98">
            <v>50</v>
          </cell>
          <cell r="E98">
            <v>180</v>
          </cell>
          <cell r="F98" t="str">
            <v/>
          </cell>
          <cell r="G98" t="str">
            <v/>
          </cell>
          <cell r="H98" t="str">
            <v/>
          </cell>
          <cell r="I98" t="str">
            <v/>
          </cell>
          <cell r="J98" t="str">
            <v/>
          </cell>
          <cell r="K98" t="str">
            <v/>
          </cell>
        </row>
        <row r="99">
          <cell r="B99" t="str">
            <v>110-62-3</v>
          </cell>
          <cell r="C99" t="str">
            <v>n-Valeraldehyde</v>
          </cell>
          <cell r="D99">
            <v>50</v>
          </cell>
          <cell r="E99">
            <v>175</v>
          </cell>
          <cell r="F99" t="str">
            <v/>
          </cell>
          <cell r="G99" t="str">
            <v/>
          </cell>
          <cell r="H99" t="str">
            <v/>
          </cell>
          <cell r="I99" t="str">
            <v/>
          </cell>
          <cell r="J99" t="str">
            <v/>
          </cell>
          <cell r="K99" t="str">
            <v/>
          </cell>
        </row>
        <row r="100">
          <cell r="B100" t="str">
            <v>110-80-5</v>
          </cell>
          <cell r="C100" t="str">
            <v>2-Ethoxyethanol</v>
          </cell>
          <cell r="D100">
            <v>5</v>
          </cell>
          <cell r="E100">
            <v>19</v>
          </cell>
          <cell r="F100" t="str">
            <v/>
          </cell>
          <cell r="G100" t="str">
            <v/>
          </cell>
          <cell r="H100" t="str">
            <v/>
          </cell>
          <cell r="I100" t="str">
            <v/>
          </cell>
          <cell r="J100" t="str">
            <v/>
          </cell>
          <cell r="K100" t="str">
            <v>Skin</v>
          </cell>
        </row>
        <row r="101">
          <cell r="B101" t="str">
            <v>110-82-7</v>
          </cell>
          <cell r="C101" t="str">
            <v>Cyclohexane</v>
          </cell>
          <cell r="D101">
            <v>200</v>
          </cell>
          <cell r="E101">
            <v>700</v>
          </cell>
          <cell r="F101" t="str">
            <v/>
          </cell>
          <cell r="G101" t="str">
            <v/>
          </cell>
          <cell r="H101" t="str">
            <v/>
          </cell>
          <cell r="I101" t="str">
            <v/>
          </cell>
          <cell r="J101" t="str">
            <v/>
          </cell>
          <cell r="K101" t="str">
            <v/>
          </cell>
        </row>
        <row r="102">
          <cell r="B102" t="str">
            <v>110-83-8</v>
          </cell>
          <cell r="C102" t="str">
            <v>Cyclohexene</v>
          </cell>
          <cell r="D102">
            <v>300</v>
          </cell>
          <cell r="E102">
            <v>1015</v>
          </cell>
          <cell r="F102" t="str">
            <v/>
          </cell>
          <cell r="G102" t="str">
            <v/>
          </cell>
          <cell r="H102" t="str">
            <v/>
          </cell>
          <cell r="I102" t="str">
            <v/>
          </cell>
          <cell r="J102" t="str">
            <v/>
          </cell>
          <cell r="K102" t="str">
            <v/>
          </cell>
        </row>
        <row r="103">
          <cell r="B103" t="str">
            <v>110-86-1</v>
          </cell>
          <cell r="C103" t="str">
            <v>Pyridine</v>
          </cell>
          <cell r="D103">
            <v>2</v>
          </cell>
          <cell r="E103">
            <v>6</v>
          </cell>
          <cell r="F103" t="str">
            <v/>
          </cell>
          <cell r="G103" t="str">
            <v/>
          </cell>
          <cell r="H103" t="str">
            <v/>
          </cell>
          <cell r="I103" t="str">
            <v/>
          </cell>
          <cell r="J103" t="str">
            <v/>
          </cell>
          <cell r="K103" t="str">
            <v/>
          </cell>
        </row>
        <row r="104">
          <cell r="B104" t="str">
            <v>110-91-8</v>
          </cell>
          <cell r="C104" t="str">
            <v>Morpholine</v>
          </cell>
          <cell r="D104">
            <v>20</v>
          </cell>
          <cell r="E104">
            <v>70</v>
          </cell>
          <cell r="F104" t="str">
            <v/>
          </cell>
          <cell r="G104">
            <v>30</v>
          </cell>
          <cell r="H104">
            <v>105</v>
          </cell>
          <cell r="I104" t="str">
            <v/>
          </cell>
          <cell r="J104" t="str">
            <v/>
          </cell>
          <cell r="K104" t="str">
            <v>Skin</v>
          </cell>
        </row>
        <row r="105">
          <cell r="B105" t="str">
            <v>11097-69-1</v>
          </cell>
          <cell r="C105" t="str">
            <v>Chlorodiphenyl(54% Chlorine)</v>
          </cell>
          <cell r="D105" t="str">
            <v/>
          </cell>
          <cell r="E105">
            <v>0.5</v>
          </cell>
          <cell r="F105" t="str">
            <v/>
          </cell>
          <cell r="G105" t="str">
            <v/>
          </cell>
          <cell r="H105">
            <v>1</v>
          </cell>
          <cell r="I105" t="str">
            <v/>
          </cell>
          <cell r="J105" t="str">
            <v/>
          </cell>
          <cell r="K105" t="str">
            <v>Skin</v>
          </cell>
        </row>
        <row r="106">
          <cell r="B106" t="str">
            <v>111-15-9</v>
          </cell>
          <cell r="C106" t="str">
            <v>2-Ethoxyethyl acetate</v>
          </cell>
          <cell r="D106">
            <v>5</v>
          </cell>
          <cell r="E106">
            <v>27</v>
          </cell>
          <cell r="F106" t="str">
            <v/>
          </cell>
          <cell r="G106" t="str">
            <v/>
          </cell>
          <cell r="H106" t="str">
            <v/>
          </cell>
          <cell r="I106" t="str">
            <v/>
          </cell>
          <cell r="J106" t="str">
            <v/>
          </cell>
          <cell r="K106" t="str">
            <v>Skin</v>
          </cell>
        </row>
        <row r="107">
          <cell r="B107" t="str">
            <v>111-30-8</v>
          </cell>
          <cell r="C107" t="str">
            <v>Glutaraldehyde</v>
          </cell>
          <cell r="D107" t="str">
            <v/>
          </cell>
          <cell r="E107" t="str">
            <v/>
          </cell>
          <cell r="F107" t="str">
            <v/>
          </cell>
          <cell r="G107" t="str">
            <v/>
          </cell>
          <cell r="H107" t="str">
            <v/>
          </cell>
          <cell r="I107">
            <v>0.05</v>
          </cell>
          <cell r="J107">
            <v>0.2</v>
          </cell>
          <cell r="K107" t="str">
            <v/>
          </cell>
        </row>
        <row r="108">
          <cell r="B108" t="str">
            <v>111-40-0</v>
          </cell>
          <cell r="C108" t="str">
            <v>Diethylene triamine</v>
          </cell>
          <cell r="D108">
            <v>1</v>
          </cell>
          <cell r="E108">
            <v>4</v>
          </cell>
          <cell r="F108" t="str">
            <v/>
          </cell>
          <cell r="G108" t="str">
            <v/>
          </cell>
          <cell r="H108" t="str">
            <v/>
          </cell>
          <cell r="I108" t="str">
            <v/>
          </cell>
          <cell r="J108" t="str">
            <v/>
          </cell>
          <cell r="K108" t="str">
            <v>Skin</v>
          </cell>
        </row>
        <row r="109">
          <cell r="B109" t="str">
            <v>111-42-2</v>
          </cell>
          <cell r="C109" t="str">
            <v>Diethanolamine</v>
          </cell>
          <cell r="D109">
            <v>0.46</v>
          </cell>
          <cell r="E109">
            <v>2</v>
          </cell>
          <cell r="F109" t="str">
            <v/>
          </cell>
          <cell r="G109" t="str">
            <v/>
          </cell>
          <cell r="H109" t="str">
            <v/>
          </cell>
          <cell r="I109" t="str">
            <v/>
          </cell>
          <cell r="J109" t="str">
            <v/>
          </cell>
          <cell r="K109" t="str">
            <v>Skin</v>
          </cell>
        </row>
        <row r="110">
          <cell r="B110" t="str">
            <v>111-44-4</v>
          </cell>
          <cell r="C110" t="str">
            <v>Dichloroethylether</v>
          </cell>
          <cell r="D110">
            <v>5</v>
          </cell>
          <cell r="E110">
            <v>30</v>
          </cell>
          <cell r="F110" t="str">
            <v/>
          </cell>
          <cell r="G110">
            <v>10</v>
          </cell>
          <cell r="H110">
            <v>60</v>
          </cell>
          <cell r="I110" t="str">
            <v/>
          </cell>
          <cell r="J110" t="str">
            <v/>
          </cell>
          <cell r="K110" t="str">
            <v>Skin</v>
          </cell>
        </row>
        <row r="111">
          <cell r="B111" t="str">
            <v>111-65-9</v>
          </cell>
          <cell r="C111" t="str">
            <v>Octane</v>
          </cell>
          <cell r="D111">
            <v>300</v>
          </cell>
          <cell r="E111">
            <v>1450</v>
          </cell>
          <cell r="F111" t="str">
            <v/>
          </cell>
          <cell r="G111">
            <v>375</v>
          </cell>
          <cell r="H111">
            <v>1800</v>
          </cell>
          <cell r="I111" t="str">
            <v/>
          </cell>
          <cell r="J111" t="str">
            <v/>
          </cell>
          <cell r="K111" t="str">
            <v/>
          </cell>
        </row>
        <row r="112">
          <cell r="B112" t="str">
            <v>111-76-2</v>
          </cell>
          <cell r="C112" t="str">
            <v>2-Butoxyethanol</v>
          </cell>
          <cell r="D112">
            <v>20</v>
          </cell>
          <cell r="E112">
            <v>97</v>
          </cell>
          <cell r="F112" t="str">
            <v/>
          </cell>
          <cell r="G112" t="str">
            <v/>
          </cell>
          <cell r="H112" t="str">
            <v/>
          </cell>
          <cell r="I112" t="str">
            <v/>
          </cell>
          <cell r="J112" t="str">
            <v/>
          </cell>
          <cell r="K112" t="str">
            <v>Skin</v>
          </cell>
        </row>
        <row r="113">
          <cell r="B113" t="str">
            <v>111-84-2</v>
          </cell>
          <cell r="C113" t="str">
            <v>Nonane</v>
          </cell>
          <cell r="D113">
            <v>200</v>
          </cell>
          <cell r="E113">
            <v>1050</v>
          </cell>
          <cell r="F113" t="str">
            <v/>
          </cell>
          <cell r="G113" t="str">
            <v/>
          </cell>
          <cell r="H113" t="str">
            <v/>
          </cell>
          <cell r="I113" t="str">
            <v/>
          </cell>
          <cell r="J113" t="str">
            <v/>
          </cell>
          <cell r="K113" t="str">
            <v/>
          </cell>
        </row>
        <row r="114">
          <cell r="B114" t="str">
            <v>1120-71-4</v>
          </cell>
          <cell r="C114" t="str">
            <v>Propane sultone</v>
          </cell>
          <cell r="D114" t="str">
            <v/>
          </cell>
          <cell r="E114" t="str">
            <v/>
          </cell>
          <cell r="F114" t="str">
            <v/>
          </cell>
          <cell r="G114" t="str">
            <v/>
          </cell>
          <cell r="H114" t="str">
            <v/>
          </cell>
          <cell r="I114" t="str">
            <v/>
          </cell>
          <cell r="J114" t="str">
            <v/>
          </cell>
          <cell r="K114" t="str">
            <v/>
          </cell>
        </row>
        <row r="115">
          <cell r="B115" t="str">
            <v>112-07-2</v>
          </cell>
          <cell r="C115" t="str">
            <v>Ethyleneglycol monobutyletheracetate</v>
          </cell>
          <cell r="D115">
            <v>20</v>
          </cell>
          <cell r="E115">
            <v>131</v>
          </cell>
          <cell r="F115" t="str">
            <v/>
          </cell>
          <cell r="G115" t="str">
            <v/>
          </cell>
          <cell r="H115" t="str">
            <v/>
          </cell>
          <cell r="I115" t="str">
            <v/>
          </cell>
          <cell r="J115" t="str">
            <v/>
          </cell>
          <cell r="K115" t="str">
            <v/>
          </cell>
        </row>
        <row r="116">
          <cell r="B116" t="str">
            <v>112926-00-8</v>
          </cell>
          <cell r="C116" t="str">
            <v>Silica(Amorphous silicagel)</v>
          </cell>
          <cell r="D116" t="str">
            <v/>
          </cell>
          <cell r="E116">
            <v>10</v>
          </cell>
          <cell r="F116" t="str">
            <v/>
          </cell>
          <cell r="G116" t="str">
            <v/>
          </cell>
          <cell r="H116" t="str">
            <v/>
          </cell>
          <cell r="I116" t="str">
            <v/>
          </cell>
          <cell r="J116" t="str">
            <v/>
          </cell>
          <cell r="K116" t="str">
            <v/>
          </cell>
        </row>
        <row r="117">
          <cell r="B117" t="str">
            <v>114-26-1</v>
          </cell>
          <cell r="C117" t="str">
            <v>Propoxur</v>
          </cell>
          <cell r="D117" t="str">
            <v/>
          </cell>
          <cell r="E117">
            <v>0.5</v>
          </cell>
          <cell r="F117" t="str">
            <v/>
          </cell>
          <cell r="G117" t="str">
            <v/>
          </cell>
          <cell r="H117" t="str">
            <v/>
          </cell>
          <cell r="I117" t="str">
            <v/>
          </cell>
          <cell r="J117" t="str">
            <v/>
          </cell>
          <cell r="K117" t="str">
            <v/>
          </cell>
        </row>
        <row r="118">
          <cell r="B118" t="str">
            <v>115-29-7</v>
          </cell>
          <cell r="C118" t="str">
            <v>Endosulfan</v>
          </cell>
          <cell r="D118" t="str">
            <v/>
          </cell>
          <cell r="E118">
            <v>0.1</v>
          </cell>
          <cell r="F118" t="str">
            <v/>
          </cell>
          <cell r="G118" t="str">
            <v/>
          </cell>
          <cell r="H118" t="str">
            <v/>
          </cell>
          <cell r="I118" t="str">
            <v/>
          </cell>
          <cell r="J118" t="str">
            <v/>
          </cell>
          <cell r="K118" t="str">
            <v>Skin</v>
          </cell>
        </row>
        <row r="119">
          <cell r="B119" t="str">
            <v>115-77-5</v>
          </cell>
          <cell r="C119" t="str">
            <v>Pentaerythritol</v>
          </cell>
          <cell r="D119" t="str">
            <v/>
          </cell>
          <cell r="E119">
            <v>10</v>
          </cell>
          <cell r="F119" t="str">
            <v/>
          </cell>
          <cell r="G119" t="str">
            <v/>
          </cell>
          <cell r="H119" t="str">
            <v/>
          </cell>
          <cell r="I119" t="str">
            <v/>
          </cell>
          <cell r="J119" t="str">
            <v/>
          </cell>
          <cell r="K119" t="str">
            <v/>
          </cell>
        </row>
        <row r="120">
          <cell r="B120" t="str">
            <v>115-86-6</v>
          </cell>
          <cell r="C120" t="str">
            <v>Triphenyl phosphate</v>
          </cell>
          <cell r="D120" t="str">
            <v/>
          </cell>
          <cell r="E120">
            <v>3</v>
          </cell>
          <cell r="F120" t="str">
            <v/>
          </cell>
          <cell r="G120" t="str">
            <v/>
          </cell>
          <cell r="H120" t="str">
            <v/>
          </cell>
          <cell r="I120" t="str">
            <v/>
          </cell>
          <cell r="J120" t="str">
            <v/>
          </cell>
          <cell r="K120" t="str">
            <v/>
          </cell>
        </row>
        <row r="121">
          <cell r="B121" t="str">
            <v>115-90-2</v>
          </cell>
          <cell r="C121" t="str">
            <v>Fensulfothion</v>
          </cell>
          <cell r="D121" t="str">
            <v/>
          </cell>
          <cell r="E121">
            <v>0.1</v>
          </cell>
          <cell r="F121" t="str">
            <v/>
          </cell>
          <cell r="G121" t="str">
            <v/>
          </cell>
          <cell r="H121" t="str">
            <v/>
          </cell>
          <cell r="I121" t="str">
            <v/>
          </cell>
          <cell r="J121" t="str">
            <v/>
          </cell>
          <cell r="K121" t="str">
            <v>Skin</v>
          </cell>
        </row>
        <row r="122">
          <cell r="B122" t="str">
            <v>117-81-7</v>
          </cell>
          <cell r="C122" t="str">
            <v>Di(2-ethylhexyl)phthalate</v>
          </cell>
          <cell r="D122" t="str">
            <v/>
          </cell>
          <cell r="E122">
            <v>5</v>
          </cell>
          <cell r="F122" t="str">
            <v/>
          </cell>
          <cell r="G122" t="str">
            <v/>
          </cell>
          <cell r="H122">
            <v>10</v>
          </cell>
          <cell r="I122" t="str">
            <v/>
          </cell>
          <cell r="J122" t="str">
            <v/>
          </cell>
          <cell r="K122" t="str">
            <v/>
          </cell>
        </row>
        <row r="123">
          <cell r="B123" t="str">
            <v>118-52-5</v>
          </cell>
          <cell r="C123" t="str">
            <v>1,3-Dichloro-5,5-dimethyl hydantoin</v>
          </cell>
          <cell r="D123" t="str">
            <v/>
          </cell>
          <cell r="E123">
            <v>0.2</v>
          </cell>
          <cell r="F123" t="str">
            <v/>
          </cell>
          <cell r="G123" t="str">
            <v/>
          </cell>
          <cell r="H123">
            <v>0.4</v>
          </cell>
          <cell r="I123" t="str">
            <v/>
          </cell>
          <cell r="J123" t="str">
            <v/>
          </cell>
          <cell r="K123" t="str">
            <v/>
          </cell>
        </row>
        <row r="124">
          <cell r="B124" t="str">
            <v>118-96-7</v>
          </cell>
          <cell r="C124" t="str">
            <v>2,4,6-Trinitrotoluene(TNT)</v>
          </cell>
          <cell r="D124" t="str">
            <v/>
          </cell>
          <cell r="E124">
            <v>0.1</v>
          </cell>
          <cell r="F124" t="str">
            <v/>
          </cell>
          <cell r="G124" t="str">
            <v/>
          </cell>
          <cell r="H124" t="str">
            <v/>
          </cell>
          <cell r="I124" t="str">
            <v/>
          </cell>
          <cell r="J124" t="str">
            <v/>
          </cell>
          <cell r="K124" t="str">
            <v>Skin</v>
          </cell>
        </row>
        <row r="125">
          <cell r="B125" t="str">
            <v>1189-85-1</v>
          </cell>
          <cell r="C125" t="str">
            <v>tert-Butyl chromate, as CrO3</v>
          </cell>
          <cell r="D125" t="str">
            <v/>
          </cell>
          <cell r="E125" t="str">
            <v/>
          </cell>
          <cell r="F125" t="str">
            <v/>
          </cell>
          <cell r="G125" t="str">
            <v/>
          </cell>
          <cell r="H125" t="str">
            <v/>
          </cell>
          <cell r="I125" t="str">
            <v/>
          </cell>
          <cell r="J125">
            <v>0.1</v>
          </cell>
          <cell r="K125" t="str">
            <v>Skin</v>
          </cell>
        </row>
        <row r="126">
          <cell r="B126" t="str">
            <v>119-90-4</v>
          </cell>
          <cell r="C126" t="str">
            <v>Dianisidine</v>
          </cell>
          <cell r="D126" t="str">
            <v/>
          </cell>
          <cell r="E126">
            <v>0.01</v>
          </cell>
          <cell r="F126" t="str">
            <v/>
          </cell>
          <cell r="G126" t="str">
            <v/>
          </cell>
          <cell r="H126" t="str">
            <v/>
          </cell>
          <cell r="I126" t="str">
            <v/>
          </cell>
          <cell r="J126" t="str">
            <v/>
          </cell>
          <cell r="K126" t="str">
            <v/>
          </cell>
        </row>
        <row r="127">
          <cell r="B127" t="str">
            <v>119-93-7</v>
          </cell>
          <cell r="C127" t="str">
            <v>o-Tolidine</v>
          </cell>
          <cell r="D127" t="str">
            <v/>
          </cell>
          <cell r="E127" t="str">
            <v/>
          </cell>
          <cell r="F127" t="str">
            <v/>
          </cell>
          <cell r="G127" t="str">
            <v/>
          </cell>
          <cell r="H127" t="str">
            <v/>
          </cell>
          <cell r="I127" t="str">
            <v/>
          </cell>
          <cell r="J127" t="str">
            <v/>
          </cell>
          <cell r="K127" t="str">
            <v>Skin</v>
          </cell>
        </row>
        <row r="128">
          <cell r="B128" t="str">
            <v>12001-26-2</v>
          </cell>
          <cell r="C128" t="str">
            <v>Mica(Respirable fraction)</v>
          </cell>
          <cell r="D128" t="str">
            <v/>
          </cell>
          <cell r="E128">
            <v>3</v>
          </cell>
          <cell r="F128" t="str">
            <v/>
          </cell>
          <cell r="G128" t="str">
            <v/>
          </cell>
          <cell r="H128" t="str">
            <v/>
          </cell>
          <cell r="I128" t="str">
            <v/>
          </cell>
          <cell r="J128" t="str">
            <v/>
          </cell>
          <cell r="K128" t="str">
            <v/>
          </cell>
        </row>
        <row r="129">
          <cell r="B129" t="str">
            <v>12035-72-2</v>
          </cell>
          <cell r="C129" t="str">
            <v>Nickel subsulfide</v>
          </cell>
          <cell r="D129" t="str">
            <v/>
          </cell>
          <cell r="E129">
            <v>0.1</v>
          </cell>
          <cell r="F129" t="str">
            <v/>
          </cell>
          <cell r="G129" t="str">
            <v/>
          </cell>
          <cell r="H129" t="str">
            <v/>
          </cell>
          <cell r="I129" t="str">
            <v/>
          </cell>
          <cell r="J129" t="str">
            <v/>
          </cell>
          <cell r="K129" t="str">
            <v/>
          </cell>
        </row>
        <row r="130">
          <cell r="B130" t="str">
            <v>12079-65-1</v>
          </cell>
          <cell r="C130" t="str">
            <v>Manganese cyclopentadienyl tricarbonyl, as Mn</v>
          </cell>
          <cell r="D130" t="str">
            <v/>
          </cell>
          <cell r="E130">
            <v>0.1</v>
          </cell>
          <cell r="F130" t="str">
            <v/>
          </cell>
          <cell r="G130" t="str">
            <v/>
          </cell>
          <cell r="H130" t="str">
            <v/>
          </cell>
          <cell r="I130" t="str">
            <v/>
          </cell>
          <cell r="J130" t="str">
            <v/>
          </cell>
          <cell r="K130" t="str">
            <v>Skin</v>
          </cell>
        </row>
        <row r="131">
          <cell r="B131" t="str">
            <v>120-80-9</v>
          </cell>
          <cell r="C131" t="str">
            <v>Catechol</v>
          </cell>
          <cell r="D131">
            <v>5</v>
          </cell>
          <cell r="E131">
            <v>20</v>
          </cell>
          <cell r="F131" t="str">
            <v/>
          </cell>
          <cell r="G131" t="str">
            <v/>
          </cell>
          <cell r="H131" t="str">
            <v/>
          </cell>
          <cell r="I131" t="str">
            <v/>
          </cell>
          <cell r="J131" t="str">
            <v/>
          </cell>
          <cell r="K131" t="str">
            <v>Skin</v>
          </cell>
        </row>
        <row r="132">
          <cell r="B132" t="str">
            <v>120-82-1</v>
          </cell>
          <cell r="C132" t="str">
            <v>1,2,4-Trichlorobenzene</v>
          </cell>
          <cell r="D132" t="str">
            <v/>
          </cell>
          <cell r="E132" t="str">
            <v/>
          </cell>
          <cell r="F132" t="str">
            <v/>
          </cell>
          <cell r="G132" t="str">
            <v/>
          </cell>
          <cell r="H132" t="str">
            <v/>
          </cell>
          <cell r="I132">
            <v>5</v>
          </cell>
          <cell r="J132">
            <v>40</v>
          </cell>
          <cell r="K132" t="str">
            <v/>
          </cell>
        </row>
        <row r="133">
          <cell r="B133" t="str">
            <v>12108-13-3</v>
          </cell>
          <cell r="C133" t="str">
            <v>2-Methylcyclopentadienyl manganese tricarbonyl, as Mn</v>
          </cell>
          <cell r="D133" t="str">
            <v/>
          </cell>
          <cell r="E133">
            <v>0.2</v>
          </cell>
          <cell r="F133" t="str">
            <v/>
          </cell>
          <cell r="G133" t="str">
            <v/>
          </cell>
          <cell r="H133" t="str">
            <v/>
          </cell>
          <cell r="I133" t="str">
            <v/>
          </cell>
          <cell r="J133" t="str">
            <v/>
          </cell>
          <cell r="K133" t="str">
            <v>Skin</v>
          </cell>
        </row>
        <row r="134">
          <cell r="B134" t="str">
            <v>12125-02-9</v>
          </cell>
          <cell r="C134" t="str">
            <v>Ammonium chloride fume</v>
          </cell>
          <cell r="D134" t="str">
            <v/>
          </cell>
          <cell r="E134">
            <v>10</v>
          </cell>
          <cell r="F134" t="str">
            <v/>
          </cell>
          <cell r="G134" t="str">
            <v/>
          </cell>
          <cell r="H134">
            <v>20</v>
          </cell>
          <cell r="I134" t="str">
            <v/>
          </cell>
          <cell r="J134" t="str">
            <v/>
          </cell>
          <cell r="K134" t="str">
            <v/>
          </cell>
        </row>
        <row r="135">
          <cell r="B135" t="str">
            <v>121-44-8</v>
          </cell>
          <cell r="C135" t="str">
            <v>Triethylamine</v>
          </cell>
          <cell r="D135">
            <v>2</v>
          </cell>
          <cell r="E135">
            <v>8.3000000000000007</v>
          </cell>
          <cell r="F135" t="str">
            <v/>
          </cell>
          <cell r="G135">
            <v>4</v>
          </cell>
          <cell r="H135">
            <v>16.600000000000001</v>
          </cell>
          <cell r="I135" t="str">
            <v/>
          </cell>
          <cell r="J135" t="str">
            <v/>
          </cell>
          <cell r="K135" t="str">
            <v>Skin</v>
          </cell>
        </row>
        <row r="136">
          <cell r="B136" t="str">
            <v>121-45-9</v>
          </cell>
          <cell r="C136" t="str">
            <v>Trimethyl phosphite</v>
          </cell>
          <cell r="D136">
            <v>2</v>
          </cell>
          <cell r="E136">
            <v>10</v>
          </cell>
          <cell r="F136" t="str">
            <v/>
          </cell>
          <cell r="G136" t="str">
            <v/>
          </cell>
          <cell r="H136" t="str">
            <v/>
          </cell>
          <cell r="I136" t="str">
            <v/>
          </cell>
          <cell r="J136" t="str">
            <v/>
          </cell>
          <cell r="K136" t="str">
            <v/>
          </cell>
        </row>
        <row r="137">
          <cell r="B137" t="str">
            <v>121-69-7</v>
          </cell>
          <cell r="C137" t="str">
            <v>Dimethylaniline(N,N-Dimethylaniline)</v>
          </cell>
          <cell r="D137">
            <v>5</v>
          </cell>
          <cell r="E137">
            <v>25</v>
          </cell>
          <cell r="F137" t="str">
            <v/>
          </cell>
          <cell r="G137">
            <v>10</v>
          </cell>
          <cell r="H137">
            <v>50</v>
          </cell>
          <cell r="I137" t="str">
            <v/>
          </cell>
          <cell r="J137" t="str">
            <v/>
          </cell>
          <cell r="K137" t="str">
            <v>Skin</v>
          </cell>
        </row>
        <row r="138">
          <cell r="B138" t="str">
            <v>121-75-5</v>
          </cell>
          <cell r="C138" t="str">
            <v>Malathion</v>
          </cell>
          <cell r="D138" t="str">
            <v/>
          </cell>
          <cell r="E138">
            <v>1</v>
          </cell>
          <cell r="F138" t="str">
            <v/>
          </cell>
          <cell r="G138" t="str">
            <v/>
          </cell>
          <cell r="H138" t="str">
            <v/>
          </cell>
          <cell r="I138" t="str">
            <v/>
          </cell>
          <cell r="J138" t="str">
            <v/>
          </cell>
          <cell r="K138" t="str">
            <v>Skin</v>
          </cell>
        </row>
        <row r="139">
          <cell r="B139" t="str">
            <v>12179-04-3</v>
          </cell>
          <cell r="C139" t="str">
            <v>Borates tetrasodium salts(Pentahydrate)</v>
          </cell>
          <cell r="D139" t="str">
            <v/>
          </cell>
          <cell r="E139">
            <v>1</v>
          </cell>
          <cell r="F139" t="str">
            <v/>
          </cell>
          <cell r="G139" t="str">
            <v/>
          </cell>
          <cell r="H139" t="str">
            <v/>
          </cell>
          <cell r="I139" t="str">
            <v/>
          </cell>
          <cell r="J139" t="str">
            <v/>
          </cell>
          <cell r="K139" t="str">
            <v/>
          </cell>
        </row>
        <row r="140">
          <cell r="B140" t="str">
            <v>121-82-4</v>
          </cell>
          <cell r="C140" t="str">
            <v>Cyclonite</v>
          </cell>
          <cell r="D140" t="str">
            <v/>
          </cell>
          <cell r="E140">
            <v>0.5</v>
          </cell>
          <cell r="F140" t="str">
            <v/>
          </cell>
          <cell r="G140" t="str">
            <v/>
          </cell>
          <cell r="H140" t="str">
            <v/>
          </cell>
          <cell r="I140" t="str">
            <v/>
          </cell>
          <cell r="J140" t="str">
            <v/>
          </cell>
          <cell r="K140" t="str">
            <v>Skin</v>
          </cell>
        </row>
        <row r="141">
          <cell r="B141" t="str">
            <v>12185-10-3</v>
          </cell>
          <cell r="C141" t="str">
            <v>Phosphorus(yellow)</v>
          </cell>
          <cell r="D141" t="str">
            <v/>
          </cell>
          <cell r="E141">
            <v>0.1</v>
          </cell>
          <cell r="F141" t="str">
            <v/>
          </cell>
          <cell r="G141" t="str">
            <v/>
          </cell>
          <cell r="H141" t="str">
            <v/>
          </cell>
          <cell r="I141" t="str">
            <v/>
          </cell>
          <cell r="J141" t="str">
            <v/>
          </cell>
          <cell r="K141" t="str">
            <v/>
          </cell>
        </row>
        <row r="142">
          <cell r="B142" t="str">
            <v>122-39-4</v>
          </cell>
          <cell r="C142" t="str">
            <v>Diphenylamine</v>
          </cell>
          <cell r="D142" t="str">
            <v/>
          </cell>
          <cell r="E142">
            <v>10</v>
          </cell>
          <cell r="F142" t="str">
            <v/>
          </cell>
          <cell r="G142" t="str">
            <v/>
          </cell>
          <cell r="H142" t="str">
            <v/>
          </cell>
          <cell r="I142" t="str">
            <v/>
          </cell>
          <cell r="J142" t="str">
            <v/>
          </cell>
          <cell r="K142" t="str">
            <v/>
          </cell>
        </row>
        <row r="143">
          <cell r="B143" t="str">
            <v>122-60-1</v>
          </cell>
          <cell r="C143" t="str">
            <v>Phenyl glycidyl ether(PGE)</v>
          </cell>
          <cell r="D143">
            <v>0.8</v>
          </cell>
          <cell r="E143">
            <v>5</v>
          </cell>
          <cell r="F143" t="str">
            <v/>
          </cell>
          <cell r="G143" t="str">
            <v/>
          </cell>
          <cell r="H143" t="str">
            <v/>
          </cell>
          <cell r="I143" t="str">
            <v/>
          </cell>
          <cell r="J143" t="str">
            <v/>
          </cell>
          <cell r="K143" t="str">
            <v>Skin</v>
          </cell>
        </row>
        <row r="144">
          <cell r="B144" t="str">
            <v>123-19-3</v>
          </cell>
          <cell r="C144" t="str">
            <v>Dipropyl ketone</v>
          </cell>
          <cell r="D144">
            <v>50</v>
          </cell>
          <cell r="E144">
            <v>235</v>
          </cell>
          <cell r="F144" t="str">
            <v/>
          </cell>
          <cell r="G144" t="str">
            <v/>
          </cell>
          <cell r="H144" t="str">
            <v/>
          </cell>
          <cell r="I144" t="str">
            <v/>
          </cell>
          <cell r="J144" t="str">
            <v/>
          </cell>
          <cell r="K144" t="str">
            <v/>
          </cell>
        </row>
        <row r="145">
          <cell r="B145" t="str">
            <v>123-31-9</v>
          </cell>
          <cell r="C145" t="str">
            <v>Hydroquinone</v>
          </cell>
          <cell r="D145" t="str">
            <v/>
          </cell>
          <cell r="E145">
            <v>2</v>
          </cell>
          <cell r="F145" t="str">
            <v/>
          </cell>
          <cell r="G145" t="str">
            <v/>
          </cell>
          <cell r="H145" t="str">
            <v/>
          </cell>
          <cell r="I145" t="str">
            <v/>
          </cell>
          <cell r="J145" t="str">
            <v/>
          </cell>
          <cell r="K145" t="str">
            <v/>
          </cell>
        </row>
        <row r="146">
          <cell r="B146" t="str">
            <v>123-42-2</v>
          </cell>
          <cell r="C146" t="str">
            <v>4-Hydroxy-4-methyl-2-pentanone</v>
          </cell>
          <cell r="D146">
            <v>50</v>
          </cell>
          <cell r="E146">
            <v>240</v>
          </cell>
          <cell r="F146" t="str">
            <v/>
          </cell>
          <cell r="G146" t="str">
            <v/>
          </cell>
          <cell r="H146" t="str">
            <v/>
          </cell>
          <cell r="I146" t="str">
            <v/>
          </cell>
          <cell r="J146" t="str">
            <v/>
          </cell>
          <cell r="K146" t="str">
            <v/>
          </cell>
        </row>
        <row r="147">
          <cell r="B147" t="str">
            <v>123-51-3</v>
          </cell>
          <cell r="C147" t="str">
            <v>Isoamyl alcohol</v>
          </cell>
          <cell r="D147">
            <v>100</v>
          </cell>
          <cell r="E147">
            <v>360</v>
          </cell>
          <cell r="F147" t="str">
            <v/>
          </cell>
          <cell r="G147">
            <v>125</v>
          </cell>
          <cell r="H147">
            <v>450</v>
          </cell>
          <cell r="I147" t="str">
            <v/>
          </cell>
          <cell r="J147" t="str">
            <v/>
          </cell>
          <cell r="K147" t="str">
            <v/>
          </cell>
        </row>
        <row r="148">
          <cell r="B148" t="str">
            <v>123-86-4</v>
          </cell>
          <cell r="C148" t="str">
            <v>n-Butyl acetate</v>
          </cell>
          <cell r="D148">
            <v>150</v>
          </cell>
          <cell r="E148">
            <v>710</v>
          </cell>
          <cell r="F148" t="str">
            <v/>
          </cell>
          <cell r="G148">
            <v>200</v>
          </cell>
          <cell r="H148">
            <v>950</v>
          </cell>
          <cell r="I148" t="str">
            <v/>
          </cell>
          <cell r="J148" t="str">
            <v/>
          </cell>
          <cell r="K148" t="str">
            <v/>
          </cell>
        </row>
        <row r="149">
          <cell r="B149" t="str">
            <v>123-91-1</v>
          </cell>
          <cell r="C149" t="str">
            <v>1,4-Dioxane(Diethylene dioxide)</v>
          </cell>
          <cell r="D149">
            <v>20</v>
          </cell>
          <cell r="E149">
            <v>72</v>
          </cell>
          <cell r="F149" t="str">
            <v/>
          </cell>
          <cell r="G149" t="str">
            <v/>
          </cell>
          <cell r="H149" t="str">
            <v/>
          </cell>
          <cell r="I149" t="str">
            <v/>
          </cell>
          <cell r="J149" t="str">
            <v/>
          </cell>
          <cell r="K149" t="str">
            <v>Skin</v>
          </cell>
        </row>
        <row r="150">
          <cell r="B150" t="str">
            <v>123-92-2</v>
          </cell>
          <cell r="C150" t="str">
            <v>Isoamyl acetate</v>
          </cell>
          <cell r="D150">
            <v>50</v>
          </cell>
          <cell r="E150">
            <v>260</v>
          </cell>
          <cell r="F150" t="str">
            <v/>
          </cell>
          <cell r="G150">
            <v>100</v>
          </cell>
          <cell r="H150">
            <v>520</v>
          </cell>
          <cell r="I150" t="str">
            <v/>
          </cell>
          <cell r="J150" t="str">
            <v/>
          </cell>
          <cell r="K150" t="str">
            <v/>
          </cell>
        </row>
        <row r="151">
          <cell r="B151" t="str">
            <v>124-38-9</v>
          </cell>
          <cell r="C151" t="str">
            <v>Carbon dioxide</v>
          </cell>
          <cell r="D151">
            <v>5000</v>
          </cell>
          <cell r="E151">
            <v>9000</v>
          </cell>
          <cell r="F151" t="str">
            <v/>
          </cell>
          <cell r="G151">
            <v>30000</v>
          </cell>
          <cell r="H151">
            <v>54000</v>
          </cell>
          <cell r="I151" t="str">
            <v/>
          </cell>
          <cell r="J151" t="str">
            <v/>
          </cell>
          <cell r="K151" t="str">
            <v/>
          </cell>
        </row>
        <row r="152">
          <cell r="B152" t="str">
            <v>124-40-3</v>
          </cell>
          <cell r="C152" t="str">
            <v>Dimethylamine</v>
          </cell>
          <cell r="D152">
            <v>5</v>
          </cell>
          <cell r="E152">
            <v>9</v>
          </cell>
          <cell r="F152" t="str">
            <v/>
          </cell>
          <cell r="G152">
            <v>15</v>
          </cell>
          <cell r="H152">
            <v>27</v>
          </cell>
          <cell r="I152" t="str">
            <v/>
          </cell>
          <cell r="J152" t="str">
            <v/>
          </cell>
          <cell r="K152" t="str">
            <v/>
          </cell>
        </row>
        <row r="153">
          <cell r="B153" t="str">
            <v>12604-58-9</v>
          </cell>
          <cell r="C153" t="str">
            <v>Ferrovanadium dust</v>
          </cell>
          <cell r="D153" t="str">
            <v/>
          </cell>
          <cell r="E153">
            <v>1</v>
          </cell>
          <cell r="F153" t="str">
            <v/>
          </cell>
          <cell r="G153" t="str">
            <v/>
          </cell>
          <cell r="H153">
            <v>3</v>
          </cell>
          <cell r="I153" t="str">
            <v/>
          </cell>
          <cell r="J153" t="str">
            <v/>
          </cell>
          <cell r="K153" t="str">
            <v/>
          </cell>
        </row>
        <row r="154">
          <cell r="B154" t="str">
            <v>126-73-8</v>
          </cell>
          <cell r="C154" t="str">
            <v>Tributyl phosphate</v>
          </cell>
          <cell r="D154">
            <v>0.2</v>
          </cell>
          <cell r="E154">
            <v>2.5</v>
          </cell>
          <cell r="F154" t="str">
            <v/>
          </cell>
          <cell r="G154" t="str">
            <v/>
          </cell>
          <cell r="H154" t="str">
            <v/>
          </cell>
          <cell r="I154" t="str">
            <v/>
          </cell>
          <cell r="J154" t="str">
            <v/>
          </cell>
          <cell r="K154" t="str">
            <v/>
          </cell>
        </row>
        <row r="155">
          <cell r="B155" t="str">
            <v>126-98-7</v>
          </cell>
          <cell r="C155" t="str">
            <v>Methyl acrylonitrile</v>
          </cell>
          <cell r="D155">
            <v>1</v>
          </cell>
          <cell r="E155">
            <v>3</v>
          </cell>
          <cell r="F155" t="str">
            <v/>
          </cell>
          <cell r="G155" t="str">
            <v/>
          </cell>
          <cell r="H155" t="str">
            <v/>
          </cell>
          <cell r="I155" t="str">
            <v/>
          </cell>
          <cell r="J155" t="str">
            <v/>
          </cell>
          <cell r="K155" t="str">
            <v>Skin</v>
          </cell>
        </row>
        <row r="156">
          <cell r="B156" t="str">
            <v>126-99-8</v>
          </cell>
          <cell r="C156" t="str">
            <v>2-Chloro-1,3-butadiene</v>
          </cell>
          <cell r="D156">
            <v>10</v>
          </cell>
          <cell r="E156">
            <v>35</v>
          </cell>
          <cell r="F156" t="str">
            <v/>
          </cell>
          <cell r="G156" t="str">
            <v/>
          </cell>
          <cell r="H156" t="str">
            <v/>
          </cell>
          <cell r="I156" t="str">
            <v/>
          </cell>
          <cell r="J156" t="str">
            <v/>
          </cell>
          <cell r="K156" t="str">
            <v>Skin</v>
          </cell>
        </row>
        <row r="157">
          <cell r="B157" t="str">
            <v>127-18-4</v>
          </cell>
          <cell r="C157" t="str">
            <v>Perchloroethylene</v>
          </cell>
          <cell r="D157">
            <v>25</v>
          </cell>
          <cell r="E157">
            <v>170</v>
          </cell>
          <cell r="F157" t="str">
            <v/>
          </cell>
          <cell r="G157">
            <v>100</v>
          </cell>
          <cell r="H157">
            <v>680</v>
          </cell>
          <cell r="I157" t="str">
            <v/>
          </cell>
          <cell r="J157" t="str">
            <v/>
          </cell>
          <cell r="K157" t="str">
            <v/>
          </cell>
        </row>
        <row r="158">
          <cell r="B158" t="str">
            <v>127-19-5</v>
          </cell>
          <cell r="C158" t="str">
            <v>N,N-Dimethyl acetamide</v>
          </cell>
          <cell r="D158">
            <v>10</v>
          </cell>
          <cell r="E158">
            <v>35</v>
          </cell>
          <cell r="F158" t="str">
            <v/>
          </cell>
          <cell r="G158" t="str">
            <v/>
          </cell>
          <cell r="H158" t="str">
            <v/>
          </cell>
          <cell r="I158" t="str">
            <v/>
          </cell>
          <cell r="J158" t="str">
            <v/>
          </cell>
          <cell r="K158" t="str">
            <v>Skin</v>
          </cell>
        </row>
        <row r="159">
          <cell r="B159" t="str">
            <v>128-37-0</v>
          </cell>
          <cell r="C159" t="str">
            <v>2,6-Di-tert-butyl-p-cresol</v>
          </cell>
          <cell r="D159" t="str">
            <v/>
          </cell>
          <cell r="E159">
            <v>2</v>
          </cell>
          <cell r="F159" t="str">
            <v/>
          </cell>
          <cell r="G159" t="str">
            <v/>
          </cell>
          <cell r="H159" t="str">
            <v/>
          </cell>
          <cell r="I159" t="str">
            <v/>
          </cell>
          <cell r="J159" t="str">
            <v/>
          </cell>
          <cell r="K159" t="str">
            <v/>
          </cell>
        </row>
        <row r="160">
          <cell r="B160" t="str">
            <v>1300-73-8</v>
          </cell>
          <cell r="C160" t="str">
            <v>Xylidine</v>
          </cell>
          <cell r="D160">
            <v>0.5</v>
          </cell>
          <cell r="E160">
            <v>2.5</v>
          </cell>
          <cell r="F160" t="str">
            <v/>
          </cell>
          <cell r="G160" t="str">
            <v/>
          </cell>
          <cell r="H160" t="str">
            <v/>
          </cell>
          <cell r="I160" t="str">
            <v/>
          </cell>
          <cell r="J160" t="str">
            <v/>
          </cell>
          <cell r="K160" t="str">
            <v>Skin</v>
          </cell>
        </row>
        <row r="161">
          <cell r="B161" t="str">
            <v>1302-74-5</v>
          </cell>
          <cell r="C161" t="str">
            <v>Emery</v>
          </cell>
          <cell r="D161" t="str">
            <v/>
          </cell>
          <cell r="E161">
            <v>10</v>
          </cell>
          <cell r="F161" t="str">
            <v/>
          </cell>
          <cell r="G161" t="str">
            <v/>
          </cell>
          <cell r="H161" t="str">
            <v/>
          </cell>
          <cell r="I161" t="str">
            <v/>
          </cell>
          <cell r="J161" t="str">
            <v/>
          </cell>
          <cell r="K161" t="str">
            <v/>
          </cell>
        </row>
        <row r="162">
          <cell r="B162" t="str">
            <v>1303-86-2</v>
          </cell>
          <cell r="C162" t="str">
            <v>Boron oxide</v>
          </cell>
          <cell r="D162" t="str">
            <v/>
          </cell>
          <cell r="E162">
            <v>10</v>
          </cell>
          <cell r="F162" t="str">
            <v/>
          </cell>
          <cell r="G162" t="str">
            <v/>
          </cell>
          <cell r="H162" t="str">
            <v/>
          </cell>
          <cell r="I162" t="str">
            <v/>
          </cell>
          <cell r="J162" t="str">
            <v/>
          </cell>
          <cell r="K162" t="str">
            <v/>
          </cell>
        </row>
        <row r="163">
          <cell r="B163" t="str">
            <v>1303-96-4</v>
          </cell>
          <cell r="C163" t="str">
            <v>Borates tetrasodium salts(Decahydrate)</v>
          </cell>
          <cell r="D163" t="str">
            <v/>
          </cell>
          <cell r="E163">
            <v>5</v>
          </cell>
          <cell r="F163" t="str">
            <v/>
          </cell>
          <cell r="G163" t="str">
            <v/>
          </cell>
          <cell r="H163" t="str">
            <v/>
          </cell>
          <cell r="I163" t="str">
            <v/>
          </cell>
          <cell r="J163" t="str">
            <v/>
          </cell>
          <cell r="K163" t="str">
            <v/>
          </cell>
        </row>
        <row r="164">
          <cell r="B164" t="str">
            <v>1304-82-1</v>
          </cell>
          <cell r="C164" t="str">
            <v>Bismuth telluride</v>
          </cell>
          <cell r="D164" t="str">
            <v/>
          </cell>
          <cell r="E164">
            <v>10</v>
          </cell>
          <cell r="F164" t="str">
            <v/>
          </cell>
          <cell r="G164" t="str">
            <v/>
          </cell>
          <cell r="H164" t="str">
            <v/>
          </cell>
          <cell r="I164" t="str">
            <v/>
          </cell>
          <cell r="J164" t="str">
            <v/>
          </cell>
          <cell r="K164" t="str">
            <v/>
          </cell>
        </row>
        <row r="165">
          <cell r="B165" t="str">
            <v>1305-62-0</v>
          </cell>
          <cell r="C165" t="str">
            <v>Calcium hydroxide</v>
          </cell>
          <cell r="D165" t="str">
            <v/>
          </cell>
          <cell r="E165">
            <v>5</v>
          </cell>
          <cell r="F165" t="str">
            <v/>
          </cell>
          <cell r="G165" t="str">
            <v/>
          </cell>
          <cell r="H165" t="str">
            <v/>
          </cell>
          <cell r="I165" t="str">
            <v/>
          </cell>
          <cell r="J165" t="str">
            <v/>
          </cell>
          <cell r="K165" t="str">
            <v/>
          </cell>
        </row>
        <row r="166">
          <cell r="B166" t="str">
            <v>1305-78-8</v>
          </cell>
          <cell r="C166" t="str">
            <v>Calcium oxide</v>
          </cell>
          <cell r="D166" t="str">
            <v/>
          </cell>
          <cell r="E166">
            <v>2</v>
          </cell>
          <cell r="F166" t="str">
            <v/>
          </cell>
          <cell r="G166" t="str">
            <v/>
          </cell>
          <cell r="H166" t="str">
            <v/>
          </cell>
          <cell r="I166" t="str">
            <v/>
          </cell>
          <cell r="J166" t="str">
            <v/>
          </cell>
          <cell r="K166" t="str">
            <v/>
          </cell>
        </row>
        <row r="167">
          <cell r="B167" t="str">
            <v>1309-37-1</v>
          </cell>
          <cell r="C167" t="str">
            <v>Iron oxide(Fume, as Fe)</v>
          </cell>
          <cell r="D167" t="str">
            <v/>
          </cell>
          <cell r="E167">
            <v>5</v>
          </cell>
          <cell r="F167" t="str">
            <v/>
          </cell>
          <cell r="G167" t="str">
            <v/>
          </cell>
          <cell r="H167" t="str">
            <v/>
          </cell>
          <cell r="I167" t="str">
            <v/>
          </cell>
          <cell r="J167" t="str">
            <v/>
          </cell>
          <cell r="K167" t="str">
            <v/>
          </cell>
        </row>
        <row r="168">
          <cell r="B168" t="str">
            <v>1309-48-4</v>
          </cell>
          <cell r="C168" t="str">
            <v>Magnesium oxide</v>
          </cell>
          <cell r="D168" t="str">
            <v/>
          </cell>
          <cell r="E168">
            <v>10</v>
          </cell>
          <cell r="F168" t="str">
            <v/>
          </cell>
          <cell r="G168" t="str">
            <v/>
          </cell>
          <cell r="H168" t="str">
            <v/>
          </cell>
          <cell r="I168" t="str">
            <v/>
          </cell>
          <cell r="J168" t="str">
            <v/>
          </cell>
          <cell r="K168" t="str">
            <v/>
          </cell>
        </row>
        <row r="169">
          <cell r="B169" t="str">
            <v>1309-64-4</v>
          </cell>
          <cell r="C169" t="str">
            <v>Antimony trioxide(Handling &amp; use, as Sb)</v>
          </cell>
          <cell r="D169" t="str">
            <v/>
          </cell>
          <cell r="E169">
            <v>0.5</v>
          </cell>
          <cell r="F169" t="str">
            <v/>
          </cell>
          <cell r="G169" t="str">
            <v/>
          </cell>
          <cell r="H169" t="str">
            <v/>
          </cell>
          <cell r="I169" t="str">
            <v/>
          </cell>
          <cell r="J169" t="str">
            <v/>
          </cell>
          <cell r="K169" t="str">
            <v/>
          </cell>
        </row>
        <row r="170">
          <cell r="B170" t="str">
            <v>1310-58-3</v>
          </cell>
          <cell r="C170" t="str">
            <v>Potassium hydroxide</v>
          </cell>
          <cell r="D170" t="str">
            <v/>
          </cell>
          <cell r="E170" t="str">
            <v/>
          </cell>
          <cell r="F170" t="str">
            <v/>
          </cell>
          <cell r="G170" t="str">
            <v/>
          </cell>
          <cell r="H170" t="str">
            <v/>
          </cell>
          <cell r="I170" t="str">
            <v/>
          </cell>
          <cell r="J170">
            <v>2</v>
          </cell>
          <cell r="K170" t="str">
            <v/>
          </cell>
        </row>
        <row r="171">
          <cell r="B171" t="str">
            <v>1310-73-2</v>
          </cell>
          <cell r="C171" t="str">
            <v>Sodium hydroxide</v>
          </cell>
          <cell r="D171" t="str">
            <v/>
          </cell>
          <cell r="E171" t="str">
            <v/>
          </cell>
          <cell r="F171" t="str">
            <v/>
          </cell>
          <cell r="G171" t="str">
            <v/>
          </cell>
          <cell r="H171" t="str">
            <v/>
          </cell>
          <cell r="I171" t="str">
            <v/>
          </cell>
          <cell r="J171">
            <v>2</v>
          </cell>
          <cell r="K171" t="str">
            <v/>
          </cell>
        </row>
        <row r="172">
          <cell r="B172" t="str">
            <v>131-11-3</v>
          </cell>
          <cell r="C172" t="str">
            <v>Dimethylphthalate</v>
          </cell>
          <cell r="D172" t="str">
            <v/>
          </cell>
          <cell r="E172">
            <v>5</v>
          </cell>
          <cell r="F172" t="str">
            <v/>
          </cell>
          <cell r="G172" t="str">
            <v/>
          </cell>
          <cell r="H172" t="str">
            <v/>
          </cell>
          <cell r="I172" t="str">
            <v/>
          </cell>
          <cell r="J172" t="str">
            <v/>
          </cell>
          <cell r="K172" t="str">
            <v/>
          </cell>
        </row>
        <row r="173">
          <cell r="B173" t="str">
            <v>13121-70-5</v>
          </cell>
          <cell r="C173" t="str">
            <v>Trichlorohexyltin hydroxide</v>
          </cell>
          <cell r="D173" t="str">
            <v/>
          </cell>
          <cell r="E173">
            <v>5</v>
          </cell>
          <cell r="F173" t="str">
            <v/>
          </cell>
          <cell r="G173" t="str">
            <v/>
          </cell>
          <cell r="H173" t="str">
            <v/>
          </cell>
          <cell r="I173" t="str">
            <v/>
          </cell>
          <cell r="J173" t="str">
            <v/>
          </cell>
          <cell r="K173" t="str">
            <v/>
          </cell>
        </row>
        <row r="174">
          <cell r="B174" t="str">
            <v>1314-13-2</v>
          </cell>
          <cell r="C174" t="str">
            <v>Zinc oxide(Fume)</v>
          </cell>
          <cell r="D174" t="str">
            <v/>
          </cell>
          <cell r="E174">
            <v>5</v>
          </cell>
          <cell r="F174" t="str">
            <v/>
          </cell>
          <cell r="G174" t="str">
            <v/>
          </cell>
          <cell r="H174">
            <v>10</v>
          </cell>
          <cell r="I174" t="str">
            <v/>
          </cell>
          <cell r="J174" t="str">
            <v/>
          </cell>
          <cell r="K174" t="str">
            <v/>
          </cell>
        </row>
        <row r="175">
          <cell r="C175" t="str">
            <v>Zinc oxide(Respirable fraction)(CAS 1314-13-2)</v>
          </cell>
          <cell r="D175" t="str">
            <v/>
          </cell>
          <cell r="E175">
            <v>2</v>
          </cell>
          <cell r="F175" t="str">
            <v/>
          </cell>
          <cell r="G175" t="str">
            <v/>
          </cell>
          <cell r="H175" t="str">
            <v/>
          </cell>
          <cell r="I175" t="str">
            <v/>
          </cell>
          <cell r="J175" t="str">
            <v/>
          </cell>
          <cell r="K175" t="str">
            <v/>
          </cell>
        </row>
        <row r="176">
          <cell r="B176" t="str">
            <v>1314-61-0</v>
          </cell>
          <cell r="C176" t="str">
            <v>Tantalum(Metal &amp; oxide fume)</v>
          </cell>
          <cell r="D176" t="str">
            <v/>
          </cell>
          <cell r="E176">
            <v>5</v>
          </cell>
          <cell r="F176" t="str">
            <v/>
          </cell>
          <cell r="G176" t="str">
            <v/>
          </cell>
          <cell r="H176" t="str">
            <v/>
          </cell>
          <cell r="I176" t="str">
            <v/>
          </cell>
          <cell r="J176" t="str">
            <v/>
          </cell>
          <cell r="K176" t="str">
            <v/>
          </cell>
        </row>
        <row r="177">
          <cell r="B177" t="str">
            <v>1314-62-1</v>
          </cell>
          <cell r="C177" t="str">
            <v>Vanadium pentoxide(Respirable fraction or fume)</v>
          </cell>
          <cell r="D177" t="str">
            <v/>
          </cell>
          <cell r="E177">
            <v>0.05</v>
          </cell>
          <cell r="F177" t="str">
            <v/>
          </cell>
          <cell r="G177" t="str">
            <v/>
          </cell>
          <cell r="H177" t="str">
            <v/>
          </cell>
          <cell r="I177" t="str">
            <v/>
          </cell>
          <cell r="J177" t="str">
            <v/>
          </cell>
          <cell r="K177" t="str">
            <v/>
          </cell>
        </row>
        <row r="178">
          <cell r="B178" t="str">
            <v>1314-80-3</v>
          </cell>
          <cell r="C178" t="str">
            <v>Phosphorus pentasulfide</v>
          </cell>
          <cell r="D178" t="str">
            <v/>
          </cell>
          <cell r="E178">
            <v>1</v>
          </cell>
          <cell r="F178" t="str">
            <v/>
          </cell>
          <cell r="G178" t="str">
            <v/>
          </cell>
          <cell r="H178">
            <v>3</v>
          </cell>
          <cell r="I178" t="str">
            <v/>
          </cell>
          <cell r="J178" t="str">
            <v/>
          </cell>
          <cell r="K178" t="str">
            <v/>
          </cell>
        </row>
        <row r="179">
          <cell r="B179" t="str">
            <v>1317-65-3</v>
          </cell>
          <cell r="C179" t="str">
            <v>Calcium carbonate</v>
          </cell>
          <cell r="D179" t="str">
            <v/>
          </cell>
          <cell r="E179">
            <v>10</v>
          </cell>
          <cell r="F179" t="str">
            <v/>
          </cell>
          <cell r="G179" t="str">
            <v/>
          </cell>
          <cell r="H179" t="str">
            <v/>
          </cell>
          <cell r="I179" t="str">
            <v/>
          </cell>
          <cell r="J179" t="str">
            <v/>
          </cell>
          <cell r="K179" t="str">
            <v/>
          </cell>
        </row>
        <row r="180">
          <cell r="B180" t="str">
            <v>1317-95-9</v>
          </cell>
          <cell r="C180" t="str">
            <v>Silica(Crystalline tripoli)(Respirable fraction)</v>
          </cell>
          <cell r="D180" t="str">
            <v/>
          </cell>
          <cell r="E180">
            <v>0.1</v>
          </cell>
          <cell r="F180" t="str">
            <v/>
          </cell>
          <cell r="G180" t="str">
            <v/>
          </cell>
          <cell r="H180" t="str">
            <v/>
          </cell>
          <cell r="I180" t="str">
            <v/>
          </cell>
          <cell r="J180" t="str">
            <v/>
          </cell>
          <cell r="K180" t="str">
            <v/>
          </cell>
        </row>
        <row r="181">
          <cell r="B181" t="str">
            <v>1319-77-3</v>
          </cell>
          <cell r="C181" t="str">
            <v>Cresol(all isomers)</v>
          </cell>
          <cell r="D181">
            <v>5</v>
          </cell>
          <cell r="E181">
            <v>22</v>
          </cell>
          <cell r="F181" t="str">
            <v/>
          </cell>
          <cell r="G181" t="str">
            <v/>
          </cell>
          <cell r="H181" t="str">
            <v/>
          </cell>
          <cell r="I181" t="str">
            <v/>
          </cell>
          <cell r="J181" t="str">
            <v/>
          </cell>
          <cell r="K181" t="str">
            <v>Skin</v>
          </cell>
        </row>
        <row r="182">
          <cell r="B182" t="str">
            <v>1321-64-8</v>
          </cell>
          <cell r="C182" t="str">
            <v>Pentachloronaphthalene</v>
          </cell>
          <cell r="D182" t="str">
            <v/>
          </cell>
          <cell r="E182">
            <v>0.5</v>
          </cell>
          <cell r="F182" t="str">
            <v/>
          </cell>
          <cell r="G182" t="str">
            <v/>
          </cell>
          <cell r="H182" t="str">
            <v/>
          </cell>
          <cell r="I182" t="str">
            <v/>
          </cell>
          <cell r="J182" t="str">
            <v/>
          </cell>
          <cell r="K182" t="str">
            <v/>
          </cell>
        </row>
        <row r="183">
          <cell r="B183" t="str">
            <v>1321-65-9</v>
          </cell>
          <cell r="C183" t="str">
            <v>Trichloronaphthalene</v>
          </cell>
          <cell r="D183" t="str">
            <v/>
          </cell>
          <cell r="E183">
            <v>5</v>
          </cell>
          <cell r="F183" t="str">
            <v/>
          </cell>
          <cell r="G183" t="str">
            <v/>
          </cell>
          <cell r="H183" t="str">
            <v/>
          </cell>
          <cell r="I183" t="str">
            <v/>
          </cell>
          <cell r="J183" t="str">
            <v/>
          </cell>
          <cell r="K183" t="str">
            <v>Skin</v>
          </cell>
        </row>
        <row r="184">
          <cell r="B184" t="str">
            <v>1321-74-0</v>
          </cell>
          <cell r="C184" t="str">
            <v>Divinyl benzene</v>
          </cell>
          <cell r="D184">
            <v>10</v>
          </cell>
          <cell r="E184">
            <v>50</v>
          </cell>
          <cell r="F184" t="str">
            <v/>
          </cell>
          <cell r="G184" t="str">
            <v/>
          </cell>
          <cell r="H184" t="str">
            <v/>
          </cell>
          <cell r="I184" t="str">
            <v/>
          </cell>
          <cell r="J184" t="str">
            <v/>
          </cell>
          <cell r="K184" t="str">
            <v/>
          </cell>
        </row>
        <row r="185">
          <cell r="B185" t="str">
            <v>1330-20-7</v>
          </cell>
          <cell r="C185" t="str">
            <v>Xylene(o,m,p-isomers)</v>
          </cell>
          <cell r="D185">
            <v>100</v>
          </cell>
          <cell r="E185">
            <v>435</v>
          </cell>
          <cell r="F185" t="str">
            <v/>
          </cell>
          <cell r="G185">
            <v>150</v>
          </cell>
          <cell r="H185">
            <v>655</v>
          </cell>
          <cell r="I185" t="str">
            <v/>
          </cell>
          <cell r="J185" t="str">
            <v/>
          </cell>
          <cell r="K185" t="str">
            <v/>
          </cell>
        </row>
        <row r="186">
          <cell r="B186" t="str">
            <v>1330-43-4</v>
          </cell>
          <cell r="C186" t="str">
            <v>Borates tetrasodium salts(Anhydrous)</v>
          </cell>
          <cell r="D186" t="str">
            <v/>
          </cell>
          <cell r="E186">
            <v>1</v>
          </cell>
          <cell r="F186" t="str">
            <v/>
          </cell>
          <cell r="G186" t="str">
            <v/>
          </cell>
          <cell r="H186" t="str">
            <v/>
          </cell>
          <cell r="I186" t="str">
            <v/>
          </cell>
          <cell r="J186" t="str">
            <v/>
          </cell>
          <cell r="K186" t="str">
            <v/>
          </cell>
        </row>
        <row r="187">
          <cell r="B187" t="str">
            <v>133-06-2</v>
          </cell>
          <cell r="C187" t="str">
            <v>Captan</v>
          </cell>
          <cell r="D187" t="str">
            <v/>
          </cell>
          <cell r="E187">
            <v>5</v>
          </cell>
          <cell r="F187" t="str">
            <v/>
          </cell>
          <cell r="G187" t="str">
            <v/>
          </cell>
          <cell r="H187" t="str">
            <v/>
          </cell>
          <cell r="I187" t="str">
            <v/>
          </cell>
          <cell r="J187" t="str">
            <v/>
          </cell>
          <cell r="K187" t="str">
            <v/>
          </cell>
        </row>
        <row r="188">
          <cell r="B188" t="str">
            <v>1332-58-7</v>
          </cell>
          <cell r="C188" t="str">
            <v>Kaoline(Respirable fraction)</v>
          </cell>
          <cell r="D188" t="str">
            <v/>
          </cell>
          <cell r="E188">
            <v>2</v>
          </cell>
          <cell r="F188" t="str">
            <v/>
          </cell>
          <cell r="G188" t="str">
            <v/>
          </cell>
          <cell r="H188" t="str">
            <v/>
          </cell>
          <cell r="I188" t="str">
            <v/>
          </cell>
          <cell r="J188" t="str">
            <v/>
          </cell>
          <cell r="K188" t="str">
            <v/>
          </cell>
        </row>
        <row r="189">
          <cell r="B189" t="str">
            <v>1333-86-4</v>
          </cell>
          <cell r="C189" t="str">
            <v>Carbon black</v>
          </cell>
          <cell r="D189" t="str">
            <v/>
          </cell>
          <cell r="E189">
            <v>3.5</v>
          </cell>
          <cell r="F189" t="str">
            <v/>
          </cell>
          <cell r="G189" t="str">
            <v/>
          </cell>
          <cell r="H189" t="str">
            <v/>
          </cell>
          <cell r="I189" t="str">
            <v/>
          </cell>
          <cell r="J189" t="str">
            <v/>
          </cell>
          <cell r="K189" t="str">
            <v/>
          </cell>
        </row>
        <row r="190">
          <cell r="B190" t="str">
            <v>1335-87-1</v>
          </cell>
          <cell r="C190" t="str">
            <v>Hexachloronaphthalene</v>
          </cell>
          <cell r="D190" t="str">
            <v/>
          </cell>
          <cell r="E190">
            <v>0.2</v>
          </cell>
          <cell r="F190" t="str">
            <v/>
          </cell>
          <cell r="G190" t="str">
            <v/>
          </cell>
          <cell r="H190" t="str">
            <v/>
          </cell>
          <cell r="I190" t="str">
            <v/>
          </cell>
          <cell r="J190" t="str">
            <v/>
          </cell>
          <cell r="K190" t="str">
            <v>Skin</v>
          </cell>
        </row>
        <row r="191">
          <cell r="B191" t="str">
            <v>1335-88-2</v>
          </cell>
          <cell r="C191" t="str">
            <v>Tetrachloronaphthalene</v>
          </cell>
          <cell r="D191" t="str">
            <v/>
          </cell>
          <cell r="E191">
            <v>2</v>
          </cell>
          <cell r="F191" t="str">
            <v/>
          </cell>
          <cell r="G191" t="str">
            <v/>
          </cell>
          <cell r="H191" t="str">
            <v/>
          </cell>
          <cell r="I191" t="str">
            <v/>
          </cell>
          <cell r="J191" t="str">
            <v/>
          </cell>
          <cell r="K191" t="str">
            <v/>
          </cell>
        </row>
        <row r="192">
          <cell r="B192" t="str">
            <v>1338-23-4</v>
          </cell>
          <cell r="C192" t="str">
            <v>Methyl ethyl ketone peroxide</v>
          </cell>
          <cell r="D192" t="str">
            <v/>
          </cell>
          <cell r="E192" t="str">
            <v/>
          </cell>
          <cell r="F192" t="str">
            <v/>
          </cell>
          <cell r="G192" t="str">
            <v/>
          </cell>
          <cell r="H192" t="str">
            <v/>
          </cell>
          <cell r="I192">
            <v>0.2</v>
          </cell>
          <cell r="J192">
            <v>1.5</v>
          </cell>
          <cell r="K192" t="str">
            <v/>
          </cell>
        </row>
        <row r="193">
          <cell r="B193" t="str">
            <v>13397-24-5</v>
          </cell>
          <cell r="C193" t="str">
            <v>Gypsum</v>
          </cell>
          <cell r="D193" t="str">
            <v/>
          </cell>
          <cell r="E193">
            <v>10</v>
          </cell>
          <cell r="F193" t="str">
            <v/>
          </cell>
          <cell r="G193" t="str">
            <v/>
          </cell>
          <cell r="H193" t="str">
            <v/>
          </cell>
          <cell r="I193" t="str">
            <v/>
          </cell>
          <cell r="J193" t="str">
            <v/>
          </cell>
          <cell r="K193" t="str">
            <v/>
          </cell>
        </row>
        <row r="194">
          <cell r="B194" t="str">
            <v>134-32-7</v>
          </cell>
          <cell r="C194" t="str">
            <v>α-Naphthyl amine</v>
          </cell>
          <cell r="D194" t="str">
            <v/>
          </cell>
          <cell r="E194">
            <v>6.0000000000000001E-3</v>
          </cell>
          <cell r="F194" t="str">
            <v/>
          </cell>
          <cell r="G194" t="str">
            <v/>
          </cell>
          <cell r="H194" t="str">
            <v/>
          </cell>
          <cell r="I194" t="str">
            <v/>
          </cell>
          <cell r="J194" t="str">
            <v/>
          </cell>
          <cell r="K194" t="str">
            <v/>
          </cell>
        </row>
        <row r="195">
          <cell r="B195" t="str">
            <v>1344-28-1</v>
          </cell>
          <cell r="C195" t="str">
            <v>Aluminum oxide</v>
          </cell>
          <cell r="D195" t="str">
            <v/>
          </cell>
          <cell r="E195">
            <v>10</v>
          </cell>
          <cell r="F195" t="str">
            <v/>
          </cell>
          <cell r="G195" t="str">
            <v/>
          </cell>
          <cell r="H195" t="str">
            <v/>
          </cell>
          <cell r="I195" t="str">
            <v/>
          </cell>
          <cell r="J195" t="str">
            <v/>
          </cell>
          <cell r="K195" t="str">
            <v/>
          </cell>
        </row>
        <row r="196">
          <cell r="B196" t="str">
            <v>1344-95-2</v>
          </cell>
          <cell r="C196" t="str">
            <v>Calcium silicate</v>
          </cell>
          <cell r="D196" t="str">
            <v/>
          </cell>
          <cell r="E196">
            <v>10</v>
          </cell>
          <cell r="F196" t="str">
            <v/>
          </cell>
          <cell r="G196" t="str">
            <v/>
          </cell>
          <cell r="H196" t="str">
            <v/>
          </cell>
          <cell r="I196" t="str">
            <v/>
          </cell>
          <cell r="J196" t="str">
            <v/>
          </cell>
          <cell r="K196" t="str">
            <v/>
          </cell>
        </row>
        <row r="197">
          <cell r="B197" t="str">
            <v>13463-39-3</v>
          </cell>
          <cell r="C197" t="str">
            <v>Nickel carbonyl, as Ni</v>
          </cell>
          <cell r="D197">
            <v>1E-3</v>
          </cell>
          <cell r="E197">
            <v>7.0000000000000001E-3</v>
          </cell>
          <cell r="F197" t="str">
            <v/>
          </cell>
          <cell r="G197" t="str">
            <v/>
          </cell>
          <cell r="H197" t="str">
            <v/>
          </cell>
          <cell r="I197" t="str">
            <v/>
          </cell>
          <cell r="J197" t="str">
            <v/>
          </cell>
          <cell r="K197" t="str">
            <v/>
          </cell>
        </row>
        <row r="198">
          <cell r="B198" t="str">
            <v>13463-40-6</v>
          </cell>
          <cell r="C198" t="str">
            <v>Iron pentacarbonyl, as Fe</v>
          </cell>
          <cell r="D198">
            <v>0.1</v>
          </cell>
          <cell r="E198">
            <v>0.8</v>
          </cell>
          <cell r="F198" t="str">
            <v/>
          </cell>
          <cell r="G198">
            <v>0.2</v>
          </cell>
          <cell r="H198">
            <v>1.6</v>
          </cell>
          <cell r="I198" t="str">
            <v/>
          </cell>
          <cell r="J198" t="str">
            <v/>
          </cell>
          <cell r="K198" t="str">
            <v/>
          </cell>
        </row>
        <row r="199">
          <cell r="B199" t="str">
            <v>13463-67-7</v>
          </cell>
          <cell r="C199" t="str">
            <v>Titanium dioxide</v>
          </cell>
          <cell r="D199" t="str">
            <v/>
          </cell>
          <cell r="E199">
            <v>10</v>
          </cell>
          <cell r="F199" t="str">
            <v/>
          </cell>
          <cell r="G199" t="str">
            <v/>
          </cell>
          <cell r="H199" t="str">
            <v/>
          </cell>
          <cell r="I199" t="str">
            <v/>
          </cell>
          <cell r="J199" t="str">
            <v/>
          </cell>
          <cell r="K199" t="str">
            <v/>
          </cell>
        </row>
        <row r="200">
          <cell r="B200" t="str">
            <v>13494-80-9</v>
          </cell>
          <cell r="C200" t="str">
            <v>Tellurium &amp; compounds, as Te</v>
          </cell>
          <cell r="D200" t="str">
            <v/>
          </cell>
          <cell r="E200">
            <v>0.1</v>
          </cell>
          <cell r="F200" t="str">
            <v/>
          </cell>
          <cell r="G200" t="str">
            <v/>
          </cell>
          <cell r="H200" t="str">
            <v/>
          </cell>
          <cell r="I200" t="str">
            <v/>
          </cell>
          <cell r="J200" t="str">
            <v/>
          </cell>
          <cell r="K200" t="str">
            <v/>
          </cell>
        </row>
        <row r="201">
          <cell r="B201" t="str">
            <v>13530-65-9</v>
          </cell>
          <cell r="C201" t="str">
            <v>Zinc chromate, as Cr</v>
          </cell>
          <cell r="D201" t="str">
            <v/>
          </cell>
          <cell r="E201">
            <v>0.01</v>
          </cell>
          <cell r="F201" t="str">
            <v/>
          </cell>
          <cell r="G201" t="str">
            <v/>
          </cell>
          <cell r="H201" t="str">
            <v/>
          </cell>
          <cell r="I201" t="str">
            <v/>
          </cell>
          <cell r="J201" t="str">
            <v/>
          </cell>
          <cell r="K201" t="str">
            <v/>
          </cell>
        </row>
        <row r="202">
          <cell r="B202" t="str">
            <v>135-88-6</v>
          </cell>
          <cell r="C202" t="str">
            <v>N-Phenyl-β-naphthyl amine</v>
          </cell>
          <cell r="D202" t="str">
            <v/>
          </cell>
          <cell r="E202" t="str">
            <v/>
          </cell>
          <cell r="F202" t="str">
            <v/>
          </cell>
          <cell r="G202" t="str">
            <v/>
          </cell>
          <cell r="H202" t="str">
            <v/>
          </cell>
          <cell r="I202" t="str">
            <v/>
          </cell>
          <cell r="J202" t="str">
            <v/>
          </cell>
          <cell r="K202" t="str">
            <v/>
          </cell>
        </row>
        <row r="203">
          <cell r="B203" t="str">
            <v>136-78-7</v>
          </cell>
          <cell r="C203" t="str">
            <v>Sodium 2,4-dichlorophenoxyethylsulfate</v>
          </cell>
          <cell r="D203" t="str">
            <v/>
          </cell>
          <cell r="E203">
            <v>10</v>
          </cell>
          <cell r="F203" t="str">
            <v/>
          </cell>
          <cell r="G203" t="str">
            <v/>
          </cell>
          <cell r="H203" t="str">
            <v/>
          </cell>
          <cell r="I203" t="str">
            <v/>
          </cell>
          <cell r="J203" t="str">
            <v/>
          </cell>
          <cell r="K203" t="str">
            <v/>
          </cell>
        </row>
        <row r="204">
          <cell r="B204" t="str">
            <v>137-05-3</v>
          </cell>
          <cell r="C204" t="str">
            <v>Methyl 2-cyanoacrylate</v>
          </cell>
          <cell r="D204">
            <v>2</v>
          </cell>
          <cell r="E204">
            <v>8</v>
          </cell>
          <cell r="F204" t="str">
            <v/>
          </cell>
          <cell r="G204">
            <v>4</v>
          </cell>
          <cell r="H204">
            <v>16</v>
          </cell>
          <cell r="I204" t="str">
            <v/>
          </cell>
          <cell r="J204" t="str">
            <v/>
          </cell>
          <cell r="K204" t="str">
            <v/>
          </cell>
        </row>
        <row r="205">
          <cell r="B205" t="str">
            <v>137-26-8</v>
          </cell>
          <cell r="C205" t="str">
            <v>Thiram</v>
          </cell>
          <cell r="D205" t="str">
            <v/>
          </cell>
          <cell r="E205">
            <v>1</v>
          </cell>
          <cell r="F205" t="str">
            <v/>
          </cell>
          <cell r="G205" t="str">
            <v/>
          </cell>
          <cell r="H205" t="str">
            <v/>
          </cell>
          <cell r="I205" t="str">
            <v/>
          </cell>
          <cell r="J205" t="str">
            <v/>
          </cell>
          <cell r="K205" t="str">
            <v>Skin</v>
          </cell>
        </row>
        <row r="206">
          <cell r="B206" t="str">
            <v>138-22-7</v>
          </cell>
          <cell r="C206" t="str">
            <v>n-Butyl lactate</v>
          </cell>
          <cell r="D206">
            <v>5</v>
          </cell>
          <cell r="E206">
            <v>25</v>
          </cell>
          <cell r="F206" t="str">
            <v/>
          </cell>
          <cell r="G206" t="str">
            <v/>
          </cell>
          <cell r="H206" t="str">
            <v/>
          </cell>
          <cell r="I206" t="str">
            <v/>
          </cell>
          <cell r="J206" t="str">
            <v/>
          </cell>
          <cell r="K206" t="str">
            <v/>
          </cell>
        </row>
        <row r="207">
          <cell r="B207" t="str">
            <v>140-88-5</v>
          </cell>
          <cell r="C207" t="str">
            <v>Ethyl acrylate</v>
          </cell>
          <cell r="D207">
            <v>5</v>
          </cell>
          <cell r="E207">
            <v>20</v>
          </cell>
          <cell r="F207" t="str">
            <v/>
          </cell>
          <cell r="G207" t="str">
            <v/>
          </cell>
          <cell r="H207" t="str">
            <v/>
          </cell>
          <cell r="I207" t="str">
            <v/>
          </cell>
          <cell r="J207" t="str">
            <v/>
          </cell>
          <cell r="K207" t="str">
            <v/>
          </cell>
        </row>
        <row r="208">
          <cell r="B208" t="str">
            <v>141-32-2</v>
          </cell>
          <cell r="C208" t="str">
            <v>n-Butyl acrylate</v>
          </cell>
          <cell r="D208">
            <v>2</v>
          </cell>
          <cell r="E208">
            <v>11</v>
          </cell>
          <cell r="F208" t="str">
            <v/>
          </cell>
          <cell r="G208">
            <v>10</v>
          </cell>
          <cell r="H208">
            <v>55</v>
          </cell>
          <cell r="I208" t="str">
            <v/>
          </cell>
          <cell r="J208" t="str">
            <v/>
          </cell>
          <cell r="K208" t="str">
            <v/>
          </cell>
        </row>
        <row r="209">
          <cell r="B209" t="str">
            <v>141-43-5</v>
          </cell>
          <cell r="C209" t="str">
            <v>Ethanolamine</v>
          </cell>
          <cell r="D209">
            <v>3</v>
          </cell>
          <cell r="E209">
            <v>8</v>
          </cell>
          <cell r="F209" t="str">
            <v/>
          </cell>
          <cell r="G209">
            <v>6</v>
          </cell>
          <cell r="H209">
            <v>15</v>
          </cell>
          <cell r="I209" t="str">
            <v/>
          </cell>
          <cell r="J209" t="str">
            <v/>
          </cell>
          <cell r="K209" t="str">
            <v/>
          </cell>
        </row>
        <row r="210">
          <cell r="B210" t="str">
            <v>141-66-2</v>
          </cell>
          <cell r="C210" t="str">
            <v>Dicrotophos</v>
          </cell>
          <cell r="D210" t="str">
            <v/>
          </cell>
          <cell r="E210">
            <v>0.25</v>
          </cell>
          <cell r="F210" t="str">
            <v/>
          </cell>
          <cell r="G210" t="str">
            <v/>
          </cell>
          <cell r="H210" t="str">
            <v/>
          </cell>
          <cell r="I210" t="str">
            <v/>
          </cell>
          <cell r="J210" t="str">
            <v/>
          </cell>
          <cell r="K210" t="str">
            <v>Skin</v>
          </cell>
        </row>
        <row r="211">
          <cell r="B211" t="str">
            <v>141-78-6</v>
          </cell>
          <cell r="C211" t="str">
            <v>Ethyl acetate</v>
          </cell>
          <cell r="D211">
            <v>400</v>
          </cell>
          <cell r="E211">
            <v>1400</v>
          </cell>
          <cell r="F211" t="str">
            <v/>
          </cell>
          <cell r="G211" t="str">
            <v/>
          </cell>
          <cell r="H211" t="str">
            <v/>
          </cell>
          <cell r="I211" t="str">
            <v/>
          </cell>
          <cell r="J211" t="str">
            <v/>
          </cell>
          <cell r="K211" t="str">
            <v/>
          </cell>
        </row>
        <row r="212">
          <cell r="B212" t="str">
            <v>141-79-7</v>
          </cell>
          <cell r="C212" t="str">
            <v>Mesityl oxide</v>
          </cell>
          <cell r="D212">
            <v>15</v>
          </cell>
          <cell r="E212">
            <v>60</v>
          </cell>
          <cell r="F212" t="str">
            <v/>
          </cell>
          <cell r="G212">
            <v>25</v>
          </cell>
          <cell r="H212">
            <v>100</v>
          </cell>
          <cell r="I212" t="str">
            <v/>
          </cell>
          <cell r="J212" t="str">
            <v/>
          </cell>
          <cell r="K212" t="str">
            <v/>
          </cell>
        </row>
        <row r="213">
          <cell r="B213" t="str">
            <v>142-64-3</v>
          </cell>
          <cell r="C213" t="str">
            <v>Piperazine dihydrochloride</v>
          </cell>
          <cell r="D213" t="str">
            <v/>
          </cell>
          <cell r="E213">
            <v>5</v>
          </cell>
          <cell r="F213" t="str">
            <v/>
          </cell>
          <cell r="G213" t="str">
            <v/>
          </cell>
          <cell r="H213" t="str">
            <v/>
          </cell>
          <cell r="I213" t="str">
            <v/>
          </cell>
          <cell r="J213" t="str">
            <v/>
          </cell>
          <cell r="K213" t="str">
            <v/>
          </cell>
        </row>
        <row r="214">
          <cell r="B214" t="str">
            <v>142-82-5</v>
          </cell>
          <cell r="C214" t="str">
            <v>Heptane</v>
          </cell>
          <cell r="D214">
            <v>400</v>
          </cell>
          <cell r="E214">
            <v>1600</v>
          </cell>
          <cell r="F214" t="str">
            <v/>
          </cell>
          <cell r="G214">
            <v>500</v>
          </cell>
          <cell r="H214">
            <v>2000</v>
          </cell>
          <cell r="I214" t="str">
            <v/>
          </cell>
          <cell r="J214" t="str">
            <v/>
          </cell>
          <cell r="K214" t="str">
            <v/>
          </cell>
        </row>
        <row r="215">
          <cell r="B215" t="str">
            <v>143-33-9</v>
          </cell>
          <cell r="C215" t="str">
            <v>Sodium cyanide</v>
          </cell>
          <cell r="D215" t="str">
            <v/>
          </cell>
          <cell r="E215">
            <v>3</v>
          </cell>
          <cell r="F215" t="str">
            <v/>
          </cell>
          <cell r="G215" t="str">
            <v/>
          </cell>
          <cell r="H215">
            <v>5</v>
          </cell>
          <cell r="I215" t="str">
            <v/>
          </cell>
          <cell r="J215" t="str">
            <v/>
          </cell>
          <cell r="K215" t="str">
            <v/>
          </cell>
        </row>
        <row r="216">
          <cell r="B216" t="str">
            <v>144-62-7</v>
          </cell>
          <cell r="C216" t="str">
            <v>Oxalic acid</v>
          </cell>
          <cell r="D216" t="str">
            <v/>
          </cell>
          <cell r="E216">
            <v>1</v>
          </cell>
          <cell r="F216" t="str">
            <v/>
          </cell>
          <cell r="G216" t="str">
            <v/>
          </cell>
          <cell r="H216">
            <v>2</v>
          </cell>
          <cell r="I216" t="str">
            <v/>
          </cell>
          <cell r="J216" t="str">
            <v/>
          </cell>
          <cell r="K216" t="str">
            <v/>
          </cell>
        </row>
        <row r="217">
          <cell r="B217" t="str">
            <v>14464-46-1</v>
          </cell>
          <cell r="C217" t="str">
            <v>Silica(Crystalline cristobalite)(Respirable fraction)</v>
          </cell>
          <cell r="D217" t="str">
            <v/>
          </cell>
          <cell r="E217">
            <v>0.05</v>
          </cell>
          <cell r="F217" t="str">
            <v/>
          </cell>
          <cell r="G217" t="str">
            <v/>
          </cell>
          <cell r="H217" t="str">
            <v/>
          </cell>
          <cell r="I217" t="str">
            <v/>
          </cell>
          <cell r="J217" t="str">
            <v/>
          </cell>
          <cell r="K217" t="str">
            <v/>
          </cell>
        </row>
        <row r="218">
          <cell r="B218" t="str">
            <v>14484-64-1</v>
          </cell>
          <cell r="C218" t="str">
            <v>Ferbam</v>
          </cell>
          <cell r="D218" t="str">
            <v/>
          </cell>
          <cell r="E218">
            <v>10</v>
          </cell>
          <cell r="F218" t="str">
            <v/>
          </cell>
          <cell r="G218" t="str">
            <v/>
          </cell>
          <cell r="H218" t="str">
            <v/>
          </cell>
          <cell r="I218" t="str">
            <v/>
          </cell>
          <cell r="J218" t="str">
            <v/>
          </cell>
          <cell r="K218" t="str">
            <v/>
          </cell>
        </row>
        <row r="219">
          <cell r="B219" t="str">
            <v>1477-55-0</v>
          </cell>
          <cell r="C219" t="str">
            <v>m-Xylene-α, α´-diamine</v>
          </cell>
          <cell r="D219" t="str">
            <v/>
          </cell>
          <cell r="E219" t="str">
            <v/>
          </cell>
          <cell r="F219" t="str">
            <v/>
          </cell>
          <cell r="G219" t="str">
            <v/>
          </cell>
          <cell r="H219" t="str">
            <v/>
          </cell>
          <cell r="I219" t="str">
            <v/>
          </cell>
          <cell r="J219">
            <v>0.1</v>
          </cell>
          <cell r="K219" t="str">
            <v>Skin</v>
          </cell>
        </row>
        <row r="220">
          <cell r="B220" t="str">
            <v>148-01-6</v>
          </cell>
          <cell r="C220" t="str">
            <v>3,5-Dinitro-o-toluamide</v>
          </cell>
          <cell r="D220" t="str">
            <v/>
          </cell>
          <cell r="E220">
            <v>5</v>
          </cell>
          <cell r="F220" t="str">
            <v/>
          </cell>
          <cell r="G220" t="str">
            <v/>
          </cell>
          <cell r="H220" t="str">
            <v/>
          </cell>
          <cell r="I220" t="str">
            <v/>
          </cell>
          <cell r="J220" t="str">
            <v/>
          </cell>
          <cell r="K220" t="str">
            <v/>
          </cell>
        </row>
        <row r="221">
          <cell r="B221" t="str">
            <v>14807-96-6</v>
          </cell>
          <cell r="C221" t="str">
            <v>Soapstone</v>
          </cell>
          <cell r="D221" t="str">
            <v/>
          </cell>
          <cell r="E221">
            <v>6</v>
          </cell>
          <cell r="F221" t="str">
            <v/>
          </cell>
          <cell r="G221" t="str">
            <v/>
          </cell>
          <cell r="H221" t="str">
            <v/>
          </cell>
          <cell r="I221" t="str">
            <v/>
          </cell>
          <cell r="J221" t="str">
            <v/>
          </cell>
          <cell r="K221" t="str">
            <v/>
          </cell>
        </row>
        <row r="222">
          <cell r="C222" t="str">
            <v>Soapstone(Respirable fraction)(CAS 14807-96-6)</v>
          </cell>
          <cell r="D222" t="str">
            <v/>
          </cell>
          <cell r="E222">
            <v>3</v>
          </cell>
          <cell r="F222" t="str">
            <v/>
          </cell>
          <cell r="G222" t="str">
            <v/>
          </cell>
          <cell r="H222" t="str">
            <v/>
          </cell>
          <cell r="I222" t="str">
            <v/>
          </cell>
          <cell r="J222" t="str">
            <v/>
          </cell>
          <cell r="K222" t="str">
            <v/>
          </cell>
        </row>
        <row r="223">
          <cell r="C223" t="str">
            <v>Talc(Containing no asbestos fibers)(CAS 14807-96-6)</v>
          </cell>
          <cell r="D223" t="str">
            <v/>
          </cell>
          <cell r="E223">
            <v>2</v>
          </cell>
          <cell r="F223" t="str">
            <v/>
          </cell>
          <cell r="G223" t="str">
            <v/>
          </cell>
          <cell r="H223" t="str">
            <v/>
          </cell>
          <cell r="I223" t="str">
            <v/>
          </cell>
          <cell r="J223" t="str">
            <v/>
          </cell>
          <cell r="K223" t="str">
            <v/>
          </cell>
        </row>
        <row r="224">
          <cell r="B224" t="str">
            <v>14808-60-7</v>
          </cell>
          <cell r="C224" t="str">
            <v>Silica(Crystalline quartz)(Respirable fraction)</v>
          </cell>
          <cell r="D224" t="str">
            <v/>
          </cell>
          <cell r="E224">
            <v>0.05</v>
          </cell>
          <cell r="F224" t="str">
            <v/>
          </cell>
          <cell r="G224" t="str">
            <v/>
          </cell>
          <cell r="H224" t="str">
            <v/>
          </cell>
          <cell r="I224" t="str">
            <v/>
          </cell>
          <cell r="J224" t="str">
            <v/>
          </cell>
          <cell r="K224" t="str">
            <v/>
          </cell>
        </row>
        <row r="225">
          <cell r="B225" t="str">
            <v>14977-61-8</v>
          </cell>
          <cell r="C225" t="str">
            <v>Chromyl chloride</v>
          </cell>
          <cell r="D225">
            <v>2.5000000000000001E-2</v>
          </cell>
          <cell r="E225">
            <v>0.15</v>
          </cell>
          <cell r="F225" t="str">
            <v/>
          </cell>
          <cell r="G225" t="str">
            <v/>
          </cell>
          <cell r="H225" t="str">
            <v/>
          </cell>
          <cell r="I225" t="str">
            <v/>
          </cell>
          <cell r="J225" t="str">
            <v/>
          </cell>
          <cell r="K225" t="str">
            <v/>
          </cell>
        </row>
        <row r="226">
          <cell r="B226" t="str">
            <v>150-76-5</v>
          </cell>
          <cell r="C226" t="str">
            <v>4-Methoxyphenol</v>
          </cell>
          <cell r="D226" t="str">
            <v/>
          </cell>
          <cell r="E226">
            <v>5</v>
          </cell>
          <cell r="F226" t="str">
            <v/>
          </cell>
          <cell r="G226" t="str">
            <v/>
          </cell>
          <cell r="H226" t="str">
            <v/>
          </cell>
          <cell r="I226" t="str">
            <v/>
          </cell>
          <cell r="J226" t="str">
            <v/>
          </cell>
          <cell r="K226" t="str">
            <v/>
          </cell>
        </row>
        <row r="227">
          <cell r="B227" t="str">
            <v>151-50-8</v>
          </cell>
          <cell r="C227" t="str">
            <v>Potassium cyanide</v>
          </cell>
          <cell r="D227" t="str">
            <v/>
          </cell>
          <cell r="E227">
            <v>5</v>
          </cell>
          <cell r="F227" t="str">
            <v/>
          </cell>
          <cell r="G227" t="str">
            <v/>
          </cell>
          <cell r="H227" t="str">
            <v/>
          </cell>
          <cell r="I227" t="str">
            <v/>
          </cell>
          <cell r="J227" t="str">
            <v/>
          </cell>
          <cell r="K227" t="str">
            <v/>
          </cell>
        </row>
        <row r="228">
          <cell r="B228" t="str">
            <v>151-56-4</v>
          </cell>
          <cell r="C228" t="str">
            <v>Ethylenimine</v>
          </cell>
          <cell r="D228">
            <v>0.5</v>
          </cell>
          <cell r="E228">
            <v>1</v>
          </cell>
          <cell r="F228" t="str">
            <v/>
          </cell>
          <cell r="G228" t="str">
            <v/>
          </cell>
          <cell r="H228" t="str">
            <v/>
          </cell>
          <cell r="I228" t="str">
            <v/>
          </cell>
          <cell r="J228" t="str">
            <v/>
          </cell>
          <cell r="K228" t="str">
            <v>Skin</v>
          </cell>
        </row>
        <row r="229">
          <cell r="B229" t="str">
            <v>15468-32-3</v>
          </cell>
          <cell r="C229" t="str">
            <v>Silica(Crystalline tridymite)(Respirable fraction)</v>
          </cell>
          <cell r="D229" t="str">
            <v/>
          </cell>
          <cell r="E229">
            <v>0.05</v>
          </cell>
          <cell r="F229" t="str">
            <v/>
          </cell>
          <cell r="G229" t="str">
            <v/>
          </cell>
          <cell r="H229" t="str">
            <v/>
          </cell>
          <cell r="I229" t="str">
            <v/>
          </cell>
          <cell r="J229" t="str">
            <v/>
          </cell>
          <cell r="K229" t="str">
            <v/>
          </cell>
        </row>
        <row r="230">
          <cell r="B230" t="str">
            <v>1563-66-2</v>
          </cell>
          <cell r="C230" t="str">
            <v>Carbofuran</v>
          </cell>
          <cell r="D230" t="str">
            <v/>
          </cell>
          <cell r="E230">
            <v>0.1</v>
          </cell>
          <cell r="F230" t="str">
            <v/>
          </cell>
          <cell r="G230" t="str">
            <v/>
          </cell>
          <cell r="H230" t="str">
            <v/>
          </cell>
          <cell r="I230" t="str">
            <v/>
          </cell>
          <cell r="J230" t="str">
            <v/>
          </cell>
          <cell r="K230" t="str">
            <v/>
          </cell>
        </row>
        <row r="231">
          <cell r="B231" t="str">
            <v>156-62-7</v>
          </cell>
          <cell r="C231" t="str">
            <v>Calcium cyanamide</v>
          </cell>
          <cell r="D231" t="str">
            <v/>
          </cell>
          <cell r="E231">
            <v>0.5</v>
          </cell>
          <cell r="F231" t="str">
            <v/>
          </cell>
          <cell r="G231" t="str">
            <v/>
          </cell>
          <cell r="H231" t="str">
            <v/>
          </cell>
          <cell r="I231" t="str">
            <v/>
          </cell>
          <cell r="J231" t="str">
            <v/>
          </cell>
          <cell r="K231" t="str">
            <v/>
          </cell>
        </row>
        <row r="232">
          <cell r="B232" t="str">
            <v>16219-75-3</v>
          </cell>
          <cell r="C232" t="str">
            <v>Ethylidene norbornene</v>
          </cell>
          <cell r="D232" t="str">
            <v/>
          </cell>
          <cell r="E232" t="str">
            <v/>
          </cell>
          <cell r="F232" t="str">
            <v/>
          </cell>
          <cell r="G232" t="str">
            <v/>
          </cell>
          <cell r="H232" t="str">
            <v/>
          </cell>
          <cell r="I232">
            <v>5</v>
          </cell>
          <cell r="J232">
            <v>25</v>
          </cell>
          <cell r="K232" t="str">
            <v/>
          </cell>
        </row>
        <row r="233">
          <cell r="B233" t="str">
            <v>1634-04-4</v>
          </cell>
          <cell r="C233" t="str">
            <v>Methyl tert-butyl ether(MTBE)</v>
          </cell>
          <cell r="D233">
            <v>50</v>
          </cell>
          <cell r="E233">
            <v>180</v>
          </cell>
          <cell r="F233" t="str">
            <v/>
          </cell>
          <cell r="G233" t="str">
            <v/>
          </cell>
          <cell r="H233" t="str">
            <v/>
          </cell>
          <cell r="I233" t="str">
            <v/>
          </cell>
          <cell r="J233" t="str">
            <v/>
          </cell>
          <cell r="K233" t="str">
            <v/>
          </cell>
        </row>
        <row r="234">
          <cell r="B234" t="str">
            <v>16752-77-5</v>
          </cell>
          <cell r="C234" t="str">
            <v>Methomyl</v>
          </cell>
          <cell r="D234" t="str">
            <v/>
          </cell>
          <cell r="E234">
            <v>2.5</v>
          </cell>
          <cell r="F234" t="str">
            <v/>
          </cell>
          <cell r="G234" t="str">
            <v/>
          </cell>
          <cell r="H234" t="str">
            <v/>
          </cell>
          <cell r="I234" t="str">
            <v/>
          </cell>
          <cell r="J234" t="str">
            <v/>
          </cell>
          <cell r="K234" t="str">
            <v/>
          </cell>
        </row>
        <row r="235">
          <cell r="B235" t="str">
            <v>16812-54-7</v>
          </cell>
          <cell r="C235" t="str">
            <v>Nickel sulfide roasting(Fume &amp; dust, as Ni)</v>
          </cell>
          <cell r="D235" t="str">
            <v/>
          </cell>
          <cell r="E235">
            <v>1</v>
          </cell>
          <cell r="F235" t="str">
            <v/>
          </cell>
          <cell r="G235" t="str">
            <v/>
          </cell>
          <cell r="H235" t="str">
            <v/>
          </cell>
          <cell r="I235" t="str">
            <v/>
          </cell>
          <cell r="J235" t="str">
            <v/>
          </cell>
          <cell r="K235" t="str">
            <v/>
          </cell>
        </row>
        <row r="236">
          <cell r="B236" t="str">
            <v>16842-03-8</v>
          </cell>
          <cell r="C236" t="str">
            <v>Cobalt hydrocarbonyl, as Co</v>
          </cell>
          <cell r="D236" t="str">
            <v/>
          </cell>
          <cell r="E236">
            <v>0.1</v>
          </cell>
          <cell r="F236" t="str">
            <v/>
          </cell>
          <cell r="G236" t="str">
            <v/>
          </cell>
          <cell r="H236" t="str">
            <v/>
          </cell>
          <cell r="I236" t="str">
            <v/>
          </cell>
          <cell r="J236" t="str">
            <v/>
          </cell>
          <cell r="K236" t="str">
            <v/>
          </cell>
        </row>
        <row r="237">
          <cell r="B237" t="str">
            <v>1717-00-6</v>
          </cell>
          <cell r="C237" t="str">
            <v>1,1-Dichloro-1-fluoro ethane</v>
          </cell>
          <cell r="D237">
            <v>500</v>
          </cell>
          <cell r="E237" t="str">
            <v/>
          </cell>
          <cell r="F237" t="str">
            <v/>
          </cell>
          <cell r="G237" t="str">
            <v/>
          </cell>
          <cell r="H237" t="str">
            <v/>
          </cell>
          <cell r="I237" t="str">
            <v/>
          </cell>
          <cell r="J237" t="str">
            <v/>
          </cell>
          <cell r="K237" t="str">
            <v/>
          </cell>
        </row>
        <row r="238">
          <cell r="B238" t="str">
            <v>17702-41-9</v>
          </cell>
          <cell r="C238" t="str">
            <v>Decaborane</v>
          </cell>
          <cell r="D238">
            <v>0.05</v>
          </cell>
          <cell r="E238">
            <v>0.3</v>
          </cell>
          <cell r="F238" t="str">
            <v/>
          </cell>
          <cell r="G238">
            <v>0.15</v>
          </cell>
          <cell r="H238">
            <v>0.9</v>
          </cell>
          <cell r="I238" t="str">
            <v/>
          </cell>
          <cell r="J238" t="str">
            <v/>
          </cell>
          <cell r="K238" t="str">
            <v>Skin</v>
          </cell>
        </row>
        <row r="239">
          <cell r="B239" t="str">
            <v>17804-35-2</v>
          </cell>
          <cell r="C239" t="str">
            <v>Benomyl</v>
          </cell>
          <cell r="D239">
            <v>0.8</v>
          </cell>
          <cell r="E239">
            <v>10</v>
          </cell>
          <cell r="F239" t="str">
            <v/>
          </cell>
          <cell r="G239" t="str">
            <v/>
          </cell>
          <cell r="H239" t="str">
            <v/>
          </cell>
          <cell r="I239" t="str">
            <v/>
          </cell>
          <cell r="J239" t="str">
            <v/>
          </cell>
          <cell r="K239" t="str">
            <v/>
          </cell>
        </row>
        <row r="240">
          <cell r="B240" t="str">
            <v>18540-29-9</v>
          </cell>
          <cell r="C240" t="str">
            <v>Chromium(Ⅵ)compounds(Water insoluble inorganic compounds)</v>
          </cell>
          <cell r="D240" t="str">
            <v/>
          </cell>
          <cell r="E240">
            <v>0.01</v>
          </cell>
          <cell r="F240" t="str">
            <v/>
          </cell>
          <cell r="G240" t="str">
            <v/>
          </cell>
          <cell r="H240" t="str">
            <v/>
          </cell>
          <cell r="I240" t="str">
            <v/>
          </cell>
          <cell r="J240" t="str">
            <v/>
          </cell>
          <cell r="K240" t="str">
            <v/>
          </cell>
        </row>
        <row r="241">
          <cell r="C241" t="str">
            <v>Chromium(Ⅵ)compounds(Water soluble)(CAS 18540-29-9)</v>
          </cell>
          <cell r="D241" t="str">
            <v/>
          </cell>
          <cell r="E241">
            <v>0.05</v>
          </cell>
          <cell r="F241" t="str">
            <v/>
          </cell>
          <cell r="G241" t="str">
            <v/>
          </cell>
          <cell r="H241" t="str">
            <v/>
          </cell>
          <cell r="I241" t="str">
            <v/>
          </cell>
          <cell r="J241" t="str">
            <v/>
          </cell>
          <cell r="K241" t="str">
            <v/>
          </cell>
        </row>
        <row r="242">
          <cell r="B242" t="str">
            <v>1912-24-9</v>
          </cell>
          <cell r="C242" t="str">
            <v>Atrazine</v>
          </cell>
          <cell r="D242" t="str">
            <v/>
          </cell>
          <cell r="E242">
            <v>5</v>
          </cell>
          <cell r="F242" t="str">
            <v/>
          </cell>
          <cell r="G242" t="str">
            <v/>
          </cell>
          <cell r="H242" t="str">
            <v/>
          </cell>
          <cell r="I242" t="str">
            <v/>
          </cell>
          <cell r="J242" t="str">
            <v/>
          </cell>
          <cell r="K242" t="str">
            <v/>
          </cell>
        </row>
        <row r="243">
          <cell r="B243" t="str">
            <v>1918-02-1</v>
          </cell>
          <cell r="C243" t="str">
            <v>Picloram</v>
          </cell>
          <cell r="D243" t="str">
            <v/>
          </cell>
          <cell r="E243">
            <v>10</v>
          </cell>
          <cell r="F243" t="str">
            <v/>
          </cell>
          <cell r="G243" t="str">
            <v/>
          </cell>
          <cell r="H243">
            <v>20</v>
          </cell>
          <cell r="I243" t="str">
            <v/>
          </cell>
          <cell r="J243" t="str">
            <v/>
          </cell>
          <cell r="K243" t="str">
            <v/>
          </cell>
        </row>
        <row r="244">
          <cell r="B244" t="str">
            <v>19287-45-7</v>
          </cell>
          <cell r="C244" t="str">
            <v>Diborane</v>
          </cell>
          <cell r="D244">
            <v>0.1</v>
          </cell>
          <cell r="E244">
            <v>0.1</v>
          </cell>
          <cell r="F244" t="str">
            <v/>
          </cell>
          <cell r="G244" t="str">
            <v/>
          </cell>
          <cell r="H244" t="str">
            <v/>
          </cell>
          <cell r="I244" t="str">
            <v/>
          </cell>
          <cell r="J244" t="str">
            <v/>
          </cell>
          <cell r="K244" t="str">
            <v/>
          </cell>
        </row>
        <row r="245">
          <cell r="B245" t="str">
            <v>1929-82-4</v>
          </cell>
          <cell r="C245" t="str">
            <v>2-Chloro-6-(trichloromethyl)pyridine</v>
          </cell>
          <cell r="D245" t="str">
            <v/>
          </cell>
          <cell r="E245">
            <v>10</v>
          </cell>
          <cell r="F245" t="str">
            <v/>
          </cell>
          <cell r="G245" t="str">
            <v/>
          </cell>
          <cell r="H245">
            <v>20</v>
          </cell>
          <cell r="I245" t="str">
            <v/>
          </cell>
          <cell r="J245" t="str">
            <v/>
          </cell>
          <cell r="K245" t="str">
            <v/>
          </cell>
        </row>
        <row r="246">
          <cell r="B246" t="str">
            <v>19624-22-7</v>
          </cell>
          <cell r="C246" t="str">
            <v>Pentaborane</v>
          </cell>
          <cell r="D246">
            <v>5.0000000000000001E-3</v>
          </cell>
          <cell r="E246">
            <v>0.01</v>
          </cell>
          <cell r="F246" t="str">
            <v/>
          </cell>
          <cell r="G246">
            <v>1.4999999999999999E-2</v>
          </cell>
          <cell r="H246">
            <v>0.03</v>
          </cell>
          <cell r="I246" t="str">
            <v/>
          </cell>
          <cell r="J246" t="str">
            <v/>
          </cell>
          <cell r="K246" t="str">
            <v/>
          </cell>
        </row>
        <row r="247">
          <cell r="B247" t="str">
            <v>2039-87-4</v>
          </cell>
          <cell r="C247" t="str">
            <v>o-Chlorostyrene</v>
          </cell>
          <cell r="D247">
            <v>50</v>
          </cell>
          <cell r="E247">
            <v>285</v>
          </cell>
          <cell r="F247" t="str">
            <v/>
          </cell>
          <cell r="G247">
            <v>75</v>
          </cell>
          <cell r="H247">
            <v>430</v>
          </cell>
          <cell r="I247" t="str">
            <v/>
          </cell>
          <cell r="J247" t="str">
            <v/>
          </cell>
          <cell r="K247" t="str">
            <v/>
          </cell>
        </row>
        <row r="248">
          <cell r="B248" t="str">
            <v>20816-12-0</v>
          </cell>
          <cell r="C248" t="str">
            <v>Osmium tetroxide, as Os</v>
          </cell>
          <cell r="D248">
            <v>2.0000000000000001E-4</v>
          </cell>
          <cell r="E248">
            <v>2E-3</v>
          </cell>
          <cell r="F248" t="str">
            <v/>
          </cell>
          <cell r="G248">
            <v>5.9999999999999995E-4</v>
          </cell>
          <cell r="H248">
            <v>5.9999999999999995E-4</v>
          </cell>
          <cell r="I248" t="str">
            <v/>
          </cell>
          <cell r="J248" t="str">
            <v/>
          </cell>
          <cell r="K248" t="str">
            <v/>
          </cell>
        </row>
        <row r="249">
          <cell r="B249" t="str">
            <v>2104-64-5</v>
          </cell>
          <cell r="C249" t="str">
            <v>EPN(Inhalable fraction)</v>
          </cell>
          <cell r="D249" t="str">
            <v/>
          </cell>
          <cell r="E249">
            <v>0.1</v>
          </cell>
          <cell r="F249" t="str">
            <v/>
          </cell>
          <cell r="G249" t="str">
            <v/>
          </cell>
          <cell r="H249" t="str">
            <v/>
          </cell>
          <cell r="I249" t="str">
            <v/>
          </cell>
          <cell r="J249" t="str">
            <v/>
          </cell>
          <cell r="K249" t="str">
            <v>Skin</v>
          </cell>
        </row>
        <row r="250">
          <cell r="B250" t="str">
            <v>21087-64-9</v>
          </cell>
          <cell r="C250" t="str">
            <v>Metribuzin</v>
          </cell>
          <cell r="D250" t="str">
            <v/>
          </cell>
          <cell r="E250">
            <v>5</v>
          </cell>
          <cell r="F250" t="str">
            <v/>
          </cell>
          <cell r="G250" t="str">
            <v/>
          </cell>
          <cell r="H250" t="str">
            <v/>
          </cell>
          <cell r="I250" t="str">
            <v/>
          </cell>
          <cell r="J250" t="str">
            <v/>
          </cell>
          <cell r="K250" t="str">
            <v/>
          </cell>
        </row>
        <row r="251">
          <cell r="B251" t="str">
            <v>21351-79-1</v>
          </cell>
          <cell r="C251" t="str">
            <v>Cesium hydroxide</v>
          </cell>
          <cell r="D251" t="str">
            <v/>
          </cell>
          <cell r="E251">
            <v>2</v>
          </cell>
          <cell r="F251" t="str">
            <v/>
          </cell>
          <cell r="G251" t="str">
            <v/>
          </cell>
          <cell r="H251" t="str">
            <v/>
          </cell>
          <cell r="I251" t="str">
            <v/>
          </cell>
          <cell r="J251" t="str">
            <v/>
          </cell>
          <cell r="K251" t="str">
            <v/>
          </cell>
        </row>
        <row r="252">
          <cell r="B252" t="str">
            <v>2179-59-1</v>
          </cell>
          <cell r="C252" t="str">
            <v>Allylpropyl disulfide</v>
          </cell>
          <cell r="D252">
            <v>0.5</v>
          </cell>
          <cell r="E252">
            <v>3</v>
          </cell>
          <cell r="F252" t="str">
            <v/>
          </cell>
          <cell r="G252" t="str">
            <v/>
          </cell>
          <cell r="H252" t="str">
            <v/>
          </cell>
          <cell r="I252" t="str">
            <v/>
          </cell>
          <cell r="J252" t="str">
            <v/>
          </cell>
          <cell r="K252" t="str">
            <v/>
          </cell>
        </row>
        <row r="253">
          <cell r="B253" t="str">
            <v>218-01-9</v>
          </cell>
          <cell r="C253" t="str">
            <v>Chrysene</v>
          </cell>
          <cell r="D253" t="str">
            <v/>
          </cell>
          <cell r="E253" t="str">
            <v/>
          </cell>
          <cell r="F253" t="str">
            <v/>
          </cell>
          <cell r="G253" t="str">
            <v/>
          </cell>
          <cell r="H253" t="str">
            <v/>
          </cell>
          <cell r="I253" t="str">
            <v/>
          </cell>
          <cell r="J253" t="str">
            <v/>
          </cell>
          <cell r="K253" t="str">
            <v/>
          </cell>
        </row>
        <row r="254">
          <cell r="B254" t="str">
            <v>22224-92-6</v>
          </cell>
          <cell r="C254" t="str">
            <v>Fenamiphos</v>
          </cell>
          <cell r="D254" t="str">
            <v/>
          </cell>
          <cell r="E254">
            <v>0.1</v>
          </cell>
          <cell r="F254" t="str">
            <v/>
          </cell>
          <cell r="G254" t="str">
            <v/>
          </cell>
          <cell r="H254" t="str">
            <v/>
          </cell>
          <cell r="I254" t="str">
            <v/>
          </cell>
          <cell r="J254" t="str">
            <v/>
          </cell>
          <cell r="K254" t="str">
            <v>Skin</v>
          </cell>
        </row>
        <row r="255">
          <cell r="B255" t="str">
            <v>2234-13-1</v>
          </cell>
          <cell r="C255" t="str">
            <v>Octachloronaphthalene</v>
          </cell>
          <cell r="D255" t="str">
            <v/>
          </cell>
          <cell r="E255">
            <v>0.1</v>
          </cell>
          <cell r="F255" t="str">
            <v/>
          </cell>
          <cell r="G255" t="str">
            <v/>
          </cell>
          <cell r="H255">
            <v>0.3</v>
          </cell>
          <cell r="I255" t="str">
            <v/>
          </cell>
          <cell r="J255" t="str">
            <v/>
          </cell>
          <cell r="K255" t="str">
            <v>Skin</v>
          </cell>
        </row>
        <row r="256">
          <cell r="B256" t="str">
            <v>2238-07-5</v>
          </cell>
          <cell r="C256" t="str">
            <v>Diglycidyl ether(DGE)</v>
          </cell>
          <cell r="D256">
            <v>0.1</v>
          </cell>
          <cell r="E256">
            <v>0.5</v>
          </cell>
          <cell r="F256" t="str">
            <v/>
          </cell>
          <cell r="G256" t="str">
            <v/>
          </cell>
          <cell r="H256" t="str">
            <v/>
          </cell>
          <cell r="I256" t="str">
            <v/>
          </cell>
          <cell r="J256" t="str">
            <v/>
          </cell>
          <cell r="K256" t="str">
            <v/>
          </cell>
        </row>
        <row r="257">
          <cell r="B257" t="str">
            <v>2425-06-1</v>
          </cell>
          <cell r="C257" t="str">
            <v>Captafol</v>
          </cell>
          <cell r="D257" t="str">
            <v/>
          </cell>
          <cell r="E257">
            <v>0.1</v>
          </cell>
          <cell r="F257" t="str">
            <v/>
          </cell>
          <cell r="G257" t="str">
            <v/>
          </cell>
          <cell r="H257" t="str">
            <v/>
          </cell>
          <cell r="I257" t="str">
            <v/>
          </cell>
          <cell r="J257" t="str">
            <v/>
          </cell>
          <cell r="K257" t="str">
            <v>Skin</v>
          </cell>
        </row>
        <row r="258">
          <cell r="B258" t="str">
            <v>2426-08-6</v>
          </cell>
          <cell r="C258" t="str">
            <v>n-Butyl glycidyl ether(BGE)</v>
          </cell>
          <cell r="D258">
            <v>10</v>
          </cell>
          <cell r="E258">
            <v>53</v>
          </cell>
          <cell r="F258" t="str">
            <v/>
          </cell>
          <cell r="G258" t="str">
            <v/>
          </cell>
          <cell r="H258" t="str">
            <v/>
          </cell>
          <cell r="I258" t="str">
            <v/>
          </cell>
          <cell r="J258" t="str">
            <v/>
          </cell>
          <cell r="K258" t="str">
            <v>Skin</v>
          </cell>
        </row>
        <row r="259">
          <cell r="B259" t="str">
            <v>25013-15-4</v>
          </cell>
          <cell r="C259" t="str">
            <v>Vinyl toluene</v>
          </cell>
          <cell r="D259">
            <v>50</v>
          </cell>
          <cell r="E259">
            <v>240</v>
          </cell>
          <cell r="F259" t="str">
            <v/>
          </cell>
          <cell r="G259" t="str">
            <v/>
          </cell>
          <cell r="H259" t="str">
            <v/>
          </cell>
          <cell r="I259" t="str">
            <v/>
          </cell>
          <cell r="J259" t="str">
            <v/>
          </cell>
          <cell r="K259" t="str">
            <v/>
          </cell>
        </row>
        <row r="260">
          <cell r="B260" t="str">
            <v>25321-14-6</v>
          </cell>
          <cell r="C260" t="str">
            <v>Dinitrotoluene</v>
          </cell>
          <cell r="D260" t="str">
            <v/>
          </cell>
          <cell r="E260">
            <v>0.2</v>
          </cell>
          <cell r="F260" t="str">
            <v/>
          </cell>
          <cell r="G260" t="str">
            <v/>
          </cell>
          <cell r="H260" t="str">
            <v/>
          </cell>
          <cell r="I260" t="str">
            <v/>
          </cell>
          <cell r="J260" t="str">
            <v/>
          </cell>
          <cell r="K260" t="str">
            <v>Skin</v>
          </cell>
        </row>
        <row r="261">
          <cell r="B261" t="str">
            <v>2551-62-4</v>
          </cell>
          <cell r="C261" t="str">
            <v>Sulfur hexafluoride</v>
          </cell>
          <cell r="D261">
            <v>1000</v>
          </cell>
          <cell r="E261">
            <v>6000</v>
          </cell>
          <cell r="F261" t="str">
            <v/>
          </cell>
          <cell r="G261" t="str">
            <v/>
          </cell>
          <cell r="H261" t="str">
            <v/>
          </cell>
          <cell r="I261" t="str">
            <v/>
          </cell>
          <cell r="J261" t="str">
            <v/>
          </cell>
          <cell r="K261" t="str">
            <v/>
          </cell>
        </row>
        <row r="262">
          <cell r="B262" t="str">
            <v>25551-13-7</v>
          </cell>
          <cell r="C262" t="str">
            <v>Trimethyl benzene</v>
          </cell>
          <cell r="D262">
            <v>25</v>
          </cell>
          <cell r="E262">
            <v>125</v>
          </cell>
          <cell r="F262" t="str">
            <v/>
          </cell>
          <cell r="G262" t="str">
            <v/>
          </cell>
          <cell r="H262" t="str">
            <v/>
          </cell>
          <cell r="I262" t="str">
            <v/>
          </cell>
          <cell r="J262" t="str">
            <v/>
          </cell>
          <cell r="K262" t="str">
            <v/>
          </cell>
        </row>
        <row r="263">
          <cell r="B263" t="str">
            <v>25639-42-3</v>
          </cell>
          <cell r="C263" t="str">
            <v>Methylcyclohexanol</v>
          </cell>
          <cell r="D263">
            <v>50</v>
          </cell>
          <cell r="E263">
            <v>235</v>
          </cell>
          <cell r="F263" t="str">
            <v/>
          </cell>
          <cell r="G263" t="str">
            <v/>
          </cell>
          <cell r="H263" t="str">
            <v/>
          </cell>
          <cell r="I263" t="str">
            <v/>
          </cell>
          <cell r="J263" t="str">
            <v/>
          </cell>
          <cell r="K263" t="str">
            <v/>
          </cell>
        </row>
        <row r="264">
          <cell r="B264" t="str">
            <v>26140-60-3</v>
          </cell>
          <cell r="C264" t="str">
            <v>Terphenyls</v>
          </cell>
          <cell r="D264" t="str">
            <v/>
          </cell>
          <cell r="E264" t="str">
            <v/>
          </cell>
          <cell r="F264" t="str">
            <v/>
          </cell>
          <cell r="G264" t="str">
            <v/>
          </cell>
          <cell r="H264" t="str">
            <v/>
          </cell>
          <cell r="I264" t="str">
            <v/>
          </cell>
          <cell r="J264">
            <v>5</v>
          </cell>
          <cell r="K264" t="str">
            <v/>
          </cell>
        </row>
        <row r="265">
          <cell r="B265" t="str">
            <v>26628-22-8</v>
          </cell>
          <cell r="C265" t="str">
            <v>Sodium azide</v>
          </cell>
          <cell r="D265" t="str">
            <v/>
          </cell>
          <cell r="E265" t="str">
            <v/>
          </cell>
          <cell r="F265" t="str">
            <v/>
          </cell>
          <cell r="G265" t="str">
            <v/>
          </cell>
          <cell r="H265" t="str">
            <v/>
          </cell>
          <cell r="I265" t="str">
            <v/>
          </cell>
          <cell r="J265">
            <v>0.28999999999999998</v>
          </cell>
          <cell r="K265" t="str">
            <v/>
          </cell>
        </row>
        <row r="266">
          <cell r="B266" t="str">
            <v>26952-21-6</v>
          </cell>
          <cell r="C266" t="str">
            <v>Isooctyl alcohol</v>
          </cell>
          <cell r="D266">
            <v>50</v>
          </cell>
          <cell r="E266">
            <v>270</v>
          </cell>
          <cell r="F266" t="str">
            <v/>
          </cell>
          <cell r="G266" t="str">
            <v/>
          </cell>
          <cell r="H266" t="str">
            <v/>
          </cell>
          <cell r="I266" t="str">
            <v/>
          </cell>
          <cell r="J266" t="str">
            <v/>
          </cell>
          <cell r="K266" t="str">
            <v>Skin</v>
          </cell>
        </row>
        <row r="267">
          <cell r="B267" t="str">
            <v>2698-41-1</v>
          </cell>
          <cell r="C267" t="str">
            <v>o-Chlorobenzylidene malononitrile</v>
          </cell>
          <cell r="D267" t="str">
            <v/>
          </cell>
          <cell r="E267" t="str">
            <v/>
          </cell>
          <cell r="F267" t="str">
            <v/>
          </cell>
          <cell r="G267" t="str">
            <v/>
          </cell>
          <cell r="H267" t="str">
            <v/>
          </cell>
          <cell r="I267">
            <v>0.05</v>
          </cell>
          <cell r="J267">
            <v>0.4</v>
          </cell>
          <cell r="K267" t="str">
            <v>Skin</v>
          </cell>
        </row>
        <row r="268">
          <cell r="B268" t="str">
            <v>2699-79-8</v>
          </cell>
          <cell r="C268" t="str">
            <v>Sulfuryl fluoride</v>
          </cell>
          <cell r="D268">
            <v>5</v>
          </cell>
          <cell r="E268">
            <v>20</v>
          </cell>
          <cell r="F268" t="str">
            <v/>
          </cell>
          <cell r="G268">
            <v>10</v>
          </cell>
          <cell r="H268">
            <v>40</v>
          </cell>
          <cell r="I268" t="str">
            <v/>
          </cell>
          <cell r="J268" t="str">
            <v/>
          </cell>
          <cell r="K268" t="str">
            <v/>
          </cell>
        </row>
        <row r="269">
          <cell r="B269" t="str">
            <v>2764-72-9</v>
          </cell>
          <cell r="C269" t="str">
            <v>Diquat</v>
          </cell>
          <cell r="D269" t="str">
            <v/>
          </cell>
          <cell r="E269">
            <v>0.5</v>
          </cell>
          <cell r="F269" t="str">
            <v/>
          </cell>
          <cell r="G269" t="str">
            <v/>
          </cell>
          <cell r="H269" t="str">
            <v/>
          </cell>
          <cell r="I269" t="str">
            <v/>
          </cell>
          <cell r="J269" t="str">
            <v/>
          </cell>
          <cell r="K269" t="str">
            <v>Skin</v>
          </cell>
        </row>
        <row r="270">
          <cell r="B270" t="str">
            <v>287-92-3</v>
          </cell>
          <cell r="C270" t="str">
            <v>Cyclopentane</v>
          </cell>
          <cell r="D270">
            <v>600</v>
          </cell>
          <cell r="E270">
            <v>1720</v>
          </cell>
          <cell r="F270" t="str">
            <v/>
          </cell>
          <cell r="G270" t="str">
            <v/>
          </cell>
          <cell r="H270" t="str">
            <v/>
          </cell>
          <cell r="I270" t="str">
            <v/>
          </cell>
          <cell r="J270" t="str">
            <v/>
          </cell>
          <cell r="K270" t="str">
            <v/>
          </cell>
        </row>
        <row r="271">
          <cell r="B271" t="str">
            <v>29191-52-4</v>
          </cell>
          <cell r="C271" t="str">
            <v>Anisidine(o, p-isomers)</v>
          </cell>
          <cell r="D271" t="str">
            <v/>
          </cell>
          <cell r="E271">
            <v>0.5</v>
          </cell>
          <cell r="F271" t="str">
            <v/>
          </cell>
          <cell r="G271" t="str">
            <v/>
          </cell>
          <cell r="H271" t="str">
            <v/>
          </cell>
          <cell r="I271" t="str">
            <v/>
          </cell>
          <cell r="J271" t="str">
            <v/>
          </cell>
          <cell r="K271" t="str">
            <v>Skin</v>
          </cell>
        </row>
        <row r="272">
          <cell r="B272" t="str">
            <v>2921-88-2</v>
          </cell>
          <cell r="C272" t="str">
            <v>Chlorpyrifos(Inhalable fraction and vapor)</v>
          </cell>
          <cell r="D272" t="str">
            <v/>
          </cell>
          <cell r="E272">
            <v>0.1</v>
          </cell>
          <cell r="F272" t="str">
            <v/>
          </cell>
          <cell r="G272" t="str">
            <v/>
          </cell>
          <cell r="H272" t="str">
            <v/>
          </cell>
          <cell r="I272" t="str">
            <v/>
          </cell>
          <cell r="J272" t="str">
            <v/>
          </cell>
          <cell r="K272" t="str">
            <v>Skin</v>
          </cell>
        </row>
        <row r="273">
          <cell r="B273" t="str">
            <v>2971-90-6</v>
          </cell>
          <cell r="C273" t="str">
            <v>Clopidol</v>
          </cell>
          <cell r="D273" t="str">
            <v/>
          </cell>
          <cell r="E273">
            <v>10</v>
          </cell>
          <cell r="F273" t="str">
            <v/>
          </cell>
          <cell r="G273" t="str">
            <v/>
          </cell>
          <cell r="H273">
            <v>20</v>
          </cell>
          <cell r="I273" t="str">
            <v/>
          </cell>
          <cell r="J273" t="str">
            <v/>
          </cell>
          <cell r="K273" t="str">
            <v/>
          </cell>
        </row>
        <row r="274">
          <cell r="B274" t="str">
            <v>298-00-0</v>
          </cell>
          <cell r="C274" t="str">
            <v>Methyl parathion</v>
          </cell>
          <cell r="D274" t="str">
            <v/>
          </cell>
          <cell r="E274">
            <v>0.2</v>
          </cell>
          <cell r="F274" t="str">
            <v/>
          </cell>
          <cell r="G274" t="str">
            <v/>
          </cell>
          <cell r="H274" t="str">
            <v/>
          </cell>
          <cell r="I274" t="str">
            <v/>
          </cell>
          <cell r="J274" t="str">
            <v/>
          </cell>
          <cell r="K274" t="str">
            <v>Skin</v>
          </cell>
        </row>
        <row r="275">
          <cell r="B275" t="str">
            <v>298-02-2</v>
          </cell>
          <cell r="C275" t="str">
            <v>Phorate(Inhalable fraction and vapor)</v>
          </cell>
          <cell r="D275" t="str">
            <v/>
          </cell>
          <cell r="E275">
            <v>0.05</v>
          </cell>
          <cell r="F275" t="str">
            <v/>
          </cell>
          <cell r="G275" t="str">
            <v/>
          </cell>
          <cell r="H275" t="str">
            <v/>
          </cell>
          <cell r="I275" t="str">
            <v/>
          </cell>
          <cell r="J275" t="str">
            <v/>
          </cell>
          <cell r="K275" t="str">
            <v>Skin</v>
          </cell>
        </row>
        <row r="276">
          <cell r="B276" t="str">
            <v>298-04-4</v>
          </cell>
          <cell r="C276" t="str">
            <v>Disulfoton</v>
          </cell>
          <cell r="D276" t="str">
            <v/>
          </cell>
          <cell r="E276">
            <v>0.05</v>
          </cell>
          <cell r="F276" t="str">
            <v/>
          </cell>
          <cell r="G276" t="str">
            <v/>
          </cell>
          <cell r="H276" t="str">
            <v/>
          </cell>
          <cell r="I276" t="str">
            <v/>
          </cell>
          <cell r="J276" t="str">
            <v/>
          </cell>
          <cell r="K276" t="str">
            <v>Skin</v>
          </cell>
        </row>
        <row r="277">
          <cell r="B277" t="str">
            <v>299-84-3</v>
          </cell>
          <cell r="C277" t="str">
            <v>Ronnel</v>
          </cell>
          <cell r="D277" t="str">
            <v/>
          </cell>
          <cell r="E277">
            <v>10</v>
          </cell>
          <cell r="F277" t="str">
            <v/>
          </cell>
          <cell r="G277" t="str">
            <v/>
          </cell>
          <cell r="H277" t="str">
            <v/>
          </cell>
          <cell r="I277" t="str">
            <v/>
          </cell>
          <cell r="J277" t="str">
            <v/>
          </cell>
          <cell r="K277" t="str">
            <v/>
          </cell>
        </row>
        <row r="278">
          <cell r="B278" t="str">
            <v>299-86-5</v>
          </cell>
          <cell r="C278" t="str">
            <v>Crufomate</v>
          </cell>
          <cell r="D278" t="str">
            <v/>
          </cell>
          <cell r="E278">
            <v>5</v>
          </cell>
          <cell r="F278" t="str">
            <v/>
          </cell>
          <cell r="G278" t="str">
            <v/>
          </cell>
          <cell r="H278">
            <v>20</v>
          </cell>
          <cell r="I278" t="str">
            <v/>
          </cell>
          <cell r="J278" t="str">
            <v/>
          </cell>
          <cell r="K278" t="str">
            <v/>
          </cell>
        </row>
        <row r="279">
          <cell r="B279" t="str">
            <v>300-76-5</v>
          </cell>
          <cell r="C279" t="str">
            <v>Dimethyl-1,2-dibromo-2, 2-dichloroethy1 phosphate</v>
          </cell>
          <cell r="D279" t="str">
            <v/>
          </cell>
          <cell r="E279">
            <v>3</v>
          </cell>
          <cell r="F279" t="str">
            <v/>
          </cell>
          <cell r="G279" t="str">
            <v/>
          </cell>
          <cell r="H279" t="str">
            <v/>
          </cell>
          <cell r="I279" t="str">
            <v/>
          </cell>
          <cell r="J279" t="str">
            <v/>
          </cell>
          <cell r="K279" t="str">
            <v>Skin</v>
          </cell>
        </row>
        <row r="280">
          <cell r="B280" t="str">
            <v>302-01-2</v>
          </cell>
          <cell r="C280" t="str">
            <v>Hydrazine</v>
          </cell>
          <cell r="D280">
            <v>0.05</v>
          </cell>
          <cell r="E280">
            <v>0.06</v>
          </cell>
          <cell r="F280" t="str">
            <v/>
          </cell>
          <cell r="G280" t="str">
            <v/>
          </cell>
          <cell r="H280" t="str">
            <v/>
          </cell>
          <cell r="I280" t="str">
            <v/>
          </cell>
          <cell r="J280" t="str">
            <v/>
          </cell>
          <cell r="K280" t="str">
            <v>Skin</v>
          </cell>
        </row>
        <row r="281">
          <cell r="B281" t="str">
            <v>309-00-2</v>
          </cell>
          <cell r="C281" t="str">
            <v>Aldrin</v>
          </cell>
          <cell r="D281" t="str">
            <v/>
          </cell>
          <cell r="E281">
            <v>0.25</v>
          </cell>
          <cell r="F281" t="str">
            <v/>
          </cell>
          <cell r="G281" t="str">
            <v/>
          </cell>
          <cell r="H281" t="str">
            <v/>
          </cell>
          <cell r="I281" t="str">
            <v/>
          </cell>
          <cell r="J281" t="str">
            <v/>
          </cell>
          <cell r="K281" t="str">
            <v>Skin</v>
          </cell>
        </row>
        <row r="282">
          <cell r="B282" t="str">
            <v>314-40-9</v>
          </cell>
          <cell r="C282" t="str">
            <v>Bromacil</v>
          </cell>
          <cell r="D282">
            <v>1</v>
          </cell>
          <cell r="E282">
            <v>10</v>
          </cell>
          <cell r="F282" t="str">
            <v/>
          </cell>
          <cell r="G282" t="str">
            <v/>
          </cell>
          <cell r="H282" t="str">
            <v/>
          </cell>
          <cell r="I282" t="str">
            <v/>
          </cell>
          <cell r="J282" t="str">
            <v/>
          </cell>
          <cell r="K282" t="str">
            <v/>
          </cell>
        </row>
        <row r="283">
          <cell r="B283" t="str">
            <v>330-54-1</v>
          </cell>
          <cell r="C283" t="str">
            <v>Diuron</v>
          </cell>
          <cell r="D283" t="str">
            <v/>
          </cell>
          <cell r="E283">
            <v>10</v>
          </cell>
          <cell r="F283" t="str">
            <v/>
          </cell>
          <cell r="G283" t="str">
            <v/>
          </cell>
          <cell r="H283" t="str">
            <v/>
          </cell>
          <cell r="I283" t="str">
            <v/>
          </cell>
          <cell r="J283" t="str">
            <v/>
          </cell>
          <cell r="K283" t="str">
            <v/>
          </cell>
        </row>
        <row r="284">
          <cell r="B284" t="str">
            <v>3333-52-6</v>
          </cell>
          <cell r="C284" t="str">
            <v>Tetramethyl succinonitrile</v>
          </cell>
          <cell r="D284">
            <v>0.5</v>
          </cell>
          <cell r="E284">
            <v>3</v>
          </cell>
          <cell r="F284" t="str">
            <v/>
          </cell>
          <cell r="G284" t="str">
            <v/>
          </cell>
          <cell r="H284" t="str">
            <v/>
          </cell>
          <cell r="I284" t="str">
            <v/>
          </cell>
          <cell r="J284" t="str">
            <v/>
          </cell>
          <cell r="K284" t="str">
            <v>Skin</v>
          </cell>
        </row>
        <row r="285">
          <cell r="B285" t="str">
            <v>333-41-5</v>
          </cell>
          <cell r="C285" t="str">
            <v>Diazinon(Inhalable fraction and vapor)</v>
          </cell>
          <cell r="D285" t="str">
            <v/>
          </cell>
          <cell r="E285">
            <v>0.01</v>
          </cell>
          <cell r="F285" t="str">
            <v/>
          </cell>
          <cell r="G285" t="str">
            <v/>
          </cell>
          <cell r="H285" t="str">
            <v/>
          </cell>
          <cell r="I285" t="str">
            <v/>
          </cell>
          <cell r="J285" t="str">
            <v/>
          </cell>
          <cell r="K285" t="str">
            <v>Skin</v>
          </cell>
        </row>
        <row r="286">
          <cell r="B286" t="str">
            <v>334-88-3</v>
          </cell>
          <cell r="C286" t="str">
            <v>Diazomethane</v>
          </cell>
          <cell r="D286">
            <v>0.2</v>
          </cell>
          <cell r="E286">
            <v>0.4</v>
          </cell>
          <cell r="F286" t="str">
            <v/>
          </cell>
          <cell r="G286" t="str">
            <v/>
          </cell>
          <cell r="H286" t="str">
            <v/>
          </cell>
          <cell r="I286" t="str">
            <v/>
          </cell>
          <cell r="J286" t="str">
            <v/>
          </cell>
          <cell r="K286" t="str">
            <v/>
          </cell>
        </row>
        <row r="287">
          <cell r="B287" t="str">
            <v>3383-96-8</v>
          </cell>
          <cell r="C287" t="str">
            <v>Temephos</v>
          </cell>
          <cell r="D287" t="str">
            <v/>
          </cell>
          <cell r="E287">
            <v>10</v>
          </cell>
          <cell r="F287" t="str">
            <v/>
          </cell>
          <cell r="G287" t="str">
            <v/>
          </cell>
          <cell r="H287" t="str">
            <v/>
          </cell>
          <cell r="I287" t="str">
            <v/>
          </cell>
          <cell r="J287" t="str">
            <v/>
          </cell>
          <cell r="K287" t="str">
            <v>Skin</v>
          </cell>
        </row>
        <row r="288">
          <cell r="B288" t="str">
            <v>34590-94-8</v>
          </cell>
          <cell r="C288" t="str">
            <v>Dipropylene glycol methyl ether</v>
          </cell>
          <cell r="D288">
            <v>100</v>
          </cell>
          <cell r="E288">
            <v>600</v>
          </cell>
          <cell r="F288" t="str">
            <v/>
          </cell>
          <cell r="G288">
            <v>150</v>
          </cell>
          <cell r="H288">
            <v>900</v>
          </cell>
          <cell r="I288" t="str">
            <v/>
          </cell>
          <cell r="J288" t="str">
            <v/>
          </cell>
          <cell r="K288" t="str">
            <v>Skin</v>
          </cell>
        </row>
        <row r="289">
          <cell r="B289" t="str">
            <v>353-50-4</v>
          </cell>
          <cell r="C289" t="str">
            <v>Carbonyl fluoride</v>
          </cell>
          <cell r="D289">
            <v>2</v>
          </cell>
          <cell r="E289">
            <v>5</v>
          </cell>
          <cell r="F289" t="str">
            <v/>
          </cell>
          <cell r="G289">
            <v>5</v>
          </cell>
          <cell r="H289">
            <v>15</v>
          </cell>
          <cell r="I289" t="str">
            <v/>
          </cell>
          <cell r="J289" t="str">
            <v/>
          </cell>
          <cell r="K289" t="str">
            <v/>
          </cell>
        </row>
        <row r="290">
          <cell r="B290" t="str">
            <v>35400-43-2</v>
          </cell>
          <cell r="C290" t="str">
            <v>Sulprofos</v>
          </cell>
          <cell r="D290" t="str">
            <v/>
          </cell>
          <cell r="E290">
            <v>1</v>
          </cell>
          <cell r="F290" t="str">
            <v/>
          </cell>
          <cell r="G290" t="str">
            <v/>
          </cell>
          <cell r="H290" t="str">
            <v/>
          </cell>
          <cell r="I290" t="str">
            <v/>
          </cell>
          <cell r="J290" t="str">
            <v/>
          </cell>
          <cell r="K290" t="str">
            <v>Skin</v>
          </cell>
        </row>
        <row r="291">
          <cell r="B291" t="str">
            <v>3689-24-5</v>
          </cell>
          <cell r="C291" t="str">
            <v>TEDP</v>
          </cell>
          <cell r="D291" t="str">
            <v/>
          </cell>
          <cell r="E291">
            <v>0.2</v>
          </cell>
          <cell r="F291" t="str">
            <v/>
          </cell>
          <cell r="G291" t="str">
            <v/>
          </cell>
          <cell r="H291" t="str">
            <v/>
          </cell>
          <cell r="I291" t="str">
            <v/>
          </cell>
          <cell r="J291" t="str">
            <v/>
          </cell>
          <cell r="K291" t="str">
            <v>Skin</v>
          </cell>
        </row>
        <row r="292">
          <cell r="B292" t="str">
            <v>4016-14-2</v>
          </cell>
          <cell r="C292" t="str">
            <v>Isopropyl glycidyl ether(IGE)</v>
          </cell>
          <cell r="D292">
            <v>50</v>
          </cell>
          <cell r="E292">
            <v>240</v>
          </cell>
          <cell r="F292" t="str">
            <v/>
          </cell>
          <cell r="G292">
            <v>75</v>
          </cell>
          <cell r="H292">
            <v>360</v>
          </cell>
          <cell r="I292" t="str">
            <v/>
          </cell>
          <cell r="J292" t="str">
            <v/>
          </cell>
          <cell r="K292" t="str">
            <v/>
          </cell>
        </row>
        <row r="293">
          <cell r="B293" t="str">
            <v>409-21-2</v>
          </cell>
          <cell r="C293" t="str">
            <v>Silicon carbide</v>
          </cell>
          <cell r="D293" t="str">
            <v/>
          </cell>
          <cell r="E293">
            <v>10</v>
          </cell>
          <cell r="F293" t="str">
            <v/>
          </cell>
          <cell r="G293" t="str">
            <v/>
          </cell>
          <cell r="H293" t="str">
            <v/>
          </cell>
          <cell r="I293" t="str">
            <v/>
          </cell>
          <cell r="J293" t="str">
            <v/>
          </cell>
          <cell r="K293" t="str">
            <v/>
          </cell>
        </row>
        <row r="294">
          <cell r="B294" t="str">
            <v>4098-71-9</v>
          </cell>
          <cell r="C294" t="str">
            <v>Isophorone diisocyanate</v>
          </cell>
          <cell r="D294">
            <v>5.0000000000000001E-3</v>
          </cell>
          <cell r="E294">
            <v>4.4999999999999998E-2</v>
          </cell>
          <cell r="F294" t="str">
            <v/>
          </cell>
          <cell r="G294" t="str">
            <v/>
          </cell>
          <cell r="H294" t="str">
            <v/>
          </cell>
          <cell r="I294" t="str">
            <v/>
          </cell>
          <cell r="J294" t="str">
            <v/>
          </cell>
          <cell r="K294" t="str">
            <v>Skin</v>
          </cell>
        </row>
        <row r="295">
          <cell r="B295" t="str">
            <v>4170-30-3</v>
          </cell>
          <cell r="C295" t="str">
            <v>Crotonaldehyde</v>
          </cell>
          <cell r="D295">
            <v>2</v>
          </cell>
          <cell r="E295">
            <v>6</v>
          </cell>
          <cell r="F295" t="str">
            <v/>
          </cell>
          <cell r="G295" t="str">
            <v/>
          </cell>
          <cell r="H295" t="str">
            <v/>
          </cell>
          <cell r="I295" t="str">
            <v/>
          </cell>
          <cell r="J295" t="str">
            <v/>
          </cell>
          <cell r="K295" t="str">
            <v>Skin</v>
          </cell>
        </row>
        <row r="296">
          <cell r="B296" t="str">
            <v>420-04-2</v>
          </cell>
          <cell r="C296" t="str">
            <v>Cyanamide</v>
          </cell>
          <cell r="D296" t="str">
            <v/>
          </cell>
          <cell r="E296">
            <v>2</v>
          </cell>
          <cell r="F296" t="str">
            <v/>
          </cell>
          <cell r="G296" t="str">
            <v/>
          </cell>
          <cell r="H296" t="str">
            <v/>
          </cell>
          <cell r="I296" t="str">
            <v/>
          </cell>
          <cell r="J296" t="str">
            <v/>
          </cell>
          <cell r="K296" t="str">
            <v/>
          </cell>
        </row>
        <row r="297">
          <cell r="B297" t="str">
            <v>460-19-5</v>
          </cell>
          <cell r="C297" t="str">
            <v>Cyanogen</v>
          </cell>
          <cell r="D297">
            <v>10</v>
          </cell>
          <cell r="E297">
            <v>20</v>
          </cell>
          <cell r="F297" t="str">
            <v/>
          </cell>
          <cell r="G297" t="str">
            <v/>
          </cell>
          <cell r="H297" t="str">
            <v/>
          </cell>
          <cell r="I297" t="str">
            <v/>
          </cell>
          <cell r="J297" t="str">
            <v/>
          </cell>
          <cell r="K297" t="str">
            <v/>
          </cell>
        </row>
        <row r="298">
          <cell r="B298" t="str">
            <v>463-51-4</v>
          </cell>
          <cell r="C298" t="str">
            <v>Ketene</v>
          </cell>
          <cell r="D298">
            <v>0.5</v>
          </cell>
          <cell r="E298">
            <v>0.9</v>
          </cell>
          <cell r="F298" t="str">
            <v/>
          </cell>
          <cell r="G298">
            <v>1.5</v>
          </cell>
          <cell r="H298">
            <v>3</v>
          </cell>
          <cell r="I298" t="str">
            <v/>
          </cell>
          <cell r="J298" t="str">
            <v/>
          </cell>
          <cell r="K298" t="str">
            <v/>
          </cell>
        </row>
        <row r="299">
          <cell r="B299" t="str">
            <v>4685-14-7</v>
          </cell>
          <cell r="C299" t="str">
            <v>Paraquat(Respirable fraction)</v>
          </cell>
          <cell r="D299" t="str">
            <v/>
          </cell>
          <cell r="E299">
            <v>0.1</v>
          </cell>
          <cell r="F299" t="str">
            <v/>
          </cell>
          <cell r="G299" t="str">
            <v/>
          </cell>
          <cell r="H299" t="str">
            <v/>
          </cell>
          <cell r="I299" t="str">
            <v/>
          </cell>
          <cell r="J299" t="str">
            <v/>
          </cell>
          <cell r="K299" t="str">
            <v/>
          </cell>
        </row>
        <row r="300">
          <cell r="B300" t="str">
            <v>479-45-8</v>
          </cell>
          <cell r="C300" t="str">
            <v>Tetryl</v>
          </cell>
          <cell r="D300" t="str">
            <v/>
          </cell>
          <cell r="E300">
            <v>1.5</v>
          </cell>
          <cell r="F300" t="str">
            <v/>
          </cell>
          <cell r="G300" t="str">
            <v/>
          </cell>
          <cell r="H300" t="str">
            <v/>
          </cell>
          <cell r="I300" t="str">
            <v/>
          </cell>
          <cell r="J300" t="str">
            <v/>
          </cell>
          <cell r="K300" t="str">
            <v/>
          </cell>
        </row>
        <row r="301">
          <cell r="B301" t="str">
            <v>50-00-0</v>
          </cell>
          <cell r="C301" t="str">
            <v>Formaldehyde</v>
          </cell>
          <cell r="D301">
            <v>0.5</v>
          </cell>
          <cell r="E301">
            <v>0.75</v>
          </cell>
          <cell r="F301" t="str">
            <v/>
          </cell>
          <cell r="G301">
            <v>1</v>
          </cell>
          <cell r="H301">
            <v>1.5</v>
          </cell>
          <cell r="I301" t="str">
            <v/>
          </cell>
          <cell r="J301" t="str">
            <v/>
          </cell>
          <cell r="K301" t="str">
            <v/>
          </cell>
        </row>
        <row r="302">
          <cell r="B302" t="str">
            <v>50-29-3</v>
          </cell>
          <cell r="C302" t="str">
            <v>Dichlorodiphenyltrichloroethane(D.D.T)</v>
          </cell>
          <cell r="D302" t="str">
            <v/>
          </cell>
          <cell r="E302">
            <v>1</v>
          </cell>
          <cell r="F302" t="str">
            <v/>
          </cell>
          <cell r="G302" t="str">
            <v/>
          </cell>
          <cell r="H302" t="str">
            <v/>
          </cell>
          <cell r="I302" t="str">
            <v/>
          </cell>
          <cell r="J302" t="str">
            <v/>
          </cell>
          <cell r="K302" t="str">
            <v/>
          </cell>
        </row>
        <row r="303">
          <cell r="B303" t="str">
            <v>50-32-8</v>
          </cell>
          <cell r="C303" t="str">
            <v>Benzo(a) pyrene</v>
          </cell>
          <cell r="D303" t="str">
            <v/>
          </cell>
          <cell r="E303" t="str">
            <v/>
          </cell>
          <cell r="F303" t="str">
            <v/>
          </cell>
          <cell r="G303" t="str">
            <v/>
          </cell>
          <cell r="H303" t="str">
            <v/>
          </cell>
          <cell r="I303" t="str">
            <v/>
          </cell>
          <cell r="J303" t="str">
            <v/>
          </cell>
          <cell r="K303" t="str">
            <v/>
          </cell>
        </row>
        <row r="304">
          <cell r="B304" t="str">
            <v>504-29-0</v>
          </cell>
          <cell r="C304" t="str">
            <v>2-Aminopyridine</v>
          </cell>
          <cell r="D304">
            <v>0.5</v>
          </cell>
          <cell r="E304">
            <v>2</v>
          </cell>
          <cell r="F304" t="str">
            <v/>
          </cell>
          <cell r="G304" t="str">
            <v/>
          </cell>
          <cell r="H304" t="str">
            <v/>
          </cell>
          <cell r="I304" t="str">
            <v/>
          </cell>
          <cell r="J304" t="str">
            <v/>
          </cell>
          <cell r="K304" t="str">
            <v/>
          </cell>
        </row>
        <row r="305">
          <cell r="B305" t="str">
            <v>506-77-4</v>
          </cell>
          <cell r="C305" t="str">
            <v>Cyanogen chloride</v>
          </cell>
          <cell r="D305" t="str">
            <v/>
          </cell>
          <cell r="E305" t="str">
            <v/>
          </cell>
          <cell r="F305" t="str">
            <v/>
          </cell>
          <cell r="G305" t="str">
            <v/>
          </cell>
          <cell r="H305" t="str">
            <v/>
          </cell>
          <cell r="I305">
            <v>0.3</v>
          </cell>
          <cell r="J305">
            <v>0.6</v>
          </cell>
          <cell r="K305" t="str">
            <v/>
          </cell>
        </row>
        <row r="306">
          <cell r="B306" t="str">
            <v>50-78-2</v>
          </cell>
          <cell r="C306" t="str">
            <v>Acetylsalicylic acid(Aspirin)</v>
          </cell>
          <cell r="D306" t="str">
            <v/>
          </cell>
          <cell r="E306">
            <v>5</v>
          </cell>
          <cell r="F306" t="str">
            <v/>
          </cell>
          <cell r="G306" t="str">
            <v/>
          </cell>
          <cell r="H306" t="str">
            <v/>
          </cell>
          <cell r="I306" t="str">
            <v/>
          </cell>
          <cell r="J306" t="str">
            <v/>
          </cell>
          <cell r="K306" t="str">
            <v/>
          </cell>
        </row>
        <row r="307">
          <cell r="B307" t="str">
            <v>509-14-8</v>
          </cell>
          <cell r="C307" t="str">
            <v>Tetranitromethane</v>
          </cell>
          <cell r="D307">
            <v>1</v>
          </cell>
          <cell r="E307">
            <v>8</v>
          </cell>
          <cell r="F307" t="str">
            <v/>
          </cell>
          <cell r="G307" t="str">
            <v/>
          </cell>
          <cell r="H307" t="str">
            <v/>
          </cell>
          <cell r="I307" t="str">
            <v/>
          </cell>
          <cell r="J307" t="str">
            <v/>
          </cell>
          <cell r="K307" t="str">
            <v/>
          </cell>
        </row>
        <row r="308">
          <cell r="B308" t="str">
            <v>528-29-0</v>
          </cell>
          <cell r="C308" t="str">
            <v>Dinitrobenzene(all isomers)</v>
          </cell>
          <cell r="D308">
            <v>0.15</v>
          </cell>
          <cell r="E308">
            <v>1</v>
          </cell>
          <cell r="F308" t="str">
            <v/>
          </cell>
          <cell r="G308" t="str">
            <v/>
          </cell>
          <cell r="H308" t="str">
            <v/>
          </cell>
          <cell r="I308" t="str">
            <v/>
          </cell>
          <cell r="J308" t="str">
            <v/>
          </cell>
          <cell r="K308" t="str">
            <v>Skin</v>
          </cell>
        </row>
        <row r="309">
          <cell r="B309" t="str">
            <v>532-27-4</v>
          </cell>
          <cell r="C309" t="str">
            <v>Phenacyl chloride</v>
          </cell>
          <cell r="D309">
            <v>0.05</v>
          </cell>
          <cell r="E309">
            <v>0.3</v>
          </cell>
          <cell r="F309" t="str">
            <v/>
          </cell>
          <cell r="G309" t="str">
            <v/>
          </cell>
          <cell r="H309" t="str">
            <v/>
          </cell>
          <cell r="I309" t="str">
            <v/>
          </cell>
          <cell r="J309" t="str">
            <v/>
          </cell>
          <cell r="K309" t="str">
            <v/>
          </cell>
        </row>
        <row r="310">
          <cell r="B310" t="str">
            <v>534-52-1</v>
          </cell>
          <cell r="C310" t="str">
            <v>Dinitro-o-cresol</v>
          </cell>
          <cell r="D310" t="str">
            <v/>
          </cell>
          <cell r="E310">
            <v>0.2</v>
          </cell>
          <cell r="F310" t="str">
            <v/>
          </cell>
          <cell r="G310" t="str">
            <v/>
          </cell>
          <cell r="H310" t="str">
            <v/>
          </cell>
          <cell r="I310" t="str">
            <v/>
          </cell>
          <cell r="J310" t="str">
            <v/>
          </cell>
          <cell r="K310" t="str">
            <v>Skin</v>
          </cell>
        </row>
        <row r="311">
          <cell r="B311" t="str">
            <v>53469-21-9</v>
          </cell>
          <cell r="C311" t="str">
            <v>Chlorodiphenyl(42% Chlorine)</v>
          </cell>
          <cell r="D311" t="str">
            <v/>
          </cell>
          <cell r="E311">
            <v>1</v>
          </cell>
          <cell r="F311" t="str">
            <v/>
          </cell>
          <cell r="G311" t="str">
            <v/>
          </cell>
          <cell r="H311">
            <v>2</v>
          </cell>
          <cell r="I311" t="str">
            <v/>
          </cell>
          <cell r="J311" t="str">
            <v/>
          </cell>
          <cell r="K311" t="str">
            <v>Skin</v>
          </cell>
        </row>
        <row r="312">
          <cell r="B312" t="str">
            <v>540-59-0</v>
          </cell>
          <cell r="C312" t="str">
            <v>1,2-Dichloroethylene</v>
          </cell>
          <cell r="D312">
            <v>200</v>
          </cell>
          <cell r="E312">
            <v>790</v>
          </cell>
          <cell r="F312" t="str">
            <v/>
          </cell>
          <cell r="G312" t="str">
            <v/>
          </cell>
          <cell r="H312" t="str">
            <v/>
          </cell>
          <cell r="I312" t="str">
            <v/>
          </cell>
          <cell r="J312" t="str">
            <v/>
          </cell>
          <cell r="K312" t="str">
            <v/>
          </cell>
        </row>
        <row r="313">
          <cell r="B313" t="str">
            <v>540-88-5</v>
          </cell>
          <cell r="C313" t="str">
            <v>tert-Butyl acetate</v>
          </cell>
          <cell r="D313">
            <v>200</v>
          </cell>
          <cell r="E313">
            <v>950</v>
          </cell>
          <cell r="F313" t="str">
            <v/>
          </cell>
          <cell r="G313" t="str">
            <v/>
          </cell>
          <cell r="H313" t="str">
            <v/>
          </cell>
          <cell r="I313" t="str">
            <v/>
          </cell>
          <cell r="J313" t="str">
            <v/>
          </cell>
          <cell r="K313" t="str">
            <v/>
          </cell>
        </row>
        <row r="314">
          <cell r="B314" t="str">
            <v>54-11-5</v>
          </cell>
          <cell r="C314" t="str">
            <v>Nicotine</v>
          </cell>
          <cell r="D314" t="str">
            <v/>
          </cell>
          <cell r="E314">
            <v>0.5</v>
          </cell>
          <cell r="F314" t="str">
            <v/>
          </cell>
          <cell r="G314" t="str">
            <v/>
          </cell>
          <cell r="H314" t="str">
            <v/>
          </cell>
          <cell r="I314" t="str">
            <v/>
          </cell>
          <cell r="J314" t="str">
            <v/>
          </cell>
          <cell r="K314" t="str">
            <v>Skin</v>
          </cell>
        </row>
        <row r="315">
          <cell r="B315" t="str">
            <v>541-85-5</v>
          </cell>
          <cell r="C315" t="str">
            <v>5-Methyl-3-heptanone</v>
          </cell>
          <cell r="D315">
            <v>25</v>
          </cell>
          <cell r="E315">
            <v>130</v>
          </cell>
          <cell r="F315" t="str">
            <v/>
          </cell>
          <cell r="G315" t="str">
            <v/>
          </cell>
          <cell r="H315" t="str">
            <v/>
          </cell>
          <cell r="I315" t="str">
            <v/>
          </cell>
          <cell r="J315" t="str">
            <v/>
          </cell>
          <cell r="K315" t="str">
            <v/>
          </cell>
        </row>
        <row r="316">
          <cell r="B316" t="str">
            <v>542-75-6</v>
          </cell>
          <cell r="C316" t="str">
            <v>Dichloropropene</v>
          </cell>
          <cell r="D316">
            <v>1</v>
          </cell>
          <cell r="E316">
            <v>5</v>
          </cell>
          <cell r="F316" t="str">
            <v/>
          </cell>
          <cell r="G316" t="str">
            <v/>
          </cell>
          <cell r="H316" t="str">
            <v/>
          </cell>
          <cell r="I316" t="str">
            <v/>
          </cell>
          <cell r="J316" t="str">
            <v/>
          </cell>
          <cell r="K316" t="str">
            <v>Skin</v>
          </cell>
        </row>
        <row r="317">
          <cell r="B317" t="str">
            <v>542-88-1</v>
          </cell>
          <cell r="C317" t="str">
            <v>bis-(Chloromethyl)ether</v>
          </cell>
          <cell r="D317">
            <v>1E-3</v>
          </cell>
          <cell r="E317">
            <v>5.0000000000000001E-3</v>
          </cell>
          <cell r="F317" t="str">
            <v/>
          </cell>
          <cell r="G317" t="str">
            <v/>
          </cell>
          <cell r="H317" t="str">
            <v/>
          </cell>
          <cell r="I317" t="str">
            <v/>
          </cell>
          <cell r="J317" t="str">
            <v/>
          </cell>
          <cell r="K317" t="str">
            <v/>
          </cell>
        </row>
        <row r="318">
          <cell r="B318" t="str">
            <v>542-92-7</v>
          </cell>
          <cell r="C318" t="str">
            <v>Cyclopentadiene</v>
          </cell>
          <cell r="D318">
            <v>75</v>
          </cell>
          <cell r="E318">
            <v>200</v>
          </cell>
          <cell r="F318" t="str">
            <v/>
          </cell>
          <cell r="G318" t="str">
            <v/>
          </cell>
          <cell r="H318" t="str">
            <v/>
          </cell>
          <cell r="I318" t="str">
            <v/>
          </cell>
          <cell r="J318" t="str">
            <v/>
          </cell>
          <cell r="K318" t="str">
            <v/>
          </cell>
        </row>
        <row r="319">
          <cell r="B319" t="str">
            <v>546-93-0</v>
          </cell>
          <cell r="C319" t="str">
            <v>Magnesite</v>
          </cell>
          <cell r="D319" t="str">
            <v/>
          </cell>
          <cell r="E319">
            <v>10</v>
          </cell>
          <cell r="F319" t="str">
            <v/>
          </cell>
          <cell r="G319" t="str">
            <v/>
          </cell>
          <cell r="H319" t="str">
            <v/>
          </cell>
          <cell r="I319" t="str">
            <v/>
          </cell>
          <cell r="J319" t="str">
            <v/>
          </cell>
          <cell r="K319" t="str">
            <v/>
          </cell>
        </row>
        <row r="320">
          <cell r="B320" t="str">
            <v>552-30-7</v>
          </cell>
          <cell r="C320" t="str">
            <v>Trimellitic anhydride</v>
          </cell>
          <cell r="D320" t="str">
            <v/>
          </cell>
          <cell r="E320">
            <v>5.0000000000000001E-4</v>
          </cell>
          <cell r="F320" t="str">
            <v/>
          </cell>
          <cell r="G320" t="str">
            <v/>
          </cell>
          <cell r="H320">
            <v>2E-3</v>
          </cell>
          <cell r="I320" t="str">
            <v/>
          </cell>
          <cell r="J320" t="str">
            <v/>
          </cell>
          <cell r="K320" t="str">
            <v>Skin</v>
          </cell>
        </row>
        <row r="321">
          <cell r="B321" t="str">
            <v>55-38-9</v>
          </cell>
          <cell r="C321" t="str">
            <v>Fenthion</v>
          </cell>
          <cell r="D321" t="str">
            <v/>
          </cell>
          <cell r="E321">
            <v>0.2</v>
          </cell>
          <cell r="F321" t="str">
            <v/>
          </cell>
          <cell r="G321" t="str">
            <v/>
          </cell>
          <cell r="H321" t="str">
            <v/>
          </cell>
          <cell r="I321" t="str">
            <v/>
          </cell>
          <cell r="J321" t="str">
            <v/>
          </cell>
          <cell r="K321" t="str">
            <v>Skin</v>
          </cell>
        </row>
        <row r="322">
          <cell r="B322" t="str">
            <v>55-63-0</v>
          </cell>
          <cell r="C322" t="str">
            <v>Nitroglycerin(NG)</v>
          </cell>
          <cell r="D322">
            <v>0.05</v>
          </cell>
          <cell r="E322">
            <v>0.5</v>
          </cell>
          <cell r="F322" t="str">
            <v/>
          </cell>
          <cell r="G322" t="str">
            <v/>
          </cell>
          <cell r="H322" t="str">
            <v/>
          </cell>
          <cell r="I322" t="str">
            <v/>
          </cell>
          <cell r="J322" t="str">
            <v/>
          </cell>
          <cell r="K322" t="str">
            <v>Skin</v>
          </cell>
        </row>
        <row r="323">
          <cell r="B323" t="str">
            <v>556-52-5</v>
          </cell>
          <cell r="C323" t="str">
            <v>2,3-Epoxy-1-propanol</v>
          </cell>
          <cell r="D323">
            <v>2</v>
          </cell>
          <cell r="E323">
            <v>6.1</v>
          </cell>
          <cell r="F323" t="str">
            <v/>
          </cell>
          <cell r="G323" t="str">
            <v/>
          </cell>
          <cell r="H323" t="str">
            <v/>
          </cell>
          <cell r="I323" t="str">
            <v/>
          </cell>
          <cell r="J323" t="str">
            <v/>
          </cell>
          <cell r="K323" t="str">
            <v/>
          </cell>
        </row>
        <row r="324">
          <cell r="B324" t="str">
            <v>557-05-1</v>
          </cell>
          <cell r="C324" t="str">
            <v>Zinc stearate</v>
          </cell>
          <cell r="D324" t="str">
            <v/>
          </cell>
          <cell r="E324">
            <v>10</v>
          </cell>
          <cell r="F324" t="str">
            <v/>
          </cell>
          <cell r="G324" t="str">
            <v/>
          </cell>
          <cell r="H324" t="str">
            <v/>
          </cell>
          <cell r="I324" t="str">
            <v/>
          </cell>
          <cell r="J324" t="str">
            <v/>
          </cell>
          <cell r="K324" t="str">
            <v/>
          </cell>
        </row>
        <row r="325">
          <cell r="B325" t="str">
            <v>55720-99-5</v>
          </cell>
          <cell r="C325" t="str">
            <v>Chlorinated diphenyloxide</v>
          </cell>
          <cell r="D325" t="str">
            <v/>
          </cell>
          <cell r="E325">
            <v>0.5</v>
          </cell>
          <cell r="F325" t="str">
            <v/>
          </cell>
          <cell r="G325" t="str">
            <v/>
          </cell>
          <cell r="H325">
            <v>2</v>
          </cell>
          <cell r="I325" t="str">
            <v/>
          </cell>
          <cell r="J325" t="str">
            <v/>
          </cell>
          <cell r="K325" t="str">
            <v/>
          </cell>
        </row>
        <row r="326">
          <cell r="B326" t="str">
            <v>558-13-4</v>
          </cell>
          <cell r="C326" t="str">
            <v>Carbon tetrabromide</v>
          </cell>
          <cell r="D326">
            <v>0.1</v>
          </cell>
          <cell r="E326">
            <v>1.4</v>
          </cell>
          <cell r="F326" t="str">
            <v/>
          </cell>
          <cell r="G326">
            <v>0.3</v>
          </cell>
          <cell r="H326">
            <v>4</v>
          </cell>
          <cell r="I326" t="str">
            <v/>
          </cell>
          <cell r="J326" t="str">
            <v/>
          </cell>
          <cell r="K326" t="str">
            <v/>
          </cell>
        </row>
        <row r="327">
          <cell r="B327" t="str">
            <v>56-23-5</v>
          </cell>
          <cell r="C327" t="str">
            <v>Tetrachloromethane</v>
          </cell>
          <cell r="D327">
            <v>5</v>
          </cell>
          <cell r="E327">
            <v>30</v>
          </cell>
          <cell r="F327" t="str">
            <v/>
          </cell>
          <cell r="G327" t="str">
            <v/>
          </cell>
          <cell r="H327" t="str">
            <v/>
          </cell>
          <cell r="I327" t="str">
            <v/>
          </cell>
          <cell r="J327" t="str">
            <v/>
          </cell>
          <cell r="K327" t="str">
            <v>Skin</v>
          </cell>
        </row>
        <row r="328">
          <cell r="B328" t="str">
            <v>563-12-2</v>
          </cell>
          <cell r="C328" t="str">
            <v>Ethion</v>
          </cell>
          <cell r="D328" t="str">
            <v/>
          </cell>
          <cell r="E328">
            <v>0.4</v>
          </cell>
          <cell r="F328" t="str">
            <v/>
          </cell>
          <cell r="G328" t="str">
            <v/>
          </cell>
          <cell r="H328" t="str">
            <v/>
          </cell>
          <cell r="I328" t="str">
            <v/>
          </cell>
          <cell r="J328" t="str">
            <v/>
          </cell>
          <cell r="K328" t="str">
            <v>Skin</v>
          </cell>
        </row>
        <row r="329">
          <cell r="B329" t="str">
            <v>563-80-4</v>
          </cell>
          <cell r="C329" t="str">
            <v>Methyl isopropyl ketone</v>
          </cell>
          <cell r="D329">
            <v>200</v>
          </cell>
          <cell r="E329">
            <v>705</v>
          </cell>
          <cell r="F329" t="str">
            <v/>
          </cell>
          <cell r="G329" t="str">
            <v/>
          </cell>
          <cell r="H329" t="str">
            <v/>
          </cell>
          <cell r="I329" t="str">
            <v/>
          </cell>
          <cell r="J329" t="str">
            <v/>
          </cell>
          <cell r="K329" t="str">
            <v/>
          </cell>
        </row>
        <row r="330">
          <cell r="B330" t="str">
            <v>56-38-2</v>
          </cell>
          <cell r="C330" t="str">
            <v>Parathion</v>
          </cell>
          <cell r="D330" t="str">
            <v/>
          </cell>
          <cell r="E330">
            <v>0.05</v>
          </cell>
          <cell r="F330" t="str">
            <v/>
          </cell>
          <cell r="G330" t="str">
            <v/>
          </cell>
          <cell r="H330" t="str">
            <v/>
          </cell>
          <cell r="I330" t="str">
            <v/>
          </cell>
          <cell r="J330" t="str">
            <v/>
          </cell>
          <cell r="K330" t="str">
            <v>Skin</v>
          </cell>
        </row>
        <row r="331">
          <cell r="B331" t="str">
            <v>56-81-5</v>
          </cell>
          <cell r="C331" t="str">
            <v>Glycerin mist</v>
          </cell>
          <cell r="D331" t="str">
            <v/>
          </cell>
          <cell r="E331">
            <v>10</v>
          </cell>
          <cell r="F331" t="str">
            <v/>
          </cell>
          <cell r="G331" t="str">
            <v/>
          </cell>
          <cell r="H331" t="str">
            <v/>
          </cell>
          <cell r="I331" t="str">
            <v/>
          </cell>
          <cell r="J331" t="str">
            <v/>
          </cell>
          <cell r="K331" t="str">
            <v/>
          </cell>
        </row>
        <row r="332">
          <cell r="B332" t="str">
            <v>5714-22-7</v>
          </cell>
          <cell r="C332" t="str">
            <v>Sulfur pentafluoride</v>
          </cell>
          <cell r="D332" t="str">
            <v/>
          </cell>
          <cell r="E332" t="str">
            <v/>
          </cell>
          <cell r="F332" t="str">
            <v/>
          </cell>
          <cell r="G332" t="str">
            <v/>
          </cell>
          <cell r="H332" t="str">
            <v/>
          </cell>
          <cell r="I332">
            <v>0.01</v>
          </cell>
          <cell r="J332">
            <v>0.1</v>
          </cell>
          <cell r="K332" t="str">
            <v/>
          </cell>
        </row>
        <row r="333">
          <cell r="B333" t="str">
            <v>57-14-7</v>
          </cell>
          <cell r="C333" t="str">
            <v>1,1-Dimethylhydrazine</v>
          </cell>
          <cell r="D333">
            <v>0.01</v>
          </cell>
          <cell r="E333">
            <v>2.5000000000000001E-2</v>
          </cell>
          <cell r="F333" t="str">
            <v/>
          </cell>
          <cell r="G333" t="str">
            <v/>
          </cell>
          <cell r="H333" t="str">
            <v/>
          </cell>
          <cell r="I333" t="str">
            <v/>
          </cell>
          <cell r="J333" t="str">
            <v/>
          </cell>
          <cell r="K333" t="str">
            <v>Skin</v>
          </cell>
        </row>
        <row r="334">
          <cell r="B334" t="str">
            <v>57-24-9</v>
          </cell>
          <cell r="C334" t="str">
            <v>Strychnine</v>
          </cell>
          <cell r="D334" t="str">
            <v/>
          </cell>
          <cell r="E334">
            <v>0.15</v>
          </cell>
          <cell r="F334" t="str">
            <v/>
          </cell>
          <cell r="G334" t="str">
            <v/>
          </cell>
          <cell r="H334" t="str">
            <v/>
          </cell>
          <cell r="I334" t="str">
            <v/>
          </cell>
          <cell r="J334" t="str">
            <v/>
          </cell>
          <cell r="K334" t="str">
            <v/>
          </cell>
        </row>
        <row r="335">
          <cell r="B335" t="str">
            <v>57-50-1</v>
          </cell>
          <cell r="C335" t="str">
            <v>Sucrose</v>
          </cell>
          <cell r="D335" t="str">
            <v/>
          </cell>
          <cell r="E335">
            <v>10</v>
          </cell>
          <cell r="F335" t="str">
            <v/>
          </cell>
          <cell r="G335" t="str">
            <v/>
          </cell>
          <cell r="H335" t="str">
            <v/>
          </cell>
          <cell r="I335" t="str">
            <v/>
          </cell>
          <cell r="J335" t="str">
            <v/>
          </cell>
          <cell r="K335" t="str">
            <v/>
          </cell>
        </row>
        <row r="336">
          <cell r="B336" t="str">
            <v>57-57-8</v>
          </cell>
          <cell r="C336" t="str">
            <v>β-Propiolactone</v>
          </cell>
          <cell r="D336">
            <v>0.5</v>
          </cell>
          <cell r="E336">
            <v>1.5</v>
          </cell>
          <cell r="F336" t="str">
            <v/>
          </cell>
          <cell r="G336" t="str">
            <v/>
          </cell>
          <cell r="H336" t="str">
            <v/>
          </cell>
          <cell r="I336" t="str">
            <v/>
          </cell>
          <cell r="J336" t="str">
            <v/>
          </cell>
          <cell r="K336" t="str">
            <v/>
          </cell>
        </row>
        <row r="337">
          <cell r="B337" t="str">
            <v>57-74-9</v>
          </cell>
          <cell r="C337" t="str">
            <v>Chlordane</v>
          </cell>
          <cell r="D337" t="str">
            <v/>
          </cell>
          <cell r="E337">
            <v>0.5</v>
          </cell>
          <cell r="F337" t="str">
            <v/>
          </cell>
          <cell r="G337" t="str">
            <v/>
          </cell>
          <cell r="H337">
            <v>2</v>
          </cell>
          <cell r="I337" t="str">
            <v/>
          </cell>
          <cell r="J337" t="str">
            <v/>
          </cell>
          <cell r="K337" t="str">
            <v>Skin</v>
          </cell>
        </row>
        <row r="338">
          <cell r="B338" t="str">
            <v>583-60-8</v>
          </cell>
          <cell r="C338" t="str">
            <v>o-Methylcyclohexanone</v>
          </cell>
          <cell r="D338">
            <v>50</v>
          </cell>
          <cell r="E338">
            <v>230</v>
          </cell>
          <cell r="F338" t="str">
            <v/>
          </cell>
          <cell r="G338">
            <v>75</v>
          </cell>
          <cell r="H338">
            <v>345</v>
          </cell>
          <cell r="I338" t="str">
            <v/>
          </cell>
          <cell r="J338" t="str">
            <v/>
          </cell>
          <cell r="K338" t="str">
            <v>Skin</v>
          </cell>
        </row>
        <row r="339">
          <cell r="B339" t="str">
            <v>584-84-9</v>
          </cell>
          <cell r="C339" t="str">
            <v>Toluene-2,4-diisocyanate(TDI)</v>
          </cell>
          <cell r="D339">
            <v>5.0000000000000001E-3</v>
          </cell>
          <cell r="E339">
            <v>0.04</v>
          </cell>
          <cell r="F339" t="str">
            <v/>
          </cell>
          <cell r="G339">
            <v>0.02</v>
          </cell>
          <cell r="H339">
            <v>0.15</v>
          </cell>
          <cell r="I339" t="str">
            <v/>
          </cell>
          <cell r="J339" t="str">
            <v/>
          </cell>
          <cell r="K339" t="str">
            <v/>
          </cell>
        </row>
        <row r="340">
          <cell r="B340" t="str">
            <v>58-89-9</v>
          </cell>
          <cell r="C340" t="str">
            <v>Lindane</v>
          </cell>
          <cell r="D340" t="str">
            <v/>
          </cell>
          <cell r="E340">
            <v>0.5</v>
          </cell>
          <cell r="F340" t="str">
            <v/>
          </cell>
          <cell r="G340" t="str">
            <v/>
          </cell>
          <cell r="H340" t="str">
            <v/>
          </cell>
          <cell r="I340" t="str">
            <v/>
          </cell>
          <cell r="J340" t="str">
            <v/>
          </cell>
          <cell r="K340" t="str">
            <v>Skin</v>
          </cell>
        </row>
        <row r="341">
          <cell r="B341" t="str">
            <v>591-78-6</v>
          </cell>
          <cell r="C341" t="str">
            <v>2-Hexanone</v>
          </cell>
          <cell r="D341">
            <v>5</v>
          </cell>
          <cell r="E341">
            <v>20</v>
          </cell>
          <cell r="F341" t="str">
            <v/>
          </cell>
          <cell r="G341" t="str">
            <v/>
          </cell>
          <cell r="H341" t="str">
            <v/>
          </cell>
          <cell r="I341" t="str">
            <v/>
          </cell>
          <cell r="J341" t="str">
            <v/>
          </cell>
          <cell r="K341" t="str">
            <v>Skin</v>
          </cell>
        </row>
        <row r="342">
          <cell r="B342" t="str">
            <v>593-60-2</v>
          </cell>
          <cell r="C342" t="str">
            <v>Vinyl bromide</v>
          </cell>
          <cell r="D342">
            <v>0.5</v>
          </cell>
          <cell r="E342">
            <v>2.2000000000000002</v>
          </cell>
          <cell r="F342" t="str">
            <v/>
          </cell>
          <cell r="G342" t="str">
            <v/>
          </cell>
          <cell r="H342" t="str">
            <v/>
          </cell>
          <cell r="I342" t="str">
            <v/>
          </cell>
          <cell r="J342" t="str">
            <v/>
          </cell>
          <cell r="K342" t="str">
            <v/>
          </cell>
        </row>
        <row r="343">
          <cell r="B343" t="str">
            <v>594-42-3</v>
          </cell>
          <cell r="C343" t="str">
            <v>Perchloromethyl mercaptan</v>
          </cell>
          <cell r="D343">
            <v>0.1</v>
          </cell>
          <cell r="E343">
            <v>0.8</v>
          </cell>
          <cell r="F343" t="str">
            <v/>
          </cell>
          <cell r="G343" t="str">
            <v/>
          </cell>
          <cell r="H343" t="str">
            <v/>
          </cell>
          <cell r="I343" t="str">
            <v/>
          </cell>
          <cell r="J343" t="str">
            <v/>
          </cell>
          <cell r="K343" t="str">
            <v/>
          </cell>
        </row>
        <row r="344">
          <cell r="B344" t="str">
            <v>594-72-9</v>
          </cell>
          <cell r="C344" t="str">
            <v>1,1-Dichloro-1-nitroethane</v>
          </cell>
          <cell r="D344">
            <v>2</v>
          </cell>
          <cell r="E344">
            <v>10</v>
          </cell>
          <cell r="F344" t="str">
            <v/>
          </cell>
          <cell r="G344" t="str">
            <v/>
          </cell>
          <cell r="H344" t="str">
            <v/>
          </cell>
          <cell r="I344" t="str">
            <v/>
          </cell>
          <cell r="J344" t="str">
            <v/>
          </cell>
          <cell r="K344" t="str">
            <v/>
          </cell>
        </row>
        <row r="345">
          <cell r="B345" t="str">
            <v>600-25-9</v>
          </cell>
          <cell r="C345" t="str">
            <v>1-Chloro-1-nitropropane</v>
          </cell>
          <cell r="D345">
            <v>2</v>
          </cell>
          <cell r="E345">
            <v>10</v>
          </cell>
          <cell r="F345" t="str">
            <v/>
          </cell>
          <cell r="G345" t="str">
            <v/>
          </cell>
          <cell r="H345" t="str">
            <v/>
          </cell>
          <cell r="I345" t="str">
            <v/>
          </cell>
          <cell r="J345" t="str">
            <v/>
          </cell>
          <cell r="K345" t="str">
            <v/>
          </cell>
        </row>
        <row r="346">
          <cell r="B346" t="str">
            <v>60-29-7</v>
          </cell>
          <cell r="C346" t="str">
            <v>Diethyl ether</v>
          </cell>
          <cell r="D346">
            <v>400</v>
          </cell>
          <cell r="E346">
            <v>1200</v>
          </cell>
          <cell r="F346" t="str">
            <v/>
          </cell>
          <cell r="G346">
            <v>500</v>
          </cell>
          <cell r="H346">
            <v>1500</v>
          </cell>
          <cell r="I346" t="str">
            <v/>
          </cell>
          <cell r="J346" t="str">
            <v/>
          </cell>
          <cell r="K346" t="str">
            <v/>
          </cell>
        </row>
        <row r="347">
          <cell r="B347" t="str">
            <v>603-34-9</v>
          </cell>
          <cell r="C347" t="str">
            <v>Triphenyl amine</v>
          </cell>
          <cell r="D347" t="str">
            <v/>
          </cell>
          <cell r="E347">
            <v>5</v>
          </cell>
          <cell r="F347" t="str">
            <v/>
          </cell>
          <cell r="G347" t="str">
            <v/>
          </cell>
          <cell r="H347" t="str">
            <v/>
          </cell>
          <cell r="I347" t="str">
            <v/>
          </cell>
          <cell r="J347" t="str">
            <v/>
          </cell>
          <cell r="K347" t="str">
            <v/>
          </cell>
        </row>
        <row r="348">
          <cell r="B348" t="str">
            <v>60-34-4</v>
          </cell>
          <cell r="C348" t="str">
            <v>Methyl hydrazine</v>
          </cell>
          <cell r="D348">
            <v>0.01</v>
          </cell>
          <cell r="E348">
            <v>2.5000000000000001E-2</v>
          </cell>
          <cell r="F348" t="str">
            <v/>
          </cell>
          <cell r="G348" t="str">
            <v/>
          </cell>
          <cell r="H348" t="str">
            <v/>
          </cell>
          <cell r="I348" t="str">
            <v/>
          </cell>
          <cell r="J348" t="str">
            <v/>
          </cell>
          <cell r="K348" t="str">
            <v>Skin</v>
          </cell>
        </row>
        <row r="349">
          <cell r="B349" t="str">
            <v>60-57-1</v>
          </cell>
          <cell r="C349" t="str">
            <v>Dieldrin</v>
          </cell>
          <cell r="D349" t="str">
            <v/>
          </cell>
          <cell r="E349">
            <v>0.25</v>
          </cell>
          <cell r="F349" t="str">
            <v/>
          </cell>
          <cell r="G349" t="str">
            <v/>
          </cell>
          <cell r="H349" t="str">
            <v/>
          </cell>
          <cell r="I349" t="str">
            <v/>
          </cell>
          <cell r="J349" t="str">
            <v/>
          </cell>
          <cell r="K349" t="str">
            <v>Skin</v>
          </cell>
        </row>
        <row r="350">
          <cell r="B350" t="str">
            <v>60676-86-0</v>
          </cell>
          <cell r="C350" t="str">
            <v>Silica(Amorphous silica, fused)(Respirable fraction)</v>
          </cell>
          <cell r="D350" t="str">
            <v/>
          </cell>
          <cell r="E350">
            <v>0.1</v>
          </cell>
          <cell r="F350" t="str">
            <v/>
          </cell>
          <cell r="G350" t="str">
            <v/>
          </cell>
          <cell r="H350" t="str">
            <v/>
          </cell>
          <cell r="I350" t="str">
            <v/>
          </cell>
          <cell r="J350" t="str">
            <v/>
          </cell>
          <cell r="K350" t="str">
            <v/>
          </cell>
        </row>
        <row r="351">
          <cell r="B351" t="str">
            <v>61788-32-7</v>
          </cell>
          <cell r="C351" t="str">
            <v>Hydrogenated terphenyls</v>
          </cell>
          <cell r="D351">
            <v>0.5</v>
          </cell>
          <cell r="E351">
            <v>5</v>
          </cell>
          <cell r="F351" t="str">
            <v/>
          </cell>
          <cell r="G351" t="str">
            <v/>
          </cell>
          <cell r="H351" t="str">
            <v/>
          </cell>
          <cell r="I351" t="str">
            <v/>
          </cell>
          <cell r="J351" t="str">
            <v/>
          </cell>
          <cell r="K351" t="str">
            <v/>
          </cell>
        </row>
        <row r="352">
          <cell r="B352" t="str">
            <v>61790-53-2</v>
          </cell>
          <cell r="C352" t="str">
            <v>Silica(Amorphous diatomaceous earth)</v>
          </cell>
          <cell r="D352" t="str">
            <v/>
          </cell>
          <cell r="E352">
            <v>10</v>
          </cell>
          <cell r="F352" t="str">
            <v/>
          </cell>
          <cell r="G352" t="str">
            <v/>
          </cell>
          <cell r="H352" t="str">
            <v/>
          </cell>
          <cell r="I352" t="str">
            <v/>
          </cell>
          <cell r="J352" t="str">
            <v/>
          </cell>
          <cell r="K352" t="str">
            <v/>
          </cell>
        </row>
        <row r="353">
          <cell r="B353" t="str">
            <v>61-82-5</v>
          </cell>
          <cell r="C353" t="str">
            <v>3-Amino-1,2,4-triazole(or Amitrole)</v>
          </cell>
          <cell r="D353" t="str">
            <v/>
          </cell>
          <cell r="E353">
            <v>0.2</v>
          </cell>
          <cell r="F353" t="str">
            <v/>
          </cell>
          <cell r="G353" t="str">
            <v/>
          </cell>
          <cell r="H353" t="str">
            <v/>
          </cell>
          <cell r="I353" t="str">
            <v/>
          </cell>
          <cell r="J353" t="str">
            <v/>
          </cell>
          <cell r="K353" t="str">
            <v/>
          </cell>
        </row>
        <row r="354">
          <cell r="B354" t="str">
            <v>624-83-9</v>
          </cell>
          <cell r="C354" t="str">
            <v>Methyl isocyanate</v>
          </cell>
          <cell r="D354">
            <v>0.02</v>
          </cell>
          <cell r="E354">
            <v>0.05</v>
          </cell>
          <cell r="F354" t="str">
            <v/>
          </cell>
          <cell r="G354" t="str">
            <v/>
          </cell>
          <cell r="H354" t="str">
            <v/>
          </cell>
          <cell r="I354" t="str">
            <v/>
          </cell>
          <cell r="J354" t="str">
            <v/>
          </cell>
          <cell r="K354" t="str">
            <v>Skin</v>
          </cell>
        </row>
        <row r="355">
          <cell r="B355" t="str">
            <v>62-53-3</v>
          </cell>
          <cell r="C355" t="str">
            <v>Aniline &amp; homologues</v>
          </cell>
          <cell r="D355">
            <v>2</v>
          </cell>
          <cell r="E355">
            <v>10</v>
          </cell>
          <cell r="F355" t="str">
            <v/>
          </cell>
          <cell r="G355" t="str">
            <v/>
          </cell>
          <cell r="H355" t="str">
            <v/>
          </cell>
          <cell r="I355" t="str">
            <v/>
          </cell>
          <cell r="J355" t="str">
            <v/>
          </cell>
          <cell r="K355" t="str">
            <v>Skin</v>
          </cell>
        </row>
        <row r="356">
          <cell r="B356" t="str">
            <v>626-17-5</v>
          </cell>
          <cell r="C356" t="str">
            <v>m-Phthalodinitrile</v>
          </cell>
          <cell r="D356" t="str">
            <v/>
          </cell>
          <cell r="E356">
            <v>5</v>
          </cell>
          <cell r="F356" t="str">
            <v/>
          </cell>
          <cell r="G356" t="str">
            <v/>
          </cell>
          <cell r="H356" t="str">
            <v/>
          </cell>
          <cell r="I356" t="str">
            <v/>
          </cell>
          <cell r="J356" t="str">
            <v/>
          </cell>
          <cell r="K356" t="str">
            <v/>
          </cell>
        </row>
        <row r="357">
          <cell r="B357" t="str">
            <v>626-38-0</v>
          </cell>
          <cell r="C357" t="str">
            <v>sec-Amyl acetate</v>
          </cell>
          <cell r="D357">
            <v>50</v>
          </cell>
          <cell r="E357" t="str">
            <v/>
          </cell>
          <cell r="F357" t="str">
            <v/>
          </cell>
          <cell r="G357">
            <v>100</v>
          </cell>
          <cell r="H357" t="str">
            <v/>
          </cell>
          <cell r="I357" t="str">
            <v/>
          </cell>
          <cell r="J357" t="str">
            <v/>
          </cell>
          <cell r="K357" t="str">
            <v/>
          </cell>
        </row>
        <row r="358">
          <cell r="B358" t="str">
            <v>627-13-4</v>
          </cell>
          <cell r="C358" t="str">
            <v>n-Propyl nitrate</v>
          </cell>
          <cell r="D358">
            <v>25</v>
          </cell>
          <cell r="E358">
            <v>105</v>
          </cell>
          <cell r="F358" t="str">
            <v/>
          </cell>
          <cell r="G358">
            <v>40</v>
          </cell>
          <cell r="H358">
            <v>170</v>
          </cell>
          <cell r="I358" t="str">
            <v/>
          </cell>
          <cell r="J358" t="str">
            <v/>
          </cell>
          <cell r="K358" t="str">
            <v/>
          </cell>
        </row>
        <row r="359">
          <cell r="B359" t="str">
            <v>62-73-7</v>
          </cell>
          <cell r="C359" t="str">
            <v>Dichlorvos</v>
          </cell>
          <cell r="D359">
            <v>0.01</v>
          </cell>
          <cell r="E359">
            <v>0.1</v>
          </cell>
          <cell r="F359" t="str">
            <v/>
          </cell>
          <cell r="G359" t="str">
            <v/>
          </cell>
          <cell r="H359" t="str">
            <v/>
          </cell>
          <cell r="I359" t="str">
            <v/>
          </cell>
          <cell r="J359" t="str">
            <v/>
          </cell>
          <cell r="K359" t="str">
            <v>Skin</v>
          </cell>
        </row>
        <row r="360">
          <cell r="B360" t="str">
            <v>62-74-8</v>
          </cell>
          <cell r="C360" t="str">
            <v>Sodium fluoroacetate</v>
          </cell>
          <cell r="D360" t="str">
            <v/>
          </cell>
          <cell r="E360">
            <v>0.05</v>
          </cell>
          <cell r="F360" t="str">
            <v/>
          </cell>
          <cell r="G360" t="str">
            <v/>
          </cell>
          <cell r="H360">
            <v>0.15</v>
          </cell>
          <cell r="I360" t="str">
            <v/>
          </cell>
          <cell r="J360" t="str">
            <v/>
          </cell>
          <cell r="K360" t="str">
            <v>Skin</v>
          </cell>
        </row>
        <row r="361">
          <cell r="B361" t="str">
            <v>62-75-9</v>
          </cell>
          <cell r="C361" t="str">
            <v>Dimethylnitrosoamine</v>
          </cell>
          <cell r="D361" t="str">
            <v/>
          </cell>
          <cell r="E361" t="str">
            <v/>
          </cell>
          <cell r="F361" t="str">
            <v/>
          </cell>
          <cell r="G361" t="str">
            <v/>
          </cell>
          <cell r="H361" t="str">
            <v/>
          </cell>
          <cell r="I361" t="str">
            <v/>
          </cell>
          <cell r="J361" t="str">
            <v/>
          </cell>
          <cell r="K361" t="str">
            <v>Skin</v>
          </cell>
        </row>
        <row r="362">
          <cell r="B362" t="str">
            <v>628-63-7</v>
          </cell>
          <cell r="C362" t="str">
            <v>n-Amyl acetate</v>
          </cell>
          <cell r="D362">
            <v>50</v>
          </cell>
          <cell r="E362" t="str">
            <v/>
          </cell>
          <cell r="F362" t="str">
            <v/>
          </cell>
          <cell r="G362">
            <v>100</v>
          </cell>
          <cell r="H362" t="str">
            <v/>
          </cell>
          <cell r="I362" t="str">
            <v/>
          </cell>
          <cell r="J362" t="str">
            <v/>
          </cell>
          <cell r="K362" t="str">
            <v/>
          </cell>
        </row>
        <row r="363">
          <cell r="B363" t="str">
            <v>628-96-6</v>
          </cell>
          <cell r="C363" t="str">
            <v>Nitroglycol</v>
          </cell>
          <cell r="D363">
            <v>0.05</v>
          </cell>
          <cell r="E363">
            <v>0.3</v>
          </cell>
          <cell r="F363" t="str">
            <v/>
          </cell>
          <cell r="G363" t="str">
            <v/>
          </cell>
          <cell r="H363" t="str">
            <v/>
          </cell>
          <cell r="I363" t="str">
            <v/>
          </cell>
          <cell r="J363" t="str">
            <v/>
          </cell>
          <cell r="K363" t="str">
            <v>Skin</v>
          </cell>
        </row>
        <row r="364">
          <cell r="B364" t="str">
            <v>630-08-0</v>
          </cell>
          <cell r="C364" t="str">
            <v>Carbon monoxide</v>
          </cell>
          <cell r="D364">
            <v>30</v>
          </cell>
          <cell r="E364">
            <v>34</v>
          </cell>
          <cell r="F364" t="str">
            <v/>
          </cell>
          <cell r="G364">
            <v>200</v>
          </cell>
          <cell r="H364">
            <v>229</v>
          </cell>
          <cell r="I364" t="str">
            <v/>
          </cell>
          <cell r="J364" t="str">
            <v/>
          </cell>
          <cell r="K364" t="str">
            <v/>
          </cell>
        </row>
        <row r="365">
          <cell r="B365" t="str">
            <v>63-25-2</v>
          </cell>
          <cell r="C365" t="str">
            <v>Carbaryl</v>
          </cell>
          <cell r="D365" t="str">
            <v/>
          </cell>
          <cell r="E365">
            <v>5</v>
          </cell>
          <cell r="F365" t="str">
            <v/>
          </cell>
          <cell r="G365" t="str">
            <v/>
          </cell>
          <cell r="H365" t="str">
            <v/>
          </cell>
          <cell r="I365" t="str">
            <v/>
          </cell>
          <cell r="J365" t="str">
            <v/>
          </cell>
          <cell r="K365" t="str">
            <v>Skin</v>
          </cell>
        </row>
        <row r="366">
          <cell r="B366" t="str">
            <v>638-21-1</v>
          </cell>
          <cell r="C366" t="str">
            <v>Phenyl phosphine</v>
          </cell>
          <cell r="D366" t="str">
            <v/>
          </cell>
          <cell r="E366" t="str">
            <v/>
          </cell>
          <cell r="F366" t="str">
            <v/>
          </cell>
          <cell r="G366" t="str">
            <v/>
          </cell>
          <cell r="H366" t="str">
            <v/>
          </cell>
          <cell r="I366">
            <v>0.05</v>
          </cell>
          <cell r="J366">
            <v>0.25</v>
          </cell>
          <cell r="K366" t="str">
            <v/>
          </cell>
        </row>
        <row r="367">
          <cell r="B367" t="str">
            <v>6385-62-2</v>
          </cell>
          <cell r="C367" t="str">
            <v>Diquat</v>
          </cell>
          <cell r="D367" t="str">
            <v/>
          </cell>
          <cell r="E367">
            <v>0.5</v>
          </cell>
          <cell r="F367" t="str">
            <v/>
          </cell>
          <cell r="G367" t="str">
            <v/>
          </cell>
          <cell r="H367" t="str">
            <v/>
          </cell>
          <cell r="I367" t="str">
            <v/>
          </cell>
          <cell r="J367" t="str">
            <v/>
          </cell>
          <cell r="K367" t="str">
            <v>Skin</v>
          </cell>
        </row>
        <row r="368">
          <cell r="B368" t="str">
            <v>64-17-5</v>
          </cell>
          <cell r="C368" t="str">
            <v>Ethanol</v>
          </cell>
          <cell r="D368">
            <v>1000</v>
          </cell>
          <cell r="E368">
            <v>1900</v>
          </cell>
          <cell r="F368" t="str">
            <v/>
          </cell>
          <cell r="G368" t="str">
            <v/>
          </cell>
          <cell r="H368" t="str">
            <v/>
          </cell>
          <cell r="I368" t="str">
            <v/>
          </cell>
          <cell r="J368" t="str">
            <v/>
          </cell>
          <cell r="K368" t="str">
            <v/>
          </cell>
        </row>
        <row r="369">
          <cell r="B369" t="str">
            <v>64-18-6</v>
          </cell>
          <cell r="C369" t="str">
            <v>Formic acid</v>
          </cell>
          <cell r="D369">
            <v>5</v>
          </cell>
          <cell r="E369">
            <v>9</v>
          </cell>
          <cell r="F369" t="str">
            <v/>
          </cell>
          <cell r="G369" t="str">
            <v/>
          </cell>
          <cell r="H369" t="str">
            <v/>
          </cell>
          <cell r="I369" t="str">
            <v/>
          </cell>
          <cell r="J369" t="str">
            <v/>
          </cell>
          <cell r="K369" t="str">
            <v/>
          </cell>
        </row>
        <row r="370">
          <cell r="B370" t="str">
            <v>64-19-7</v>
          </cell>
          <cell r="C370" t="str">
            <v>Acetic acid</v>
          </cell>
          <cell r="D370">
            <v>10</v>
          </cell>
          <cell r="E370">
            <v>25</v>
          </cell>
          <cell r="F370" t="str">
            <v/>
          </cell>
          <cell r="G370">
            <v>15</v>
          </cell>
          <cell r="H370">
            <v>37</v>
          </cell>
          <cell r="I370" t="str">
            <v/>
          </cell>
          <cell r="J370" t="str">
            <v/>
          </cell>
          <cell r="K370" t="str">
            <v/>
          </cell>
        </row>
        <row r="371">
          <cell r="B371" t="str">
            <v>6423-43-4</v>
          </cell>
          <cell r="C371" t="str">
            <v>Propylene glycoldinitrate</v>
          </cell>
          <cell r="D371">
            <v>0.05</v>
          </cell>
          <cell r="E371">
            <v>0.3</v>
          </cell>
          <cell r="F371" t="str">
            <v/>
          </cell>
          <cell r="G371" t="str">
            <v/>
          </cell>
          <cell r="H371" t="str">
            <v/>
          </cell>
          <cell r="I371" t="str">
            <v/>
          </cell>
          <cell r="J371" t="str">
            <v/>
          </cell>
          <cell r="K371" t="str">
            <v>Skin</v>
          </cell>
        </row>
        <row r="372">
          <cell r="B372" t="str">
            <v>65996-93-2</v>
          </cell>
          <cell r="C372" t="str">
            <v>Coal tar pitch volatiles(Benzene solubles)</v>
          </cell>
          <cell r="D372" t="str">
            <v/>
          </cell>
          <cell r="E372">
            <v>0.2</v>
          </cell>
          <cell r="F372" t="str">
            <v/>
          </cell>
          <cell r="G372" t="str">
            <v/>
          </cell>
          <cell r="H372" t="str">
            <v/>
          </cell>
          <cell r="I372" t="str">
            <v/>
          </cell>
          <cell r="J372" t="str">
            <v/>
          </cell>
          <cell r="K372" t="str">
            <v/>
          </cell>
        </row>
        <row r="373">
          <cell r="B373" t="str">
            <v>65997-15-1</v>
          </cell>
          <cell r="C373" t="str">
            <v>Portland cement</v>
          </cell>
          <cell r="D373" t="str">
            <v/>
          </cell>
          <cell r="E373">
            <v>10</v>
          </cell>
          <cell r="F373" t="str">
            <v/>
          </cell>
          <cell r="G373" t="str">
            <v/>
          </cell>
          <cell r="H373" t="str">
            <v/>
          </cell>
          <cell r="I373" t="str">
            <v/>
          </cell>
          <cell r="J373" t="str">
            <v/>
          </cell>
          <cell r="K373" t="str">
            <v/>
          </cell>
        </row>
        <row r="374">
          <cell r="B374" t="str">
            <v>67-56-1</v>
          </cell>
          <cell r="C374" t="str">
            <v>Methanol</v>
          </cell>
          <cell r="D374">
            <v>200</v>
          </cell>
          <cell r="E374">
            <v>260</v>
          </cell>
          <cell r="F374" t="str">
            <v/>
          </cell>
          <cell r="G374">
            <v>250</v>
          </cell>
          <cell r="H374">
            <v>310</v>
          </cell>
          <cell r="I374" t="str">
            <v/>
          </cell>
          <cell r="J374" t="str">
            <v/>
          </cell>
          <cell r="K374" t="str">
            <v>Skin</v>
          </cell>
        </row>
        <row r="375">
          <cell r="B375" t="str">
            <v>67-63-0</v>
          </cell>
          <cell r="C375" t="str">
            <v>Isopropyl alcohol</v>
          </cell>
          <cell r="D375">
            <v>200</v>
          </cell>
          <cell r="E375">
            <v>480</v>
          </cell>
          <cell r="F375" t="str">
            <v/>
          </cell>
          <cell r="G375">
            <v>400</v>
          </cell>
          <cell r="H375">
            <v>980</v>
          </cell>
          <cell r="I375" t="str">
            <v/>
          </cell>
          <cell r="J375" t="str">
            <v/>
          </cell>
          <cell r="K375" t="str">
            <v/>
          </cell>
        </row>
        <row r="376">
          <cell r="B376" t="str">
            <v>67-64-1</v>
          </cell>
          <cell r="C376" t="str">
            <v>Acetone</v>
          </cell>
          <cell r="D376">
            <v>500</v>
          </cell>
          <cell r="E376">
            <v>1188</v>
          </cell>
          <cell r="F376" t="str">
            <v/>
          </cell>
          <cell r="G376">
            <v>750</v>
          </cell>
          <cell r="H376">
            <v>1782</v>
          </cell>
          <cell r="I376" t="str">
            <v/>
          </cell>
          <cell r="J376" t="str">
            <v/>
          </cell>
          <cell r="K376" t="str">
            <v/>
          </cell>
        </row>
        <row r="377">
          <cell r="B377" t="str">
            <v>67-66-3</v>
          </cell>
          <cell r="C377" t="str">
            <v>Trichloromethane</v>
          </cell>
          <cell r="D377">
            <v>10</v>
          </cell>
          <cell r="E377">
            <v>50</v>
          </cell>
          <cell r="F377" t="str">
            <v/>
          </cell>
          <cell r="G377" t="str">
            <v/>
          </cell>
          <cell r="H377" t="str">
            <v/>
          </cell>
          <cell r="I377" t="str">
            <v/>
          </cell>
          <cell r="J377" t="str">
            <v/>
          </cell>
          <cell r="K377" t="str">
            <v/>
          </cell>
        </row>
        <row r="378">
          <cell r="B378" t="str">
            <v>67-72-1</v>
          </cell>
          <cell r="C378" t="str">
            <v>Hexachloroethane</v>
          </cell>
          <cell r="D378">
            <v>1</v>
          </cell>
          <cell r="E378">
            <v>10</v>
          </cell>
          <cell r="F378" t="str">
            <v/>
          </cell>
          <cell r="G378" t="str">
            <v/>
          </cell>
          <cell r="H378" t="str">
            <v/>
          </cell>
          <cell r="I378" t="str">
            <v/>
          </cell>
          <cell r="J378" t="str">
            <v/>
          </cell>
          <cell r="K378" t="str">
            <v/>
          </cell>
        </row>
        <row r="379">
          <cell r="B379" t="str">
            <v>680-31-9</v>
          </cell>
          <cell r="C379" t="str">
            <v>Hexamethyl phosphoramide</v>
          </cell>
          <cell r="D379" t="str">
            <v/>
          </cell>
          <cell r="E379" t="str">
            <v/>
          </cell>
          <cell r="F379" t="str">
            <v/>
          </cell>
          <cell r="G379" t="str">
            <v/>
          </cell>
          <cell r="H379" t="str">
            <v/>
          </cell>
          <cell r="I379" t="str">
            <v/>
          </cell>
          <cell r="J379" t="str">
            <v/>
          </cell>
          <cell r="K379" t="str">
            <v>Skin</v>
          </cell>
        </row>
        <row r="380">
          <cell r="B380" t="str">
            <v>68-11-1</v>
          </cell>
          <cell r="C380" t="str">
            <v>Thioglicolic acid</v>
          </cell>
          <cell r="D380">
            <v>1</v>
          </cell>
          <cell r="E380">
            <v>4</v>
          </cell>
          <cell r="F380" t="str">
            <v/>
          </cell>
          <cell r="G380" t="str">
            <v/>
          </cell>
          <cell r="H380" t="str">
            <v/>
          </cell>
          <cell r="I380" t="str">
            <v/>
          </cell>
          <cell r="J380" t="str">
            <v/>
          </cell>
          <cell r="K380" t="str">
            <v>Skin</v>
          </cell>
        </row>
        <row r="381">
          <cell r="B381" t="str">
            <v>68-12-2</v>
          </cell>
          <cell r="C381" t="str">
            <v>Dimethylformamide</v>
          </cell>
          <cell r="D381">
            <v>10</v>
          </cell>
          <cell r="E381">
            <v>30</v>
          </cell>
          <cell r="F381" t="str">
            <v/>
          </cell>
          <cell r="G381" t="str">
            <v/>
          </cell>
          <cell r="H381" t="str">
            <v/>
          </cell>
          <cell r="I381" t="str">
            <v/>
          </cell>
          <cell r="J381" t="str">
            <v/>
          </cell>
          <cell r="K381" t="str">
            <v>Skin</v>
          </cell>
        </row>
        <row r="382">
          <cell r="B382" t="str">
            <v>681-84-5</v>
          </cell>
          <cell r="C382" t="str">
            <v>Methyl silicate</v>
          </cell>
          <cell r="D382">
            <v>1</v>
          </cell>
          <cell r="E382">
            <v>6</v>
          </cell>
          <cell r="F382" t="str">
            <v/>
          </cell>
          <cell r="G382" t="str">
            <v/>
          </cell>
          <cell r="H382" t="str">
            <v/>
          </cell>
          <cell r="I382" t="str">
            <v/>
          </cell>
          <cell r="J382" t="str">
            <v/>
          </cell>
          <cell r="K382" t="str">
            <v/>
          </cell>
        </row>
        <row r="383">
          <cell r="B383" t="str">
            <v>684-16-2</v>
          </cell>
          <cell r="C383" t="str">
            <v>Hexafluoroacetone</v>
          </cell>
          <cell r="D383">
            <v>0.1</v>
          </cell>
          <cell r="E383">
            <v>0.7</v>
          </cell>
          <cell r="F383" t="str">
            <v/>
          </cell>
          <cell r="G383" t="str">
            <v/>
          </cell>
          <cell r="H383" t="str">
            <v/>
          </cell>
          <cell r="I383" t="str">
            <v/>
          </cell>
          <cell r="J383" t="str">
            <v/>
          </cell>
          <cell r="K383" t="str">
            <v>Skin</v>
          </cell>
        </row>
        <row r="384">
          <cell r="B384" t="str">
            <v>68476-85-7</v>
          </cell>
          <cell r="C384" t="str">
            <v>L.P.G(Liquified petroleum gas)</v>
          </cell>
          <cell r="D384">
            <v>1000</v>
          </cell>
          <cell r="E384">
            <v>1800</v>
          </cell>
          <cell r="F384" t="str">
            <v/>
          </cell>
          <cell r="G384" t="str">
            <v/>
          </cell>
          <cell r="H384" t="str">
            <v/>
          </cell>
          <cell r="I384" t="str">
            <v/>
          </cell>
          <cell r="J384" t="str">
            <v/>
          </cell>
          <cell r="K384" t="str">
            <v/>
          </cell>
        </row>
        <row r="385">
          <cell r="B385" t="str">
            <v>6923-22-4</v>
          </cell>
          <cell r="C385" t="str">
            <v>Monocrotophos</v>
          </cell>
          <cell r="D385" t="str">
            <v/>
          </cell>
          <cell r="E385">
            <v>0.05</v>
          </cell>
          <cell r="F385" t="str">
            <v/>
          </cell>
          <cell r="G385" t="str">
            <v/>
          </cell>
          <cell r="H385" t="str">
            <v/>
          </cell>
          <cell r="I385" t="str">
            <v/>
          </cell>
          <cell r="J385" t="str">
            <v/>
          </cell>
          <cell r="K385" t="str">
            <v>Skin</v>
          </cell>
        </row>
        <row r="386">
          <cell r="B386" t="str">
            <v>71-23-8</v>
          </cell>
          <cell r="C386" t="str">
            <v>n-Propyl alcohol</v>
          </cell>
          <cell r="D386">
            <v>200</v>
          </cell>
          <cell r="E386">
            <v>500</v>
          </cell>
          <cell r="F386" t="str">
            <v/>
          </cell>
          <cell r="G386">
            <v>250</v>
          </cell>
          <cell r="H386">
            <v>625</v>
          </cell>
          <cell r="I386" t="str">
            <v/>
          </cell>
          <cell r="J386" t="str">
            <v/>
          </cell>
          <cell r="K386" t="str">
            <v>Skin</v>
          </cell>
        </row>
        <row r="387">
          <cell r="B387" t="str">
            <v>71-36-3</v>
          </cell>
          <cell r="C387" t="str">
            <v>n-Butyl alcohol(1-Butanol)</v>
          </cell>
          <cell r="D387">
            <v>20</v>
          </cell>
          <cell r="E387">
            <v>60</v>
          </cell>
          <cell r="F387" t="str">
            <v/>
          </cell>
          <cell r="G387" t="str">
            <v/>
          </cell>
          <cell r="H387" t="str">
            <v/>
          </cell>
          <cell r="I387" t="str">
            <v/>
          </cell>
          <cell r="J387" t="str">
            <v/>
          </cell>
          <cell r="K387" t="str">
            <v/>
          </cell>
        </row>
        <row r="388">
          <cell r="B388" t="str">
            <v>71-43-2</v>
          </cell>
          <cell r="C388" t="str">
            <v>Benzene</v>
          </cell>
          <cell r="D388">
            <v>1</v>
          </cell>
          <cell r="E388">
            <v>3</v>
          </cell>
          <cell r="F388" t="str">
            <v/>
          </cell>
          <cell r="G388">
            <v>5</v>
          </cell>
          <cell r="H388">
            <v>16</v>
          </cell>
          <cell r="I388" t="str">
            <v/>
          </cell>
          <cell r="J388" t="str">
            <v/>
          </cell>
          <cell r="K388" t="str">
            <v>Skin</v>
          </cell>
        </row>
        <row r="389">
          <cell r="B389" t="str">
            <v>71-55-6</v>
          </cell>
          <cell r="C389" t="str">
            <v>1,1,1-Trichloroethane</v>
          </cell>
          <cell r="D389">
            <v>350</v>
          </cell>
          <cell r="E389">
            <v>1900</v>
          </cell>
          <cell r="F389" t="str">
            <v/>
          </cell>
          <cell r="G389">
            <v>450</v>
          </cell>
          <cell r="H389">
            <v>2450</v>
          </cell>
          <cell r="I389" t="str">
            <v/>
          </cell>
          <cell r="J389" t="str">
            <v/>
          </cell>
          <cell r="K389" t="str">
            <v/>
          </cell>
        </row>
        <row r="390">
          <cell r="B390" t="str">
            <v>72-20-8</v>
          </cell>
          <cell r="C390" t="str">
            <v>Endrin</v>
          </cell>
          <cell r="D390" t="str">
            <v/>
          </cell>
          <cell r="E390">
            <v>0.1</v>
          </cell>
          <cell r="F390" t="str">
            <v/>
          </cell>
          <cell r="G390" t="str">
            <v/>
          </cell>
          <cell r="H390" t="str">
            <v/>
          </cell>
          <cell r="I390" t="str">
            <v/>
          </cell>
          <cell r="J390" t="str">
            <v/>
          </cell>
          <cell r="K390" t="str">
            <v>Skin</v>
          </cell>
        </row>
        <row r="391">
          <cell r="B391" t="str">
            <v>72-43-5</v>
          </cell>
          <cell r="C391" t="str">
            <v>Methoxychlor</v>
          </cell>
          <cell r="D391" t="str">
            <v/>
          </cell>
          <cell r="E391">
            <v>10</v>
          </cell>
          <cell r="F391" t="str">
            <v/>
          </cell>
          <cell r="G391" t="str">
            <v/>
          </cell>
          <cell r="H391" t="str">
            <v/>
          </cell>
          <cell r="I391" t="str">
            <v/>
          </cell>
          <cell r="J391" t="str">
            <v/>
          </cell>
          <cell r="K391" t="str">
            <v/>
          </cell>
        </row>
        <row r="392">
          <cell r="B392" t="str">
            <v>7429-90-5</v>
          </cell>
          <cell r="C392" t="str">
            <v>Aluminum(Alkyls)</v>
          </cell>
          <cell r="D392" t="str">
            <v/>
          </cell>
          <cell r="E392">
            <v>2</v>
          </cell>
          <cell r="F392" t="str">
            <v/>
          </cell>
          <cell r="G392" t="str">
            <v/>
          </cell>
          <cell r="H392" t="str">
            <v/>
          </cell>
          <cell r="I392" t="str">
            <v/>
          </cell>
          <cell r="J392" t="str">
            <v/>
          </cell>
          <cell r="K392" t="str">
            <v/>
          </cell>
        </row>
        <row r="393">
          <cell r="C393" t="str">
            <v>Aluminum(Metal dust)(CAS 7429-90-5)</v>
          </cell>
          <cell r="D393" t="str">
            <v/>
          </cell>
          <cell r="E393">
            <v>10</v>
          </cell>
          <cell r="F393" t="str">
            <v/>
          </cell>
          <cell r="G393" t="str">
            <v/>
          </cell>
          <cell r="H393" t="str">
            <v/>
          </cell>
          <cell r="I393" t="str">
            <v/>
          </cell>
          <cell r="J393" t="str">
            <v/>
          </cell>
          <cell r="K393" t="str">
            <v/>
          </cell>
        </row>
        <row r="394">
          <cell r="C394" t="str">
            <v>Aluminum(Pyropowders)(CAS 7429-90-5)</v>
          </cell>
          <cell r="D394" t="str">
            <v/>
          </cell>
          <cell r="E394">
            <v>5</v>
          </cell>
          <cell r="F394" t="str">
            <v/>
          </cell>
          <cell r="G394" t="str">
            <v/>
          </cell>
          <cell r="H394" t="str">
            <v/>
          </cell>
          <cell r="I394" t="str">
            <v/>
          </cell>
          <cell r="J394" t="str">
            <v/>
          </cell>
          <cell r="K394" t="str">
            <v/>
          </cell>
        </row>
        <row r="395">
          <cell r="C395" t="str">
            <v>Aluminum(Soluble salts)(CAS 7429-90-5)</v>
          </cell>
          <cell r="D395" t="str">
            <v/>
          </cell>
          <cell r="E395">
            <v>2</v>
          </cell>
          <cell r="F395" t="str">
            <v/>
          </cell>
          <cell r="G395" t="str">
            <v/>
          </cell>
          <cell r="H395" t="str">
            <v/>
          </cell>
          <cell r="I395" t="str">
            <v/>
          </cell>
          <cell r="J395" t="str">
            <v/>
          </cell>
          <cell r="K395" t="str">
            <v/>
          </cell>
        </row>
        <row r="396">
          <cell r="C396" t="str">
            <v>Aluminum(Welding fumes)(CAS 7429-90-5)</v>
          </cell>
          <cell r="D396" t="str">
            <v/>
          </cell>
          <cell r="E396">
            <v>5</v>
          </cell>
          <cell r="F396" t="str">
            <v/>
          </cell>
          <cell r="G396" t="str">
            <v/>
          </cell>
          <cell r="H396" t="str">
            <v/>
          </cell>
          <cell r="I396" t="str">
            <v/>
          </cell>
          <cell r="J396" t="str">
            <v/>
          </cell>
          <cell r="K396" t="str">
            <v/>
          </cell>
        </row>
        <row r="397">
          <cell r="B397" t="str">
            <v>7439-89-6</v>
          </cell>
          <cell r="C397" t="str">
            <v>Iron salts(Soluble, as Fe)</v>
          </cell>
          <cell r="D397" t="str">
            <v/>
          </cell>
          <cell r="E397">
            <v>1</v>
          </cell>
          <cell r="F397" t="str">
            <v/>
          </cell>
          <cell r="G397" t="str">
            <v/>
          </cell>
          <cell r="H397" t="str">
            <v/>
          </cell>
          <cell r="I397" t="str">
            <v/>
          </cell>
          <cell r="J397" t="str">
            <v/>
          </cell>
          <cell r="K397" t="str">
            <v/>
          </cell>
        </row>
        <row r="398">
          <cell r="B398" t="str">
            <v>7439-92-1</v>
          </cell>
          <cell r="C398" t="str">
            <v>Lead and Inorganic compounds, as Pb</v>
          </cell>
          <cell r="D398" t="str">
            <v/>
          </cell>
          <cell r="E398">
            <v>0.05</v>
          </cell>
          <cell r="F398" t="str">
            <v/>
          </cell>
          <cell r="G398" t="str">
            <v/>
          </cell>
          <cell r="H398" t="str">
            <v/>
          </cell>
          <cell r="I398" t="str">
            <v/>
          </cell>
          <cell r="J398" t="str">
            <v/>
          </cell>
          <cell r="K398" t="str">
            <v/>
          </cell>
        </row>
        <row r="399">
          <cell r="B399" t="str">
            <v>7439-96-5</v>
          </cell>
          <cell r="C399" t="str">
            <v>Manganese(Fume)</v>
          </cell>
          <cell r="D399" t="str">
            <v/>
          </cell>
          <cell r="E399">
            <v>1</v>
          </cell>
          <cell r="F399" t="str">
            <v/>
          </cell>
          <cell r="G399" t="str">
            <v/>
          </cell>
          <cell r="H399">
            <v>3</v>
          </cell>
          <cell r="I399" t="str">
            <v/>
          </cell>
          <cell r="J399" t="str">
            <v/>
          </cell>
          <cell r="K399" t="str">
            <v/>
          </cell>
        </row>
        <row r="400">
          <cell r="C400" t="str">
            <v>Manganese&amp;Inorganic compounds, as Mn(CAS 7439-96-5)</v>
          </cell>
          <cell r="D400" t="str">
            <v/>
          </cell>
          <cell r="E400">
            <v>1</v>
          </cell>
          <cell r="F400" t="str">
            <v/>
          </cell>
          <cell r="G400" t="str">
            <v/>
          </cell>
          <cell r="H400" t="str">
            <v/>
          </cell>
          <cell r="I400" t="str">
            <v/>
          </cell>
          <cell r="J400" t="str">
            <v/>
          </cell>
          <cell r="K400" t="str">
            <v/>
          </cell>
        </row>
        <row r="401">
          <cell r="B401" t="str">
            <v>7439-97-6</v>
          </cell>
          <cell r="C401" t="str">
            <v>Mercury(Alkyl compounds)</v>
          </cell>
          <cell r="D401" t="str">
            <v/>
          </cell>
          <cell r="E401">
            <v>0.01</v>
          </cell>
          <cell r="F401" t="str">
            <v/>
          </cell>
          <cell r="G401" t="str">
            <v/>
          </cell>
          <cell r="H401">
            <v>0.03</v>
          </cell>
          <cell r="I401" t="str">
            <v/>
          </cell>
          <cell r="J401" t="str">
            <v/>
          </cell>
          <cell r="K401" t="str">
            <v>Skin</v>
          </cell>
        </row>
        <row r="402">
          <cell r="C402" t="str">
            <v>Mercury(All forms except aryl &amp; alkyl compounds)(CAS 7439-97-6)</v>
          </cell>
          <cell r="D402" t="str">
            <v/>
          </cell>
          <cell r="E402">
            <v>2.5000000000000001E-2</v>
          </cell>
          <cell r="F402" t="str">
            <v/>
          </cell>
          <cell r="G402" t="str">
            <v/>
          </cell>
          <cell r="H402" t="str">
            <v/>
          </cell>
          <cell r="I402" t="str">
            <v/>
          </cell>
          <cell r="J402" t="str">
            <v/>
          </cell>
          <cell r="K402" t="str">
            <v>Skin</v>
          </cell>
        </row>
        <row r="403">
          <cell r="C403" t="str">
            <v>Mercury(Aryl compounds)(CAS 7439-97-6)</v>
          </cell>
          <cell r="D403" t="str">
            <v/>
          </cell>
          <cell r="E403">
            <v>0.1</v>
          </cell>
          <cell r="F403" t="str">
            <v/>
          </cell>
          <cell r="G403" t="str">
            <v/>
          </cell>
          <cell r="H403" t="str">
            <v/>
          </cell>
          <cell r="I403" t="str">
            <v/>
          </cell>
          <cell r="J403" t="str">
            <v/>
          </cell>
          <cell r="K403" t="str">
            <v>Skin</v>
          </cell>
        </row>
        <row r="404">
          <cell r="B404" t="str">
            <v>7439-98-7</v>
          </cell>
          <cell r="C404" t="str">
            <v>Molybdenum(Insoluble compounds)</v>
          </cell>
          <cell r="D404" t="str">
            <v/>
          </cell>
          <cell r="E404">
            <v>10</v>
          </cell>
          <cell r="F404" t="str">
            <v/>
          </cell>
          <cell r="G404" t="str">
            <v/>
          </cell>
          <cell r="H404" t="str">
            <v/>
          </cell>
          <cell r="I404" t="str">
            <v/>
          </cell>
          <cell r="J404" t="str">
            <v/>
          </cell>
          <cell r="K404" t="str">
            <v/>
          </cell>
        </row>
        <row r="405">
          <cell r="C405" t="str">
            <v>Molybdenum(Insoluble compounds)(Respirable fraction)(CAS 7439-98-7)</v>
          </cell>
          <cell r="D405" t="str">
            <v/>
          </cell>
          <cell r="E405">
            <v>5</v>
          </cell>
          <cell r="F405" t="str">
            <v/>
          </cell>
          <cell r="G405" t="str">
            <v/>
          </cell>
          <cell r="H405" t="str">
            <v/>
          </cell>
          <cell r="I405" t="str">
            <v/>
          </cell>
          <cell r="J405" t="str">
            <v/>
          </cell>
          <cell r="K405" t="str">
            <v/>
          </cell>
        </row>
        <row r="406">
          <cell r="C406" t="str">
            <v>Molybdeunum(Soluble compounds)CAS 7439-98-7)</v>
          </cell>
          <cell r="D406" t="str">
            <v/>
          </cell>
          <cell r="E406">
            <v>0.5</v>
          </cell>
          <cell r="F406" t="str">
            <v/>
          </cell>
          <cell r="G406" t="str">
            <v/>
          </cell>
          <cell r="H406" t="str">
            <v/>
          </cell>
          <cell r="I406" t="str">
            <v/>
          </cell>
          <cell r="J406" t="str">
            <v/>
          </cell>
          <cell r="K406" t="str">
            <v/>
          </cell>
        </row>
        <row r="407">
          <cell r="B407" t="str">
            <v>7440-02-0</v>
          </cell>
          <cell r="C407" t="str">
            <v>Nickel(Insoluble Inorganic compounds, as Ni)</v>
          </cell>
          <cell r="D407" t="str">
            <v/>
          </cell>
          <cell r="E407">
            <v>0.5</v>
          </cell>
          <cell r="F407" t="str">
            <v/>
          </cell>
          <cell r="G407" t="str">
            <v/>
          </cell>
          <cell r="H407" t="str">
            <v/>
          </cell>
          <cell r="I407" t="str">
            <v/>
          </cell>
          <cell r="J407" t="str">
            <v/>
          </cell>
          <cell r="K407" t="str">
            <v/>
          </cell>
        </row>
        <row r="408">
          <cell r="C408" t="str">
            <v>Nickel(Metal)(CAS 7440-02-0)</v>
          </cell>
          <cell r="D408" t="str">
            <v/>
          </cell>
          <cell r="E408">
            <v>1</v>
          </cell>
          <cell r="F408" t="str">
            <v/>
          </cell>
          <cell r="G408" t="str">
            <v/>
          </cell>
          <cell r="H408" t="str">
            <v/>
          </cell>
          <cell r="I408" t="str">
            <v/>
          </cell>
          <cell r="J408" t="str">
            <v/>
          </cell>
          <cell r="K408" t="str">
            <v/>
          </cell>
        </row>
        <row r="409">
          <cell r="C409" t="str">
            <v>Nickel(Soluble compounds, as Ni)(CAS 7440-02-0)</v>
          </cell>
          <cell r="D409" t="str">
            <v/>
          </cell>
          <cell r="E409">
            <v>0.1</v>
          </cell>
          <cell r="F409" t="str">
            <v/>
          </cell>
          <cell r="G409" t="str">
            <v/>
          </cell>
          <cell r="H409" t="str">
            <v/>
          </cell>
          <cell r="I409" t="str">
            <v/>
          </cell>
          <cell r="J409" t="str">
            <v/>
          </cell>
          <cell r="K409" t="str">
            <v/>
          </cell>
        </row>
        <row r="410">
          <cell r="B410" t="str">
            <v>7440-06-4</v>
          </cell>
          <cell r="C410" t="str">
            <v>Platinum(Metal)</v>
          </cell>
          <cell r="D410" t="str">
            <v/>
          </cell>
          <cell r="E410">
            <v>1</v>
          </cell>
          <cell r="F410" t="str">
            <v/>
          </cell>
          <cell r="G410" t="str">
            <v/>
          </cell>
          <cell r="H410" t="str">
            <v/>
          </cell>
          <cell r="I410" t="str">
            <v/>
          </cell>
          <cell r="J410" t="str">
            <v/>
          </cell>
          <cell r="K410" t="str">
            <v/>
          </cell>
        </row>
        <row r="411">
          <cell r="C411" t="str">
            <v>Platinum(Soluble salts, as Pt)(CAS 7440-06-4)</v>
          </cell>
          <cell r="D411" t="str">
            <v/>
          </cell>
          <cell r="E411">
            <v>2E-3</v>
          </cell>
          <cell r="F411" t="str">
            <v/>
          </cell>
          <cell r="G411" t="str">
            <v/>
          </cell>
          <cell r="H411" t="str">
            <v/>
          </cell>
          <cell r="I411" t="str">
            <v/>
          </cell>
          <cell r="J411" t="str">
            <v/>
          </cell>
          <cell r="K411" t="str">
            <v/>
          </cell>
        </row>
        <row r="412">
          <cell r="B412" t="str">
            <v>7440-16-6</v>
          </cell>
          <cell r="C412" t="str">
            <v>Rhodium, Insoluble compounds, as Rh</v>
          </cell>
          <cell r="D412" t="str">
            <v/>
          </cell>
          <cell r="E412">
            <v>1</v>
          </cell>
          <cell r="F412" t="str">
            <v/>
          </cell>
          <cell r="G412" t="str">
            <v/>
          </cell>
          <cell r="H412" t="str">
            <v/>
          </cell>
          <cell r="I412" t="str">
            <v/>
          </cell>
          <cell r="J412" t="str">
            <v/>
          </cell>
          <cell r="K412" t="str">
            <v/>
          </cell>
        </row>
        <row r="413">
          <cell r="C413" t="str">
            <v>Rhodium, Metal(CAS 7440-16-6)</v>
          </cell>
          <cell r="D413" t="str">
            <v/>
          </cell>
          <cell r="E413">
            <v>0.1</v>
          </cell>
          <cell r="F413" t="str">
            <v/>
          </cell>
          <cell r="G413" t="str">
            <v/>
          </cell>
          <cell r="H413" t="str">
            <v/>
          </cell>
          <cell r="I413" t="str">
            <v/>
          </cell>
          <cell r="J413" t="str">
            <v/>
          </cell>
          <cell r="K413" t="str">
            <v/>
          </cell>
        </row>
        <row r="414">
          <cell r="B414" t="str">
            <v>7440-21-3</v>
          </cell>
          <cell r="C414" t="str">
            <v>Silicon</v>
          </cell>
          <cell r="D414" t="str">
            <v/>
          </cell>
          <cell r="E414">
            <v>10</v>
          </cell>
          <cell r="F414" t="str">
            <v/>
          </cell>
          <cell r="G414" t="str">
            <v/>
          </cell>
          <cell r="H414" t="str">
            <v/>
          </cell>
          <cell r="I414" t="str">
            <v/>
          </cell>
          <cell r="J414" t="str">
            <v/>
          </cell>
          <cell r="K414" t="str">
            <v/>
          </cell>
        </row>
        <row r="415">
          <cell r="B415" t="str">
            <v>7440-22-4</v>
          </cell>
          <cell r="C415" t="str">
            <v>Silver(Metal)</v>
          </cell>
          <cell r="D415" t="str">
            <v/>
          </cell>
          <cell r="E415">
            <v>0.1</v>
          </cell>
          <cell r="F415" t="str">
            <v/>
          </cell>
          <cell r="G415" t="str">
            <v/>
          </cell>
          <cell r="H415" t="str">
            <v/>
          </cell>
          <cell r="I415" t="str">
            <v/>
          </cell>
          <cell r="J415" t="str">
            <v/>
          </cell>
          <cell r="K415" t="str">
            <v/>
          </cell>
        </row>
        <row r="416">
          <cell r="C416" t="str">
            <v>Silver(Soluble compounds, as Ag)(CAS 7440-22-4)</v>
          </cell>
          <cell r="D416" t="str">
            <v/>
          </cell>
          <cell r="E416">
            <v>0.01</v>
          </cell>
          <cell r="F416" t="str">
            <v/>
          </cell>
          <cell r="G416" t="str">
            <v/>
          </cell>
          <cell r="H416" t="str">
            <v/>
          </cell>
          <cell r="I416" t="str">
            <v/>
          </cell>
          <cell r="J416" t="str">
            <v/>
          </cell>
          <cell r="K416" t="str">
            <v/>
          </cell>
        </row>
        <row r="417">
          <cell r="B417" t="str">
            <v>7440-28-0</v>
          </cell>
          <cell r="C417" t="str">
            <v>Thallium(Soluble compounds, as Tl)</v>
          </cell>
          <cell r="D417" t="str">
            <v/>
          </cell>
          <cell r="E417">
            <v>0.1</v>
          </cell>
          <cell r="F417" t="str">
            <v/>
          </cell>
          <cell r="G417" t="str">
            <v/>
          </cell>
          <cell r="H417" t="str">
            <v/>
          </cell>
          <cell r="I417" t="str">
            <v/>
          </cell>
          <cell r="J417" t="str">
            <v/>
          </cell>
          <cell r="K417" t="str">
            <v>Skin</v>
          </cell>
        </row>
        <row r="418">
          <cell r="B418" t="str">
            <v>7440-31-5</v>
          </cell>
          <cell r="C418" t="str">
            <v>Tin oxide &amp; Inorganic compounds except SnH4, as Sn</v>
          </cell>
          <cell r="D418" t="str">
            <v/>
          </cell>
          <cell r="E418">
            <v>2</v>
          </cell>
          <cell r="F418" t="str">
            <v/>
          </cell>
          <cell r="G418" t="str">
            <v/>
          </cell>
          <cell r="H418" t="str">
            <v/>
          </cell>
          <cell r="I418" t="str">
            <v/>
          </cell>
          <cell r="J418" t="str">
            <v/>
          </cell>
          <cell r="K418" t="str">
            <v>Skin</v>
          </cell>
        </row>
        <row r="419">
          <cell r="C419" t="str">
            <v>Tin(Metal)(CAS 7440-31-5)</v>
          </cell>
          <cell r="D419" t="str">
            <v/>
          </cell>
          <cell r="E419">
            <v>2</v>
          </cell>
          <cell r="F419" t="str">
            <v/>
          </cell>
          <cell r="G419" t="str">
            <v/>
          </cell>
          <cell r="H419" t="str">
            <v/>
          </cell>
          <cell r="I419" t="str">
            <v/>
          </cell>
          <cell r="J419" t="str">
            <v/>
          </cell>
          <cell r="K419" t="str">
            <v/>
          </cell>
        </row>
        <row r="420">
          <cell r="C420" t="str">
            <v>Tin(Organic compounds, as Sn)(CAS 7440-31-5)</v>
          </cell>
          <cell r="D420" t="str">
            <v/>
          </cell>
          <cell r="E420">
            <v>0.1</v>
          </cell>
          <cell r="F420" t="str">
            <v/>
          </cell>
          <cell r="G420" t="str">
            <v/>
          </cell>
          <cell r="H420" t="str">
            <v/>
          </cell>
          <cell r="I420" t="str">
            <v/>
          </cell>
          <cell r="J420" t="str">
            <v/>
          </cell>
          <cell r="K420" t="str">
            <v>Skin</v>
          </cell>
        </row>
        <row r="421">
          <cell r="B421" t="str">
            <v>7440-33-7</v>
          </cell>
          <cell r="C421" t="str">
            <v>Tungsten(Insoluble compounds)</v>
          </cell>
          <cell r="D421" t="str">
            <v/>
          </cell>
          <cell r="E421">
            <v>5</v>
          </cell>
          <cell r="F421" t="str">
            <v/>
          </cell>
          <cell r="G421" t="str">
            <v/>
          </cell>
          <cell r="H421">
            <v>10</v>
          </cell>
          <cell r="I421" t="str">
            <v/>
          </cell>
          <cell r="J421" t="str">
            <v/>
          </cell>
          <cell r="K421" t="str">
            <v/>
          </cell>
        </row>
        <row r="422">
          <cell r="C422" t="str">
            <v>Tungsten(Soluble compounds)(CAS 7440-33-7)</v>
          </cell>
          <cell r="D422" t="str">
            <v/>
          </cell>
          <cell r="E422">
            <v>1</v>
          </cell>
          <cell r="F422" t="str">
            <v/>
          </cell>
          <cell r="G422" t="str">
            <v/>
          </cell>
          <cell r="H422">
            <v>3</v>
          </cell>
          <cell r="I422" t="str">
            <v/>
          </cell>
          <cell r="J422" t="str">
            <v/>
          </cell>
          <cell r="K422" t="str">
            <v/>
          </cell>
        </row>
        <row r="423">
          <cell r="B423" t="str">
            <v>7440-36-0</v>
          </cell>
          <cell r="C423" t="str">
            <v>Antimony &amp; compounds, as Sb</v>
          </cell>
          <cell r="D423" t="str">
            <v/>
          </cell>
          <cell r="E423">
            <v>0.5</v>
          </cell>
          <cell r="F423" t="str">
            <v/>
          </cell>
          <cell r="G423" t="str">
            <v/>
          </cell>
          <cell r="H423" t="str">
            <v/>
          </cell>
          <cell r="I423" t="str">
            <v/>
          </cell>
          <cell r="J423" t="str">
            <v/>
          </cell>
          <cell r="K423" t="str">
            <v/>
          </cell>
        </row>
        <row r="424">
          <cell r="B424" t="str">
            <v>7440-38-2</v>
          </cell>
          <cell r="C424" t="str">
            <v>Arsenic &amp; inorganic compounds, as As</v>
          </cell>
          <cell r="D424" t="str">
            <v/>
          </cell>
          <cell r="E424">
            <v>0.01</v>
          </cell>
          <cell r="F424" t="str">
            <v/>
          </cell>
          <cell r="G424" t="str">
            <v/>
          </cell>
          <cell r="H424" t="str">
            <v/>
          </cell>
          <cell r="I424" t="str">
            <v/>
          </cell>
          <cell r="J424" t="str">
            <v/>
          </cell>
          <cell r="K424" t="str">
            <v/>
          </cell>
        </row>
        <row r="425">
          <cell r="B425" t="str">
            <v>7440-39-3</v>
          </cell>
          <cell r="C425" t="str">
            <v>Barium(Soluble compounds, as Ba)</v>
          </cell>
          <cell r="D425" t="str">
            <v/>
          </cell>
          <cell r="E425">
            <v>0.5</v>
          </cell>
          <cell r="F425" t="str">
            <v/>
          </cell>
          <cell r="G425" t="str">
            <v/>
          </cell>
          <cell r="H425" t="str">
            <v/>
          </cell>
          <cell r="I425" t="str">
            <v/>
          </cell>
          <cell r="J425" t="str">
            <v/>
          </cell>
          <cell r="K425" t="str">
            <v/>
          </cell>
        </row>
        <row r="426">
          <cell r="B426" t="str">
            <v>7440-41-7</v>
          </cell>
          <cell r="C426" t="str">
            <v>Beryllium &amp; Compounds</v>
          </cell>
          <cell r="D426" t="str">
            <v/>
          </cell>
          <cell r="E426">
            <v>2E-3</v>
          </cell>
          <cell r="F426" t="str">
            <v/>
          </cell>
          <cell r="G426" t="str">
            <v/>
          </cell>
          <cell r="H426">
            <v>0.01</v>
          </cell>
          <cell r="I426" t="str">
            <v/>
          </cell>
          <cell r="J426" t="str">
            <v/>
          </cell>
          <cell r="K426" t="str">
            <v>Skin</v>
          </cell>
        </row>
        <row r="427">
          <cell r="B427" t="str">
            <v>7440-43-9</v>
          </cell>
          <cell r="C427" t="str">
            <v>Cadmium and compounds, as Cd(Respirable fraction)</v>
          </cell>
          <cell r="D427" t="str">
            <v/>
          </cell>
          <cell r="E427">
            <v>0.01</v>
          </cell>
          <cell r="F427" t="str">
            <v/>
          </cell>
          <cell r="G427" t="str">
            <v/>
          </cell>
          <cell r="H427" t="str">
            <v/>
          </cell>
          <cell r="I427" t="str">
            <v/>
          </cell>
          <cell r="J427" t="str">
            <v/>
          </cell>
          <cell r="K427" t="str">
            <v/>
          </cell>
        </row>
        <row r="428">
          <cell r="B428" t="str">
            <v>7440-47-3</v>
          </cell>
          <cell r="C428" t="str">
            <v>Chromite ore processing(Chromate), as Cr</v>
          </cell>
          <cell r="D428" t="str">
            <v/>
          </cell>
          <cell r="E428">
            <v>0.05</v>
          </cell>
          <cell r="F428" t="str">
            <v/>
          </cell>
          <cell r="G428" t="str">
            <v/>
          </cell>
          <cell r="H428" t="str">
            <v/>
          </cell>
          <cell r="I428" t="str">
            <v/>
          </cell>
          <cell r="J428" t="str">
            <v/>
          </cell>
          <cell r="K428" t="str">
            <v/>
          </cell>
        </row>
        <row r="429">
          <cell r="C429" t="str">
            <v>Chromium(Ⅱ)compounds, as Cr(CAS 7440-47-3)</v>
          </cell>
          <cell r="D429" t="str">
            <v/>
          </cell>
          <cell r="E429">
            <v>0.5</v>
          </cell>
          <cell r="F429" t="str">
            <v/>
          </cell>
          <cell r="G429" t="str">
            <v/>
          </cell>
          <cell r="H429" t="str">
            <v/>
          </cell>
          <cell r="I429" t="str">
            <v/>
          </cell>
          <cell r="J429" t="str">
            <v/>
          </cell>
          <cell r="K429" t="str">
            <v/>
          </cell>
        </row>
        <row r="430">
          <cell r="C430" t="str">
            <v>Chromium(Ⅲ)compounds, as Cr(CAS 7440-47-3)</v>
          </cell>
          <cell r="D430" t="str">
            <v/>
          </cell>
          <cell r="E430">
            <v>0.5</v>
          </cell>
          <cell r="F430" t="str">
            <v/>
          </cell>
          <cell r="G430" t="str">
            <v/>
          </cell>
          <cell r="H430" t="str">
            <v/>
          </cell>
          <cell r="I430" t="str">
            <v/>
          </cell>
          <cell r="J430" t="str">
            <v/>
          </cell>
          <cell r="K430" t="str">
            <v/>
          </cell>
        </row>
        <row r="431">
          <cell r="C431" t="str">
            <v>Chromium(Metal)(CAS 7440-47-3)</v>
          </cell>
          <cell r="D431" t="str">
            <v/>
          </cell>
          <cell r="E431">
            <v>0.5</v>
          </cell>
          <cell r="F431" t="str">
            <v/>
          </cell>
          <cell r="G431" t="str">
            <v/>
          </cell>
          <cell r="H431" t="str">
            <v/>
          </cell>
          <cell r="I431" t="str">
            <v/>
          </cell>
          <cell r="J431" t="str">
            <v/>
          </cell>
          <cell r="K431" t="str">
            <v/>
          </cell>
        </row>
        <row r="432">
          <cell r="B432" t="str">
            <v>7440-48-4</v>
          </cell>
          <cell r="C432" t="str">
            <v>Cobalt(Metal dust &amp; fume)</v>
          </cell>
          <cell r="D432" t="str">
            <v/>
          </cell>
          <cell r="E432">
            <v>0.02</v>
          </cell>
          <cell r="F432" t="str">
            <v/>
          </cell>
          <cell r="G432" t="str">
            <v/>
          </cell>
          <cell r="H432" t="str">
            <v/>
          </cell>
          <cell r="I432" t="str">
            <v/>
          </cell>
          <cell r="J432" t="str">
            <v/>
          </cell>
          <cell r="K432" t="str">
            <v/>
          </cell>
        </row>
        <row r="433">
          <cell r="B433" t="str">
            <v>7440-50-8</v>
          </cell>
          <cell r="C433" t="str">
            <v>Copper(Dust &amp; mist, as Cu)</v>
          </cell>
          <cell r="D433" t="str">
            <v/>
          </cell>
          <cell r="E433">
            <v>1</v>
          </cell>
          <cell r="F433" t="str">
            <v/>
          </cell>
          <cell r="G433" t="str">
            <v/>
          </cell>
          <cell r="H433">
            <v>2</v>
          </cell>
          <cell r="I433" t="str">
            <v/>
          </cell>
          <cell r="J433" t="str">
            <v/>
          </cell>
          <cell r="K433" t="str">
            <v/>
          </cell>
        </row>
        <row r="434">
          <cell r="C434" t="str">
            <v>Copper(Fume)(CAS 7440-50-8)</v>
          </cell>
          <cell r="D434" t="str">
            <v/>
          </cell>
          <cell r="E434">
            <v>0.1</v>
          </cell>
          <cell r="F434" t="str">
            <v/>
          </cell>
          <cell r="G434" t="str">
            <v/>
          </cell>
          <cell r="H434" t="str">
            <v/>
          </cell>
          <cell r="I434" t="str">
            <v/>
          </cell>
          <cell r="J434" t="str">
            <v/>
          </cell>
          <cell r="K434" t="str">
            <v/>
          </cell>
        </row>
        <row r="435">
          <cell r="B435" t="str">
            <v>7440-58-6</v>
          </cell>
          <cell r="C435" t="str">
            <v>Hafnium</v>
          </cell>
          <cell r="D435" t="str">
            <v/>
          </cell>
          <cell r="E435">
            <v>0.5</v>
          </cell>
          <cell r="F435" t="str">
            <v/>
          </cell>
          <cell r="G435" t="str">
            <v/>
          </cell>
          <cell r="H435" t="str">
            <v/>
          </cell>
          <cell r="I435" t="str">
            <v/>
          </cell>
          <cell r="J435" t="str">
            <v/>
          </cell>
          <cell r="K435" t="str">
            <v/>
          </cell>
        </row>
        <row r="436">
          <cell r="B436" t="str">
            <v>7440-61-1</v>
          </cell>
          <cell r="C436" t="str">
            <v>Uranium(Soluble &amp; insoluble compounds, as U)</v>
          </cell>
          <cell r="D436" t="str">
            <v/>
          </cell>
          <cell r="E436">
            <v>0.2</v>
          </cell>
          <cell r="F436" t="str">
            <v/>
          </cell>
          <cell r="G436" t="str">
            <v/>
          </cell>
          <cell r="H436">
            <v>0.6</v>
          </cell>
          <cell r="I436" t="str">
            <v/>
          </cell>
          <cell r="J436" t="str">
            <v/>
          </cell>
          <cell r="K436" t="str">
            <v/>
          </cell>
        </row>
        <row r="437">
          <cell r="B437" t="str">
            <v>7440-65-5</v>
          </cell>
          <cell r="C437" t="str">
            <v>Yttrium(Metal &amp; compounds, as Y)</v>
          </cell>
          <cell r="D437" t="str">
            <v/>
          </cell>
          <cell r="E437">
            <v>1</v>
          </cell>
          <cell r="F437" t="str">
            <v/>
          </cell>
          <cell r="G437" t="str">
            <v/>
          </cell>
          <cell r="H437" t="str">
            <v/>
          </cell>
          <cell r="I437" t="str">
            <v/>
          </cell>
          <cell r="J437" t="str">
            <v/>
          </cell>
          <cell r="K437" t="str">
            <v/>
          </cell>
        </row>
        <row r="438">
          <cell r="B438" t="str">
            <v>7440-67-7</v>
          </cell>
          <cell r="C438" t="str">
            <v>Zirconium compounds, as Zr</v>
          </cell>
          <cell r="D438" t="str">
            <v/>
          </cell>
          <cell r="E438">
            <v>5</v>
          </cell>
          <cell r="F438" t="str">
            <v/>
          </cell>
          <cell r="G438" t="str">
            <v/>
          </cell>
          <cell r="H438">
            <v>10</v>
          </cell>
          <cell r="I438" t="str">
            <v/>
          </cell>
          <cell r="J438" t="str">
            <v/>
          </cell>
          <cell r="K438" t="str">
            <v/>
          </cell>
        </row>
        <row r="439">
          <cell r="B439" t="str">
            <v>7440-74-6</v>
          </cell>
          <cell r="C439" t="str">
            <v>Indium &amp; compounds, as In</v>
          </cell>
          <cell r="D439" t="str">
            <v/>
          </cell>
          <cell r="E439">
            <v>0.1</v>
          </cell>
          <cell r="F439" t="str">
            <v/>
          </cell>
          <cell r="G439" t="str">
            <v/>
          </cell>
          <cell r="H439" t="str">
            <v/>
          </cell>
          <cell r="I439" t="str">
            <v/>
          </cell>
          <cell r="J439" t="str">
            <v/>
          </cell>
          <cell r="K439" t="str">
            <v/>
          </cell>
        </row>
        <row r="440">
          <cell r="B440" t="str">
            <v>7446-09-5</v>
          </cell>
          <cell r="C440" t="str">
            <v>Sulfur dioxide</v>
          </cell>
          <cell r="D440">
            <v>2</v>
          </cell>
          <cell r="E440">
            <v>5</v>
          </cell>
          <cell r="F440" t="str">
            <v/>
          </cell>
          <cell r="G440">
            <v>5</v>
          </cell>
          <cell r="H440">
            <v>10</v>
          </cell>
          <cell r="I440" t="str">
            <v/>
          </cell>
          <cell r="J440" t="str">
            <v/>
          </cell>
          <cell r="K440" t="str">
            <v/>
          </cell>
        </row>
        <row r="441">
          <cell r="B441" t="str">
            <v>74-83-9</v>
          </cell>
          <cell r="C441" t="str">
            <v>Methyl bromide</v>
          </cell>
          <cell r="D441">
            <v>1</v>
          </cell>
          <cell r="E441">
            <v>3.9</v>
          </cell>
          <cell r="F441" t="str">
            <v/>
          </cell>
          <cell r="G441" t="str">
            <v/>
          </cell>
          <cell r="H441" t="str">
            <v/>
          </cell>
          <cell r="I441" t="str">
            <v/>
          </cell>
          <cell r="J441" t="str">
            <v/>
          </cell>
          <cell r="K441" t="str">
            <v>Skin</v>
          </cell>
        </row>
        <row r="442">
          <cell r="B442" t="str">
            <v>74-87-3</v>
          </cell>
          <cell r="C442" t="str">
            <v>Methyl chloride</v>
          </cell>
          <cell r="D442">
            <v>50</v>
          </cell>
          <cell r="E442">
            <v>105</v>
          </cell>
          <cell r="F442" t="str">
            <v/>
          </cell>
          <cell r="G442">
            <v>100</v>
          </cell>
          <cell r="H442">
            <v>205</v>
          </cell>
          <cell r="I442" t="str">
            <v/>
          </cell>
          <cell r="J442" t="str">
            <v/>
          </cell>
          <cell r="K442" t="str">
            <v>Skin</v>
          </cell>
        </row>
        <row r="443">
          <cell r="B443" t="str">
            <v>74-88-4</v>
          </cell>
          <cell r="C443" t="str">
            <v>Methyl iodide</v>
          </cell>
          <cell r="D443">
            <v>2</v>
          </cell>
          <cell r="E443">
            <v>10</v>
          </cell>
          <cell r="F443" t="str">
            <v/>
          </cell>
          <cell r="G443" t="str">
            <v/>
          </cell>
          <cell r="H443" t="str">
            <v/>
          </cell>
          <cell r="I443" t="str">
            <v/>
          </cell>
          <cell r="J443" t="str">
            <v/>
          </cell>
          <cell r="K443" t="str">
            <v>Skin</v>
          </cell>
        </row>
        <row r="444">
          <cell r="B444" t="str">
            <v>74-89-5</v>
          </cell>
          <cell r="C444" t="str">
            <v>Methyl amine</v>
          </cell>
          <cell r="D444">
            <v>5</v>
          </cell>
          <cell r="E444">
            <v>6</v>
          </cell>
          <cell r="F444" t="str">
            <v/>
          </cell>
          <cell r="G444">
            <v>15</v>
          </cell>
          <cell r="H444">
            <v>19</v>
          </cell>
          <cell r="I444" t="str">
            <v/>
          </cell>
          <cell r="J444" t="str">
            <v/>
          </cell>
          <cell r="K444" t="str">
            <v/>
          </cell>
        </row>
        <row r="445">
          <cell r="B445" t="str">
            <v>74-90-8</v>
          </cell>
          <cell r="C445" t="str">
            <v>Hydrogen cyanide</v>
          </cell>
          <cell r="D445" t="str">
            <v/>
          </cell>
          <cell r="E445" t="str">
            <v/>
          </cell>
          <cell r="F445" t="str">
            <v/>
          </cell>
          <cell r="G445" t="str">
            <v/>
          </cell>
          <cell r="H445" t="str">
            <v/>
          </cell>
          <cell r="I445">
            <v>4.7</v>
          </cell>
          <cell r="J445">
            <v>5.2</v>
          </cell>
          <cell r="K445" t="str">
            <v>Skin</v>
          </cell>
        </row>
        <row r="446">
          <cell r="B446" t="str">
            <v>74-93-1</v>
          </cell>
          <cell r="C446" t="str">
            <v>Methyl mercaptan</v>
          </cell>
          <cell r="D446">
            <v>0.5</v>
          </cell>
          <cell r="E446">
            <v>1</v>
          </cell>
          <cell r="F446" t="str">
            <v/>
          </cell>
          <cell r="G446" t="str">
            <v/>
          </cell>
          <cell r="H446" t="str">
            <v/>
          </cell>
          <cell r="I446" t="str">
            <v/>
          </cell>
          <cell r="J446" t="str">
            <v/>
          </cell>
          <cell r="K446" t="str">
            <v/>
          </cell>
        </row>
        <row r="447">
          <cell r="B447" t="str">
            <v>74-96-4</v>
          </cell>
          <cell r="C447" t="str">
            <v>Ethyl bromide</v>
          </cell>
          <cell r="D447">
            <v>5</v>
          </cell>
          <cell r="E447">
            <v>22</v>
          </cell>
          <cell r="F447" t="str">
            <v/>
          </cell>
          <cell r="G447" t="str">
            <v/>
          </cell>
          <cell r="H447" t="str">
            <v/>
          </cell>
          <cell r="I447" t="str">
            <v/>
          </cell>
          <cell r="J447" t="str">
            <v/>
          </cell>
          <cell r="K447" t="str">
            <v>Skin</v>
          </cell>
        </row>
        <row r="448">
          <cell r="B448" t="str">
            <v>74-97-5</v>
          </cell>
          <cell r="C448" t="str">
            <v>Bromochloromethane</v>
          </cell>
          <cell r="D448">
            <v>200</v>
          </cell>
          <cell r="E448">
            <v>1050</v>
          </cell>
          <cell r="F448" t="str">
            <v/>
          </cell>
          <cell r="G448">
            <v>250</v>
          </cell>
          <cell r="H448">
            <v>1300</v>
          </cell>
          <cell r="I448" t="str">
            <v/>
          </cell>
          <cell r="J448" t="str">
            <v/>
          </cell>
          <cell r="K448" t="str">
            <v/>
          </cell>
        </row>
        <row r="449">
          <cell r="B449" t="str">
            <v>74-99-7</v>
          </cell>
          <cell r="C449" t="str">
            <v>Methyl acetylene</v>
          </cell>
          <cell r="D449">
            <v>1000</v>
          </cell>
          <cell r="E449">
            <v>1650</v>
          </cell>
          <cell r="F449" t="str">
            <v/>
          </cell>
          <cell r="G449">
            <v>1250</v>
          </cell>
          <cell r="H449">
            <v>2040</v>
          </cell>
          <cell r="I449" t="str">
            <v/>
          </cell>
          <cell r="J449" t="str">
            <v/>
          </cell>
          <cell r="K449" t="str">
            <v/>
          </cell>
        </row>
        <row r="450">
          <cell r="B450" t="str">
            <v>75-00-3</v>
          </cell>
          <cell r="C450" t="str">
            <v>Ethyl chloride</v>
          </cell>
          <cell r="D450">
            <v>1000</v>
          </cell>
          <cell r="E450">
            <v>2600</v>
          </cell>
          <cell r="F450" t="str">
            <v/>
          </cell>
          <cell r="G450" t="str">
            <v/>
          </cell>
          <cell r="H450" t="str">
            <v/>
          </cell>
          <cell r="I450" t="str">
            <v/>
          </cell>
          <cell r="J450" t="str">
            <v/>
          </cell>
          <cell r="K450" t="str">
            <v>Skin</v>
          </cell>
        </row>
        <row r="451">
          <cell r="B451" t="str">
            <v>75-01-4</v>
          </cell>
          <cell r="C451" t="str">
            <v>Vinyl chloride</v>
          </cell>
          <cell r="D451">
            <v>1</v>
          </cell>
          <cell r="E451" t="str">
            <v/>
          </cell>
          <cell r="F451" t="str">
            <v/>
          </cell>
          <cell r="G451" t="str">
            <v/>
          </cell>
          <cell r="H451" t="str">
            <v/>
          </cell>
          <cell r="I451" t="str">
            <v/>
          </cell>
          <cell r="J451" t="str">
            <v/>
          </cell>
          <cell r="K451" t="str">
            <v/>
          </cell>
        </row>
        <row r="452">
          <cell r="B452" t="str">
            <v>75-04-7</v>
          </cell>
          <cell r="C452" t="str">
            <v>Ethyl amine</v>
          </cell>
          <cell r="D452">
            <v>5</v>
          </cell>
          <cell r="E452">
            <v>9</v>
          </cell>
          <cell r="F452" t="str">
            <v/>
          </cell>
          <cell r="G452">
            <v>15</v>
          </cell>
          <cell r="H452">
            <v>28</v>
          </cell>
          <cell r="I452" t="str">
            <v/>
          </cell>
          <cell r="J452" t="str">
            <v/>
          </cell>
          <cell r="K452" t="str">
            <v>Skin</v>
          </cell>
        </row>
        <row r="453">
          <cell r="B453" t="str">
            <v>75-05-8</v>
          </cell>
          <cell r="C453" t="str">
            <v>Acetonitrile</v>
          </cell>
          <cell r="D453">
            <v>20</v>
          </cell>
          <cell r="E453">
            <v>33</v>
          </cell>
          <cell r="F453" t="str">
            <v/>
          </cell>
          <cell r="G453" t="str">
            <v/>
          </cell>
          <cell r="H453" t="str">
            <v/>
          </cell>
          <cell r="I453" t="str">
            <v/>
          </cell>
          <cell r="J453" t="str">
            <v/>
          </cell>
          <cell r="K453" t="str">
            <v>Skin</v>
          </cell>
        </row>
        <row r="454">
          <cell r="B454" t="str">
            <v>75-07-0</v>
          </cell>
          <cell r="C454" t="str">
            <v>Acetaldehyde</v>
          </cell>
          <cell r="D454">
            <v>50</v>
          </cell>
          <cell r="E454">
            <v>90</v>
          </cell>
          <cell r="F454" t="str">
            <v/>
          </cell>
          <cell r="G454">
            <v>150</v>
          </cell>
          <cell r="H454">
            <v>270</v>
          </cell>
          <cell r="I454" t="str">
            <v/>
          </cell>
          <cell r="J454" t="str">
            <v/>
          </cell>
          <cell r="K454" t="str">
            <v/>
          </cell>
        </row>
        <row r="455">
          <cell r="B455" t="str">
            <v>75-08-1</v>
          </cell>
          <cell r="C455" t="str">
            <v>Ethyl mercaptan</v>
          </cell>
          <cell r="D455">
            <v>0.5</v>
          </cell>
          <cell r="E455">
            <v>1</v>
          </cell>
          <cell r="F455" t="str">
            <v/>
          </cell>
          <cell r="G455" t="str">
            <v/>
          </cell>
          <cell r="H455" t="str">
            <v/>
          </cell>
          <cell r="I455" t="str">
            <v/>
          </cell>
          <cell r="J455" t="str">
            <v/>
          </cell>
          <cell r="K455" t="str">
            <v/>
          </cell>
        </row>
        <row r="456">
          <cell r="B456" t="str">
            <v>75-09-2</v>
          </cell>
          <cell r="C456" t="str">
            <v>Dichloromethane</v>
          </cell>
          <cell r="D456">
            <v>50</v>
          </cell>
          <cell r="E456">
            <v>175</v>
          </cell>
          <cell r="F456" t="str">
            <v/>
          </cell>
          <cell r="G456" t="str">
            <v/>
          </cell>
          <cell r="H456" t="str">
            <v/>
          </cell>
          <cell r="I456" t="str">
            <v/>
          </cell>
          <cell r="J456" t="str">
            <v/>
          </cell>
          <cell r="K456" t="str">
            <v/>
          </cell>
        </row>
        <row r="457">
          <cell r="B457" t="str">
            <v>75-12-7</v>
          </cell>
          <cell r="C457" t="str">
            <v>Formamide</v>
          </cell>
          <cell r="D457">
            <v>10</v>
          </cell>
          <cell r="E457">
            <v>15</v>
          </cell>
          <cell r="F457" t="str">
            <v/>
          </cell>
          <cell r="G457" t="str">
            <v/>
          </cell>
          <cell r="H457" t="str">
            <v/>
          </cell>
          <cell r="I457" t="str">
            <v/>
          </cell>
          <cell r="J457" t="str">
            <v/>
          </cell>
          <cell r="K457" t="str">
            <v>Skin</v>
          </cell>
        </row>
        <row r="458">
          <cell r="B458" t="str">
            <v>75-15-0</v>
          </cell>
          <cell r="C458" t="str">
            <v>Carbon disulfide</v>
          </cell>
          <cell r="D458">
            <v>10</v>
          </cell>
          <cell r="E458">
            <v>30</v>
          </cell>
          <cell r="F458" t="str">
            <v/>
          </cell>
          <cell r="G458" t="str">
            <v/>
          </cell>
          <cell r="H458" t="str">
            <v/>
          </cell>
          <cell r="I458" t="str">
            <v/>
          </cell>
          <cell r="J458" t="str">
            <v/>
          </cell>
          <cell r="K458" t="str">
            <v>Skin</v>
          </cell>
        </row>
        <row r="459">
          <cell r="B459" t="str">
            <v>75-21-8</v>
          </cell>
          <cell r="C459" t="str">
            <v>Ethylene oxide</v>
          </cell>
          <cell r="D459">
            <v>1</v>
          </cell>
          <cell r="E459">
            <v>2</v>
          </cell>
          <cell r="F459" t="str">
            <v/>
          </cell>
          <cell r="G459" t="str">
            <v/>
          </cell>
          <cell r="H459" t="str">
            <v/>
          </cell>
          <cell r="I459" t="str">
            <v/>
          </cell>
          <cell r="J459" t="str">
            <v/>
          </cell>
          <cell r="K459" t="str">
            <v/>
          </cell>
        </row>
        <row r="460">
          <cell r="B460" t="str">
            <v>75-25-2</v>
          </cell>
          <cell r="C460" t="str">
            <v>Bromoform</v>
          </cell>
          <cell r="D460">
            <v>0.5</v>
          </cell>
          <cell r="E460">
            <v>5</v>
          </cell>
          <cell r="F460" t="str">
            <v/>
          </cell>
          <cell r="G460" t="str">
            <v/>
          </cell>
          <cell r="H460" t="str">
            <v/>
          </cell>
          <cell r="I460" t="str">
            <v/>
          </cell>
          <cell r="J460" t="str">
            <v/>
          </cell>
          <cell r="K460" t="str">
            <v>Skin</v>
          </cell>
        </row>
        <row r="461">
          <cell r="B461" t="str">
            <v>75-26-3</v>
          </cell>
          <cell r="C461" t="str">
            <v>2-Bromopropane</v>
          </cell>
          <cell r="D461">
            <v>1</v>
          </cell>
          <cell r="E461">
            <v>5</v>
          </cell>
          <cell r="F461" t="str">
            <v/>
          </cell>
          <cell r="G461" t="str">
            <v/>
          </cell>
          <cell r="H461" t="str">
            <v/>
          </cell>
          <cell r="I461" t="str">
            <v/>
          </cell>
          <cell r="J461" t="str">
            <v/>
          </cell>
          <cell r="K461" t="str">
            <v/>
          </cell>
        </row>
        <row r="462">
          <cell r="B462" t="str">
            <v>75-31-0</v>
          </cell>
          <cell r="C462" t="str">
            <v>Isopropylamine</v>
          </cell>
          <cell r="D462">
            <v>5</v>
          </cell>
          <cell r="E462">
            <v>12</v>
          </cell>
          <cell r="F462" t="str">
            <v/>
          </cell>
          <cell r="G462">
            <v>10</v>
          </cell>
          <cell r="H462">
            <v>24</v>
          </cell>
          <cell r="I462" t="str">
            <v/>
          </cell>
          <cell r="J462" t="str">
            <v/>
          </cell>
          <cell r="K462" t="str">
            <v/>
          </cell>
        </row>
        <row r="463">
          <cell r="B463" t="str">
            <v>75-34-3</v>
          </cell>
          <cell r="C463" t="str">
            <v>1,1-Dichloroethane</v>
          </cell>
          <cell r="D463">
            <v>100</v>
          </cell>
          <cell r="E463">
            <v>405</v>
          </cell>
          <cell r="F463" t="str">
            <v/>
          </cell>
          <cell r="G463" t="str">
            <v/>
          </cell>
          <cell r="H463" t="str">
            <v/>
          </cell>
          <cell r="I463" t="str">
            <v/>
          </cell>
          <cell r="J463" t="str">
            <v/>
          </cell>
          <cell r="K463" t="str">
            <v/>
          </cell>
        </row>
        <row r="464">
          <cell r="B464" t="str">
            <v>75-35-4</v>
          </cell>
          <cell r="C464" t="str">
            <v>1,1-Dichloroethylene</v>
          </cell>
          <cell r="D464">
            <v>5</v>
          </cell>
          <cell r="E464">
            <v>20</v>
          </cell>
          <cell r="F464" t="str">
            <v/>
          </cell>
          <cell r="G464">
            <v>20</v>
          </cell>
          <cell r="H464">
            <v>80</v>
          </cell>
          <cell r="I464" t="str">
            <v/>
          </cell>
          <cell r="J464" t="str">
            <v/>
          </cell>
          <cell r="K464" t="str">
            <v/>
          </cell>
        </row>
        <row r="465">
          <cell r="B465" t="str">
            <v>75-43-4</v>
          </cell>
          <cell r="C465" t="str">
            <v>Dichlorofluoromethane</v>
          </cell>
          <cell r="D465">
            <v>10</v>
          </cell>
          <cell r="E465">
            <v>40</v>
          </cell>
          <cell r="F465" t="str">
            <v/>
          </cell>
          <cell r="G465" t="str">
            <v/>
          </cell>
          <cell r="H465" t="str">
            <v/>
          </cell>
          <cell r="I465" t="str">
            <v/>
          </cell>
          <cell r="J465" t="str">
            <v/>
          </cell>
          <cell r="K465" t="str">
            <v/>
          </cell>
        </row>
        <row r="466">
          <cell r="B466" t="str">
            <v>75-44-5</v>
          </cell>
          <cell r="C466" t="str">
            <v>Phosgene</v>
          </cell>
          <cell r="D466">
            <v>0.1</v>
          </cell>
          <cell r="E466">
            <v>0.4</v>
          </cell>
          <cell r="F466" t="str">
            <v/>
          </cell>
          <cell r="G466" t="str">
            <v/>
          </cell>
          <cell r="H466" t="str">
            <v/>
          </cell>
          <cell r="I466" t="str">
            <v/>
          </cell>
          <cell r="J466" t="str">
            <v/>
          </cell>
          <cell r="K466" t="str">
            <v/>
          </cell>
        </row>
        <row r="467">
          <cell r="B467" t="str">
            <v>75-45-6</v>
          </cell>
          <cell r="C467" t="str">
            <v>Chlorodifluoromethane</v>
          </cell>
          <cell r="D467">
            <v>1000</v>
          </cell>
          <cell r="E467">
            <v>3500</v>
          </cell>
          <cell r="F467" t="str">
            <v/>
          </cell>
          <cell r="G467">
            <v>1250</v>
          </cell>
          <cell r="H467">
            <v>4375</v>
          </cell>
          <cell r="I467" t="str">
            <v/>
          </cell>
          <cell r="J467" t="str">
            <v/>
          </cell>
          <cell r="K467" t="str">
            <v/>
          </cell>
        </row>
        <row r="468">
          <cell r="B468" t="str">
            <v>75-47-8</v>
          </cell>
          <cell r="C468" t="str">
            <v>Iodoform</v>
          </cell>
          <cell r="D468">
            <v>0.6</v>
          </cell>
          <cell r="E468">
            <v>10</v>
          </cell>
          <cell r="F468" t="str">
            <v/>
          </cell>
          <cell r="G468" t="str">
            <v/>
          </cell>
          <cell r="H468" t="str">
            <v/>
          </cell>
          <cell r="I468" t="str">
            <v/>
          </cell>
          <cell r="J468" t="str">
            <v/>
          </cell>
          <cell r="K468" t="str">
            <v/>
          </cell>
        </row>
        <row r="469">
          <cell r="B469" t="str">
            <v>75-50-3</v>
          </cell>
          <cell r="C469" t="str">
            <v>Trimethylamine</v>
          </cell>
          <cell r="D469">
            <v>5</v>
          </cell>
          <cell r="E469">
            <v>13.2</v>
          </cell>
          <cell r="F469" t="str">
            <v/>
          </cell>
          <cell r="G469">
            <v>15</v>
          </cell>
          <cell r="H469">
            <v>36</v>
          </cell>
          <cell r="I469" t="str">
            <v/>
          </cell>
          <cell r="J469" t="str">
            <v/>
          </cell>
          <cell r="K469" t="str">
            <v/>
          </cell>
        </row>
        <row r="470">
          <cell r="B470" t="str">
            <v>75-52-5</v>
          </cell>
          <cell r="C470" t="str">
            <v>Nitromethane</v>
          </cell>
          <cell r="D470">
            <v>20</v>
          </cell>
          <cell r="E470">
            <v>50</v>
          </cell>
          <cell r="F470" t="str">
            <v/>
          </cell>
          <cell r="G470" t="str">
            <v/>
          </cell>
          <cell r="H470" t="str">
            <v/>
          </cell>
          <cell r="I470" t="str">
            <v/>
          </cell>
          <cell r="J470" t="str">
            <v/>
          </cell>
          <cell r="K470" t="str">
            <v/>
          </cell>
        </row>
        <row r="471">
          <cell r="B471" t="str">
            <v>7553-56-2</v>
          </cell>
          <cell r="C471" t="str">
            <v>Iodine and iodides</v>
          </cell>
          <cell r="D471">
            <v>0.01</v>
          </cell>
          <cell r="E471">
            <v>0.1</v>
          </cell>
          <cell r="F471" t="str">
            <v/>
          </cell>
          <cell r="G471">
            <v>0.1</v>
          </cell>
          <cell r="H471">
            <v>1</v>
          </cell>
          <cell r="I471" t="str">
            <v/>
          </cell>
          <cell r="J471" t="str">
            <v/>
          </cell>
          <cell r="K471" t="str">
            <v/>
          </cell>
        </row>
        <row r="472">
          <cell r="B472" t="str">
            <v>75-55-8</v>
          </cell>
          <cell r="C472" t="str">
            <v>Propylene imine</v>
          </cell>
          <cell r="D472">
            <v>2</v>
          </cell>
          <cell r="E472">
            <v>5</v>
          </cell>
          <cell r="F472" t="str">
            <v/>
          </cell>
          <cell r="G472" t="str">
            <v/>
          </cell>
          <cell r="H472" t="str">
            <v/>
          </cell>
          <cell r="I472" t="str">
            <v/>
          </cell>
          <cell r="J472" t="str">
            <v/>
          </cell>
          <cell r="K472" t="str">
            <v>Skin</v>
          </cell>
        </row>
        <row r="473">
          <cell r="B473" t="str">
            <v>75-56-9</v>
          </cell>
          <cell r="C473" t="str">
            <v>1,2-Epoxypropane</v>
          </cell>
          <cell r="D473">
            <v>2</v>
          </cell>
          <cell r="E473">
            <v>5</v>
          </cell>
          <cell r="F473" t="str">
            <v/>
          </cell>
          <cell r="G473" t="str">
            <v/>
          </cell>
          <cell r="H473" t="str">
            <v/>
          </cell>
          <cell r="I473" t="str">
            <v/>
          </cell>
          <cell r="J473" t="str">
            <v/>
          </cell>
          <cell r="K473" t="str">
            <v/>
          </cell>
        </row>
        <row r="474">
          <cell r="B474" t="str">
            <v>75-61-6</v>
          </cell>
          <cell r="C474" t="str">
            <v>Difluorodibromomethane</v>
          </cell>
          <cell r="D474">
            <v>100</v>
          </cell>
          <cell r="E474">
            <v>860</v>
          </cell>
          <cell r="F474" t="str">
            <v/>
          </cell>
          <cell r="G474" t="str">
            <v/>
          </cell>
          <cell r="H474" t="str">
            <v/>
          </cell>
          <cell r="I474" t="str">
            <v/>
          </cell>
          <cell r="J474" t="str">
            <v/>
          </cell>
          <cell r="K474" t="str">
            <v/>
          </cell>
        </row>
        <row r="475">
          <cell r="B475" t="str">
            <v>75-63-8</v>
          </cell>
          <cell r="C475" t="str">
            <v>Trifluoro bromomethane</v>
          </cell>
          <cell r="D475">
            <v>1000</v>
          </cell>
          <cell r="E475">
            <v>6100</v>
          </cell>
          <cell r="F475" t="str">
            <v/>
          </cell>
          <cell r="G475" t="str">
            <v/>
          </cell>
          <cell r="H475" t="str">
            <v/>
          </cell>
          <cell r="I475" t="str">
            <v/>
          </cell>
          <cell r="J475" t="str">
            <v/>
          </cell>
          <cell r="K475" t="str">
            <v/>
          </cell>
        </row>
        <row r="476">
          <cell r="B476" t="str">
            <v>75-65-0</v>
          </cell>
          <cell r="C476" t="str">
            <v>tert-Butyl alcohol</v>
          </cell>
          <cell r="D476">
            <v>100</v>
          </cell>
          <cell r="E476">
            <v>300</v>
          </cell>
          <cell r="F476" t="str">
            <v/>
          </cell>
          <cell r="G476">
            <v>150</v>
          </cell>
          <cell r="H476">
            <v>450</v>
          </cell>
          <cell r="I476" t="str">
            <v/>
          </cell>
          <cell r="J476" t="str">
            <v/>
          </cell>
          <cell r="K476" t="str">
            <v/>
          </cell>
        </row>
        <row r="477">
          <cell r="B477" t="str">
            <v>75-69-4</v>
          </cell>
          <cell r="C477" t="str">
            <v>Trichlorofluoromethane</v>
          </cell>
          <cell r="D477" t="str">
            <v/>
          </cell>
          <cell r="E477" t="str">
            <v/>
          </cell>
          <cell r="F477" t="str">
            <v/>
          </cell>
          <cell r="G477" t="str">
            <v/>
          </cell>
          <cell r="H477" t="str">
            <v/>
          </cell>
          <cell r="I477">
            <v>1000</v>
          </cell>
          <cell r="J477">
            <v>5600</v>
          </cell>
          <cell r="K477" t="str">
            <v/>
          </cell>
        </row>
        <row r="478">
          <cell r="B478" t="str">
            <v>75-71-8</v>
          </cell>
          <cell r="C478" t="str">
            <v>Dichlorodifluoromethane</v>
          </cell>
          <cell r="D478">
            <v>1000</v>
          </cell>
          <cell r="E478">
            <v>4950</v>
          </cell>
          <cell r="F478" t="str">
            <v/>
          </cell>
          <cell r="G478" t="str">
            <v/>
          </cell>
          <cell r="H478" t="str">
            <v/>
          </cell>
          <cell r="I478" t="str">
            <v/>
          </cell>
          <cell r="J478" t="str">
            <v/>
          </cell>
          <cell r="K478" t="str">
            <v/>
          </cell>
        </row>
        <row r="479">
          <cell r="B479" t="str">
            <v>7572-29-4</v>
          </cell>
          <cell r="C479" t="str">
            <v>Dichloroacetylene</v>
          </cell>
          <cell r="D479" t="str">
            <v/>
          </cell>
          <cell r="E479" t="str">
            <v/>
          </cell>
          <cell r="F479" t="str">
            <v/>
          </cell>
          <cell r="G479" t="str">
            <v/>
          </cell>
          <cell r="H479" t="str">
            <v/>
          </cell>
          <cell r="I479">
            <v>0.1</v>
          </cell>
          <cell r="J479">
            <v>0.4</v>
          </cell>
          <cell r="K479" t="str">
            <v/>
          </cell>
        </row>
        <row r="480">
          <cell r="B480" t="str">
            <v>75-74-1</v>
          </cell>
          <cell r="C480" t="str">
            <v>Tetramethyl lead, as Pb</v>
          </cell>
          <cell r="D480" t="str">
            <v/>
          </cell>
          <cell r="E480">
            <v>7.4999999999999997E-2</v>
          </cell>
          <cell r="F480" t="str">
            <v/>
          </cell>
          <cell r="G480" t="str">
            <v/>
          </cell>
          <cell r="H480" t="str">
            <v/>
          </cell>
          <cell r="I480" t="str">
            <v/>
          </cell>
          <cell r="J480" t="str">
            <v/>
          </cell>
          <cell r="K480" t="str">
            <v>Skin</v>
          </cell>
        </row>
        <row r="481">
          <cell r="B481" t="str">
            <v>7580-67-8</v>
          </cell>
          <cell r="C481" t="str">
            <v>Lithium hydride</v>
          </cell>
          <cell r="D481" t="str">
            <v/>
          </cell>
          <cell r="E481">
            <v>2.5000000000000001E-2</v>
          </cell>
          <cell r="F481" t="str">
            <v/>
          </cell>
          <cell r="G481" t="str">
            <v/>
          </cell>
          <cell r="H481" t="str">
            <v/>
          </cell>
          <cell r="I481" t="str">
            <v/>
          </cell>
          <cell r="J481" t="str">
            <v/>
          </cell>
          <cell r="K481" t="str">
            <v/>
          </cell>
        </row>
        <row r="482">
          <cell r="B482" t="str">
            <v>75-99-0</v>
          </cell>
          <cell r="C482" t="str">
            <v>2,2-Dichloropropionic acid</v>
          </cell>
          <cell r="D482">
            <v>1</v>
          </cell>
          <cell r="E482">
            <v>6</v>
          </cell>
          <cell r="F482" t="str">
            <v/>
          </cell>
          <cell r="G482" t="str">
            <v/>
          </cell>
          <cell r="H482" t="str">
            <v/>
          </cell>
          <cell r="I482" t="str">
            <v/>
          </cell>
          <cell r="J482" t="str">
            <v/>
          </cell>
          <cell r="K482" t="str">
            <v/>
          </cell>
        </row>
        <row r="483">
          <cell r="B483" t="str">
            <v>76-03-9</v>
          </cell>
          <cell r="C483" t="str">
            <v>Trichloroacetic acid</v>
          </cell>
          <cell r="D483">
            <v>1</v>
          </cell>
          <cell r="E483">
            <v>7</v>
          </cell>
          <cell r="F483" t="str">
            <v/>
          </cell>
          <cell r="G483" t="str">
            <v/>
          </cell>
          <cell r="H483" t="str">
            <v/>
          </cell>
          <cell r="I483" t="str">
            <v/>
          </cell>
          <cell r="J483" t="str">
            <v/>
          </cell>
          <cell r="K483" t="str">
            <v/>
          </cell>
        </row>
        <row r="484">
          <cell r="B484" t="str">
            <v>76-06-2</v>
          </cell>
          <cell r="C484" t="str">
            <v>Trichloronitromethane</v>
          </cell>
          <cell r="D484">
            <v>0.1</v>
          </cell>
          <cell r="E484">
            <v>0.7</v>
          </cell>
          <cell r="F484" t="str">
            <v/>
          </cell>
          <cell r="G484">
            <v>0.3</v>
          </cell>
          <cell r="H484">
            <v>2</v>
          </cell>
          <cell r="I484" t="str">
            <v/>
          </cell>
          <cell r="J484" t="str">
            <v/>
          </cell>
          <cell r="K484" t="str">
            <v/>
          </cell>
        </row>
        <row r="485">
          <cell r="B485" t="str">
            <v>76-11-9</v>
          </cell>
          <cell r="C485" t="str">
            <v>1,1,1,2-Tetrachloro-2,2-difluoroethane</v>
          </cell>
          <cell r="D485">
            <v>500</v>
          </cell>
          <cell r="E485">
            <v>4170</v>
          </cell>
          <cell r="F485" t="str">
            <v/>
          </cell>
          <cell r="G485" t="str">
            <v/>
          </cell>
          <cell r="H485" t="str">
            <v/>
          </cell>
          <cell r="I485" t="str">
            <v/>
          </cell>
          <cell r="J485" t="str">
            <v/>
          </cell>
          <cell r="K485" t="str">
            <v/>
          </cell>
        </row>
        <row r="486">
          <cell r="B486" t="str">
            <v>76-12-0</v>
          </cell>
          <cell r="C486" t="str">
            <v>1,1,2,2-Tetrachloro-1,2-difluoroethane</v>
          </cell>
          <cell r="D486">
            <v>500</v>
          </cell>
          <cell r="E486">
            <v>4170</v>
          </cell>
          <cell r="F486" t="str">
            <v/>
          </cell>
          <cell r="G486" t="str">
            <v/>
          </cell>
          <cell r="H486" t="str">
            <v/>
          </cell>
          <cell r="I486" t="str">
            <v/>
          </cell>
          <cell r="J486" t="str">
            <v/>
          </cell>
          <cell r="K486" t="str">
            <v/>
          </cell>
        </row>
        <row r="487">
          <cell r="B487" t="str">
            <v>76-13-1</v>
          </cell>
          <cell r="C487" t="str">
            <v>1,1,2-Trichloro-1,2,2-trifluoroethane</v>
          </cell>
          <cell r="D487">
            <v>1000</v>
          </cell>
          <cell r="E487">
            <v>7600</v>
          </cell>
          <cell r="F487" t="str">
            <v/>
          </cell>
          <cell r="G487">
            <v>1250</v>
          </cell>
          <cell r="H487">
            <v>9500</v>
          </cell>
          <cell r="I487" t="str">
            <v/>
          </cell>
          <cell r="J487" t="str">
            <v/>
          </cell>
          <cell r="K487" t="str">
            <v/>
          </cell>
        </row>
        <row r="488">
          <cell r="B488" t="str">
            <v>76-14-2</v>
          </cell>
          <cell r="C488" t="str">
            <v>Dichlorotetrafluoroethane</v>
          </cell>
          <cell r="D488">
            <v>1000</v>
          </cell>
          <cell r="E488">
            <v>7000</v>
          </cell>
          <cell r="F488" t="str">
            <v/>
          </cell>
          <cell r="G488" t="str">
            <v/>
          </cell>
          <cell r="H488" t="str">
            <v/>
          </cell>
          <cell r="I488" t="str">
            <v/>
          </cell>
          <cell r="J488" t="str">
            <v/>
          </cell>
          <cell r="K488" t="str">
            <v/>
          </cell>
        </row>
        <row r="489">
          <cell r="B489" t="str">
            <v>76-15-3</v>
          </cell>
          <cell r="C489" t="str">
            <v>Chloropentafluoro ethane</v>
          </cell>
          <cell r="D489">
            <v>1000</v>
          </cell>
          <cell r="E489">
            <v>6320</v>
          </cell>
          <cell r="F489" t="str">
            <v/>
          </cell>
          <cell r="G489" t="str">
            <v/>
          </cell>
          <cell r="H489" t="str">
            <v/>
          </cell>
          <cell r="I489" t="str">
            <v/>
          </cell>
          <cell r="J489" t="str">
            <v/>
          </cell>
          <cell r="K489" t="str">
            <v/>
          </cell>
        </row>
        <row r="490">
          <cell r="B490" t="str">
            <v>7616-94-6</v>
          </cell>
          <cell r="C490" t="str">
            <v>Perchloryl fluoride</v>
          </cell>
          <cell r="D490">
            <v>3</v>
          </cell>
          <cell r="E490">
            <v>14</v>
          </cell>
          <cell r="F490" t="str">
            <v/>
          </cell>
          <cell r="G490">
            <v>6</v>
          </cell>
          <cell r="H490">
            <v>28</v>
          </cell>
          <cell r="I490" t="str">
            <v/>
          </cell>
          <cell r="J490" t="str">
            <v/>
          </cell>
          <cell r="K490" t="str">
            <v/>
          </cell>
        </row>
        <row r="491">
          <cell r="B491" t="str">
            <v>76-22-2</v>
          </cell>
          <cell r="C491" t="str">
            <v>Camphor(Synthetic)</v>
          </cell>
          <cell r="D491">
            <v>2</v>
          </cell>
          <cell r="E491">
            <v>12</v>
          </cell>
          <cell r="F491" t="str">
            <v/>
          </cell>
          <cell r="G491">
            <v>3</v>
          </cell>
          <cell r="H491">
            <v>18</v>
          </cell>
          <cell r="I491" t="str">
            <v/>
          </cell>
          <cell r="J491" t="str">
            <v/>
          </cell>
          <cell r="K491" t="str">
            <v/>
          </cell>
        </row>
        <row r="492">
          <cell r="B492" t="str">
            <v>7631-90-5</v>
          </cell>
          <cell r="C492" t="str">
            <v>Sodium bisulfite</v>
          </cell>
          <cell r="D492" t="str">
            <v/>
          </cell>
          <cell r="E492">
            <v>5</v>
          </cell>
          <cell r="F492" t="str">
            <v/>
          </cell>
          <cell r="G492" t="str">
            <v/>
          </cell>
          <cell r="H492" t="str">
            <v/>
          </cell>
          <cell r="I492" t="str">
            <v/>
          </cell>
          <cell r="J492" t="str">
            <v/>
          </cell>
          <cell r="K492" t="str">
            <v/>
          </cell>
        </row>
        <row r="493">
          <cell r="B493" t="str">
            <v>7637-07-2</v>
          </cell>
          <cell r="C493" t="str">
            <v>Boron trifluoride</v>
          </cell>
          <cell r="D493" t="str">
            <v/>
          </cell>
          <cell r="E493" t="str">
            <v/>
          </cell>
          <cell r="F493" t="str">
            <v/>
          </cell>
          <cell r="G493" t="str">
            <v/>
          </cell>
          <cell r="H493" t="str">
            <v/>
          </cell>
          <cell r="I493">
            <v>1</v>
          </cell>
          <cell r="J493">
            <v>3</v>
          </cell>
          <cell r="K493" t="str">
            <v/>
          </cell>
        </row>
        <row r="494">
          <cell r="B494" t="str">
            <v>76-44-8</v>
          </cell>
          <cell r="C494" t="str">
            <v>Heptachlor ＆ Heptachlor epoxide</v>
          </cell>
          <cell r="D494" t="str">
            <v/>
          </cell>
          <cell r="E494">
            <v>0.05</v>
          </cell>
          <cell r="F494" t="str">
            <v/>
          </cell>
          <cell r="G494" t="str">
            <v/>
          </cell>
          <cell r="H494" t="str">
            <v/>
          </cell>
          <cell r="I494" t="str">
            <v/>
          </cell>
          <cell r="J494" t="str">
            <v/>
          </cell>
          <cell r="K494" t="str">
            <v>Skin</v>
          </cell>
        </row>
        <row r="495">
          <cell r="B495" t="str">
            <v>7646-85-7</v>
          </cell>
          <cell r="C495" t="str">
            <v>Zinc chloride fume</v>
          </cell>
          <cell r="D495" t="str">
            <v/>
          </cell>
          <cell r="E495">
            <v>1</v>
          </cell>
          <cell r="F495" t="str">
            <v/>
          </cell>
          <cell r="G495" t="str">
            <v/>
          </cell>
          <cell r="H495">
            <v>2</v>
          </cell>
          <cell r="I495" t="str">
            <v/>
          </cell>
          <cell r="J495" t="str">
            <v/>
          </cell>
          <cell r="K495" t="str">
            <v/>
          </cell>
        </row>
        <row r="496">
          <cell r="B496" t="str">
            <v>7647-01-0</v>
          </cell>
          <cell r="C496" t="str">
            <v>Hydrogen chloride</v>
          </cell>
          <cell r="D496">
            <v>1</v>
          </cell>
          <cell r="E496">
            <v>1.5</v>
          </cell>
          <cell r="F496" t="str">
            <v/>
          </cell>
          <cell r="G496">
            <v>2</v>
          </cell>
          <cell r="H496">
            <v>3</v>
          </cell>
          <cell r="I496" t="str">
            <v/>
          </cell>
          <cell r="J496" t="str">
            <v/>
          </cell>
          <cell r="K496" t="str">
            <v/>
          </cell>
        </row>
        <row r="497">
          <cell r="B497" t="str">
            <v>7664-38-2</v>
          </cell>
          <cell r="C497" t="str">
            <v>Phosphoric acid</v>
          </cell>
          <cell r="D497" t="str">
            <v/>
          </cell>
          <cell r="E497">
            <v>1</v>
          </cell>
          <cell r="F497" t="str">
            <v/>
          </cell>
          <cell r="G497" t="str">
            <v/>
          </cell>
          <cell r="H497">
            <v>3</v>
          </cell>
          <cell r="I497" t="str">
            <v/>
          </cell>
          <cell r="J497" t="str">
            <v/>
          </cell>
          <cell r="K497" t="str">
            <v/>
          </cell>
        </row>
        <row r="498">
          <cell r="B498" t="str">
            <v>7664-39-3</v>
          </cell>
          <cell r="C498" t="str">
            <v>Hydrogen fluoride, as F</v>
          </cell>
          <cell r="D498">
            <v>0.5</v>
          </cell>
          <cell r="E498" t="str">
            <v/>
          </cell>
          <cell r="F498" t="str">
            <v/>
          </cell>
          <cell r="G498" t="str">
            <v/>
          </cell>
          <cell r="H498" t="str">
            <v/>
          </cell>
          <cell r="I498">
            <v>3</v>
          </cell>
          <cell r="J498">
            <v>2.5</v>
          </cell>
          <cell r="K498" t="str">
            <v>Skin</v>
          </cell>
        </row>
        <row r="499">
          <cell r="B499" t="str">
            <v>7664-41-7</v>
          </cell>
          <cell r="C499" t="str">
            <v>Ammonia</v>
          </cell>
          <cell r="D499">
            <v>25</v>
          </cell>
          <cell r="E499">
            <v>18</v>
          </cell>
          <cell r="F499" t="str">
            <v/>
          </cell>
          <cell r="G499">
            <v>35</v>
          </cell>
          <cell r="H499">
            <v>27</v>
          </cell>
          <cell r="I499" t="str">
            <v/>
          </cell>
          <cell r="J499" t="str">
            <v/>
          </cell>
          <cell r="K499" t="str">
            <v/>
          </cell>
        </row>
        <row r="500">
          <cell r="B500" t="str">
            <v>7664-93-9</v>
          </cell>
          <cell r="C500" t="str">
            <v>Sulfuric acid</v>
          </cell>
          <cell r="D500" t="str">
            <v/>
          </cell>
          <cell r="E500">
            <v>0.2</v>
          </cell>
          <cell r="F500" t="str">
            <v/>
          </cell>
          <cell r="G500" t="str">
            <v/>
          </cell>
          <cell r="H500">
            <v>0.6</v>
          </cell>
          <cell r="I500" t="str">
            <v/>
          </cell>
          <cell r="J500" t="str">
            <v/>
          </cell>
          <cell r="K500" t="str">
            <v/>
          </cell>
        </row>
        <row r="501">
          <cell r="B501" t="str">
            <v>7681-49-4</v>
          </cell>
          <cell r="C501" t="str">
            <v>Fluorides, as F</v>
          </cell>
          <cell r="D501" t="str">
            <v/>
          </cell>
          <cell r="E501">
            <v>2.5</v>
          </cell>
          <cell r="F501" t="str">
            <v/>
          </cell>
          <cell r="G501" t="str">
            <v/>
          </cell>
          <cell r="H501" t="str">
            <v/>
          </cell>
          <cell r="I501" t="str">
            <v/>
          </cell>
          <cell r="J501" t="str">
            <v/>
          </cell>
          <cell r="K501" t="str">
            <v/>
          </cell>
        </row>
        <row r="502">
          <cell r="B502" t="str">
            <v>7681-57-4</v>
          </cell>
          <cell r="C502" t="str">
            <v>Sodium metabisulfite</v>
          </cell>
          <cell r="D502" t="str">
            <v/>
          </cell>
          <cell r="E502">
            <v>5</v>
          </cell>
          <cell r="F502" t="str">
            <v/>
          </cell>
          <cell r="G502" t="str">
            <v/>
          </cell>
          <cell r="H502" t="str">
            <v/>
          </cell>
          <cell r="I502" t="str">
            <v/>
          </cell>
          <cell r="J502" t="str">
            <v/>
          </cell>
          <cell r="K502" t="str">
            <v/>
          </cell>
        </row>
        <row r="503">
          <cell r="B503" t="str">
            <v>768-52-5</v>
          </cell>
          <cell r="C503" t="str">
            <v>N-Isopropyl aniline</v>
          </cell>
          <cell r="D503">
            <v>2</v>
          </cell>
          <cell r="E503">
            <v>10</v>
          </cell>
          <cell r="F503" t="str">
            <v/>
          </cell>
          <cell r="G503" t="str">
            <v/>
          </cell>
          <cell r="H503" t="str">
            <v/>
          </cell>
          <cell r="I503" t="str">
            <v/>
          </cell>
          <cell r="J503" t="str">
            <v/>
          </cell>
          <cell r="K503" t="str">
            <v>Skin</v>
          </cell>
        </row>
        <row r="504">
          <cell r="B504" t="str">
            <v>7697-37-2</v>
          </cell>
          <cell r="C504" t="str">
            <v>Nitric acid</v>
          </cell>
          <cell r="D504">
            <v>2</v>
          </cell>
          <cell r="E504">
            <v>5</v>
          </cell>
          <cell r="F504" t="str">
            <v/>
          </cell>
          <cell r="G504">
            <v>4</v>
          </cell>
          <cell r="H504">
            <v>10</v>
          </cell>
          <cell r="I504" t="str">
            <v/>
          </cell>
          <cell r="J504" t="str">
            <v/>
          </cell>
          <cell r="K504" t="str">
            <v/>
          </cell>
        </row>
        <row r="505">
          <cell r="B505" t="str">
            <v>7719-09-7</v>
          </cell>
          <cell r="C505" t="str">
            <v>Thionyl chloride</v>
          </cell>
          <cell r="D505" t="str">
            <v/>
          </cell>
          <cell r="E505" t="str">
            <v/>
          </cell>
          <cell r="F505" t="str">
            <v/>
          </cell>
          <cell r="G505" t="str">
            <v/>
          </cell>
          <cell r="H505" t="str">
            <v/>
          </cell>
          <cell r="I505">
            <v>0.2</v>
          </cell>
          <cell r="J505">
            <v>1</v>
          </cell>
          <cell r="K505" t="str">
            <v/>
          </cell>
        </row>
        <row r="506">
          <cell r="B506" t="str">
            <v>7719-12-2</v>
          </cell>
          <cell r="C506" t="str">
            <v>Phosphorus trichloride</v>
          </cell>
          <cell r="D506">
            <v>0.2</v>
          </cell>
          <cell r="E506">
            <v>1.5</v>
          </cell>
          <cell r="F506" t="str">
            <v/>
          </cell>
          <cell r="G506">
            <v>0.5</v>
          </cell>
          <cell r="H506">
            <v>3</v>
          </cell>
          <cell r="I506" t="str">
            <v/>
          </cell>
          <cell r="J506" t="str">
            <v/>
          </cell>
          <cell r="K506" t="str">
            <v/>
          </cell>
        </row>
        <row r="507">
          <cell r="B507" t="str">
            <v>7722-84-1</v>
          </cell>
          <cell r="C507" t="str">
            <v>Hydrogen peroxide</v>
          </cell>
          <cell r="D507">
            <v>1</v>
          </cell>
          <cell r="E507">
            <v>1.5</v>
          </cell>
          <cell r="F507" t="str">
            <v/>
          </cell>
          <cell r="G507" t="str">
            <v/>
          </cell>
          <cell r="H507" t="str">
            <v/>
          </cell>
          <cell r="I507" t="str">
            <v/>
          </cell>
          <cell r="J507" t="str">
            <v/>
          </cell>
          <cell r="K507" t="str">
            <v/>
          </cell>
        </row>
        <row r="508">
          <cell r="B508" t="str">
            <v>7722-88-5</v>
          </cell>
          <cell r="C508" t="str">
            <v>Tetrasodium pyrophosphate</v>
          </cell>
          <cell r="D508" t="str">
            <v/>
          </cell>
          <cell r="E508">
            <v>5</v>
          </cell>
          <cell r="F508" t="str">
            <v/>
          </cell>
          <cell r="G508" t="str">
            <v/>
          </cell>
          <cell r="H508" t="str">
            <v/>
          </cell>
          <cell r="I508" t="str">
            <v/>
          </cell>
          <cell r="J508" t="str">
            <v/>
          </cell>
          <cell r="K508" t="str">
            <v/>
          </cell>
        </row>
        <row r="509">
          <cell r="B509" t="str">
            <v>7726-95-6</v>
          </cell>
          <cell r="C509" t="str">
            <v>Bromine</v>
          </cell>
          <cell r="D509">
            <v>0.1</v>
          </cell>
          <cell r="E509">
            <v>0.65</v>
          </cell>
          <cell r="F509" t="str">
            <v/>
          </cell>
          <cell r="G509">
            <v>0.3</v>
          </cell>
          <cell r="H509">
            <v>2</v>
          </cell>
          <cell r="I509" t="str">
            <v/>
          </cell>
          <cell r="J509" t="str">
            <v/>
          </cell>
          <cell r="K509" t="str">
            <v/>
          </cell>
        </row>
        <row r="510">
          <cell r="B510" t="str">
            <v>77-47-4</v>
          </cell>
          <cell r="C510" t="str">
            <v>Hexachlorocyclopentadiene</v>
          </cell>
          <cell r="D510">
            <v>0.01</v>
          </cell>
          <cell r="E510">
            <v>0.1</v>
          </cell>
          <cell r="F510" t="str">
            <v/>
          </cell>
          <cell r="G510" t="str">
            <v/>
          </cell>
          <cell r="H510" t="str">
            <v/>
          </cell>
          <cell r="I510" t="str">
            <v/>
          </cell>
          <cell r="J510" t="str">
            <v/>
          </cell>
          <cell r="K510" t="str">
            <v/>
          </cell>
        </row>
        <row r="511">
          <cell r="B511" t="str">
            <v>7758-97-6</v>
          </cell>
          <cell r="C511" t="str">
            <v>Lead chromate, as Cr</v>
          </cell>
          <cell r="D511" t="str">
            <v/>
          </cell>
          <cell r="E511">
            <v>1.2E-2</v>
          </cell>
          <cell r="F511" t="str">
            <v/>
          </cell>
          <cell r="G511" t="str">
            <v/>
          </cell>
          <cell r="H511" t="str">
            <v/>
          </cell>
          <cell r="I511" t="str">
            <v/>
          </cell>
          <cell r="J511" t="str">
            <v/>
          </cell>
          <cell r="K511" t="str">
            <v/>
          </cell>
        </row>
        <row r="512">
          <cell r="C512" t="str">
            <v>Lead chromate, as Pb(CAS 7758-97-6)</v>
          </cell>
          <cell r="D512" t="str">
            <v/>
          </cell>
          <cell r="E512">
            <v>0.05</v>
          </cell>
          <cell r="F512" t="str">
            <v/>
          </cell>
          <cell r="G512" t="str">
            <v/>
          </cell>
          <cell r="H512" t="str">
            <v/>
          </cell>
          <cell r="I512" t="str">
            <v/>
          </cell>
          <cell r="J512" t="str">
            <v/>
          </cell>
          <cell r="K512" t="str">
            <v/>
          </cell>
        </row>
        <row r="513">
          <cell r="B513" t="str">
            <v>7773-06-0</v>
          </cell>
          <cell r="C513" t="str">
            <v>Ammonium sulfamate</v>
          </cell>
          <cell r="D513" t="str">
            <v/>
          </cell>
          <cell r="E513">
            <v>10</v>
          </cell>
          <cell r="F513" t="str">
            <v/>
          </cell>
          <cell r="G513" t="str">
            <v/>
          </cell>
          <cell r="H513" t="str">
            <v/>
          </cell>
          <cell r="I513" t="str">
            <v/>
          </cell>
          <cell r="J513" t="str">
            <v/>
          </cell>
          <cell r="K513" t="str">
            <v/>
          </cell>
        </row>
        <row r="514">
          <cell r="B514" t="str">
            <v>77-73-6</v>
          </cell>
          <cell r="C514" t="str">
            <v>Dicyclopentadiene</v>
          </cell>
          <cell r="D514">
            <v>5</v>
          </cell>
          <cell r="E514">
            <v>30</v>
          </cell>
          <cell r="F514" t="str">
            <v/>
          </cell>
          <cell r="G514" t="str">
            <v/>
          </cell>
          <cell r="H514" t="str">
            <v/>
          </cell>
          <cell r="I514" t="str">
            <v/>
          </cell>
          <cell r="J514" t="str">
            <v/>
          </cell>
          <cell r="K514" t="str">
            <v/>
          </cell>
        </row>
        <row r="515">
          <cell r="B515" t="str">
            <v>77-78-1</v>
          </cell>
          <cell r="C515" t="str">
            <v>Dimethyl sulfate</v>
          </cell>
          <cell r="D515">
            <v>0.1</v>
          </cell>
          <cell r="E515">
            <v>0.5</v>
          </cell>
          <cell r="F515" t="str">
            <v/>
          </cell>
          <cell r="G515" t="str">
            <v/>
          </cell>
          <cell r="H515" t="str">
            <v/>
          </cell>
          <cell r="I515" t="str">
            <v/>
          </cell>
          <cell r="J515" t="str">
            <v/>
          </cell>
          <cell r="K515" t="str">
            <v>Skin</v>
          </cell>
        </row>
        <row r="516">
          <cell r="B516" t="str">
            <v>7782-41-4</v>
          </cell>
          <cell r="C516" t="str">
            <v>Fluorine</v>
          </cell>
          <cell r="D516">
            <v>0.1</v>
          </cell>
          <cell r="E516">
            <v>0.2</v>
          </cell>
          <cell r="F516" t="str">
            <v/>
          </cell>
          <cell r="G516" t="str">
            <v/>
          </cell>
          <cell r="H516" t="str">
            <v/>
          </cell>
          <cell r="I516" t="str">
            <v/>
          </cell>
          <cell r="J516" t="str">
            <v/>
          </cell>
          <cell r="K516" t="str">
            <v/>
          </cell>
        </row>
        <row r="517">
          <cell r="B517" t="str">
            <v>7782-42-5</v>
          </cell>
          <cell r="C517" t="str">
            <v>Graphite(Natural＆ Synthetic, Except Graphite fibers, Respirable fraction)</v>
          </cell>
          <cell r="D517" t="str">
            <v/>
          </cell>
          <cell r="E517">
            <v>2</v>
          </cell>
          <cell r="F517" t="str">
            <v/>
          </cell>
          <cell r="G517" t="str">
            <v/>
          </cell>
          <cell r="H517" t="str">
            <v/>
          </cell>
          <cell r="I517" t="str">
            <v/>
          </cell>
          <cell r="J517" t="str">
            <v/>
          </cell>
          <cell r="K517" t="str">
            <v/>
          </cell>
        </row>
        <row r="518">
          <cell r="B518" t="str">
            <v>7782-49-2</v>
          </cell>
          <cell r="C518" t="str">
            <v>Selenium compounds, as Se</v>
          </cell>
          <cell r="D518" t="str">
            <v/>
          </cell>
          <cell r="E518">
            <v>0.2</v>
          </cell>
          <cell r="F518" t="str">
            <v/>
          </cell>
          <cell r="G518" t="str">
            <v/>
          </cell>
          <cell r="H518" t="str">
            <v/>
          </cell>
          <cell r="I518" t="str">
            <v/>
          </cell>
          <cell r="J518" t="str">
            <v/>
          </cell>
          <cell r="K518" t="str">
            <v/>
          </cell>
        </row>
        <row r="519">
          <cell r="B519" t="str">
            <v>7782-50-5</v>
          </cell>
          <cell r="C519" t="str">
            <v>Chlorine</v>
          </cell>
          <cell r="D519">
            <v>0.5</v>
          </cell>
          <cell r="E519">
            <v>1.5</v>
          </cell>
          <cell r="F519" t="str">
            <v/>
          </cell>
          <cell r="G519">
            <v>1</v>
          </cell>
          <cell r="H519">
            <v>3</v>
          </cell>
          <cell r="I519" t="str">
            <v/>
          </cell>
          <cell r="J519" t="str">
            <v/>
          </cell>
          <cell r="K519" t="str">
            <v/>
          </cell>
        </row>
        <row r="520">
          <cell r="B520" t="str">
            <v>7782-65-2</v>
          </cell>
          <cell r="C520" t="str">
            <v>Germanium tetrahydride</v>
          </cell>
          <cell r="D520">
            <v>0.2</v>
          </cell>
          <cell r="E520">
            <v>0.6</v>
          </cell>
          <cell r="F520" t="str">
            <v/>
          </cell>
          <cell r="G520" t="str">
            <v/>
          </cell>
          <cell r="H520" t="str">
            <v/>
          </cell>
          <cell r="I520" t="str">
            <v/>
          </cell>
          <cell r="J520" t="str">
            <v/>
          </cell>
          <cell r="K520" t="str">
            <v/>
          </cell>
        </row>
        <row r="521">
          <cell r="B521" t="str">
            <v>7783-06-4</v>
          </cell>
          <cell r="C521" t="str">
            <v>Hydrogen sulfide</v>
          </cell>
          <cell r="D521">
            <v>10</v>
          </cell>
          <cell r="E521">
            <v>14</v>
          </cell>
          <cell r="F521" t="str">
            <v/>
          </cell>
          <cell r="G521">
            <v>15</v>
          </cell>
          <cell r="H521">
            <v>21</v>
          </cell>
          <cell r="I521" t="str">
            <v/>
          </cell>
          <cell r="J521" t="str">
            <v/>
          </cell>
          <cell r="K521" t="str">
            <v/>
          </cell>
        </row>
        <row r="522">
          <cell r="B522" t="str">
            <v>7783-07-5</v>
          </cell>
          <cell r="C522" t="str">
            <v>Hydrogen selenide, as Se</v>
          </cell>
          <cell r="D522">
            <v>0.05</v>
          </cell>
          <cell r="E522">
            <v>0.2</v>
          </cell>
          <cell r="F522" t="str">
            <v/>
          </cell>
          <cell r="G522" t="str">
            <v/>
          </cell>
          <cell r="H522" t="str">
            <v/>
          </cell>
          <cell r="I522" t="str">
            <v/>
          </cell>
          <cell r="J522" t="str">
            <v/>
          </cell>
          <cell r="K522" t="str">
            <v/>
          </cell>
        </row>
        <row r="523">
          <cell r="B523" t="str">
            <v>7783-20-2</v>
          </cell>
          <cell r="C523" t="str">
            <v>Ammonium Sulfate</v>
          </cell>
          <cell r="D523" t="str">
            <v/>
          </cell>
          <cell r="E523">
            <v>10</v>
          </cell>
          <cell r="F523" t="str">
            <v/>
          </cell>
          <cell r="G523" t="str">
            <v/>
          </cell>
          <cell r="H523">
            <v>20</v>
          </cell>
          <cell r="I523" t="str">
            <v/>
          </cell>
          <cell r="J523" t="str">
            <v/>
          </cell>
          <cell r="K523" t="str">
            <v/>
          </cell>
        </row>
        <row r="524">
          <cell r="B524" t="str">
            <v>7783-41-7</v>
          </cell>
          <cell r="C524" t="str">
            <v>Oxygen difluoride</v>
          </cell>
          <cell r="D524" t="str">
            <v/>
          </cell>
          <cell r="E524" t="str">
            <v/>
          </cell>
          <cell r="F524" t="str">
            <v/>
          </cell>
          <cell r="G524" t="str">
            <v/>
          </cell>
          <cell r="H524" t="str">
            <v/>
          </cell>
          <cell r="I524">
            <v>0.05</v>
          </cell>
          <cell r="J524">
            <v>0.1</v>
          </cell>
          <cell r="K524" t="str">
            <v/>
          </cell>
        </row>
        <row r="525">
          <cell r="B525" t="str">
            <v>7783-54-2</v>
          </cell>
          <cell r="C525" t="str">
            <v>Nitrogen trifluoride</v>
          </cell>
          <cell r="D525">
            <v>10</v>
          </cell>
          <cell r="E525">
            <v>30</v>
          </cell>
          <cell r="F525" t="str">
            <v/>
          </cell>
          <cell r="G525" t="str">
            <v/>
          </cell>
          <cell r="H525" t="str">
            <v/>
          </cell>
          <cell r="I525" t="str">
            <v/>
          </cell>
          <cell r="J525" t="str">
            <v/>
          </cell>
          <cell r="K525" t="str">
            <v/>
          </cell>
        </row>
        <row r="526">
          <cell r="B526" t="str">
            <v>7783-60-0</v>
          </cell>
          <cell r="C526" t="str">
            <v>Sulfur tetrafluoride</v>
          </cell>
          <cell r="D526" t="str">
            <v/>
          </cell>
          <cell r="E526" t="str">
            <v/>
          </cell>
          <cell r="F526" t="str">
            <v/>
          </cell>
          <cell r="G526" t="str">
            <v/>
          </cell>
          <cell r="H526" t="str">
            <v/>
          </cell>
          <cell r="I526">
            <v>0.1</v>
          </cell>
          <cell r="J526">
            <v>0.4</v>
          </cell>
          <cell r="K526" t="str">
            <v/>
          </cell>
        </row>
        <row r="527">
          <cell r="B527" t="str">
            <v>7783-79-1</v>
          </cell>
          <cell r="C527" t="str">
            <v>Selenium hexafluoride, as Se</v>
          </cell>
          <cell r="D527">
            <v>0.05</v>
          </cell>
          <cell r="E527">
            <v>0.2</v>
          </cell>
          <cell r="F527" t="str">
            <v/>
          </cell>
          <cell r="G527" t="str">
            <v/>
          </cell>
          <cell r="H527" t="str">
            <v/>
          </cell>
          <cell r="I527" t="str">
            <v/>
          </cell>
          <cell r="J527" t="str">
            <v/>
          </cell>
          <cell r="K527" t="str">
            <v/>
          </cell>
        </row>
        <row r="528">
          <cell r="B528" t="str">
            <v>7783-80-4</v>
          </cell>
          <cell r="C528" t="str">
            <v>Tellurium hexafluoride, as Te</v>
          </cell>
          <cell r="D528">
            <v>0.02</v>
          </cell>
          <cell r="E528">
            <v>0.2</v>
          </cell>
          <cell r="F528" t="str">
            <v/>
          </cell>
          <cell r="G528" t="str">
            <v/>
          </cell>
          <cell r="H528" t="str">
            <v/>
          </cell>
          <cell r="I528" t="str">
            <v/>
          </cell>
          <cell r="J528" t="str">
            <v/>
          </cell>
          <cell r="K528" t="str">
            <v/>
          </cell>
        </row>
        <row r="529">
          <cell r="B529" t="str">
            <v>7784-40-9</v>
          </cell>
          <cell r="C529" t="str">
            <v>Lead arsenate, as Pb(AsO4)2</v>
          </cell>
          <cell r="D529" t="str">
            <v/>
          </cell>
          <cell r="E529">
            <v>0.05</v>
          </cell>
          <cell r="F529" t="str">
            <v/>
          </cell>
          <cell r="G529" t="str">
            <v/>
          </cell>
          <cell r="H529" t="str">
            <v/>
          </cell>
          <cell r="I529" t="str">
            <v/>
          </cell>
          <cell r="J529" t="str">
            <v/>
          </cell>
          <cell r="K529" t="str">
            <v/>
          </cell>
        </row>
        <row r="530">
          <cell r="B530" t="str">
            <v>7784-42-1</v>
          </cell>
          <cell r="C530" t="str">
            <v>Arsine</v>
          </cell>
          <cell r="D530">
            <v>5.0000000000000001E-3</v>
          </cell>
          <cell r="E530">
            <v>1.6E-2</v>
          </cell>
          <cell r="F530" t="str">
            <v/>
          </cell>
          <cell r="G530" t="str">
            <v/>
          </cell>
          <cell r="H530" t="str">
            <v/>
          </cell>
          <cell r="I530" t="str">
            <v/>
          </cell>
          <cell r="J530" t="str">
            <v/>
          </cell>
          <cell r="K530" t="str">
            <v/>
          </cell>
        </row>
        <row r="531">
          <cell r="B531" t="str">
            <v>7786-34-7</v>
          </cell>
          <cell r="C531" t="str">
            <v>Phosdrin</v>
          </cell>
          <cell r="D531">
            <v>0.01</v>
          </cell>
          <cell r="E531">
            <v>0.1</v>
          </cell>
          <cell r="F531" t="str">
            <v/>
          </cell>
          <cell r="G531">
            <v>0.03</v>
          </cell>
          <cell r="H531">
            <v>0.3</v>
          </cell>
          <cell r="I531" t="str">
            <v/>
          </cell>
          <cell r="J531" t="str">
            <v/>
          </cell>
          <cell r="K531" t="str">
            <v>Skin</v>
          </cell>
        </row>
        <row r="532">
          <cell r="B532" t="str">
            <v>7789-06-2</v>
          </cell>
          <cell r="C532" t="str">
            <v>Strontium chromate</v>
          </cell>
          <cell r="D532" t="str">
            <v/>
          </cell>
          <cell r="E532">
            <v>5.0000000000000001E-4</v>
          </cell>
          <cell r="F532" t="str">
            <v/>
          </cell>
          <cell r="G532" t="str">
            <v/>
          </cell>
          <cell r="H532" t="str">
            <v/>
          </cell>
          <cell r="I532" t="str">
            <v/>
          </cell>
          <cell r="J532" t="str">
            <v/>
          </cell>
          <cell r="K532" t="str">
            <v/>
          </cell>
        </row>
        <row r="533">
          <cell r="B533" t="str">
            <v>7789-30-2</v>
          </cell>
          <cell r="C533" t="str">
            <v>Bromine pentafluoride</v>
          </cell>
          <cell r="D533">
            <v>0.1</v>
          </cell>
          <cell r="E533">
            <v>0.7</v>
          </cell>
          <cell r="F533" t="str">
            <v/>
          </cell>
          <cell r="G533" t="str">
            <v/>
          </cell>
          <cell r="H533" t="str">
            <v/>
          </cell>
          <cell r="I533" t="str">
            <v/>
          </cell>
          <cell r="J533" t="str">
            <v/>
          </cell>
          <cell r="K533" t="str">
            <v/>
          </cell>
        </row>
        <row r="534">
          <cell r="B534" t="str">
            <v>7790-91-2</v>
          </cell>
          <cell r="C534" t="str">
            <v>Chlorine trifluoride</v>
          </cell>
          <cell r="D534" t="str">
            <v/>
          </cell>
          <cell r="E534" t="str">
            <v/>
          </cell>
          <cell r="F534" t="str">
            <v/>
          </cell>
          <cell r="G534" t="str">
            <v/>
          </cell>
          <cell r="H534" t="str">
            <v/>
          </cell>
          <cell r="I534">
            <v>0.1</v>
          </cell>
          <cell r="J534">
            <v>0.4</v>
          </cell>
          <cell r="K534" t="str">
            <v/>
          </cell>
        </row>
        <row r="535">
          <cell r="B535" t="str">
            <v>78-00-2</v>
          </cell>
          <cell r="C535" t="str">
            <v>Tetraethyl lead, as Pb</v>
          </cell>
          <cell r="D535" t="str">
            <v/>
          </cell>
          <cell r="E535">
            <v>7.4999999999999997E-2</v>
          </cell>
          <cell r="F535" t="str">
            <v/>
          </cell>
          <cell r="G535" t="str">
            <v/>
          </cell>
          <cell r="H535" t="str">
            <v/>
          </cell>
          <cell r="I535" t="str">
            <v/>
          </cell>
          <cell r="J535" t="str">
            <v/>
          </cell>
          <cell r="K535" t="str">
            <v>Skin</v>
          </cell>
        </row>
        <row r="536">
          <cell r="B536" t="str">
            <v>7803-51-2</v>
          </cell>
          <cell r="C536" t="str">
            <v>Phosphine</v>
          </cell>
          <cell r="D536">
            <v>0.3</v>
          </cell>
          <cell r="E536">
            <v>0.4</v>
          </cell>
          <cell r="F536" t="str">
            <v/>
          </cell>
          <cell r="G536">
            <v>1</v>
          </cell>
          <cell r="H536">
            <v>1</v>
          </cell>
          <cell r="I536" t="str">
            <v/>
          </cell>
          <cell r="J536" t="str">
            <v/>
          </cell>
          <cell r="K536" t="str">
            <v/>
          </cell>
        </row>
        <row r="537">
          <cell r="B537" t="str">
            <v>7803-52-3</v>
          </cell>
          <cell r="C537" t="str">
            <v>Stibine</v>
          </cell>
          <cell r="D537">
            <v>0.1</v>
          </cell>
          <cell r="E537">
            <v>0.5</v>
          </cell>
          <cell r="F537" t="str">
            <v/>
          </cell>
          <cell r="G537" t="str">
            <v/>
          </cell>
          <cell r="H537" t="str">
            <v/>
          </cell>
          <cell r="I537" t="str">
            <v/>
          </cell>
          <cell r="J537" t="str">
            <v/>
          </cell>
          <cell r="K537" t="str">
            <v/>
          </cell>
        </row>
        <row r="538">
          <cell r="B538" t="str">
            <v>7803-62-5</v>
          </cell>
          <cell r="C538" t="str">
            <v>Silicon tetrahydride</v>
          </cell>
          <cell r="D538">
            <v>5</v>
          </cell>
          <cell r="E538">
            <v>7</v>
          </cell>
          <cell r="F538" t="str">
            <v/>
          </cell>
          <cell r="G538" t="str">
            <v/>
          </cell>
          <cell r="H538" t="str">
            <v/>
          </cell>
          <cell r="I538" t="str">
            <v/>
          </cell>
          <cell r="J538" t="str">
            <v/>
          </cell>
          <cell r="K538" t="str">
            <v/>
          </cell>
        </row>
        <row r="539">
          <cell r="B539" t="str">
            <v>78-10-4</v>
          </cell>
          <cell r="C539" t="str">
            <v>Ethyl silicate</v>
          </cell>
          <cell r="D539">
            <v>10</v>
          </cell>
          <cell r="E539">
            <v>85</v>
          </cell>
          <cell r="F539" t="str">
            <v/>
          </cell>
          <cell r="G539" t="str">
            <v/>
          </cell>
          <cell r="H539" t="str">
            <v/>
          </cell>
          <cell r="I539" t="str">
            <v/>
          </cell>
          <cell r="J539" t="str">
            <v/>
          </cell>
          <cell r="K539" t="str">
            <v/>
          </cell>
        </row>
        <row r="540">
          <cell r="B540" t="str">
            <v>78-30-8</v>
          </cell>
          <cell r="C540" t="str">
            <v>Triorthocresyl phosphate</v>
          </cell>
          <cell r="D540" t="str">
            <v/>
          </cell>
          <cell r="E540">
            <v>0.1</v>
          </cell>
          <cell r="F540" t="str">
            <v/>
          </cell>
          <cell r="G540" t="str">
            <v/>
          </cell>
          <cell r="H540" t="str">
            <v/>
          </cell>
          <cell r="I540" t="str">
            <v/>
          </cell>
          <cell r="J540" t="str">
            <v/>
          </cell>
          <cell r="K540" t="str">
            <v>Skin</v>
          </cell>
        </row>
        <row r="541">
          <cell r="B541" t="str">
            <v>78-34-2</v>
          </cell>
          <cell r="C541" t="str">
            <v>Dioxathion</v>
          </cell>
          <cell r="D541" t="str">
            <v/>
          </cell>
          <cell r="E541">
            <v>0.2</v>
          </cell>
          <cell r="F541" t="str">
            <v/>
          </cell>
          <cell r="G541" t="str">
            <v/>
          </cell>
          <cell r="H541" t="str">
            <v/>
          </cell>
          <cell r="I541" t="str">
            <v/>
          </cell>
          <cell r="J541" t="str">
            <v/>
          </cell>
          <cell r="K541" t="str">
            <v>Skin</v>
          </cell>
        </row>
        <row r="542">
          <cell r="B542" t="str">
            <v>78-59-1</v>
          </cell>
          <cell r="C542" t="str">
            <v>Isophorone</v>
          </cell>
          <cell r="D542" t="str">
            <v/>
          </cell>
          <cell r="E542" t="str">
            <v/>
          </cell>
          <cell r="F542" t="str">
            <v/>
          </cell>
          <cell r="G542" t="str">
            <v/>
          </cell>
          <cell r="H542" t="str">
            <v/>
          </cell>
          <cell r="I542">
            <v>5</v>
          </cell>
          <cell r="J542">
            <v>25</v>
          </cell>
          <cell r="K542" t="str">
            <v/>
          </cell>
        </row>
        <row r="543">
          <cell r="B543" t="str">
            <v>78-83-1</v>
          </cell>
          <cell r="C543" t="str">
            <v>Isobutyl alcohol</v>
          </cell>
          <cell r="D543">
            <v>50</v>
          </cell>
          <cell r="E543">
            <v>150</v>
          </cell>
          <cell r="F543" t="str">
            <v/>
          </cell>
          <cell r="G543" t="str">
            <v/>
          </cell>
          <cell r="H543" t="str">
            <v/>
          </cell>
          <cell r="I543" t="str">
            <v/>
          </cell>
          <cell r="J543" t="str">
            <v/>
          </cell>
          <cell r="K543" t="str">
            <v/>
          </cell>
        </row>
        <row r="544">
          <cell r="B544" t="str">
            <v>78-87-5</v>
          </cell>
          <cell r="C544" t="str">
            <v>1,2-Dichloropropane</v>
          </cell>
          <cell r="D544">
            <v>75</v>
          </cell>
          <cell r="E544">
            <v>350</v>
          </cell>
          <cell r="F544" t="str">
            <v/>
          </cell>
          <cell r="G544">
            <v>110</v>
          </cell>
          <cell r="H544">
            <v>510</v>
          </cell>
          <cell r="I544" t="str">
            <v/>
          </cell>
          <cell r="J544" t="str">
            <v/>
          </cell>
          <cell r="K544" t="str">
            <v/>
          </cell>
        </row>
        <row r="545">
          <cell r="B545" t="str">
            <v>78-92-2</v>
          </cell>
          <cell r="C545" t="str">
            <v>sec-Butyl alcohol(2-Butanol)</v>
          </cell>
          <cell r="D545">
            <v>100</v>
          </cell>
          <cell r="E545">
            <v>305</v>
          </cell>
          <cell r="F545" t="str">
            <v/>
          </cell>
          <cell r="G545">
            <v>150</v>
          </cell>
          <cell r="H545">
            <v>455</v>
          </cell>
          <cell r="I545" t="str">
            <v/>
          </cell>
          <cell r="J545" t="str">
            <v/>
          </cell>
          <cell r="K545" t="str">
            <v/>
          </cell>
        </row>
        <row r="546">
          <cell r="B546" t="str">
            <v>78-93-3</v>
          </cell>
          <cell r="C546" t="str">
            <v>Methyl ethyl ketone(M.E.K)</v>
          </cell>
          <cell r="D546">
            <v>200</v>
          </cell>
          <cell r="E546">
            <v>590</v>
          </cell>
          <cell r="F546" t="str">
            <v/>
          </cell>
          <cell r="G546">
            <v>300</v>
          </cell>
          <cell r="H546">
            <v>885</v>
          </cell>
          <cell r="I546" t="str">
            <v/>
          </cell>
          <cell r="J546" t="str">
            <v/>
          </cell>
          <cell r="K546" t="str">
            <v/>
          </cell>
        </row>
        <row r="547">
          <cell r="B547" t="str">
            <v>79-00-5</v>
          </cell>
          <cell r="C547" t="str">
            <v>1,1,2-Trichloroethane</v>
          </cell>
          <cell r="D547">
            <v>10</v>
          </cell>
          <cell r="E547">
            <v>55</v>
          </cell>
          <cell r="F547" t="str">
            <v/>
          </cell>
          <cell r="G547" t="str">
            <v/>
          </cell>
          <cell r="H547" t="str">
            <v/>
          </cell>
          <cell r="I547" t="str">
            <v/>
          </cell>
          <cell r="J547" t="str">
            <v/>
          </cell>
          <cell r="K547" t="str">
            <v>Skin</v>
          </cell>
        </row>
        <row r="548">
          <cell r="B548" t="str">
            <v>79-01-6</v>
          </cell>
          <cell r="C548" t="str">
            <v>Trichloroethylene</v>
          </cell>
          <cell r="D548">
            <v>50</v>
          </cell>
          <cell r="E548">
            <v>270</v>
          </cell>
          <cell r="F548" t="str">
            <v/>
          </cell>
          <cell r="G548">
            <v>200</v>
          </cell>
          <cell r="H548">
            <v>1080</v>
          </cell>
          <cell r="I548" t="str">
            <v/>
          </cell>
          <cell r="J548" t="str">
            <v/>
          </cell>
          <cell r="K548" t="str">
            <v/>
          </cell>
        </row>
        <row r="549">
          <cell r="B549" t="str">
            <v>79-04-9</v>
          </cell>
          <cell r="C549" t="str">
            <v>Chloroacetyl chloride</v>
          </cell>
          <cell r="D549">
            <v>0.05</v>
          </cell>
          <cell r="E549">
            <v>0.2</v>
          </cell>
          <cell r="F549" t="str">
            <v/>
          </cell>
          <cell r="G549" t="str">
            <v/>
          </cell>
          <cell r="H549" t="str">
            <v/>
          </cell>
          <cell r="I549" t="str">
            <v/>
          </cell>
          <cell r="J549" t="str">
            <v/>
          </cell>
          <cell r="K549" t="str">
            <v>Skin</v>
          </cell>
        </row>
        <row r="550">
          <cell r="B550" t="str">
            <v>79-06-1</v>
          </cell>
          <cell r="C550" t="str">
            <v>Acrylamide</v>
          </cell>
          <cell r="D550" t="str">
            <v/>
          </cell>
          <cell r="E550">
            <v>0.03</v>
          </cell>
          <cell r="F550" t="str">
            <v/>
          </cell>
          <cell r="G550" t="str">
            <v/>
          </cell>
          <cell r="H550" t="str">
            <v/>
          </cell>
          <cell r="I550" t="str">
            <v/>
          </cell>
          <cell r="J550" t="str">
            <v/>
          </cell>
          <cell r="K550" t="str">
            <v>Skin</v>
          </cell>
        </row>
        <row r="551">
          <cell r="B551" t="str">
            <v>79-09-4</v>
          </cell>
          <cell r="C551" t="str">
            <v>Propionic acid</v>
          </cell>
          <cell r="D551">
            <v>10</v>
          </cell>
          <cell r="E551">
            <v>30</v>
          </cell>
          <cell r="F551" t="str">
            <v/>
          </cell>
          <cell r="G551">
            <v>15</v>
          </cell>
          <cell r="H551">
            <v>45</v>
          </cell>
          <cell r="I551" t="str">
            <v/>
          </cell>
          <cell r="J551" t="str">
            <v/>
          </cell>
          <cell r="K551" t="str">
            <v/>
          </cell>
        </row>
        <row r="552">
          <cell r="B552" t="str">
            <v>79-10-7</v>
          </cell>
          <cell r="C552" t="str">
            <v>Acrylic acid</v>
          </cell>
          <cell r="D552">
            <v>2</v>
          </cell>
          <cell r="E552">
            <v>6</v>
          </cell>
          <cell r="F552" t="str">
            <v/>
          </cell>
          <cell r="G552" t="str">
            <v/>
          </cell>
          <cell r="H552" t="str">
            <v/>
          </cell>
          <cell r="I552" t="str">
            <v/>
          </cell>
          <cell r="J552" t="str">
            <v/>
          </cell>
          <cell r="K552" t="str">
            <v/>
          </cell>
        </row>
        <row r="553">
          <cell r="B553" t="str">
            <v>79-20-9</v>
          </cell>
          <cell r="C553" t="str">
            <v>Methyl acetate</v>
          </cell>
          <cell r="D553">
            <v>200</v>
          </cell>
          <cell r="E553">
            <v>610</v>
          </cell>
          <cell r="F553" t="str">
            <v/>
          </cell>
          <cell r="G553">
            <v>250</v>
          </cell>
          <cell r="H553">
            <v>760</v>
          </cell>
          <cell r="I553" t="str">
            <v/>
          </cell>
          <cell r="J553" t="str">
            <v/>
          </cell>
          <cell r="K553" t="str">
            <v/>
          </cell>
        </row>
        <row r="554">
          <cell r="B554" t="str">
            <v>79-24-3</v>
          </cell>
          <cell r="C554" t="str">
            <v>Nitroethane</v>
          </cell>
          <cell r="D554">
            <v>100</v>
          </cell>
          <cell r="E554">
            <v>310</v>
          </cell>
          <cell r="F554" t="str">
            <v/>
          </cell>
          <cell r="G554" t="str">
            <v/>
          </cell>
          <cell r="H554" t="str">
            <v/>
          </cell>
          <cell r="I554" t="str">
            <v/>
          </cell>
          <cell r="J554" t="str">
            <v/>
          </cell>
          <cell r="K554" t="str">
            <v/>
          </cell>
        </row>
        <row r="555">
          <cell r="B555" t="str">
            <v>79-27-6</v>
          </cell>
          <cell r="C555" t="str">
            <v>Acetylene tetrabromide</v>
          </cell>
          <cell r="D555">
            <v>1</v>
          </cell>
          <cell r="E555">
            <v>15</v>
          </cell>
          <cell r="F555" t="str">
            <v/>
          </cell>
          <cell r="G555" t="str">
            <v/>
          </cell>
          <cell r="H555" t="str">
            <v/>
          </cell>
          <cell r="I555" t="str">
            <v/>
          </cell>
          <cell r="J555" t="str">
            <v/>
          </cell>
          <cell r="K555" t="str">
            <v/>
          </cell>
        </row>
        <row r="556">
          <cell r="B556" t="str">
            <v>79-34-5</v>
          </cell>
          <cell r="C556" t="str">
            <v>1,1,2,2-Tetrachloroethane</v>
          </cell>
          <cell r="D556">
            <v>1</v>
          </cell>
          <cell r="E556">
            <v>7</v>
          </cell>
          <cell r="F556" t="str">
            <v/>
          </cell>
          <cell r="G556" t="str">
            <v/>
          </cell>
          <cell r="H556" t="str">
            <v/>
          </cell>
          <cell r="I556" t="str">
            <v/>
          </cell>
          <cell r="J556" t="str">
            <v/>
          </cell>
          <cell r="K556" t="str">
            <v>Skin</v>
          </cell>
        </row>
        <row r="557">
          <cell r="B557" t="str">
            <v>79-41-4</v>
          </cell>
          <cell r="C557" t="str">
            <v>Methacrylic acid</v>
          </cell>
          <cell r="D557">
            <v>20</v>
          </cell>
          <cell r="E557">
            <v>70</v>
          </cell>
          <cell r="F557" t="str">
            <v/>
          </cell>
          <cell r="G557" t="str">
            <v/>
          </cell>
          <cell r="H557" t="str">
            <v/>
          </cell>
          <cell r="I557" t="str">
            <v/>
          </cell>
          <cell r="J557" t="str">
            <v/>
          </cell>
          <cell r="K557" t="str">
            <v/>
          </cell>
        </row>
        <row r="558">
          <cell r="B558" t="str">
            <v>79-43-6</v>
          </cell>
          <cell r="C558" t="str">
            <v>Dichloro acetic acid</v>
          </cell>
          <cell r="D558">
            <v>0.5</v>
          </cell>
          <cell r="E558">
            <v>2.6</v>
          </cell>
          <cell r="F558" t="str">
            <v/>
          </cell>
          <cell r="G558" t="str">
            <v/>
          </cell>
          <cell r="H558" t="str">
            <v/>
          </cell>
          <cell r="I558" t="str">
            <v/>
          </cell>
          <cell r="J558" t="str">
            <v/>
          </cell>
          <cell r="K558" t="str">
            <v>Skin</v>
          </cell>
        </row>
        <row r="559">
          <cell r="B559" t="str">
            <v>79-44-7</v>
          </cell>
          <cell r="C559" t="str">
            <v>Dimethyl carbamoylchloride</v>
          </cell>
          <cell r="D559">
            <v>5.0000000000000001E-3</v>
          </cell>
          <cell r="E559" t="str">
            <v/>
          </cell>
          <cell r="F559" t="str">
            <v/>
          </cell>
          <cell r="G559" t="str">
            <v/>
          </cell>
          <cell r="H559" t="str">
            <v/>
          </cell>
          <cell r="I559" t="str">
            <v/>
          </cell>
          <cell r="J559" t="str">
            <v/>
          </cell>
          <cell r="K559" t="str">
            <v>Skin</v>
          </cell>
        </row>
        <row r="560">
          <cell r="B560" t="str">
            <v>79-46-9</v>
          </cell>
          <cell r="C560" t="str">
            <v>2-Nitropropane</v>
          </cell>
          <cell r="D560">
            <v>10</v>
          </cell>
          <cell r="E560">
            <v>35</v>
          </cell>
          <cell r="F560" t="str">
            <v/>
          </cell>
          <cell r="G560" t="str">
            <v/>
          </cell>
          <cell r="H560" t="str">
            <v/>
          </cell>
          <cell r="I560" t="str">
            <v/>
          </cell>
          <cell r="J560" t="str">
            <v/>
          </cell>
          <cell r="K560" t="str">
            <v/>
          </cell>
        </row>
        <row r="561">
          <cell r="B561" t="str">
            <v>8001-35-2</v>
          </cell>
          <cell r="C561" t="str">
            <v>Toxaphene</v>
          </cell>
          <cell r="D561" t="str">
            <v/>
          </cell>
          <cell r="E561">
            <v>0.5</v>
          </cell>
          <cell r="F561" t="str">
            <v/>
          </cell>
          <cell r="G561" t="str">
            <v/>
          </cell>
          <cell r="H561">
            <v>1</v>
          </cell>
          <cell r="I561" t="str">
            <v/>
          </cell>
          <cell r="J561" t="str">
            <v/>
          </cell>
          <cell r="K561" t="str">
            <v>Skin</v>
          </cell>
        </row>
        <row r="562">
          <cell r="B562" t="str">
            <v>8002-74-2</v>
          </cell>
          <cell r="C562" t="str">
            <v>Paraffin wax fume</v>
          </cell>
          <cell r="D562" t="str">
            <v/>
          </cell>
          <cell r="E562">
            <v>2</v>
          </cell>
          <cell r="F562" t="str">
            <v/>
          </cell>
          <cell r="G562" t="str">
            <v/>
          </cell>
          <cell r="H562" t="str">
            <v/>
          </cell>
          <cell r="I562" t="str">
            <v/>
          </cell>
          <cell r="J562" t="str">
            <v/>
          </cell>
          <cell r="K562" t="str">
            <v/>
          </cell>
        </row>
        <row r="563">
          <cell r="B563" t="str">
            <v>8003-34-7</v>
          </cell>
          <cell r="C563" t="str">
            <v>Pyrethrum</v>
          </cell>
          <cell r="D563" t="str">
            <v/>
          </cell>
          <cell r="E563">
            <v>5</v>
          </cell>
          <cell r="F563" t="str">
            <v/>
          </cell>
          <cell r="G563" t="str">
            <v/>
          </cell>
          <cell r="H563" t="str">
            <v/>
          </cell>
          <cell r="I563" t="str">
            <v/>
          </cell>
          <cell r="J563" t="str">
            <v/>
          </cell>
          <cell r="K563" t="str">
            <v/>
          </cell>
        </row>
        <row r="564">
          <cell r="B564" t="str">
            <v>8006-61-9</v>
          </cell>
          <cell r="C564" t="str">
            <v>Gasoline</v>
          </cell>
          <cell r="D564">
            <v>300</v>
          </cell>
          <cell r="E564">
            <v>900</v>
          </cell>
          <cell r="F564" t="str">
            <v/>
          </cell>
          <cell r="G564">
            <v>500</v>
          </cell>
          <cell r="H564">
            <v>1500</v>
          </cell>
          <cell r="I564" t="str">
            <v/>
          </cell>
          <cell r="J564" t="str">
            <v/>
          </cell>
          <cell r="K564" t="str">
            <v/>
          </cell>
        </row>
        <row r="565">
          <cell r="B565" t="str">
            <v>8006-64-2</v>
          </cell>
          <cell r="C565" t="str">
            <v>Turpentine</v>
          </cell>
          <cell r="D565">
            <v>20</v>
          </cell>
          <cell r="E565">
            <v>112</v>
          </cell>
          <cell r="F565" t="str">
            <v/>
          </cell>
          <cell r="G565" t="str">
            <v/>
          </cell>
          <cell r="H565" t="str">
            <v/>
          </cell>
          <cell r="I565" t="str">
            <v/>
          </cell>
          <cell r="J565" t="str">
            <v/>
          </cell>
          <cell r="K565" t="str">
            <v/>
          </cell>
        </row>
        <row r="566">
          <cell r="B566" t="str">
            <v>8008-20-6</v>
          </cell>
          <cell r="C566" t="str">
            <v>Kerosene</v>
          </cell>
          <cell r="D566" t="str">
            <v/>
          </cell>
          <cell r="E566">
            <v>200</v>
          </cell>
          <cell r="F566" t="str">
            <v/>
          </cell>
          <cell r="G566" t="str">
            <v/>
          </cell>
          <cell r="H566" t="str">
            <v/>
          </cell>
          <cell r="I566" t="str">
            <v/>
          </cell>
          <cell r="J566" t="str">
            <v/>
          </cell>
          <cell r="K566" t="str">
            <v>Skin</v>
          </cell>
        </row>
        <row r="567">
          <cell r="B567" t="str">
            <v>8022-00-2</v>
          </cell>
          <cell r="C567" t="str">
            <v>Methyl demeton</v>
          </cell>
          <cell r="D567" t="str">
            <v/>
          </cell>
          <cell r="E567">
            <v>0.5</v>
          </cell>
          <cell r="F567" t="str">
            <v/>
          </cell>
          <cell r="G567" t="str">
            <v/>
          </cell>
          <cell r="H567" t="str">
            <v/>
          </cell>
          <cell r="I567" t="str">
            <v/>
          </cell>
          <cell r="J567" t="str">
            <v/>
          </cell>
          <cell r="K567" t="str">
            <v>Skin</v>
          </cell>
        </row>
        <row r="568">
          <cell r="B568" t="str">
            <v>8030-30-6</v>
          </cell>
          <cell r="C568" t="str">
            <v>Rubber solvent(Naphtha)</v>
          </cell>
          <cell r="D568">
            <v>400</v>
          </cell>
          <cell r="E568">
            <v>1600</v>
          </cell>
          <cell r="F568" t="str">
            <v/>
          </cell>
          <cell r="G568" t="str">
            <v/>
          </cell>
          <cell r="H568" t="str">
            <v/>
          </cell>
          <cell r="I568" t="str">
            <v/>
          </cell>
          <cell r="J568" t="str">
            <v/>
          </cell>
          <cell r="K568" t="str">
            <v/>
          </cell>
        </row>
        <row r="569">
          <cell r="B569" t="str">
            <v>8032-32-4</v>
          </cell>
          <cell r="C569" t="str">
            <v>VM &amp; P Naphtha</v>
          </cell>
          <cell r="D569">
            <v>300</v>
          </cell>
          <cell r="E569">
            <v>1350</v>
          </cell>
          <cell r="F569" t="str">
            <v/>
          </cell>
          <cell r="G569" t="str">
            <v/>
          </cell>
          <cell r="H569" t="str">
            <v/>
          </cell>
          <cell r="I569" t="str">
            <v/>
          </cell>
          <cell r="J569" t="str">
            <v/>
          </cell>
          <cell r="K569" t="str">
            <v/>
          </cell>
        </row>
        <row r="570">
          <cell r="B570" t="str">
            <v>8052-41-3</v>
          </cell>
          <cell r="C570" t="str">
            <v>Stoddard solvent</v>
          </cell>
          <cell r="D570">
            <v>100</v>
          </cell>
          <cell r="E570">
            <v>525</v>
          </cell>
          <cell r="F570" t="str">
            <v/>
          </cell>
          <cell r="G570" t="str">
            <v/>
          </cell>
          <cell r="H570" t="str">
            <v/>
          </cell>
          <cell r="I570" t="str">
            <v/>
          </cell>
          <cell r="J570" t="str">
            <v/>
          </cell>
          <cell r="K570" t="str">
            <v/>
          </cell>
        </row>
        <row r="571">
          <cell r="B571" t="str">
            <v>8052-42-4</v>
          </cell>
          <cell r="C571" t="str">
            <v>Asphalt(Petroleum)fumes(as benzene soluble aerosol, Inhalable fraction)</v>
          </cell>
          <cell r="D571" t="str">
            <v/>
          </cell>
          <cell r="E571">
            <v>0.5</v>
          </cell>
          <cell r="F571" t="str">
            <v/>
          </cell>
          <cell r="G571" t="str">
            <v/>
          </cell>
          <cell r="H571" t="str">
            <v/>
          </cell>
          <cell r="I571" t="str">
            <v/>
          </cell>
          <cell r="J571" t="str">
            <v/>
          </cell>
          <cell r="K571" t="str">
            <v/>
          </cell>
        </row>
        <row r="572">
          <cell r="B572" t="str">
            <v>80-62-6</v>
          </cell>
          <cell r="C572" t="str">
            <v>Methyl methacrylate</v>
          </cell>
          <cell r="D572">
            <v>50</v>
          </cell>
          <cell r="E572">
            <v>205</v>
          </cell>
          <cell r="F572" t="str">
            <v/>
          </cell>
          <cell r="G572">
            <v>100</v>
          </cell>
          <cell r="H572">
            <v>410</v>
          </cell>
          <cell r="I572" t="str">
            <v/>
          </cell>
          <cell r="J572" t="str">
            <v/>
          </cell>
          <cell r="K572" t="str">
            <v/>
          </cell>
        </row>
        <row r="573">
          <cell r="B573" t="str">
            <v>8065-48-3</v>
          </cell>
          <cell r="C573" t="str">
            <v>Demeton</v>
          </cell>
          <cell r="D573">
            <v>0.01</v>
          </cell>
          <cell r="E573">
            <v>0.1</v>
          </cell>
          <cell r="F573" t="str">
            <v/>
          </cell>
          <cell r="G573" t="str">
            <v/>
          </cell>
          <cell r="H573" t="str">
            <v/>
          </cell>
          <cell r="I573" t="str">
            <v/>
          </cell>
          <cell r="J573" t="str">
            <v/>
          </cell>
          <cell r="K573" t="str">
            <v>Skin</v>
          </cell>
        </row>
        <row r="574">
          <cell r="B574" t="str">
            <v>81-81-2</v>
          </cell>
          <cell r="C574" t="str">
            <v>Warfarin</v>
          </cell>
          <cell r="D574" t="str">
            <v/>
          </cell>
          <cell r="E574">
            <v>0.1</v>
          </cell>
          <cell r="F574" t="str">
            <v/>
          </cell>
          <cell r="G574" t="str">
            <v/>
          </cell>
          <cell r="H574" t="str">
            <v/>
          </cell>
          <cell r="I574" t="str">
            <v/>
          </cell>
          <cell r="J574" t="str">
            <v/>
          </cell>
          <cell r="K574" t="str">
            <v/>
          </cell>
        </row>
        <row r="575">
          <cell r="B575" t="str">
            <v>822-06-0</v>
          </cell>
          <cell r="C575" t="str">
            <v>Hexamethylene diisocyanate</v>
          </cell>
          <cell r="D575">
            <v>5.0000000000000001E-3</v>
          </cell>
          <cell r="E575">
            <v>3.4000000000000002E-2</v>
          </cell>
          <cell r="F575" t="str">
            <v/>
          </cell>
          <cell r="G575" t="str">
            <v/>
          </cell>
          <cell r="H575" t="str">
            <v/>
          </cell>
          <cell r="I575" t="str">
            <v/>
          </cell>
          <cell r="J575" t="str">
            <v/>
          </cell>
          <cell r="K575" t="str">
            <v/>
          </cell>
        </row>
        <row r="576">
          <cell r="B576" t="str">
            <v>83-26-1</v>
          </cell>
          <cell r="C576" t="str">
            <v>Pindone(Pival)</v>
          </cell>
          <cell r="D576" t="str">
            <v/>
          </cell>
          <cell r="E576">
            <v>0.1</v>
          </cell>
          <cell r="F576" t="str">
            <v/>
          </cell>
          <cell r="G576" t="str">
            <v/>
          </cell>
          <cell r="H576" t="str">
            <v/>
          </cell>
          <cell r="I576" t="str">
            <v/>
          </cell>
          <cell r="J576" t="str">
            <v/>
          </cell>
          <cell r="K576" t="str">
            <v/>
          </cell>
        </row>
        <row r="577">
          <cell r="B577" t="str">
            <v>83-79-4</v>
          </cell>
          <cell r="C577" t="str">
            <v>Rotenone(Commercial)</v>
          </cell>
          <cell r="D577" t="str">
            <v/>
          </cell>
          <cell r="E577">
            <v>5</v>
          </cell>
          <cell r="F577" t="str">
            <v/>
          </cell>
          <cell r="G577" t="str">
            <v/>
          </cell>
          <cell r="H577" t="str">
            <v/>
          </cell>
          <cell r="I577" t="str">
            <v/>
          </cell>
          <cell r="J577" t="str">
            <v/>
          </cell>
          <cell r="K577" t="str">
            <v/>
          </cell>
        </row>
        <row r="578">
          <cell r="B578" t="str">
            <v>84-66-2</v>
          </cell>
          <cell r="C578" t="str">
            <v>Diethyl phthalate</v>
          </cell>
          <cell r="D578" t="str">
            <v/>
          </cell>
          <cell r="E578">
            <v>5</v>
          </cell>
          <cell r="F578" t="str">
            <v/>
          </cell>
          <cell r="G578" t="str">
            <v/>
          </cell>
          <cell r="H578" t="str">
            <v/>
          </cell>
          <cell r="I578" t="str">
            <v/>
          </cell>
          <cell r="J578" t="str">
            <v/>
          </cell>
          <cell r="K578" t="str">
            <v/>
          </cell>
        </row>
        <row r="579">
          <cell r="B579" t="str">
            <v>84-74-2</v>
          </cell>
          <cell r="C579" t="str">
            <v>Dibutyl phthalate</v>
          </cell>
          <cell r="D579" t="str">
            <v/>
          </cell>
          <cell r="E579">
            <v>5</v>
          </cell>
          <cell r="F579" t="str">
            <v/>
          </cell>
          <cell r="G579" t="str">
            <v/>
          </cell>
          <cell r="H579" t="str">
            <v/>
          </cell>
          <cell r="I579" t="str">
            <v/>
          </cell>
          <cell r="J579" t="str">
            <v/>
          </cell>
          <cell r="K579" t="str">
            <v/>
          </cell>
        </row>
        <row r="580">
          <cell r="B580" t="str">
            <v>85-44-9</v>
          </cell>
          <cell r="C580" t="str">
            <v>Phthalic anhydride</v>
          </cell>
          <cell r="D580">
            <v>1</v>
          </cell>
          <cell r="E580">
            <v>6</v>
          </cell>
          <cell r="F580" t="str">
            <v/>
          </cell>
          <cell r="G580" t="str">
            <v/>
          </cell>
          <cell r="H580" t="str">
            <v/>
          </cell>
          <cell r="I580" t="str">
            <v/>
          </cell>
          <cell r="J580" t="str">
            <v/>
          </cell>
          <cell r="K580" t="str">
            <v/>
          </cell>
        </row>
        <row r="581">
          <cell r="B581" t="str">
            <v>86-50-0</v>
          </cell>
          <cell r="C581" t="str">
            <v>Azinphos methyl</v>
          </cell>
          <cell r="D581" t="str">
            <v/>
          </cell>
          <cell r="E581">
            <v>0.2</v>
          </cell>
          <cell r="F581" t="str">
            <v/>
          </cell>
          <cell r="G581" t="str">
            <v/>
          </cell>
          <cell r="H581" t="str">
            <v/>
          </cell>
          <cell r="I581" t="str">
            <v/>
          </cell>
          <cell r="J581" t="str">
            <v/>
          </cell>
          <cell r="K581" t="str">
            <v>Skin</v>
          </cell>
        </row>
        <row r="582">
          <cell r="B582" t="str">
            <v>86-88-4</v>
          </cell>
          <cell r="C582" t="str">
            <v>α-Naphthylthiourea(ANTU)</v>
          </cell>
          <cell r="D582" t="str">
            <v/>
          </cell>
          <cell r="E582">
            <v>0.3</v>
          </cell>
          <cell r="F582" t="str">
            <v/>
          </cell>
          <cell r="G582" t="str">
            <v/>
          </cell>
          <cell r="H582" t="str">
            <v/>
          </cell>
          <cell r="I582" t="str">
            <v/>
          </cell>
          <cell r="J582" t="str">
            <v/>
          </cell>
          <cell r="K582" t="str">
            <v>Skin</v>
          </cell>
        </row>
        <row r="583">
          <cell r="B583" t="str">
            <v>87-00-7</v>
          </cell>
          <cell r="C583" t="str">
            <v>Diquat</v>
          </cell>
          <cell r="D583" t="str">
            <v/>
          </cell>
          <cell r="E583">
            <v>0.5</v>
          </cell>
          <cell r="F583" t="str">
            <v/>
          </cell>
          <cell r="G583" t="str">
            <v/>
          </cell>
          <cell r="H583" t="str">
            <v/>
          </cell>
          <cell r="I583" t="str">
            <v/>
          </cell>
          <cell r="J583" t="str">
            <v/>
          </cell>
          <cell r="K583" t="str">
            <v>Skin</v>
          </cell>
        </row>
        <row r="584">
          <cell r="B584" t="str">
            <v>87-68-3</v>
          </cell>
          <cell r="C584" t="str">
            <v>Hexachlorobutadiene</v>
          </cell>
          <cell r="D584">
            <v>0.02</v>
          </cell>
          <cell r="E584">
            <v>0.24</v>
          </cell>
          <cell r="F584" t="str">
            <v/>
          </cell>
          <cell r="G584" t="str">
            <v/>
          </cell>
          <cell r="H584" t="str">
            <v/>
          </cell>
          <cell r="I584" t="str">
            <v/>
          </cell>
          <cell r="J584" t="str">
            <v/>
          </cell>
          <cell r="K584" t="str">
            <v>Skin</v>
          </cell>
        </row>
        <row r="585">
          <cell r="B585" t="str">
            <v>87-86-5</v>
          </cell>
          <cell r="C585" t="str">
            <v>Pentachlorophenol</v>
          </cell>
          <cell r="D585" t="str">
            <v/>
          </cell>
          <cell r="E585">
            <v>0.5</v>
          </cell>
          <cell r="F585" t="str">
            <v/>
          </cell>
          <cell r="G585" t="str">
            <v/>
          </cell>
          <cell r="H585" t="str">
            <v/>
          </cell>
          <cell r="I585" t="str">
            <v/>
          </cell>
          <cell r="J585" t="str">
            <v/>
          </cell>
          <cell r="K585" t="str">
            <v>Skin</v>
          </cell>
        </row>
        <row r="586">
          <cell r="B586" t="str">
            <v>88-12-0</v>
          </cell>
          <cell r="C586" t="str">
            <v>N-Vinyl-2-pyrrolidone(NVP)</v>
          </cell>
          <cell r="D586">
            <v>0.05</v>
          </cell>
          <cell r="E586" t="str">
            <v/>
          </cell>
          <cell r="F586" t="str">
            <v/>
          </cell>
          <cell r="G586" t="str">
            <v/>
          </cell>
          <cell r="H586" t="str">
            <v/>
          </cell>
          <cell r="I586" t="str">
            <v/>
          </cell>
          <cell r="J586" t="str">
            <v/>
          </cell>
          <cell r="K586" t="str">
            <v/>
          </cell>
        </row>
        <row r="587">
          <cell r="B587" t="str">
            <v>88-72-2</v>
          </cell>
          <cell r="C587" t="str">
            <v>Nitrotoluene(o, m, p-isomers)</v>
          </cell>
          <cell r="D587">
            <v>2</v>
          </cell>
          <cell r="E587">
            <v>11</v>
          </cell>
          <cell r="F587" t="str">
            <v/>
          </cell>
          <cell r="G587" t="str">
            <v/>
          </cell>
          <cell r="H587" t="str">
            <v/>
          </cell>
          <cell r="I587" t="str">
            <v/>
          </cell>
          <cell r="J587" t="str">
            <v/>
          </cell>
          <cell r="K587" t="str">
            <v/>
          </cell>
        </row>
        <row r="588">
          <cell r="B588" t="str">
            <v>88-89-1</v>
          </cell>
          <cell r="C588" t="str">
            <v>Picric acid</v>
          </cell>
          <cell r="D588" t="str">
            <v/>
          </cell>
          <cell r="E588">
            <v>0.1</v>
          </cell>
          <cell r="F588" t="str">
            <v/>
          </cell>
          <cell r="G588" t="str">
            <v/>
          </cell>
          <cell r="H588">
            <v>0.3</v>
          </cell>
          <cell r="I588" t="str">
            <v/>
          </cell>
          <cell r="J588" t="str">
            <v/>
          </cell>
          <cell r="K588" t="str">
            <v>Skin</v>
          </cell>
        </row>
        <row r="589">
          <cell r="B589" t="str">
            <v>89-72-5</v>
          </cell>
          <cell r="C589" t="str">
            <v>o-sec-Butylphenol</v>
          </cell>
          <cell r="D589">
            <v>5</v>
          </cell>
          <cell r="E589">
            <v>30</v>
          </cell>
          <cell r="F589" t="str">
            <v/>
          </cell>
          <cell r="G589" t="str">
            <v/>
          </cell>
          <cell r="H589" t="str">
            <v/>
          </cell>
          <cell r="I589" t="str">
            <v/>
          </cell>
          <cell r="J589" t="str">
            <v/>
          </cell>
          <cell r="K589" t="str">
            <v>Skin</v>
          </cell>
        </row>
        <row r="590">
          <cell r="B590" t="str">
            <v>9004-34-6</v>
          </cell>
          <cell r="C590" t="str">
            <v>Cellulose(paper fiber)</v>
          </cell>
          <cell r="D590" t="str">
            <v/>
          </cell>
          <cell r="E590">
            <v>10</v>
          </cell>
          <cell r="F590" t="str">
            <v/>
          </cell>
          <cell r="G590" t="str">
            <v/>
          </cell>
          <cell r="H590" t="str">
            <v/>
          </cell>
          <cell r="I590" t="str">
            <v/>
          </cell>
          <cell r="J590" t="str">
            <v/>
          </cell>
          <cell r="K590" t="str">
            <v/>
          </cell>
        </row>
        <row r="591">
          <cell r="B591" t="str">
            <v>9005-25-8</v>
          </cell>
          <cell r="C591" t="str">
            <v>Starch</v>
          </cell>
          <cell r="D591" t="str">
            <v/>
          </cell>
          <cell r="E591">
            <v>10</v>
          </cell>
          <cell r="F591" t="str">
            <v/>
          </cell>
          <cell r="G591" t="str">
            <v/>
          </cell>
          <cell r="H591" t="str">
            <v/>
          </cell>
          <cell r="I591" t="str">
            <v/>
          </cell>
          <cell r="J591" t="str">
            <v/>
          </cell>
          <cell r="K591" t="str">
            <v/>
          </cell>
        </row>
        <row r="592">
          <cell r="B592" t="str">
            <v>91-08-7</v>
          </cell>
          <cell r="C592" t="str">
            <v>Toluene-2,6-diisocyanate(TDI)</v>
          </cell>
          <cell r="D592">
            <v>5.0000000000000001E-3</v>
          </cell>
          <cell r="E592">
            <v>0.04</v>
          </cell>
          <cell r="F592" t="str">
            <v/>
          </cell>
          <cell r="G592">
            <v>0.02</v>
          </cell>
          <cell r="H592">
            <v>0.15</v>
          </cell>
          <cell r="I592" t="str">
            <v/>
          </cell>
          <cell r="J592" t="str">
            <v/>
          </cell>
          <cell r="K592" t="str">
            <v/>
          </cell>
        </row>
        <row r="593">
          <cell r="B593" t="str">
            <v>91-20-3</v>
          </cell>
          <cell r="C593" t="str">
            <v>Naphthalene</v>
          </cell>
          <cell r="D593">
            <v>10</v>
          </cell>
          <cell r="E593">
            <v>50</v>
          </cell>
          <cell r="F593" t="str">
            <v/>
          </cell>
          <cell r="G593">
            <v>15</v>
          </cell>
          <cell r="H593">
            <v>75</v>
          </cell>
          <cell r="I593" t="str">
            <v/>
          </cell>
          <cell r="J593" t="str">
            <v/>
          </cell>
          <cell r="K593" t="str">
            <v>Skin</v>
          </cell>
        </row>
        <row r="594">
          <cell r="B594" t="str">
            <v>91-59-8</v>
          </cell>
          <cell r="C594" t="str">
            <v>β-Naphthylamine</v>
          </cell>
          <cell r="D594" t="str">
            <v/>
          </cell>
          <cell r="E594" t="str">
            <v/>
          </cell>
          <cell r="F594" t="str">
            <v/>
          </cell>
          <cell r="G594" t="str">
            <v/>
          </cell>
          <cell r="H594" t="str">
            <v/>
          </cell>
          <cell r="I594" t="str">
            <v/>
          </cell>
          <cell r="J594" t="str">
            <v/>
          </cell>
          <cell r="K594" t="str">
            <v/>
          </cell>
        </row>
        <row r="595">
          <cell r="B595" t="str">
            <v>91-94-1</v>
          </cell>
          <cell r="C595" t="str">
            <v>3,3-Dichlorobenzidine</v>
          </cell>
          <cell r="D595" t="str">
            <v/>
          </cell>
          <cell r="E595" t="str">
            <v/>
          </cell>
          <cell r="F595" t="str">
            <v/>
          </cell>
          <cell r="G595" t="str">
            <v/>
          </cell>
          <cell r="H595" t="str">
            <v/>
          </cell>
          <cell r="I595" t="str">
            <v/>
          </cell>
          <cell r="J595" t="str">
            <v/>
          </cell>
          <cell r="K595" t="str">
            <v>Skin</v>
          </cell>
        </row>
        <row r="596">
          <cell r="B596" t="str">
            <v>92-52-4</v>
          </cell>
          <cell r="C596" t="str">
            <v>Diphenyl</v>
          </cell>
          <cell r="D596">
            <v>0.2</v>
          </cell>
          <cell r="E596">
            <v>1.5</v>
          </cell>
          <cell r="F596" t="str">
            <v/>
          </cell>
          <cell r="G596" t="str">
            <v/>
          </cell>
          <cell r="H596" t="str">
            <v/>
          </cell>
          <cell r="I596" t="str">
            <v/>
          </cell>
          <cell r="J596" t="str">
            <v/>
          </cell>
          <cell r="K596" t="str">
            <v/>
          </cell>
        </row>
        <row r="597">
          <cell r="B597" t="str">
            <v>92-67-1</v>
          </cell>
          <cell r="C597" t="str">
            <v>4-Aminodiphenyl</v>
          </cell>
          <cell r="D597" t="str">
            <v/>
          </cell>
          <cell r="E597" t="str">
            <v/>
          </cell>
          <cell r="F597" t="str">
            <v/>
          </cell>
          <cell r="G597" t="str">
            <v/>
          </cell>
          <cell r="H597" t="str">
            <v/>
          </cell>
          <cell r="I597" t="str">
            <v/>
          </cell>
          <cell r="J597" t="str">
            <v/>
          </cell>
          <cell r="K597" t="str">
            <v>Skin</v>
          </cell>
        </row>
        <row r="598">
          <cell r="B598" t="str">
            <v>92-84-2</v>
          </cell>
          <cell r="C598" t="str">
            <v>Phenothiazine</v>
          </cell>
          <cell r="D598" t="str">
            <v/>
          </cell>
          <cell r="E598">
            <v>5</v>
          </cell>
          <cell r="F598" t="str">
            <v/>
          </cell>
          <cell r="G598" t="str">
            <v/>
          </cell>
          <cell r="H598" t="str">
            <v/>
          </cell>
          <cell r="I598" t="str">
            <v/>
          </cell>
          <cell r="J598" t="str">
            <v/>
          </cell>
          <cell r="K598" t="str">
            <v>Skin</v>
          </cell>
        </row>
        <row r="599">
          <cell r="B599" t="str">
            <v>92-87-5</v>
          </cell>
          <cell r="C599" t="str">
            <v>Benzidine</v>
          </cell>
          <cell r="D599" t="str">
            <v/>
          </cell>
          <cell r="E599" t="str">
            <v/>
          </cell>
          <cell r="F599" t="str">
            <v/>
          </cell>
          <cell r="G599" t="str">
            <v/>
          </cell>
          <cell r="H599" t="str">
            <v/>
          </cell>
          <cell r="I599" t="str">
            <v/>
          </cell>
          <cell r="J599" t="str">
            <v/>
          </cell>
          <cell r="K599" t="str">
            <v>Skin</v>
          </cell>
        </row>
        <row r="600">
          <cell r="B600" t="str">
            <v>92-93-3</v>
          </cell>
          <cell r="C600" t="str">
            <v>4-Nitrodiphenyl</v>
          </cell>
          <cell r="D600" t="str">
            <v/>
          </cell>
          <cell r="E600" t="str">
            <v/>
          </cell>
          <cell r="F600" t="str">
            <v/>
          </cell>
          <cell r="G600" t="str">
            <v/>
          </cell>
          <cell r="H600" t="str">
            <v/>
          </cell>
          <cell r="I600" t="str">
            <v/>
          </cell>
          <cell r="J600" t="str">
            <v/>
          </cell>
          <cell r="K600" t="str">
            <v>Skin</v>
          </cell>
        </row>
        <row r="601">
          <cell r="B601" t="str">
            <v>93763-70-3</v>
          </cell>
          <cell r="C601" t="str">
            <v>Perlite</v>
          </cell>
          <cell r="D601" t="str">
            <v/>
          </cell>
          <cell r="E601">
            <v>10</v>
          </cell>
          <cell r="F601" t="str">
            <v/>
          </cell>
          <cell r="G601" t="str">
            <v/>
          </cell>
          <cell r="H601" t="str">
            <v/>
          </cell>
          <cell r="I601" t="str">
            <v/>
          </cell>
          <cell r="J601" t="str">
            <v/>
          </cell>
          <cell r="K601" t="str">
            <v/>
          </cell>
        </row>
        <row r="602">
          <cell r="B602" t="str">
            <v>93-76-5</v>
          </cell>
          <cell r="C602" t="str">
            <v>2,4,5-T(2,4,5-Trichlorophenoxy acetic acid)</v>
          </cell>
          <cell r="D602" t="str">
            <v/>
          </cell>
          <cell r="E602">
            <v>10</v>
          </cell>
          <cell r="F602" t="str">
            <v/>
          </cell>
          <cell r="G602" t="str">
            <v/>
          </cell>
          <cell r="H602" t="str">
            <v/>
          </cell>
          <cell r="I602" t="str">
            <v/>
          </cell>
          <cell r="J602" t="str">
            <v/>
          </cell>
          <cell r="K602" t="str">
            <v/>
          </cell>
        </row>
        <row r="603">
          <cell r="B603" t="str">
            <v>94-36-0</v>
          </cell>
          <cell r="C603" t="str">
            <v>Benzoyl peroxide</v>
          </cell>
          <cell r="D603" t="str">
            <v/>
          </cell>
          <cell r="E603">
            <v>5</v>
          </cell>
          <cell r="F603" t="str">
            <v/>
          </cell>
          <cell r="G603" t="str">
            <v/>
          </cell>
          <cell r="H603" t="str">
            <v/>
          </cell>
          <cell r="I603" t="str">
            <v/>
          </cell>
          <cell r="J603" t="str">
            <v/>
          </cell>
          <cell r="K603" t="str">
            <v/>
          </cell>
        </row>
        <row r="604">
          <cell r="B604" t="str">
            <v>944-22-9</v>
          </cell>
          <cell r="C604" t="str">
            <v>Fonofos</v>
          </cell>
          <cell r="D604" t="str">
            <v/>
          </cell>
          <cell r="E604">
            <v>0.1</v>
          </cell>
          <cell r="F604" t="str">
            <v/>
          </cell>
          <cell r="G604" t="str">
            <v/>
          </cell>
          <cell r="H604" t="str">
            <v/>
          </cell>
          <cell r="I604" t="str">
            <v/>
          </cell>
          <cell r="J604" t="str">
            <v/>
          </cell>
          <cell r="K604" t="str">
            <v>Skin</v>
          </cell>
        </row>
        <row r="605">
          <cell r="B605" t="str">
            <v>94-75-7</v>
          </cell>
          <cell r="C605" t="str">
            <v>2,4-D(2,4-Dichloro phenoxyacetic acid)</v>
          </cell>
          <cell r="D605" t="str">
            <v/>
          </cell>
          <cell r="E605">
            <v>10</v>
          </cell>
          <cell r="F605" t="str">
            <v/>
          </cell>
          <cell r="G605" t="str">
            <v/>
          </cell>
          <cell r="H605" t="str">
            <v/>
          </cell>
          <cell r="I605" t="str">
            <v/>
          </cell>
          <cell r="J605" t="str">
            <v/>
          </cell>
          <cell r="K605" t="str">
            <v/>
          </cell>
        </row>
        <row r="606">
          <cell r="B606" t="str">
            <v>95-13-6</v>
          </cell>
          <cell r="C606" t="str">
            <v>Indene</v>
          </cell>
          <cell r="D606">
            <v>10</v>
          </cell>
          <cell r="E606">
            <v>45</v>
          </cell>
          <cell r="F606" t="str">
            <v/>
          </cell>
          <cell r="G606" t="str">
            <v/>
          </cell>
          <cell r="H606" t="str">
            <v/>
          </cell>
          <cell r="I606" t="str">
            <v/>
          </cell>
          <cell r="J606" t="str">
            <v/>
          </cell>
          <cell r="K606" t="str">
            <v/>
          </cell>
        </row>
        <row r="607">
          <cell r="B607" t="str">
            <v>95-47-6</v>
          </cell>
          <cell r="C607" t="str">
            <v>Xylene(o,m,p-isomers)</v>
          </cell>
          <cell r="D607">
            <v>100</v>
          </cell>
          <cell r="E607">
            <v>435</v>
          </cell>
          <cell r="F607" t="str">
            <v/>
          </cell>
          <cell r="G607">
            <v>150</v>
          </cell>
          <cell r="H607">
            <v>655</v>
          </cell>
          <cell r="I607" t="str">
            <v/>
          </cell>
          <cell r="J607" t="str">
            <v/>
          </cell>
          <cell r="K607" t="str">
            <v/>
          </cell>
        </row>
        <row r="608">
          <cell r="B608" t="str">
            <v>95-49-8</v>
          </cell>
          <cell r="C608" t="str">
            <v>o-Chlorotoluene</v>
          </cell>
          <cell r="D608">
            <v>50</v>
          </cell>
          <cell r="E608">
            <v>250</v>
          </cell>
          <cell r="F608" t="str">
            <v/>
          </cell>
          <cell r="G608">
            <v>75</v>
          </cell>
          <cell r="H608">
            <v>375</v>
          </cell>
          <cell r="I608" t="str">
            <v/>
          </cell>
          <cell r="J608" t="str">
            <v/>
          </cell>
          <cell r="K608" t="str">
            <v/>
          </cell>
        </row>
        <row r="609">
          <cell r="B609" t="str">
            <v>95-50-1</v>
          </cell>
          <cell r="C609" t="str">
            <v>o-Dichlorobenzene</v>
          </cell>
          <cell r="D609">
            <v>25</v>
          </cell>
          <cell r="E609">
            <v>150</v>
          </cell>
          <cell r="F609" t="str">
            <v/>
          </cell>
          <cell r="G609">
            <v>50</v>
          </cell>
          <cell r="H609">
            <v>300</v>
          </cell>
          <cell r="I609" t="str">
            <v/>
          </cell>
          <cell r="J609" t="str">
            <v/>
          </cell>
          <cell r="K609" t="str">
            <v/>
          </cell>
        </row>
        <row r="610">
          <cell r="B610" t="str">
            <v>95-53-4</v>
          </cell>
          <cell r="C610" t="str">
            <v>o-Toluidine</v>
          </cell>
          <cell r="D610">
            <v>2</v>
          </cell>
          <cell r="E610">
            <v>9</v>
          </cell>
          <cell r="F610" t="str">
            <v/>
          </cell>
          <cell r="G610" t="str">
            <v/>
          </cell>
          <cell r="H610" t="str">
            <v/>
          </cell>
          <cell r="I610" t="str">
            <v/>
          </cell>
          <cell r="J610" t="str">
            <v/>
          </cell>
          <cell r="K610" t="str">
            <v>Skin</v>
          </cell>
        </row>
        <row r="611">
          <cell r="B611" t="str">
            <v>96-18-4</v>
          </cell>
          <cell r="C611" t="str">
            <v>1,2,3-Trichloropropane</v>
          </cell>
          <cell r="D611">
            <v>10</v>
          </cell>
          <cell r="E611">
            <v>60</v>
          </cell>
          <cell r="F611" t="str">
            <v/>
          </cell>
          <cell r="G611" t="str">
            <v/>
          </cell>
          <cell r="H611" t="str">
            <v/>
          </cell>
          <cell r="I611" t="str">
            <v/>
          </cell>
          <cell r="J611" t="str">
            <v/>
          </cell>
          <cell r="K611" t="str">
            <v>Skin</v>
          </cell>
        </row>
        <row r="612">
          <cell r="B612" t="str">
            <v>96-22-0</v>
          </cell>
          <cell r="C612" t="str">
            <v>Diethyl ketone</v>
          </cell>
          <cell r="D612">
            <v>200</v>
          </cell>
          <cell r="E612">
            <v>705</v>
          </cell>
          <cell r="F612" t="str">
            <v/>
          </cell>
          <cell r="G612" t="str">
            <v/>
          </cell>
          <cell r="H612" t="str">
            <v/>
          </cell>
          <cell r="I612" t="str">
            <v/>
          </cell>
          <cell r="J612" t="str">
            <v/>
          </cell>
          <cell r="K612" t="str">
            <v/>
          </cell>
        </row>
        <row r="613">
          <cell r="B613" t="str">
            <v>96-33-3</v>
          </cell>
          <cell r="C613" t="str">
            <v>Methyl acrylate</v>
          </cell>
          <cell r="D613">
            <v>2</v>
          </cell>
          <cell r="E613">
            <v>7</v>
          </cell>
          <cell r="F613" t="str">
            <v/>
          </cell>
          <cell r="G613" t="str">
            <v/>
          </cell>
          <cell r="H613" t="str">
            <v/>
          </cell>
          <cell r="I613" t="str">
            <v/>
          </cell>
          <cell r="J613" t="str">
            <v/>
          </cell>
          <cell r="K613" t="str">
            <v>Skin</v>
          </cell>
        </row>
        <row r="614">
          <cell r="B614" t="str">
            <v>96-69-5</v>
          </cell>
          <cell r="C614" t="str">
            <v>4,4'-Thiobis(6-tert-butyl-m-cresol)</v>
          </cell>
          <cell r="D614" t="str">
            <v/>
          </cell>
          <cell r="E614">
            <v>10</v>
          </cell>
          <cell r="F614" t="str">
            <v/>
          </cell>
          <cell r="G614" t="str">
            <v/>
          </cell>
          <cell r="H614" t="str">
            <v/>
          </cell>
          <cell r="I614" t="str">
            <v/>
          </cell>
          <cell r="J614" t="str">
            <v/>
          </cell>
          <cell r="K614" t="str">
            <v/>
          </cell>
        </row>
        <row r="615">
          <cell r="B615" t="str">
            <v>97-77-8</v>
          </cell>
          <cell r="C615" t="str">
            <v>Disulfiram</v>
          </cell>
          <cell r="D615" t="str">
            <v/>
          </cell>
          <cell r="E615">
            <v>2</v>
          </cell>
          <cell r="F615" t="str">
            <v/>
          </cell>
          <cell r="G615" t="str">
            <v/>
          </cell>
          <cell r="H615" t="str">
            <v/>
          </cell>
          <cell r="I615" t="str">
            <v/>
          </cell>
          <cell r="J615" t="str">
            <v/>
          </cell>
          <cell r="K615" t="str">
            <v/>
          </cell>
        </row>
        <row r="616">
          <cell r="B616" t="str">
            <v>98-00-0</v>
          </cell>
          <cell r="C616" t="str">
            <v>Furfuryl alcohol</v>
          </cell>
          <cell r="D616">
            <v>10</v>
          </cell>
          <cell r="E616">
            <v>40</v>
          </cell>
          <cell r="F616" t="str">
            <v/>
          </cell>
          <cell r="G616">
            <v>15</v>
          </cell>
          <cell r="H616">
            <v>60</v>
          </cell>
          <cell r="I616" t="str">
            <v/>
          </cell>
          <cell r="J616" t="str">
            <v/>
          </cell>
          <cell r="K616" t="str">
            <v>Skin</v>
          </cell>
        </row>
        <row r="617">
          <cell r="B617" t="str">
            <v>98-01-1</v>
          </cell>
          <cell r="C617" t="str">
            <v>Furfural</v>
          </cell>
          <cell r="D617">
            <v>2</v>
          </cell>
          <cell r="E617">
            <v>8</v>
          </cell>
          <cell r="F617" t="str">
            <v/>
          </cell>
          <cell r="G617" t="str">
            <v/>
          </cell>
          <cell r="H617" t="str">
            <v/>
          </cell>
          <cell r="I617" t="str">
            <v/>
          </cell>
          <cell r="J617" t="str">
            <v/>
          </cell>
          <cell r="K617" t="str">
            <v>Skin</v>
          </cell>
        </row>
        <row r="618">
          <cell r="B618" t="str">
            <v>98-07-7</v>
          </cell>
          <cell r="C618" t="str">
            <v>Benzotrichloride</v>
          </cell>
          <cell r="D618" t="str">
            <v/>
          </cell>
          <cell r="E618" t="str">
            <v/>
          </cell>
          <cell r="F618" t="str">
            <v/>
          </cell>
          <cell r="G618" t="str">
            <v/>
          </cell>
          <cell r="H618" t="str">
            <v/>
          </cell>
          <cell r="I618">
            <v>0.1</v>
          </cell>
          <cell r="J618" t="str">
            <v/>
          </cell>
          <cell r="K618" t="str">
            <v>Skin</v>
          </cell>
        </row>
        <row r="619">
          <cell r="B619" t="str">
            <v>98-51-1</v>
          </cell>
          <cell r="C619" t="str">
            <v>p-tert-Butyltoluene</v>
          </cell>
          <cell r="D619">
            <v>10</v>
          </cell>
          <cell r="E619">
            <v>60</v>
          </cell>
          <cell r="F619" t="str">
            <v/>
          </cell>
          <cell r="G619">
            <v>15</v>
          </cell>
          <cell r="H619">
            <v>90</v>
          </cell>
          <cell r="I619" t="str">
            <v/>
          </cell>
          <cell r="J619" t="str">
            <v/>
          </cell>
          <cell r="K619" t="str">
            <v/>
          </cell>
        </row>
        <row r="620">
          <cell r="B620" t="str">
            <v>98-82-8</v>
          </cell>
          <cell r="C620" t="str">
            <v>Cumene</v>
          </cell>
          <cell r="D620">
            <v>50</v>
          </cell>
          <cell r="E620">
            <v>245</v>
          </cell>
          <cell r="F620" t="str">
            <v/>
          </cell>
          <cell r="G620" t="str">
            <v/>
          </cell>
          <cell r="H620" t="str">
            <v/>
          </cell>
          <cell r="I620" t="str">
            <v/>
          </cell>
          <cell r="J620" t="str">
            <v/>
          </cell>
          <cell r="K620" t="str">
            <v>Skin</v>
          </cell>
        </row>
        <row r="621">
          <cell r="B621" t="str">
            <v>98-83-9</v>
          </cell>
          <cell r="C621" t="str">
            <v>α-Methyl styrene</v>
          </cell>
          <cell r="D621">
            <v>50</v>
          </cell>
          <cell r="E621">
            <v>240</v>
          </cell>
          <cell r="F621" t="str">
            <v/>
          </cell>
          <cell r="G621">
            <v>100</v>
          </cell>
          <cell r="H621">
            <v>485</v>
          </cell>
          <cell r="I621" t="str">
            <v/>
          </cell>
          <cell r="J621" t="str">
            <v/>
          </cell>
          <cell r="K621" t="str">
            <v/>
          </cell>
        </row>
        <row r="622">
          <cell r="B622" t="str">
            <v>98-88-4</v>
          </cell>
          <cell r="C622" t="str">
            <v>Benzoyl chloride</v>
          </cell>
          <cell r="D622" t="str">
            <v/>
          </cell>
          <cell r="E622" t="str">
            <v/>
          </cell>
          <cell r="F622" t="str">
            <v/>
          </cell>
          <cell r="G622" t="str">
            <v/>
          </cell>
          <cell r="H622" t="str">
            <v/>
          </cell>
          <cell r="I622">
            <v>0.5</v>
          </cell>
          <cell r="J622">
            <v>2.8</v>
          </cell>
          <cell r="K622" t="str">
            <v/>
          </cell>
        </row>
        <row r="623">
          <cell r="B623" t="str">
            <v>98-95-3</v>
          </cell>
          <cell r="C623" t="str">
            <v>Nitrobenzene</v>
          </cell>
          <cell r="D623">
            <v>1</v>
          </cell>
          <cell r="E623">
            <v>5</v>
          </cell>
          <cell r="F623" t="str">
            <v/>
          </cell>
          <cell r="G623" t="str">
            <v/>
          </cell>
          <cell r="H623" t="str">
            <v/>
          </cell>
          <cell r="I623" t="str">
            <v/>
          </cell>
          <cell r="J623" t="str">
            <v/>
          </cell>
          <cell r="K623" t="str">
            <v>Skin</v>
          </cell>
        </row>
        <row r="624">
          <cell r="B624" t="str">
            <v>99-65-0</v>
          </cell>
          <cell r="C624" t="str">
            <v>Dinitrobenzene(all isomers)</v>
          </cell>
          <cell r="D624">
            <v>0.15</v>
          </cell>
          <cell r="E624">
            <v>1</v>
          </cell>
          <cell r="F624" t="str">
            <v/>
          </cell>
          <cell r="G624" t="str">
            <v/>
          </cell>
          <cell r="H624" t="str">
            <v/>
          </cell>
          <cell r="I624" t="str">
            <v/>
          </cell>
          <cell r="J624" t="str">
            <v/>
          </cell>
          <cell r="K624" t="str">
            <v>Skin</v>
          </cell>
        </row>
        <row r="625">
          <cell r="B625" t="str">
            <v>999-61-1</v>
          </cell>
          <cell r="C625" t="str">
            <v>2-Hydroxypropyl acrylate</v>
          </cell>
          <cell r="D625">
            <v>0.5</v>
          </cell>
          <cell r="E625">
            <v>3</v>
          </cell>
          <cell r="F625" t="str">
            <v/>
          </cell>
          <cell r="G625" t="str">
            <v/>
          </cell>
          <cell r="H625" t="str">
            <v/>
          </cell>
          <cell r="I625" t="str">
            <v/>
          </cell>
          <cell r="J625" t="str">
            <v/>
          </cell>
          <cell r="K625" t="str">
            <v>Skin</v>
          </cell>
        </row>
        <row r="626">
          <cell r="C626" t="str">
            <v>Activated carbon</v>
          </cell>
          <cell r="D626" t="str">
            <v/>
          </cell>
          <cell r="E626">
            <v>5</v>
          </cell>
          <cell r="F626" t="str">
            <v/>
          </cell>
          <cell r="G626" t="str">
            <v/>
          </cell>
          <cell r="H626" t="str">
            <v/>
          </cell>
          <cell r="I626" t="str">
            <v/>
          </cell>
          <cell r="J626" t="str">
            <v/>
          </cell>
          <cell r="K626" t="str">
            <v/>
          </cell>
        </row>
        <row r="627">
          <cell r="C627" t="str">
            <v>Grain dust</v>
          </cell>
          <cell r="D627" t="str">
            <v/>
          </cell>
          <cell r="E627">
            <v>4</v>
          </cell>
          <cell r="F627" t="str">
            <v/>
          </cell>
          <cell r="G627" t="str">
            <v/>
          </cell>
          <cell r="H627" t="str">
            <v/>
          </cell>
          <cell r="I627" t="str">
            <v/>
          </cell>
          <cell r="J627" t="str">
            <v/>
          </cell>
          <cell r="K627" t="str">
            <v/>
          </cell>
        </row>
        <row r="628">
          <cell r="C628" t="str">
            <v>Hexane(other isomer)</v>
          </cell>
          <cell r="D628">
            <v>500</v>
          </cell>
          <cell r="E628">
            <v>1800</v>
          </cell>
          <cell r="F628" t="str">
            <v/>
          </cell>
          <cell r="G628">
            <v>1000</v>
          </cell>
          <cell r="H628">
            <v>3600</v>
          </cell>
          <cell r="I628" t="str">
            <v/>
          </cell>
          <cell r="J628" t="str">
            <v/>
          </cell>
          <cell r="K628" t="str">
            <v/>
          </cell>
        </row>
        <row r="629">
          <cell r="C629" t="str">
            <v>Lime stone</v>
          </cell>
          <cell r="D629" t="str">
            <v/>
          </cell>
          <cell r="E629">
            <v>10</v>
          </cell>
          <cell r="F629" t="str">
            <v/>
          </cell>
          <cell r="G629" t="str">
            <v/>
          </cell>
          <cell r="H629" t="str">
            <v/>
          </cell>
          <cell r="I629" t="str">
            <v/>
          </cell>
          <cell r="J629" t="str">
            <v/>
          </cell>
          <cell r="K629" t="str">
            <v/>
          </cell>
        </row>
        <row r="630">
          <cell r="C630" t="str">
            <v>Marble</v>
          </cell>
          <cell r="D630" t="str">
            <v/>
          </cell>
          <cell r="E630">
            <v>10</v>
          </cell>
          <cell r="F630" t="str">
            <v/>
          </cell>
          <cell r="G630" t="str">
            <v/>
          </cell>
          <cell r="H630" t="str">
            <v/>
          </cell>
          <cell r="I630" t="str">
            <v/>
          </cell>
          <cell r="J630" t="str">
            <v/>
          </cell>
          <cell r="K630" t="str">
            <v/>
          </cell>
        </row>
        <row r="631">
          <cell r="C631" t="str">
            <v>Metal Working Fluids(as mixed solvent soluble aerosol)</v>
          </cell>
          <cell r="D631" t="str">
            <v/>
          </cell>
          <cell r="E631">
            <v>0.8</v>
          </cell>
          <cell r="F631" t="str">
            <v/>
          </cell>
          <cell r="G631" t="str">
            <v/>
          </cell>
          <cell r="H631" t="str">
            <v/>
          </cell>
          <cell r="I631" t="str">
            <v/>
          </cell>
          <cell r="J631" t="str">
            <v/>
          </cell>
          <cell r="K631" t="str">
            <v/>
          </cell>
        </row>
        <row r="632">
          <cell r="C632" t="str">
            <v>Methyl acetylene propadiene mixture(MAPP)</v>
          </cell>
          <cell r="D632">
            <v>1000</v>
          </cell>
          <cell r="E632">
            <v>1800</v>
          </cell>
          <cell r="F632" t="str">
            <v/>
          </cell>
          <cell r="G632">
            <v>1250</v>
          </cell>
          <cell r="H632">
            <v>2250</v>
          </cell>
          <cell r="I632" t="str">
            <v/>
          </cell>
          <cell r="J632" t="str">
            <v/>
          </cell>
          <cell r="K632" t="str">
            <v/>
          </cell>
        </row>
        <row r="633">
          <cell r="C633" t="str">
            <v>Mineral wool fiber</v>
          </cell>
          <cell r="D633" t="str">
            <v/>
          </cell>
          <cell r="E633">
            <v>10</v>
          </cell>
          <cell r="F633" t="str">
            <v/>
          </cell>
          <cell r="G633" t="str">
            <v/>
          </cell>
          <cell r="H633" t="str">
            <v/>
          </cell>
          <cell r="I633" t="str">
            <v/>
          </cell>
          <cell r="J633" t="str">
            <v/>
          </cell>
          <cell r="K633" t="str">
            <v/>
          </cell>
        </row>
        <row r="634">
          <cell r="C634" t="str">
            <v>Particulate polycyclicaromatic hydrocarbons(as benzene solubles)</v>
          </cell>
          <cell r="D634" t="str">
            <v/>
          </cell>
          <cell r="E634">
            <v>0.2</v>
          </cell>
          <cell r="F634" t="str">
            <v/>
          </cell>
          <cell r="G634" t="str">
            <v/>
          </cell>
          <cell r="H634" t="str">
            <v/>
          </cell>
          <cell r="I634" t="str">
            <v/>
          </cell>
          <cell r="J634" t="str">
            <v/>
          </cell>
          <cell r="K634" t="str">
            <v/>
          </cell>
        </row>
        <row r="635">
          <cell r="C635" t="str">
            <v>Particulates not otherwise regulated(no more than 1% crystalline silica)</v>
          </cell>
          <cell r="D635" t="str">
            <v/>
          </cell>
          <cell r="E635">
            <v>10</v>
          </cell>
          <cell r="F635" t="str">
            <v/>
          </cell>
          <cell r="G635" t="str">
            <v/>
          </cell>
          <cell r="H635" t="str">
            <v/>
          </cell>
          <cell r="I635" t="str">
            <v/>
          </cell>
          <cell r="J635" t="str">
            <v/>
          </cell>
          <cell r="K635" t="str">
            <v/>
          </cell>
        </row>
        <row r="636">
          <cell r="C636" t="str">
            <v>Refractory ceramic fibers(Respirable fibers)</v>
          </cell>
          <cell r="D636" t="str">
            <v/>
          </cell>
          <cell r="E636" t="str">
            <v/>
          </cell>
          <cell r="F636">
            <v>0.2</v>
          </cell>
          <cell r="G636" t="str">
            <v/>
          </cell>
          <cell r="H636" t="str">
            <v/>
          </cell>
          <cell r="I636" t="str">
            <v/>
          </cell>
          <cell r="J636" t="str">
            <v/>
          </cell>
          <cell r="K636" t="str">
            <v/>
          </cell>
        </row>
        <row r="637">
          <cell r="C637" t="str">
            <v>Agalmatolite</v>
          </cell>
          <cell r="D637" t="str">
            <v/>
          </cell>
          <cell r="E637" t="str">
            <v/>
          </cell>
          <cell r="F637" t="str">
            <v/>
          </cell>
          <cell r="G637" t="str">
            <v/>
          </cell>
          <cell r="H637" t="str">
            <v/>
          </cell>
          <cell r="I637" t="str">
            <v/>
          </cell>
          <cell r="J637" t="str">
            <v/>
          </cell>
          <cell r="K637" t="str">
            <v/>
          </cell>
        </row>
        <row r="638">
          <cell r="C638" t="str">
            <v>Rosin core solder pyrolysis products, as Formaldehyde</v>
          </cell>
          <cell r="D638" t="str">
            <v/>
          </cell>
          <cell r="E638">
            <v>0.1</v>
          </cell>
          <cell r="F638" t="str">
            <v/>
          </cell>
          <cell r="G638" t="str">
            <v/>
          </cell>
          <cell r="H638" t="str">
            <v/>
          </cell>
          <cell r="I638" t="str">
            <v/>
          </cell>
          <cell r="J638" t="str">
            <v/>
          </cell>
          <cell r="K638" t="str">
            <v/>
          </cell>
        </row>
        <row r="639">
          <cell r="C639" t="str">
            <v>Rouge</v>
          </cell>
          <cell r="D639" t="str">
            <v/>
          </cell>
          <cell r="E639">
            <v>10</v>
          </cell>
          <cell r="F639" t="str">
            <v/>
          </cell>
          <cell r="G639" t="str">
            <v/>
          </cell>
          <cell r="H639" t="str">
            <v/>
          </cell>
          <cell r="I639" t="str">
            <v/>
          </cell>
          <cell r="J639" t="str">
            <v/>
          </cell>
          <cell r="K639" t="str">
            <v/>
          </cell>
        </row>
        <row r="640">
          <cell r="C640" t="str">
            <v>Sulfide ore</v>
          </cell>
          <cell r="D640" t="str">
            <v/>
          </cell>
          <cell r="E640">
            <v>2</v>
          </cell>
          <cell r="F640" t="str">
            <v/>
          </cell>
          <cell r="G640" t="str">
            <v/>
          </cell>
          <cell r="H640" t="str">
            <v/>
          </cell>
          <cell r="I640" t="str">
            <v/>
          </cell>
          <cell r="J640" t="str">
            <v/>
          </cell>
          <cell r="K640" t="str">
            <v/>
          </cell>
        </row>
        <row r="641">
          <cell r="C641" t="str">
            <v>Talc(Containing asbestos fibers)</v>
          </cell>
          <cell r="D641" t="str">
            <v/>
          </cell>
          <cell r="E641" t="str">
            <v/>
          </cell>
          <cell r="F641">
            <v>0.1</v>
          </cell>
          <cell r="G641" t="str">
            <v/>
          </cell>
          <cell r="H641" t="str">
            <v/>
          </cell>
          <cell r="I641" t="str">
            <v/>
          </cell>
          <cell r="J641" t="str">
            <v/>
          </cell>
          <cell r="K641" t="str">
            <v/>
          </cell>
        </row>
        <row r="642">
          <cell r="C642" t="str">
            <v>Welding fumes and dust</v>
          </cell>
          <cell r="D642" t="str">
            <v/>
          </cell>
          <cell r="E642">
            <v>5</v>
          </cell>
          <cell r="F642" t="str">
            <v/>
          </cell>
          <cell r="G642" t="str">
            <v/>
          </cell>
          <cell r="H642" t="str">
            <v/>
          </cell>
          <cell r="I642" t="str">
            <v/>
          </cell>
          <cell r="J642" t="str">
            <v/>
          </cell>
          <cell r="K642" t="str">
            <v/>
          </cell>
        </row>
        <row r="643">
          <cell r="C643" t="str">
            <v>Wood dust(All other species, Inhalable fraction)</v>
          </cell>
          <cell r="D643" t="str">
            <v/>
          </cell>
          <cell r="E643">
            <v>1</v>
          </cell>
          <cell r="F643" t="str">
            <v/>
          </cell>
          <cell r="G643" t="str">
            <v/>
          </cell>
          <cell r="H643" t="str">
            <v/>
          </cell>
          <cell r="I643" t="str">
            <v/>
          </cell>
          <cell r="J643" t="str">
            <v/>
          </cell>
          <cell r="K643" t="str">
            <v/>
          </cell>
        </row>
        <row r="644">
          <cell r="C644" t="str">
            <v>Wood dust(Western red cedar, Inhalable fraction)</v>
          </cell>
          <cell r="D644" t="str">
            <v/>
          </cell>
          <cell r="E644">
            <v>0.5</v>
          </cell>
          <cell r="F644" t="str">
            <v/>
          </cell>
          <cell r="G644" t="str">
            <v/>
          </cell>
          <cell r="H644" t="str">
            <v/>
          </cell>
          <cell r="I644" t="str">
            <v/>
          </cell>
          <cell r="J644" t="str">
            <v/>
          </cell>
          <cell r="K644" t="str">
            <v/>
          </cell>
        </row>
        <row r="645">
          <cell r="C645" t="str">
            <v>Asbestos(All forms)</v>
          </cell>
          <cell r="D645" t="str">
            <v/>
          </cell>
          <cell r="E645" t="str">
            <v/>
          </cell>
          <cell r="F645">
            <v>0.1</v>
          </cell>
          <cell r="G645" t="str">
            <v/>
          </cell>
          <cell r="H645" t="str">
            <v/>
          </cell>
          <cell r="I645" t="str">
            <v/>
          </cell>
          <cell r="J645" t="str">
            <v/>
          </cell>
          <cell r="K645" t="str">
            <v/>
          </cell>
        </row>
        <row r="646">
          <cell r="C646" t="str">
            <v>Coal dust(Respirable fraction)</v>
          </cell>
          <cell r="D646" t="str">
            <v/>
          </cell>
          <cell r="E646">
            <v>1</v>
          </cell>
          <cell r="F646" t="str">
            <v/>
          </cell>
          <cell r="G646" t="str">
            <v/>
          </cell>
          <cell r="H646" t="str">
            <v/>
          </cell>
          <cell r="I646" t="str">
            <v/>
          </cell>
          <cell r="J646" t="str">
            <v/>
          </cell>
          <cell r="K646" t="str">
            <v/>
          </cell>
        </row>
        <row r="647">
          <cell r="C647" t="str">
            <v>Cotton dust, raw</v>
          </cell>
          <cell r="D647" t="str">
            <v/>
          </cell>
          <cell r="E647">
            <v>0.2</v>
          </cell>
          <cell r="F647" t="str">
            <v/>
          </cell>
          <cell r="G647" t="str">
            <v/>
          </cell>
          <cell r="H647" t="str">
            <v/>
          </cell>
          <cell r="I647" t="str">
            <v/>
          </cell>
          <cell r="J647" t="str">
            <v/>
          </cell>
          <cell r="K647" t="str">
            <v/>
          </cell>
        </row>
        <row r="648">
          <cell r="C648" t="str">
            <v>Cyanides, as CN</v>
          </cell>
          <cell r="D648" t="str">
            <v/>
          </cell>
          <cell r="E648">
            <v>5</v>
          </cell>
          <cell r="F648" t="str">
            <v/>
          </cell>
          <cell r="G648" t="str">
            <v/>
          </cell>
          <cell r="H648" t="str">
            <v/>
          </cell>
          <cell r="I648" t="str">
            <v/>
          </cell>
          <cell r="J648" t="str">
            <v/>
          </cell>
          <cell r="K648" t="str">
            <v>Skin</v>
          </cell>
        </row>
        <row r="649">
          <cell r="C649" t="str">
            <v>Diatomaceous earth</v>
          </cell>
          <cell r="D649" t="str">
            <v/>
          </cell>
          <cell r="E649">
            <v>10</v>
          </cell>
          <cell r="F649" t="str">
            <v/>
          </cell>
          <cell r="G649" t="str">
            <v/>
          </cell>
          <cell r="H649" t="str">
            <v/>
          </cell>
          <cell r="I649" t="str">
            <v/>
          </cell>
          <cell r="J649" t="str">
            <v/>
          </cell>
          <cell r="K649" t="str">
            <v/>
          </cell>
        </row>
        <row r="650">
          <cell r="C650" t="str">
            <v>Fibrous glass dust</v>
          </cell>
          <cell r="D650" t="str">
            <v/>
          </cell>
          <cell r="E650">
            <v>5</v>
          </cell>
          <cell r="F650" t="str">
            <v/>
          </cell>
          <cell r="G650" t="str">
            <v/>
          </cell>
          <cell r="H650" t="str">
            <v/>
          </cell>
          <cell r="I650" t="str">
            <v/>
          </cell>
          <cell r="J650" t="str">
            <v/>
          </cell>
          <cell r="K650" t="str">
            <v/>
          </cell>
        </row>
        <row r="651">
          <cell r="C651" t="str">
            <v>Flour dust(Inhalable fraction)</v>
          </cell>
          <cell r="D651" t="str">
            <v/>
          </cell>
          <cell r="E651">
            <v>0.5</v>
          </cell>
          <cell r="F651" t="str">
            <v/>
          </cell>
          <cell r="G651" t="str">
            <v/>
          </cell>
          <cell r="H651" t="str">
            <v/>
          </cell>
          <cell r="I651" t="str">
            <v/>
          </cell>
          <cell r="J651" t="str">
            <v/>
          </cell>
          <cell r="K651" t="str">
            <v/>
          </cell>
        </row>
      </sheetData>
      <sheetData sheetId="44" refreshError="1">
        <row r="1">
          <cell r="B1" t="str">
            <v>CAS No</v>
          </cell>
          <cell r="C1" t="str">
            <v>화학물질명</v>
          </cell>
          <cell r="D1" t="str">
            <v>함량기준설명</v>
          </cell>
          <cell r="E1" t="str">
            <v>함량기준수치</v>
          </cell>
        </row>
        <row r="2">
          <cell r="B2" t="str">
            <v>100-00-5</v>
          </cell>
          <cell r="C2" t="str">
            <v>p-Nitrochlorobenzene</v>
          </cell>
          <cell r="D2" t="str">
            <v>물질을 중량비율 1% 이상 함유한 제제</v>
          </cell>
          <cell r="E2">
            <v>1</v>
          </cell>
        </row>
        <row r="3">
          <cell r="B3" t="str">
            <v>100-01-6</v>
          </cell>
          <cell r="C3" t="str">
            <v>p-Nitroaniline</v>
          </cell>
          <cell r="D3" t="str">
            <v>물질을 중량비율 1% 이상 함유한 제제</v>
          </cell>
          <cell r="E3">
            <v>1</v>
          </cell>
        </row>
        <row r="4">
          <cell r="B4" t="str">
            <v>10028-15-6</v>
          </cell>
          <cell r="C4" t="str">
            <v>Ozone</v>
          </cell>
          <cell r="D4" t="str">
            <v>물질을 중량비율 1% 이상 함유한 제제</v>
          </cell>
          <cell r="E4">
            <v>1</v>
          </cell>
        </row>
        <row r="5">
          <cell r="B5" t="str">
            <v>10035-10-6</v>
          </cell>
          <cell r="C5" t="str">
            <v>Hydrogen bromide</v>
          </cell>
          <cell r="D5" t="str">
            <v>물질을 중량비율 1% 이상 함유한 제제</v>
          </cell>
          <cell r="E5">
            <v>1</v>
          </cell>
        </row>
        <row r="6">
          <cell r="B6" t="str">
            <v>100-37-8</v>
          </cell>
          <cell r="C6" t="str">
            <v>2-Diethylaminoethanol</v>
          </cell>
          <cell r="D6" t="str">
            <v>물질을 중량비율 1% 이상 함유한 제제</v>
          </cell>
          <cell r="E6">
            <v>1</v>
          </cell>
        </row>
        <row r="7">
          <cell r="B7" t="str">
            <v>100-41-4</v>
          </cell>
          <cell r="C7" t="str">
            <v>Ethylbenzene</v>
          </cell>
          <cell r="D7" t="str">
            <v>물질을 중량비율 1% 이상 함유한 제제</v>
          </cell>
          <cell r="E7">
            <v>1</v>
          </cell>
        </row>
        <row r="8">
          <cell r="B8" t="str">
            <v>100-42-5</v>
          </cell>
          <cell r="C8" t="str">
            <v>Styrene</v>
          </cell>
          <cell r="D8" t="str">
            <v>물질을 중량비율 1% 이상 함유한 제제</v>
          </cell>
          <cell r="E8">
            <v>1</v>
          </cell>
        </row>
        <row r="9">
          <cell r="B9" t="str">
            <v>10102-43-9</v>
          </cell>
          <cell r="C9" t="str">
            <v>Nitric oxide</v>
          </cell>
          <cell r="D9" t="str">
            <v>물질을 중량비율 1% 이상 함유한 제제</v>
          </cell>
          <cell r="E9">
            <v>1</v>
          </cell>
        </row>
        <row r="10">
          <cell r="B10" t="str">
            <v>10102-44-0</v>
          </cell>
          <cell r="C10" t="str">
            <v>Nitrogen dioxide</v>
          </cell>
          <cell r="D10" t="str">
            <v>물질을 중량비율 1% 이상 함유한 제제</v>
          </cell>
          <cell r="E10">
            <v>1</v>
          </cell>
        </row>
        <row r="11">
          <cell r="B11" t="str">
            <v>101-68-8</v>
          </cell>
          <cell r="C11" t="str">
            <v>4,4'-Methylene di(bis)phenyl diisocyanate</v>
          </cell>
          <cell r="D11" t="str">
            <v>물질을 중량비율 1% 이상 함유한 제제</v>
          </cell>
          <cell r="E11">
            <v>1</v>
          </cell>
        </row>
        <row r="12">
          <cell r="B12" t="str">
            <v>106-42-3</v>
          </cell>
          <cell r="C12" t="str">
            <v>Xylene, o,m,p-isomers</v>
          </cell>
          <cell r="D12" t="str">
            <v>물질을 중량비율 1% 이상 함유한 제제</v>
          </cell>
          <cell r="E12">
            <v>1</v>
          </cell>
        </row>
        <row r="13">
          <cell r="B13" t="str">
            <v>106-44-5</v>
          </cell>
          <cell r="C13" t="str">
            <v>Cresol, all isomers</v>
          </cell>
          <cell r="D13" t="str">
            <v>물질을 중량비율 1% 이상 함유한 제제</v>
          </cell>
          <cell r="E13">
            <v>1</v>
          </cell>
        </row>
        <row r="14">
          <cell r="B14" t="str">
            <v>106-89-8</v>
          </cell>
          <cell r="C14" t="str">
            <v>Epichlorohydrin</v>
          </cell>
          <cell r="D14" t="str">
            <v>물질을 중량비율 1% 이상 함유한 제제</v>
          </cell>
          <cell r="E14">
            <v>1</v>
          </cell>
        </row>
        <row r="15">
          <cell r="B15" t="str">
            <v>106-92-3</v>
          </cell>
          <cell r="C15" t="str">
            <v>Allylglycidylether</v>
          </cell>
          <cell r="D15" t="str">
            <v>물질을 중량비율 1% 이상 함유한 제제</v>
          </cell>
          <cell r="E15">
            <v>1</v>
          </cell>
        </row>
        <row r="16">
          <cell r="B16" t="str">
            <v>106-94-5</v>
          </cell>
          <cell r="C16" t="str">
            <v>1-Bromopropane</v>
          </cell>
          <cell r="D16" t="str">
            <v>물질을 중량비율 1% 이상 함유한 제제</v>
          </cell>
          <cell r="E16">
            <v>1</v>
          </cell>
        </row>
        <row r="17">
          <cell r="B17" t="str">
            <v>106-99-0</v>
          </cell>
          <cell r="C17" t="str">
            <v>1,3-Butadiene</v>
          </cell>
          <cell r="D17" t="str">
            <v>물질을 중량비율 1% 이상 함유한 제제</v>
          </cell>
          <cell r="E17">
            <v>1</v>
          </cell>
        </row>
        <row r="18">
          <cell r="B18" t="str">
            <v>107-06-2</v>
          </cell>
          <cell r="C18" t="str">
            <v>Ethylene dichloride</v>
          </cell>
          <cell r="D18" t="str">
            <v>물질을 중량비율 1% 이상 함유한 제제</v>
          </cell>
          <cell r="E18">
            <v>1</v>
          </cell>
        </row>
        <row r="19">
          <cell r="B19" t="str">
            <v>107-07-3</v>
          </cell>
          <cell r="C19" t="str">
            <v>Ethylene chlorohydrin</v>
          </cell>
          <cell r="D19" t="str">
            <v>물질을 중량비율 1% 이상 함유한 제제</v>
          </cell>
          <cell r="E19">
            <v>1</v>
          </cell>
        </row>
        <row r="20">
          <cell r="B20" t="str">
            <v>107-13-1</v>
          </cell>
          <cell r="C20" t="str">
            <v>Acrylonitrile</v>
          </cell>
          <cell r="D20" t="str">
            <v>물질을 중량비율 1% 이상 함유한 제제</v>
          </cell>
          <cell r="E20">
            <v>1</v>
          </cell>
        </row>
        <row r="21">
          <cell r="B21" t="str">
            <v>107-21-1</v>
          </cell>
          <cell r="C21" t="str">
            <v>Ethylene glycol</v>
          </cell>
          <cell r="D21" t="str">
            <v>물질을 중량비율 1% 이상 함유한 제제</v>
          </cell>
          <cell r="E21">
            <v>1</v>
          </cell>
        </row>
        <row r="22">
          <cell r="B22" t="str">
            <v>108-05-4</v>
          </cell>
          <cell r="C22" t="str">
            <v>Vinyl acetate</v>
          </cell>
          <cell r="D22" t="str">
            <v>물질을 중량비율 1% 이상 함유한 제제</v>
          </cell>
          <cell r="E22">
            <v>1</v>
          </cell>
        </row>
        <row r="23">
          <cell r="B23" t="str">
            <v>108-10-1</v>
          </cell>
          <cell r="C23" t="str">
            <v>Methyl isobutyl ketone</v>
          </cell>
          <cell r="D23" t="str">
            <v>물질을 중량비율 1% 이상 함유한 제제</v>
          </cell>
          <cell r="E23">
            <v>1</v>
          </cell>
        </row>
        <row r="24">
          <cell r="B24" t="str">
            <v>108-21-4</v>
          </cell>
          <cell r="C24" t="str">
            <v>Isopropyl acetate</v>
          </cell>
          <cell r="D24" t="str">
            <v>물질을 중량비율 1% 이상 함유한 제제</v>
          </cell>
          <cell r="E24">
            <v>1</v>
          </cell>
        </row>
        <row r="25">
          <cell r="B25" t="str">
            <v>108-24-7</v>
          </cell>
          <cell r="C25" t="str">
            <v>Acetic anhydride</v>
          </cell>
          <cell r="D25" t="str">
            <v>물질을 중량비율 1% 이상 함유한 제제</v>
          </cell>
          <cell r="E25">
            <v>1</v>
          </cell>
        </row>
        <row r="26">
          <cell r="B26" t="str">
            <v>108-31-6</v>
          </cell>
          <cell r="C26" t="str">
            <v>Maleic anhydride</v>
          </cell>
          <cell r="D26" t="str">
            <v>물질을 중량비율 1% 이상 함유한 제제</v>
          </cell>
          <cell r="E26">
            <v>1</v>
          </cell>
        </row>
        <row r="27">
          <cell r="B27" t="str">
            <v>108-38-3</v>
          </cell>
          <cell r="C27" t="str">
            <v>Xylene, o,m,p-isomers</v>
          </cell>
          <cell r="D27" t="str">
            <v>물질을 중량비율 1% 이상 함유한 제제</v>
          </cell>
          <cell r="E27">
            <v>1</v>
          </cell>
        </row>
        <row r="28">
          <cell r="B28" t="str">
            <v>108-39-4</v>
          </cell>
          <cell r="C28" t="str">
            <v>Cresol, all isomers</v>
          </cell>
          <cell r="D28" t="str">
            <v>물질을 중량비율 1% 이상 함유한 제제</v>
          </cell>
          <cell r="E28">
            <v>1</v>
          </cell>
        </row>
        <row r="29">
          <cell r="B29" t="str">
            <v>108-83-8</v>
          </cell>
          <cell r="C29" t="str">
            <v>Diisobutylketone</v>
          </cell>
          <cell r="D29" t="str">
            <v>물질을 중량비율 1% 이상 함유한 제제</v>
          </cell>
          <cell r="E29">
            <v>1</v>
          </cell>
        </row>
        <row r="30">
          <cell r="B30" t="str">
            <v>108-88-3</v>
          </cell>
          <cell r="C30" t="str">
            <v>Toluene</v>
          </cell>
          <cell r="D30" t="str">
            <v>물질을 중량비율 1% 이상 함유한 제제</v>
          </cell>
          <cell r="E30">
            <v>1</v>
          </cell>
        </row>
        <row r="31">
          <cell r="B31" t="str">
            <v>108-90-7</v>
          </cell>
          <cell r="C31" t="str">
            <v>Chlorobenzene</v>
          </cell>
          <cell r="D31" t="str">
            <v>물질을 중량비율 1% 이상 함유한 제제</v>
          </cell>
          <cell r="E31">
            <v>1</v>
          </cell>
        </row>
        <row r="32">
          <cell r="B32" t="str">
            <v>108-93-0</v>
          </cell>
          <cell r="C32" t="str">
            <v>Cyclohexanol</v>
          </cell>
          <cell r="D32" t="str">
            <v>물질을 중량비율 1% 이상 함유한 제제</v>
          </cell>
          <cell r="E32">
            <v>1</v>
          </cell>
        </row>
        <row r="33">
          <cell r="B33" t="str">
            <v>108-94-1</v>
          </cell>
          <cell r="C33" t="str">
            <v>Cyclohexanone</v>
          </cell>
          <cell r="D33" t="str">
            <v>물질을 중량비율 1% 이상 함유한 제제</v>
          </cell>
          <cell r="E33">
            <v>1</v>
          </cell>
        </row>
        <row r="34">
          <cell r="B34" t="str">
            <v>108-95-2</v>
          </cell>
          <cell r="C34" t="str">
            <v>Phenol</v>
          </cell>
          <cell r="D34" t="str">
            <v>물질을 중량비율 1% 이상 함유한 제제</v>
          </cell>
          <cell r="E34">
            <v>1</v>
          </cell>
        </row>
        <row r="35">
          <cell r="B35" t="str">
            <v>109-60-4</v>
          </cell>
          <cell r="C35" t="str">
            <v>n-Propyl acetate</v>
          </cell>
          <cell r="D35" t="str">
            <v>물질을 중량비율 1% 이상 함유한 제제</v>
          </cell>
          <cell r="E35">
            <v>1</v>
          </cell>
        </row>
        <row r="36">
          <cell r="B36" t="str">
            <v>109-86-4</v>
          </cell>
          <cell r="C36" t="str">
            <v>2-Methoxyethanol</v>
          </cell>
          <cell r="D36" t="str">
            <v>물질을 중량비율 1% 이상 함유한 제제</v>
          </cell>
          <cell r="E36">
            <v>1</v>
          </cell>
        </row>
        <row r="37">
          <cell r="B37" t="str">
            <v>109-89-7</v>
          </cell>
          <cell r="C37" t="str">
            <v>Diethylamine</v>
          </cell>
          <cell r="D37" t="str">
            <v>물질을 중량비율 1% 이상 함유한 제제</v>
          </cell>
          <cell r="E37">
            <v>1</v>
          </cell>
        </row>
        <row r="38">
          <cell r="B38" t="str">
            <v>109-99-9</v>
          </cell>
          <cell r="C38" t="str">
            <v>Tetrahydrofuran</v>
          </cell>
          <cell r="D38" t="str">
            <v>물질을 중량비율 1% 이상 함유한 제제</v>
          </cell>
          <cell r="E38">
            <v>1</v>
          </cell>
        </row>
        <row r="39">
          <cell r="B39" t="str">
            <v>110-19-0</v>
          </cell>
          <cell r="C39" t="str">
            <v>Isobutyl acetate</v>
          </cell>
          <cell r="D39" t="str">
            <v>물질을 중량비율 1% 이상 함유한 제제</v>
          </cell>
          <cell r="E39">
            <v>1</v>
          </cell>
        </row>
        <row r="40">
          <cell r="B40" t="str">
            <v>110-43-0</v>
          </cell>
          <cell r="C40" t="str">
            <v>Methyl n-amyl ketone</v>
          </cell>
          <cell r="D40" t="str">
            <v>물질을 중량비율 1% 이상 함유한 제제</v>
          </cell>
          <cell r="E40">
            <v>1</v>
          </cell>
        </row>
        <row r="41">
          <cell r="B41" t="str">
            <v>110-49-6</v>
          </cell>
          <cell r="C41" t="str">
            <v>2-Methoxyethyl acetate, EGMEA</v>
          </cell>
          <cell r="D41" t="str">
            <v>물질을 중량비율 1% 이상 함유한 제제</v>
          </cell>
          <cell r="E41">
            <v>1</v>
          </cell>
        </row>
        <row r="42">
          <cell r="B42" t="str">
            <v>110-54-3</v>
          </cell>
          <cell r="C42" t="str">
            <v>Hexane, n-Hexane</v>
          </cell>
          <cell r="D42" t="str">
            <v>물질을 중량비율 1% 이상 함유한 제제</v>
          </cell>
          <cell r="E42">
            <v>1</v>
          </cell>
        </row>
        <row r="43">
          <cell r="B43" t="str">
            <v>110-80-5</v>
          </cell>
          <cell r="C43" t="str">
            <v>2-Ethoxy ethanol, EGEE</v>
          </cell>
          <cell r="D43" t="str">
            <v>물질을 중량비율 1% 이상 함유한 제제</v>
          </cell>
          <cell r="E43">
            <v>1</v>
          </cell>
        </row>
        <row r="44">
          <cell r="B44" t="str">
            <v>110-82-7</v>
          </cell>
          <cell r="C44" t="str">
            <v>Cyclohexane</v>
          </cell>
          <cell r="D44" t="str">
            <v>물질을 중량비율 1% 이상 함유한 제제</v>
          </cell>
          <cell r="E44">
            <v>1</v>
          </cell>
        </row>
        <row r="45">
          <cell r="B45" t="str">
            <v>110-83-8</v>
          </cell>
          <cell r="C45" t="str">
            <v>Cyclohexene</v>
          </cell>
          <cell r="D45" t="str">
            <v>물질을 중량비율 1% 이상 함유한 제제</v>
          </cell>
          <cell r="E45">
            <v>1</v>
          </cell>
        </row>
        <row r="46">
          <cell r="B46" t="str">
            <v>110-86-1</v>
          </cell>
          <cell r="C46" t="str">
            <v>Pyridine</v>
          </cell>
          <cell r="D46" t="str">
            <v>물질을 중량비율 1% 이상 함유한 제제</v>
          </cell>
          <cell r="E46">
            <v>1</v>
          </cell>
        </row>
        <row r="47">
          <cell r="B47" t="str">
            <v>111-15-9</v>
          </cell>
          <cell r="C47" t="str">
            <v>2-Ethoxyethylacetate, EGEEA</v>
          </cell>
          <cell r="D47" t="str">
            <v>물질을 중량비율 1% 이상 함유한 제제</v>
          </cell>
          <cell r="E47">
            <v>1</v>
          </cell>
        </row>
        <row r="48">
          <cell r="B48" t="str">
            <v>111-30-8</v>
          </cell>
          <cell r="C48" t="str">
            <v>Glutaraldehyde</v>
          </cell>
          <cell r="D48" t="str">
            <v>물질을 중량비율 1% 이상 함유한 제제</v>
          </cell>
          <cell r="E48">
            <v>1</v>
          </cell>
        </row>
        <row r="49">
          <cell r="B49" t="str">
            <v>111-40-0</v>
          </cell>
          <cell r="C49" t="str">
            <v>Diethylene triamine</v>
          </cell>
          <cell r="D49" t="str">
            <v>물질을 중량비율 1% 이상 함유한 제제</v>
          </cell>
          <cell r="E49">
            <v>1</v>
          </cell>
        </row>
        <row r="50">
          <cell r="B50" t="str">
            <v>111-42-2</v>
          </cell>
          <cell r="C50" t="str">
            <v>Diethanolamine</v>
          </cell>
          <cell r="D50" t="str">
            <v>물질을 중량비율 1% 이상 함유한 제제</v>
          </cell>
          <cell r="E50">
            <v>1</v>
          </cell>
        </row>
        <row r="51">
          <cell r="B51" t="str">
            <v>111-76-2</v>
          </cell>
          <cell r="C51" t="str">
            <v>2-Butoxyethanol, EGBE</v>
          </cell>
          <cell r="D51" t="str">
            <v>물질을 중량비율 1% 이상 함유한 제제</v>
          </cell>
          <cell r="E51">
            <v>1</v>
          </cell>
        </row>
        <row r="52">
          <cell r="B52" t="str">
            <v>112-07-2</v>
          </cell>
          <cell r="C52" t="str">
            <v>Ethylene glycol mono butyl acetate</v>
          </cell>
          <cell r="D52" t="str">
            <v>물질을 중량비율 1% 이상 함유한 제제</v>
          </cell>
          <cell r="E52">
            <v>1</v>
          </cell>
        </row>
        <row r="53">
          <cell r="B53" t="str">
            <v>119-90-4</v>
          </cell>
          <cell r="C53" t="str">
            <v>Dianisidine and its salts</v>
          </cell>
          <cell r="D53" t="str">
            <v>물질을 중량비율 1% 이상 함유한 제제</v>
          </cell>
          <cell r="E53">
            <v>1</v>
          </cell>
        </row>
        <row r="54">
          <cell r="B54" t="str">
            <v>119-93-7</v>
          </cell>
          <cell r="C54" t="str">
            <v>o-Tolidine and its salts</v>
          </cell>
          <cell r="D54" t="str">
            <v>물질을 중량비율 1% 이상 함유한 제제</v>
          </cell>
          <cell r="E54">
            <v>1</v>
          </cell>
        </row>
        <row r="55">
          <cell r="B55" t="str">
            <v>12001-26-2</v>
          </cell>
          <cell r="C55" t="str">
            <v>Mica</v>
          </cell>
        </row>
        <row r="56">
          <cell r="B56" t="str">
            <v>12035-72-2</v>
          </cell>
          <cell r="C56" t="str">
            <v>Nickel subsulfide, as Ni</v>
          </cell>
          <cell r="D56" t="str">
            <v>물질을 중량비율 1% 이상 함유한 제제</v>
          </cell>
          <cell r="E56">
            <v>1</v>
          </cell>
        </row>
        <row r="57">
          <cell r="B57" t="str">
            <v>121-44-8</v>
          </cell>
          <cell r="C57" t="str">
            <v>Triethylamine</v>
          </cell>
          <cell r="D57" t="str">
            <v>물질을 중량비율 1% 이상 함유한 제제</v>
          </cell>
          <cell r="E57">
            <v>1</v>
          </cell>
        </row>
        <row r="58">
          <cell r="B58" t="str">
            <v>121-69-7</v>
          </cell>
          <cell r="C58" t="str">
            <v>Dimethylaniline(N,N-Dimethyl-aniline)</v>
          </cell>
          <cell r="D58" t="str">
            <v>물질을 중량비율 1% 이상 함유한 제제</v>
          </cell>
          <cell r="E58">
            <v>1</v>
          </cell>
        </row>
        <row r="59">
          <cell r="B59" t="str">
            <v>123-31-9</v>
          </cell>
          <cell r="C59" t="str">
            <v>Dihydroxybenzene</v>
          </cell>
          <cell r="D59" t="str">
            <v>물질을 중량비율 1% 이상 함유한 제제</v>
          </cell>
          <cell r="E59">
            <v>1</v>
          </cell>
        </row>
        <row r="60">
          <cell r="B60" t="str">
            <v>123-51-3</v>
          </cell>
          <cell r="C60" t="str">
            <v>Isoamyl alcohol</v>
          </cell>
          <cell r="D60" t="str">
            <v>물질을 중량비율 1% 이상 함유한 제제</v>
          </cell>
          <cell r="E60">
            <v>1</v>
          </cell>
        </row>
        <row r="61">
          <cell r="B61" t="str">
            <v>123-86-4</v>
          </cell>
          <cell r="C61" t="str">
            <v>n-Butyl acetate</v>
          </cell>
          <cell r="D61" t="str">
            <v>물질을 중량비율 1% 이상 함유한 제제</v>
          </cell>
          <cell r="E61">
            <v>1</v>
          </cell>
        </row>
        <row r="62">
          <cell r="B62" t="str">
            <v>123-91-1</v>
          </cell>
          <cell r="C62" t="str">
            <v>1,4-Dioxane, Diethyl dioxide</v>
          </cell>
          <cell r="D62" t="str">
            <v>물질을 중량비율 1% 이상 함유한 제제</v>
          </cell>
          <cell r="E62">
            <v>1</v>
          </cell>
        </row>
        <row r="63">
          <cell r="B63" t="str">
            <v>123-92-2</v>
          </cell>
          <cell r="C63" t="str">
            <v>Isoamyl acetate</v>
          </cell>
          <cell r="D63" t="str">
            <v>물질을 중량비율 1% 이상 함유한 제제</v>
          </cell>
          <cell r="E63">
            <v>1</v>
          </cell>
        </row>
        <row r="64">
          <cell r="B64" t="str">
            <v>124-40-3</v>
          </cell>
          <cell r="C64" t="str">
            <v>Dimethylamine</v>
          </cell>
          <cell r="D64" t="str">
            <v>물질을 중량비율 1% 이상 함유한 제제</v>
          </cell>
          <cell r="E64">
            <v>1</v>
          </cell>
        </row>
        <row r="65">
          <cell r="B65" t="str">
            <v>127-18-4</v>
          </cell>
          <cell r="C65" t="str">
            <v>Perchloroethylene</v>
          </cell>
          <cell r="D65" t="str">
            <v>물질을 중량비율 1% 이상 함유한 제제</v>
          </cell>
          <cell r="E65">
            <v>1</v>
          </cell>
        </row>
        <row r="66">
          <cell r="B66" t="str">
            <v>127-19-5</v>
          </cell>
          <cell r="C66" t="str">
            <v>N,N-Dimethylacetamide</v>
          </cell>
          <cell r="D66" t="str">
            <v>물질을 중량비율 1% 이상 함유한 제제</v>
          </cell>
          <cell r="E66">
            <v>1</v>
          </cell>
        </row>
        <row r="67">
          <cell r="B67" t="str">
            <v>1309-37-1</v>
          </cell>
          <cell r="C67" t="str">
            <v>Iron oxide dust and fume, as Fe</v>
          </cell>
          <cell r="D67" t="str">
            <v>물질을 중량비율 1% 이상 함유한 제제</v>
          </cell>
          <cell r="E67">
            <v>1</v>
          </cell>
        </row>
        <row r="68">
          <cell r="B68" t="str">
            <v>1309-48-4</v>
          </cell>
          <cell r="C68" t="str">
            <v>(Magnesium oxide)</v>
          </cell>
          <cell r="D68" t="str">
            <v>물질을 중량비율 1% 이상 함유한 제제</v>
          </cell>
          <cell r="E68">
            <v>1</v>
          </cell>
        </row>
        <row r="69">
          <cell r="B69" t="str">
            <v>1310-58-3</v>
          </cell>
          <cell r="C69" t="str">
            <v>Potassium hydroxide</v>
          </cell>
          <cell r="D69" t="str">
            <v>물질을 중량비율 1% 이상 함유한 제제</v>
          </cell>
          <cell r="E69">
            <v>1</v>
          </cell>
        </row>
        <row r="70">
          <cell r="B70" t="str">
            <v>1310-73-2</v>
          </cell>
          <cell r="C70" t="str">
            <v>Sodium hydroxide</v>
          </cell>
          <cell r="D70" t="str">
            <v>물질을 중량비율 1% 이상 함유한 제제</v>
          </cell>
          <cell r="E70">
            <v>1</v>
          </cell>
        </row>
        <row r="71">
          <cell r="B71" t="str">
            <v>1314-13-2</v>
          </cell>
          <cell r="C71" t="str">
            <v>Zinc oxide</v>
          </cell>
          <cell r="D71" t="str">
            <v>물질을 중량비율 1% 이상 함유한 제제</v>
          </cell>
          <cell r="E71">
            <v>1</v>
          </cell>
        </row>
        <row r="72">
          <cell r="B72" t="str">
            <v>1314-62-1</v>
          </cell>
          <cell r="C72" t="str">
            <v>Vanadium pentoxide</v>
          </cell>
          <cell r="D72" t="str">
            <v>물질을 중량비율 1% 이상 함유한 제제</v>
          </cell>
          <cell r="E72">
            <v>1</v>
          </cell>
        </row>
        <row r="73">
          <cell r="B73" t="str">
            <v>1319-77-3</v>
          </cell>
          <cell r="C73" t="str">
            <v>Cresol, all isomers</v>
          </cell>
          <cell r="D73" t="str">
            <v>물질을 중량비율 1% 이상 함유한 제제</v>
          </cell>
          <cell r="E73">
            <v>1</v>
          </cell>
        </row>
        <row r="74">
          <cell r="B74" t="str">
            <v>1330-20-7</v>
          </cell>
          <cell r="C74" t="str">
            <v>Xylene, o,m,p-isomers</v>
          </cell>
          <cell r="D74" t="str">
            <v>물질을 중량비율 1% 이상 함유한 제제</v>
          </cell>
          <cell r="E74">
            <v>1</v>
          </cell>
        </row>
        <row r="75">
          <cell r="B75" t="str">
            <v>1331-47-1</v>
          </cell>
          <cell r="C75" t="str">
            <v>Dichlorobenzidine and its salts</v>
          </cell>
          <cell r="D75" t="str">
            <v>물질을 중량비율 1% 이상 함유한 제제</v>
          </cell>
          <cell r="E75">
            <v>1</v>
          </cell>
        </row>
        <row r="76">
          <cell r="B76" t="str">
            <v>1332-21-4</v>
          </cell>
          <cell r="C76" t="str">
            <v>Asbestos, chrysotile</v>
          </cell>
        </row>
        <row r="77">
          <cell r="B77" t="str">
            <v>134-32-7</v>
          </cell>
          <cell r="C77" t="str">
            <v>α-naphthylamine and its salts</v>
          </cell>
          <cell r="D77" t="str">
            <v>물질을 중량비율 1% 이상 함유한 제제</v>
          </cell>
          <cell r="E77">
            <v>1</v>
          </cell>
        </row>
        <row r="78">
          <cell r="B78" t="str">
            <v>13463-39-3</v>
          </cell>
          <cell r="C78" t="str">
            <v>(Nickel carbonyl)</v>
          </cell>
          <cell r="D78" t="str">
            <v>물질을 중량비율 1% 이상 함유한 제제</v>
          </cell>
          <cell r="E78">
            <v>1</v>
          </cell>
        </row>
        <row r="79">
          <cell r="B79" t="str">
            <v>13463-67-7</v>
          </cell>
          <cell r="C79" t="str">
            <v>Titanium dioxide</v>
          </cell>
          <cell r="D79" t="str">
            <v>물질을 중량비율 1% 이상 함유한 제제</v>
          </cell>
          <cell r="E79">
            <v>1</v>
          </cell>
        </row>
        <row r="80">
          <cell r="B80" t="str">
            <v>13530-65-9</v>
          </cell>
          <cell r="C80" t="str">
            <v>Zinc chromate, as Cr</v>
          </cell>
          <cell r="D80" t="str">
            <v>물질을 중량비율 1% 이상 함유한 제제</v>
          </cell>
          <cell r="E80">
            <v>1</v>
          </cell>
        </row>
        <row r="81">
          <cell r="B81" t="str">
            <v>140-88-5</v>
          </cell>
          <cell r="C81" t="str">
            <v>Ethyl acrylate</v>
          </cell>
          <cell r="D81" t="str">
            <v>물질을 중량비율 1% 이상 함유한 제제</v>
          </cell>
          <cell r="E81">
            <v>1</v>
          </cell>
        </row>
        <row r="82">
          <cell r="B82" t="str">
            <v>141-43-5</v>
          </cell>
          <cell r="C82" t="str">
            <v>Ethanolamine</v>
          </cell>
          <cell r="D82" t="str">
            <v>물질을 중량비율 1% 이상 함유한 제제</v>
          </cell>
          <cell r="E82">
            <v>1</v>
          </cell>
        </row>
        <row r="83">
          <cell r="B83" t="str">
            <v>141-78-6</v>
          </cell>
          <cell r="C83" t="str">
            <v>Ethyl acetate</v>
          </cell>
          <cell r="D83" t="str">
            <v>물질을 중량비율 1% 이상 함유한 제제</v>
          </cell>
          <cell r="E83">
            <v>1</v>
          </cell>
        </row>
        <row r="84">
          <cell r="B84" t="str">
            <v>142-82-5</v>
          </cell>
          <cell r="C84" t="str">
            <v>Heptane, n-Heptane</v>
          </cell>
          <cell r="D84" t="str">
            <v>물질을 중량비율 1% 이상 함유한 제제</v>
          </cell>
          <cell r="E84">
            <v>1</v>
          </cell>
        </row>
        <row r="85">
          <cell r="B85" t="str">
            <v>143-33-9</v>
          </cell>
          <cell r="C85" t="str">
            <v>Sodium cyanide</v>
          </cell>
          <cell r="D85" t="str">
            <v>물질을 중량비율 1% 이상 함유한 제제</v>
          </cell>
          <cell r="E85">
            <v>1</v>
          </cell>
        </row>
        <row r="86">
          <cell r="B86" t="str">
            <v>14464-46-1</v>
          </cell>
          <cell r="C86" t="str">
            <v>Cristobalite</v>
          </cell>
        </row>
        <row r="87">
          <cell r="B87" t="str">
            <v>14807-96-6</v>
          </cell>
          <cell r="C87" t="str">
            <v>Talc, non-asbestiform</v>
          </cell>
        </row>
        <row r="88">
          <cell r="B88" t="str">
            <v>14808-60-7</v>
          </cell>
          <cell r="C88" t="str">
            <v>Quartz</v>
          </cell>
        </row>
        <row r="89">
          <cell r="B89" t="str">
            <v>151-50-8</v>
          </cell>
          <cell r="C89" t="str">
            <v>Potassium cyanide</v>
          </cell>
          <cell r="D89" t="str">
            <v>물질을 중량비율 1% 이상 함유한 제제</v>
          </cell>
          <cell r="E89">
            <v>1</v>
          </cell>
        </row>
        <row r="90">
          <cell r="B90" t="str">
            <v>151-56-4</v>
          </cell>
          <cell r="C90" t="str">
            <v>Ethyleneimine</v>
          </cell>
          <cell r="D90" t="str">
            <v>물질을 중량비율 1% 이상 함유한 제제</v>
          </cell>
          <cell r="E90">
            <v>1</v>
          </cell>
        </row>
        <row r="91">
          <cell r="B91" t="str">
            <v>15468-32-3</v>
          </cell>
          <cell r="C91" t="str">
            <v>Trydimite</v>
          </cell>
        </row>
        <row r="92">
          <cell r="B92" t="str">
            <v>156-60-5</v>
          </cell>
          <cell r="C92" t="str">
            <v>1,2-Dichloroethylene</v>
          </cell>
          <cell r="D92" t="str">
            <v>물질을 중량비율 1% 이상 함유한 제제</v>
          </cell>
          <cell r="E92">
            <v>1</v>
          </cell>
        </row>
        <row r="93">
          <cell r="B93" t="str">
            <v>16812-54-7</v>
          </cell>
          <cell r="C93" t="str">
            <v>Nickel subsulfide, as Ni</v>
          </cell>
          <cell r="D93" t="str">
            <v>물질을 중량비율 1% 이상 함유한 제제</v>
          </cell>
          <cell r="E93">
            <v>1</v>
          </cell>
        </row>
        <row r="94">
          <cell r="B94" t="str">
            <v>1717-00-6</v>
          </cell>
          <cell r="C94" t="str">
            <v>1,1-Dichloro-1-fluoroethane</v>
          </cell>
          <cell r="D94" t="str">
            <v>물질을 중량비율 1% 이상 함유한 제제</v>
          </cell>
          <cell r="E94">
            <v>1</v>
          </cell>
        </row>
        <row r="95">
          <cell r="B95" t="str">
            <v>25321-14-6</v>
          </cell>
          <cell r="C95" t="str">
            <v>Dinitrotoluene</v>
          </cell>
          <cell r="D95" t="str">
            <v>물질을 중량비율 1% 이상 함유한 제제</v>
          </cell>
          <cell r="E95">
            <v>1</v>
          </cell>
        </row>
        <row r="96">
          <cell r="B96" t="str">
            <v>25639-42-3</v>
          </cell>
          <cell r="C96" t="str">
            <v>Methyl cylohexanol</v>
          </cell>
          <cell r="D96" t="str">
            <v>물질을 중량비율 1% 이상 함유한 제제</v>
          </cell>
          <cell r="E96">
            <v>1</v>
          </cell>
        </row>
        <row r="97">
          <cell r="B97" t="str">
            <v>302-01-2</v>
          </cell>
          <cell r="C97" t="str">
            <v>ydrazine</v>
          </cell>
          <cell r="D97" t="str">
            <v>물질을 중량비율 1% 이상 함유한 제제</v>
          </cell>
          <cell r="E97">
            <v>1</v>
          </cell>
        </row>
        <row r="98">
          <cell r="B98" t="str">
            <v>308066-84-4</v>
          </cell>
          <cell r="C98" t="str">
            <v>Glass fiber dust</v>
          </cell>
        </row>
        <row r="99">
          <cell r="B99" t="str">
            <v>50-00-0</v>
          </cell>
          <cell r="C99" t="str">
            <v>Formaldehyde</v>
          </cell>
          <cell r="D99" t="str">
            <v>물질을 중량비율 1% 이상 함유한 제제</v>
          </cell>
          <cell r="E99">
            <v>1</v>
          </cell>
        </row>
        <row r="100">
          <cell r="B100" t="str">
            <v>540-59-0</v>
          </cell>
          <cell r="C100" t="str">
            <v>1,2-Dichloroethylene</v>
          </cell>
          <cell r="D100" t="str">
            <v>물질을 중량비율 1% 이상 함유한 제제</v>
          </cell>
          <cell r="E100">
            <v>1</v>
          </cell>
        </row>
        <row r="101">
          <cell r="B101" t="str">
            <v>55-63-0</v>
          </cell>
          <cell r="C101" t="str">
            <v>Nitroglycerin</v>
          </cell>
          <cell r="D101" t="str">
            <v>물질을 중량비율 1% 이상 함유한 제제</v>
          </cell>
          <cell r="E101">
            <v>1</v>
          </cell>
        </row>
        <row r="102">
          <cell r="B102" t="str">
            <v>556-52-5</v>
          </cell>
          <cell r="C102" t="str">
            <v>2,3-Expoxy-1-propanol</v>
          </cell>
          <cell r="D102" t="str">
            <v>물질을 중량비율 1% 이상 함유한 제제</v>
          </cell>
          <cell r="E102">
            <v>1</v>
          </cell>
        </row>
        <row r="103">
          <cell r="B103" t="str">
            <v>56-23-5</v>
          </cell>
          <cell r="C103" t="str">
            <v>Carbon tetrachloride</v>
          </cell>
          <cell r="D103" t="str">
            <v>물질을 중량비율 1% 이상 함유한 제제</v>
          </cell>
          <cell r="E103">
            <v>1</v>
          </cell>
        </row>
        <row r="104">
          <cell r="B104" t="str">
            <v>583-59-5</v>
          </cell>
          <cell r="C104" t="str">
            <v>Methyl cylohexanol</v>
          </cell>
          <cell r="D104" t="str">
            <v>물질을 중량비율 1% 이상 함유한 제제</v>
          </cell>
          <cell r="E104">
            <v>1</v>
          </cell>
        </row>
        <row r="105">
          <cell r="B105" t="str">
            <v>583-60-8</v>
          </cell>
          <cell r="C105" t="str">
            <v>o-Methyl cyclohexanone</v>
          </cell>
          <cell r="D105" t="str">
            <v>물질을 중량비율 1% 이상 함유한 제제</v>
          </cell>
          <cell r="E105">
            <v>1</v>
          </cell>
        </row>
        <row r="106">
          <cell r="B106" t="str">
            <v>584-84-9</v>
          </cell>
          <cell r="C106" t="str">
            <v>Toluene-2,4-diisocyanate</v>
          </cell>
          <cell r="D106" t="str">
            <v>물질을 중량비율 1% 이상 함유한 제제</v>
          </cell>
          <cell r="E106">
            <v>1</v>
          </cell>
        </row>
        <row r="107">
          <cell r="B107" t="str">
            <v>589-91-3</v>
          </cell>
          <cell r="C107" t="str">
            <v>Methyl cylohexanol</v>
          </cell>
          <cell r="D107" t="str">
            <v>물질을 중량비율 1% 이상 함유한 제제</v>
          </cell>
          <cell r="E107">
            <v>1</v>
          </cell>
        </row>
        <row r="108">
          <cell r="B108" t="str">
            <v>591-23-1</v>
          </cell>
          <cell r="C108" t="str">
            <v>Methyl cylohexanol</v>
          </cell>
          <cell r="D108" t="str">
            <v>물질을 중량비율 1% 이상 함유한 제제</v>
          </cell>
          <cell r="E108">
            <v>1</v>
          </cell>
        </row>
        <row r="109">
          <cell r="B109" t="str">
            <v>591-78-6</v>
          </cell>
          <cell r="C109" t="str">
            <v>Methyl n-butyl ketone</v>
          </cell>
          <cell r="D109" t="str">
            <v>물질을 중량비율 1% 이상 함유한 제제</v>
          </cell>
          <cell r="E109">
            <v>1</v>
          </cell>
        </row>
        <row r="110">
          <cell r="B110" t="str">
            <v>592-01-8</v>
          </cell>
          <cell r="C110" t="str">
            <v>Calcium cyanide</v>
          </cell>
          <cell r="D110" t="str">
            <v>물질을 중량비율 1% 이상 함유한 제제</v>
          </cell>
          <cell r="E110">
            <v>1</v>
          </cell>
        </row>
        <row r="111">
          <cell r="B111" t="str">
            <v>60-29-7</v>
          </cell>
          <cell r="C111" t="str">
            <v>Diethyl ether</v>
          </cell>
          <cell r="D111" t="str">
            <v>물질을 중량비율 1% 이상 함유한 제제</v>
          </cell>
          <cell r="E111">
            <v>1</v>
          </cell>
        </row>
        <row r="112">
          <cell r="B112" t="str">
            <v>62-53-3</v>
          </cell>
          <cell r="C112" t="str">
            <v>Aniline &amp; homologues</v>
          </cell>
          <cell r="D112" t="str">
            <v>물질을 중량비율 1% 이상 함유한 제제</v>
          </cell>
          <cell r="E112">
            <v>1</v>
          </cell>
        </row>
        <row r="113">
          <cell r="B113" t="str">
            <v>628-96-6</v>
          </cell>
          <cell r="C113" t="str">
            <v>Ethylene glycol dinitrate</v>
          </cell>
          <cell r="D113" t="str">
            <v>물질을 중량비율 1% 이상 함유한 제제</v>
          </cell>
          <cell r="E113">
            <v>1</v>
          </cell>
        </row>
        <row r="114">
          <cell r="B114" t="str">
            <v>630-08-0</v>
          </cell>
          <cell r="C114" t="str">
            <v>Carbon monoxide</v>
          </cell>
          <cell r="D114" t="str">
            <v>물질을 중량비율 1% 이상 함유한 제제</v>
          </cell>
          <cell r="E114">
            <v>1</v>
          </cell>
        </row>
        <row r="115">
          <cell r="B115" t="str">
            <v>64-18-6</v>
          </cell>
          <cell r="C115" t="str">
            <v>Formic acid</v>
          </cell>
          <cell r="D115" t="str">
            <v>물질을 중량비율 1% 이상 함유한 제제</v>
          </cell>
          <cell r="E115">
            <v>1</v>
          </cell>
        </row>
        <row r="116">
          <cell r="B116" t="str">
            <v>64-19-7</v>
          </cell>
          <cell r="C116" t="str">
            <v>Acetic acid</v>
          </cell>
          <cell r="D116" t="str">
            <v>물질을 중량비율 1% 이상 함유한 제제</v>
          </cell>
          <cell r="E116">
            <v>1</v>
          </cell>
        </row>
        <row r="117">
          <cell r="B117" t="str">
            <v>65996-93-2</v>
          </cell>
          <cell r="C117" t="str">
            <v>Coal tar pitch volatiles, as benzene soluble aerosol</v>
          </cell>
          <cell r="D117" t="str">
            <v>물질을 중량비율 1% 이상 함유한 제제</v>
          </cell>
          <cell r="E117">
            <v>1</v>
          </cell>
        </row>
        <row r="118">
          <cell r="B118" t="str">
            <v>65997-15-1</v>
          </cell>
          <cell r="C118" t="str">
            <v>Potland cement</v>
          </cell>
        </row>
        <row r="119">
          <cell r="B119" t="str">
            <v>65997-17-3</v>
          </cell>
          <cell r="C119" t="str">
            <v>Glass fiber dust</v>
          </cell>
        </row>
        <row r="120">
          <cell r="B120" t="str">
            <v>67-56-1</v>
          </cell>
          <cell r="C120" t="str">
            <v>Methyl alcohol</v>
          </cell>
          <cell r="D120" t="str">
            <v>물질을 중량비율 1% 이상 함유한 제제</v>
          </cell>
          <cell r="E120">
            <v>1</v>
          </cell>
        </row>
        <row r="121">
          <cell r="B121" t="str">
            <v>67-63-0</v>
          </cell>
          <cell r="C121" t="str">
            <v>Isopropyl alcohol</v>
          </cell>
          <cell r="D121" t="str">
            <v>물질을 중량비율 1% 이상 함유한 제제</v>
          </cell>
          <cell r="E121">
            <v>1</v>
          </cell>
        </row>
        <row r="122">
          <cell r="B122" t="str">
            <v>67-64-1</v>
          </cell>
          <cell r="C122" t="str">
            <v>Acetone</v>
          </cell>
          <cell r="D122" t="str">
            <v>물질을 중량비율 1% 이상 함유한 제제</v>
          </cell>
          <cell r="E122">
            <v>1</v>
          </cell>
        </row>
        <row r="123">
          <cell r="B123" t="str">
            <v>67-66-3</v>
          </cell>
          <cell r="C123" t="str">
            <v>Trichloromethane</v>
          </cell>
          <cell r="D123" t="str">
            <v>물질을 중량비율 1% 이상 함유한 제제</v>
          </cell>
          <cell r="E123">
            <v>1</v>
          </cell>
        </row>
        <row r="124">
          <cell r="B124" t="str">
            <v>68-12-2</v>
          </cell>
          <cell r="C124" t="str">
            <v>Dimethylformamide</v>
          </cell>
          <cell r="D124" t="str">
            <v>물질을 중량비율 1% 이상 함유한 제제</v>
          </cell>
          <cell r="E124">
            <v>1</v>
          </cell>
        </row>
        <row r="125">
          <cell r="B125" t="str">
            <v>71-36-3</v>
          </cell>
          <cell r="C125" t="str">
            <v>n-Butyl alcohol</v>
          </cell>
          <cell r="D125" t="str">
            <v>물질을 중량비율 1% 이상 함유한 제제</v>
          </cell>
          <cell r="E125">
            <v>1</v>
          </cell>
        </row>
        <row r="126">
          <cell r="B126" t="str">
            <v>71-43-2</v>
          </cell>
          <cell r="C126" t="str">
            <v>Benzene</v>
          </cell>
          <cell r="D126" t="str">
            <v>물질을 중량비율 1% 이상 함유한 제제</v>
          </cell>
          <cell r="E126">
            <v>1</v>
          </cell>
        </row>
        <row r="127">
          <cell r="B127" t="str">
            <v>71-55-6</v>
          </cell>
          <cell r="C127" t="str">
            <v>Methyl chloroform</v>
          </cell>
          <cell r="D127" t="str">
            <v>물질을 중량비율 1% 이상 함유한 제제</v>
          </cell>
          <cell r="E127">
            <v>1</v>
          </cell>
        </row>
        <row r="128">
          <cell r="B128" t="str">
            <v>7429-90-5</v>
          </cell>
          <cell r="C128" t="str">
            <v>Aluminum and compounds, as Al</v>
          </cell>
          <cell r="D128" t="str">
            <v>물질을 중량비율 1% 이상 함유한 제제</v>
          </cell>
          <cell r="E128">
            <v>1</v>
          </cell>
        </row>
        <row r="129">
          <cell r="B129" t="str">
            <v>7439-92-1</v>
          </cell>
          <cell r="C129" t="str">
            <v>(Lead and inorganic compounds, as Pb)</v>
          </cell>
          <cell r="D129" t="str">
            <v>물질을 중량비율 1% 이상 함유한 제제</v>
          </cell>
          <cell r="E129">
            <v>1</v>
          </cell>
        </row>
        <row r="130">
          <cell r="B130" t="str">
            <v>7439-96-5</v>
          </cell>
          <cell r="C130" t="str">
            <v>(Manganese and inorganic compounds, as Mn)</v>
          </cell>
          <cell r="D130" t="str">
            <v>물질을 중량비율 1% 이상 함유한 제제</v>
          </cell>
          <cell r="E130">
            <v>1</v>
          </cell>
        </row>
        <row r="131">
          <cell r="B131" t="str">
            <v>7439-97-6</v>
          </cell>
          <cell r="C131" t="str">
            <v>Mercury, as Hg</v>
          </cell>
          <cell r="D131" t="str">
            <v>물질을 중량비율 1% 이상 함유한 제제</v>
          </cell>
          <cell r="E131">
            <v>1</v>
          </cell>
        </row>
        <row r="132">
          <cell r="B132" t="str">
            <v>7440-02-0</v>
          </cell>
          <cell r="C132" t="str">
            <v>(Nickel, as Ni)</v>
          </cell>
          <cell r="D132" t="str">
            <v>물질을 중량비율 1% 이상 함유한 제제</v>
          </cell>
          <cell r="E132">
            <v>1</v>
          </cell>
        </row>
        <row r="133">
          <cell r="B133" t="str">
            <v>7440-06-4</v>
          </cell>
          <cell r="C133" t="str">
            <v>(Platinum)</v>
          </cell>
          <cell r="D133" t="str">
            <v>물질을 중량비율 1% 이상 함유한 제제</v>
          </cell>
          <cell r="E133">
            <v>1</v>
          </cell>
        </row>
        <row r="134">
          <cell r="B134" t="str">
            <v>7440-22-4</v>
          </cell>
          <cell r="C134" t="str">
            <v>Silver</v>
          </cell>
          <cell r="D134" t="str">
            <v>물질을 중량비율 1% 이상 함유한 제제</v>
          </cell>
          <cell r="E134">
            <v>1</v>
          </cell>
        </row>
        <row r="135">
          <cell r="B135" t="str">
            <v>7440-31-5</v>
          </cell>
          <cell r="C135" t="str">
            <v>Tin, as Sn</v>
          </cell>
          <cell r="D135" t="str">
            <v>물질을 중량비율 1% 이상 함유한 제제</v>
          </cell>
          <cell r="E135">
            <v>1</v>
          </cell>
        </row>
        <row r="136">
          <cell r="B136" t="str">
            <v>7440-33-7</v>
          </cell>
          <cell r="C136" t="str">
            <v>Tungsten, as W</v>
          </cell>
          <cell r="D136" t="str">
            <v>물질을 중량비율 1% 이상 함유한 제제</v>
          </cell>
          <cell r="E136">
            <v>1</v>
          </cell>
        </row>
        <row r="137">
          <cell r="B137" t="str">
            <v>7440-36-0</v>
          </cell>
          <cell r="C137" t="str">
            <v>Antimony and compounds, as Sb</v>
          </cell>
          <cell r="D137" t="str">
            <v>물질을 중량비율 1% 이상 함유한 제제</v>
          </cell>
          <cell r="E137">
            <v>1</v>
          </cell>
        </row>
        <row r="138">
          <cell r="B138" t="str">
            <v>7440-38-2</v>
          </cell>
          <cell r="C138" t="str">
            <v>Arsenic and inorganic compounds, as As</v>
          </cell>
          <cell r="D138" t="str">
            <v>물질을 중량비율 1% 이상 함유한 제제</v>
          </cell>
          <cell r="E138">
            <v>1</v>
          </cell>
        </row>
        <row r="139">
          <cell r="B139" t="str">
            <v>7440-39-3</v>
          </cell>
          <cell r="C139" t="str">
            <v>(Barium and soluble compounds, as Ba)</v>
          </cell>
          <cell r="D139" t="str">
            <v>물질을 중량비율 1% 이상 함유한 제제</v>
          </cell>
          <cell r="E139">
            <v>1</v>
          </cell>
        </row>
        <row r="140">
          <cell r="B140" t="str">
            <v>7440-41-7</v>
          </cell>
          <cell r="C140" t="str">
            <v>Beryllium &amp; compounds</v>
          </cell>
          <cell r="D140" t="str">
            <v>물질을 중량비율 1% 이상 함유한 제제</v>
          </cell>
          <cell r="E140">
            <v>1</v>
          </cell>
        </row>
        <row r="141">
          <cell r="B141" t="str">
            <v>7440-43-9</v>
          </cell>
          <cell r="C141" t="str">
            <v>Cadmium and compounds, Cd</v>
          </cell>
          <cell r="D141" t="str">
            <v>물질을 중량비율 1% 이상 함유한 제제</v>
          </cell>
          <cell r="E141">
            <v>1</v>
          </cell>
        </row>
        <row r="142">
          <cell r="B142" t="str">
            <v>7440-47-3</v>
          </cell>
          <cell r="C142" t="str">
            <v>Chromium and inorganic compounds, as Cr</v>
          </cell>
          <cell r="D142" t="str">
            <v>물질을 중량비율 1% 이상 함유한 제제</v>
          </cell>
          <cell r="E142">
            <v>1</v>
          </cell>
        </row>
        <row r="143">
          <cell r="B143" t="str">
            <v>7440-48-4</v>
          </cell>
          <cell r="C143" t="str">
            <v>Cobalt and inorganic compounds, as Co</v>
          </cell>
          <cell r="D143" t="str">
            <v>물질을 중량비율 1% 이상 함유한 제제</v>
          </cell>
          <cell r="E143">
            <v>1</v>
          </cell>
        </row>
        <row r="144">
          <cell r="B144" t="str">
            <v>7440-50-8</v>
          </cell>
          <cell r="C144" t="str">
            <v>Copper</v>
          </cell>
          <cell r="D144" t="str">
            <v>물질을 중량비율 1% 이상 함유한 제제</v>
          </cell>
          <cell r="E144">
            <v>1</v>
          </cell>
        </row>
        <row r="145">
          <cell r="B145" t="str">
            <v>7440-67-7</v>
          </cell>
          <cell r="C145" t="str">
            <v>Zirconium and compounds, as Zr</v>
          </cell>
          <cell r="D145" t="str">
            <v>물질을 중량비율 1% 이상 함유한 제제</v>
          </cell>
          <cell r="E145">
            <v>1</v>
          </cell>
        </row>
        <row r="146">
          <cell r="B146" t="str">
            <v>7446-09-5</v>
          </cell>
          <cell r="C146" t="str">
            <v>Sulfur dioxide</v>
          </cell>
          <cell r="D146" t="str">
            <v>물질을 중량비율 1% 이상 함유한 제제</v>
          </cell>
          <cell r="E146">
            <v>1</v>
          </cell>
        </row>
        <row r="147">
          <cell r="B147" t="str">
            <v>74-83-9</v>
          </cell>
          <cell r="C147" t="str">
            <v>Methyl bromide</v>
          </cell>
          <cell r="D147" t="str">
            <v>물질을 중량비율 1% 이상 함유한 제제</v>
          </cell>
          <cell r="E147">
            <v>1</v>
          </cell>
        </row>
        <row r="148">
          <cell r="B148" t="str">
            <v>74-87-3</v>
          </cell>
          <cell r="C148" t="str">
            <v>Methyl chloride</v>
          </cell>
          <cell r="D148" t="str">
            <v>물질을 중량비율 1% 이상 함유한 제제</v>
          </cell>
          <cell r="E148">
            <v>1</v>
          </cell>
        </row>
        <row r="149">
          <cell r="B149" t="str">
            <v>74-88-4</v>
          </cell>
          <cell r="C149" t="str">
            <v>Methyl iodide</v>
          </cell>
          <cell r="D149" t="str">
            <v>물질을 중량비율 1% 이상 함유한 제제</v>
          </cell>
          <cell r="E149">
            <v>1</v>
          </cell>
        </row>
        <row r="150">
          <cell r="B150" t="str">
            <v>74-89-5</v>
          </cell>
          <cell r="C150" t="str">
            <v>Methyl amine</v>
          </cell>
          <cell r="D150" t="str">
            <v>물질을 중량비율 1% 이상 함유한 제제</v>
          </cell>
          <cell r="E150">
            <v>1</v>
          </cell>
        </row>
        <row r="151">
          <cell r="B151" t="str">
            <v>74-90-8</v>
          </cell>
          <cell r="C151" t="str">
            <v>Hydrogen cyanide</v>
          </cell>
          <cell r="D151" t="str">
            <v>물질을 중량비율 1% 이상 함유한 제제</v>
          </cell>
          <cell r="E151">
            <v>1</v>
          </cell>
        </row>
        <row r="152">
          <cell r="B152" t="str">
            <v>75-01-4</v>
          </cell>
          <cell r="C152" t="str">
            <v>Vinyl chloride</v>
          </cell>
          <cell r="D152" t="str">
            <v>물질을 중량비율 1% 이상 함유한 제제</v>
          </cell>
          <cell r="E152">
            <v>1</v>
          </cell>
        </row>
        <row r="153">
          <cell r="B153" t="str">
            <v>75-04-7</v>
          </cell>
          <cell r="C153" t="str">
            <v>Ethylamine</v>
          </cell>
          <cell r="D153" t="str">
            <v>물질을 중량비율 1% 이상 함유한 제제</v>
          </cell>
          <cell r="E153">
            <v>1</v>
          </cell>
        </row>
        <row r="154">
          <cell r="B154" t="str">
            <v>75-05-8</v>
          </cell>
          <cell r="C154" t="str">
            <v>Acetonitrile</v>
          </cell>
          <cell r="D154" t="str">
            <v>물질을 중량비율 1% 이상 함유한 제제</v>
          </cell>
          <cell r="E154">
            <v>1</v>
          </cell>
        </row>
        <row r="155">
          <cell r="B155" t="str">
            <v>75-07-0</v>
          </cell>
          <cell r="C155" t="str">
            <v>Acetaldehyde</v>
          </cell>
          <cell r="D155" t="str">
            <v>물질을 중량비율 1% 이상 함유한 제제</v>
          </cell>
          <cell r="E155">
            <v>1</v>
          </cell>
        </row>
        <row r="156">
          <cell r="B156" t="str">
            <v>75-09-2</v>
          </cell>
          <cell r="C156" t="str">
            <v>Dichloromethane</v>
          </cell>
          <cell r="D156" t="str">
            <v>물질을 중량비율 1% 이상 함유한 제제</v>
          </cell>
          <cell r="E156">
            <v>1</v>
          </cell>
        </row>
        <row r="157">
          <cell r="B157" t="str">
            <v>75-15-0</v>
          </cell>
          <cell r="C157" t="str">
            <v>Carbon disulfide</v>
          </cell>
          <cell r="D157" t="str">
            <v>물질을 중량비율 1% 이상 함유한 제제</v>
          </cell>
          <cell r="E157">
            <v>1</v>
          </cell>
        </row>
        <row r="158">
          <cell r="B158" t="str">
            <v>75-21-8</v>
          </cell>
          <cell r="C158" t="str">
            <v>Ethylene oxide</v>
          </cell>
          <cell r="D158" t="str">
            <v>물질을 중량비율 1% 이상 함유한 제제</v>
          </cell>
          <cell r="E158">
            <v>1</v>
          </cell>
        </row>
        <row r="159">
          <cell r="B159" t="str">
            <v>75-26-3</v>
          </cell>
          <cell r="C159" t="str">
            <v>2-Bromopropane</v>
          </cell>
          <cell r="D159" t="str">
            <v>물질을 중량비율 1% 이상 함유한 제제</v>
          </cell>
          <cell r="E159">
            <v>1</v>
          </cell>
        </row>
        <row r="160">
          <cell r="B160" t="str">
            <v>75-43-4</v>
          </cell>
          <cell r="C160" t="str">
            <v>Dichlorofluoromethane</v>
          </cell>
          <cell r="D160" t="str">
            <v>물질을 중량비율 1% 이상 함유한 제제</v>
          </cell>
          <cell r="E160">
            <v>1</v>
          </cell>
        </row>
        <row r="161">
          <cell r="B161" t="str">
            <v>75-44-5</v>
          </cell>
          <cell r="C161" t="str">
            <v>Phosgene</v>
          </cell>
          <cell r="D161" t="str">
            <v>물질을 중량비율 1% 이상 함유한 제제</v>
          </cell>
          <cell r="E161">
            <v>1</v>
          </cell>
        </row>
        <row r="162">
          <cell r="B162" t="str">
            <v>98-95-3</v>
          </cell>
          <cell r="C162" t="str">
            <v>Nitrobenzene</v>
          </cell>
          <cell r="D162" t="str">
            <v>물질을 중량비율 1% 이상 함유한 제제</v>
          </cell>
          <cell r="E162">
            <v>1</v>
          </cell>
        </row>
        <row r="163">
          <cell r="B163" t="str">
            <v>75-52-5</v>
          </cell>
          <cell r="C163" t="str">
            <v>Nitromethane</v>
          </cell>
          <cell r="D163" t="str">
            <v>물질을 중량비율 1% 이상 함유한 제제</v>
          </cell>
          <cell r="E163">
            <v>1</v>
          </cell>
        </row>
        <row r="164">
          <cell r="B164" t="str">
            <v>7553-56-2</v>
          </cell>
          <cell r="C164" t="str">
            <v>Iodine</v>
          </cell>
          <cell r="D164" t="str">
            <v>물질을 중량비율 1% 이상 함유한 제제</v>
          </cell>
          <cell r="E164">
            <v>1</v>
          </cell>
        </row>
        <row r="165">
          <cell r="B165" t="str">
            <v>75-55-8</v>
          </cell>
          <cell r="C165" t="str">
            <v>Propylene imine</v>
          </cell>
          <cell r="D165" t="str">
            <v>물질을 중량비율 1% 이상 함유한 제제</v>
          </cell>
          <cell r="E165">
            <v>1</v>
          </cell>
        </row>
        <row r="166">
          <cell r="B166" t="str">
            <v>75-56-9</v>
          </cell>
          <cell r="C166" t="str">
            <v>1,2-Epoxypropane</v>
          </cell>
          <cell r="D166" t="str">
            <v>물질을 중량비율 1% 이상 함유한 제제</v>
          </cell>
          <cell r="E166">
            <v>1</v>
          </cell>
        </row>
        <row r="167">
          <cell r="B167" t="str">
            <v>76-03-9</v>
          </cell>
          <cell r="C167" t="str">
            <v>Trichloro acetic acid</v>
          </cell>
          <cell r="D167" t="str">
            <v>물질을 중량비율 1% 이상 함유한 제제</v>
          </cell>
          <cell r="E167">
            <v>1</v>
          </cell>
        </row>
        <row r="168">
          <cell r="B168" t="str">
            <v>7647-01-0</v>
          </cell>
          <cell r="C168" t="str">
            <v>Hydrogen chloride</v>
          </cell>
          <cell r="D168" t="str">
            <v>물질을 중량비율 1% 이상 함유한 제제</v>
          </cell>
          <cell r="E168">
            <v>1</v>
          </cell>
        </row>
        <row r="169">
          <cell r="B169" t="str">
            <v>7664-38-2</v>
          </cell>
          <cell r="C169" t="str">
            <v>Phosphoric acid</v>
          </cell>
          <cell r="D169" t="str">
            <v>물질을 중량비율 1% 이상 함유한 제제</v>
          </cell>
          <cell r="E169">
            <v>1</v>
          </cell>
        </row>
        <row r="170">
          <cell r="B170" t="str">
            <v>7664-39-3</v>
          </cell>
          <cell r="C170" t="str">
            <v>Hydrogen fluoride</v>
          </cell>
          <cell r="D170" t="str">
            <v>물질을 중량비율 1% 이상 함유한 제제</v>
          </cell>
          <cell r="E170">
            <v>1</v>
          </cell>
        </row>
        <row r="171">
          <cell r="B171" t="str">
            <v>7664-41-7</v>
          </cell>
          <cell r="C171" t="str">
            <v>Ammonia</v>
          </cell>
          <cell r="D171" t="str">
            <v>물질을 중량비율 1% 이상 함유한 제제</v>
          </cell>
          <cell r="E171">
            <v>1</v>
          </cell>
        </row>
        <row r="172">
          <cell r="B172" t="str">
            <v>7664-93-9</v>
          </cell>
          <cell r="C172" t="str">
            <v>Sulfuric acid</v>
          </cell>
          <cell r="D172" t="str">
            <v>물질을 중량비율 1% 이상 함유한 제제</v>
          </cell>
          <cell r="E172">
            <v>1</v>
          </cell>
        </row>
        <row r="173">
          <cell r="B173" t="str">
            <v>7697-37-2</v>
          </cell>
          <cell r="C173" t="str">
            <v>Nitric acid</v>
          </cell>
          <cell r="D173" t="str">
            <v>물질을 중량비율 1% 이상 함유한 제제</v>
          </cell>
          <cell r="E173">
            <v>1</v>
          </cell>
        </row>
        <row r="174">
          <cell r="B174" t="str">
            <v>7722-84-1</v>
          </cell>
          <cell r="C174" t="str">
            <v>Hydrogen peroxide</v>
          </cell>
          <cell r="D174" t="str">
            <v>물질을 중량비율 1% 이상 함유한 제제</v>
          </cell>
          <cell r="E174">
            <v>1</v>
          </cell>
        </row>
        <row r="175">
          <cell r="B175" t="str">
            <v>7726-95-6</v>
          </cell>
          <cell r="C175" t="str">
            <v>Bromine</v>
          </cell>
          <cell r="D175" t="str">
            <v>물질을 중량비율 1% 이상 함유한 제제</v>
          </cell>
          <cell r="E175">
            <v>1</v>
          </cell>
        </row>
        <row r="176">
          <cell r="B176" t="str">
            <v>77-78-1</v>
          </cell>
          <cell r="C176" t="str">
            <v>Dimethylsulfate</v>
          </cell>
          <cell r="D176" t="str">
            <v>물질을 중량비율 1% 이상 함유한 제제</v>
          </cell>
          <cell r="E176">
            <v>1</v>
          </cell>
        </row>
        <row r="177">
          <cell r="B177" t="str">
            <v>7782-41-4</v>
          </cell>
          <cell r="C177" t="str">
            <v>Fluorine</v>
          </cell>
          <cell r="D177" t="str">
            <v>물질을 중량비율 1% 이상 함유한 제제</v>
          </cell>
          <cell r="E177">
            <v>1</v>
          </cell>
        </row>
        <row r="178">
          <cell r="B178" t="str">
            <v>7782-42-5</v>
          </cell>
          <cell r="C178" t="str">
            <v>Graphite</v>
          </cell>
        </row>
        <row r="179">
          <cell r="B179" t="str">
            <v>7782-49-2</v>
          </cell>
          <cell r="C179" t="str">
            <v>Selenium and compounds, as Se</v>
          </cell>
          <cell r="D179" t="str">
            <v>물질을 중량비율 1% 이상 함유한 제제</v>
          </cell>
          <cell r="E179">
            <v>1</v>
          </cell>
        </row>
        <row r="180">
          <cell r="B180" t="str">
            <v>7782-50-5</v>
          </cell>
          <cell r="C180" t="str">
            <v>Chlorine</v>
          </cell>
          <cell r="D180" t="str">
            <v>물질을 중량비율 1% 이상 함유한 제제</v>
          </cell>
          <cell r="E180">
            <v>1</v>
          </cell>
        </row>
        <row r="181">
          <cell r="B181" t="str">
            <v>7783-06-4</v>
          </cell>
          <cell r="C181" t="str">
            <v>Hydrogen sulfide</v>
          </cell>
          <cell r="D181" t="str">
            <v>물질을 중량비율 1% 이상 함유한 제제</v>
          </cell>
          <cell r="E181">
            <v>1</v>
          </cell>
        </row>
        <row r="182">
          <cell r="B182" t="str">
            <v>7784-42-1</v>
          </cell>
          <cell r="C182" t="str">
            <v>Arsine</v>
          </cell>
          <cell r="D182" t="str">
            <v>물질을 중량비율 1% 이상 함유한 제제</v>
          </cell>
          <cell r="E182">
            <v>1</v>
          </cell>
        </row>
        <row r="183">
          <cell r="B183" t="str">
            <v>7803-51-2</v>
          </cell>
          <cell r="C183" t="str">
            <v>Phosphine</v>
          </cell>
          <cell r="D183" t="str">
            <v>물질을 중량비율 1% 이상 함유한 제제</v>
          </cell>
          <cell r="E183">
            <v>1</v>
          </cell>
        </row>
        <row r="184">
          <cell r="B184" t="str">
            <v>78-83-1</v>
          </cell>
          <cell r="C184" t="str">
            <v>Isobutyl alcohol</v>
          </cell>
          <cell r="D184" t="str">
            <v>물질을 중량비율 1% 이상 함유한 제제</v>
          </cell>
          <cell r="E184">
            <v>1</v>
          </cell>
        </row>
        <row r="185">
          <cell r="B185" t="str">
            <v>78-92-2</v>
          </cell>
          <cell r="C185" t="str">
            <v>sec-Butyl alcohol</v>
          </cell>
          <cell r="D185" t="str">
            <v>물질을 중량비율 1% 이상 함유한 제제</v>
          </cell>
          <cell r="E185">
            <v>1</v>
          </cell>
        </row>
        <row r="186">
          <cell r="B186" t="str">
            <v>78-93-3</v>
          </cell>
          <cell r="C186" t="str">
            <v>Methyl ethyl ketone</v>
          </cell>
          <cell r="D186" t="str">
            <v>물질을 중량비율 1% 이상 함유한 제제</v>
          </cell>
          <cell r="E186">
            <v>1</v>
          </cell>
        </row>
        <row r="187">
          <cell r="B187" t="str">
            <v>79-00-5</v>
          </cell>
          <cell r="C187" t="str">
            <v>1,1,2-Trichloroethane</v>
          </cell>
          <cell r="D187" t="str">
            <v>물질을 중량비율 1% 이상 함유한 제제</v>
          </cell>
          <cell r="E187">
            <v>1</v>
          </cell>
        </row>
        <row r="188">
          <cell r="B188" t="str">
            <v>79-01-6</v>
          </cell>
          <cell r="C188" t="str">
            <v>Trichloroethylene</v>
          </cell>
          <cell r="D188" t="str">
            <v>물질을 중량비율 1% 이상 함유한 제제</v>
          </cell>
          <cell r="E188">
            <v>1</v>
          </cell>
        </row>
        <row r="189">
          <cell r="B189" t="str">
            <v>79-06-1</v>
          </cell>
          <cell r="C189" t="str">
            <v>Acrylamide</v>
          </cell>
          <cell r="D189" t="str">
            <v>물질을 중량비율 1% 이상 함유한 제제</v>
          </cell>
          <cell r="E189">
            <v>1</v>
          </cell>
        </row>
        <row r="190">
          <cell r="B190" t="str">
            <v>79-10-7</v>
          </cell>
          <cell r="C190" t="str">
            <v>Acrylic acid</v>
          </cell>
          <cell r="D190" t="str">
            <v>물질을 중량비율 1% 이상 함유한 제제</v>
          </cell>
          <cell r="E190">
            <v>1</v>
          </cell>
        </row>
        <row r="191">
          <cell r="B191" t="str">
            <v>79-20-9</v>
          </cell>
          <cell r="C191" t="str">
            <v>Methyl acetate</v>
          </cell>
          <cell r="D191" t="str">
            <v>물질을 중량비율 1% 이상 함유한 제제</v>
          </cell>
          <cell r="E191">
            <v>1</v>
          </cell>
        </row>
        <row r="192">
          <cell r="B192" t="str">
            <v>79-34-5</v>
          </cell>
          <cell r="C192" t="str">
            <v>1,1,2,2-Tetrachloroethane</v>
          </cell>
          <cell r="D192" t="str">
            <v>물질을 중량비율 1% 이상 함유한 제제</v>
          </cell>
          <cell r="E192">
            <v>1</v>
          </cell>
        </row>
        <row r="193">
          <cell r="B193" t="str">
            <v>8007-45-2</v>
          </cell>
          <cell r="C193" t="str">
            <v>Coal tar pitch volatiles, as benzene soluble aerosol</v>
          </cell>
          <cell r="D193" t="str">
            <v>물질을 중량비율 1% 이상 함유한 제제</v>
          </cell>
          <cell r="E193">
            <v>1</v>
          </cell>
        </row>
        <row r="194">
          <cell r="B194" t="str">
            <v>8052-41-3</v>
          </cell>
          <cell r="C194" t="str">
            <v>Stoddard solvent</v>
          </cell>
          <cell r="D194" t="str">
            <v>물질을 중량비율 1% 이상 함유한 제제</v>
          </cell>
          <cell r="E194">
            <v>1</v>
          </cell>
        </row>
        <row r="195">
          <cell r="B195" t="str">
            <v>822-06-0</v>
          </cell>
          <cell r="C195" t="str">
            <v>examethylene diisocyanate</v>
          </cell>
          <cell r="D195" t="str">
            <v>물질을 중량비율 1% 이상 함유한 제제</v>
          </cell>
          <cell r="E195">
            <v>1</v>
          </cell>
        </row>
        <row r="196">
          <cell r="B196" t="str">
            <v>85-44-9</v>
          </cell>
          <cell r="C196" t="str">
            <v>Phthalic anhydride</v>
          </cell>
          <cell r="D196" t="str">
            <v>물질을 중량비율 1% 이상 함유한 제제</v>
          </cell>
          <cell r="E196">
            <v>1</v>
          </cell>
        </row>
        <row r="197">
          <cell r="B197" t="str">
            <v>87-86-5</v>
          </cell>
          <cell r="C197" t="str">
            <v>Pentachlorophenol</v>
          </cell>
          <cell r="D197" t="str">
            <v>물질을 중량비율 1% 이상 함유한 제제</v>
          </cell>
          <cell r="E197">
            <v>1</v>
          </cell>
        </row>
        <row r="198">
          <cell r="B198" t="str">
            <v>91-08-7</v>
          </cell>
          <cell r="C198" t="str">
            <v>Toluene-2,6-diisocyanate</v>
          </cell>
          <cell r="D198" t="str">
            <v>물질을 중량비율 1% 이상 함유한 제제</v>
          </cell>
          <cell r="E198">
            <v>1</v>
          </cell>
        </row>
        <row r="199">
          <cell r="B199" t="str">
            <v>95-47-6</v>
          </cell>
          <cell r="C199" t="str">
            <v>Xylene, o,m,p-isomers</v>
          </cell>
          <cell r="D199" t="str">
            <v>물질을 중량비율 1% 이상 함유한 제제</v>
          </cell>
          <cell r="E199">
            <v>1</v>
          </cell>
        </row>
        <row r="200">
          <cell r="B200" t="str">
            <v>95-48-7</v>
          </cell>
          <cell r="C200" t="str">
            <v>Cresol, all isomers</v>
          </cell>
          <cell r="D200" t="str">
            <v>물질을 중량비율 1% 이상 함유한 제제</v>
          </cell>
          <cell r="E200">
            <v>1</v>
          </cell>
        </row>
        <row r="201">
          <cell r="B201" t="str">
            <v>95-50-1</v>
          </cell>
          <cell r="C201" t="str">
            <v>o-Dichlorobenzene</v>
          </cell>
          <cell r="D201" t="str">
            <v>물질을 중량비율 1% 이상 함유한 제제</v>
          </cell>
          <cell r="E201">
            <v>1</v>
          </cell>
        </row>
        <row r="202">
          <cell r="B202" t="str">
            <v>96-18-4</v>
          </cell>
          <cell r="C202" t="str">
            <v>1,2,3-Trichloropropane</v>
          </cell>
          <cell r="D202" t="str">
            <v>물질을 중량비율 1% 이상 함유한 제제</v>
          </cell>
          <cell r="E202">
            <v>1</v>
          </cell>
        </row>
        <row r="203">
          <cell r="B203" t="str">
            <v>98-07-7</v>
          </cell>
          <cell r="C203" t="str">
            <v>Benzotrichloride</v>
          </cell>
          <cell r="D203" t="str">
            <v>물질을 중량비율 0.5% 이상 함유한 제제</v>
          </cell>
          <cell r="E203">
            <v>0.5</v>
          </cell>
        </row>
        <row r="204">
          <cell r="C204" t="str">
            <v>Cotton dust</v>
          </cell>
        </row>
        <row r="205">
          <cell r="C205" t="str">
            <v>Dust and fume</v>
          </cell>
          <cell r="D205" t="str">
            <v>물질을 중량비율 1% 이상 함유한 제제</v>
          </cell>
          <cell r="E205">
            <v>1</v>
          </cell>
        </row>
        <row r="206">
          <cell r="C206" t="str">
            <v>Grain dust</v>
          </cell>
        </row>
        <row r="207">
          <cell r="C207" t="str">
            <v>Hard wood</v>
          </cell>
        </row>
        <row r="208">
          <cell r="C208" t="str">
            <v>Metal working fluids</v>
          </cell>
        </row>
        <row r="209">
          <cell r="C209" t="str">
            <v>Particulates</v>
          </cell>
        </row>
        <row r="210">
          <cell r="C210" t="str">
            <v>Soft wood</v>
          </cell>
        </row>
        <row r="211">
          <cell r="C211" t="str">
            <v>Welding fume</v>
          </cell>
        </row>
        <row r="212">
          <cell r="C212" t="str">
            <v>Wood dust</v>
          </cell>
        </row>
      </sheetData>
      <sheetData sheetId="45" refreshError="1">
        <row r="1">
          <cell r="B1" t="str">
            <v>CAS No</v>
          </cell>
          <cell r="C1" t="str">
            <v>화학물질명</v>
          </cell>
        </row>
        <row r="2">
          <cell r="B2" t="str">
            <v>100-00-5</v>
          </cell>
          <cell r="C2" t="str">
            <v>ρ-Nitrochlorobenzene</v>
          </cell>
        </row>
        <row r="3">
          <cell r="B3" t="str">
            <v>100-01-6</v>
          </cell>
          <cell r="C3" t="str">
            <v>ρ-Nitroaniline</v>
          </cell>
        </row>
        <row r="4">
          <cell r="B4" t="str">
            <v>10028-15-6</v>
          </cell>
          <cell r="C4" t="str">
            <v>Ozone</v>
          </cell>
        </row>
        <row r="5">
          <cell r="B5" t="str">
            <v>100-41-4</v>
          </cell>
          <cell r="C5" t="str">
            <v>Ethylbenzene</v>
          </cell>
        </row>
        <row r="6">
          <cell r="B6" t="str">
            <v>100-42-5</v>
          </cell>
          <cell r="C6" t="str">
            <v>Styrene</v>
          </cell>
        </row>
        <row r="7">
          <cell r="B7" t="str">
            <v>10102-43-9</v>
          </cell>
          <cell r="C7" t="str">
            <v>Nitric oxide</v>
          </cell>
        </row>
        <row r="8">
          <cell r="B8" t="str">
            <v>10102-44-0</v>
          </cell>
          <cell r="C8" t="str">
            <v>Nitrogen dioxide</v>
          </cell>
        </row>
        <row r="9">
          <cell r="B9" t="str">
            <v>101-14-4</v>
          </cell>
          <cell r="C9" t="str">
            <v>4,4'-Diamino-3,3'-Dichlorodiphenylmethane</v>
          </cell>
        </row>
        <row r="10">
          <cell r="B10" t="str">
            <v>101-68-8</v>
          </cell>
          <cell r="C10" t="str">
            <v>Methylene bisphenyl isocyanate</v>
          </cell>
        </row>
        <row r="11">
          <cell r="B11" t="str">
            <v>106-42-3</v>
          </cell>
          <cell r="C11" t="str">
            <v>Xylene</v>
          </cell>
        </row>
        <row r="12">
          <cell r="B12" t="str">
            <v>106-44-5</v>
          </cell>
          <cell r="C12" t="str">
            <v>Cresol</v>
          </cell>
        </row>
        <row r="13">
          <cell r="B13" t="str">
            <v>106-89-8</v>
          </cell>
          <cell r="C13" t="str">
            <v>Epichlorohydrin</v>
          </cell>
        </row>
        <row r="14">
          <cell r="B14" t="str">
            <v>106-94-5</v>
          </cell>
          <cell r="C14" t="str">
            <v>1-Bromopropane</v>
          </cell>
        </row>
        <row r="15">
          <cell r="B15" t="str">
            <v>106-99-0</v>
          </cell>
          <cell r="C15" t="str">
            <v>1,3-Butadiene</v>
          </cell>
        </row>
        <row r="16">
          <cell r="B16" t="str">
            <v>107-06-2</v>
          </cell>
          <cell r="C16" t="str">
            <v>Ethylene dichloride</v>
          </cell>
        </row>
        <row r="17">
          <cell r="B17" t="str">
            <v>107-07-3</v>
          </cell>
          <cell r="C17" t="str">
            <v>Ethylene chlorohydrin</v>
          </cell>
        </row>
        <row r="18">
          <cell r="B18" t="str">
            <v>107-13-1</v>
          </cell>
          <cell r="C18" t="str">
            <v>Acrylonitrile</v>
          </cell>
        </row>
        <row r="19">
          <cell r="B19" t="str">
            <v>107-21-1</v>
          </cell>
          <cell r="C19" t="str">
            <v>Ethylene glycol</v>
          </cell>
        </row>
        <row r="20">
          <cell r="B20" t="str">
            <v>107-30-2</v>
          </cell>
          <cell r="C20" t="str">
            <v>Chloromethylmethylether</v>
          </cell>
        </row>
        <row r="21">
          <cell r="B21" t="str">
            <v>108-10-1</v>
          </cell>
          <cell r="C21" t="str">
            <v>Methyl isobutyl ketone</v>
          </cell>
        </row>
        <row r="22">
          <cell r="B22" t="str">
            <v>108-24-7</v>
          </cell>
          <cell r="C22" t="str">
            <v>Acetic anhydride</v>
          </cell>
        </row>
        <row r="23">
          <cell r="B23" t="str">
            <v>108-31-6</v>
          </cell>
          <cell r="C23" t="str">
            <v>Maleic anhydride</v>
          </cell>
        </row>
        <row r="24">
          <cell r="B24" t="str">
            <v>108-38-3</v>
          </cell>
          <cell r="C24" t="str">
            <v>Xylene</v>
          </cell>
        </row>
        <row r="25">
          <cell r="B25" t="str">
            <v>108-39-4</v>
          </cell>
          <cell r="C25" t="str">
            <v>Cresol</v>
          </cell>
        </row>
        <row r="26">
          <cell r="B26" t="str">
            <v>108-83-8</v>
          </cell>
          <cell r="C26" t="str">
            <v>Diisobutylketone</v>
          </cell>
        </row>
        <row r="27">
          <cell r="B27" t="str">
            <v>108-88-3</v>
          </cell>
          <cell r="C27" t="str">
            <v>Toluene</v>
          </cell>
        </row>
        <row r="28">
          <cell r="B28" t="str">
            <v>108-90-7</v>
          </cell>
          <cell r="C28" t="str">
            <v>Chlorobenzene</v>
          </cell>
        </row>
        <row r="29">
          <cell r="B29" t="str">
            <v>108-93-0</v>
          </cell>
          <cell r="C29" t="str">
            <v>Cyclohexanol</v>
          </cell>
        </row>
        <row r="30">
          <cell r="B30" t="str">
            <v>108-94-1</v>
          </cell>
          <cell r="C30" t="str">
            <v>Cyclohexanone</v>
          </cell>
        </row>
        <row r="31">
          <cell r="B31" t="str">
            <v>108-95-2</v>
          </cell>
          <cell r="C31" t="str">
            <v>Phenol</v>
          </cell>
        </row>
        <row r="32">
          <cell r="B32" t="str">
            <v>109-86-4</v>
          </cell>
          <cell r="C32" t="str">
            <v>2-Methoxyethanol</v>
          </cell>
        </row>
        <row r="33">
          <cell r="B33" t="str">
            <v>109-99-9</v>
          </cell>
          <cell r="C33" t="str">
            <v>Tetrahydrofuran</v>
          </cell>
        </row>
        <row r="34">
          <cell r="B34" t="str">
            <v>110-43-0</v>
          </cell>
          <cell r="C34" t="str">
            <v>Methyl n-amyl ketone</v>
          </cell>
        </row>
        <row r="35">
          <cell r="B35" t="str">
            <v>110-49-6</v>
          </cell>
          <cell r="C35" t="str">
            <v>2-Methoxyethyl acetate</v>
          </cell>
        </row>
        <row r="36">
          <cell r="B36" t="str">
            <v>110-54-3</v>
          </cell>
          <cell r="C36" t="str">
            <v>Hexane</v>
          </cell>
        </row>
        <row r="37">
          <cell r="B37" t="str">
            <v>110-80-5</v>
          </cell>
          <cell r="C37" t="str">
            <v>2-Ethoxyethanol</v>
          </cell>
        </row>
        <row r="38">
          <cell r="B38" t="str">
            <v>110-82-7</v>
          </cell>
          <cell r="C38" t="str">
            <v>Cyclohexane</v>
          </cell>
        </row>
        <row r="39">
          <cell r="B39" t="str">
            <v>110-83-8</v>
          </cell>
          <cell r="C39" t="str">
            <v>Cyclohexene</v>
          </cell>
        </row>
        <row r="40">
          <cell r="B40" t="str">
            <v>110-86-1</v>
          </cell>
          <cell r="C40" t="str">
            <v>Pyridine</v>
          </cell>
        </row>
        <row r="41">
          <cell r="B41" t="str">
            <v>111-15-9</v>
          </cell>
          <cell r="C41" t="str">
            <v>2-Ethoxyethyl acetate</v>
          </cell>
        </row>
        <row r="42">
          <cell r="B42" t="str">
            <v>111-30-8</v>
          </cell>
          <cell r="C42" t="str">
            <v>Glutaraldehyde</v>
          </cell>
        </row>
        <row r="43">
          <cell r="B43" t="str">
            <v>111-40-0</v>
          </cell>
          <cell r="C43" t="str">
            <v>Diethylenetriamine</v>
          </cell>
        </row>
        <row r="44">
          <cell r="B44" t="str">
            <v>111-76-2</v>
          </cell>
          <cell r="C44" t="str">
            <v>2-Butoxyethanol, EGBE</v>
          </cell>
        </row>
        <row r="45">
          <cell r="B45" t="str">
            <v>112-07-2</v>
          </cell>
          <cell r="C45" t="str">
            <v>2-Butoxyethanolacetate</v>
          </cell>
        </row>
        <row r="46">
          <cell r="B46" t="str">
            <v>119-90-4</v>
          </cell>
          <cell r="C46" t="str">
            <v>Dianisidine and its salts</v>
          </cell>
        </row>
        <row r="47">
          <cell r="B47" t="str">
            <v>119-93-7</v>
          </cell>
          <cell r="C47" t="str">
            <v>o-Tolidine and its salts</v>
          </cell>
        </row>
        <row r="48">
          <cell r="B48" t="str">
            <v>12035-72-2</v>
          </cell>
          <cell r="C48" t="str">
            <v>Nickel subsulfide, as Ni</v>
          </cell>
        </row>
        <row r="49">
          <cell r="B49" t="str">
            <v>121-69-7</v>
          </cell>
          <cell r="C49" t="str">
            <v>Dimethylaniline</v>
          </cell>
        </row>
        <row r="50">
          <cell r="B50" t="str">
            <v>123-31-9</v>
          </cell>
          <cell r="C50" t="str">
            <v>Hydroquinone</v>
          </cell>
        </row>
        <row r="51">
          <cell r="B51" t="str">
            <v>123-51-3</v>
          </cell>
          <cell r="C51" t="str">
            <v>Isoamyl alcohol</v>
          </cell>
        </row>
        <row r="52">
          <cell r="B52" t="str">
            <v>123-91-1</v>
          </cell>
          <cell r="C52" t="str">
            <v>1,4-Dioxane</v>
          </cell>
        </row>
        <row r="53">
          <cell r="B53" t="str">
            <v>123-92-2</v>
          </cell>
          <cell r="C53" t="str">
            <v>Isoamyl acetate</v>
          </cell>
        </row>
        <row r="54">
          <cell r="B54" t="str">
            <v>127-18-4</v>
          </cell>
          <cell r="C54" t="str">
            <v>Perchloroethylene</v>
          </cell>
        </row>
        <row r="55">
          <cell r="B55" t="str">
            <v>127-19-5</v>
          </cell>
          <cell r="C55" t="str">
            <v>N,N-Dimethylacetamide</v>
          </cell>
        </row>
        <row r="56">
          <cell r="B56" t="str">
            <v>1309-37-1</v>
          </cell>
          <cell r="C56" t="str">
            <v>Iron oxide dust and fume, as Fe</v>
          </cell>
        </row>
        <row r="57">
          <cell r="B57" t="str">
            <v>1314-13-2</v>
          </cell>
          <cell r="C57" t="str">
            <v>Zinc oxide dust, as Zn</v>
          </cell>
        </row>
        <row r="58">
          <cell r="B58" t="str">
            <v>1314-62-1</v>
          </cell>
          <cell r="C58" t="str">
            <v>Vanadium pentoxide dust and fume, as V2O5)</v>
          </cell>
        </row>
        <row r="59">
          <cell r="B59" t="str">
            <v>1319-77-3</v>
          </cell>
          <cell r="C59" t="str">
            <v>Cresol</v>
          </cell>
        </row>
        <row r="60">
          <cell r="B60" t="str">
            <v>1327-53-3</v>
          </cell>
          <cell r="C60" t="str">
            <v>Arsenic</v>
          </cell>
        </row>
        <row r="61">
          <cell r="B61" t="str">
            <v>1330-20-7</v>
          </cell>
          <cell r="C61" t="str">
            <v>Xylene</v>
          </cell>
        </row>
        <row r="62">
          <cell r="B62" t="str">
            <v>1331-47-1</v>
          </cell>
          <cell r="C62" t="str">
            <v>Dichlorobenzidine and its salts</v>
          </cell>
        </row>
        <row r="63">
          <cell r="B63" t="str">
            <v>1332-21-4</v>
          </cell>
          <cell r="C63" t="str">
            <v>Asbestos, chrysotile</v>
          </cell>
        </row>
        <row r="64">
          <cell r="B64" t="str">
            <v>1336-36-3</v>
          </cell>
          <cell r="C64" t="str">
            <v>Polychlorobiphenyl</v>
          </cell>
        </row>
        <row r="65">
          <cell r="B65" t="str">
            <v>134-32-7</v>
          </cell>
          <cell r="C65" t="str">
            <v>α-naphthylamine and its salts</v>
          </cell>
        </row>
        <row r="66">
          <cell r="B66" t="str">
            <v>13530-65-9</v>
          </cell>
          <cell r="C66" t="str">
            <v>Zinc chromate, as Cr</v>
          </cell>
        </row>
        <row r="67">
          <cell r="B67" t="str">
            <v>140-88-5</v>
          </cell>
          <cell r="C67" t="str">
            <v>Ethylacrylate</v>
          </cell>
        </row>
        <row r="68">
          <cell r="B68" t="str">
            <v>142-82-5</v>
          </cell>
          <cell r="C68" t="str">
            <v>Heptane</v>
          </cell>
        </row>
        <row r="69">
          <cell r="B69" t="str">
            <v>143-33-9</v>
          </cell>
          <cell r="C69" t="str">
            <v>Sodium cyanide</v>
          </cell>
        </row>
        <row r="70">
          <cell r="B70" t="str">
            <v>151-50-8</v>
          </cell>
          <cell r="C70" t="str">
            <v>Potassium cyanide</v>
          </cell>
        </row>
        <row r="71">
          <cell r="B71" t="str">
            <v>151-56-4</v>
          </cell>
          <cell r="C71" t="str">
            <v>Ethylene imine</v>
          </cell>
        </row>
        <row r="72">
          <cell r="B72" t="str">
            <v>16812-54-7</v>
          </cell>
          <cell r="C72" t="str">
            <v>Nickel subsulfide, as Ni</v>
          </cell>
        </row>
        <row r="73">
          <cell r="B73" t="str">
            <v>2025884</v>
          </cell>
          <cell r="C73" t="str">
            <v>Sulfur dioxide</v>
          </cell>
        </row>
        <row r="74">
          <cell r="B74" t="str">
            <v>25321-14-6</v>
          </cell>
          <cell r="C74" t="str">
            <v>Dinitrotoluene</v>
          </cell>
        </row>
        <row r="75">
          <cell r="B75" t="str">
            <v>25639-42-3</v>
          </cell>
          <cell r="C75" t="str">
            <v>Methyl cyclohexanol</v>
          </cell>
        </row>
        <row r="76">
          <cell r="B76" t="str">
            <v>302-01-2</v>
          </cell>
          <cell r="C76" t="str">
            <v>Hydrazine</v>
          </cell>
        </row>
        <row r="77">
          <cell r="B77" t="str">
            <v>492-80-8</v>
          </cell>
          <cell r="C77" t="str">
            <v>Auramine</v>
          </cell>
        </row>
        <row r="78">
          <cell r="B78" t="str">
            <v>50-00-0</v>
          </cell>
          <cell r="C78" t="str">
            <v>Formaldehyde</v>
          </cell>
        </row>
        <row r="79">
          <cell r="B79" t="str">
            <v>540-59-0</v>
          </cell>
          <cell r="C79" t="str">
            <v>1,2-Dichloroethylene</v>
          </cell>
        </row>
        <row r="80">
          <cell r="B80" t="str">
            <v>542-88-1</v>
          </cell>
          <cell r="C80" t="str">
            <v>bis-chloromethylether</v>
          </cell>
        </row>
        <row r="81">
          <cell r="B81" t="str">
            <v>55-63-0</v>
          </cell>
          <cell r="C81" t="str">
            <v>Nitroglycerin</v>
          </cell>
        </row>
        <row r="82">
          <cell r="B82" t="str">
            <v>556-52-5</v>
          </cell>
          <cell r="C82" t="str">
            <v>2,3-Epoxy-1-propanol</v>
          </cell>
        </row>
        <row r="83">
          <cell r="B83" t="str">
            <v>56-23-5</v>
          </cell>
          <cell r="C83" t="str">
            <v>Carbontetrachloride</v>
          </cell>
        </row>
        <row r="84">
          <cell r="B84" t="str">
            <v>57-57-8</v>
          </cell>
          <cell r="C84" t="str">
            <v>β-Propiolactone</v>
          </cell>
        </row>
        <row r="85">
          <cell r="B85" t="str">
            <v>583-60-8</v>
          </cell>
          <cell r="C85" t="str">
            <v>o-Methyl cyclohexanone</v>
          </cell>
        </row>
        <row r="86">
          <cell r="B86" t="str">
            <v>584-84-9</v>
          </cell>
          <cell r="C86" t="str">
            <v>Toluene-2,4-diisocyanate</v>
          </cell>
        </row>
        <row r="87">
          <cell r="B87" t="str">
            <v>589-91-3</v>
          </cell>
          <cell r="C87" t="str">
            <v>Methyl cyclohexanol</v>
          </cell>
        </row>
        <row r="88">
          <cell r="B88" t="str">
            <v>590-67-0</v>
          </cell>
          <cell r="C88" t="str">
            <v>Methyl cyclohexanol</v>
          </cell>
        </row>
        <row r="89">
          <cell r="B89" t="str">
            <v>591-23-1</v>
          </cell>
          <cell r="C89" t="str">
            <v>Methyl cyclohexanol</v>
          </cell>
        </row>
        <row r="90">
          <cell r="B90" t="str">
            <v>591-78-6</v>
          </cell>
          <cell r="C90" t="str">
            <v>Methyl n-buthyl ketone</v>
          </cell>
        </row>
        <row r="91">
          <cell r="B91" t="str">
            <v>60-11-7</v>
          </cell>
          <cell r="C91" t="str">
            <v>ρ-Dimethyl aminoazobenzene</v>
          </cell>
        </row>
        <row r="92">
          <cell r="B92" t="str">
            <v>60-29-7</v>
          </cell>
          <cell r="C92" t="str">
            <v>Diethylether</v>
          </cell>
        </row>
        <row r="93">
          <cell r="B93" t="str">
            <v>62-53-3</v>
          </cell>
          <cell r="C93" t="str">
            <v>Aniline &amp; homologues</v>
          </cell>
        </row>
        <row r="94">
          <cell r="B94" t="str">
            <v>628-96-6</v>
          </cell>
          <cell r="C94" t="str">
            <v>Ethylene glycol dinitrate</v>
          </cell>
        </row>
        <row r="95">
          <cell r="B95" t="str">
            <v>630-08-0</v>
          </cell>
          <cell r="C95" t="str">
            <v>Carbon monoxide</v>
          </cell>
        </row>
        <row r="96">
          <cell r="B96" t="str">
            <v>632-99-5</v>
          </cell>
          <cell r="C96" t="str">
            <v>Magenta</v>
          </cell>
        </row>
        <row r="97">
          <cell r="B97" t="str">
            <v>65996-93-2</v>
          </cell>
          <cell r="C97" t="str">
            <v>Coal tar pitch volatiles, as benzene soluble aerosol</v>
          </cell>
        </row>
        <row r="98">
          <cell r="B98" t="str">
            <v>67-56-1</v>
          </cell>
          <cell r="C98" t="str">
            <v>Methyl alcohol</v>
          </cell>
        </row>
        <row r="99">
          <cell r="B99" t="str">
            <v>67-63-0</v>
          </cell>
          <cell r="C99" t="str">
            <v>Isopropyl alcohol</v>
          </cell>
        </row>
        <row r="100">
          <cell r="B100" t="str">
            <v>67-64-1</v>
          </cell>
          <cell r="C100" t="str">
            <v>Acetone</v>
          </cell>
        </row>
        <row r="101">
          <cell r="B101" t="str">
            <v>67-66-3</v>
          </cell>
          <cell r="C101" t="str">
            <v>Trichloromethane</v>
          </cell>
        </row>
        <row r="102">
          <cell r="B102" t="str">
            <v>68-12-2</v>
          </cell>
          <cell r="C102" t="str">
            <v>Dimethylformamide</v>
          </cell>
        </row>
        <row r="103">
          <cell r="B103" t="str">
            <v>71-36-3</v>
          </cell>
          <cell r="C103" t="str">
            <v>n-Butyl alcohol</v>
          </cell>
        </row>
        <row r="104">
          <cell r="B104" t="str">
            <v>71-43-2</v>
          </cell>
          <cell r="C104" t="str">
            <v>Benzene</v>
          </cell>
        </row>
        <row r="105">
          <cell r="B105" t="str">
            <v>71-55-6</v>
          </cell>
          <cell r="C105" t="str">
            <v>Methyl chloroform</v>
          </cell>
        </row>
        <row r="106">
          <cell r="B106" t="str">
            <v>7429-90-5</v>
          </cell>
          <cell r="C106" t="str">
            <v>Aluminum and compounds, as Al</v>
          </cell>
        </row>
        <row r="107">
          <cell r="B107" t="str">
            <v>7439-92-1</v>
          </cell>
          <cell r="C107" t="str">
            <v>Lead and inorganic compounds, as Pb</v>
          </cell>
        </row>
        <row r="108">
          <cell r="B108" t="str">
            <v>7439-96-5</v>
          </cell>
          <cell r="C108" t="str">
            <v>Manganese and inorganic compounds, as Mn</v>
          </cell>
        </row>
        <row r="109">
          <cell r="B109" t="str">
            <v>7439-97-6</v>
          </cell>
          <cell r="C109" t="str">
            <v>Mercury and compounds, as Hg</v>
          </cell>
        </row>
        <row r="110">
          <cell r="B110" t="str">
            <v>7440-02-0</v>
          </cell>
          <cell r="C110" t="str">
            <v>Nickel and inorganic compounds, as Ni</v>
          </cell>
        </row>
        <row r="111">
          <cell r="B111" t="str">
            <v>7440-31-5</v>
          </cell>
          <cell r="C111" t="str">
            <v>Tin and compounds, as Sn</v>
          </cell>
        </row>
        <row r="112">
          <cell r="B112" t="str">
            <v>7440-33-7</v>
          </cell>
          <cell r="C112" t="str">
            <v>Tungsten and compounds, as W</v>
          </cell>
        </row>
        <row r="113">
          <cell r="B113" t="str">
            <v>7440-36-0</v>
          </cell>
          <cell r="C113" t="str">
            <v>Antimony and compounds, as Sb</v>
          </cell>
        </row>
        <row r="114">
          <cell r="B114" t="str">
            <v>7440-38-2</v>
          </cell>
          <cell r="C114" t="str">
            <v>Arsenic and inorganic compounds, as As</v>
          </cell>
        </row>
        <row r="115">
          <cell r="B115" t="str">
            <v>7440-41-7</v>
          </cell>
          <cell r="C115" t="str">
            <v>Beryllium &amp; compounds, as Be</v>
          </cell>
        </row>
        <row r="116">
          <cell r="B116" t="str">
            <v>7440-43-9</v>
          </cell>
          <cell r="C116" t="str">
            <v>Cadmium and compounds, as Cd</v>
          </cell>
        </row>
        <row r="117">
          <cell r="B117" t="str">
            <v>7440-47-3</v>
          </cell>
          <cell r="C117" t="str">
            <v>Chromium and compounds, as Cr</v>
          </cell>
        </row>
        <row r="118">
          <cell r="B118" t="str">
            <v>7440-48-4</v>
          </cell>
          <cell r="C118" t="str">
            <v>Cobalt dust and fume, as Co</v>
          </cell>
        </row>
        <row r="119">
          <cell r="B119" t="str">
            <v>7440-50-8</v>
          </cell>
          <cell r="C119" t="str">
            <v>Copper dusts, fume and Mists, as Cu</v>
          </cell>
        </row>
        <row r="120">
          <cell r="B120" t="str">
            <v>7440-67-7</v>
          </cell>
          <cell r="C120" t="str">
            <v>Zirconium and compounds, as Zr</v>
          </cell>
        </row>
        <row r="121">
          <cell r="B121" t="str">
            <v>74-83-9</v>
          </cell>
          <cell r="C121" t="str">
            <v>Methylbromide</v>
          </cell>
        </row>
        <row r="122">
          <cell r="B122" t="str">
            <v>74-87-3</v>
          </cell>
          <cell r="C122" t="str">
            <v>Methyl chloride</v>
          </cell>
        </row>
        <row r="123">
          <cell r="B123" t="str">
            <v>74-88-4</v>
          </cell>
          <cell r="C123" t="str">
            <v>Methyl iodide</v>
          </cell>
        </row>
        <row r="124">
          <cell r="B124" t="str">
            <v>74-90-8</v>
          </cell>
          <cell r="C124" t="str">
            <v>Hydrogen cyanide</v>
          </cell>
        </row>
        <row r="125">
          <cell r="B125" t="str">
            <v>75-01-4</v>
          </cell>
          <cell r="C125" t="str">
            <v>Vinyl chloride</v>
          </cell>
        </row>
        <row r="126">
          <cell r="B126" t="str">
            <v>75-05-8</v>
          </cell>
          <cell r="C126" t="str">
            <v>Acetonitrile</v>
          </cell>
        </row>
        <row r="127">
          <cell r="B127" t="str">
            <v>75-07-0</v>
          </cell>
          <cell r="C127" t="str">
            <v>Acetaldehyde</v>
          </cell>
        </row>
        <row r="128">
          <cell r="B128" t="str">
            <v>75-09-2</v>
          </cell>
          <cell r="C128" t="str">
            <v>Dichloromethane</v>
          </cell>
        </row>
        <row r="129">
          <cell r="B129" t="str">
            <v>75-15-0</v>
          </cell>
          <cell r="C129" t="str">
            <v>Carbon disulfide</v>
          </cell>
        </row>
        <row r="130">
          <cell r="B130" t="str">
            <v>75-21-8</v>
          </cell>
          <cell r="C130" t="str">
            <v>Ethylene oxide</v>
          </cell>
        </row>
        <row r="131">
          <cell r="B131" t="str">
            <v>75-26-3</v>
          </cell>
          <cell r="C131" t="str">
            <v>2-Bromopropane</v>
          </cell>
        </row>
        <row r="132">
          <cell r="B132" t="str">
            <v>75-43-4</v>
          </cell>
          <cell r="C132" t="str">
            <v>Dichlorofluoromethane</v>
          </cell>
        </row>
        <row r="133">
          <cell r="B133" t="str">
            <v>75-44-5</v>
          </cell>
          <cell r="C133" t="str">
            <v>Phosgene</v>
          </cell>
        </row>
        <row r="134">
          <cell r="B134" t="str">
            <v>75-52-5</v>
          </cell>
          <cell r="C134" t="str">
            <v>Nitromethane</v>
          </cell>
        </row>
        <row r="135">
          <cell r="B135" t="str">
            <v>98-95-3</v>
          </cell>
          <cell r="C135" t="str">
            <v>Nitrobenzene</v>
          </cell>
        </row>
        <row r="136">
          <cell r="B136" t="str">
            <v>7553-56-2</v>
          </cell>
          <cell r="C136" t="str">
            <v>Iodine</v>
          </cell>
        </row>
        <row r="137">
          <cell r="B137" t="str">
            <v>76-03-9</v>
          </cell>
          <cell r="C137" t="str">
            <v>Trichloro acetic acid</v>
          </cell>
        </row>
        <row r="138">
          <cell r="B138" t="str">
            <v>7647-01-0</v>
          </cell>
          <cell r="C138" t="str">
            <v>Hydrogen chloride</v>
          </cell>
        </row>
        <row r="139">
          <cell r="B139" t="str">
            <v>7664-39-3</v>
          </cell>
          <cell r="C139" t="str">
            <v>Hydrogen fluoride</v>
          </cell>
        </row>
        <row r="140">
          <cell r="B140" t="str">
            <v>7664-93-9</v>
          </cell>
          <cell r="C140" t="str">
            <v>Sulfuric acid</v>
          </cell>
        </row>
        <row r="141">
          <cell r="B141" t="str">
            <v>7697-37-2</v>
          </cell>
          <cell r="C141" t="str">
            <v>Nitric acid</v>
          </cell>
        </row>
        <row r="142">
          <cell r="B142" t="str">
            <v>7726-95-6</v>
          </cell>
          <cell r="C142" t="str">
            <v>Bromine</v>
          </cell>
        </row>
        <row r="143">
          <cell r="B143" t="str">
            <v>77-78-1</v>
          </cell>
          <cell r="C143" t="str">
            <v>Dimethylsulfate</v>
          </cell>
        </row>
        <row r="144">
          <cell r="B144" t="str">
            <v>7782-41-4</v>
          </cell>
          <cell r="C144" t="str">
            <v>Fluorine</v>
          </cell>
        </row>
        <row r="145">
          <cell r="B145" t="str">
            <v>7782-50-5</v>
          </cell>
          <cell r="C145" t="str">
            <v>Chlorine</v>
          </cell>
        </row>
        <row r="146">
          <cell r="B146" t="str">
            <v>7783-06-4</v>
          </cell>
          <cell r="C146" t="str">
            <v>Hydrogen sulfide</v>
          </cell>
        </row>
        <row r="147">
          <cell r="B147" t="str">
            <v>7784-42-1</v>
          </cell>
          <cell r="C147" t="str">
            <v>Arsine</v>
          </cell>
        </row>
        <row r="148">
          <cell r="B148" t="str">
            <v>78-00-2</v>
          </cell>
          <cell r="C148" t="str">
            <v>Tetraalkyl lead</v>
          </cell>
        </row>
        <row r="149">
          <cell r="B149" t="str">
            <v>7803-51-2</v>
          </cell>
          <cell r="C149" t="str">
            <v>Phosphine</v>
          </cell>
        </row>
        <row r="150">
          <cell r="B150" t="str">
            <v>78-83-1</v>
          </cell>
          <cell r="C150" t="str">
            <v>Isobutyl alcohol</v>
          </cell>
        </row>
        <row r="151">
          <cell r="B151" t="str">
            <v>78-92-2</v>
          </cell>
          <cell r="C151" t="str">
            <v>sec-Butyl alcohol</v>
          </cell>
        </row>
        <row r="152">
          <cell r="B152" t="str">
            <v>78-93-3</v>
          </cell>
          <cell r="C152" t="str">
            <v>Methyl ethyl ketone</v>
          </cell>
        </row>
        <row r="153">
          <cell r="B153" t="str">
            <v>79-00-5</v>
          </cell>
          <cell r="C153" t="str">
            <v>1,1,2-Trichloroethane</v>
          </cell>
        </row>
        <row r="154">
          <cell r="B154" t="str">
            <v>79-01-6</v>
          </cell>
          <cell r="C154" t="str">
            <v>Trichloroethylene</v>
          </cell>
        </row>
        <row r="155">
          <cell r="B155" t="str">
            <v>79-06-1</v>
          </cell>
          <cell r="C155" t="str">
            <v>Acrylamide</v>
          </cell>
        </row>
        <row r="156">
          <cell r="B156" t="str">
            <v>79-34-5</v>
          </cell>
          <cell r="C156" t="str">
            <v>1,1,2,2-Tetrachloroethane</v>
          </cell>
        </row>
        <row r="157">
          <cell r="B157" t="str">
            <v>8006-61-9</v>
          </cell>
          <cell r="C157" t="str">
            <v>Gasoline</v>
          </cell>
        </row>
        <row r="158">
          <cell r="B158" t="str">
            <v>8006-64-2</v>
          </cell>
          <cell r="C158" t="str">
            <v>Oil of turpentine</v>
          </cell>
        </row>
        <row r="159">
          <cell r="B159" t="str">
            <v>8007-45-2</v>
          </cell>
          <cell r="C159" t="str">
            <v>Coal tar pitch volatiles, as benzene soluble aerosol</v>
          </cell>
        </row>
        <row r="160">
          <cell r="B160" t="str">
            <v>8052-41-3</v>
          </cell>
          <cell r="C160" t="str">
            <v>Stoddard solvent</v>
          </cell>
        </row>
        <row r="161">
          <cell r="B161" t="str">
            <v>822-06-0</v>
          </cell>
          <cell r="C161" t="str">
            <v>Hexamethylene diisocyanate</v>
          </cell>
        </row>
        <row r="162">
          <cell r="B162" t="str">
            <v>85-44-9</v>
          </cell>
          <cell r="C162" t="str">
            <v>Phthalic anhydride</v>
          </cell>
        </row>
        <row r="163">
          <cell r="B163" t="str">
            <v>87-86-5</v>
          </cell>
          <cell r="C163" t="str">
            <v>Pentachlorophenol</v>
          </cell>
        </row>
        <row r="164">
          <cell r="B164" t="str">
            <v>91-08-7</v>
          </cell>
          <cell r="C164" t="str">
            <v>Toluene-2,6-diisocyanate</v>
          </cell>
        </row>
        <row r="165">
          <cell r="B165" t="str">
            <v>91-15-6</v>
          </cell>
          <cell r="C165" t="str">
            <v>o-Phthalodinitrile</v>
          </cell>
        </row>
        <row r="166">
          <cell r="B166" t="str">
            <v>91-59-8</v>
          </cell>
          <cell r="C166" t="str">
            <v>β-Naphthylamine</v>
          </cell>
        </row>
        <row r="167">
          <cell r="B167" t="str">
            <v>92-87-5</v>
          </cell>
          <cell r="C167" t="str">
            <v>Benzidine and its salts</v>
          </cell>
        </row>
        <row r="168">
          <cell r="B168" t="str">
            <v>95-47-6</v>
          </cell>
          <cell r="C168" t="str">
            <v>Xylene</v>
          </cell>
        </row>
        <row r="169">
          <cell r="B169" t="str">
            <v>95-48-7</v>
          </cell>
          <cell r="C169" t="str">
            <v>Cresol</v>
          </cell>
        </row>
        <row r="170">
          <cell r="B170" t="str">
            <v>95-50-1</v>
          </cell>
          <cell r="C170" t="str">
            <v>o-Dichlorobenzene</v>
          </cell>
        </row>
        <row r="171">
          <cell r="B171" t="str">
            <v>96-18-4</v>
          </cell>
          <cell r="C171" t="str">
            <v>1,2,3-Trichloropropane</v>
          </cell>
        </row>
        <row r="172">
          <cell r="B172" t="str">
            <v>98-07-7</v>
          </cell>
          <cell r="C172" t="str">
            <v>Benzotrichloride</v>
          </cell>
        </row>
        <row r="173">
          <cell r="C173" t="str">
            <v>Oil mist</v>
          </cell>
        </row>
        <row r="174">
          <cell r="C174" t="str">
            <v>Grain dust</v>
          </cell>
        </row>
        <row r="175">
          <cell r="C175" t="str">
            <v>Mineral dust</v>
          </cell>
        </row>
        <row r="176">
          <cell r="C176" t="str">
            <v>Cotton dust</v>
          </cell>
        </row>
        <row r="177">
          <cell r="C177" t="str">
            <v>Wood dust</v>
          </cell>
        </row>
        <row r="178">
          <cell r="C178" t="str">
            <v>Welding fume</v>
          </cell>
        </row>
        <row r="179">
          <cell r="C179" t="str">
            <v>Glass fiber dust</v>
          </cell>
        </row>
      </sheetData>
      <sheetData sheetId="46" refreshError="1">
        <row r="1">
          <cell r="B1" t="str">
            <v>CAS No</v>
          </cell>
          <cell r="C1" t="str">
            <v>화학물질명</v>
          </cell>
          <cell r="D1" t="str">
            <v>발암성</v>
          </cell>
          <cell r="E1" t="str">
            <v>발암성함량수치</v>
          </cell>
          <cell r="F1" t="str">
            <v>생식세포변이원성</v>
          </cell>
          <cell r="G1" t="str">
            <v>생식세포변이원성함량수치</v>
          </cell>
          <cell r="H1" t="str">
            <v>생식독성</v>
          </cell>
          <cell r="I1" t="str">
            <v>생식독성함량수치</v>
          </cell>
          <cell r="J1" t="str">
            <v>참조사항</v>
          </cell>
        </row>
        <row r="2">
          <cell r="B2" t="str">
            <v>100-00-5</v>
          </cell>
          <cell r="C2" t="str">
            <v>p-Nitrochlorobenzene</v>
          </cell>
          <cell r="D2" t="str">
            <v>구분2</v>
          </cell>
          <cell r="E2">
            <v>1</v>
          </cell>
          <cell r="F2" t="str">
            <v>구분2</v>
          </cell>
          <cell r="G2">
            <v>1</v>
          </cell>
          <cell r="H2" t="str">
            <v/>
          </cell>
          <cell r="I2" t="str">
            <v/>
          </cell>
        </row>
        <row r="3">
          <cell r="B3" t="str">
            <v>100-41-4</v>
          </cell>
          <cell r="C3" t="str">
            <v>Ethyl benzene</v>
          </cell>
          <cell r="D3" t="str">
            <v>구분2</v>
          </cell>
          <cell r="E3">
            <v>1</v>
          </cell>
          <cell r="F3" t="str">
            <v/>
          </cell>
          <cell r="G3" t="str">
            <v/>
          </cell>
          <cell r="H3" t="str">
            <v/>
          </cell>
          <cell r="I3" t="str">
            <v/>
          </cell>
        </row>
        <row r="4">
          <cell r="B4" t="str">
            <v>100-42-5</v>
          </cell>
          <cell r="C4" t="str">
            <v>Phenyl ethylene</v>
          </cell>
          <cell r="D4" t="str">
            <v>구분2</v>
          </cell>
          <cell r="E4">
            <v>1</v>
          </cell>
          <cell r="F4" t="str">
            <v/>
          </cell>
          <cell r="G4" t="str">
            <v/>
          </cell>
          <cell r="H4" t="str">
            <v/>
          </cell>
          <cell r="I4" t="str">
            <v/>
          </cell>
        </row>
        <row r="5">
          <cell r="B5" t="str">
            <v>100-44-7</v>
          </cell>
          <cell r="C5" t="str">
            <v>Benzyl chloride</v>
          </cell>
          <cell r="D5" t="str">
            <v>구분1B</v>
          </cell>
          <cell r="E5">
            <v>0.1</v>
          </cell>
          <cell r="F5" t="str">
            <v/>
          </cell>
          <cell r="G5" t="str">
            <v/>
          </cell>
          <cell r="H5" t="str">
            <v/>
          </cell>
          <cell r="I5" t="str">
            <v/>
          </cell>
        </row>
        <row r="6">
          <cell r="B6" t="str">
            <v>100-63-0</v>
          </cell>
          <cell r="C6" t="str">
            <v>Phenyl hydrazine</v>
          </cell>
          <cell r="D6" t="str">
            <v>구분1B</v>
          </cell>
          <cell r="E6">
            <v>0.1</v>
          </cell>
          <cell r="F6" t="str">
            <v>구분2</v>
          </cell>
          <cell r="G6">
            <v>1</v>
          </cell>
          <cell r="H6" t="str">
            <v/>
          </cell>
          <cell r="I6" t="str">
            <v/>
          </cell>
        </row>
        <row r="7">
          <cell r="B7" t="str">
            <v>101-14-4</v>
          </cell>
          <cell r="C7" t="str">
            <v>4,4'-Methylenebis(2-chloroaniline)</v>
          </cell>
          <cell r="D7" t="str">
            <v>구분1A</v>
          </cell>
          <cell r="E7">
            <v>0.1</v>
          </cell>
          <cell r="F7" t="str">
            <v/>
          </cell>
          <cell r="G7" t="str">
            <v/>
          </cell>
          <cell r="H7" t="str">
            <v/>
          </cell>
          <cell r="I7" t="str">
            <v/>
          </cell>
        </row>
        <row r="8">
          <cell r="B8" t="str">
            <v>101-68-8</v>
          </cell>
          <cell r="C8" t="str">
            <v>Diphenylmethanediisocyanate</v>
          </cell>
          <cell r="D8" t="str">
            <v>구분2</v>
          </cell>
          <cell r="E8">
            <v>1</v>
          </cell>
          <cell r="F8" t="str">
            <v/>
          </cell>
          <cell r="G8" t="str">
            <v/>
          </cell>
          <cell r="H8" t="str">
            <v/>
          </cell>
          <cell r="I8" t="str">
            <v/>
          </cell>
        </row>
        <row r="9">
          <cell r="B9" t="str">
            <v>101-77-9</v>
          </cell>
          <cell r="C9" t="str">
            <v>4,4'-Methylenedianiline</v>
          </cell>
          <cell r="D9" t="str">
            <v>구분1B</v>
          </cell>
          <cell r="E9">
            <v>0.1</v>
          </cell>
          <cell r="F9" t="str">
            <v>구분2</v>
          </cell>
          <cell r="G9">
            <v>1</v>
          </cell>
          <cell r="H9" t="str">
            <v/>
          </cell>
          <cell r="I9" t="str">
            <v/>
          </cell>
        </row>
        <row r="10">
          <cell r="B10" t="str">
            <v>1024-57-3</v>
          </cell>
          <cell r="C10" t="str">
            <v>Heptachlor ＆ Heptachlor epoxide</v>
          </cell>
          <cell r="D10" t="str">
            <v>구분2</v>
          </cell>
          <cell r="E10">
            <v>1</v>
          </cell>
          <cell r="F10" t="str">
            <v/>
          </cell>
          <cell r="G10" t="str">
            <v/>
          </cell>
          <cell r="H10" t="str">
            <v/>
          </cell>
          <cell r="I10" t="str">
            <v/>
          </cell>
        </row>
        <row r="11">
          <cell r="B11" t="str">
            <v>106-46-7</v>
          </cell>
          <cell r="C11" t="str">
            <v>p-Dichlorobenzene</v>
          </cell>
          <cell r="D11" t="str">
            <v>구분2</v>
          </cell>
          <cell r="E11">
            <v>1</v>
          </cell>
          <cell r="F11" t="str">
            <v/>
          </cell>
          <cell r="G11" t="str">
            <v/>
          </cell>
          <cell r="H11" t="str">
            <v/>
          </cell>
          <cell r="I11" t="str">
            <v/>
          </cell>
        </row>
        <row r="12">
          <cell r="B12" t="str">
            <v>106-49-0</v>
          </cell>
          <cell r="C12" t="str">
            <v>p-Toluidine</v>
          </cell>
          <cell r="D12" t="str">
            <v>구분2</v>
          </cell>
          <cell r="E12">
            <v>1</v>
          </cell>
          <cell r="F12" t="str">
            <v/>
          </cell>
          <cell r="G12" t="str">
            <v/>
          </cell>
          <cell r="H12" t="str">
            <v/>
          </cell>
          <cell r="I12" t="str">
            <v/>
          </cell>
        </row>
        <row r="13">
          <cell r="B13" t="str">
            <v>106-87-6</v>
          </cell>
          <cell r="C13" t="str">
            <v>Vinyl cyclohexenedioxide</v>
          </cell>
          <cell r="D13" t="str">
            <v>구분2</v>
          </cell>
          <cell r="E13">
            <v>1</v>
          </cell>
          <cell r="F13" t="str">
            <v/>
          </cell>
          <cell r="G13" t="str">
            <v/>
          </cell>
          <cell r="H13" t="str">
            <v/>
          </cell>
          <cell r="I13" t="str">
            <v/>
          </cell>
        </row>
        <row r="14">
          <cell r="B14" t="str">
            <v>106-89-8</v>
          </cell>
          <cell r="C14" t="str">
            <v>1-Chloro-2,3-epoxy propane</v>
          </cell>
          <cell r="D14" t="str">
            <v>구분1B</v>
          </cell>
          <cell r="E14">
            <v>0.1</v>
          </cell>
          <cell r="F14" t="str">
            <v/>
          </cell>
          <cell r="G14" t="str">
            <v/>
          </cell>
          <cell r="H14" t="str">
            <v/>
          </cell>
          <cell r="I14" t="str">
            <v/>
          </cell>
        </row>
        <row r="15">
          <cell r="B15" t="str">
            <v>106-92-3</v>
          </cell>
          <cell r="C15" t="str">
            <v>Allyl glycidyl ether(AGE)</v>
          </cell>
          <cell r="D15" t="str">
            <v>구분2</v>
          </cell>
          <cell r="E15">
            <v>1</v>
          </cell>
          <cell r="F15" t="str">
            <v>구분2</v>
          </cell>
          <cell r="G15">
            <v>1</v>
          </cell>
          <cell r="H15" t="str">
            <v>구분2</v>
          </cell>
          <cell r="I15">
            <v>3</v>
          </cell>
        </row>
        <row r="16">
          <cell r="B16" t="str">
            <v>106-93-4</v>
          </cell>
          <cell r="C16" t="str">
            <v>1,2-Dibromoethane</v>
          </cell>
          <cell r="D16" t="str">
            <v>구분1B</v>
          </cell>
          <cell r="E16">
            <v>0.1</v>
          </cell>
          <cell r="F16" t="str">
            <v/>
          </cell>
          <cell r="G16" t="str">
            <v/>
          </cell>
          <cell r="H16" t="str">
            <v/>
          </cell>
          <cell r="I16" t="str">
            <v/>
          </cell>
        </row>
        <row r="17">
          <cell r="B17" t="str">
            <v>106-94-5</v>
          </cell>
          <cell r="C17" t="str">
            <v>1-Bromopropane</v>
          </cell>
          <cell r="D17" t="str">
            <v/>
          </cell>
          <cell r="E17" t="str">
            <v/>
          </cell>
          <cell r="F17" t="str">
            <v/>
          </cell>
          <cell r="G17" t="str">
            <v/>
          </cell>
          <cell r="H17" t="str">
            <v>구분1B</v>
          </cell>
          <cell r="I17">
            <v>0.3</v>
          </cell>
        </row>
        <row r="18">
          <cell r="B18" t="str">
            <v>106-97-8</v>
          </cell>
          <cell r="C18" t="str">
            <v>Butane</v>
          </cell>
          <cell r="D18" t="str">
            <v>구분1A</v>
          </cell>
          <cell r="E18">
            <v>0.1</v>
          </cell>
          <cell r="F18" t="str">
            <v>구분1B</v>
          </cell>
          <cell r="G18">
            <v>0.1</v>
          </cell>
          <cell r="H18" t="str">
            <v/>
          </cell>
          <cell r="I18" t="str">
            <v/>
          </cell>
          <cell r="J18" t="str">
            <v>(부타디엔 0.1% 이상인 경우에 한정함)</v>
          </cell>
        </row>
        <row r="19">
          <cell r="B19" t="str">
            <v>106-99-0</v>
          </cell>
          <cell r="C19" t="str">
            <v>1,3-Butadiene</v>
          </cell>
          <cell r="D19" t="str">
            <v>구분1A</v>
          </cell>
          <cell r="E19">
            <v>0.1</v>
          </cell>
          <cell r="F19" t="str">
            <v>구분1B</v>
          </cell>
          <cell r="G19">
            <v>0.1</v>
          </cell>
          <cell r="H19" t="str">
            <v/>
          </cell>
          <cell r="I19" t="str">
            <v/>
          </cell>
        </row>
        <row r="20">
          <cell r="B20" t="str">
            <v>107-05-1</v>
          </cell>
          <cell r="C20" t="str">
            <v>Allyl chloride</v>
          </cell>
          <cell r="D20" t="str">
            <v>구분2</v>
          </cell>
          <cell r="E20">
            <v>1</v>
          </cell>
          <cell r="F20" t="str">
            <v>구분2</v>
          </cell>
          <cell r="G20">
            <v>1</v>
          </cell>
          <cell r="H20" t="str">
            <v/>
          </cell>
          <cell r="I20" t="str">
            <v/>
          </cell>
        </row>
        <row r="21">
          <cell r="B21" t="str">
            <v>107-06-2</v>
          </cell>
          <cell r="C21" t="str">
            <v>1,2-Dichloroethane</v>
          </cell>
          <cell r="D21" t="str">
            <v>구분1B</v>
          </cell>
          <cell r="E21">
            <v>0.1</v>
          </cell>
          <cell r="F21" t="str">
            <v/>
          </cell>
          <cell r="G21" t="str">
            <v/>
          </cell>
          <cell r="H21" t="str">
            <v/>
          </cell>
          <cell r="I21" t="str">
            <v/>
          </cell>
        </row>
        <row r="22">
          <cell r="B22" t="str">
            <v>107-13-1</v>
          </cell>
          <cell r="C22" t="str">
            <v>Acrylonitrile</v>
          </cell>
          <cell r="D22" t="str">
            <v>구분1B</v>
          </cell>
          <cell r="E22">
            <v>0.1</v>
          </cell>
          <cell r="F22" t="str">
            <v/>
          </cell>
          <cell r="G22" t="str">
            <v/>
          </cell>
          <cell r="H22" t="str">
            <v/>
          </cell>
          <cell r="I22" t="str">
            <v/>
          </cell>
        </row>
        <row r="23">
          <cell r="B23" t="str">
            <v>107-30-2</v>
          </cell>
          <cell r="C23" t="str">
            <v>Chloromethyl methylether</v>
          </cell>
          <cell r="D23" t="str">
            <v>구분1A</v>
          </cell>
          <cell r="E23">
            <v>0.1</v>
          </cell>
          <cell r="F23" t="str">
            <v/>
          </cell>
          <cell r="G23" t="str">
            <v/>
          </cell>
          <cell r="H23" t="str">
            <v/>
          </cell>
          <cell r="I23" t="str">
            <v/>
          </cell>
        </row>
        <row r="24">
          <cell r="B24" t="str">
            <v>108-05-4</v>
          </cell>
          <cell r="C24" t="str">
            <v>Vinyl acetate</v>
          </cell>
          <cell r="D24" t="str">
            <v>구분2</v>
          </cell>
          <cell r="E24">
            <v>1</v>
          </cell>
          <cell r="F24" t="str">
            <v/>
          </cell>
          <cell r="G24" t="str">
            <v/>
          </cell>
          <cell r="H24" t="str">
            <v/>
          </cell>
          <cell r="I24" t="str">
            <v/>
          </cell>
        </row>
        <row r="25">
          <cell r="B25" t="str">
            <v>108-10-1</v>
          </cell>
          <cell r="C25" t="str">
            <v>Hexone</v>
          </cell>
          <cell r="D25" t="str">
            <v>구분2</v>
          </cell>
          <cell r="E25">
            <v>1</v>
          </cell>
          <cell r="F25" t="str">
            <v/>
          </cell>
          <cell r="G25" t="str">
            <v/>
          </cell>
          <cell r="H25" t="str">
            <v/>
          </cell>
          <cell r="I25" t="str">
            <v/>
          </cell>
        </row>
        <row r="26">
          <cell r="B26" t="str">
            <v>108-88-3</v>
          </cell>
          <cell r="C26" t="str">
            <v>Toluene</v>
          </cell>
          <cell r="D26" t="str">
            <v/>
          </cell>
          <cell r="E26" t="str">
            <v/>
          </cell>
          <cell r="F26" t="str">
            <v/>
          </cell>
          <cell r="G26" t="str">
            <v/>
          </cell>
          <cell r="H26" t="str">
            <v>구분2</v>
          </cell>
          <cell r="I26">
            <v>3</v>
          </cell>
        </row>
        <row r="27">
          <cell r="B27" t="str">
            <v>108-90-7</v>
          </cell>
          <cell r="C27" t="str">
            <v>Chlorobenzene</v>
          </cell>
          <cell r="D27" t="str">
            <v>구분2</v>
          </cell>
          <cell r="E27">
            <v>1</v>
          </cell>
          <cell r="F27" t="str">
            <v/>
          </cell>
          <cell r="G27" t="str">
            <v/>
          </cell>
          <cell r="H27" t="str">
            <v/>
          </cell>
          <cell r="I27" t="str">
            <v/>
          </cell>
        </row>
        <row r="28">
          <cell r="B28" t="str">
            <v>108-91-8</v>
          </cell>
          <cell r="C28" t="str">
            <v>Cyclohexylamine</v>
          </cell>
          <cell r="D28" t="str">
            <v/>
          </cell>
          <cell r="E28" t="str">
            <v/>
          </cell>
          <cell r="F28" t="str">
            <v/>
          </cell>
          <cell r="G28" t="str">
            <v/>
          </cell>
          <cell r="H28" t="str">
            <v>구분2</v>
          </cell>
          <cell r="I28">
            <v>3</v>
          </cell>
        </row>
        <row r="29">
          <cell r="B29" t="str">
            <v>108-94-1</v>
          </cell>
          <cell r="C29" t="str">
            <v>Cyclohexanone</v>
          </cell>
          <cell r="D29" t="str">
            <v>구분2</v>
          </cell>
          <cell r="E29">
            <v>1</v>
          </cell>
          <cell r="F29" t="str">
            <v/>
          </cell>
          <cell r="G29" t="str">
            <v/>
          </cell>
          <cell r="H29" t="str">
            <v/>
          </cell>
          <cell r="I29" t="str">
            <v/>
          </cell>
        </row>
        <row r="30">
          <cell r="B30" t="str">
            <v>108-95-2</v>
          </cell>
          <cell r="C30" t="str">
            <v>Phenol</v>
          </cell>
          <cell r="D30" t="str">
            <v/>
          </cell>
          <cell r="E30" t="str">
            <v/>
          </cell>
          <cell r="F30" t="str">
            <v>구분2</v>
          </cell>
          <cell r="G30">
            <v>1</v>
          </cell>
          <cell r="H30" t="str">
            <v/>
          </cell>
          <cell r="I30" t="str">
            <v/>
          </cell>
        </row>
        <row r="31">
          <cell r="B31" t="str">
            <v>109-86-4</v>
          </cell>
          <cell r="C31" t="str">
            <v>2-Methoxyethanol</v>
          </cell>
          <cell r="D31" t="str">
            <v/>
          </cell>
          <cell r="E31" t="str">
            <v/>
          </cell>
          <cell r="F31" t="str">
            <v/>
          </cell>
          <cell r="G31" t="str">
            <v/>
          </cell>
          <cell r="H31" t="str">
            <v>구분1B</v>
          </cell>
          <cell r="I31">
            <v>0.3</v>
          </cell>
        </row>
        <row r="32">
          <cell r="B32" t="str">
            <v>109-99-9</v>
          </cell>
          <cell r="C32" t="str">
            <v>Tetrahydrofuran</v>
          </cell>
          <cell r="D32" t="str">
            <v>구분2</v>
          </cell>
          <cell r="E32">
            <v>1</v>
          </cell>
          <cell r="F32" t="str">
            <v/>
          </cell>
          <cell r="G32" t="str">
            <v/>
          </cell>
          <cell r="H32" t="str">
            <v/>
          </cell>
          <cell r="I32" t="str">
            <v/>
          </cell>
        </row>
        <row r="33">
          <cell r="B33" t="str">
            <v>110-49-6</v>
          </cell>
          <cell r="C33" t="str">
            <v>Ethylene glycol methyl ether acetate</v>
          </cell>
          <cell r="D33" t="str">
            <v/>
          </cell>
          <cell r="E33" t="str">
            <v/>
          </cell>
          <cell r="F33" t="str">
            <v/>
          </cell>
          <cell r="G33" t="str">
            <v/>
          </cell>
          <cell r="H33" t="str">
            <v>구분1B</v>
          </cell>
          <cell r="I33">
            <v>0.3</v>
          </cell>
        </row>
        <row r="34">
          <cell r="B34" t="str">
            <v>110-54-3</v>
          </cell>
          <cell r="C34" t="str">
            <v>n-Hexane</v>
          </cell>
          <cell r="D34" t="str">
            <v/>
          </cell>
          <cell r="E34" t="str">
            <v/>
          </cell>
          <cell r="F34" t="str">
            <v/>
          </cell>
          <cell r="G34" t="str">
            <v/>
          </cell>
          <cell r="H34" t="str">
            <v>구분2</v>
          </cell>
          <cell r="I34">
            <v>3</v>
          </cell>
        </row>
        <row r="35">
          <cell r="B35" t="str">
            <v>110-80-5</v>
          </cell>
          <cell r="C35" t="str">
            <v>2-Ethoxyethanol</v>
          </cell>
          <cell r="D35" t="str">
            <v/>
          </cell>
          <cell r="E35" t="str">
            <v/>
          </cell>
          <cell r="F35" t="str">
            <v/>
          </cell>
          <cell r="G35" t="str">
            <v/>
          </cell>
          <cell r="H35" t="str">
            <v>구분1B</v>
          </cell>
          <cell r="I35">
            <v>0.3</v>
          </cell>
        </row>
        <row r="36">
          <cell r="B36" t="str">
            <v>110-86-1</v>
          </cell>
          <cell r="C36" t="str">
            <v>Pyridine</v>
          </cell>
          <cell r="D36" t="str">
            <v>구분2</v>
          </cell>
          <cell r="E36">
            <v>1</v>
          </cell>
          <cell r="F36" t="str">
            <v/>
          </cell>
          <cell r="G36" t="str">
            <v/>
          </cell>
          <cell r="H36" t="str">
            <v/>
          </cell>
          <cell r="I36" t="str">
            <v/>
          </cell>
        </row>
        <row r="37">
          <cell r="B37" t="str">
            <v>11097-69-1</v>
          </cell>
          <cell r="C37" t="str">
            <v>Chlorodiphenyl(54% Chlorine)</v>
          </cell>
          <cell r="D37" t="str">
            <v>구분2</v>
          </cell>
          <cell r="E37">
            <v>1</v>
          </cell>
          <cell r="F37" t="str">
            <v/>
          </cell>
          <cell r="G37" t="str">
            <v/>
          </cell>
          <cell r="H37" t="str">
            <v/>
          </cell>
          <cell r="I37" t="str">
            <v/>
          </cell>
        </row>
        <row r="38">
          <cell r="B38" t="str">
            <v>111-15-9</v>
          </cell>
          <cell r="C38" t="str">
            <v>2-Ethoxyethyl acetate</v>
          </cell>
          <cell r="D38" t="str">
            <v/>
          </cell>
          <cell r="E38" t="str">
            <v/>
          </cell>
          <cell r="F38" t="str">
            <v/>
          </cell>
          <cell r="G38" t="str">
            <v/>
          </cell>
          <cell r="H38" t="str">
            <v>구분1B</v>
          </cell>
          <cell r="I38">
            <v>0.3</v>
          </cell>
        </row>
        <row r="39">
          <cell r="B39" t="str">
            <v>111-42-2</v>
          </cell>
          <cell r="C39" t="str">
            <v>Diethanolamine</v>
          </cell>
          <cell r="D39" t="str">
            <v>구분2</v>
          </cell>
          <cell r="E39">
            <v>1</v>
          </cell>
          <cell r="F39" t="str">
            <v/>
          </cell>
          <cell r="G39" t="str">
            <v/>
          </cell>
          <cell r="H39" t="str">
            <v/>
          </cell>
          <cell r="I39" t="str">
            <v/>
          </cell>
        </row>
        <row r="40">
          <cell r="B40" t="str">
            <v>111-44-4</v>
          </cell>
          <cell r="C40" t="str">
            <v>Dichloroethylether</v>
          </cell>
          <cell r="D40" t="str">
            <v>구분2</v>
          </cell>
          <cell r="E40">
            <v>1</v>
          </cell>
          <cell r="F40" t="str">
            <v/>
          </cell>
          <cell r="G40" t="str">
            <v/>
          </cell>
          <cell r="H40" t="str">
            <v/>
          </cell>
          <cell r="I40" t="str">
            <v/>
          </cell>
        </row>
        <row r="41">
          <cell r="B41" t="str">
            <v>111-76-2</v>
          </cell>
          <cell r="C41" t="str">
            <v>2-Butoxyethanol</v>
          </cell>
          <cell r="D41" t="str">
            <v>구분2</v>
          </cell>
          <cell r="E41">
            <v>1</v>
          </cell>
          <cell r="F41" t="str">
            <v/>
          </cell>
          <cell r="G41" t="str">
            <v/>
          </cell>
          <cell r="H41" t="str">
            <v/>
          </cell>
          <cell r="I41" t="str">
            <v/>
          </cell>
        </row>
        <row r="42">
          <cell r="B42" t="str">
            <v>1120-71-4</v>
          </cell>
          <cell r="C42" t="str">
            <v>Propane sultone</v>
          </cell>
          <cell r="D42" t="str">
            <v>구분1B</v>
          </cell>
          <cell r="E42">
            <v>0.1</v>
          </cell>
          <cell r="F42" t="str">
            <v/>
          </cell>
          <cell r="G42" t="str">
            <v/>
          </cell>
          <cell r="H42" t="str">
            <v/>
          </cell>
          <cell r="I42" t="str">
            <v/>
          </cell>
        </row>
        <row r="43">
          <cell r="B43" t="str">
            <v>112-07-2</v>
          </cell>
          <cell r="C43" t="str">
            <v>Ethyleneglycol monobutyletheracetate</v>
          </cell>
          <cell r="D43" t="str">
            <v>구분2</v>
          </cell>
          <cell r="E43">
            <v>1</v>
          </cell>
          <cell r="F43" t="str">
            <v/>
          </cell>
          <cell r="G43" t="str">
            <v/>
          </cell>
          <cell r="H43" t="str">
            <v/>
          </cell>
          <cell r="I43" t="str">
            <v/>
          </cell>
        </row>
        <row r="44">
          <cell r="B44" t="str">
            <v>114-26-1</v>
          </cell>
          <cell r="C44" t="str">
            <v>Propoxur</v>
          </cell>
          <cell r="D44" t="str">
            <v>구분2</v>
          </cell>
          <cell r="E44">
            <v>1</v>
          </cell>
          <cell r="F44" t="str">
            <v/>
          </cell>
          <cell r="G44" t="str">
            <v/>
          </cell>
          <cell r="H44" t="str">
            <v/>
          </cell>
          <cell r="I44" t="str">
            <v/>
          </cell>
        </row>
        <row r="45">
          <cell r="B45" t="str">
            <v>117-81-7</v>
          </cell>
          <cell r="C45" t="str">
            <v>Di(2-ethylhexyl)phthalate</v>
          </cell>
          <cell r="D45" t="str">
            <v>구분2</v>
          </cell>
          <cell r="E45">
            <v>1</v>
          </cell>
          <cell r="F45" t="str">
            <v/>
          </cell>
          <cell r="G45" t="str">
            <v/>
          </cell>
          <cell r="H45" t="str">
            <v>구분1B</v>
          </cell>
          <cell r="I45">
            <v>0.3</v>
          </cell>
        </row>
        <row r="46">
          <cell r="B46" t="str">
            <v>1189-85-1</v>
          </cell>
          <cell r="C46" t="str">
            <v>tert-Butyl chromate, as CrO3</v>
          </cell>
          <cell r="D46" t="str">
            <v>구분1A</v>
          </cell>
          <cell r="E46">
            <v>0.1</v>
          </cell>
          <cell r="F46" t="str">
            <v/>
          </cell>
          <cell r="G46" t="str">
            <v/>
          </cell>
          <cell r="H46" t="str">
            <v/>
          </cell>
          <cell r="I46" t="str">
            <v/>
          </cell>
        </row>
        <row r="47">
          <cell r="B47" t="str">
            <v>119-90-4</v>
          </cell>
          <cell r="C47" t="str">
            <v>Dianisidine</v>
          </cell>
          <cell r="D47" t="str">
            <v>구분1B</v>
          </cell>
          <cell r="E47">
            <v>0.1</v>
          </cell>
          <cell r="F47" t="str">
            <v/>
          </cell>
          <cell r="G47" t="str">
            <v/>
          </cell>
          <cell r="H47" t="str">
            <v/>
          </cell>
          <cell r="I47" t="str">
            <v/>
          </cell>
        </row>
        <row r="48">
          <cell r="B48" t="str">
            <v>119-93-7</v>
          </cell>
          <cell r="C48" t="str">
            <v>o-Tolidine</v>
          </cell>
          <cell r="D48" t="str">
            <v>구분1B</v>
          </cell>
          <cell r="E48">
            <v>0.1</v>
          </cell>
          <cell r="F48" t="str">
            <v/>
          </cell>
          <cell r="G48" t="str">
            <v/>
          </cell>
          <cell r="H48" t="str">
            <v/>
          </cell>
          <cell r="I48" t="str">
            <v/>
          </cell>
        </row>
        <row r="49">
          <cell r="B49" t="str">
            <v>12035-72-2</v>
          </cell>
          <cell r="C49" t="str">
            <v>Nickel subsulfide</v>
          </cell>
          <cell r="D49" t="str">
            <v>구분1A</v>
          </cell>
          <cell r="E49">
            <v>0.1</v>
          </cell>
          <cell r="F49" t="str">
            <v>구분2</v>
          </cell>
          <cell r="G49">
            <v>1</v>
          </cell>
          <cell r="H49" t="str">
            <v/>
          </cell>
          <cell r="I49" t="str">
            <v/>
          </cell>
        </row>
        <row r="50">
          <cell r="B50" t="str">
            <v>120-80-9</v>
          </cell>
          <cell r="C50" t="str">
            <v>Catechol</v>
          </cell>
          <cell r="D50" t="str">
            <v>구분2</v>
          </cell>
          <cell r="E50">
            <v>1</v>
          </cell>
          <cell r="F50" t="str">
            <v/>
          </cell>
          <cell r="G50" t="str">
            <v/>
          </cell>
          <cell r="H50" t="str">
            <v/>
          </cell>
          <cell r="I50" t="str">
            <v/>
          </cell>
        </row>
        <row r="51">
          <cell r="B51" t="str">
            <v>121-69-7</v>
          </cell>
          <cell r="C51" t="str">
            <v>Dimethylaniline</v>
          </cell>
          <cell r="D51" t="str">
            <v>구분2</v>
          </cell>
          <cell r="E51">
            <v>1</v>
          </cell>
          <cell r="F51" t="str">
            <v/>
          </cell>
          <cell r="G51" t="str">
            <v/>
          </cell>
          <cell r="H51" t="str">
            <v/>
          </cell>
          <cell r="I51" t="str">
            <v/>
          </cell>
        </row>
        <row r="52">
          <cell r="B52" t="str">
            <v>12179-04-3</v>
          </cell>
          <cell r="C52" t="str">
            <v>Borates tetrasodium salts(Pentahydrate)</v>
          </cell>
          <cell r="D52" t="str">
            <v/>
          </cell>
          <cell r="E52" t="str">
            <v/>
          </cell>
          <cell r="F52" t="str">
            <v/>
          </cell>
          <cell r="G52" t="str">
            <v/>
          </cell>
          <cell r="H52" t="str">
            <v>구분1B</v>
          </cell>
          <cell r="I52">
            <v>0.3</v>
          </cell>
        </row>
        <row r="53">
          <cell r="B53" t="str">
            <v>122-60-1</v>
          </cell>
          <cell r="C53" t="str">
            <v>Phenyl glycidyl ether(PGE)</v>
          </cell>
          <cell r="D53" t="str">
            <v>구분1B</v>
          </cell>
          <cell r="E53">
            <v>0.1</v>
          </cell>
          <cell r="F53" t="str">
            <v>구분2</v>
          </cell>
          <cell r="G53">
            <v>1</v>
          </cell>
          <cell r="H53" t="str">
            <v/>
          </cell>
          <cell r="I53" t="str">
            <v/>
          </cell>
        </row>
        <row r="54">
          <cell r="B54" t="str">
            <v>123-31-9</v>
          </cell>
          <cell r="C54" t="str">
            <v>Dihydroxybenzene</v>
          </cell>
          <cell r="D54" t="str">
            <v>구분2</v>
          </cell>
          <cell r="E54">
            <v>1</v>
          </cell>
          <cell r="F54" t="str">
            <v>구분2</v>
          </cell>
          <cell r="G54">
            <v>1</v>
          </cell>
          <cell r="H54" t="str">
            <v/>
          </cell>
          <cell r="I54" t="str">
            <v/>
          </cell>
        </row>
        <row r="55">
          <cell r="B55" t="str">
            <v>123-91-1</v>
          </cell>
          <cell r="C55" t="str">
            <v>1,4-Dioxane(Diethylene dioxide)</v>
          </cell>
          <cell r="D55" t="str">
            <v>구분2</v>
          </cell>
          <cell r="E55">
            <v>1</v>
          </cell>
          <cell r="F55" t="str">
            <v/>
          </cell>
          <cell r="G55" t="str">
            <v/>
          </cell>
          <cell r="H55" t="str">
            <v/>
          </cell>
          <cell r="I55" t="str">
            <v/>
          </cell>
        </row>
        <row r="56">
          <cell r="B56" t="str">
            <v>126-73-8</v>
          </cell>
          <cell r="C56" t="str">
            <v>Tributyl phosphate</v>
          </cell>
          <cell r="D56" t="str">
            <v>구분2</v>
          </cell>
          <cell r="E56">
            <v>1</v>
          </cell>
          <cell r="F56" t="str">
            <v/>
          </cell>
          <cell r="G56" t="str">
            <v/>
          </cell>
          <cell r="H56" t="str">
            <v/>
          </cell>
          <cell r="I56" t="str">
            <v/>
          </cell>
        </row>
        <row r="57">
          <cell r="B57" t="str">
            <v>126-99-8</v>
          </cell>
          <cell r="C57" t="str">
            <v>2-Chloro-1,3-butadiene</v>
          </cell>
          <cell r="D57" t="str">
            <v>구분1B</v>
          </cell>
          <cell r="E57">
            <v>0.1</v>
          </cell>
          <cell r="F57" t="str">
            <v/>
          </cell>
          <cell r="G57" t="str">
            <v/>
          </cell>
          <cell r="H57" t="str">
            <v/>
          </cell>
          <cell r="I57" t="str">
            <v/>
          </cell>
        </row>
        <row r="58">
          <cell r="B58" t="str">
            <v>127-18-4</v>
          </cell>
          <cell r="C58" t="str">
            <v>Perchloroethylene</v>
          </cell>
          <cell r="D58" t="str">
            <v>구분1B</v>
          </cell>
          <cell r="E58">
            <v>0.1</v>
          </cell>
          <cell r="F58" t="str">
            <v/>
          </cell>
          <cell r="G58" t="str">
            <v/>
          </cell>
          <cell r="H58" t="str">
            <v/>
          </cell>
          <cell r="I58" t="str">
            <v/>
          </cell>
        </row>
        <row r="59">
          <cell r="B59" t="str">
            <v>127-19-5</v>
          </cell>
          <cell r="C59" t="str">
            <v>N,N-Dimethyl acetamide</v>
          </cell>
          <cell r="D59" t="str">
            <v>구분1B</v>
          </cell>
          <cell r="E59">
            <v>0.1</v>
          </cell>
          <cell r="F59" t="str">
            <v/>
          </cell>
          <cell r="G59" t="str">
            <v/>
          </cell>
          <cell r="H59" t="str">
            <v/>
          </cell>
          <cell r="I59" t="str">
            <v/>
          </cell>
        </row>
        <row r="60">
          <cell r="B60" t="str">
            <v>1300-73-8</v>
          </cell>
          <cell r="C60" t="str">
            <v>Dimethylaminobenzene</v>
          </cell>
          <cell r="D60" t="str">
            <v>구분2</v>
          </cell>
          <cell r="E60">
            <v>1</v>
          </cell>
          <cell r="F60" t="str">
            <v/>
          </cell>
          <cell r="G60" t="str">
            <v/>
          </cell>
          <cell r="H60" t="str">
            <v/>
          </cell>
          <cell r="I60" t="str">
            <v/>
          </cell>
        </row>
        <row r="61">
          <cell r="B61" t="str">
            <v>1303-86-2</v>
          </cell>
          <cell r="C61" t="str">
            <v>Boron oxide</v>
          </cell>
          <cell r="D61" t="str">
            <v/>
          </cell>
          <cell r="E61" t="str">
            <v/>
          </cell>
          <cell r="F61" t="str">
            <v/>
          </cell>
          <cell r="G61" t="str">
            <v/>
          </cell>
          <cell r="H61" t="str">
            <v>구분1B</v>
          </cell>
          <cell r="I61">
            <v>0.3</v>
          </cell>
        </row>
        <row r="62">
          <cell r="B62" t="str">
            <v>1303-96-4</v>
          </cell>
          <cell r="C62" t="str">
            <v>Borates tetrasodium salts(Decahydrate)</v>
          </cell>
          <cell r="D62" t="str">
            <v/>
          </cell>
          <cell r="E62" t="str">
            <v/>
          </cell>
          <cell r="F62" t="str">
            <v/>
          </cell>
          <cell r="G62" t="str">
            <v/>
          </cell>
          <cell r="H62" t="str">
            <v>구분1B</v>
          </cell>
          <cell r="I62">
            <v>0.3</v>
          </cell>
        </row>
        <row r="63">
          <cell r="B63" t="str">
            <v>1309-64-4</v>
          </cell>
          <cell r="C63" t="str">
            <v>Antimony trioxide(Production)</v>
          </cell>
          <cell r="D63" t="str">
            <v>구분1B</v>
          </cell>
          <cell r="E63">
            <v>0.1</v>
          </cell>
          <cell r="F63" t="str">
            <v/>
          </cell>
          <cell r="G63" t="str">
            <v/>
          </cell>
          <cell r="H63" t="str">
            <v/>
          </cell>
          <cell r="I63" t="str">
            <v/>
          </cell>
          <cell r="J63" t="str">
            <v>제품</v>
          </cell>
        </row>
        <row r="64">
          <cell r="B64" t="str">
            <v>1314-62-1</v>
          </cell>
          <cell r="C64" t="str">
            <v>Vanadium pentoxide(Respirable fraction or fume)</v>
          </cell>
          <cell r="D64" t="str">
            <v>구분2</v>
          </cell>
          <cell r="E64">
            <v>1</v>
          </cell>
          <cell r="F64" t="str">
            <v>구분2</v>
          </cell>
          <cell r="G64">
            <v>1</v>
          </cell>
          <cell r="H64" t="str">
            <v>구분2</v>
          </cell>
          <cell r="I64">
            <v>3</v>
          </cell>
        </row>
        <row r="65">
          <cell r="B65" t="str">
            <v>1317-95-9</v>
          </cell>
          <cell r="C65" t="str">
            <v>Silica(Crystalline tripoli)(Respirable fraction)</v>
          </cell>
          <cell r="D65" t="str">
            <v>구분1A</v>
          </cell>
          <cell r="E65">
            <v>0.1</v>
          </cell>
          <cell r="F65" t="str">
            <v/>
          </cell>
          <cell r="G65" t="str">
            <v/>
          </cell>
          <cell r="H65" t="str">
            <v/>
          </cell>
          <cell r="I65" t="str">
            <v/>
          </cell>
        </row>
        <row r="66">
          <cell r="B66" t="str">
            <v>1330-43-4</v>
          </cell>
          <cell r="C66" t="str">
            <v>Borates tetrasodium salts(Anhydrous)</v>
          </cell>
          <cell r="D66" t="str">
            <v/>
          </cell>
          <cell r="E66" t="str">
            <v/>
          </cell>
          <cell r="F66" t="str">
            <v/>
          </cell>
          <cell r="G66" t="str">
            <v/>
          </cell>
          <cell r="H66" t="str">
            <v>구분1B</v>
          </cell>
          <cell r="I66">
            <v>0.3</v>
          </cell>
        </row>
        <row r="67">
          <cell r="B67" t="str">
            <v>133-06-2</v>
          </cell>
          <cell r="C67" t="str">
            <v>Captan</v>
          </cell>
          <cell r="D67" t="str">
            <v>구분2</v>
          </cell>
          <cell r="E67">
            <v>1</v>
          </cell>
          <cell r="F67" t="str">
            <v/>
          </cell>
          <cell r="G67" t="str">
            <v/>
          </cell>
          <cell r="H67" t="str">
            <v/>
          </cell>
          <cell r="I67" t="str">
            <v/>
          </cell>
        </row>
        <row r="68">
          <cell r="B68" t="str">
            <v>1333-86-4</v>
          </cell>
          <cell r="C68" t="str">
            <v>Carbon black</v>
          </cell>
          <cell r="D68" t="str">
            <v>구분2</v>
          </cell>
          <cell r="E68">
            <v>1</v>
          </cell>
          <cell r="F68" t="str">
            <v/>
          </cell>
          <cell r="G68" t="str">
            <v/>
          </cell>
          <cell r="H68" t="str">
            <v/>
          </cell>
          <cell r="I68" t="str">
            <v/>
          </cell>
        </row>
        <row r="69">
          <cell r="B69" t="str">
            <v>134-32-7</v>
          </cell>
          <cell r="C69" t="str">
            <v>α-Naphthyl amine</v>
          </cell>
          <cell r="D69" t="str">
            <v>구분2</v>
          </cell>
          <cell r="E69">
            <v>1</v>
          </cell>
          <cell r="F69" t="str">
            <v/>
          </cell>
          <cell r="G69" t="str">
            <v/>
          </cell>
          <cell r="H69" t="str">
            <v/>
          </cell>
          <cell r="I69" t="str">
            <v/>
          </cell>
        </row>
        <row r="70">
          <cell r="B70" t="str">
            <v>13463-39-3</v>
          </cell>
          <cell r="C70" t="str">
            <v>Nickel carbonyl, as Ni</v>
          </cell>
          <cell r="D70" t="str">
            <v>구분1A</v>
          </cell>
          <cell r="E70">
            <v>0.1</v>
          </cell>
          <cell r="F70" t="str">
            <v/>
          </cell>
          <cell r="G70" t="str">
            <v/>
          </cell>
          <cell r="H70" t="str">
            <v>구분1B</v>
          </cell>
          <cell r="I70">
            <v>0.3</v>
          </cell>
        </row>
        <row r="71">
          <cell r="B71" t="str">
            <v>13463-67-7</v>
          </cell>
          <cell r="C71" t="str">
            <v>Titanium dioxide</v>
          </cell>
          <cell r="D71" t="str">
            <v>구분2</v>
          </cell>
          <cell r="E71">
            <v>1</v>
          </cell>
          <cell r="F71" t="str">
            <v/>
          </cell>
          <cell r="G71" t="str">
            <v/>
          </cell>
          <cell r="H71" t="str">
            <v/>
          </cell>
          <cell r="I71" t="str">
            <v/>
          </cell>
        </row>
        <row r="72">
          <cell r="B72" t="str">
            <v>13530-65-9</v>
          </cell>
          <cell r="C72" t="str">
            <v>Zinc chromate, as Cr</v>
          </cell>
          <cell r="D72" t="str">
            <v>구분1A</v>
          </cell>
          <cell r="E72">
            <v>0.1</v>
          </cell>
          <cell r="F72" t="str">
            <v/>
          </cell>
          <cell r="G72" t="str">
            <v/>
          </cell>
          <cell r="H72" t="str">
            <v/>
          </cell>
          <cell r="I72" t="str">
            <v/>
          </cell>
        </row>
        <row r="73">
          <cell r="B73" t="str">
            <v>135-88-6</v>
          </cell>
          <cell r="C73" t="str">
            <v>N-Phenyl-β-naphthyl amine</v>
          </cell>
          <cell r="D73" t="str">
            <v>구분2</v>
          </cell>
          <cell r="E73">
            <v>1</v>
          </cell>
          <cell r="F73" t="str">
            <v/>
          </cell>
          <cell r="G73" t="str">
            <v/>
          </cell>
          <cell r="H73" t="str">
            <v/>
          </cell>
          <cell r="I73" t="str">
            <v/>
          </cell>
        </row>
        <row r="74">
          <cell r="B74" t="str">
            <v>140-88-5</v>
          </cell>
          <cell r="C74" t="str">
            <v>Ethyl acrylate</v>
          </cell>
          <cell r="D74" t="str">
            <v>구분2</v>
          </cell>
          <cell r="E74">
            <v>1</v>
          </cell>
          <cell r="F74" t="str">
            <v/>
          </cell>
          <cell r="G74" t="str">
            <v/>
          </cell>
          <cell r="H74" t="str">
            <v/>
          </cell>
          <cell r="I74" t="str">
            <v/>
          </cell>
        </row>
        <row r="75">
          <cell r="B75" t="str">
            <v>142-64-3</v>
          </cell>
          <cell r="C75" t="str">
            <v>Piperazine dihydrochloride</v>
          </cell>
          <cell r="D75" t="str">
            <v/>
          </cell>
          <cell r="E75" t="str">
            <v/>
          </cell>
          <cell r="F75" t="str">
            <v/>
          </cell>
          <cell r="G75" t="str">
            <v/>
          </cell>
          <cell r="H75" t="str">
            <v>구분2</v>
          </cell>
          <cell r="I75">
            <v>3</v>
          </cell>
        </row>
        <row r="76">
          <cell r="B76" t="str">
            <v>142-82-5</v>
          </cell>
          <cell r="C76" t="str">
            <v>Heptane</v>
          </cell>
          <cell r="D76" t="str">
            <v>구분2</v>
          </cell>
          <cell r="E76">
            <v>1</v>
          </cell>
          <cell r="F76" t="str">
            <v/>
          </cell>
          <cell r="G76" t="str">
            <v/>
          </cell>
          <cell r="H76" t="str">
            <v/>
          </cell>
          <cell r="I76" t="str">
            <v/>
          </cell>
        </row>
        <row r="77">
          <cell r="B77" t="str">
            <v>14464-46-1</v>
          </cell>
          <cell r="C77" t="str">
            <v>Silica(Crystalline cristobalite)(Respirable fraction)</v>
          </cell>
          <cell r="D77" t="str">
            <v>구분1A</v>
          </cell>
          <cell r="E77">
            <v>0.1</v>
          </cell>
          <cell r="F77" t="str">
            <v/>
          </cell>
          <cell r="G77" t="str">
            <v/>
          </cell>
          <cell r="H77" t="str">
            <v/>
          </cell>
          <cell r="I77" t="str">
            <v/>
          </cell>
        </row>
        <row r="78">
          <cell r="B78" t="str">
            <v>14808-60-7</v>
          </cell>
          <cell r="C78" t="str">
            <v>Silica(Crystalline quartz)(Respirable fraction)</v>
          </cell>
          <cell r="D78" t="str">
            <v>구분1A</v>
          </cell>
          <cell r="E78">
            <v>0.1</v>
          </cell>
          <cell r="F78" t="str">
            <v/>
          </cell>
          <cell r="G78" t="str">
            <v/>
          </cell>
          <cell r="H78" t="str">
            <v/>
          </cell>
          <cell r="I78" t="str">
            <v/>
          </cell>
        </row>
        <row r="79">
          <cell r="B79" t="str">
            <v>14977-61-8</v>
          </cell>
          <cell r="C79" t="str">
            <v>Chromyl chloride</v>
          </cell>
          <cell r="D79" t="str">
            <v>구분1A</v>
          </cell>
          <cell r="E79">
            <v>0.1</v>
          </cell>
          <cell r="F79" t="str">
            <v>구분1B</v>
          </cell>
          <cell r="G79">
            <v>0.1</v>
          </cell>
          <cell r="H79" t="str">
            <v/>
          </cell>
          <cell r="I79" t="str">
            <v/>
          </cell>
        </row>
        <row r="80">
          <cell r="B80" t="str">
            <v>151-56-4</v>
          </cell>
          <cell r="C80" t="str">
            <v>Ethylenimine</v>
          </cell>
          <cell r="D80" t="str">
            <v>구분1B</v>
          </cell>
          <cell r="E80">
            <v>0.1</v>
          </cell>
          <cell r="F80" t="str">
            <v>구분1B</v>
          </cell>
          <cell r="G80">
            <v>0.1</v>
          </cell>
          <cell r="H80" t="str">
            <v/>
          </cell>
          <cell r="I80" t="str">
            <v/>
          </cell>
        </row>
        <row r="81">
          <cell r="B81" t="str">
            <v>15468-32-3</v>
          </cell>
          <cell r="C81" t="str">
            <v>Silica(Crystalline tridymite)(Respirable fraction)</v>
          </cell>
          <cell r="D81" t="str">
            <v>구분1A</v>
          </cell>
          <cell r="E81">
            <v>0.1</v>
          </cell>
          <cell r="F81" t="str">
            <v/>
          </cell>
          <cell r="G81" t="str">
            <v/>
          </cell>
          <cell r="H81" t="str">
            <v/>
          </cell>
          <cell r="I81" t="str">
            <v/>
          </cell>
        </row>
        <row r="82">
          <cell r="B82" t="str">
            <v>1634-04-4</v>
          </cell>
          <cell r="C82" t="str">
            <v>Methyl tert-butyl ether(MTBE)</v>
          </cell>
          <cell r="D82" t="str">
            <v>구분2</v>
          </cell>
          <cell r="E82">
            <v>1</v>
          </cell>
          <cell r="F82" t="str">
            <v/>
          </cell>
          <cell r="G82" t="str">
            <v/>
          </cell>
          <cell r="H82" t="str">
            <v/>
          </cell>
          <cell r="I82" t="str">
            <v/>
          </cell>
        </row>
        <row r="83">
          <cell r="B83" t="str">
            <v>16812-54-7</v>
          </cell>
          <cell r="C83" t="str">
            <v>Nickel sulfide roasting(Fume &amp; dust, as Ni)</v>
          </cell>
          <cell r="D83" t="str">
            <v>구분1A</v>
          </cell>
          <cell r="E83">
            <v>0.1</v>
          </cell>
          <cell r="F83" t="str">
            <v>구분2</v>
          </cell>
          <cell r="G83">
            <v>1</v>
          </cell>
          <cell r="H83" t="str">
            <v/>
          </cell>
          <cell r="I83" t="str">
            <v/>
          </cell>
        </row>
        <row r="84">
          <cell r="B84" t="str">
            <v>17804-35-2</v>
          </cell>
          <cell r="C84" t="str">
            <v>Benomyl</v>
          </cell>
          <cell r="D84" t="str">
            <v>구분2</v>
          </cell>
          <cell r="E84">
            <v>1</v>
          </cell>
          <cell r="F84" t="str">
            <v>구분1B</v>
          </cell>
          <cell r="G84">
            <v>0.1</v>
          </cell>
          <cell r="H84" t="str">
            <v>구분1B</v>
          </cell>
          <cell r="I84">
            <v>0.3</v>
          </cell>
        </row>
        <row r="85">
          <cell r="B85" t="str">
            <v>18540-29-9</v>
          </cell>
          <cell r="C85" t="str">
            <v>Chromium(Ⅵ)compounds</v>
          </cell>
          <cell r="D85" t="str">
            <v>구분1A</v>
          </cell>
          <cell r="E85">
            <v>0.1</v>
          </cell>
          <cell r="F85" t="str">
            <v/>
          </cell>
          <cell r="G85" t="str">
            <v/>
          </cell>
          <cell r="H85" t="str">
            <v/>
          </cell>
          <cell r="I85" t="str">
            <v/>
          </cell>
        </row>
        <row r="86">
          <cell r="B86" t="str">
            <v>218-01-9</v>
          </cell>
          <cell r="C86" t="str">
            <v>Chrysene</v>
          </cell>
          <cell r="D86" t="str">
            <v>구분1B</v>
          </cell>
          <cell r="E86">
            <v>0.1</v>
          </cell>
          <cell r="F86" t="str">
            <v>구분2</v>
          </cell>
          <cell r="G86">
            <v>1</v>
          </cell>
          <cell r="H86" t="str">
            <v/>
          </cell>
          <cell r="I86" t="str">
            <v/>
          </cell>
        </row>
        <row r="87">
          <cell r="B87" t="str">
            <v>2425-06-1</v>
          </cell>
          <cell r="C87" t="str">
            <v>Captafol</v>
          </cell>
          <cell r="D87" t="str">
            <v>구분1B</v>
          </cell>
          <cell r="E87">
            <v>0.1</v>
          </cell>
          <cell r="F87" t="str">
            <v/>
          </cell>
          <cell r="G87" t="str">
            <v/>
          </cell>
          <cell r="H87" t="str">
            <v/>
          </cell>
          <cell r="I87" t="str">
            <v/>
          </cell>
        </row>
        <row r="88">
          <cell r="B88" t="str">
            <v>2426-08-6</v>
          </cell>
          <cell r="C88" t="str">
            <v>n-Butyl glycidyl ether(BGE)</v>
          </cell>
          <cell r="D88" t="str">
            <v>구분2</v>
          </cell>
          <cell r="E88">
            <v>1</v>
          </cell>
          <cell r="F88" t="str">
            <v>구분2</v>
          </cell>
          <cell r="G88">
            <v>1</v>
          </cell>
          <cell r="H88" t="str">
            <v/>
          </cell>
          <cell r="I88" t="str">
            <v/>
          </cell>
        </row>
        <row r="89">
          <cell r="B89" t="str">
            <v>25321-14-6</v>
          </cell>
          <cell r="C89" t="str">
            <v>Dinitrotoluene</v>
          </cell>
          <cell r="D89" t="str">
            <v>구분1B</v>
          </cell>
          <cell r="E89">
            <v>0.1</v>
          </cell>
          <cell r="F89" t="str">
            <v>구분2</v>
          </cell>
          <cell r="G89">
            <v>1</v>
          </cell>
          <cell r="H89" t="str">
            <v>구분2</v>
          </cell>
          <cell r="I89">
            <v>3</v>
          </cell>
        </row>
        <row r="90">
          <cell r="B90" t="str">
            <v>302-01-2</v>
          </cell>
          <cell r="C90" t="str">
            <v>Hydrazine</v>
          </cell>
          <cell r="D90" t="str">
            <v>구분1B</v>
          </cell>
          <cell r="E90">
            <v>0.1</v>
          </cell>
          <cell r="F90" t="str">
            <v/>
          </cell>
          <cell r="G90" t="str">
            <v/>
          </cell>
          <cell r="H90" t="str">
            <v/>
          </cell>
          <cell r="I90" t="str">
            <v/>
          </cell>
        </row>
        <row r="91">
          <cell r="B91" t="str">
            <v>309-00-2</v>
          </cell>
          <cell r="C91" t="str">
            <v>Aldrin</v>
          </cell>
          <cell r="D91" t="str">
            <v>구분2</v>
          </cell>
          <cell r="E91">
            <v>1</v>
          </cell>
          <cell r="F91" t="str">
            <v/>
          </cell>
          <cell r="G91" t="str">
            <v/>
          </cell>
          <cell r="H91" t="str">
            <v/>
          </cell>
          <cell r="I91" t="str">
            <v/>
          </cell>
        </row>
        <row r="92">
          <cell r="B92" t="str">
            <v>314-40-9</v>
          </cell>
          <cell r="C92" t="str">
            <v>Bromacil</v>
          </cell>
          <cell r="D92" t="str">
            <v>구분2</v>
          </cell>
          <cell r="E92">
            <v>1</v>
          </cell>
          <cell r="F92" t="str">
            <v/>
          </cell>
          <cell r="G92" t="str">
            <v/>
          </cell>
          <cell r="H92" t="str">
            <v/>
          </cell>
          <cell r="I92" t="str">
            <v/>
          </cell>
        </row>
        <row r="93">
          <cell r="B93" t="str">
            <v>330-54-1</v>
          </cell>
          <cell r="C93" t="str">
            <v>Diuron</v>
          </cell>
          <cell r="D93" t="str">
            <v>구분2</v>
          </cell>
          <cell r="E93">
            <v>1</v>
          </cell>
          <cell r="F93" t="str">
            <v/>
          </cell>
          <cell r="G93" t="str">
            <v/>
          </cell>
          <cell r="H93" t="str">
            <v/>
          </cell>
          <cell r="I93" t="str">
            <v/>
          </cell>
        </row>
        <row r="94">
          <cell r="B94" t="str">
            <v>334-88-3</v>
          </cell>
          <cell r="C94" t="str">
            <v>Diazomethane</v>
          </cell>
          <cell r="D94" t="str">
            <v>구분1B</v>
          </cell>
          <cell r="E94">
            <v>0.1</v>
          </cell>
          <cell r="F94" t="str">
            <v/>
          </cell>
          <cell r="G94" t="str">
            <v/>
          </cell>
          <cell r="H94" t="str">
            <v/>
          </cell>
          <cell r="I94" t="str">
            <v/>
          </cell>
        </row>
        <row r="95">
          <cell r="B95" t="str">
            <v>409-21-2</v>
          </cell>
          <cell r="C95" t="str">
            <v>Silicon carbide</v>
          </cell>
          <cell r="D95" t="str">
            <v>구분1B</v>
          </cell>
          <cell r="E95">
            <v>0.1</v>
          </cell>
          <cell r="F95" t="str">
            <v/>
          </cell>
          <cell r="G95" t="str">
            <v/>
          </cell>
          <cell r="H95" t="str">
            <v/>
          </cell>
          <cell r="I95" t="str">
            <v/>
          </cell>
          <cell r="J95" t="str">
            <v>[섬유상(수염형태 결정 포함) 물질에 한정함]</v>
          </cell>
        </row>
        <row r="96">
          <cell r="B96" t="str">
            <v>4170-30-3</v>
          </cell>
          <cell r="C96" t="str">
            <v>Crotonaldehyde</v>
          </cell>
          <cell r="D96" t="str">
            <v>구분2</v>
          </cell>
          <cell r="E96">
            <v>1</v>
          </cell>
          <cell r="F96" t="str">
            <v>구분2</v>
          </cell>
          <cell r="G96">
            <v>1</v>
          </cell>
          <cell r="H96" t="str">
            <v/>
          </cell>
          <cell r="I96" t="str">
            <v/>
          </cell>
        </row>
        <row r="97">
          <cell r="B97" t="str">
            <v>50-00-0</v>
          </cell>
          <cell r="C97" t="str">
            <v>Formaldehyde</v>
          </cell>
          <cell r="D97" t="str">
            <v>구분1A</v>
          </cell>
          <cell r="E97">
            <v>0.1</v>
          </cell>
          <cell r="F97" t="str">
            <v/>
          </cell>
          <cell r="G97" t="str">
            <v/>
          </cell>
          <cell r="H97" t="str">
            <v/>
          </cell>
          <cell r="I97" t="str">
            <v/>
          </cell>
        </row>
        <row r="98">
          <cell r="B98" t="str">
            <v>50-29-3</v>
          </cell>
          <cell r="C98" t="str">
            <v>Dichlorodiphenyltrichloroethane(D.D.T)</v>
          </cell>
          <cell r="D98" t="str">
            <v>구분2</v>
          </cell>
          <cell r="E98">
            <v>1</v>
          </cell>
          <cell r="F98" t="str">
            <v/>
          </cell>
          <cell r="G98" t="str">
            <v/>
          </cell>
          <cell r="H98" t="str">
            <v/>
          </cell>
          <cell r="I98" t="str">
            <v/>
          </cell>
        </row>
        <row r="99">
          <cell r="B99" t="str">
            <v>50-32-8</v>
          </cell>
          <cell r="C99" t="str">
            <v>Benzo(a) pyrene</v>
          </cell>
          <cell r="D99" t="str">
            <v>구분1A</v>
          </cell>
          <cell r="E99">
            <v>0.1</v>
          </cell>
          <cell r="F99" t="str">
            <v>구분1B</v>
          </cell>
          <cell r="G99">
            <v>0.1</v>
          </cell>
          <cell r="H99" t="str">
            <v>구분1B</v>
          </cell>
          <cell r="I99">
            <v>0.3</v>
          </cell>
        </row>
        <row r="100">
          <cell r="B100" t="str">
            <v>509-14-8</v>
          </cell>
          <cell r="C100" t="str">
            <v>Tetranitromethane</v>
          </cell>
          <cell r="D100" t="str">
            <v>구분2</v>
          </cell>
          <cell r="E100">
            <v>1</v>
          </cell>
          <cell r="F100" t="str">
            <v/>
          </cell>
          <cell r="G100" t="str">
            <v/>
          </cell>
          <cell r="H100" t="str">
            <v/>
          </cell>
          <cell r="I100" t="str">
            <v/>
          </cell>
        </row>
        <row r="101">
          <cell r="B101" t="str">
            <v>534-52-1</v>
          </cell>
          <cell r="C101" t="str">
            <v>Dinitro-o-cresol</v>
          </cell>
          <cell r="D101" t="str">
            <v/>
          </cell>
          <cell r="E101" t="str">
            <v/>
          </cell>
          <cell r="F101" t="str">
            <v>구분2</v>
          </cell>
          <cell r="G101">
            <v>1</v>
          </cell>
          <cell r="H101" t="str">
            <v/>
          </cell>
          <cell r="I101" t="str">
            <v/>
          </cell>
        </row>
        <row r="102">
          <cell r="B102" t="str">
            <v>542-75-6</v>
          </cell>
          <cell r="C102" t="str">
            <v>Dichloropropene</v>
          </cell>
          <cell r="D102" t="str">
            <v>구분2</v>
          </cell>
          <cell r="E102">
            <v>1</v>
          </cell>
          <cell r="F102" t="str">
            <v/>
          </cell>
          <cell r="G102" t="str">
            <v/>
          </cell>
          <cell r="H102" t="str">
            <v/>
          </cell>
          <cell r="I102" t="str">
            <v/>
          </cell>
        </row>
        <row r="103">
          <cell r="B103" t="str">
            <v>542-88-1</v>
          </cell>
          <cell r="C103" t="str">
            <v>bis-(Chloromethyl)ether</v>
          </cell>
          <cell r="D103" t="str">
            <v>구분1A</v>
          </cell>
          <cell r="E103">
            <v>0.1</v>
          </cell>
          <cell r="F103" t="str">
            <v/>
          </cell>
          <cell r="G103" t="str">
            <v/>
          </cell>
          <cell r="H103" t="str">
            <v/>
          </cell>
          <cell r="I103" t="str">
            <v/>
          </cell>
        </row>
        <row r="104">
          <cell r="B104" t="str">
            <v>55-38-9</v>
          </cell>
          <cell r="C104" t="str">
            <v>Fenthion</v>
          </cell>
          <cell r="D104" t="str">
            <v/>
          </cell>
          <cell r="E104" t="str">
            <v/>
          </cell>
          <cell r="F104" t="str">
            <v>구분2</v>
          </cell>
          <cell r="G104">
            <v>1</v>
          </cell>
          <cell r="H104" t="str">
            <v/>
          </cell>
          <cell r="I104" t="str">
            <v/>
          </cell>
        </row>
        <row r="105">
          <cell r="B105" t="str">
            <v>556-52-5</v>
          </cell>
          <cell r="C105" t="str">
            <v>2,3-Epoxy-1-propanol</v>
          </cell>
          <cell r="D105" t="str">
            <v>구분1B</v>
          </cell>
          <cell r="E105">
            <v>0.1</v>
          </cell>
          <cell r="F105" t="str">
            <v>구분2</v>
          </cell>
          <cell r="G105">
            <v>1</v>
          </cell>
          <cell r="H105" t="str">
            <v>구분1B</v>
          </cell>
          <cell r="I105">
            <v>0.3</v>
          </cell>
        </row>
        <row r="106">
          <cell r="B106" t="str">
            <v>56-23-5</v>
          </cell>
          <cell r="C106" t="str">
            <v>Carbon tetrachloride</v>
          </cell>
          <cell r="D106" t="str">
            <v>구분1B</v>
          </cell>
          <cell r="E106">
            <v>0.1</v>
          </cell>
          <cell r="F106" t="str">
            <v/>
          </cell>
          <cell r="G106" t="str">
            <v/>
          </cell>
          <cell r="H106" t="str">
            <v/>
          </cell>
          <cell r="I106" t="str">
            <v/>
          </cell>
        </row>
        <row r="107">
          <cell r="B107" t="str">
            <v>57-14-7</v>
          </cell>
          <cell r="C107" t="str">
            <v>1,1-Dimethylhydrazine</v>
          </cell>
          <cell r="D107" t="str">
            <v>구분1B</v>
          </cell>
          <cell r="E107">
            <v>0.1</v>
          </cell>
          <cell r="F107" t="str">
            <v/>
          </cell>
          <cell r="G107" t="str">
            <v/>
          </cell>
          <cell r="H107" t="str">
            <v/>
          </cell>
          <cell r="I107" t="str">
            <v/>
          </cell>
        </row>
        <row r="108">
          <cell r="B108" t="str">
            <v>57-57-8</v>
          </cell>
          <cell r="C108" t="str">
            <v>β-Propiolactone</v>
          </cell>
          <cell r="D108" t="str">
            <v>구분1B</v>
          </cell>
          <cell r="E108">
            <v>0.1</v>
          </cell>
          <cell r="F108" t="str">
            <v/>
          </cell>
          <cell r="G108" t="str">
            <v/>
          </cell>
          <cell r="H108" t="str">
            <v/>
          </cell>
          <cell r="I108" t="str">
            <v/>
          </cell>
        </row>
        <row r="109">
          <cell r="B109" t="str">
            <v>57-74-9</v>
          </cell>
          <cell r="C109" t="str">
            <v>Chlordane</v>
          </cell>
          <cell r="D109" t="str">
            <v>구분2</v>
          </cell>
          <cell r="E109">
            <v>1</v>
          </cell>
          <cell r="F109" t="str">
            <v/>
          </cell>
          <cell r="G109" t="str">
            <v/>
          </cell>
          <cell r="H109" t="str">
            <v/>
          </cell>
          <cell r="I109" t="str">
            <v/>
          </cell>
        </row>
        <row r="110">
          <cell r="B110" t="str">
            <v>584-84-9</v>
          </cell>
          <cell r="C110" t="str">
            <v>Toluene-2,4-diisocyanate(TDI)</v>
          </cell>
          <cell r="D110" t="str">
            <v>구분2</v>
          </cell>
          <cell r="E110">
            <v>1</v>
          </cell>
          <cell r="F110" t="str">
            <v/>
          </cell>
          <cell r="G110" t="str">
            <v/>
          </cell>
          <cell r="H110" t="str">
            <v/>
          </cell>
          <cell r="I110" t="str">
            <v/>
          </cell>
        </row>
        <row r="111">
          <cell r="B111" t="str">
            <v>58-89-9</v>
          </cell>
          <cell r="C111" t="str">
            <v>Lindane</v>
          </cell>
          <cell r="D111" t="str">
            <v>구분2</v>
          </cell>
          <cell r="E111">
            <v>1</v>
          </cell>
          <cell r="F111" t="str">
            <v/>
          </cell>
          <cell r="G111" t="str">
            <v/>
          </cell>
          <cell r="H111" t="str">
            <v/>
          </cell>
          <cell r="I111" t="str">
            <v/>
          </cell>
          <cell r="J111" t="str">
            <v>*수유독성</v>
          </cell>
        </row>
        <row r="112">
          <cell r="B112" t="str">
            <v>591-78-6</v>
          </cell>
          <cell r="C112" t="str">
            <v>2-Hexanone</v>
          </cell>
          <cell r="D112" t="str">
            <v/>
          </cell>
          <cell r="E112" t="str">
            <v/>
          </cell>
          <cell r="F112" t="str">
            <v/>
          </cell>
          <cell r="G112" t="str">
            <v/>
          </cell>
          <cell r="H112" t="str">
            <v>구분2</v>
          </cell>
          <cell r="I112">
            <v>3</v>
          </cell>
        </row>
        <row r="113">
          <cell r="B113" t="str">
            <v>593-60-2</v>
          </cell>
          <cell r="C113" t="str">
            <v>Vinyl bromide</v>
          </cell>
          <cell r="D113" t="str">
            <v>구분1B</v>
          </cell>
          <cell r="E113">
            <v>0.1</v>
          </cell>
          <cell r="F113" t="str">
            <v/>
          </cell>
          <cell r="G113" t="str">
            <v/>
          </cell>
          <cell r="H113" t="str">
            <v/>
          </cell>
          <cell r="I113" t="str">
            <v/>
          </cell>
        </row>
        <row r="114">
          <cell r="B114" t="str">
            <v>60-34-4</v>
          </cell>
          <cell r="C114" t="str">
            <v>Methyl hydrazine</v>
          </cell>
          <cell r="D114" t="str">
            <v>구분2</v>
          </cell>
          <cell r="E114">
            <v>1</v>
          </cell>
          <cell r="F114" t="str">
            <v/>
          </cell>
          <cell r="G114" t="str">
            <v/>
          </cell>
          <cell r="H114" t="str">
            <v/>
          </cell>
          <cell r="I114" t="str">
            <v/>
          </cell>
        </row>
        <row r="115">
          <cell r="B115" t="str">
            <v>60-57-1</v>
          </cell>
          <cell r="C115" t="str">
            <v>Dieldrin</v>
          </cell>
          <cell r="D115" t="str">
            <v>구분2</v>
          </cell>
          <cell r="E115">
            <v>1</v>
          </cell>
          <cell r="F115" t="str">
            <v/>
          </cell>
          <cell r="G115" t="str">
            <v/>
          </cell>
          <cell r="H115" t="str">
            <v/>
          </cell>
          <cell r="I115" t="str">
            <v/>
          </cell>
        </row>
        <row r="116">
          <cell r="B116" t="str">
            <v>61-82-5</v>
          </cell>
          <cell r="C116" t="str">
            <v>3-Amino-1,2,4-triazole(or Amitrole)</v>
          </cell>
          <cell r="D116" t="str">
            <v>구분2</v>
          </cell>
          <cell r="E116">
            <v>1</v>
          </cell>
          <cell r="F116" t="str">
            <v/>
          </cell>
          <cell r="G116" t="str">
            <v/>
          </cell>
          <cell r="H116" t="str">
            <v>구분2</v>
          </cell>
          <cell r="I116">
            <v>3</v>
          </cell>
        </row>
        <row r="117">
          <cell r="B117" t="str">
            <v>624-83-9</v>
          </cell>
          <cell r="C117" t="str">
            <v>Methyl isocyanate</v>
          </cell>
          <cell r="D117" t="str">
            <v/>
          </cell>
          <cell r="E117" t="str">
            <v/>
          </cell>
          <cell r="F117" t="str">
            <v/>
          </cell>
          <cell r="G117" t="str">
            <v/>
          </cell>
          <cell r="H117" t="str">
            <v>구분2</v>
          </cell>
          <cell r="I117">
            <v>3</v>
          </cell>
        </row>
        <row r="118">
          <cell r="B118" t="str">
            <v>62-53-3</v>
          </cell>
          <cell r="C118" t="str">
            <v>Aniline &amp; homologues</v>
          </cell>
          <cell r="D118" t="str">
            <v>구분2</v>
          </cell>
          <cell r="E118">
            <v>1</v>
          </cell>
          <cell r="F118" t="str">
            <v>구분2</v>
          </cell>
          <cell r="G118">
            <v>1</v>
          </cell>
          <cell r="H118" t="str">
            <v/>
          </cell>
          <cell r="I118" t="str">
            <v/>
          </cell>
        </row>
        <row r="119">
          <cell r="B119" t="str">
            <v>62-75-9</v>
          </cell>
          <cell r="C119" t="str">
            <v>Dimethylnitrosoamine</v>
          </cell>
          <cell r="D119" t="str">
            <v>구분1B</v>
          </cell>
          <cell r="E119">
            <v>0.1</v>
          </cell>
          <cell r="F119" t="str">
            <v/>
          </cell>
          <cell r="G119" t="str">
            <v/>
          </cell>
          <cell r="H119" t="str">
            <v/>
          </cell>
          <cell r="I119" t="str">
            <v/>
          </cell>
        </row>
        <row r="120">
          <cell r="B120" t="str">
            <v>630-08-0</v>
          </cell>
          <cell r="C120" t="str">
            <v>Carbon monoxide</v>
          </cell>
          <cell r="D120" t="str">
            <v/>
          </cell>
          <cell r="E120" t="str">
            <v/>
          </cell>
          <cell r="F120" t="str">
            <v/>
          </cell>
          <cell r="G120" t="str">
            <v/>
          </cell>
          <cell r="H120" t="str">
            <v>구분1A</v>
          </cell>
          <cell r="I120">
            <v>0.3</v>
          </cell>
        </row>
        <row r="121">
          <cell r="B121" t="str">
            <v>63-25-2</v>
          </cell>
          <cell r="C121" t="str">
            <v>Carbaryl</v>
          </cell>
          <cell r="D121" t="str">
            <v>구분2</v>
          </cell>
          <cell r="E121">
            <v>1</v>
          </cell>
          <cell r="F121" t="str">
            <v/>
          </cell>
          <cell r="G121" t="str">
            <v/>
          </cell>
          <cell r="H121" t="str">
            <v/>
          </cell>
          <cell r="I121" t="str">
            <v/>
          </cell>
        </row>
        <row r="122">
          <cell r="B122" t="str">
            <v>64-17-5</v>
          </cell>
          <cell r="C122" t="str">
            <v>Ethanol</v>
          </cell>
          <cell r="D122" t="str">
            <v/>
          </cell>
          <cell r="E122" t="str">
            <v/>
          </cell>
          <cell r="F122" t="str">
            <v/>
          </cell>
          <cell r="G122" t="str">
            <v/>
          </cell>
          <cell r="H122" t="str">
            <v/>
          </cell>
          <cell r="I122" t="str">
            <v/>
          </cell>
          <cell r="J122" t="str">
            <v>발암성1A(알코올 음주에 한정함)</v>
          </cell>
        </row>
        <row r="123">
          <cell r="B123" t="str">
            <v>65996-93-2</v>
          </cell>
          <cell r="C123" t="str">
            <v>Coal tar pitch volatiles(Benzene solubles)</v>
          </cell>
          <cell r="D123" t="str">
            <v>구분1A</v>
          </cell>
          <cell r="E123">
            <v>0.1</v>
          </cell>
          <cell r="F123" t="str">
            <v/>
          </cell>
          <cell r="G123" t="str">
            <v/>
          </cell>
          <cell r="H123" t="str">
            <v/>
          </cell>
          <cell r="I123" t="str">
            <v/>
          </cell>
        </row>
        <row r="124">
          <cell r="B124" t="str">
            <v>67-66-3</v>
          </cell>
          <cell r="C124" t="str">
            <v>Chloroform</v>
          </cell>
          <cell r="D124" t="str">
            <v>구분2</v>
          </cell>
          <cell r="E124">
            <v>1</v>
          </cell>
          <cell r="F124" t="str">
            <v/>
          </cell>
          <cell r="G124" t="str">
            <v/>
          </cell>
          <cell r="H124" t="str">
            <v/>
          </cell>
          <cell r="I124" t="str">
            <v/>
          </cell>
        </row>
        <row r="125">
          <cell r="B125" t="str">
            <v>67-72-1</v>
          </cell>
          <cell r="C125" t="str">
            <v>Hexachloroethane</v>
          </cell>
          <cell r="D125" t="str">
            <v>구분2</v>
          </cell>
          <cell r="E125">
            <v>1</v>
          </cell>
          <cell r="F125" t="str">
            <v/>
          </cell>
          <cell r="G125" t="str">
            <v/>
          </cell>
          <cell r="H125" t="str">
            <v/>
          </cell>
          <cell r="I125" t="str">
            <v/>
          </cell>
        </row>
        <row r="126">
          <cell r="B126" t="str">
            <v>680-31-9</v>
          </cell>
          <cell r="C126" t="str">
            <v>Hexamethyl phosphoramide</v>
          </cell>
          <cell r="D126" t="str">
            <v>구분1B</v>
          </cell>
          <cell r="E126">
            <v>0.1</v>
          </cell>
          <cell r="F126" t="str">
            <v>구분1B</v>
          </cell>
          <cell r="G126">
            <v>0.1</v>
          </cell>
          <cell r="H126" t="str">
            <v/>
          </cell>
          <cell r="I126" t="str">
            <v/>
          </cell>
        </row>
        <row r="127">
          <cell r="B127" t="str">
            <v>68-12-2</v>
          </cell>
          <cell r="C127" t="str">
            <v>Dimethylformamide</v>
          </cell>
          <cell r="D127" t="str">
            <v/>
          </cell>
          <cell r="E127" t="str">
            <v/>
          </cell>
          <cell r="F127" t="str">
            <v/>
          </cell>
          <cell r="G127" t="str">
            <v/>
          </cell>
          <cell r="H127" t="str">
            <v>구분1B</v>
          </cell>
          <cell r="I127">
            <v>0.3</v>
          </cell>
        </row>
        <row r="128">
          <cell r="B128" t="str">
            <v>68476-85-7</v>
          </cell>
          <cell r="C128" t="str">
            <v>L.P.G(Liquified petroleum gas)</v>
          </cell>
          <cell r="D128" t="str">
            <v>구분1A</v>
          </cell>
          <cell r="E128">
            <v>0.1</v>
          </cell>
          <cell r="F128" t="str">
            <v>구분1B</v>
          </cell>
          <cell r="G128">
            <v>0.1</v>
          </cell>
          <cell r="H128" t="str">
            <v/>
          </cell>
          <cell r="I128" t="str">
            <v/>
          </cell>
          <cell r="J128" t="str">
            <v>(부타디엔 0.1%이상인 경우에 한정함)</v>
          </cell>
        </row>
        <row r="129">
          <cell r="B129" t="str">
            <v>6923-22-4</v>
          </cell>
          <cell r="C129" t="str">
            <v>Monocrotophos</v>
          </cell>
          <cell r="D129" t="str">
            <v/>
          </cell>
          <cell r="E129" t="str">
            <v/>
          </cell>
          <cell r="F129" t="str">
            <v>구분2</v>
          </cell>
          <cell r="G129">
            <v>1</v>
          </cell>
          <cell r="H129" t="str">
            <v/>
          </cell>
          <cell r="I129" t="str">
            <v/>
          </cell>
        </row>
        <row r="130">
          <cell r="B130" t="str">
            <v>71-43-2</v>
          </cell>
          <cell r="C130" t="str">
            <v>Benzene</v>
          </cell>
          <cell r="D130" t="str">
            <v>구분1A</v>
          </cell>
          <cell r="E130">
            <v>0.1</v>
          </cell>
          <cell r="F130" t="str">
            <v>구분1B</v>
          </cell>
          <cell r="G130">
            <v>0.1</v>
          </cell>
          <cell r="H130" t="str">
            <v/>
          </cell>
          <cell r="I130" t="str">
            <v/>
          </cell>
        </row>
        <row r="131">
          <cell r="B131" t="str">
            <v>7439-92-1</v>
          </cell>
          <cell r="C131" t="str">
            <v>Lead and Inorganic compounds, as Pb</v>
          </cell>
          <cell r="D131" t="str">
            <v>구분1B</v>
          </cell>
          <cell r="E131">
            <v>0.1</v>
          </cell>
          <cell r="F131" t="str">
            <v/>
          </cell>
          <cell r="G131" t="str">
            <v/>
          </cell>
          <cell r="H131" t="str">
            <v>구분1A</v>
          </cell>
          <cell r="I131">
            <v>0.3</v>
          </cell>
          <cell r="J131" t="str">
            <v>(납(금속)의 경우 발암성 2)</v>
          </cell>
        </row>
        <row r="132">
          <cell r="B132" t="str">
            <v>7439-97-6</v>
          </cell>
          <cell r="C132" t="str">
            <v>Mercury(All forms)</v>
          </cell>
          <cell r="D132" t="str">
            <v/>
          </cell>
          <cell r="E132" t="str">
            <v/>
          </cell>
          <cell r="F132" t="str">
            <v/>
          </cell>
          <cell r="G132" t="str">
            <v/>
          </cell>
          <cell r="H132" t="str">
            <v>구분1B</v>
          </cell>
          <cell r="I132">
            <v>0.3</v>
          </cell>
          <cell r="J132" t="str">
            <v>(아릴 및 알킬 화합물 제외)</v>
          </cell>
        </row>
        <row r="133">
          <cell r="B133" t="str">
            <v>7439-98-7</v>
          </cell>
          <cell r="C133" t="str">
            <v>Molybdeunum</v>
          </cell>
          <cell r="D133" t="str">
            <v>구분2</v>
          </cell>
          <cell r="E133">
            <v>1</v>
          </cell>
          <cell r="F133" t="str">
            <v/>
          </cell>
          <cell r="G133" t="str">
            <v/>
          </cell>
          <cell r="H133" t="str">
            <v/>
          </cell>
          <cell r="I133" t="str">
            <v/>
          </cell>
          <cell r="J133" t="str">
            <v>몰리브덴(수용성화합물)</v>
          </cell>
        </row>
        <row r="134">
          <cell r="B134" t="str">
            <v>7440-02-0</v>
          </cell>
          <cell r="C134" t="str">
            <v>Nickel</v>
          </cell>
          <cell r="D134" t="str">
            <v>구분1A</v>
          </cell>
          <cell r="E134">
            <v>0.1</v>
          </cell>
          <cell r="F134" t="str">
            <v/>
          </cell>
          <cell r="G134" t="str">
            <v/>
          </cell>
          <cell r="H134" t="str">
            <v/>
          </cell>
          <cell r="I134" t="str">
            <v/>
          </cell>
          <cell r="J134" t="str">
            <v>니켈(금속) 발암성 2</v>
          </cell>
        </row>
        <row r="135">
          <cell r="B135" t="str">
            <v>7440-38-2</v>
          </cell>
          <cell r="C135" t="str">
            <v>Arsenic &amp; inorganic compounds, as As</v>
          </cell>
          <cell r="D135" t="str">
            <v>구분1A</v>
          </cell>
          <cell r="E135">
            <v>0.1</v>
          </cell>
          <cell r="F135" t="str">
            <v/>
          </cell>
          <cell r="G135" t="str">
            <v/>
          </cell>
          <cell r="H135" t="str">
            <v/>
          </cell>
          <cell r="I135" t="str">
            <v/>
          </cell>
        </row>
        <row r="136">
          <cell r="B136" t="str">
            <v>7440-41-7</v>
          </cell>
          <cell r="C136" t="str">
            <v>Beryllium &amp; Compounds</v>
          </cell>
          <cell r="D136" t="str">
            <v>구분1A</v>
          </cell>
          <cell r="E136">
            <v>0.1</v>
          </cell>
          <cell r="F136" t="str">
            <v/>
          </cell>
          <cell r="G136" t="str">
            <v/>
          </cell>
          <cell r="H136" t="str">
            <v/>
          </cell>
          <cell r="I136" t="str">
            <v/>
          </cell>
        </row>
        <row r="137">
          <cell r="B137" t="str">
            <v>7440-43-9</v>
          </cell>
          <cell r="C137" t="str">
            <v>Cadmium and compounds, as Cd(Respirable fraction)</v>
          </cell>
          <cell r="D137" t="str">
            <v>구분1A</v>
          </cell>
          <cell r="E137">
            <v>0.1</v>
          </cell>
          <cell r="F137" t="str">
            <v>구분2</v>
          </cell>
          <cell r="G137">
            <v>1</v>
          </cell>
          <cell r="H137" t="str">
            <v>구분2</v>
          </cell>
          <cell r="I137">
            <v>3</v>
          </cell>
        </row>
        <row r="138">
          <cell r="B138" t="str">
            <v>7440-47-3</v>
          </cell>
          <cell r="C138" t="str">
            <v>Chromite ore processing(Chromate), as Cr</v>
          </cell>
          <cell r="D138" t="str">
            <v>구분1A</v>
          </cell>
          <cell r="E138">
            <v>0.1</v>
          </cell>
          <cell r="F138" t="str">
            <v/>
          </cell>
          <cell r="G138" t="str">
            <v/>
          </cell>
          <cell r="H138" t="str">
            <v/>
          </cell>
          <cell r="I138" t="str">
            <v/>
          </cell>
        </row>
        <row r="139">
          <cell r="B139" t="str">
            <v>7440-48-4</v>
          </cell>
          <cell r="C139" t="str">
            <v>Cobalt(Metal dust &amp; fume)</v>
          </cell>
          <cell r="D139" t="str">
            <v>구분2</v>
          </cell>
          <cell r="E139">
            <v>1</v>
          </cell>
          <cell r="F139" t="str">
            <v/>
          </cell>
          <cell r="G139" t="str">
            <v/>
          </cell>
          <cell r="H139" t="str">
            <v/>
          </cell>
          <cell r="I139" t="str">
            <v/>
          </cell>
        </row>
        <row r="140">
          <cell r="B140" t="str">
            <v>7440-61-1</v>
          </cell>
          <cell r="C140" t="str">
            <v>Uranium(Soluble &amp; insoluble compounds, as U)</v>
          </cell>
          <cell r="D140" t="str">
            <v>구분1A</v>
          </cell>
          <cell r="E140">
            <v>0.1</v>
          </cell>
          <cell r="F140" t="str">
            <v/>
          </cell>
          <cell r="G140" t="str">
            <v/>
          </cell>
          <cell r="H140" t="str">
            <v/>
          </cell>
          <cell r="I140" t="str">
            <v/>
          </cell>
        </row>
        <row r="141">
          <cell r="B141" t="str">
            <v>74-83-9</v>
          </cell>
          <cell r="C141" t="str">
            <v>Methyl bromide</v>
          </cell>
          <cell r="D141" t="str">
            <v/>
          </cell>
          <cell r="E141" t="str">
            <v/>
          </cell>
          <cell r="F141" t="str">
            <v>구분2</v>
          </cell>
          <cell r="G141">
            <v>1</v>
          </cell>
          <cell r="H141" t="str">
            <v/>
          </cell>
          <cell r="I141" t="str">
            <v/>
          </cell>
        </row>
        <row r="142">
          <cell r="B142" t="str">
            <v>74-87-3</v>
          </cell>
          <cell r="C142" t="str">
            <v>Methyl chloride</v>
          </cell>
          <cell r="D142" t="str">
            <v>구분2</v>
          </cell>
          <cell r="E142">
            <v>1</v>
          </cell>
          <cell r="F142" t="str">
            <v/>
          </cell>
          <cell r="G142" t="str">
            <v/>
          </cell>
          <cell r="H142" t="str">
            <v/>
          </cell>
          <cell r="I142" t="str">
            <v/>
          </cell>
        </row>
        <row r="143">
          <cell r="B143" t="str">
            <v>74-88-4</v>
          </cell>
          <cell r="C143" t="str">
            <v>Methyl iodide</v>
          </cell>
          <cell r="D143" t="str">
            <v>구분2</v>
          </cell>
          <cell r="E143">
            <v>1</v>
          </cell>
          <cell r="F143" t="str">
            <v/>
          </cell>
          <cell r="G143" t="str">
            <v/>
          </cell>
          <cell r="H143" t="str">
            <v/>
          </cell>
          <cell r="I143" t="str">
            <v/>
          </cell>
        </row>
        <row r="144">
          <cell r="B144" t="str">
            <v>74-96-4</v>
          </cell>
          <cell r="C144" t="str">
            <v>Ethyl bromide</v>
          </cell>
          <cell r="D144" t="str">
            <v>구분2</v>
          </cell>
          <cell r="E144">
            <v>1</v>
          </cell>
          <cell r="F144" t="str">
            <v/>
          </cell>
          <cell r="G144" t="str">
            <v/>
          </cell>
          <cell r="H144" t="str">
            <v/>
          </cell>
          <cell r="I144" t="str">
            <v/>
          </cell>
        </row>
        <row r="145">
          <cell r="B145" t="str">
            <v>75-00-3</v>
          </cell>
          <cell r="C145" t="str">
            <v>Ethyl chloride</v>
          </cell>
          <cell r="D145" t="str">
            <v>구분2</v>
          </cell>
          <cell r="E145">
            <v>1</v>
          </cell>
          <cell r="F145" t="str">
            <v/>
          </cell>
          <cell r="G145" t="str">
            <v/>
          </cell>
          <cell r="H145" t="str">
            <v/>
          </cell>
          <cell r="I145" t="str">
            <v/>
          </cell>
        </row>
        <row r="146">
          <cell r="B146" t="str">
            <v>75-01-4</v>
          </cell>
          <cell r="C146" t="str">
            <v>Chloroethylene</v>
          </cell>
          <cell r="D146" t="str">
            <v>구분1A</v>
          </cell>
          <cell r="E146">
            <v>0.1</v>
          </cell>
          <cell r="F146" t="str">
            <v/>
          </cell>
          <cell r="G146" t="str">
            <v/>
          </cell>
          <cell r="H146" t="str">
            <v/>
          </cell>
          <cell r="I146" t="str">
            <v/>
          </cell>
        </row>
        <row r="147">
          <cell r="B147" t="str">
            <v>75-07-0</v>
          </cell>
          <cell r="C147" t="str">
            <v>Acetaldehyde</v>
          </cell>
          <cell r="D147" t="str">
            <v>구분2</v>
          </cell>
          <cell r="E147">
            <v>1</v>
          </cell>
          <cell r="F147" t="str">
            <v/>
          </cell>
          <cell r="G147" t="str">
            <v/>
          </cell>
          <cell r="H147" t="str">
            <v/>
          </cell>
          <cell r="I147" t="str">
            <v/>
          </cell>
        </row>
        <row r="148">
          <cell r="B148" t="str">
            <v>75-09-2</v>
          </cell>
          <cell r="C148" t="str">
            <v>Dichloromethane</v>
          </cell>
          <cell r="D148" t="str">
            <v>구분2</v>
          </cell>
          <cell r="E148">
            <v>1</v>
          </cell>
          <cell r="F148" t="str">
            <v/>
          </cell>
          <cell r="G148" t="str">
            <v/>
          </cell>
          <cell r="H148" t="str">
            <v/>
          </cell>
          <cell r="I148" t="str">
            <v/>
          </cell>
        </row>
        <row r="149">
          <cell r="B149" t="str">
            <v>75-12-7</v>
          </cell>
          <cell r="C149" t="str">
            <v>Formamide</v>
          </cell>
          <cell r="D149" t="str">
            <v/>
          </cell>
          <cell r="E149" t="str">
            <v/>
          </cell>
          <cell r="F149" t="str">
            <v/>
          </cell>
          <cell r="G149" t="str">
            <v/>
          </cell>
          <cell r="H149" t="str">
            <v>구분1B</v>
          </cell>
          <cell r="I149">
            <v>0.3</v>
          </cell>
        </row>
        <row r="150">
          <cell r="B150" t="str">
            <v>75-15-0</v>
          </cell>
          <cell r="C150" t="str">
            <v>Carbon disulfide</v>
          </cell>
          <cell r="D150" t="str">
            <v/>
          </cell>
          <cell r="E150" t="str">
            <v/>
          </cell>
          <cell r="F150" t="str">
            <v/>
          </cell>
          <cell r="G150" t="str">
            <v/>
          </cell>
          <cell r="H150" t="str">
            <v>구분2</v>
          </cell>
          <cell r="I150">
            <v>3</v>
          </cell>
        </row>
        <row r="151">
          <cell r="B151" t="str">
            <v>75-21-8</v>
          </cell>
          <cell r="C151" t="str">
            <v>Ethylene oxide</v>
          </cell>
          <cell r="D151" t="str">
            <v>구분1A</v>
          </cell>
          <cell r="E151">
            <v>0.1</v>
          </cell>
          <cell r="F151" t="str">
            <v>구분1B</v>
          </cell>
          <cell r="G151">
            <v>0.1</v>
          </cell>
          <cell r="H151" t="str">
            <v/>
          </cell>
          <cell r="I151" t="str">
            <v/>
          </cell>
        </row>
        <row r="152">
          <cell r="B152" t="str">
            <v>75-25-2</v>
          </cell>
          <cell r="C152" t="str">
            <v>Bromoform</v>
          </cell>
          <cell r="D152" t="str">
            <v>구분2</v>
          </cell>
          <cell r="E152">
            <v>1</v>
          </cell>
          <cell r="F152" t="str">
            <v/>
          </cell>
          <cell r="G152" t="str">
            <v/>
          </cell>
          <cell r="H152" t="str">
            <v/>
          </cell>
          <cell r="I152" t="str">
            <v/>
          </cell>
        </row>
        <row r="153">
          <cell r="B153" t="str">
            <v>75-26-3</v>
          </cell>
          <cell r="C153" t="str">
            <v>2-Bromopropane</v>
          </cell>
          <cell r="D153" t="str">
            <v/>
          </cell>
          <cell r="E153" t="str">
            <v/>
          </cell>
          <cell r="F153" t="str">
            <v/>
          </cell>
          <cell r="G153" t="str">
            <v/>
          </cell>
          <cell r="H153" t="str">
            <v>구분1A</v>
          </cell>
          <cell r="I153">
            <v>0.3</v>
          </cell>
        </row>
        <row r="154">
          <cell r="B154" t="str">
            <v>75-35-4</v>
          </cell>
          <cell r="C154" t="str">
            <v>1,1-Dichloroethylene</v>
          </cell>
          <cell r="D154" t="str">
            <v>구분2</v>
          </cell>
          <cell r="E154">
            <v>1</v>
          </cell>
          <cell r="F154" t="str">
            <v/>
          </cell>
          <cell r="G154" t="str">
            <v/>
          </cell>
          <cell r="H154" t="str">
            <v/>
          </cell>
          <cell r="I154" t="str">
            <v/>
          </cell>
        </row>
        <row r="155">
          <cell r="B155" t="str">
            <v>75-52-5</v>
          </cell>
          <cell r="C155" t="str">
            <v>Nitromethane</v>
          </cell>
          <cell r="D155" t="str">
            <v>구분2</v>
          </cell>
          <cell r="E155">
            <v>1</v>
          </cell>
          <cell r="F155" t="str">
            <v/>
          </cell>
          <cell r="G155" t="str">
            <v/>
          </cell>
          <cell r="H155" t="str">
            <v/>
          </cell>
          <cell r="I155" t="str">
            <v/>
          </cell>
        </row>
        <row r="156">
          <cell r="B156" t="str">
            <v>75-55-8</v>
          </cell>
          <cell r="C156" t="str">
            <v>Propylene imine</v>
          </cell>
          <cell r="D156" t="str">
            <v>구분1B</v>
          </cell>
          <cell r="E156">
            <v>0.1</v>
          </cell>
          <cell r="F156" t="str">
            <v/>
          </cell>
          <cell r="G156" t="str">
            <v/>
          </cell>
          <cell r="H156" t="str">
            <v/>
          </cell>
          <cell r="I156" t="str">
            <v/>
          </cell>
        </row>
        <row r="157">
          <cell r="B157" t="str">
            <v>75-56-9</v>
          </cell>
          <cell r="C157" t="str">
            <v>1,2-Epoxypropane</v>
          </cell>
          <cell r="D157" t="str">
            <v>구분1B</v>
          </cell>
          <cell r="E157">
            <v>0.1</v>
          </cell>
          <cell r="F157" t="str">
            <v>구분1B</v>
          </cell>
          <cell r="G157">
            <v>0.1</v>
          </cell>
          <cell r="H157" t="str">
            <v/>
          </cell>
          <cell r="I157" t="str">
            <v/>
          </cell>
        </row>
        <row r="158">
          <cell r="B158" t="str">
            <v>7572-29-4</v>
          </cell>
          <cell r="C158" t="str">
            <v>Dichloroacetylene</v>
          </cell>
          <cell r="D158" t="str">
            <v>구분2</v>
          </cell>
          <cell r="E158">
            <v>1</v>
          </cell>
          <cell r="F158" t="str">
            <v/>
          </cell>
          <cell r="G158" t="str">
            <v/>
          </cell>
          <cell r="H158" t="str">
            <v/>
          </cell>
          <cell r="I158" t="str">
            <v/>
          </cell>
        </row>
        <row r="159">
          <cell r="B159" t="str">
            <v>75-74-1</v>
          </cell>
          <cell r="C159" t="str">
            <v>Tetramethyl lead, as Pb</v>
          </cell>
          <cell r="D159" t="str">
            <v>구분2</v>
          </cell>
          <cell r="E159">
            <v>1</v>
          </cell>
          <cell r="F159" t="str">
            <v/>
          </cell>
          <cell r="G159" t="str">
            <v/>
          </cell>
          <cell r="H159" t="str">
            <v/>
          </cell>
          <cell r="I159" t="str">
            <v/>
          </cell>
        </row>
        <row r="160">
          <cell r="B160" t="str">
            <v>76-03-9</v>
          </cell>
          <cell r="C160" t="str">
            <v>Trichloroacetic acid</v>
          </cell>
          <cell r="D160" t="str">
            <v>구분2</v>
          </cell>
          <cell r="E160">
            <v>1</v>
          </cell>
          <cell r="F160" t="str">
            <v/>
          </cell>
          <cell r="G160" t="str">
            <v/>
          </cell>
          <cell r="H160" t="str">
            <v/>
          </cell>
          <cell r="I160" t="str">
            <v/>
          </cell>
        </row>
        <row r="161">
          <cell r="B161" t="str">
            <v>76-44-8</v>
          </cell>
          <cell r="C161" t="str">
            <v>Heptachlor ＆ Heptachlor epoxide</v>
          </cell>
          <cell r="D161" t="str">
            <v>구분2</v>
          </cell>
          <cell r="E161">
            <v>1</v>
          </cell>
          <cell r="F161" t="str">
            <v/>
          </cell>
          <cell r="G161" t="str">
            <v/>
          </cell>
          <cell r="H161" t="str">
            <v/>
          </cell>
          <cell r="I161" t="str">
            <v/>
          </cell>
        </row>
        <row r="162">
          <cell r="B162" t="str">
            <v>7664-93-9</v>
          </cell>
          <cell r="C162" t="str">
            <v>Sulfuric acid</v>
          </cell>
          <cell r="D162" t="str">
            <v>구분1A</v>
          </cell>
          <cell r="E162">
            <v>0.1</v>
          </cell>
          <cell r="F162" t="str">
            <v/>
          </cell>
          <cell r="G162" t="str">
            <v/>
          </cell>
          <cell r="H162" t="str">
            <v/>
          </cell>
          <cell r="I162" t="str">
            <v/>
          </cell>
          <cell r="J162" t="str">
            <v>(강산 Mist에 한정함)</v>
          </cell>
        </row>
        <row r="163">
          <cell r="B163" t="str">
            <v>7722-84-1</v>
          </cell>
          <cell r="C163" t="str">
            <v>Hydrogen peroxide</v>
          </cell>
          <cell r="D163" t="str">
            <v>구분2</v>
          </cell>
          <cell r="E163">
            <v>1</v>
          </cell>
          <cell r="F163" t="str">
            <v/>
          </cell>
          <cell r="G163" t="str">
            <v/>
          </cell>
          <cell r="H163" t="str">
            <v/>
          </cell>
          <cell r="I163" t="str">
            <v/>
          </cell>
        </row>
        <row r="164">
          <cell r="B164" t="str">
            <v>7758-97-6</v>
          </cell>
          <cell r="C164" t="str">
            <v>Lead chromate, as Cr</v>
          </cell>
          <cell r="D164" t="str">
            <v>구분1A</v>
          </cell>
          <cell r="E164">
            <v>0.1</v>
          </cell>
          <cell r="F164" t="str">
            <v/>
          </cell>
          <cell r="G164" t="str">
            <v/>
          </cell>
          <cell r="H164" t="str">
            <v>구분1A</v>
          </cell>
          <cell r="I164">
            <v>0.3</v>
          </cell>
        </row>
        <row r="165">
          <cell r="B165" t="str">
            <v>77-78-1</v>
          </cell>
          <cell r="C165" t="str">
            <v>Dimethyl sulfate</v>
          </cell>
          <cell r="D165" t="str">
            <v>구분1B</v>
          </cell>
          <cell r="E165">
            <v>0.1</v>
          </cell>
          <cell r="F165" t="str">
            <v>구분2</v>
          </cell>
          <cell r="G165">
            <v>1</v>
          </cell>
          <cell r="H165" t="str">
            <v/>
          </cell>
          <cell r="I165" t="str">
            <v/>
          </cell>
        </row>
        <row r="166">
          <cell r="B166" t="str">
            <v>7784-40-9</v>
          </cell>
          <cell r="C166" t="str">
            <v>Lead arsenate, as Pb(AsO4)2</v>
          </cell>
          <cell r="D166" t="str">
            <v>구분1A</v>
          </cell>
          <cell r="E166">
            <v>0.1</v>
          </cell>
          <cell r="F166" t="str">
            <v/>
          </cell>
          <cell r="G166" t="str">
            <v/>
          </cell>
          <cell r="H166" t="str">
            <v>구분1A</v>
          </cell>
          <cell r="I166">
            <v>0.3</v>
          </cell>
        </row>
        <row r="167">
          <cell r="B167" t="str">
            <v>7789-06-2</v>
          </cell>
          <cell r="C167" t="str">
            <v>Strontium chromate</v>
          </cell>
          <cell r="D167" t="str">
            <v>구분1A</v>
          </cell>
          <cell r="E167">
            <v>0.1</v>
          </cell>
          <cell r="F167" t="str">
            <v/>
          </cell>
          <cell r="G167" t="str">
            <v/>
          </cell>
          <cell r="H167" t="str">
            <v/>
          </cell>
          <cell r="I167" t="str">
            <v/>
          </cell>
        </row>
        <row r="168">
          <cell r="B168" t="str">
            <v>78-00-2</v>
          </cell>
          <cell r="C168" t="str">
            <v>Tetraethyl lead, as Pb</v>
          </cell>
          <cell r="D168" t="str">
            <v>구분2</v>
          </cell>
          <cell r="E168">
            <v>1</v>
          </cell>
          <cell r="F168" t="str">
            <v/>
          </cell>
          <cell r="G168" t="str">
            <v/>
          </cell>
          <cell r="H168" t="str">
            <v/>
          </cell>
          <cell r="I168" t="str">
            <v/>
          </cell>
        </row>
        <row r="169">
          <cell r="B169" t="str">
            <v>78-59-1</v>
          </cell>
          <cell r="C169" t="str">
            <v>Isophorone</v>
          </cell>
          <cell r="D169" t="str">
            <v>구분2</v>
          </cell>
          <cell r="E169">
            <v>1</v>
          </cell>
          <cell r="F169" t="str">
            <v/>
          </cell>
          <cell r="G169" t="str">
            <v/>
          </cell>
          <cell r="H169" t="str">
            <v/>
          </cell>
          <cell r="I169" t="str">
            <v/>
          </cell>
        </row>
        <row r="170">
          <cell r="B170" t="str">
            <v>79-00-5</v>
          </cell>
          <cell r="C170" t="str">
            <v>1,1,2-Trichloroethane</v>
          </cell>
          <cell r="D170" t="str">
            <v>구분2</v>
          </cell>
          <cell r="E170">
            <v>1</v>
          </cell>
          <cell r="F170" t="str">
            <v/>
          </cell>
          <cell r="G170" t="str">
            <v/>
          </cell>
          <cell r="H170" t="str">
            <v/>
          </cell>
          <cell r="I170" t="str">
            <v/>
          </cell>
        </row>
        <row r="171">
          <cell r="B171" t="str">
            <v>79-01-6</v>
          </cell>
          <cell r="C171" t="str">
            <v>Trichloroethylene</v>
          </cell>
          <cell r="D171" t="str">
            <v>구분1B</v>
          </cell>
          <cell r="E171">
            <v>0.1</v>
          </cell>
          <cell r="F171" t="str">
            <v>구분2</v>
          </cell>
          <cell r="G171">
            <v>1</v>
          </cell>
          <cell r="H171" t="str">
            <v/>
          </cell>
          <cell r="I171" t="str">
            <v/>
          </cell>
        </row>
        <row r="172">
          <cell r="B172" t="str">
            <v>79-06-1</v>
          </cell>
          <cell r="C172" t="str">
            <v>Acrylamide</v>
          </cell>
          <cell r="D172" t="str">
            <v>구분1B</v>
          </cell>
          <cell r="E172">
            <v>0.1</v>
          </cell>
          <cell r="F172" t="str">
            <v>구분1B</v>
          </cell>
          <cell r="G172">
            <v>0.1</v>
          </cell>
          <cell r="H172" t="str">
            <v>구분2</v>
          </cell>
          <cell r="I172">
            <v>3</v>
          </cell>
        </row>
        <row r="173">
          <cell r="B173" t="str">
            <v>79-34-5</v>
          </cell>
          <cell r="C173" t="str">
            <v>1,1,2,2-Tetrachloroethane</v>
          </cell>
          <cell r="D173" t="str">
            <v>구분2</v>
          </cell>
          <cell r="E173">
            <v>1</v>
          </cell>
          <cell r="F173" t="str">
            <v/>
          </cell>
          <cell r="G173" t="str">
            <v/>
          </cell>
          <cell r="H173" t="str">
            <v/>
          </cell>
          <cell r="I173" t="str">
            <v/>
          </cell>
        </row>
        <row r="174">
          <cell r="B174" t="str">
            <v>79-43-6</v>
          </cell>
          <cell r="C174" t="str">
            <v>Dichloro acetic acid</v>
          </cell>
          <cell r="D174" t="str">
            <v>구분2</v>
          </cell>
          <cell r="E174">
            <v>1</v>
          </cell>
          <cell r="F174" t="str">
            <v/>
          </cell>
          <cell r="G174" t="str">
            <v/>
          </cell>
          <cell r="H174" t="str">
            <v/>
          </cell>
          <cell r="I174" t="str">
            <v/>
          </cell>
        </row>
        <row r="175">
          <cell r="B175" t="str">
            <v>79-44-7</v>
          </cell>
          <cell r="C175" t="str">
            <v>Dimethyl carbamoylchloride</v>
          </cell>
          <cell r="D175" t="str">
            <v>구분1B</v>
          </cell>
          <cell r="E175">
            <v>0.1</v>
          </cell>
          <cell r="F175" t="str">
            <v/>
          </cell>
          <cell r="G175" t="str">
            <v/>
          </cell>
          <cell r="H175" t="str">
            <v/>
          </cell>
          <cell r="I175" t="str">
            <v/>
          </cell>
        </row>
        <row r="176">
          <cell r="B176" t="str">
            <v>79-46-9</v>
          </cell>
          <cell r="C176" t="str">
            <v>2-Nitropropane</v>
          </cell>
          <cell r="D176" t="str">
            <v>구분1B</v>
          </cell>
          <cell r="E176">
            <v>0.1</v>
          </cell>
          <cell r="F176" t="str">
            <v/>
          </cell>
          <cell r="G176" t="str">
            <v/>
          </cell>
          <cell r="H176" t="str">
            <v/>
          </cell>
          <cell r="I176" t="str">
            <v/>
          </cell>
        </row>
        <row r="177">
          <cell r="B177" t="str">
            <v>8001-35-2</v>
          </cell>
          <cell r="C177" t="str">
            <v>Chlorinated camphene</v>
          </cell>
          <cell r="D177" t="str">
            <v>구분2</v>
          </cell>
          <cell r="E177">
            <v>1</v>
          </cell>
          <cell r="F177" t="str">
            <v/>
          </cell>
          <cell r="G177" t="str">
            <v/>
          </cell>
          <cell r="H177" t="str">
            <v/>
          </cell>
          <cell r="I177" t="str">
            <v/>
          </cell>
        </row>
        <row r="178">
          <cell r="B178" t="str">
            <v>8006-61-9</v>
          </cell>
          <cell r="C178" t="str">
            <v>Gasoline</v>
          </cell>
          <cell r="D178" t="str">
            <v>구분1B</v>
          </cell>
          <cell r="E178">
            <v>0.1</v>
          </cell>
          <cell r="F178" t="str">
            <v>구분1B</v>
          </cell>
          <cell r="G178">
            <v>0.1</v>
          </cell>
          <cell r="H178" t="str">
            <v/>
          </cell>
          <cell r="I178" t="str">
            <v/>
          </cell>
          <cell r="J178" t="str">
            <v>가솔린 증기의 직업적 노출에 한정</v>
          </cell>
        </row>
        <row r="179">
          <cell r="B179" t="str">
            <v>8008-20-6</v>
          </cell>
          <cell r="C179" t="str">
            <v>Kerosene</v>
          </cell>
          <cell r="D179" t="str">
            <v>구분2</v>
          </cell>
          <cell r="E179">
            <v>1</v>
          </cell>
          <cell r="F179" t="str">
            <v/>
          </cell>
          <cell r="G179" t="str">
            <v/>
          </cell>
          <cell r="H179" t="str">
            <v/>
          </cell>
          <cell r="I179" t="str">
            <v/>
          </cell>
        </row>
        <row r="180">
          <cell r="B180" t="str">
            <v>8030-30-6</v>
          </cell>
          <cell r="C180" t="str">
            <v>Rubber solvent(Naphtha)</v>
          </cell>
          <cell r="D180" t="str">
            <v>구분1B</v>
          </cell>
          <cell r="E180">
            <v>0.1</v>
          </cell>
          <cell r="F180" t="str">
            <v>구분1B</v>
          </cell>
          <cell r="G180">
            <v>0.1</v>
          </cell>
          <cell r="H180" t="str">
            <v/>
          </cell>
          <cell r="I180" t="str">
            <v/>
          </cell>
          <cell r="J180" t="str">
            <v>(벤젠 0.1% 이상인 경우에 한정함)</v>
          </cell>
        </row>
        <row r="181">
          <cell r="B181" t="str">
            <v>8032-32-4</v>
          </cell>
          <cell r="C181" t="str">
            <v>VM &amp; P Naphtha</v>
          </cell>
          <cell r="D181" t="str">
            <v>구분1B</v>
          </cell>
          <cell r="E181">
            <v>0.1</v>
          </cell>
          <cell r="F181" t="str">
            <v>구분1B</v>
          </cell>
          <cell r="G181">
            <v>0.1</v>
          </cell>
          <cell r="H181" t="str">
            <v/>
          </cell>
          <cell r="I181" t="str">
            <v/>
          </cell>
          <cell r="J181" t="str">
            <v>(벤젠 0.1% 이상인 경우에 한정함)</v>
          </cell>
        </row>
        <row r="182">
          <cell r="B182" t="str">
            <v>8052-41-3</v>
          </cell>
          <cell r="C182" t="str">
            <v>Stoddard solvent</v>
          </cell>
          <cell r="D182" t="str">
            <v>구분1B</v>
          </cell>
          <cell r="E182">
            <v>0.1</v>
          </cell>
          <cell r="F182" t="str">
            <v>구분1B</v>
          </cell>
          <cell r="G182">
            <v>0.1</v>
          </cell>
          <cell r="H182" t="str">
            <v/>
          </cell>
          <cell r="I182" t="str">
            <v/>
          </cell>
          <cell r="J182" t="str">
            <v>(벤젠 0.1% 이상인 경우에 한정함)</v>
          </cell>
        </row>
        <row r="183">
          <cell r="B183" t="str">
            <v>8052-42-4</v>
          </cell>
          <cell r="C183" t="str">
            <v>Asphalt(Petroleum)fumes(as benzene soluble aerosol, Inhalable fraction)</v>
          </cell>
          <cell r="D183" t="str">
            <v>구분2</v>
          </cell>
          <cell r="E183">
            <v>1</v>
          </cell>
          <cell r="F183" t="str">
            <v/>
          </cell>
          <cell r="G183" t="str">
            <v/>
          </cell>
          <cell r="H183" t="str">
            <v/>
          </cell>
          <cell r="I183" t="str">
            <v/>
          </cell>
          <cell r="J183" t="str">
            <v>(벤젠 추출물, 흡입성)</v>
          </cell>
        </row>
        <row r="184">
          <cell r="B184" t="str">
            <v>81-81-2</v>
          </cell>
          <cell r="C184" t="str">
            <v>Warfarin</v>
          </cell>
          <cell r="D184" t="str">
            <v/>
          </cell>
          <cell r="E184" t="str">
            <v/>
          </cell>
          <cell r="F184" t="str">
            <v/>
          </cell>
          <cell r="G184" t="str">
            <v/>
          </cell>
          <cell r="H184" t="str">
            <v>구분1A</v>
          </cell>
          <cell r="I184">
            <v>0.3</v>
          </cell>
        </row>
        <row r="185">
          <cell r="B185" t="str">
            <v>84-74-2</v>
          </cell>
          <cell r="C185" t="str">
            <v>Dibutyl phthalate</v>
          </cell>
          <cell r="D185" t="str">
            <v/>
          </cell>
          <cell r="E185" t="str">
            <v/>
          </cell>
          <cell r="F185" t="str">
            <v/>
          </cell>
          <cell r="G185" t="str">
            <v/>
          </cell>
          <cell r="H185" t="str">
            <v>구분1B</v>
          </cell>
          <cell r="I185">
            <v>0.3</v>
          </cell>
        </row>
        <row r="186">
          <cell r="B186" t="str">
            <v>86-88-4</v>
          </cell>
          <cell r="C186" t="str">
            <v>α-Naphthylthiourea(ANTU)</v>
          </cell>
          <cell r="D186" t="str">
            <v>구분2</v>
          </cell>
          <cell r="E186">
            <v>1</v>
          </cell>
          <cell r="F186" t="str">
            <v/>
          </cell>
          <cell r="G186" t="str">
            <v/>
          </cell>
          <cell r="H186" t="str">
            <v/>
          </cell>
          <cell r="I186" t="str">
            <v/>
          </cell>
        </row>
        <row r="187">
          <cell r="B187" t="str">
            <v>87-68-3</v>
          </cell>
          <cell r="C187" t="str">
            <v>Hexachlorobutadiene</v>
          </cell>
          <cell r="D187" t="str">
            <v>구분2</v>
          </cell>
          <cell r="E187">
            <v>1</v>
          </cell>
          <cell r="F187" t="str">
            <v/>
          </cell>
          <cell r="G187" t="str">
            <v/>
          </cell>
          <cell r="H187" t="str">
            <v/>
          </cell>
          <cell r="I187" t="str">
            <v/>
          </cell>
        </row>
        <row r="188">
          <cell r="B188" t="str">
            <v>87-86-5</v>
          </cell>
          <cell r="C188" t="str">
            <v>Pentachlorophenol</v>
          </cell>
          <cell r="D188" t="str">
            <v>구분2</v>
          </cell>
          <cell r="E188">
            <v>1</v>
          </cell>
          <cell r="F188" t="str">
            <v/>
          </cell>
          <cell r="G188" t="str">
            <v/>
          </cell>
          <cell r="H188" t="str">
            <v/>
          </cell>
          <cell r="I188" t="str">
            <v/>
          </cell>
        </row>
        <row r="189">
          <cell r="B189" t="str">
            <v>88-12-0</v>
          </cell>
          <cell r="C189" t="str">
            <v>N-Vinyl-2-pyrrolidone(NVP)</v>
          </cell>
          <cell r="D189" t="str">
            <v>구분2</v>
          </cell>
          <cell r="E189">
            <v>1</v>
          </cell>
          <cell r="F189" t="str">
            <v/>
          </cell>
          <cell r="G189" t="str">
            <v/>
          </cell>
          <cell r="H189" t="str">
            <v/>
          </cell>
          <cell r="I189" t="str">
            <v/>
          </cell>
        </row>
        <row r="190">
          <cell r="B190" t="str">
            <v>88-72-2</v>
          </cell>
          <cell r="C190" t="str">
            <v>Nitrotoluene(o, m, p-isomers)</v>
          </cell>
          <cell r="D190" t="str">
            <v>구분1B</v>
          </cell>
          <cell r="E190">
            <v>0.1</v>
          </cell>
          <cell r="F190" t="str">
            <v>구분1B</v>
          </cell>
          <cell r="G190">
            <v>0.1</v>
          </cell>
          <cell r="H190" t="str">
            <v>구분2</v>
          </cell>
          <cell r="I190">
            <v>3</v>
          </cell>
          <cell r="J190" t="str">
            <v>(생식독성은 o-,m-,p- 이성체)</v>
          </cell>
        </row>
        <row r="191">
          <cell r="B191" t="str">
            <v>91-08-7</v>
          </cell>
          <cell r="C191" t="str">
            <v>Toluene-2,6-diisocyanate(TDI)</v>
          </cell>
          <cell r="D191" t="str">
            <v>구분2</v>
          </cell>
          <cell r="E191">
            <v>1</v>
          </cell>
          <cell r="F191" t="str">
            <v/>
          </cell>
          <cell r="G191" t="str">
            <v/>
          </cell>
          <cell r="H191" t="str">
            <v/>
          </cell>
          <cell r="I191" t="str">
            <v/>
          </cell>
        </row>
        <row r="192">
          <cell r="B192" t="str">
            <v>91-20-3</v>
          </cell>
          <cell r="C192" t="str">
            <v>Naphthalene</v>
          </cell>
          <cell r="D192" t="str">
            <v>구분2</v>
          </cell>
          <cell r="E192">
            <v>1</v>
          </cell>
          <cell r="F192" t="str">
            <v/>
          </cell>
          <cell r="G192" t="str">
            <v/>
          </cell>
          <cell r="H192" t="str">
            <v/>
          </cell>
          <cell r="I192" t="str">
            <v/>
          </cell>
        </row>
        <row r="193">
          <cell r="B193" t="str">
            <v>91-59-8</v>
          </cell>
          <cell r="C193" t="str">
            <v>β-Naphthylamine</v>
          </cell>
          <cell r="D193" t="str">
            <v>구분1A</v>
          </cell>
          <cell r="E193">
            <v>0.1</v>
          </cell>
          <cell r="F193" t="str">
            <v/>
          </cell>
          <cell r="G193" t="str">
            <v/>
          </cell>
          <cell r="H193" t="str">
            <v/>
          </cell>
          <cell r="I193" t="str">
            <v/>
          </cell>
        </row>
        <row r="194">
          <cell r="B194" t="str">
            <v>91-94-1</v>
          </cell>
          <cell r="C194" t="str">
            <v>3,3-Dichlorobenzidine</v>
          </cell>
          <cell r="D194" t="str">
            <v>구분1B</v>
          </cell>
          <cell r="E194">
            <v>0.1</v>
          </cell>
          <cell r="F194" t="str">
            <v/>
          </cell>
          <cell r="G194" t="str">
            <v/>
          </cell>
          <cell r="H194" t="str">
            <v/>
          </cell>
          <cell r="I194" t="str">
            <v/>
          </cell>
        </row>
        <row r="195">
          <cell r="B195" t="str">
            <v>92-67-1</v>
          </cell>
          <cell r="C195" t="str">
            <v>4-Aminodiphenyl</v>
          </cell>
          <cell r="D195" t="str">
            <v>구분1A</v>
          </cell>
          <cell r="E195">
            <v>0.1</v>
          </cell>
          <cell r="F195" t="str">
            <v/>
          </cell>
          <cell r="G195" t="str">
            <v/>
          </cell>
          <cell r="H195" t="str">
            <v/>
          </cell>
          <cell r="I195" t="str">
            <v/>
          </cell>
        </row>
        <row r="196">
          <cell r="B196" t="str">
            <v>92-87-5</v>
          </cell>
          <cell r="C196" t="str">
            <v>Benzidine</v>
          </cell>
          <cell r="D196" t="str">
            <v>구분1A</v>
          </cell>
          <cell r="E196">
            <v>0.1</v>
          </cell>
          <cell r="F196" t="str">
            <v/>
          </cell>
          <cell r="G196" t="str">
            <v/>
          </cell>
          <cell r="H196" t="str">
            <v/>
          </cell>
          <cell r="I196" t="str">
            <v/>
          </cell>
        </row>
        <row r="197">
          <cell r="B197" t="str">
            <v>92-93-3</v>
          </cell>
          <cell r="C197" t="str">
            <v>4-Nitrodiphenyl</v>
          </cell>
          <cell r="D197" t="str">
            <v>구분1B</v>
          </cell>
          <cell r="E197">
            <v>0.1</v>
          </cell>
          <cell r="F197" t="str">
            <v/>
          </cell>
          <cell r="G197" t="str">
            <v/>
          </cell>
          <cell r="H197" t="str">
            <v/>
          </cell>
          <cell r="I197" t="str">
            <v/>
          </cell>
        </row>
        <row r="198">
          <cell r="B198" t="str">
            <v>95-53-4</v>
          </cell>
          <cell r="C198" t="str">
            <v>o-Toluidine</v>
          </cell>
          <cell r="D198" t="str">
            <v>구분1A</v>
          </cell>
          <cell r="E198">
            <v>0.1</v>
          </cell>
          <cell r="F198" t="str">
            <v/>
          </cell>
          <cell r="G198" t="str">
            <v/>
          </cell>
          <cell r="H198" t="str">
            <v/>
          </cell>
          <cell r="I198" t="str">
            <v/>
          </cell>
        </row>
        <row r="199">
          <cell r="B199" t="str">
            <v>96-18-4</v>
          </cell>
          <cell r="C199" t="str">
            <v>1,2,3-Trichloropropane</v>
          </cell>
          <cell r="D199" t="str">
            <v>구분1B</v>
          </cell>
          <cell r="E199">
            <v>0.1</v>
          </cell>
          <cell r="F199" t="str">
            <v/>
          </cell>
          <cell r="G199" t="str">
            <v/>
          </cell>
          <cell r="H199" t="str">
            <v>구분1B</v>
          </cell>
          <cell r="I199">
            <v>0.3</v>
          </cell>
        </row>
        <row r="200">
          <cell r="B200" t="str">
            <v>98-00-0</v>
          </cell>
          <cell r="C200" t="str">
            <v>Furfuryl alcohol</v>
          </cell>
          <cell r="D200" t="str">
            <v>구분2</v>
          </cell>
          <cell r="E200">
            <v>1</v>
          </cell>
          <cell r="F200" t="str">
            <v/>
          </cell>
          <cell r="G200" t="str">
            <v/>
          </cell>
          <cell r="H200" t="str">
            <v/>
          </cell>
          <cell r="I200" t="str">
            <v/>
          </cell>
        </row>
        <row r="201">
          <cell r="B201" t="str">
            <v>98-01-1</v>
          </cell>
          <cell r="C201" t="str">
            <v>Furfural</v>
          </cell>
          <cell r="D201" t="str">
            <v>구분2</v>
          </cell>
          <cell r="E201">
            <v>1</v>
          </cell>
          <cell r="F201" t="str">
            <v/>
          </cell>
          <cell r="G201" t="str">
            <v/>
          </cell>
          <cell r="H201" t="str">
            <v/>
          </cell>
          <cell r="I201" t="str">
            <v/>
          </cell>
        </row>
        <row r="202">
          <cell r="B202" t="str">
            <v>98-07-7</v>
          </cell>
          <cell r="C202" t="str">
            <v>Benzotrichloride</v>
          </cell>
          <cell r="D202" t="str">
            <v>구분1B</v>
          </cell>
          <cell r="E202">
            <v>0.1</v>
          </cell>
          <cell r="F202" t="str">
            <v/>
          </cell>
          <cell r="G202" t="str">
            <v/>
          </cell>
          <cell r="H202" t="str">
            <v/>
          </cell>
          <cell r="I202" t="str">
            <v/>
          </cell>
        </row>
        <row r="203">
          <cell r="B203" t="str">
            <v>98-82-8</v>
          </cell>
          <cell r="C203" t="str">
            <v>Cumene</v>
          </cell>
          <cell r="D203" t="str">
            <v>구분2</v>
          </cell>
          <cell r="E203">
            <v>1</v>
          </cell>
          <cell r="F203" t="str">
            <v/>
          </cell>
          <cell r="G203" t="str">
            <v/>
          </cell>
          <cell r="H203" t="str">
            <v/>
          </cell>
          <cell r="I203" t="str">
            <v/>
          </cell>
        </row>
        <row r="204">
          <cell r="B204" t="str">
            <v>98-83-9</v>
          </cell>
          <cell r="C204" t="str">
            <v>α-Methyl styrene</v>
          </cell>
          <cell r="D204" t="str">
            <v>구분2</v>
          </cell>
          <cell r="E204">
            <v>1</v>
          </cell>
          <cell r="F204" t="str">
            <v/>
          </cell>
          <cell r="G204" t="str">
            <v/>
          </cell>
          <cell r="H204" t="str">
            <v/>
          </cell>
          <cell r="I204" t="str">
            <v/>
          </cell>
        </row>
        <row r="205">
          <cell r="B205" t="str">
            <v>98-88-4</v>
          </cell>
          <cell r="C205" t="str">
            <v>Benzoyl chloride</v>
          </cell>
          <cell r="D205" t="str">
            <v>구분1B</v>
          </cell>
          <cell r="E205">
            <v>0.1</v>
          </cell>
          <cell r="F205" t="str">
            <v/>
          </cell>
          <cell r="G205" t="str">
            <v/>
          </cell>
          <cell r="H205" t="str">
            <v/>
          </cell>
          <cell r="I205" t="str">
            <v/>
          </cell>
        </row>
        <row r="206">
          <cell r="B206" t="str">
            <v>98-95-3</v>
          </cell>
          <cell r="C206" t="str">
            <v>Nitrobenzene</v>
          </cell>
          <cell r="D206" t="str">
            <v>구분2</v>
          </cell>
          <cell r="E206">
            <v>1</v>
          </cell>
          <cell r="F206" t="str">
            <v/>
          </cell>
          <cell r="G206" t="str">
            <v/>
          </cell>
          <cell r="H206" t="str">
            <v>구분2</v>
          </cell>
          <cell r="I206">
            <v>3</v>
          </cell>
        </row>
        <row r="207">
          <cell r="C207" t="str">
            <v>Asbestos(All forms)</v>
          </cell>
          <cell r="D207" t="str">
            <v>구분1A</v>
          </cell>
          <cell r="E207">
            <v>0.1</v>
          </cell>
          <cell r="F207" t="str">
            <v/>
          </cell>
          <cell r="G207" t="str">
            <v/>
          </cell>
          <cell r="H207" t="str">
            <v/>
          </cell>
          <cell r="I207" t="str">
            <v/>
          </cell>
        </row>
        <row r="208">
          <cell r="C208" t="str">
            <v>Mineral wool fiber</v>
          </cell>
          <cell r="D208" t="str">
            <v>구분2</v>
          </cell>
          <cell r="E208">
            <v>1</v>
          </cell>
          <cell r="F208" t="str">
            <v/>
          </cell>
          <cell r="G208" t="str">
            <v/>
          </cell>
          <cell r="H208" t="str">
            <v/>
          </cell>
          <cell r="I208" t="str">
            <v/>
          </cell>
          <cell r="J208" t="str">
            <v>(알칼리 산화물 및 알칼리토금속 산화물의 중량비가 18% 이상인 불특정 모양의 인공 유리규산 섬유에 한정함)</v>
          </cell>
        </row>
        <row r="209">
          <cell r="C209" t="str">
            <v>Particulate polycyclicaromatic hydrocarbons(as benzene solubles)</v>
          </cell>
          <cell r="D209" t="str">
            <v/>
          </cell>
          <cell r="E209" t="str">
            <v/>
          </cell>
          <cell r="F209" t="str">
            <v/>
          </cell>
          <cell r="G209" t="str">
            <v/>
          </cell>
          <cell r="H209" t="str">
            <v/>
          </cell>
          <cell r="I209" t="str">
            <v/>
          </cell>
          <cell r="J209" t="str">
            <v>발암성 구분1A~2(물질의 종류에 따라 발암성 등급 차이가 있음)</v>
          </cell>
        </row>
        <row r="210">
          <cell r="C210" t="str">
            <v>Particulates not otherwise regulated(no more than 1% crystalline silica)</v>
          </cell>
          <cell r="D210" t="str">
            <v>구분1A</v>
          </cell>
          <cell r="E210">
            <v>0.1</v>
          </cell>
          <cell r="F210" t="str">
            <v/>
          </cell>
          <cell r="G210" t="str">
            <v/>
          </cell>
          <cell r="H210" t="str">
            <v/>
          </cell>
          <cell r="I210" t="str">
            <v/>
          </cell>
          <cell r="J210" t="str">
            <v>(산화규소 결정체 0.1% 이상에 한함)</v>
          </cell>
        </row>
        <row r="211">
          <cell r="C211" t="str">
            <v>Refractory ceramic fibers</v>
          </cell>
          <cell r="D211" t="str">
            <v>구분1B</v>
          </cell>
          <cell r="E211">
            <v>0.1</v>
          </cell>
          <cell r="F211" t="str">
            <v/>
          </cell>
          <cell r="G211" t="str">
            <v/>
          </cell>
          <cell r="H211" t="str">
            <v/>
          </cell>
          <cell r="I211" t="str">
            <v/>
          </cell>
          <cell r="J211" t="str">
            <v>(알칼리 산화물 및 알칼리토금속 산화물의 중량비가 18% 이하인 불특정 모양의 인공 유리규산 섬유에 한정함)</v>
          </cell>
        </row>
        <row r="212">
          <cell r="C212" t="str">
            <v>Welding fumes and dust</v>
          </cell>
          <cell r="D212" t="str">
            <v>구분2</v>
          </cell>
          <cell r="E212">
            <v>1</v>
          </cell>
          <cell r="F212" t="str">
            <v/>
          </cell>
          <cell r="G212" t="str">
            <v/>
          </cell>
          <cell r="H212" t="str">
            <v/>
          </cell>
          <cell r="I212" t="str">
            <v/>
          </cell>
        </row>
        <row r="213">
          <cell r="C213" t="str">
            <v>Wood dust(All other species, Inhalable fraction)</v>
          </cell>
          <cell r="D213" t="str">
            <v>구분1A</v>
          </cell>
          <cell r="E213">
            <v>0.1</v>
          </cell>
          <cell r="F213" t="str">
            <v/>
          </cell>
          <cell r="G213" t="str">
            <v/>
          </cell>
          <cell r="H213" t="str">
            <v/>
          </cell>
          <cell r="I213" t="str">
            <v/>
          </cell>
        </row>
        <row r="214">
          <cell r="C214" t="str">
            <v>Wood dust(Western red cedar, Inhalable fraction)</v>
          </cell>
          <cell r="D214" t="str">
            <v>구분1A</v>
          </cell>
          <cell r="E214">
            <v>0.1</v>
          </cell>
          <cell r="F214" t="str">
            <v/>
          </cell>
          <cell r="G214" t="str">
            <v/>
          </cell>
          <cell r="H214" t="str">
            <v/>
          </cell>
          <cell r="I214" t="str">
            <v/>
          </cell>
        </row>
        <row r="215">
          <cell r="B215" t="str">
            <v>10022-68-1</v>
          </cell>
          <cell r="C215" t="str">
            <v>Cadmium nitrate tetrahydrate</v>
          </cell>
          <cell r="D215" t="str">
            <v>구분1A</v>
          </cell>
          <cell r="E215">
            <v>0.1</v>
          </cell>
          <cell r="F215" t="str">
            <v>구분2</v>
          </cell>
          <cell r="G215">
            <v>1</v>
          </cell>
          <cell r="H215" t="str">
            <v>구분2</v>
          </cell>
          <cell r="I215">
            <v>3</v>
          </cell>
        </row>
        <row r="216">
          <cell r="B216" t="str">
            <v>10028-18-9</v>
          </cell>
          <cell r="C216" t="str">
            <v>nickel difluoride</v>
          </cell>
          <cell r="D216" t="str">
            <v>구분1A</v>
          </cell>
          <cell r="E216">
            <v>0.1</v>
          </cell>
          <cell r="F216" t="str">
            <v/>
          </cell>
          <cell r="H216" t="str">
            <v/>
          </cell>
        </row>
        <row r="217">
          <cell r="B217" t="str">
            <v>10031-13-7</v>
          </cell>
          <cell r="C217" t="str">
            <v>lead arsenite</v>
          </cell>
          <cell r="D217" t="str">
            <v>구분1A</v>
          </cell>
          <cell r="E217">
            <v>0.1</v>
          </cell>
          <cell r="F217" t="str">
            <v/>
          </cell>
          <cell r="H217" t="str">
            <v>구분1A</v>
          </cell>
          <cell r="I217">
            <v>0.3</v>
          </cell>
        </row>
        <row r="218">
          <cell r="B218" t="str">
            <v>10031-22-8</v>
          </cell>
          <cell r="C218" t="str">
            <v>lead dibromide</v>
          </cell>
          <cell r="D218" t="str">
            <v>구분1B</v>
          </cell>
          <cell r="E218">
            <v>0.1</v>
          </cell>
          <cell r="F218" t="str">
            <v/>
          </cell>
          <cell r="H218" t="str">
            <v>구분1A</v>
          </cell>
          <cell r="I218">
            <v>0.3</v>
          </cell>
        </row>
        <row r="219">
          <cell r="B219" t="str">
            <v>10034-82-9</v>
          </cell>
          <cell r="C219" t="str">
            <v>Sodium chromate tetrahydrate</v>
          </cell>
          <cell r="D219" t="str">
            <v>구분1A</v>
          </cell>
          <cell r="E219">
            <v>0.1</v>
          </cell>
          <cell r="F219" t="str">
            <v/>
          </cell>
          <cell r="H219" t="str">
            <v/>
          </cell>
        </row>
        <row r="220">
          <cell r="B220" t="str">
            <v>10045-94-0</v>
          </cell>
          <cell r="C220" t="str">
            <v>mercury dinitrate</v>
          </cell>
          <cell r="D220" t="str">
            <v/>
          </cell>
          <cell r="F220" t="str">
            <v/>
          </cell>
          <cell r="H220" t="str">
            <v>구분1B</v>
          </cell>
          <cell r="I220">
            <v>0.3</v>
          </cell>
        </row>
        <row r="221">
          <cell r="B221" t="str">
            <v>10048-95-0</v>
          </cell>
          <cell r="C221" t="str">
            <v>Disodium arsenate heptahydrate</v>
          </cell>
          <cell r="D221" t="str">
            <v>구분1A</v>
          </cell>
          <cell r="E221">
            <v>0.1</v>
          </cell>
          <cell r="F221" t="str">
            <v/>
          </cell>
          <cell r="H221" t="str">
            <v/>
          </cell>
        </row>
        <row r="222">
          <cell r="B222" t="str">
            <v>10048-99-4</v>
          </cell>
          <cell r="C222" t="str">
            <v>barium tetraiodomercurate</v>
          </cell>
          <cell r="D222" t="str">
            <v/>
          </cell>
          <cell r="F222" t="str">
            <v/>
          </cell>
          <cell r="H222" t="str">
            <v>구분1B</v>
          </cell>
          <cell r="I222">
            <v>0.3</v>
          </cell>
        </row>
        <row r="223">
          <cell r="B223" t="str">
            <v>10049-14-6</v>
          </cell>
          <cell r="C223" t="str">
            <v>uranium tetrafluoride</v>
          </cell>
          <cell r="D223" t="str">
            <v>구분1A</v>
          </cell>
          <cell r="E223">
            <v>0.1</v>
          </cell>
          <cell r="F223" t="str">
            <v/>
          </cell>
          <cell r="H223" t="str">
            <v/>
          </cell>
        </row>
        <row r="224">
          <cell r="B224" t="str">
            <v>100-61-8</v>
          </cell>
          <cell r="C224" t="str">
            <v>N-methylaniline</v>
          </cell>
          <cell r="D224" t="str">
            <v>구분2</v>
          </cell>
          <cell r="E224">
            <v>1</v>
          </cell>
          <cell r="F224" t="str">
            <v>구분2</v>
          </cell>
          <cell r="G224">
            <v>1</v>
          </cell>
          <cell r="H224" t="str">
            <v/>
          </cell>
        </row>
        <row r="225">
          <cell r="B225" t="str">
            <v>10099-74-8</v>
          </cell>
          <cell r="C225" t="str">
            <v>lead dinitrate</v>
          </cell>
          <cell r="D225" t="str">
            <v>구분1B</v>
          </cell>
          <cell r="E225">
            <v>0.1</v>
          </cell>
          <cell r="F225" t="str">
            <v/>
          </cell>
          <cell r="H225" t="str">
            <v>구분1A</v>
          </cell>
          <cell r="I225">
            <v>0.3</v>
          </cell>
        </row>
        <row r="226">
          <cell r="B226" t="str">
            <v>10099-76-0</v>
          </cell>
          <cell r="C226" t="str">
            <v>lead(2+) silicate</v>
          </cell>
          <cell r="D226" t="str">
            <v>구분1B</v>
          </cell>
          <cell r="E226">
            <v>0.1</v>
          </cell>
          <cell r="F226" t="str">
            <v/>
          </cell>
          <cell r="H226" t="str">
            <v>구분1A</v>
          </cell>
          <cell r="I226">
            <v>0.3</v>
          </cell>
        </row>
        <row r="227">
          <cell r="B227" t="str">
            <v>10099-79-3</v>
          </cell>
          <cell r="C227" t="str">
            <v>lead divanadium hexaoxide</v>
          </cell>
          <cell r="D227" t="str">
            <v>구분1B</v>
          </cell>
          <cell r="E227">
            <v>0.1</v>
          </cell>
          <cell r="F227" t="str">
            <v/>
          </cell>
          <cell r="H227" t="str">
            <v>구분1A</v>
          </cell>
          <cell r="I227">
            <v>0.3</v>
          </cell>
        </row>
        <row r="228">
          <cell r="B228" t="str">
            <v>10101-63-0</v>
          </cell>
          <cell r="C228" t="str">
            <v>lead diiodide</v>
          </cell>
          <cell r="D228" t="str">
            <v>구분1B</v>
          </cell>
          <cell r="E228">
            <v>0.1</v>
          </cell>
          <cell r="F228" t="str">
            <v/>
          </cell>
          <cell r="H228" t="str">
            <v>구분1A</v>
          </cell>
          <cell r="I228">
            <v>0.3</v>
          </cell>
        </row>
        <row r="229">
          <cell r="B229" t="str">
            <v>10101-96-9</v>
          </cell>
          <cell r="C229" t="str">
            <v>nickel(2+) selenite</v>
          </cell>
          <cell r="D229" t="str">
            <v>구분1A</v>
          </cell>
          <cell r="E229">
            <v>0.1</v>
          </cell>
          <cell r="F229" t="str">
            <v/>
          </cell>
          <cell r="H229" t="str">
            <v/>
          </cell>
        </row>
        <row r="230">
          <cell r="B230" t="str">
            <v>10101-97-0</v>
          </cell>
          <cell r="C230" t="str">
            <v>Nickel sulfate hexahydrate</v>
          </cell>
          <cell r="D230" t="str">
            <v>구분1A</v>
          </cell>
          <cell r="E230">
            <v>0.1</v>
          </cell>
          <cell r="F230" t="str">
            <v/>
          </cell>
          <cell r="H230" t="str">
            <v/>
          </cell>
        </row>
        <row r="231">
          <cell r="B231" t="str">
            <v>10101-98-1</v>
          </cell>
          <cell r="C231" t="str">
            <v>Sulfuric acid, nickel(2+) salt, hydrate</v>
          </cell>
          <cell r="D231" t="str">
            <v>구분1A</v>
          </cell>
          <cell r="E231">
            <v>0.1</v>
          </cell>
          <cell r="F231" t="str">
            <v/>
          </cell>
          <cell r="H231" t="str">
            <v/>
          </cell>
        </row>
        <row r="232">
          <cell r="B232" t="str">
            <v>10102-40-6</v>
          </cell>
          <cell r="C232" t="str">
            <v>Molybdate (MoO42-​)​, sodium, hydrate</v>
          </cell>
          <cell r="D232" t="str">
            <v>구분2</v>
          </cell>
          <cell r="E232">
            <v>1</v>
          </cell>
          <cell r="F232" t="str">
            <v/>
          </cell>
          <cell r="H232" t="str">
            <v/>
          </cell>
        </row>
        <row r="233">
          <cell r="B233" t="str">
            <v>10102-48-4</v>
          </cell>
          <cell r="C233" t="str">
            <v>Arsenic acid (H3AsO4)​, lead(4+) salt</v>
          </cell>
          <cell r="D233" t="str">
            <v>구분1A</v>
          </cell>
          <cell r="E233">
            <v>0.1</v>
          </cell>
          <cell r="F233" t="str">
            <v/>
          </cell>
          <cell r="H233" t="str">
            <v>구분1A</v>
          </cell>
          <cell r="I233">
            <v>0.3</v>
          </cell>
        </row>
        <row r="234">
          <cell r="B234" t="str">
            <v>10102-49-5</v>
          </cell>
          <cell r="C234" t="str">
            <v>iron arsenate</v>
          </cell>
          <cell r="D234" t="str">
            <v>구분1A</v>
          </cell>
          <cell r="E234">
            <v>0.1</v>
          </cell>
          <cell r="F234" t="str">
            <v/>
          </cell>
          <cell r="H234" t="str">
            <v/>
          </cell>
        </row>
        <row r="235">
          <cell r="B235" t="str">
            <v>10102-50-8</v>
          </cell>
          <cell r="C235" t="str">
            <v>iron bis(arsenate)</v>
          </cell>
          <cell r="D235" t="str">
            <v>구분1A</v>
          </cell>
          <cell r="E235">
            <v>0.1</v>
          </cell>
          <cell r="F235" t="str">
            <v/>
          </cell>
          <cell r="H235" t="str">
            <v/>
          </cell>
        </row>
        <row r="236">
          <cell r="B236" t="str">
            <v>10103-50-1</v>
          </cell>
          <cell r="C236" t="str">
            <v>arsenic acid, magnesium salt</v>
          </cell>
          <cell r="D236" t="str">
            <v>구분1A</v>
          </cell>
          <cell r="E236">
            <v>0.1</v>
          </cell>
          <cell r="F236" t="str">
            <v/>
          </cell>
          <cell r="H236" t="str">
            <v/>
          </cell>
        </row>
        <row r="237">
          <cell r="B237" t="str">
            <v>10103-61-4</v>
          </cell>
          <cell r="C237" t="str">
            <v>arsenic acid, copper salt</v>
          </cell>
          <cell r="D237" t="str">
            <v>구분1A</v>
          </cell>
          <cell r="E237">
            <v>0.1</v>
          </cell>
          <cell r="F237" t="str">
            <v/>
          </cell>
          <cell r="H237" t="str">
            <v/>
          </cell>
        </row>
        <row r="238">
          <cell r="B238" t="str">
            <v>10103-62-5</v>
          </cell>
          <cell r="C238" t="str">
            <v>arsenic acid, calcium salt</v>
          </cell>
          <cell r="D238" t="str">
            <v>구분1A</v>
          </cell>
          <cell r="E238">
            <v>0.1</v>
          </cell>
          <cell r="F238" t="str">
            <v/>
          </cell>
          <cell r="H238" t="str">
            <v/>
          </cell>
        </row>
        <row r="239">
          <cell r="B239" t="str">
            <v>10108-64-2</v>
          </cell>
          <cell r="C239" t="str">
            <v>cadmium chloride</v>
          </cell>
          <cell r="D239" t="str">
            <v>구분1A</v>
          </cell>
          <cell r="E239">
            <v>0.1</v>
          </cell>
          <cell r="F239" t="str">
            <v>구분2</v>
          </cell>
          <cell r="G239">
            <v>1</v>
          </cell>
          <cell r="H239" t="str">
            <v>구분2</v>
          </cell>
          <cell r="I239">
            <v>3</v>
          </cell>
        </row>
        <row r="240">
          <cell r="B240" t="str">
            <v>10112-91-1</v>
          </cell>
          <cell r="C240" t="str">
            <v>dimercury dichloride</v>
          </cell>
          <cell r="D240" t="str">
            <v/>
          </cell>
          <cell r="F240" t="str">
            <v/>
          </cell>
          <cell r="H240" t="str">
            <v>구분1B</v>
          </cell>
          <cell r="I240">
            <v>0.3</v>
          </cell>
        </row>
        <row r="241">
          <cell r="B241" t="str">
            <v>10124-36-4</v>
          </cell>
          <cell r="C241" t="str">
            <v>cadmium sulphate</v>
          </cell>
          <cell r="D241" t="str">
            <v>구분1A</v>
          </cell>
          <cell r="E241">
            <v>0.1</v>
          </cell>
          <cell r="F241" t="str">
            <v>구분2</v>
          </cell>
          <cell r="G241">
            <v>1</v>
          </cell>
          <cell r="H241" t="str">
            <v>구분2</v>
          </cell>
          <cell r="I241">
            <v>3</v>
          </cell>
        </row>
        <row r="242">
          <cell r="B242" t="str">
            <v>10124-48-8</v>
          </cell>
          <cell r="C242" t="str">
            <v>aminomercury chloride</v>
          </cell>
          <cell r="D242" t="str">
            <v/>
          </cell>
          <cell r="F242" t="str">
            <v/>
          </cell>
          <cell r="H242" t="str">
            <v>구분1B</v>
          </cell>
          <cell r="I242">
            <v>0.3</v>
          </cell>
        </row>
        <row r="243">
          <cell r="B243" t="str">
            <v>10124-50-2</v>
          </cell>
          <cell r="C243" t="str">
            <v>potassium arsonate</v>
          </cell>
          <cell r="D243" t="str">
            <v>구분1A</v>
          </cell>
          <cell r="E243">
            <v>0.1</v>
          </cell>
          <cell r="F243" t="str">
            <v/>
          </cell>
          <cell r="H243" t="str">
            <v/>
          </cell>
        </row>
        <row r="244">
          <cell r="B244" t="str">
            <v>10190-55-3</v>
          </cell>
          <cell r="C244" t="str">
            <v>lead molybdate</v>
          </cell>
          <cell r="D244" t="str">
            <v>구분1B</v>
          </cell>
          <cell r="E244">
            <v>0.1</v>
          </cell>
          <cell r="F244" t="str">
            <v/>
          </cell>
          <cell r="H244" t="str">
            <v>구분1A</v>
          </cell>
          <cell r="I244">
            <v>0.3</v>
          </cell>
        </row>
        <row r="245">
          <cell r="B245" t="str">
            <v>10290-12-7</v>
          </cell>
          <cell r="C245" t="str">
            <v>copper arsonate</v>
          </cell>
          <cell r="D245" t="str">
            <v>구분1A</v>
          </cell>
          <cell r="E245">
            <v>0.1</v>
          </cell>
          <cell r="F245" t="str">
            <v/>
          </cell>
          <cell r="H245" t="str">
            <v/>
          </cell>
        </row>
        <row r="246">
          <cell r="B246" t="str">
            <v>10294-40-3</v>
          </cell>
          <cell r="C246" t="str">
            <v>barium chromate</v>
          </cell>
          <cell r="D246" t="str">
            <v>구분1A</v>
          </cell>
          <cell r="E246">
            <v>0.1</v>
          </cell>
          <cell r="F246" t="str">
            <v/>
          </cell>
          <cell r="H246" t="str">
            <v/>
          </cell>
        </row>
        <row r="247">
          <cell r="B247" t="str">
            <v>10294-58-3</v>
          </cell>
          <cell r="C247" t="str">
            <v>lead diphosphinate</v>
          </cell>
          <cell r="D247" t="str">
            <v>구분1B</v>
          </cell>
          <cell r="E247">
            <v>0.1</v>
          </cell>
          <cell r="F247" t="str">
            <v/>
          </cell>
          <cell r="H247" t="str">
            <v>구분1A</v>
          </cell>
          <cell r="I247">
            <v>0.3</v>
          </cell>
        </row>
        <row r="248">
          <cell r="B248" t="str">
            <v>10325-94-7</v>
          </cell>
          <cell r="C248" t="str">
            <v>cadmium nitrate</v>
          </cell>
          <cell r="D248" t="str">
            <v>구분1A</v>
          </cell>
          <cell r="E248">
            <v>0.1</v>
          </cell>
          <cell r="F248" t="str">
            <v>구분2</v>
          </cell>
          <cell r="G248">
            <v>1</v>
          </cell>
          <cell r="H248" t="str">
            <v>구분2</v>
          </cell>
          <cell r="I248">
            <v>3</v>
          </cell>
        </row>
        <row r="249">
          <cell r="B249" t="str">
            <v>10326-24-6</v>
          </cell>
          <cell r="C249" t="str">
            <v>Arsenenous acid, zinc salt</v>
          </cell>
          <cell r="D249" t="str">
            <v>구분1A</v>
          </cell>
          <cell r="E249">
            <v>0.1</v>
          </cell>
          <cell r="F249" t="str">
            <v/>
          </cell>
          <cell r="H249" t="str">
            <v/>
          </cell>
        </row>
        <row r="250">
          <cell r="B250" t="str">
            <v>103-69-5</v>
          </cell>
          <cell r="C250" t="str">
            <v>N-ethylaniline</v>
          </cell>
          <cell r="D250" t="str">
            <v>구분2</v>
          </cell>
          <cell r="E250">
            <v>1</v>
          </cell>
          <cell r="F250" t="str">
            <v>구분2</v>
          </cell>
          <cell r="G250">
            <v>1</v>
          </cell>
          <cell r="H250" t="str">
            <v/>
          </cell>
        </row>
        <row r="251">
          <cell r="B251" t="str">
            <v>10381-36-9</v>
          </cell>
          <cell r="C251" t="str">
            <v>trinickel bis(orthophosphate)</v>
          </cell>
          <cell r="D251" t="str">
            <v>구분1A</v>
          </cell>
          <cell r="E251">
            <v>0.1</v>
          </cell>
          <cell r="F251" t="str">
            <v/>
          </cell>
          <cell r="H251" t="str">
            <v/>
          </cell>
        </row>
        <row r="252">
          <cell r="B252" t="str">
            <v>10415-75-5</v>
          </cell>
          <cell r="C252" t="str">
            <v>dimercury dinitrate</v>
          </cell>
          <cell r="D252" t="str">
            <v/>
          </cell>
          <cell r="F252" t="str">
            <v/>
          </cell>
          <cell r="H252" t="str">
            <v>구분1B</v>
          </cell>
          <cell r="I252">
            <v>0.3</v>
          </cell>
        </row>
        <row r="253">
          <cell r="B253" t="str">
            <v>10588-01-9</v>
          </cell>
          <cell r="C253" t="str">
            <v>sodium dichromate</v>
          </cell>
          <cell r="D253" t="str">
            <v>구분1A</v>
          </cell>
          <cell r="E253">
            <v>0.1</v>
          </cell>
          <cell r="F253" t="str">
            <v/>
          </cell>
          <cell r="H253" t="str">
            <v/>
          </cell>
        </row>
        <row r="254">
          <cell r="B254" t="str">
            <v>107-20-0</v>
          </cell>
          <cell r="C254" t="str">
            <v>chloroacetaldehyde</v>
          </cell>
          <cell r="D254" t="str">
            <v>구분2</v>
          </cell>
          <cell r="E254">
            <v>1</v>
          </cell>
          <cell r="F254" t="str">
            <v/>
          </cell>
          <cell r="H254" t="str">
            <v/>
          </cell>
        </row>
        <row r="255">
          <cell r="B255" t="str">
            <v>11098-84-3</v>
          </cell>
          <cell r="C255" t="str">
            <v>Ammonium molybdenum oxide</v>
          </cell>
          <cell r="D255" t="str">
            <v>구분2</v>
          </cell>
          <cell r="E255">
            <v>1</v>
          </cell>
          <cell r="F255" t="str">
            <v/>
          </cell>
          <cell r="H255" t="str">
            <v/>
          </cell>
        </row>
        <row r="256">
          <cell r="B256" t="str">
            <v>11103-86-9</v>
          </cell>
          <cell r="C256" t="str">
            <v>potassium hydroxyoctaoxodizincatedichromate(1-)</v>
          </cell>
          <cell r="D256" t="str">
            <v>구분1A</v>
          </cell>
          <cell r="E256">
            <v>0.1</v>
          </cell>
          <cell r="F256" t="str">
            <v/>
          </cell>
          <cell r="H256" t="str">
            <v/>
          </cell>
        </row>
        <row r="257">
          <cell r="B257" t="str">
            <v>11104-88-4</v>
          </cell>
          <cell r="C257" t="str">
            <v>Molybdenum hydroxide oxide phosphate</v>
          </cell>
          <cell r="D257" t="str">
            <v>구분2</v>
          </cell>
          <cell r="E257">
            <v>1</v>
          </cell>
          <cell r="F257" t="str">
            <v/>
          </cell>
          <cell r="H257" t="str">
            <v/>
          </cell>
        </row>
        <row r="258">
          <cell r="B258" t="str">
            <v>11105-19-4</v>
          </cell>
          <cell r="C258" t="str">
            <v>Nickel alloy, base, Ni 63.00-​70.00,​Cu 25-​37,​Fe 0-​2.50,​Mn 0-​2.00,​Si 0-​0.50,​C 0-​0.3,​S 0-​0.024 (UNS N04400)</v>
          </cell>
          <cell r="D258" t="str">
            <v>구분1A</v>
          </cell>
          <cell r="E258">
            <v>0.1</v>
          </cell>
          <cell r="F258" t="str">
            <v/>
          </cell>
          <cell r="H258" t="str">
            <v/>
          </cell>
        </row>
        <row r="259">
          <cell r="B259" t="str">
            <v>11112-63-3</v>
          </cell>
          <cell r="C259" t="str">
            <v>cadmium selenide sulphide</v>
          </cell>
          <cell r="D259" t="str">
            <v>구분1A</v>
          </cell>
          <cell r="E259">
            <v>0.1</v>
          </cell>
          <cell r="F259" t="str">
            <v>구분2</v>
          </cell>
          <cell r="G259">
            <v>1</v>
          </cell>
          <cell r="H259" t="str">
            <v>구분2</v>
          </cell>
          <cell r="I259">
            <v>3</v>
          </cell>
        </row>
        <row r="260">
          <cell r="B260" t="str">
            <v>11113-70-5</v>
          </cell>
          <cell r="C260" t="str">
            <v>Silicic acid, chromium lead salt</v>
          </cell>
          <cell r="D260" t="str">
            <v>구분1A</v>
          </cell>
          <cell r="E260">
            <v>0.1</v>
          </cell>
          <cell r="F260" t="str">
            <v/>
          </cell>
          <cell r="H260" t="str">
            <v>구분1A</v>
          </cell>
          <cell r="I260">
            <v>0.3</v>
          </cell>
        </row>
        <row r="261">
          <cell r="B261" t="str">
            <v>11113-74-9</v>
          </cell>
          <cell r="C261" t="str">
            <v>Nickel hydroxide</v>
          </cell>
          <cell r="D261" t="str">
            <v>구분1A</v>
          </cell>
          <cell r="E261">
            <v>0.1</v>
          </cell>
          <cell r="F261" t="str">
            <v/>
          </cell>
          <cell r="H261" t="str">
            <v/>
          </cell>
        </row>
        <row r="262">
          <cell r="B262" t="str">
            <v>11116-83-9</v>
          </cell>
          <cell r="C262" t="str">
            <v>dibismuth dilead tetraruthenium tridecaoxide</v>
          </cell>
          <cell r="D262" t="str">
            <v>구분1B</v>
          </cell>
          <cell r="E262">
            <v>0.1</v>
          </cell>
          <cell r="F262" t="str">
            <v/>
          </cell>
          <cell r="H262" t="str">
            <v>구분1A</v>
          </cell>
          <cell r="I262">
            <v>0.3</v>
          </cell>
        </row>
        <row r="263">
          <cell r="B263" t="str">
            <v>11121-96-3</v>
          </cell>
          <cell r="C263" t="str">
            <v>Iron alloy, base, Fe 39.5-​51,​Ni 30.0-​35.0,​Cr 19.0-​23.0,​Mn 0-​1.5,​Si 0-​1.0,​Cu 0-​0.75,​Al 0.15-​0.60,​Ti 0.15-​0.60,​C 0-​0.10,​S 0-​0.015 (UNS N08800)</v>
          </cell>
          <cell r="D263" t="str">
            <v>구분1A</v>
          </cell>
          <cell r="E263">
            <v>0.1</v>
          </cell>
          <cell r="F263" t="str">
            <v/>
          </cell>
          <cell r="H263" t="str">
            <v/>
          </cell>
        </row>
        <row r="264">
          <cell r="B264" t="str">
            <v>11133-76-9</v>
          </cell>
          <cell r="C264" t="str">
            <v>Iron alloy, base, Fe,​Ni (Ferronickel)</v>
          </cell>
          <cell r="D264" t="str">
            <v>구분1A</v>
          </cell>
          <cell r="E264">
            <v>0.1</v>
          </cell>
          <cell r="F264" t="str">
            <v/>
          </cell>
          <cell r="H264" t="str">
            <v/>
          </cell>
        </row>
        <row r="265">
          <cell r="B265" t="str">
            <v>116565-73-2</v>
          </cell>
          <cell r="C265" t="str">
            <v>Chromium lead molybdenum oxide sulfate, silica-​modified</v>
          </cell>
          <cell r="D265" t="str">
            <v>구분1B</v>
          </cell>
          <cell r="E265">
            <v>0.1</v>
          </cell>
          <cell r="F265" t="str">
            <v/>
          </cell>
          <cell r="H265" t="str">
            <v>구분1A</v>
          </cell>
          <cell r="I265">
            <v>0.3</v>
          </cell>
        </row>
        <row r="266">
          <cell r="B266" t="str">
            <v>1191-79-3</v>
          </cell>
          <cell r="C266" t="str">
            <v>barium cadmium tetrastearate</v>
          </cell>
          <cell r="D266" t="str">
            <v>구분1A</v>
          </cell>
          <cell r="E266">
            <v>0.1</v>
          </cell>
          <cell r="F266" t="str">
            <v>구분2</v>
          </cell>
          <cell r="G266">
            <v>1</v>
          </cell>
          <cell r="H266" t="str">
            <v>구분2</v>
          </cell>
          <cell r="I266">
            <v>3</v>
          </cell>
        </row>
        <row r="267">
          <cell r="B267" t="str">
            <v>1191-80-6</v>
          </cell>
          <cell r="C267" t="str">
            <v>mercury dioleate</v>
          </cell>
          <cell r="D267" t="str">
            <v/>
          </cell>
          <cell r="F267" t="str">
            <v/>
          </cell>
          <cell r="H267" t="str">
            <v>구분1B</v>
          </cell>
          <cell r="I267">
            <v>0.3</v>
          </cell>
        </row>
        <row r="268">
          <cell r="B268" t="str">
            <v>12002-03-8</v>
          </cell>
          <cell r="C268" t="str">
            <v>C.I. pigment green 021</v>
          </cell>
          <cell r="D268" t="str">
            <v>구분1A</v>
          </cell>
          <cell r="E268">
            <v>0.1</v>
          </cell>
          <cell r="F268" t="str">
            <v/>
          </cell>
          <cell r="H268" t="str">
            <v/>
          </cell>
        </row>
        <row r="269">
          <cell r="B269" t="str">
            <v>12003-78-0</v>
          </cell>
          <cell r="C269" t="str">
            <v>aluminium, compound with nickel (1:1)</v>
          </cell>
          <cell r="D269" t="str">
            <v>구분1A</v>
          </cell>
          <cell r="E269">
            <v>0.1</v>
          </cell>
          <cell r="F269" t="str">
            <v/>
          </cell>
          <cell r="H269" t="str">
            <v/>
          </cell>
        </row>
        <row r="270">
          <cell r="B270" t="str">
            <v>12004-35-2</v>
          </cell>
          <cell r="C270" t="str">
            <v>dialuminium nickel tetraoxide</v>
          </cell>
          <cell r="D270" t="str">
            <v>구분1A</v>
          </cell>
          <cell r="E270">
            <v>0.1</v>
          </cell>
          <cell r="F270" t="str">
            <v/>
          </cell>
          <cell r="H270" t="str">
            <v/>
          </cell>
        </row>
        <row r="271">
          <cell r="B271" t="str">
            <v>12004-71-6</v>
          </cell>
          <cell r="C271" t="str">
            <v>Aluminum, compd. with nickel</v>
          </cell>
          <cell r="D271" t="str">
            <v>구분1A</v>
          </cell>
          <cell r="E271">
            <v>0.1</v>
          </cell>
          <cell r="F271" t="str">
            <v/>
          </cell>
          <cell r="H271" t="str">
            <v/>
          </cell>
        </row>
        <row r="272">
          <cell r="B272" t="str">
            <v>12005-75-3</v>
          </cell>
          <cell r="C272" t="str">
            <v>tricopper arsenide</v>
          </cell>
          <cell r="D272" t="str">
            <v>구분1A</v>
          </cell>
          <cell r="E272">
            <v>0.1</v>
          </cell>
          <cell r="F272" t="str">
            <v/>
          </cell>
          <cell r="H272" t="str">
            <v/>
          </cell>
        </row>
        <row r="273">
          <cell r="B273" t="str">
            <v>12005-81-1</v>
          </cell>
          <cell r="C273" t="str">
            <v>dysprosium arsenide</v>
          </cell>
          <cell r="D273" t="str">
            <v>구분1A</v>
          </cell>
          <cell r="E273">
            <v>0.1</v>
          </cell>
          <cell r="F273" t="str">
            <v/>
          </cell>
          <cell r="H273" t="str">
            <v/>
          </cell>
        </row>
        <row r="274">
          <cell r="B274" t="str">
            <v>12005-82-2</v>
          </cell>
          <cell r="C274" t="str">
            <v>Arsenate(1-​)​, hexafluoro-​, silver(1+)</v>
          </cell>
          <cell r="D274" t="str">
            <v>구분1A</v>
          </cell>
          <cell r="E274">
            <v>0.1</v>
          </cell>
          <cell r="F274" t="str">
            <v/>
          </cell>
          <cell r="H274" t="str">
            <v/>
          </cell>
        </row>
        <row r="275">
          <cell r="B275" t="str">
            <v>12005-88-8</v>
          </cell>
          <cell r="C275" t="str">
            <v>diiron arsenide</v>
          </cell>
          <cell r="D275" t="str">
            <v>구분1A</v>
          </cell>
          <cell r="E275">
            <v>0.1</v>
          </cell>
          <cell r="F275" t="str">
            <v/>
          </cell>
          <cell r="H275" t="str">
            <v/>
          </cell>
        </row>
        <row r="276">
          <cell r="B276" t="str">
            <v>12005-89-9</v>
          </cell>
          <cell r="C276" t="str">
            <v>gadolinium arsenide</v>
          </cell>
          <cell r="D276" t="str">
            <v>구분1A</v>
          </cell>
          <cell r="E276">
            <v>0.1</v>
          </cell>
          <cell r="F276" t="str">
            <v/>
          </cell>
          <cell r="H276" t="str">
            <v/>
          </cell>
        </row>
        <row r="277">
          <cell r="B277" t="str">
            <v>12005-92-4</v>
          </cell>
          <cell r="C277" t="str">
            <v>holmium arsenide</v>
          </cell>
          <cell r="D277" t="str">
            <v>구분1A</v>
          </cell>
          <cell r="E277">
            <v>0.1</v>
          </cell>
          <cell r="F277" t="str">
            <v/>
          </cell>
          <cell r="H277" t="str">
            <v/>
          </cell>
        </row>
        <row r="278">
          <cell r="B278" t="str">
            <v>12005-94-6</v>
          </cell>
          <cell r="C278" t="str">
            <v>lutetium arsenide</v>
          </cell>
          <cell r="D278" t="str">
            <v>구분1A</v>
          </cell>
          <cell r="E278">
            <v>0.1</v>
          </cell>
          <cell r="F278" t="str">
            <v/>
          </cell>
          <cell r="H278" t="str">
            <v/>
          </cell>
        </row>
        <row r="279">
          <cell r="B279" t="str">
            <v>12005-95-7</v>
          </cell>
          <cell r="C279" t="str">
            <v>manganese arsenide</v>
          </cell>
          <cell r="D279" t="str">
            <v>구분1A</v>
          </cell>
          <cell r="E279">
            <v>0.1</v>
          </cell>
          <cell r="F279" t="str">
            <v/>
          </cell>
          <cell r="H279" t="str">
            <v/>
          </cell>
        </row>
        <row r="280">
          <cell r="B280" t="str">
            <v>12005-96-8</v>
          </cell>
          <cell r="C280" t="str">
            <v>Manganese arsenide (Mn2As)</v>
          </cell>
          <cell r="D280" t="str">
            <v>구분1A</v>
          </cell>
          <cell r="E280">
            <v>0.1</v>
          </cell>
          <cell r="F280" t="str">
            <v/>
          </cell>
          <cell r="H280" t="str">
            <v/>
          </cell>
        </row>
        <row r="281">
          <cell r="B281" t="str">
            <v>12006-08-5</v>
          </cell>
          <cell r="C281" t="str">
            <v>terbium arsenide</v>
          </cell>
          <cell r="D281" t="str">
            <v>구분1A</v>
          </cell>
          <cell r="E281">
            <v>0.1</v>
          </cell>
          <cell r="F281" t="str">
            <v/>
          </cell>
          <cell r="H281" t="str">
            <v/>
          </cell>
        </row>
        <row r="282">
          <cell r="B282" t="str">
            <v>12006-09-6</v>
          </cell>
          <cell r="C282" t="str">
            <v>thallium arsenide</v>
          </cell>
          <cell r="D282" t="str">
            <v>구분1A</v>
          </cell>
          <cell r="E282">
            <v>0.1</v>
          </cell>
          <cell r="F282" t="str">
            <v/>
          </cell>
          <cell r="H282" t="str">
            <v/>
          </cell>
        </row>
        <row r="283">
          <cell r="B283" t="str">
            <v>12006-12-1</v>
          </cell>
          <cell r="C283" t="str">
            <v>ytterbium arsenide</v>
          </cell>
          <cell r="D283" t="str">
            <v>구분1A</v>
          </cell>
          <cell r="E283">
            <v>0.1</v>
          </cell>
          <cell r="F283" t="str">
            <v/>
          </cell>
          <cell r="H283" t="str">
            <v/>
          </cell>
        </row>
        <row r="284">
          <cell r="B284" t="str">
            <v>12006-15-4</v>
          </cell>
          <cell r="C284" t="str">
            <v>tricadmium diarsenide</v>
          </cell>
          <cell r="D284" t="str">
            <v>구분1A</v>
          </cell>
          <cell r="E284">
            <v>0.1</v>
          </cell>
          <cell r="F284" t="str">
            <v>구분2</v>
          </cell>
          <cell r="G284">
            <v>1</v>
          </cell>
          <cell r="H284" t="str">
            <v>구분2</v>
          </cell>
          <cell r="I284">
            <v>3</v>
          </cell>
        </row>
        <row r="285">
          <cell r="B285" t="str">
            <v>12006-21-2</v>
          </cell>
          <cell r="C285" t="str">
            <v>iron diarsenide</v>
          </cell>
          <cell r="D285" t="str">
            <v>구분1A</v>
          </cell>
          <cell r="E285">
            <v>0.1</v>
          </cell>
          <cell r="F285" t="str">
            <v/>
          </cell>
          <cell r="H285" t="str">
            <v/>
          </cell>
        </row>
        <row r="286">
          <cell r="B286" t="str">
            <v>12006-40-5</v>
          </cell>
          <cell r="C286" t="str">
            <v>trizinc diarsenide</v>
          </cell>
          <cell r="D286" t="str">
            <v>구분1A</v>
          </cell>
          <cell r="E286">
            <v>0.1</v>
          </cell>
          <cell r="F286" t="str">
            <v/>
          </cell>
          <cell r="H286" t="str">
            <v/>
          </cell>
        </row>
        <row r="287">
          <cell r="B287" t="str">
            <v>12007-00-0</v>
          </cell>
          <cell r="C287" t="str">
            <v>nickel boride</v>
          </cell>
          <cell r="D287" t="str">
            <v>구분1A</v>
          </cell>
          <cell r="E287">
            <v>0.1</v>
          </cell>
          <cell r="F287" t="str">
            <v/>
          </cell>
          <cell r="H287" t="str">
            <v/>
          </cell>
        </row>
        <row r="288">
          <cell r="B288" t="str">
            <v>12007-01-1</v>
          </cell>
          <cell r="C288" t="str">
            <v>dinickel boride</v>
          </cell>
          <cell r="D288" t="str">
            <v>구분1A</v>
          </cell>
          <cell r="E288">
            <v>0.1</v>
          </cell>
          <cell r="F288" t="str">
            <v/>
          </cell>
          <cell r="H288" t="str">
            <v/>
          </cell>
        </row>
        <row r="289">
          <cell r="B289" t="str">
            <v>12007-02-2</v>
          </cell>
          <cell r="C289" t="str">
            <v>trinickel boride</v>
          </cell>
          <cell r="D289" t="str">
            <v>구분1A</v>
          </cell>
          <cell r="E289">
            <v>0.1</v>
          </cell>
          <cell r="F289" t="str">
            <v/>
          </cell>
          <cell r="H289" t="str">
            <v/>
          </cell>
        </row>
        <row r="290">
          <cell r="B290" t="str">
            <v>12013-69-3</v>
          </cell>
          <cell r="C290" t="str">
            <v>dicalcium lead tetraoxide</v>
          </cell>
          <cell r="D290" t="str">
            <v>구분1B</v>
          </cell>
          <cell r="E290">
            <v>0.1</v>
          </cell>
          <cell r="F290" t="str">
            <v/>
          </cell>
          <cell r="H290" t="str">
            <v>구분1A</v>
          </cell>
          <cell r="I290">
            <v>0.3</v>
          </cell>
        </row>
        <row r="291">
          <cell r="B291" t="str">
            <v>12014-14-1</v>
          </cell>
          <cell r="C291" t="str">
            <v>cadmium titanium trioxide</v>
          </cell>
          <cell r="D291" t="str">
            <v>구분1A</v>
          </cell>
          <cell r="E291">
            <v>0.1</v>
          </cell>
          <cell r="F291" t="str">
            <v>구분2</v>
          </cell>
          <cell r="G291">
            <v>1</v>
          </cell>
          <cell r="H291" t="str">
            <v>구분2</v>
          </cell>
          <cell r="I291">
            <v>3</v>
          </cell>
        </row>
        <row r="292">
          <cell r="B292" t="str">
            <v>12014-28-7</v>
          </cell>
          <cell r="C292" t="str">
            <v>tricadmium diphosphide</v>
          </cell>
          <cell r="D292" t="str">
            <v>구분1A</v>
          </cell>
          <cell r="E292">
            <v>0.1</v>
          </cell>
          <cell r="F292" t="str">
            <v>구분2</v>
          </cell>
          <cell r="G292">
            <v>1</v>
          </cell>
          <cell r="H292" t="str">
            <v>구분2</v>
          </cell>
          <cell r="I292">
            <v>3</v>
          </cell>
        </row>
        <row r="293">
          <cell r="B293" t="str">
            <v>12014-29-8</v>
          </cell>
          <cell r="C293" t="str">
            <v>antimony, compound with cadmium (2:3)</v>
          </cell>
          <cell r="D293" t="str">
            <v>구분1A</v>
          </cell>
          <cell r="E293">
            <v>0.1</v>
          </cell>
          <cell r="F293" t="str">
            <v>구분2</v>
          </cell>
          <cell r="G293">
            <v>1</v>
          </cell>
          <cell r="H293" t="str">
            <v>구분2</v>
          </cell>
          <cell r="I293">
            <v>3</v>
          </cell>
        </row>
        <row r="294">
          <cell r="B294" t="str">
            <v>12018-18-7</v>
          </cell>
          <cell r="C294" t="str">
            <v>dichromium nickel tetraoxide</v>
          </cell>
          <cell r="D294" t="str">
            <v>구분1A</v>
          </cell>
          <cell r="E294">
            <v>0.1</v>
          </cell>
          <cell r="F294" t="str">
            <v/>
          </cell>
          <cell r="H294" t="str">
            <v/>
          </cell>
        </row>
        <row r="295">
          <cell r="B295" t="str">
            <v>12023-90-4</v>
          </cell>
          <cell r="C295" t="str">
            <v>dodecairon lead nonadecaoxide</v>
          </cell>
          <cell r="D295" t="str">
            <v>구분1B</v>
          </cell>
          <cell r="E295">
            <v>0.1</v>
          </cell>
          <cell r="F295" t="str">
            <v/>
          </cell>
          <cell r="H295" t="str">
            <v>구분1A</v>
          </cell>
          <cell r="I295">
            <v>0.3</v>
          </cell>
        </row>
        <row r="296">
          <cell r="B296" t="str">
            <v>12026-57-2</v>
          </cell>
          <cell r="C296" t="str">
            <v>trihydrogen tetracosa-μ-oxododecaoxo[μ12-[phosphato(3-)-O:O:O:O':O':O':O'':O'':O'':O''':O''':O''']]dodecamolybdate(3-)</v>
          </cell>
          <cell r="D296" t="str">
            <v>구분2</v>
          </cell>
          <cell r="E296">
            <v>1</v>
          </cell>
          <cell r="F296" t="str">
            <v/>
          </cell>
          <cell r="H296" t="str">
            <v/>
          </cell>
        </row>
        <row r="297">
          <cell r="B297" t="str">
            <v>12027-67-7</v>
          </cell>
          <cell r="C297" t="str">
            <v>hexaammonium heptamolybdate</v>
          </cell>
          <cell r="D297" t="str">
            <v>구분2</v>
          </cell>
          <cell r="E297">
            <v>1</v>
          </cell>
          <cell r="F297" t="str">
            <v/>
          </cell>
          <cell r="H297" t="str">
            <v/>
          </cell>
        </row>
        <row r="298">
          <cell r="B298" t="str">
            <v>12031-65-1</v>
          </cell>
          <cell r="C298" t="str">
            <v>Lithium nickel oxide (LiNiO2)</v>
          </cell>
          <cell r="D298" t="str">
            <v>구분1A</v>
          </cell>
          <cell r="E298">
            <v>0.1</v>
          </cell>
          <cell r="F298" t="str">
            <v/>
          </cell>
          <cell r="H298" t="str">
            <v/>
          </cell>
        </row>
        <row r="299">
          <cell r="B299" t="str">
            <v>12033-29-3</v>
          </cell>
          <cell r="C299" t="str">
            <v>Molybdenum sulfide (MoS3)</v>
          </cell>
          <cell r="D299" t="str">
            <v>구분2</v>
          </cell>
          <cell r="E299">
            <v>1</v>
          </cell>
          <cell r="F299" t="str">
            <v/>
          </cell>
          <cell r="H299" t="str">
            <v/>
          </cell>
        </row>
        <row r="300">
          <cell r="B300" t="str">
            <v>12034-30-9</v>
          </cell>
          <cell r="C300" t="str">
            <v>lead disodium dioxide</v>
          </cell>
          <cell r="D300" t="str">
            <v>구분1B</v>
          </cell>
          <cell r="E300">
            <v>0.1</v>
          </cell>
          <cell r="F300" t="str">
            <v/>
          </cell>
          <cell r="H300" t="str">
            <v>구분1A</v>
          </cell>
          <cell r="I300">
            <v>0.3</v>
          </cell>
        </row>
        <row r="301">
          <cell r="B301" t="str">
            <v>12034-55-8</v>
          </cell>
          <cell r="C301" t="str">
            <v>nickel, compound with niobium (1:1)</v>
          </cell>
          <cell r="D301" t="str">
            <v>구분1A</v>
          </cell>
          <cell r="E301">
            <v>0.1</v>
          </cell>
          <cell r="F301" t="str">
            <v/>
          </cell>
          <cell r="H301" t="str">
            <v/>
          </cell>
        </row>
        <row r="302">
          <cell r="B302" t="str">
            <v>12034-88-7</v>
          </cell>
          <cell r="C302" t="str">
            <v>lead diniobium hexaoxide</v>
          </cell>
          <cell r="D302" t="str">
            <v>구분1B</v>
          </cell>
          <cell r="E302">
            <v>0.1</v>
          </cell>
          <cell r="F302" t="str">
            <v/>
          </cell>
          <cell r="H302" t="str">
            <v>구분1A</v>
          </cell>
          <cell r="I302">
            <v>0.3</v>
          </cell>
        </row>
        <row r="303">
          <cell r="B303" t="str">
            <v>12035-36-8</v>
          </cell>
          <cell r="C303" t="str">
            <v>nickel dioxide</v>
          </cell>
          <cell r="D303" t="str">
            <v>구분1A</v>
          </cell>
          <cell r="E303">
            <v>0.1</v>
          </cell>
          <cell r="F303" t="str">
            <v/>
          </cell>
          <cell r="H303" t="str">
            <v/>
          </cell>
        </row>
        <row r="304">
          <cell r="B304" t="str">
            <v>12035-38-0</v>
          </cell>
          <cell r="C304" t="str">
            <v>nickel tin trioxide</v>
          </cell>
          <cell r="D304" t="str">
            <v>구분1A</v>
          </cell>
          <cell r="E304">
            <v>0.1</v>
          </cell>
          <cell r="F304" t="str">
            <v/>
          </cell>
          <cell r="H304" t="str">
            <v/>
          </cell>
        </row>
        <row r="305">
          <cell r="B305" t="str">
            <v>12035-39-1</v>
          </cell>
          <cell r="C305" t="str">
            <v>nickel titanium trioxide</v>
          </cell>
          <cell r="D305" t="str">
            <v>구분1A</v>
          </cell>
          <cell r="E305">
            <v>0.1</v>
          </cell>
          <cell r="F305" t="str">
            <v/>
          </cell>
          <cell r="H305" t="str">
            <v/>
          </cell>
        </row>
        <row r="306">
          <cell r="B306" t="str">
            <v>12035-51-7</v>
          </cell>
          <cell r="C306" t="str">
            <v>Nickel sulfide (NiS2) </v>
          </cell>
          <cell r="D306" t="str">
            <v>구분1A</v>
          </cell>
          <cell r="E306">
            <v>0.1</v>
          </cell>
          <cell r="F306" t="str">
            <v/>
          </cell>
          <cell r="H306" t="str">
            <v/>
          </cell>
        </row>
        <row r="307">
          <cell r="B307" t="str">
            <v>12035-52-8</v>
          </cell>
          <cell r="C307" t="str">
            <v>antimony, compound with nickel (1:1)</v>
          </cell>
          <cell r="D307" t="str">
            <v>구분1A</v>
          </cell>
          <cell r="E307">
            <v>0.1</v>
          </cell>
          <cell r="F307" t="str">
            <v/>
          </cell>
          <cell r="H307" t="str">
            <v/>
          </cell>
        </row>
        <row r="308">
          <cell r="B308" t="str">
            <v>12035-64-2</v>
          </cell>
          <cell r="C308" t="str">
            <v>dinickel phosphide</v>
          </cell>
          <cell r="D308" t="str">
            <v>구분1A</v>
          </cell>
          <cell r="E308">
            <v>0.1</v>
          </cell>
          <cell r="F308" t="str">
            <v/>
          </cell>
          <cell r="H308" t="str">
            <v/>
          </cell>
        </row>
        <row r="309">
          <cell r="B309" t="str">
            <v>12036-31-6</v>
          </cell>
          <cell r="C309" t="str">
            <v>lead tin trioxide</v>
          </cell>
          <cell r="D309" t="str">
            <v>구분1B</v>
          </cell>
          <cell r="E309">
            <v>0.1</v>
          </cell>
          <cell r="F309" t="str">
            <v/>
          </cell>
          <cell r="H309" t="str">
            <v>구분1A</v>
          </cell>
          <cell r="I309">
            <v>0.3</v>
          </cell>
        </row>
        <row r="310">
          <cell r="B310" t="str">
            <v>12036-76-9</v>
          </cell>
          <cell r="C310" t="str">
            <v>lead oxide sulfate</v>
          </cell>
          <cell r="D310" t="str">
            <v>구분1B</v>
          </cell>
          <cell r="E310">
            <v>0.1</v>
          </cell>
          <cell r="F310" t="str">
            <v/>
          </cell>
          <cell r="H310" t="str">
            <v>구분1A</v>
          </cell>
          <cell r="I310">
            <v>0.3</v>
          </cell>
        </row>
        <row r="311">
          <cell r="B311" t="str">
            <v>12044-16-5</v>
          </cell>
          <cell r="C311" t="str">
            <v>iron arsenide</v>
          </cell>
          <cell r="D311" t="str">
            <v>구분1A</v>
          </cell>
          <cell r="E311">
            <v>0.1</v>
          </cell>
          <cell r="F311" t="str">
            <v/>
          </cell>
          <cell r="H311" t="str">
            <v/>
          </cell>
        </row>
        <row r="312">
          <cell r="B312" t="str">
            <v>12044-20-1</v>
          </cell>
          <cell r="C312" t="str">
            <v>digallium arsenide phosphide</v>
          </cell>
          <cell r="D312" t="str">
            <v>구분1A</v>
          </cell>
          <cell r="E312">
            <v>0.1</v>
          </cell>
          <cell r="F312" t="str">
            <v/>
          </cell>
          <cell r="H312" t="str">
            <v/>
          </cell>
        </row>
        <row r="313">
          <cell r="B313" t="str">
            <v>12044-21-2</v>
          </cell>
          <cell r="C313" t="str">
            <v>tripotassium arsenide</v>
          </cell>
          <cell r="D313" t="str">
            <v>구분1A</v>
          </cell>
          <cell r="E313">
            <v>0.1</v>
          </cell>
          <cell r="F313" t="str">
            <v/>
          </cell>
          <cell r="H313" t="str">
            <v/>
          </cell>
        </row>
        <row r="314">
          <cell r="B314" t="str">
            <v>12044-22-3</v>
          </cell>
          <cell r="C314" t="str">
            <v>trilithium arsenide</v>
          </cell>
          <cell r="D314" t="str">
            <v>구분1A</v>
          </cell>
          <cell r="E314">
            <v>0.1</v>
          </cell>
          <cell r="F314" t="str">
            <v/>
          </cell>
          <cell r="H314" t="str">
            <v/>
          </cell>
        </row>
        <row r="315">
          <cell r="B315" t="str">
            <v>12044-25-6</v>
          </cell>
          <cell r="C315" t="str">
            <v>trisodium arsenide</v>
          </cell>
          <cell r="D315" t="str">
            <v>구분1A</v>
          </cell>
          <cell r="E315">
            <v>0.1</v>
          </cell>
          <cell r="F315" t="str">
            <v/>
          </cell>
          <cell r="H315" t="str">
            <v/>
          </cell>
        </row>
        <row r="316">
          <cell r="B316" t="str">
            <v>12044-28-9</v>
          </cell>
          <cell r="C316" t="str">
            <v>praseodymium arsenide</v>
          </cell>
          <cell r="D316" t="str">
            <v>구분1A</v>
          </cell>
          <cell r="E316">
            <v>0.1</v>
          </cell>
          <cell r="F316" t="str">
            <v/>
          </cell>
          <cell r="H316" t="str">
            <v/>
          </cell>
        </row>
        <row r="317">
          <cell r="B317" t="str">
            <v>12044-42-7</v>
          </cell>
          <cell r="C317" t="str">
            <v>Cobalt arsenide (CoAs2)</v>
          </cell>
          <cell r="D317" t="str">
            <v>구분1A</v>
          </cell>
          <cell r="E317">
            <v>0.1</v>
          </cell>
          <cell r="F317" t="str">
            <v/>
          </cell>
          <cell r="H317" t="str">
            <v/>
          </cell>
        </row>
        <row r="318">
          <cell r="B318" t="str">
            <v>12044-49-4</v>
          </cell>
          <cell r="C318" t="str">
            <v>trimagnesium diarsenide</v>
          </cell>
          <cell r="D318" t="str">
            <v>구분1A</v>
          </cell>
          <cell r="E318">
            <v>0.1</v>
          </cell>
          <cell r="F318" t="str">
            <v/>
          </cell>
          <cell r="H318" t="str">
            <v/>
          </cell>
        </row>
        <row r="319">
          <cell r="B319" t="str">
            <v>12044-54-1</v>
          </cell>
          <cell r="C319" t="str">
            <v>diarsenic tritelluride</v>
          </cell>
          <cell r="D319" t="str">
            <v>구분1A</v>
          </cell>
          <cell r="E319">
            <v>0.1</v>
          </cell>
          <cell r="F319" t="str">
            <v/>
          </cell>
          <cell r="H319" t="str">
            <v/>
          </cell>
        </row>
        <row r="320">
          <cell r="B320" t="str">
            <v>12044-55-2</v>
          </cell>
          <cell r="C320" t="str">
            <v>zinc diarsenide</v>
          </cell>
          <cell r="D320" t="str">
            <v>구분1A</v>
          </cell>
          <cell r="E320">
            <v>0.1</v>
          </cell>
          <cell r="F320" t="str">
            <v/>
          </cell>
          <cell r="H320" t="str">
            <v/>
          </cell>
        </row>
        <row r="321">
          <cell r="B321" t="str">
            <v>12044-65-4</v>
          </cell>
          <cell r="C321" t="str">
            <v>Maucherite (Ni11As8)</v>
          </cell>
          <cell r="D321" t="str">
            <v>구분1A</v>
          </cell>
          <cell r="E321">
            <v>0.1</v>
          </cell>
          <cell r="F321" t="str">
            <v/>
          </cell>
          <cell r="H321" t="str">
            <v/>
          </cell>
        </row>
        <row r="322">
          <cell r="B322" t="str">
            <v>12048-28-1</v>
          </cell>
          <cell r="C322" t="str">
            <v>bismuth, compound with lead (1:1)</v>
          </cell>
          <cell r="D322" t="str">
            <v>구분1B</v>
          </cell>
          <cell r="E322">
            <v>0.1</v>
          </cell>
          <cell r="F322" t="str">
            <v/>
          </cell>
          <cell r="H322" t="str">
            <v>구분1A</v>
          </cell>
          <cell r="I322">
            <v>0.3</v>
          </cell>
        </row>
        <row r="323">
          <cell r="B323" t="str">
            <v>12054-48-7</v>
          </cell>
          <cell r="C323" t="str">
            <v>nickel dihydroxide</v>
          </cell>
          <cell r="D323" t="str">
            <v>구분1A</v>
          </cell>
          <cell r="E323">
            <v>0.1</v>
          </cell>
          <cell r="F323" t="str">
            <v/>
          </cell>
          <cell r="H323" t="str">
            <v/>
          </cell>
        </row>
        <row r="324">
          <cell r="B324" t="str">
            <v>12054-85-2</v>
          </cell>
          <cell r="C324" t="str">
            <v>Molybdate (Mo7O246-​)​, ammonium, hydrate</v>
          </cell>
          <cell r="D324" t="str">
            <v>구분2</v>
          </cell>
          <cell r="E324">
            <v>1</v>
          </cell>
          <cell r="F324" t="str">
            <v/>
          </cell>
          <cell r="H324" t="str">
            <v/>
          </cell>
        </row>
        <row r="325">
          <cell r="B325" t="str">
            <v>12059-14-2</v>
          </cell>
          <cell r="C325" t="str">
            <v>dinickel silicide</v>
          </cell>
          <cell r="D325" t="str">
            <v>구분1A</v>
          </cell>
          <cell r="E325">
            <v>0.1</v>
          </cell>
          <cell r="F325" t="str">
            <v/>
          </cell>
          <cell r="H325" t="str">
            <v/>
          </cell>
        </row>
        <row r="326">
          <cell r="B326" t="str">
            <v>12059-23-3</v>
          </cell>
          <cell r="C326" t="str">
            <v>nickel, compound with tin (3:1)</v>
          </cell>
          <cell r="D326" t="str">
            <v>구분1A</v>
          </cell>
          <cell r="E326">
            <v>0.1</v>
          </cell>
          <cell r="F326" t="str">
            <v/>
          </cell>
          <cell r="H326" t="str">
            <v/>
          </cell>
        </row>
        <row r="327">
          <cell r="B327" t="str">
            <v>12059-89-1</v>
          </cell>
          <cell r="C327" t="str">
            <v>dilead oxide</v>
          </cell>
          <cell r="D327" t="str">
            <v>구분1B</v>
          </cell>
          <cell r="E327">
            <v>0.1</v>
          </cell>
          <cell r="F327" t="str">
            <v/>
          </cell>
          <cell r="H327" t="str">
            <v>구분1A</v>
          </cell>
          <cell r="I327">
            <v>0.3</v>
          </cell>
        </row>
        <row r="328">
          <cell r="B328" t="str">
            <v>12060-00-3</v>
          </cell>
          <cell r="C328" t="str">
            <v>lead titanium trioxide</v>
          </cell>
          <cell r="D328" t="str">
            <v>구분1B</v>
          </cell>
          <cell r="E328">
            <v>0.1</v>
          </cell>
          <cell r="F328" t="str">
            <v/>
          </cell>
          <cell r="H328" t="str">
            <v>구분1A</v>
          </cell>
          <cell r="I328">
            <v>0.3</v>
          </cell>
        </row>
        <row r="329">
          <cell r="B329" t="str">
            <v>12060-01-4</v>
          </cell>
          <cell r="C329" t="str">
            <v>lead zirconium trioxide</v>
          </cell>
          <cell r="D329" t="str">
            <v>구분1B</v>
          </cell>
          <cell r="E329">
            <v>0.1</v>
          </cell>
          <cell r="F329" t="str">
            <v/>
          </cell>
          <cell r="H329" t="str">
            <v>구분1A</v>
          </cell>
          <cell r="I329">
            <v>0.3</v>
          </cell>
        </row>
        <row r="330">
          <cell r="B330" t="str">
            <v>12065-68-8</v>
          </cell>
          <cell r="C330" t="str">
            <v>lead ditantalum hexaoxide</v>
          </cell>
          <cell r="D330" t="str">
            <v>구분1B</v>
          </cell>
          <cell r="E330">
            <v>0.1</v>
          </cell>
          <cell r="F330" t="str">
            <v/>
          </cell>
          <cell r="H330" t="str">
            <v>구분1A</v>
          </cell>
          <cell r="I330">
            <v>0.3</v>
          </cell>
        </row>
        <row r="331">
          <cell r="B331" t="str">
            <v>12065-90-6</v>
          </cell>
          <cell r="C331" t="str">
            <v>pentalead tetraoxide sulphate</v>
          </cell>
          <cell r="D331" t="str">
            <v>구분1B</v>
          </cell>
          <cell r="E331">
            <v>0.1</v>
          </cell>
          <cell r="F331" t="str">
            <v/>
          </cell>
          <cell r="H331" t="str">
            <v>구분1A</v>
          </cell>
          <cell r="I331">
            <v>0.3</v>
          </cell>
        </row>
        <row r="332">
          <cell r="B332" t="str">
            <v>12068-61-0</v>
          </cell>
          <cell r="C332" t="str">
            <v>nickel diarsenide</v>
          </cell>
          <cell r="D332" t="str">
            <v>구분1A</v>
          </cell>
          <cell r="E332">
            <v>0.1</v>
          </cell>
          <cell r="F332" t="str">
            <v/>
          </cell>
          <cell r="H332" t="str">
            <v/>
          </cell>
        </row>
        <row r="333">
          <cell r="B333" t="str">
            <v>12068-90-5</v>
          </cell>
          <cell r="C333" t="str">
            <v>mercury telluride</v>
          </cell>
          <cell r="D333" t="str">
            <v/>
          </cell>
          <cell r="F333" t="str">
            <v/>
          </cell>
          <cell r="H333" t="str">
            <v>구분1B</v>
          </cell>
          <cell r="I333">
            <v>0.3</v>
          </cell>
        </row>
        <row r="334">
          <cell r="B334" t="str">
            <v>12069-00-0</v>
          </cell>
          <cell r="C334" t="str">
            <v>lead selenide</v>
          </cell>
          <cell r="D334" t="str">
            <v>구분1B</v>
          </cell>
          <cell r="E334">
            <v>0.1</v>
          </cell>
          <cell r="F334" t="str">
            <v/>
          </cell>
          <cell r="H334" t="str">
            <v>구분1A</v>
          </cell>
          <cell r="I334">
            <v>0.3</v>
          </cell>
        </row>
        <row r="335">
          <cell r="B335" t="str">
            <v>12070-09-6</v>
          </cell>
          <cell r="C335" t="str">
            <v>Uranium carbide (UC)</v>
          </cell>
          <cell r="D335" t="str">
            <v>구분1A</v>
          </cell>
          <cell r="E335">
            <v>0.1</v>
          </cell>
          <cell r="F335" t="str">
            <v/>
          </cell>
          <cell r="H335" t="str">
            <v/>
          </cell>
        </row>
        <row r="336">
          <cell r="B336" t="str">
            <v>12071-33-9</v>
          </cell>
          <cell r="C336" t="str">
            <v>Uranium carbide (UC2)</v>
          </cell>
          <cell r="D336" t="str">
            <v>구분1A</v>
          </cell>
          <cell r="E336">
            <v>0.1</v>
          </cell>
          <cell r="F336" t="str">
            <v/>
          </cell>
          <cell r="H336" t="str">
            <v/>
          </cell>
        </row>
        <row r="337">
          <cell r="B337" t="str">
            <v>12137-13-2</v>
          </cell>
          <cell r="C337" t="str">
            <v>Nickel selenide (Ni3Se2)</v>
          </cell>
          <cell r="D337" t="str">
            <v>구분1A</v>
          </cell>
          <cell r="E337">
            <v>0.1</v>
          </cell>
          <cell r="F337" t="str">
            <v/>
          </cell>
          <cell r="H337" t="str">
            <v/>
          </cell>
        </row>
        <row r="338">
          <cell r="B338" t="str">
            <v>12137-74-5</v>
          </cell>
          <cell r="C338" t="str">
            <v>lead disulphide</v>
          </cell>
          <cell r="D338" t="str">
            <v>구분1B</v>
          </cell>
          <cell r="E338">
            <v>0.1</v>
          </cell>
          <cell r="F338" t="str">
            <v/>
          </cell>
          <cell r="H338" t="str">
            <v>구분1A</v>
          </cell>
          <cell r="I338">
            <v>0.3</v>
          </cell>
        </row>
        <row r="339">
          <cell r="B339" t="str">
            <v>12139-22-9</v>
          </cell>
          <cell r="C339" t="str">
            <v>Cadmium peroxide (Cd(O2))</v>
          </cell>
          <cell r="D339" t="str">
            <v>구분1A</v>
          </cell>
          <cell r="E339">
            <v>0.1</v>
          </cell>
          <cell r="F339" t="str">
            <v>구분2</v>
          </cell>
          <cell r="G339">
            <v>1</v>
          </cell>
          <cell r="H339" t="str">
            <v>구분2</v>
          </cell>
          <cell r="I339">
            <v>3</v>
          </cell>
        </row>
        <row r="340">
          <cell r="B340" t="str">
            <v>12139-23-0</v>
          </cell>
          <cell r="C340" t="str">
            <v>cadmium zirconium trioxide</v>
          </cell>
          <cell r="D340" t="str">
            <v>구분1A</v>
          </cell>
          <cell r="E340">
            <v>0.1</v>
          </cell>
          <cell r="F340" t="str">
            <v>구분2</v>
          </cell>
          <cell r="G340">
            <v>1</v>
          </cell>
          <cell r="H340" t="str">
            <v>구분2</v>
          </cell>
          <cell r="I340">
            <v>3</v>
          </cell>
        </row>
        <row r="341">
          <cell r="B341" t="str">
            <v>12141-20-7</v>
          </cell>
          <cell r="C341" t="str">
            <v>trilead dioxide phosphonate</v>
          </cell>
          <cell r="D341" t="str">
            <v>구분1B</v>
          </cell>
          <cell r="E341">
            <v>0.1</v>
          </cell>
          <cell r="F341" t="str">
            <v/>
          </cell>
          <cell r="H341" t="str">
            <v>구분1A</v>
          </cell>
          <cell r="I341">
            <v>0.3</v>
          </cell>
        </row>
        <row r="342">
          <cell r="B342" t="str">
            <v>12142-88-0</v>
          </cell>
          <cell r="C342" t="str">
            <v>nickel telluride</v>
          </cell>
          <cell r="D342" t="str">
            <v>구분1A</v>
          </cell>
          <cell r="E342">
            <v>0.1</v>
          </cell>
          <cell r="F342" t="str">
            <v/>
          </cell>
          <cell r="H342" t="str">
            <v/>
          </cell>
        </row>
        <row r="343">
          <cell r="B343" t="str">
            <v>12142-92-6</v>
          </cell>
          <cell r="C343" t="str">
            <v>nickel, compound with zirconium (1:2)</v>
          </cell>
          <cell r="D343" t="str">
            <v>구분1A</v>
          </cell>
          <cell r="E343">
            <v>0.1</v>
          </cell>
          <cell r="F343" t="str">
            <v/>
          </cell>
          <cell r="H343" t="str">
            <v/>
          </cell>
        </row>
        <row r="344">
          <cell r="B344" t="str">
            <v>12161-82-9</v>
          </cell>
          <cell r="C344" t="str">
            <v>Bertrandite (Be4(OH)2O(SiO3)2)</v>
          </cell>
          <cell r="D344" t="str">
            <v>구분1A</v>
          </cell>
          <cell r="E344">
            <v>0.1</v>
          </cell>
          <cell r="F344" t="str">
            <v/>
          </cell>
          <cell r="H344" t="str">
            <v/>
          </cell>
        </row>
        <row r="345">
          <cell r="B345" t="str">
            <v>12168-54-6</v>
          </cell>
          <cell r="C345" t="str">
            <v>diiron nickel tetraoxide</v>
          </cell>
          <cell r="D345" t="str">
            <v>구분1A</v>
          </cell>
          <cell r="E345">
            <v>0.1</v>
          </cell>
          <cell r="F345" t="str">
            <v/>
          </cell>
          <cell r="H345" t="str">
            <v/>
          </cell>
        </row>
        <row r="346">
          <cell r="B346" t="str">
            <v>12175-27-8</v>
          </cell>
          <cell r="C346" t="str">
            <v>dysprosium, compound with nickel (1:2)</v>
          </cell>
          <cell r="D346" t="str">
            <v>구분1A</v>
          </cell>
          <cell r="E346">
            <v>0.1</v>
          </cell>
          <cell r="F346" t="str">
            <v/>
          </cell>
          <cell r="H346" t="str">
            <v/>
          </cell>
        </row>
        <row r="347">
          <cell r="B347" t="str">
            <v>12185-64-7</v>
          </cell>
          <cell r="C347" t="str">
            <v>pentacadmium chloridetriphosphate</v>
          </cell>
          <cell r="D347" t="str">
            <v>구분1A</v>
          </cell>
          <cell r="E347">
            <v>0.1</v>
          </cell>
          <cell r="F347" t="str">
            <v>구분2</v>
          </cell>
          <cell r="G347">
            <v>1</v>
          </cell>
          <cell r="H347" t="str">
            <v>구분2</v>
          </cell>
          <cell r="I347">
            <v>3</v>
          </cell>
        </row>
        <row r="348">
          <cell r="B348" t="str">
            <v>12187-14-3</v>
          </cell>
          <cell r="C348" t="str">
            <v>dicadmium niobate</v>
          </cell>
          <cell r="D348" t="str">
            <v>구분1A</v>
          </cell>
          <cell r="E348">
            <v>0.1</v>
          </cell>
          <cell r="F348" t="str">
            <v>구분2</v>
          </cell>
          <cell r="G348">
            <v>1</v>
          </cell>
          <cell r="H348" t="str">
            <v>구분2</v>
          </cell>
          <cell r="I348">
            <v>3</v>
          </cell>
        </row>
        <row r="349">
          <cell r="B349" t="str">
            <v>12196-72-4</v>
          </cell>
          <cell r="C349" t="str">
            <v>lanthanum, compound with nickel (1:5)</v>
          </cell>
          <cell r="D349" t="str">
            <v>구분1A</v>
          </cell>
          <cell r="E349">
            <v>0.1</v>
          </cell>
          <cell r="F349" t="str">
            <v/>
          </cell>
          <cell r="H349" t="str">
            <v/>
          </cell>
        </row>
        <row r="350">
          <cell r="B350" t="str">
            <v>12201-89-7</v>
          </cell>
          <cell r="C350" t="str">
            <v>nickel disilicide</v>
          </cell>
          <cell r="D350" t="str">
            <v>구분1A</v>
          </cell>
          <cell r="E350">
            <v>0.1</v>
          </cell>
          <cell r="F350" t="str">
            <v/>
          </cell>
          <cell r="H350" t="str">
            <v/>
          </cell>
        </row>
        <row r="351">
          <cell r="B351" t="str">
            <v>12202-17-4</v>
          </cell>
          <cell r="C351" t="str">
            <v>tetralead trioxide sulphate</v>
          </cell>
          <cell r="D351" t="str">
            <v>구분1B</v>
          </cell>
          <cell r="E351">
            <v>0.1</v>
          </cell>
          <cell r="F351" t="str">
            <v/>
          </cell>
          <cell r="H351" t="str">
            <v>구분1A</v>
          </cell>
          <cell r="I351">
            <v>0.3</v>
          </cell>
        </row>
        <row r="352">
          <cell r="B352" t="str">
            <v>12205-72-0</v>
          </cell>
          <cell r="C352" t="str">
            <v>lead chloride oxide</v>
          </cell>
          <cell r="D352" t="str">
            <v>구분1B</v>
          </cell>
          <cell r="E352">
            <v>0.1</v>
          </cell>
          <cell r="F352" t="str">
            <v/>
          </cell>
          <cell r="H352" t="str">
            <v>구분1A</v>
          </cell>
          <cell r="I352">
            <v>0.3</v>
          </cell>
        </row>
        <row r="353">
          <cell r="B353" t="str">
            <v>12214-12-9</v>
          </cell>
          <cell r="C353" t="str">
            <v>dicadmium selenide sulphide</v>
          </cell>
          <cell r="D353" t="str">
            <v>구분1A</v>
          </cell>
          <cell r="E353">
            <v>0.1</v>
          </cell>
          <cell r="F353" t="str">
            <v>구분2</v>
          </cell>
          <cell r="G353">
            <v>1</v>
          </cell>
          <cell r="H353" t="str">
            <v>구분2</v>
          </cell>
          <cell r="I353">
            <v>3</v>
          </cell>
        </row>
        <row r="354">
          <cell r="B354" t="str">
            <v>12228-40-9</v>
          </cell>
          <cell r="C354" t="str">
            <v>beryllium diboride</v>
          </cell>
          <cell r="D354" t="str">
            <v>구분1A</v>
          </cell>
          <cell r="E354">
            <v>0.1</v>
          </cell>
          <cell r="F354" t="str">
            <v/>
          </cell>
          <cell r="H354" t="str">
            <v/>
          </cell>
        </row>
        <row r="355">
          <cell r="B355" t="str">
            <v>12232-25-6</v>
          </cell>
          <cell r="C355" t="str">
            <v>beryllium selenide</v>
          </cell>
          <cell r="D355" t="str">
            <v>구분1A</v>
          </cell>
          <cell r="E355">
            <v>0.1</v>
          </cell>
          <cell r="F355" t="str">
            <v/>
          </cell>
          <cell r="H355" t="str">
            <v/>
          </cell>
        </row>
        <row r="356">
          <cell r="B356" t="str">
            <v>12232-27-8</v>
          </cell>
          <cell r="C356" t="str">
            <v>beryllium telluride</v>
          </cell>
          <cell r="D356" t="str">
            <v>구분1A</v>
          </cell>
          <cell r="E356">
            <v>0.1</v>
          </cell>
          <cell r="F356" t="str">
            <v/>
          </cell>
          <cell r="H356" t="str">
            <v/>
          </cell>
        </row>
        <row r="357">
          <cell r="B357" t="str">
            <v>12254-85-2</v>
          </cell>
          <cell r="C357" t="str">
            <v>dichromium arsenide</v>
          </cell>
          <cell r="D357" t="str">
            <v>구분1A</v>
          </cell>
          <cell r="E357">
            <v>0.1</v>
          </cell>
          <cell r="F357" t="str">
            <v/>
          </cell>
          <cell r="H357" t="str">
            <v/>
          </cell>
        </row>
        <row r="358">
          <cell r="B358" t="str">
            <v>12254-88-5</v>
          </cell>
          <cell r="C358" t="str">
            <v>erbium arsenide</v>
          </cell>
          <cell r="D358" t="str">
            <v>구분1A</v>
          </cell>
          <cell r="E358">
            <v>0.1</v>
          </cell>
          <cell r="F358" t="str">
            <v/>
          </cell>
          <cell r="H358" t="str">
            <v/>
          </cell>
        </row>
        <row r="359">
          <cell r="B359" t="str">
            <v>12255-04-8</v>
          </cell>
          <cell r="C359" t="str">
            <v>lanthanum arsenide</v>
          </cell>
          <cell r="D359" t="str">
            <v>구분1A</v>
          </cell>
          <cell r="E359">
            <v>0.1</v>
          </cell>
          <cell r="F359" t="str">
            <v/>
          </cell>
          <cell r="H359" t="str">
            <v/>
          </cell>
        </row>
        <row r="360">
          <cell r="B360" t="str">
            <v>12255-08-2</v>
          </cell>
          <cell r="C360" t="str">
            <v>niobium arsenide</v>
          </cell>
          <cell r="D360" t="str">
            <v>구분1A</v>
          </cell>
          <cell r="E360">
            <v>0.1</v>
          </cell>
          <cell r="F360" t="str">
            <v/>
          </cell>
          <cell r="H360" t="str">
            <v/>
          </cell>
        </row>
        <row r="361">
          <cell r="B361" t="str">
            <v>12255-09-3</v>
          </cell>
          <cell r="C361" t="str">
            <v>neodymium arsenide</v>
          </cell>
          <cell r="D361" t="str">
            <v>구분1A</v>
          </cell>
          <cell r="E361">
            <v>0.1</v>
          </cell>
          <cell r="F361" t="str">
            <v/>
          </cell>
          <cell r="H361" t="str">
            <v/>
          </cell>
        </row>
        <row r="362">
          <cell r="B362" t="str">
            <v>12255-10-6</v>
          </cell>
          <cell r="C362" t="str">
            <v>Nickel arsenide sulfide (NiAsS)</v>
          </cell>
          <cell r="D362" t="str">
            <v>구분1A</v>
          </cell>
          <cell r="E362">
            <v>0.1</v>
          </cell>
          <cell r="F362" t="str">
            <v/>
          </cell>
          <cell r="H362" t="str">
            <v/>
          </cell>
        </row>
        <row r="363">
          <cell r="B363" t="str">
            <v>12255-11-7</v>
          </cell>
          <cell r="C363" t="str">
            <v>Gersdorffite (NiAsS)</v>
          </cell>
          <cell r="D363" t="str">
            <v>구분1A</v>
          </cell>
          <cell r="E363">
            <v>0.1</v>
          </cell>
          <cell r="F363" t="str">
            <v/>
          </cell>
          <cell r="H363" t="str">
            <v/>
          </cell>
        </row>
        <row r="364">
          <cell r="B364" t="str">
            <v>12255-12-8</v>
          </cell>
          <cell r="C364" t="str">
            <v>Arsenic oxide (AsO2)</v>
          </cell>
          <cell r="D364" t="str">
            <v>구분1A</v>
          </cell>
          <cell r="E364">
            <v>0.1</v>
          </cell>
          <cell r="F364" t="str">
            <v/>
          </cell>
          <cell r="H364" t="str">
            <v/>
          </cell>
        </row>
        <row r="365">
          <cell r="B365" t="str">
            <v>12255-36-6</v>
          </cell>
          <cell r="C365" t="str">
            <v>triantimony arsenide</v>
          </cell>
          <cell r="D365" t="str">
            <v>구분1A</v>
          </cell>
          <cell r="E365">
            <v>0.1</v>
          </cell>
          <cell r="F365" t="str">
            <v/>
          </cell>
          <cell r="H365" t="str">
            <v/>
          </cell>
        </row>
        <row r="366">
          <cell r="B366" t="str">
            <v>12255-39-9</v>
          </cell>
          <cell r="C366" t="str">
            <v>samarium arsenide</v>
          </cell>
          <cell r="D366" t="str">
            <v>구분1A</v>
          </cell>
          <cell r="E366">
            <v>0.1</v>
          </cell>
          <cell r="F366" t="str">
            <v/>
          </cell>
          <cell r="H366" t="str">
            <v/>
          </cell>
        </row>
        <row r="367">
          <cell r="B367" t="str">
            <v>12255-48-0</v>
          </cell>
          <cell r="C367" t="str">
            <v>yttrium arsenide</v>
          </cell>
          <cell r="D367" t="str">
            <v>구분1A</v>
          </cell>
          <cell r="E367">
            <v>0.1</v>
          </cell>
          <cell r="F367" t="str">
            <v/>
          </cell>
          <cell r="H367" t="str">
            <v/>
          </cell>
        </row>
        <row r="368">
          <cell r="B368" t="str">
            <v>12255-50-4</v>
          </cell>
          <cell r="C368" t="str">
            <v>tribarium diarsenide</v>
          </cell>
          <cell r="D368" t="str">
            <v>구분1A</v>
          </cell>
          <cell r="E368">
            <v>0.1</v>
          </cell>
          <cell r="F368" t="str">
            <v/>
          </cell>
          <cell r="H368" t="str">
            <v/>
          </cell>
        </row>
        <row r="369">
          <cell r="B369" t="str">
            <v>12255-53-7</v>
          </cell>
          <cell r="C369" t="str">
            <v>tricalcium diarsenide</v>
          </cell>
          <cell r="D369" t="str">
            <v>구분1A</v>
          </cell>
          <cell r="E369">
            <v>0.1</v>
          </cell>
          <cell r="F369" t="str">
            <v/>
          </cell>
          <cell r="H369" t="str">
            <v/>
          </cell>
        </row>
        <row r="370">
          <cell r="B370" t="str">
            <v>12255-80-0</v>
          </cell>
          <cell r="C370" t="str">
            <v>Nickel arsenide (Ni5As2)</v>
          </cell>
          <cell r="D370" t="str">
            <v>구분1A</v>
          </cell>
          <cell r="E370">
            <v>0.1</v>
          </cell>
          <cell r="F370" t="str">
            <v/>
          </cell>
          <cell r="H370" t="str">
            <v/>
          </cell>
        </row>
        <row r="371">
          <cell r="B371" t="str">
            <v>12256-04-1</v>
          </cell>
          <cell r="C371" t="str">
            <v>Cobalt arsenide (CoAs3)</v>
          </cell>
          <cell r="D371" t="str">
            <v>구분1A</v>
          </cell>
          <cell r="E371">
            <v>0.1</v>
          </cell>
          <cell r="F371" t="str">
            <v/>
          </cell>
          <cell r="H371" t="str">
            <v/>
          </cell>
        </row>
        <row r="372">
          <cell r="B372" t="str">
            <v>12256-33-6</v>
          </cell>
          <cell r="C372" t="str">
            <v>Nickel arsenide (Ni11As8)</v>
          </cell>
          <cell r="D372" t="str">
            <v>구분1A</v>
          </cell>
          <cell r="E372">
            <v>0.1</v>
          </cell>
          <cell r="F372" t="str">
            <v/>
          </cell>
          <cell r="H372" t="str">
            <v/>
          </cell>
        </row>
        <row r="373">
          <cell r="B373" t="str">
            <v>12263-13-7</v>
          </cell>
          <cell r="C373" t="str">
            <v>trinickel bis[tetracosa-μ-oxododecaoxo[μ12-[phosphato(3-)-O:O:O:O':O':O':O'':O'':O'':O''':O''':O''']]dodecamolybdate(3-)]</v>
          </cell>
          <cell r="D373" t="str">
            <v>구분1A</v>
          </cell>
          <cell r="E373">
            <v>0.1</v>
          </cell>
          <cell r="F373" t="str">
            <v/>
          </cell>
          <cell r="H373" t="str">
            <v/>
          </cell>
        </row>
        <row r="374">
          <cell r="B374" t="str">
            <v>12266-38-5</v>
          </cell>
          <cell r="C374" t="str">
            <v>antimony, compound with lead (1:1)</v>
          </cell>
          <cell r="D374" t="str">
            <v>구분1B</v>
          </cell>
          <cell r="E374">
            <v>0.1</v>
          </cell>
          <cell r="F374" t="str">
            <v/>
          </cell>
          <cell r="H374" t="str">
            <v>구분1A</v>
          </cell>
          <cell r="I374">
            <v>0.3</v>
          </cell>
        </row>
        <row r="375">
          <cell r="B375" t="str">
            <v>12268-84-7</v>
          </cell>
          <cell r="C375" t="str">
            <v>lead hydroxide nitrate</v>
          </cell>
          <cell r="D375" t="str">
            <v>구분1B</v>
          </cell>
          <cell r="E375">
            <v>0.1</v>
          </cell>
          <cell r="F375" t="str">
            <v/>
          </cell>
          <cell r="H375" t="str">
            <v>구분1A</v>
          </cell>
          <cell r="I375">
            <v>0.3</v>
          </cell>
        </row>
        <row r="376">
          <cell r="B376" t="str">
            <v>12271-72-6</v>
          </cell>
          <cell r="C376" t="str">
            <v>germanium arsenide</v>
          </cell>
          <cell r="D376" t="str">
            <v>구분1A</v>
          </cell>
          <cell r="E376">
            <v>0.1</v>
          </cell>
          <cell r="F376" t="str">
            <v/>
          </cell>
          <cell r="H376" t="str">
            <v/>
          </cell>
        </row>
        <row r="377">
          <cell r="B377" t="str">
            <v>12279-90-2</v>
          </cell>
          <cell r="C377" t="str">
            <v>2,​4,​6,​8-​Tetrathia-​1,​3,​5,​7-​tetraarsatricyclo[3.​3.0.03,​7]​octane</v>
          </cell>
          <cell r="D377" t="str">
            <v>구분1A</v>
          </cell>
          <cell r="E377">
            <v>0.1</v>
          </cell>
          <cell r="F377" t="str">
            <v/>
          </cell>
          <cell r="H377" t="str">
            <v/>
          </cell>
        </row>
        <row r="378">
          <cell r="B378" t="str">
            <v>12292-07-8</v>
          </cell>
          <cell r="C378" t="str">
            <v>cadmium ditantalum hexaoxide</v>
          </cell>
          <cell r="D378" t="str">
            <v>구분1A</v>
          </cell>
          <cell r="E378">
            <v>0.1</v>
          </cell>
          <cell r="F378" t="str">
            <v>구분2</v>
          </cell>
          <cell r="G378">
            <v>1</v>
          </cell>
          <cell r="H378" t="str">
            <v>구분2</v>
          </cell>
          <cell r="I378">
            <v>3</v>
          </cell>
        </row>
        <row r="379">
          <cell r="B379" t="str">
            <v>12344-40-0</v>
          </cell>
          <cell r="C379" t="str">
            <v>mercury silver iodide</v>
          </cell>
          <cell r="D379" t="str">
            <v/>
          </cell>
          <cell r="F379" t="str">
            <v/>
          </cell>
          <cell r="H379" t="str">
            <v>구분1B</v>
          </cell>
          <cell r="I379">
            <v>0.3</v>
          </cell>
        </row>
        <row r="380">
          <cell r="B380" t="str">
            <v>12344-68-2</v>
          </cell>
          <cell r="C380" t="str">
            <v>Arsenic sulfide (As2S4)</v>
          </cell>
          <cell r="D380" t="str">
            <v>구분1A</v>
          </cell>
          <cell r="E380">
            <v>0.1</v>
          </cell>
          <cell r="F380" t="str">
            <v/>
          </cell>
          <cell r="H380" t="str">
            <v/>
          </cell>
        </row>
        <row r="381">
          <cell r="B381" t="str">
            <v>12356-42-2</v>
          </cell>
          <cell r="C381" t="str">
            <v>Bismuth lead oxide (Bi2Pb2O5)</v>
          </cell>
          <cell r="D381" t="str">
            <v>구분1B</v>
          </cell>
          <cell r="E381">
            <v>0.1</v>
          </cell>
          <cell r="F381" t="str">
            <v/>
          </cell>
          <cell r="H381" t="str">
            <v>구분1A</v>
          </cell>
          <cell r="I381">
            <v>0.3</v>
          </cell>
        </row>
        <row r="382">
          <cell r="B382" t="str">
            <v>12372-45-1</v>
          </cell>
          <cell r="C382" t="str">
            <v>potassium pentadecaoxodiplumbatepentaniobate(1-)</v>
          </cell>
          <cell r="D382" t="str">
            <v>구분1B</v>
          </cell>
          <cell r="E382">
            <v>0.1</v>
          </cell>
          <cell r="F382" t="str">
            <v/>
          </cell>
          <cell r="H382" t="str">
            <v>구분1A</v>
          </cell>
          <cell r="I382">
            <v>0.3</v>
          </cell>
        </row>
        <row r="383">
          <cell r="B383" t="str">
            <v>12377-69-4</v>
          </cell>
          <cell r="C383" t="str">
            <v>Bismuth lead sulfide (Bi2Pb2S5)</v>
          </cell>
          <cell r="D383" t="str">
            <v>구분1B</v>
          </cell>
          <cell r="E383">
            <v>0.1</v>
          </cell>
          <cell r="F383" t="str">
            <v/>
          </cell>
          <cell r="H383" t="str">
            <v>구분1A</v>
          </cell>
          <cell r="I383">
            <v>0.3</v>
          </cell>
        </row>
        <row r="384">
          <cell r="B384" t="str">
            <v>12411-64-2</v>
          </cell>
          <cell r="C384" t="str">
            <v>tetraammonium hexamolybdate</v>
          </cell>
          <cell r="D384" t="str">
            <v>구분2</v>
          </cell>
          <cell r="E384">
            <v>1</v>
          </cell>
          <cell r="F384" t="str">
            <v/>
          </cell>
          <cell r="H384" t="str">
            <v/>
          </cell>
        </row>
        <row r="385">
          <cell r="B385" t="str">
            <v>12417-99-1</v>
          </cell>
          <cell r="C385" t="str">
            <v>trisilver arsenide</v>
          </cell>
          <cell r="D385" t="str">
            <v>구분1A</v>
          </cell>
          <cell r="E385">
            <v>0.1</v>
          </cell>
          <cell r="F385" t="str">
            <v/>
          </cell>
          <cell r="H385" t="str">
            <v/>
          </cell>
        </row>
        <row r="386">
          <cell r="B386" t="str">
            <v>12435-47-1</v>
          </cell>
          <cell r="C386" t="str">
            <v>lead germanate</v>
          </cell>
          <cell r="D386" t="str">
            <v>구분1B</v>
          </cell>
          <cell r="E386">
            <v>0.1</v>
          </cell>
          <cell r="F386" t="str">
            <v/>
          </cell>
          <cell r="H386" t="str">
            <v>구분1A</v>
          </cell>
          <cell r="I386">
            <v>0.3</v>
          </cell>
        </row>
        <row r="387">
          <cell r="B387" t="str">
            <v>12442-27-2</v>
          </cell>
          <cell r="C387" t="str">
            <v>cadmium zinc sulphide</v>
          </cell>
          <cell r="D387" t="str">
            <v>구분1A</v>
          </cell>
          <cell r="E387">
            <v>0.1</v>
          </cell>
          <cell r="F387" t="str">
            <v>구분2</v>
          </cell>
          <cell r="G387">
            <v>1</v>
          </cell>
          <cell r="H387" t="str">
            <v>구분2</v>
          </cell>
          <cell r="I387">
            <v>3</v>
          </cell>
        </row>
        <row r="388">
          <cell r="B388" t="str">
            <v>124594-15-6</v>
          </cell>
          <cell r="C388" t="str">
            <v>Sulfamic acid, nickel(2+) salt (2:1)​, tetrahydrate</v>
          </cell>
          <cell r="D388" t="str">
            <v>구분1A</v>
          </cell>
          <cell r="E388">
            <v>0.1</v>
          </cell>
          <cell r="F388" t="str">
            <v/>
          </cell>
          <cell r="H388" t="str">
            <v/>
          </cell>
        </row>
        <row r="389">
          <cell r="B389" t="str">
            <v>12503-49-0</v>
          </cell>
          <cell r="C389" t="str">
            <v>antimony, compound with nickel (1:3)</v>
          </cell>
          <cell r="D389" t="str">
            <v>구분1A</v>
          </cell>
          <cell r="E389">
            <v>0.1</v>
          </cell>
          <cell r="F389" t="str">
            <v/>
          </cell>
          <cell r="H389" t="str">
            <v/>
          </cell>
        </row>
        <row r="390">
          <cell r="B390" t="str">
            <v>12511-95-4</v>
          </cell>
          <cell r="C390" t="str">
            <v>1,​2,​3-​Triphospha-​4-​arsatricyclo[1.1.0.0​2,​4]​butane</v>
          </cell>
          <cell r="D390" t="str">
            <v>구분1A</v>
          </cell>
          <cell r="E390">
            <v>0.1</v>
          </cell>
          <cell r="F390" t="str">
            <v/>
          </cell>
          <cell r="H390" t="str">
            <v/>
          </cell>
        </row>
        <row r="391">
          <cell r="B391" t="str">
            <v>12512-11-7</v>
          </cell>
          <cell r="C391" t="str">
            <v>1-​Phospha-​2,​3,​4-​triarsatricyclo[1.1.​0.02,​4]​butane</v>
          </cell>
          <cell r="D391" t="str">
            <v>구분1A</v>
          </cell>
          <cell r="E391">
            <v>0.1</v>
          </cell>
          <cell r="F391" t="str">
            <v/>
          </cell>
          <cell r="H391" t="str">
            <v/>
          </cell>
        </row>
        <row r="392">
          <cell r="B392" t="str">
            <v>12519-85-6</v>
          </cell>
          <cell r="C392" t="str">
            <v>trihydrogen hydroxybis[orthosilicato(4-)]trinickelate(3-)</v>
          </cell>
          <cell r="D392" t="str">
            <v>구분1A</v>
          </cell>
          <cell r="E392">
            <v>0.1</v>
          </cell>
          <cell r="F392" t="str">
            <v/>
          </cell>
          <cell r="H392" t="str">
            <v/>
          </cell>
        </row>
        <row r="393">
          <cell r="B393" t="str">
            <v>12536-51-5</v>
          </cell>
          <cell r="C393" t="str">
            <v>beryllium diboride</v>
          </cell>
          <cell r="D393" t="str">
            <v>구분1A</v>
          </cell>
          <cell r="E393">
            <v>0.1</v>
          </cell>
          <cell r="F393" t="str">
            <v/>
          </cell>
          <cell r="H393" t="str">
            <v/>
          </cell>
        </row>
        <row r="394">
          <cell r="B394" t="str">
            <v>12536-52-6</v>
          </cell>
          <cell r="C394" t="str">
            <v>tetraberyllium boride</v>
          </cell>
          <cell r="D394" t="str">
            <v>구분1A</v>
          </cell>
          <cell r="E394">
            <v>0.1</v>
          </cell>
          <cell r="F394" t="str">
            <v/>
          </cell>
          <cell r="H394" t="str">
            <v/>
          </cell>
        </row>
        <row r="395">
          <cell r="B395" t="str">
            <v>12607-70-4</v>
          </cell>
          <cell r="C395" t="str">
            <v>[carbonato(2-)]tetrahydroxytrinickel</v>
          </cell>
          <cell r="D395" t="str">
            <v>구분1A</v>
          </cell>
          <cell r="E395">
            <v>0.1</v>
          </cell>
          <cell r="F395" t="str">
            <v/>
          </cell>
          <cell r="H395" t="str">
            <v/>
          </cell>
        </row>
        <row r="396">
          <cell r="B396" t="str">
            <v>12619-90-8</v>
          </cell>
          <cell r="C396" t="str">
            <v>Nickel boride</v>
          </cell>
          <cell r="D396" t="str">
            <v>구분1A</v>
          </cell>
          <cell r="E396">
            <v>0.1</v>
          </cell>
          <cell r="F396" t="str">
            <v/>
          </cell>
          <cell r="H396" t="str">
            <v/>
          </cell>
        </row>
        <row r="397">
          <cell r="B397" t="str">
            <v>12626-36-7</v>
          </cell>
          <cell r="C397" t="str">
            <v>Cadmium selenide sulfide</v>
          </cell>
          <cell r="D397" t="str">
            <v>구분1A</v>
          </cell>
          <cell r="E397">
            <v>0.1</v>
          </cell>
          <cell r="F397" t="str">
            <v>구분2</v>
          </cell>
          <cell r="G397">
            <v>1</v>
          </cell>
          <cell r="H397" t="str">
            <v>구분2</v>
          </cell>
          <cell r="I397">
            <v>3</v>
          </cell>
        </row>
        <row r="398">
          <cell r="B398" t="str">
            <v>12626-81-2</v>
          </cell>
          <cell r="C398" t="str">
            <v>Lead titanium zirconium oxide</v>
          </cell>
          <cell r="D398" t="str">
            <v>구분1B</v>
          </cell>
          <cell r="E398">
            <v>0.1</v>
          </cell>
          <cell r="F398" t="str">
            <v/>
          </cell>
          <cell r="H398" t="str">
            <v>구분1A</v>
          </cell>
          <cell r="I398">
            <v>0.3</v>
          </cell>
        </row>
        <row r="399">
          <cell r="B399" t="str">
            <v>12645-50-0</v>
          </cell>
          <cell r="C399" t="str">
            <v>Iron nickel zinc oxide</v>
          </cell>
          <cell r="D399" t="str">
            <v>구분1A</v>
          </cell>
          <cell r="E399">
            <v>0.1</v>
          </cell>
          <cell r="F399" t="str">
            <v/>
          </cell>
          <cell r="H399" t="str">
            <v/>
          </cell>
        </row>
        <row r="400">
          <cell r="B400" t="str">
            <v>12653-76-8</v>
          </cell>
          <cell r="C400" t="str">
            <v>Nickel titanium oxide</v>
          </cell>
          <cell r="D400" t="str">
            <v>구분1A</v>
          </cell>
          <cell r="E400">
            <v>0.1</v>
          </cell>
          <cell r="F400" t="str">
            <v/>
          </cell>
          <cell r="H400" t="str">
            <v/>
          </cell>
        </row>
        <row r="401">
          <cell r="B401" t="str">
            <v>12656-85-8</v>
          </cell>
          <cell r="C401" t="str">
            <v>lead chromate molybdate sulfate red</v>
          </cell>
          <cell r="D401" t="str">
            <v>구분1A</v>
          </cell>
          <cell r="E401">
            <v>0.1</v>
          </cell>
          <cell r="F401" t="str">
            <v/>
          </cell>
          <cell r="H401" t="str">
            <v>구분1A</v>
          </cell>
          <cell r="I401">
            <v>0.3</v>
          </cell>
        </row>
        <row r="402">
          <cell r="B402" t="str">
            <v>12673-58-4</v>
          </cell>
          <cell r="C402" t="str">
            <v>Molybdenum nickel oxide</v>
          </cell>
          <cell r="D402" t="str">
            <v>구분1A</v>
          </cell>
          <cell r="E402">
            <v>0.1</v>
          </cell>
          <cell r="F402" t="str">
            <v/>
          </cell>
          <cell r="H402" t="str">
            <v/>
          </cell>
        </row>
        <row r="403">
          <cell r="B403" t="str">
            <v>12681-83-3</v>
          </cell>
          <cell r="C403" t="str">
            <v>Iron alloy, base, Fe 60-​67,​Cr 19.00-​21.50,​Mn 8.00-​10.00,​Ni 5.50-​7.50,​Si 0-​1.00,​N 0.15-​0.40,​C 0-​0.08,​P 0-​0.060,​S 0-​0.030 (UNS S21900)</v>
          </cell>
          <cell r="D403" t="str">
            <v>구분1A</v>
          </cell>
          <cell r="E403">
            <v>0.1</v>
          </cell>
          <cell r="F403" t="str">
            <v/>
          </cell>
          <cell r="H403" t="str">
            <v/>
          </cell>
        </row>
        <row r="404">
          <cell r="B404" t="str">
            <v>12688-64-1</v>
          </cell>
          <cell r="C404" t="str">
            <v>bismuth, compound with nickel (1:1)</v>
          </cell>
          <cell r="D404" t="str">
            <v>구분1A</v>
          </cell>
          <cell r="E404">
            <v>0.1</v>
          </cell>
          <cell r="F404" t="str">
            <v/>
          </cell>
          <cell r="H404" t="str">
            <v/>
          </cell>
        </row>
        <row r="405">
          <cell r="B405" t="str">
            <v>1271-28-9</v>
          </cell>
          <cell r="C405" t="str">
            <v>bis(η5-2,4-cyclopentadien-1-yl)nickel</v>
          </cell>
          <cell r="D405" t="str">
            <v>구분1A</v>
          </cell>
          <cell r="E405">
            <v>0.1</v>
          </cell>
          <cell r="F405" t="str">
            <v/>
          </cell>
          <cell r="H405" t="str">
            <v/>
          </cell>
        </row>
        <row r="406">
          <cell r="B406" t="str">
            <v>12740-44-2</v>
          </cell>
          <cell r="C406" t="str">
            <v>Sodium alloy, nonbase, Na,​Pb</v>
          </cell>
          <cell r="D406" t="str">
            <v>구분1B</v>
          </cell>
          <cell r="E406">
            <v>0.1</v>
          </cell>
          <cell r="F406" t="str">
            <v/>
          </cell>
          <cell r="H406" t="str">
            <v>구분1A</v>
          </cell>
          <cell r="I406">
            <v>0.3</v>
          </cell>
        </row>
        <row r="407">
          <cell r="B407" t="str">
            <v>1302-52-9</v>
          </cell>
          <cell r="C407" t="str">
            <v>Beryl (Al2Be3(SiO3)6)</v>
          </cell>
          <cell r="D407" t="str">
            <v>구분1A</v>
          </cell>
          <cell r="E407">
            <v>0.1</v>
          </cell>
          <cell r="F407" t="str">
            <v/>
          </cell>
          <cell r="H407" t="str">
            <v/>
          </cell>
        </row>
        <row r="408">
          <cell r="B408" t="str">
            <v>1303-00-0</v>
          </cell>
          <cell r="C408" t="str">
            <v>gallium arsenide</v>
          </cell>
          <cell r="D408" t="str">
            <v>구분1A</v>
          </cell>
          <cell r="E408">
            <v>0.1</v>
          </cell>
          <cell r="F408" t="str">
            <v/>
          </cell>
          <cell r="H408" t="str">
            <v/>
          </cell>
        </row>
        <row r="409">
          <cell r="B409" t="str">
            <v>1303-13-5</v>
          </cell>
          <cell r="C409" t="str">
            <v>Nickeline (NiAs)</v>
          </cell>
          <cell r="D409" t="str">
            <v>구분1A</v>
          </cell>
          <cell r="E409">
            <v>0.1</v>
          </cell>
          <cell r="F409" t="str">
            <v/>
          </cell>
          <cell r="H409" t="str">
            <v/>
          </cell>
        </row>
        <row r="410">
          <cell r="B410" t="str">
            <v>1303-18-0</v>
          </cell>
          <cell r="C410" t="str">
            <v>Arsenopyrite (FeAsS)</v>
          </cell>
          <cell r="D410" t="str">
            <v>구분1A</v>
          </cell>
          <cell r="E410">
            <v>0.1</v>
          </cell>
          <cell r="F410" t="str">
            <v/>
          </cell>
          <cell r="H410" t="str">
            <v/>
          </cell>
        </row>
        <row r="411">
          <cell r="B411" t="str">
            <v>1303-28-2</v>
          </cell>
          <cell r="C411" t="str">
            <v>diarsenic pentaoxide</v>
          </cell>
          <cell r="D411" t="str">
            <v>구분1A</v>
          </cell>
          <cell r="E411">
            <v>0.1</v>
          </cell>
          <cell r="F411" t="str">
            <v/>
          </cell>
          <cell r="H411" t="str">
            <v/>
          </cell>
        </row>
        <row r="412">
          <cell r="B412" t="str">
            <v>1303-32-8</v>
          </cell>
          <cell r="C412" t="str">
            <v>Arsino, thioxo-</v>
          </cell>
          <cell r="D412" t="str">
            <v>구분1A</v>
          </cell>
          <cell r="E412">
            <v>0.1</v>
          </cell>
          <cell r="F412" t="str">
            <v/>
          </cell>
          <cell r="H412" t="str">
            <v/>
          </cell>
        </row>
        <row r="413">
          <cell r="B413" t="str">
            <v>1303-33-9</v>
          </cell>
          <cell r="C413" t="str">
            <v>arsenic sulfide</v>
          </cell>
          <cell r="D413" t="str">
            <v>구분1A</v>
          </cell>
          <cell r="E413">
            <v>0.1</v>
          </cell>
          <cell r="F413" t="str">
            <v/>
          </cell>
          <cell r="H413" t="str">
            <v/>
          </cell>
        </row>
        <row r="414">
          <cell r="B414" t="str">
            <v>1303-36-2</v>
          </cell>
          <cell r="C414" t="str">
            <v>diarsenic triselenide</v>
          </cell>
          <cell r="D414" t="str">
            <v>구분1A</v>
          </cell>
          <cell r="E414">
            <v>0.1</v>
          </cell>
          <cell r="F414" t="str">
            <v/>
          </cell>
          <cell r="H414" t="str">
            <v/>
          </cell>
        </row>
        <row r="415">
          <cell r="B415" t="str">
            <v>1303-37-3</v>
          </cell>
          <cell r="C415" t="str">
            <v>Arsenic selenide (As2Se5)</v>
          </cell>
          <cell r="D415" t="str">
            <v>구분1A</v>
          </cell>
          <cell r="E415">
            <v>0.1</v>
          </cell>
          <cell r="F415" t="str">
            <v/>
          </cell>
          <cell r="H415" t="str">
            <v/>
          </cell>
        </row>
        <row r="416">
          <cell r="B416" t="str">
            <v>1303-39-5</v>
          </cell>
          <cell r="C416" t="str">
            <v>Zinc arsenenate oxide (Zn5(AsO3)​4O3)​, tetrahydrate</v>
          </cell>
          <cell r="D416" t="str">
            <v>구분1A</v>
          </cell>
          <cell r="E416">
            <v>0.1</v>
          </cell>
          <cell r="F416" t="str">
            <v/>
          </cell>
          <cell r="H416" t="str">
            <v/>
          </cell>
        </row>
        <row r="417">
          <cell r="B417" t="str">
            <v>1304-54-7</v>
          </cell>
          <cell r="C417" t="str">
            <v>triberyllium nitride</v>
          </cell>
          <cell r="D417" t="str">
            <v>구분1A</v>
          </cell>
          <cell r="E417">
            <v>0.1</v>
          </cell>
          <cell r="F417" t="str">
            <v/>
          </cell>
          <cell r="H417" t="str">
            <v/>
          </cell>
        </row>
        <row r="418">
          <cell r="B418" t="str">
            <v>1304-56-9</v>
          </cell>
          <cell r="C418" t="str">
            <v>beryllium oxide</v>
          </cell>
          <cell r="D418" t="str">
            <v>구분1A</v>
          </cell>
          <cell r="E418">
            <v>0.1</v>
          </cell>
          <cell r="F418" t="str">
            <v/>
          </cell>
          <cell r="H418" t="str">
            <v/>
          </cell>
        </row>
        <row r="419">
          <cell r="B419" t="str">
            <v>1306-19-0</v>
          </cell>
          <cell r="C419" t="str">
            <v>cadmium oxide</v>
          </cell>
          <cell r="D419" t="str">
            <v>구분1A</v>
          </cell>
          <cell r="E419">
            <v>0.1</v>
          </cell>
          <cell r="F419" t="str">
            <v>구분2</v>
          </cell>
          <cell r="G419">
            <v>1</v>
          </cell>
          <cell r="H419" t="str">
            <v>구분2</v>
          </cell>
          <cell r="I419">
            <v>3</v>
          </cell>
        </row>
        <row r="420">
          <cell r="B420" t="str">
            <v>1306-23-6</v>
          </cell>
          <cell r="C420" t="str">
            <v>cadmium sulphide</v>
          </cell>
          <cell r="D420" t="str">
            <v>구분1A</v>
          </cell>
          <cell r="E420">
            <v>0.1</v>
          </cell>
          <cell r="F420" t="str">
            <v>구분2</v>
          </cell>
          <cell r="G420">
            <v>1</v>
          </cell>
          <cell r="H420" t="str">
            <v>구분2</v>
          </cell>
          <cell r="I420">
            <v>3</v>
          </cell>
        </row>
        <row r="421">
          <cell r="B421" t="str">
            <v>1306-24-7</v>
          </cell>
          <cell r="C421" t="str">
            <v>cadmium selenide</v>
          </cell>
          <cell r="D421" t="str">
            <v>구분1A</v>
          </cell>
          <cell r="E421">
            <v>0.1</v>
          </cell>
          <cell r="F421" t="str">
            <v>구분2</v>
          </cell>
          <cell r="G421">
            <v>1</v>
          </cell>
          <cell r="H421" t="str">
            <v>구분2</v>
          </cell>
          <cell r="I421">
            <v>3</v>
          </cell>
        </row>
        <row r="422">
          <cell r="B422" t="str">
            <v>1306-25-8</v>
          </cell>
          <cell r="C422" t="str">
            <v>cadmium telluride</v>
          </cell>
          <cell r="D422" t="str">
            <v>구분1A</v>
          </cell>
          <cell r="E422">
            <v>0.1</v>
          </cell>
          <cell r="F422" t="str">
            <v>구분2</v>
          </cell>
          <cell r="G422">
            <v>1</v>
          </cell>
          <cell r="H422" t="str">
            <v>구분2</v>
          </cell>
          <cell r="I422">
            <v>3</v>
          </cell>
        </row>
        <row r="423">
          <cell r="B423" t="str">
            <v>1309-60-0</v>
          </cell>
          <cell r="C423" t="str">
            <v>lead dioxide</v>
          </cell>
          <cell r="D423" t="str">
            <v>구분1B</v>
          </cell>
          <cell r="E423">
            <v>0.1</v>
          </cell>
          <cell r="F423" t="str">
            <v/>
          </cell>
          <cell r="H423" t="str">
            <v>구분1A</v>
          </cell>
          <cell r="I423">
            <v>0.3</v>
          </cell>
        </row>
        <row r="424">
          <cell r="B424" t="str">
            <v>13106-76-8</v>
          </cell>
          <cell r="C424" t="str">
            <v>ammonium molybdate(VI)</v>
          </cell>
          <cell r="D424" t="str">
            <v>구분2</v>
          </cell>
          <cell r="E424">
            <v>1</v>
          </cell>
          <cell r="F424" t="str">
            <v/>
          </cell>
          <cell r="H424" t="str">
            <v/>
          </cell>
        </row>
        <row r="425">
          <cell r="B425" t="str">
            <v>1312-03-4</v>
          </cell>
          <cell r="C425" t="str">
            <v>trimercury dioxide sulphate</v>
          </cell>
          <cell r="D425" t="str">
            <v/>
          </cell>
          <cell r="F425" t="str">
            <v/>
          </cell>
          <cell r="H425" t="str">
            <v>구분1B</v>
          </cell>
          <cell r="I425">
            <v>0.3</v>
          </cell>
        </row>
        <row r="426">
          <cell r="B426" t="str">
            <v>1313-27-5</v>
          </cell>
          <cell r="C426" t="str">
            <v>molybdenum trioxide</v>
          </cell>
          <cell r="D426" t="str">
            <v>구분2</v>
          </cell>
          <cell r="E426">
            <v>1</v>
          </cell>
          <cell r="F426" t="str">
            <v/>
          </cell>
          <cell r="H426" t="str">
            <v/>
          </cell>
        </row>
        <row r="427">
          <cell r="B427" t="str">
            <v>13138-45-9</v>
          </cell>
          <cell r="C427" t="str">
            <v>nickel dinitrate</v>
          </cell>
          <cell r="D427" t="str">
            <v>구분1A</v>
          </cell>
          <cell r="E427">
            <v>0.1</v>
          </cell>
          <cell r="F427" t="str">
            <v/>
          </cell>
          <cell r="H427" t="str">
            <v/>
          </cell>
        </row>
        <row r="428">
          <cell r="B428" t="str">
            <v>1313-99-1</v>
          </cell>
          <cell r="C428" t="str">
            <v>nickel monoxide</v>
          </cell>
          <cell r="D428" t="str">
            <v>구분1A</v>
          </cell>
          <cell r="E428">
            <v>0.1</v>
          </cell>
          <cell r="F428" t="str">
            <v/>
          </cell>
          <cell r="H428" t="str">
            <v/>
          </cell>
        </row>
        <row r="429">
          <cell r="B429" t="str">
            <v>1314-05-2</v>
          </cell>
          <cell r="C429" t="str">
            <v>nickel selenide</v>
          </cell>
          <cell r="D429" t="str">
            <v>구분1A</v>
          </cell>
          <cell r="E429">
            <v>0.1</v>
          </cell>
          <cell r="F429" t="str">
            <v/>
          </cell>
          <cell r="H429" t="str">
            <v/>
          </cell>
        </row>
        <row r="430">
          <cell r="B430" t="str">
            <v>1314-06-3</v>
          </cell>
          <cell r="C430" t="str">
            <v>dinickel trioxide</v>
          </cell>
          <cell r="D430" t="str">
            <v>구분1A</v>
          </cell>
          <cell r="E430">
            <v>0.1</v>
          </cell>
          <cell r="F430" t="str">
            <v/>
          </cell>
          <cell r="H430" t="str">
            <v/>
          </cell>
        </row>
        <row r="431">
          <cell r="B431" t="str">
            <v>1314-27-8</v>
          </cell>
          <cell r="C431" t="str">
            <v>Lead oxide (Pb2O3)</v>
          </cell>
          <cell r="D431" t="str">
            <v>구분1B</v>
          </cell>
          <cell r="E431">
            <v>0.1</v>
          </cell>
          <cell r="F431" t="str">
            <v/>
          </cell>
          <cell r="H431" t="str">
            <v>구분1A</v>
          </cell>
          <cell r="I431">
            <v>0.3</v>
          </cell>
        </row>
        <row r="432">
          <cell r="B432" t="str">
            <v>1314-41-6</v>
          </cell>
          <cell r="C432" t="str">
            <v>orange lead</v>
          </cell>
          <cell r="D432" t="str">
            <v>구분1B</v>
          </cell>
          <cell r="E432">
            <v>0.1</v>
          </cell>
          <cell r="F432" t="str">
            <v/>
          </cell>
          <cell r="H432" t="str">
            <v>구분1A</v>
          </cell>
          <cell r="I432">
            <v>0.3</v>
          </cell>
        </row>
        <row r="433">
          <cell r="B433" t="str">
            <v>1314-64-3</v>
          </cell>
          <cell r="C433" t="str">
            <v>dioxo[sulphato(2-)-O]uranium</v>
          </cell>
          <cell r="D433" t="str">
            <v>구분1A</v>
          </cell>
          <cell r="E433">
            <v>0.1</v>
          </cell>
          <cell r="F433" t="str">
            <v/>
          </cell>
          <cell r="H433" t="str">
            <v/>
          </cell>
        </row>
        <row r="434">
          <cell r="B434" t="str">
            <v>1314-87-0</v>
          </cell>
          <cell r="C434" t="str">
            <v>lead sulphide</v>
          </cell>
          <cell r="D434" t="str">
            <v>구분1B</v>
          </cell>
          <cell r="E434">
            <v>0.1</v>
          </cell>
          <cell r="F434" t="str">
            <v/>
          </cell>
          <cell r="H434" t="str">
            <v>구분1A</v>
          </cell>
          <cell r="I434">
            <v>0.3</v>
          </cell>
        </row>
        <row r="435">
          <cell r="B435" t="str">
            <v>1314-91-6</v>
          </cell>
          <cell r="C435" t="str">
            <v>lead telluride</v>
          </cell>
          <cell r="D435" t="str">
            <v>구분1B</v>
          </cell>
          <cell r="E435">
            <v>0.1</v>
          </cell>
          <cell r="F435" t="str">
            <v/>
          </cell>
          <cell r="H435" t="str">
            <v>구분1A</v>
          </cell>
          <cell r="I435">
            <v>0.3</v>
          </cell>
        </row>
        <row r="436">
          <cell r="B436" t="str">
            <v>1317-36-8</v>
          </cell>
          <cell r="C436" t="str">
            <v>lead monoxide</v>
          </cell>
          <cell r="D436" t="str">
            <v>구분1B</v>
          </cell>
          <cell r="E436">
            <v>0.1</v>
          </cell>
          <cell r="F436" t="str">
            <v/>
          </cell>
          <cell r="H436" t="str">
            <v>구분1A</v>
          </cell>
          <cell r="I436">
            <v>0.3</v>
          </cell>
        </row>
        <row r="437">
          <cell r="B437" t="str">
            <v>1318-33-8</v>
          </cell>
          <cell r="C437" t="str">
            <v>Colemanite (CaH(BO2)​3.2H2O)</v>
          </cell>
          <cell r="D437" t="str">
            <v>구분2</v>
          </cell>
          <cell r="E437">
            <v>1</v>
          </cell>
          <cell r="F437" t="str">
            <v/>
          </cell>
          <cell r="H437" t="str">
            <v/>
          </cell>
        </row>
        <row r="438">
          <cell r="B438" t="str">
            <v>1319-46-6</v>
          </cell>
          <cell r="C438" t="str">
            <v>trilead bis(carbonate) dihydroxide</v>
          </cell>
          <cell r="D438" t="str">
            <v>구분1B</v>
          </cell>
          <cell r="E438">
            <v>0.1</v>
          </cell>
          <cell r="F438" t="str">
            <v/>
          </cell>
          <cell r="H438" t="str">
            <v>구분1A</v>
          </cell>
          <cell r="I438">
            <v>0.3</v>
          </cell>
        </row>
        <row r="439">
          <cell r="B439" t="str">
            <v>1327-53-3</v>
          </cell>
          <cell r="C439" t="str">
            <v>diarsenic trioxide</v>
          </cell>
          <cell r="D439" t="str">
            <v>구분1A</v>
          </cell>
          <cell r="E439">
            <v>0.1</v>
          </cell>
          <cell r="F439" t="str">
            <v/>
          </cell>
          <cell r="H439" t="str">
            <v/>
          </cell>
        </row>
        <row r="440">
          <cell r="B440" t="str">
            <v>13327-32-7</v>
          </cell>
          <cell r="C440" t="str">
            <v>beryllium hydroxide</v>
          </cell>
          <cell r="D440" t="str">
            <v>구분1A</v>
          </cell>
          <cell r="E440">
            <v>0.1</v>
          </cell>
          <cell r="F440" t="str">
            <v/>
          </cell>
          <cell r="H440" t="str">
            <v/>
          </cell>
        </row>
        <row r="441">
          <cell r="B441" t="str">
            <v>1333-82-0</v>
          </cell>
          <cell r="C441" t="str">
            <v>chromium trioxide</v>
          </cell>
          <cell r="D441" t="str">
            <v>구분1A</v>
          </cell>
          <cell r="E441">
            <v>0.1</v>
          </cell>
          <cell r="F441" t="str">
            <v/>
          </cell>
          <cell r="H441" t="str">
            <v/>
          </cell>
        </row>
        <row r="442">
          <cell r="B442" t="str">
            <v>1335-25-7</v>
          </cell>
          <cell r="C442" t="str">
            <v>Lead oxide</v>
          </cell>
          <cell r="D442" t="str">
            <v>구분1B</v>
          </cell>
          <cell r="E442">
            <v>0.1</v>
          </cell>
          <cell r="F442" t="str">
            <v/>
          </cell>
          <cell r="H442" t="str">
            <v>구분1A</v>
          </cell>
          <cell r="I442">
            <v>0.3</v>
          </cell>
        </row>
        <row r="443">
          <cell r="B443" t="str">
            <v>1335-31-5</v>
          </cell>
          <cell r="C443" t="str">
            <v>dimercury dicyanide oxide</v>
          </cell>
          <cell r="D443" t="str">
            <v/>
          </cell>
          <cell r="F443" t="str">
            <v/>
          </cell>
          <cell r="H443" t="str">
            <v>구분1B</v>
          </cell>
          <cell r="I443">
            <v>0.3</v>
          </cell>
        </row>
        <row r="444">
          <cell r="B444" t="str">
            <v>13423-61-5</v>
          </cell>
          <cell r="C444" t="str">
            <v>magnesium chromate</v>
          </cell>
          <cell r="D444" t="str">
            <v>구분1A</v>
          </cell>
          <cell r="E444">
            <v>0.1</v>
          </cell>
          <cell r="F444" t="str">
            <v/>
          </cell>
          <cell r="H444" t="str">
            <v/>
          </cell>
        </row>
        <row r="445">
          <cell r="B445" t="str">
            <v>13424-46-9</v>
          </cell>
          <cell r="C445" t="str">
            <v>lead diazide</v>
          </cell>
          <cell r="D445" t="str">
            <v>구분1B</v>
          </cell>
          <cell r="E445">
            <v>0.1</v>
          </cell>
          <cell r="F445" t="str">
            <v/>
          </cell>
          <cell r="H445" t="str">
            <v>구분1A</v>
          </cell>
          <cell r="I445">
            <v>0.3</v>
          </cell>
        </row>
        <row r="446">
          <cell r="B446" t="str">
            <v>1344-37-2</v>
          </cell>
          <cell r="C446" t="str">
            <v>lead sulfochromate yellow</v>
          </cell>
          <cell r="D446" t="str">
            <v>구분1A</v>
          </cell>
          <cell r="E446">
            <v>0.1</v>
          </cell>
          <cell r="F446" t="str">
            <v/>
          </cell>
          <cell r="H446" t="str">
            <v>구분1A</v>
          </cell>
          <cell r="I446">
            <v>0.3</v>
          </cell>
        </row>
        <row r="447">
          <cell r="B447" t="str">
            <v>1344-40-7</v>
          </cell>
          <cell r="C447" t="str">
            <v>Lead oxide phosphonate (Pb3O2(HPO3)), hemihydrate</v>
          </cell>
          <cell r="D447" t="str">
            <v>구분1B</v>
          </cell>
          <cell r="E447">
            <v>0.1</v>
          </cell>
          <cell r="F447" t="str">
            <v/>
          </cell>
          <cell r="H447" t="str">
            <v>구분1A</v>
          </cell>
          <cell r="I447">
            <v>0.3</v>
          </cell>
        </row>
        <row r="448">
          <cell r="B448" t="str">
            <v>1344-48-5</v>
          </cell>
          <cell r="C448" t="str">
            <v>mercury(II) sulfide</v>
          </cell>
          <cell r="D448" t="str">
            <v/>
          </cell>
          <cell r="F448" t="str">
            <v/>
          </cell>
          <cell r="H448" t="str">
            <v>구분1B</v>
          </cell>
          <cell r="I448">
            <v>0.3</v>
          </cell>
        </row>
        <row r="449">
          <cell r="B449" t="str">
            <v>1344-59-8</v>
          </cell>
          <cell r="C449" t="str">
            <v>triuranium octaoxide</v>
          </cell>
          <cell r="D449" t="str">
            <v>구분1A</v>
          </cell>
          <cell r="E449">
            <v>0.1</v>
          </cell>
          <cell r="F449" t="str">
            <v/>
          </cell>
          <cell r="H449" t="str">
            <v/>
          </cell>
        </row>
        <row r="450">
          <cell r="B450" t="str">
            <v>13446-49-6</v>
          </cell>
          <cell r="C450" t="str">
            <v>dipotassium tetraoxomolybdate</v>
          </cell>
          <cell r="D450" t="str">
            <v>구분2</v>
          </cell>
          <cell r="E450">
            <v>1</v>
          </cell>
          <cell r="F450" t="str">
            <v/>
          </cell>
          <cell r="H450" t="str">
            <v/>
          </cell>
        </row>
        <row r="451">
          <cell r="B451" t="str">
            <v>13446-72-5</v>
          </cell>
          <cell r="C451" t="str">
            <v>rubidium chromate</v>
          </cell>
          <cell r="D451" t="str">
            <v>구분1A</v>
          </cell>
          <cell r="E451">
            <v>0.1</v>
          </cell>
          <cell r="F451" t="str">
            <v/>
          </cell>
          <cell r="H451" t="str">
            <v/>
          </cell>
        </row>
        <row r="452">
          <cell r="B452" t="str">
            <v>13446-73-6</v>
          </cell>
          <cell r="C452" t="str">
            <v>dirubidium dichromate</v>
          </cell>
          <cell r="D452" t="str">
            <v>구분1A</v>
          </cell>
          <cell r="E452">
            <v>0.1</v>
          </cell>
          <cell r="F452" t="str">
            <v/>
          </cell>
          <cell r="H452" t="str">
            <v/>
          </cell>
        </row>
        <row r="453">
          <cell r="B453" t="str">
            <v>13453-15-1</v>
          </cell>
          <cell r="C453" t="str">
            <v>Diarsenic acid</v>
          </cell>
          <cell r="D453" t="str">
            <v>구분1A</v>
          </cell>
          <cell r="E453">
            <v>0.1</v>
          </cell>
          <cell r="F453" t="str">
            <v/>
          </cell>
          <cell r="H453" t="str">
            <v/>
          </cell>
        </row>
        <row r="454">
          <cell r="B454" t="str">
            <v>13453-66-2</v>
          </cell>
          <cell r="C454" t="str">
            <v>dilead pyrophosphate</v>
          </cell>
          <cell r="D454" t="str">
            <v>구분1B</v>
          </cell>
          <cell r="E454">
            <v>0.1</v>
          </cell>
          <cell r="F454" t="str">
            <v/>
          </cell>
          <cell r="H454" t="str">
            <v>구분1A</v>
          </cell>
          <cell r="I454">
            <v>0.3</v>
          </cell>
        </row>
        <row r="455">
          <cell r="B455" t="str">
            <v>13454-78-9</v>
          </cell>
          <cell r="C455" t="str">
            <v>dicesium chromate</v>
          </cell>
          <cell r="D455" t="str">
            <v>구분1A</v>
          </cell>
          <cell r="E455">
            <v>0.1</v>
          </cell>
          <cell r="F455" t="str">
            <v/>
          </cell>
          <cell r="H455" t="str">
            <v/>
          </cell>
        </row>
        <row r="456">
          <cell r="B456" t="str">
            <v>13455-25-9</v>
          </cell>
          <cell r="C456" t="str">
            <v>cobalt chromate</v>
          </cell>
          <cell r="D456" t="str">
            <v>구분1A</v>
          </cell>
          <cell r="E456">
            <v>0.1</v>
          </cell>
          <cell r="F456" t="str">
            <v/>
          </cell>
          <cell r="H456" t="str">
            <v/>
          </cell>
        </row>
        <row r="457">
          <cell r="B457" t="str">
            <v>13462-88-9</v>
          </cell>
          <cell r="C457" t="str">
            <v>nickel dibromide</v>
          </cell>
          <cell r="D457" t="str">
            <v>구분1A</v>
          </cell>
          <cell r="E457">
            <v>0.1</v>
          </cell>
          <cell r="F457" t="str">
            <v/>
          </cell>
          <cell r="H457" t="str">
            <v/>
          </cell>
        </row>
        <row r="458">
          <cell r="B458" t="str">
            <v>13462-90-3</v>
          </cell>
          <cell r="C458" t="str">
            <v>nickel diiodide</v>
          </cell>
          <cell r="D458" t="str">
            <v>구분1A</v>
          </cell>
          <cell r="E458">
            <v>0.1</v>
          </cell>
          <cell r="F458" t="str">
            <v/>
          </cell>
          <cell r="H458" t="str">
            <v/>
          </cell>
        </row>
        <row r="459">
          <cell r="B459" t="str">
            <v>13462-93-6</v>
          </cell>
          <cell r="C459" t="str">
            <v>ammonium dihydrogenarsenate</v>
          </cell>
          <cell r="D459" t="str">
            <v>구분1A</v>
          </cell>
          <cell r="E459">
            <v>0.1</v>
          </cell>
          <cell r="F459" t="str">
            <v/>
          </cell>
          <cell r="H459" t="str">
            <v/>
          </cell>
        </row>
        <row r="460">
          <cell r="B460" t="str">
            <v>13464-35-2</v>
          </cell>
          <cell r="C460" t="str">
            <v>potassium arsenite</v>
          </cell>
          <cell r="D460" t="str">
            <v>구분1A</v>
          </cell>
          <cell r="E460">
            <v>0.1</v>
          </cell>
          <cell r="F460" t="str">
            <v/>
          </cell>
          <cell r="H460" t="str">
            <v/>
          </cell>
        </row>
        <row r="461">
          <cell r="B461" t="str">
            <v>13464-37-4</v>
          </cell>
          <cell r="C461" t="str">
            <v>trisodium arsenite</v>
          </cell>
          <cell r="D461" t="str">
            <v>구분1A</v>
          </cell>
          <cell r="E461">
            <v>0.1</v>
          </cell>
          <cell r="F461" t="str">
            <v/>
          </cell>
          <cell r="H461" t="str">
            <v/>
          </cell>
        </row>
        <row r="462">
          <cell r="B462" t="str">
            <v>13464-38-5</v>
          </cell>
          <cell r="C462" t="str">
            <v>trisodium arsenate</v>
          </cell>
          <cell r="D462" t="str">
            <v>구분1A</v>
          </cell>
          <cell r="E462">
            <v>0.1</v>
          </cell>
          <cell r="F462" t="str">
            <v/>
          </cell>
          <cell r="H462" t="str">
            <v/>
          </cell>
        </row>
        <row r="463">
          <cell r="B463" t="str">
            <v>13464-44-3</v>
          </cell>
          <cell r="C463" t="str">
            <v>zinc arsenate</v>
          </cell>
          <cell r="D463" t="str">
            <v>구분1A</v>
          </cell>
          <cell r="E463">
            <v>0.1</v>
          </cell>
          <cell r="F463" t="str">
            <v/>
          </cell>
          <cell r="H463" t="str">
            <v/>
          </cell>
        </row>
        <row r="464">
          <cell r="B464" t="str">
            <v>13464-68-1</v>
          </cell>
          <cell r="C464" t="str">
            <v>tristrontium diarsenate</v>
          </cell>
          <cell r="D464" t="str">
            <v>구분1A</v>
          </cell>
          <cell r="E464">
            <v>0.1</v>
          </cell>
          <cell r="F464" t="str">
            <v/>
          </cell>
          <cell r="H464" t="str">
            <v/>
          </cell>
        </row>
        <row r="465">
          <cell r="B465" t="str">
            <v>13477-04-8</v>
          </cell>
          <cell r="C465" t="str">
            <v>tribarium diarsenate</v>
          </cell>
          <cell r="D465" t="str">
            <v>구분1A</v>
          </cell>
          <cell r="E465">
            <v>0.1</v>
          </cell>
          <cell r="F465" t="str">
            <v/>
          </cell>
          <cell r="H465" t="str">
            <v/>
          </cell>
        </row>
        <row r="466">
          <cell r="B466" t="str">
            <v>13477-17-3</v>
          </cell>
          <cell r="C466" t="str">
            <v>tricadmium bis(phosphate)</v>
          </cell>
          <cell r="D466" t="str">
            <v>구분1A</v>
          </cell>
          <cell r="E466">
            <v>0.1</v>
          </cell>
          <cell r="F466" t="str">
            <v>구분2</v>
          </cell>
          <cell r="G466">
            <v>1</v>
          </cell>
          <cell r="H466" t="str">
            <v>구분2</v>
          </cell>
          <cell r="I466">
            <v>3</v>
          </cell>
        </row>
        <row r="467">
          <cell r="B467" t="str">
            <v>13477-70-8</v>
          </cell>
          <cell r="C467" t="str">
            <v>trinickel bis(arsenate)</v>
          </cell>
          <cell r="D467" t="str">
            <v>구분1A</v>
          </cell>
          <cell r="E467">
            <v>0.1</v>
          </cell>
          <cell r="F467" t="str">
            <v/>
          </cell>
          <cell r="H467" t="str">
            <v/>
          </cell>
        </row>
        <row r="468">
          <cell r="B468" t="str">
            <v>13478-00-7</v>
          </cell>
          <cell r="C468" t="str">
            <v>Nitric acid, nickel(2+) salt, hexahydrate</v>
          </cell>
          <cell r="D468" t="str">
            <v>구분1A</v>
          </cell>
          <cell r="E468">
            <v>0.1</v>
          </cell>
          <cell r="F468" t="str">
            <v/>
          </cell>
          <cell r="H468" t="str">
            <v/>
          </cell>
        </row>
        <row r="469">
          <cell r="B469" t="str">
            <v>13478-14-3</v>
          </cell>
          <cell r="C469" t="str">
            <v>trilithium arsenate</v>
          </cell>
          <cell r="D469" t="str">
            <v>구분1A</v>
          </cell>
          <cell r="E469">
            <v>0.1</v>
          </cell>
          <cell r="F469" t="str">
            <v/>
          </cell>
          <cell r="H469" t="str">
            <v/>
          </cell>
        </row>
        <row r="470">
          <cell r="B470" t="str">
            <v>13478-50-7</v>
          </cell>
          <cell r="C470" t="str">
            <v>lead thiosulphate</v>
          </cell>
          <cell r="D470" t="str">
            <v>구분1B</v>
          </cell>
          <cell r="E470">
            <v>0.1</v>
          </cell>
          <cell r="F470" t="str">
            <v/>
          </cell>
          <cell r="H470" t="str">
            <v>구분1A</v>
          </cell>
          <cell r="I470">
            <v>0.3</v>
          </cell>
        </row>
        <row r="471">
          <cell r="B471" t="str">
            <v>13510-31-1</v>
          </cell>
          <cell r="C471" t="str">
            <v>Boron arsenate</v>
          </cell>
          <cell r="D471" t="str">
            <v>구분1A</v>
          </cell>
          <cell r="E471">
            <v>0.1</v>
          </cell>
          <cell r="F471" t="str">
            <v/>
          </cell>
          <cell r="H471" t="str">
            <v/>
          </cell>
        </row>
        <row r="472">
          <cell r="B472" t="str">
            <v>13510-44-6</v>
          </cell>
          <cell r="C472" t="str">
            <v>trisilver arsenate</v>
          </cell>
          <cell r="D472" t="str">
            <v>구분1A</v>
          </cell>
          <cell r="E472">
            <v>0.1</v>
          </cell>
          <cell r="F472" t="str">
            <v/>
          </cell>
          <cell r="H472" t="str">
            <v/>
          </cell>
        </row>
        <row r="473">
          <cell r="B473" t="str">
            <v>13510-49-1</v>
          </cell>
          <cell r="C473" t="str">
            <v>beryllium sulphate</v>
          </cell>
          <cell r="D473" t="str">
            <v>구분1A</v>
          </cell>
          <cell r="E473">
            <v>0.1</v>
          </cell>
          <cell r="F473" t="str">
            <v/>
          </cell>
          <cell r="H473" t="str">
            <v/>
          </cell>
        </row>
        <row r="474">
          <cell r="B474" t="str">
            <v>13510-89-9</v>
          </cell>
          <cell r="C474" t="str">
            <v>diantimony trilead octaoxide</v>
          </cell>
          <cell r="D474" t="str">
            <v>구분1B</v>
          </cell>
          <cell r="E474">
            <v>0.1</v>
          </cell>
          <cell r="F474" t="str">
            <v/>
          </cell>
          <cell r="H474" t="str">
            <v>구분1A</v>
          </cell>
          <cell r="I474">
            <v>0.3</v>
          </cell>
        </row>
        <row r="475">
          <cell r="B475" t="str">
            <v>13517-17-4</v>
          </cell>
          <cell r="C475" t="str">
            <v>Chromic acid (H2CrO4)​, disodium salt, decahydrate </v>
          </cell>
          <cell r="D475" t="str">
            <v>구분1A</v>
          </cell>
          <cell r="E475">
            <v>0.1</v>
          </cell>
          <cell r="F475" t="str">
            <v/>
          </cell>
          <cell r="H475" t="str">
            <v/>
          </cell>
        </row>
        <row r="476">
          <cell r="B476" t="str">
            <v>13520-61-1</v>
          </cell>
          <cell r="C476" t="str">
            <v>Perchloric acid, nickel(2+) salt, hexahydrate</v>
          </cell>
          <cell r="D476" t="str">
            <v>구분1A</v>
          </cell>
          <cell r="E476">
            <v>0.1</v>
          </cell>
          <cell r="F476" t="str">
            <v/>
          </cell>
          <cell r="H476" t="str">
            <v/>
          </cell>
        </row>
        <row r="477">
          <cell r="B477" t="str">
            <v>13530-67-1</v>
          </cell>
          <cell r="C477" t="str">
            <v>caesium dichromate</v>
          </cell>
          <cell r="D477" t="str">
            <v>구분1A</v>
          </cell>
          <cell r="E477">
            <v>0.1</v>
          </cell>
          <cell r="F477" t="str">
            <v/>
          </cell>
          <cell r="H477" t="str">
            <v/>
          </cell>
        </row>
        <row r="478">
          <cell r="B478" t="str">
            <v>13530-68-2</v>
          </cell>
          <cell r="C478" t="str">
            <v>dichromic acid</v>
          </cell>
          <cell r="D478" t="str">
            <v>구분1A</v>
          </cell>
          <cell r="E478">
            <v>0.1</v>
          </cell>
          <cell r="F478" t="str">
            <v/>
          </cell>
          <cell r="H478" t="str">
            <v/>
          </cell>
        </row>
        <row r="479">
          <cell r="B479" t="str">
            <v>13568-40-6</v>
          </cell>
          <cell r="C479" t="str">
            <v>dilithium molybdate</v>
          </cell>
          <cell r="D479" t="str">
            <v>구분2</v>
          </cell>
          <cell r="E479">
            <v>1</v>
          </cell>
          <cell r="F479" t="str">
            <v/>
          </cell>
          <cell r="H479" t="str">
            <v/>
          </cell>
        </row>
        <row r="480">
          <cell r="B480" t="str">
            <v>13597-99-4</v>
          </cell>
          <cell r="C480" t="str">
            <v>beryllium nitrate</v>
          </cell>
          <cell r="D480" t="str">
            <v>구분1A</v>
          </cell>
          <cell r="E480">
            <v>0.1</v>
          </cell>
          <cell r="F480" t="str">
            <v/>
          </cell>
          <cell r="H480" t="str">
            <v/>
          </cell>
        </row>
        <row r="481">
          <cell r="B481" t="str">
            <v>13598-22-6</v>
          </cell>
          <cell r="C481" t="str">
            <v>beryllium sulphide</v>
          </cell>
          <cell r="D481" t="str">
            <v>구분1A</v>
          </cell>
          <cell r="E481">
            <v>0.1</v>
          </cell>
          <cell r="F481" t="str">
            <v/>
          </cell>
          <cell r="H481" t="str">
            <v/>
          </cell>
        </row>
        <row r="482">
          <cell r="B482" t="str">
            <v>13598-56-6</v>
          </cell>
          <cell r="C482" t="str">
            <v>Uranium hydride (UH3)</v>
          </cell>
          <cell r="D482" t="str">
            <v>구분1A</v>
          </cell>
          <cell r="E482">
            <v>0.1</v>
          </cell>
          <cell r="F482" t="str">
            <v/>
          </cell>
          <cell r="H482" t="str">
            <v/>
          </cell>
        </row>
        <row r="483">
          <cell r="B483" t="str">
            <v>13637-71-3</v>
          </cell>
          <cell r="C483" t="str">
            <v>nickel diperchlorate</v>
          </cell>
          <cell r="D483" t="str">
            <v>구분1A</v>
          </cell>
          <cell r="E483">
            <v>0.1</v>
          </cell>
          <cell r="F483" t="str">
            <v/>
          </cell>
          <cell r="H483" t="str">
            <v/>
          </cell>
        </row>
        <row r="484">
          <cell r="B484" t="str">
            <v>13637-76-8</v>
          </cell>
          <cell r="C484" t="str">
            <v>lead diperchlorate</v>
          </cell>
          <cell r="D484" t="str">
            <v>구분1B</v>
          </cell>
          <cell r="E484">
            <v>0.1</v>
          </cell>
          <cell r="F484" t="str">
            <v/>
          </cell>
          <cell r="H484" t="str">
            <v>구분1A</v>
          </cell>
          <cell r="I484">
            <v>0.3</v>
          </cell>
        </row>
        <row r="485">
          <cell r="B485" t="str">
            <v>13654-40-5</v>
          </cell>
          <cell r="C485" t="str">
            <v>nickel(2+) palmitate</v>
          </cell>
          <cell r="D485" t="str">
            <v>구분1A</v>
          </cell>
          <cell r="E485">
            <v>0.1</v>
          </cell>
          <cell r="F485" t="str">
            <v/>
          </cell>
          <cell r="H485" t="str">
            <v/>
          </cell>
        </row>
        <row r="486">
          <cell r="B486" t="str">
            <v>13689-92-4</v>
          </cell>
          <cell r="C486" t="str">
            <v>nickel dithiocyanate</v>
          </cell>
          <cell r="D486" t="str">
            <v>구분1A</v>
          </cell>
          <cell r="E486">
            <v>0.1</v>
          </cell>
          <cell r="F486" t="str">
            <v/>
          </cell>
          <cell r="H486" t="str">
            <v/>
          </cell>
        </row>
        <row r="487">
          <cell r="B487" t="str">
            <v>137-17-7</v>
          </cell>
          <cell r="C487" t="str">
            <v>2,4,5-trimethylaniline</v>
          </cell>
          <cell r="D487" t="str">
            <v>구분2</v>
          </cell>
          <cell r="E487">
            <v>1</v>
          </cell>
          <cell r="F487" t="str">
            <v>구분2</v>
          </cell>
          <cell r="G487">
            <v>1</v>
          </cell>
          <cell r="H487" t="str">
            <v/>
          </cell>
        </row>
        <row r="488">
          <cell r="B488" t="str">
            <v>13765-19-0</v>
          </cell>
          <cell r="C488" t="str">
            <v>calcium chromate</v>
          </cell>
          <cell r="D488" t="str">
            <v>구분1A</v>
          </cell>
          <cell r="E488">
            <v>0.1</v>
          </cell>
          <cell r="F488" t="str">
            <v/>
          </cell>
          <cell r="H488" t="str">
            <v/>
          </cell>
        </row>
        <row r="489">
          <cell r="B489" t="str">
            <v>13770-89-3</v>
          </cell>
          <cell r="C489" t="str">
            <v>nickel bis(sulphamidate)</v>
          </cell>
          <cell r="D489" t="str">
            <v>구분1A</v>
          </cell>
          <cell r="E489">
            <v>0.1</v>
          </cell>
          <cell r="F489" t="str">
            <v/>
          </cell>
          <cell r="H489" t="str">
            <v/>
          </cell>
        </row>
        <row r="490">
          <cell r="B490" t="str">
            <v>13775-54-7</v>
          </cell>
          <cell r="C490" t="str">
            <v>dinickel orthosilicate</v>
          </cell>
          <cell r="D490" t="str">
            <v>구분1A</v>
          </cell>
          <cell r="E490">
            <v>0.1</v>
          </cell>
          <cell r="F490" t="str">
            <v/>
          </cell>
          <cell r="H490" t="str">
            <v/>
          </cell>
        </row>
        <row r="491">
          <cell r="B491" t="str">
            <v>13814-59-0</v>
          </cell>
          <cell r="C491" t="str">
            <v>cadmium selenite</v>
          </cell>
          <cell r="D491" t="str">
            <v>구분1A</v>
          </cell>
          <cell r="E491">
            <v>0.1</v>
          </cell>
          <cell r="F491" t="str">
            <v>구분2</v>
          </cell>
          <cell r="G491">
            <v>1</v>
          </cell>
          <cell r="H491" t="str">
            <v>구분2</v>
          </cell>
          <cell r="I491">
            <v>3</v>
          </cell>
        </row>
        <row r="492">
          <cell r="B492" t="str">
            <v>13814-62-5</v>
          </cell>
          <cell r="C492" t="str">
            <v>cadmium selenate</v>
          </cell>
          <cell r="D492" t="str">
            <v>구분1A</v>
          </cell>
          <cell r="E492">
            <v>0.1</v>
          </cell>
          <cell r="F492" t="str">
            <v>구분2</v>
          </cell>
          <cell r="G492">
            <v>1</v>
          </cell>
          <cell r="H492" t="str">
            <v>구분2</v>
          </cell>
          <cell r="I492">
            <v>3</v>
          </cell>
        </row>
        <row r="493">
          <cell r="B493" t="str">
            <v>13814-96-5</v>
          </cell>
          <cell r="C493" t="str">
            <v>lead bis(tetrafluoroborate)</v>
          </cell>
          <cell r="D493" t="str">
            <v>구분1B</v>
          </cell>
          <cell r="E493">
            <v>0.1</v>
          </cell>
          <cell r="F493" t="str">
            <v/>
          </cell>
          <cell r="H493" t="str">
            <v>구분1A</v>
          </cell>
          <cell r="I493">
            <v>0.3</v>
          </cell>
        </row>
        <row r="494">
          <cell r="B494" t="str">
            <v>13826-65-8</v>
          </cell>
          <cell r="C494" t="str">
            <v>lead nitrite</v>
          </cell>
          <cell r="D494" t="str">
            <v>구분1B</v>
          </cell>
          <cell r="E494">
            <v>0.1</v>
          </cell>
          <cell r="F494" t="str">
            <v/>
          </cell>
          <cell r="H494" t="str">
            <v>구분1A</v>
          </cell>
          <cell r="I494">
            <v>0.3</v>
          </cell>
        </row>
        <row r="495">
          <cell r="B495" t="str">
            <v>13842-46-1</v>
          </cell>
          <cell r="C495" t="str">
            <v>nickel dipotassium bis(sulphate)</v>
          </cell>
          <cell r="D495" t="str">
            <v>구분1A</v>
          </cell>
          <cell r="E495">
            <v>0.1</v>
          </cell>
          <cell r="F495" t="str">
            <v/>
          </cell>
          <cell r="H495" t="str">
            <v/>
          </cell>
        </row>
        <row r="496">
          <cell r="B496" t="str">
            <v>13845-35-7</v>
          </cell>
          <cell r="C496" t="str">
            <v>lead(2+) tellurium tetraoxide</v>
          </cell>
          <cell r="D496" t="str">
            <v>구분1B</v>
          </cell>
          <cell r="E496">
            <v>0.1</v>
          </cell>
          <cell r="F496" t="str">
            <v/>
          </cell>
          <cell r="H496" t="str">
            <v>구분1A</v>
          </cell>
          <cell r="I496">
            <v>0.3</v>
          </cell>
        </row>
        <row r="497">
          <cell r="B497" t="str">
            <v>13847-17-1</v>
          </cell>
          <cell r="C497" t="str">
            <v>cadmium orthophosphate</v>
          </cell>
          <cell r="D497" t="str">
            <v>구분1A</v>
          </cell>
          <cell r="E497">
            <v>0.1</v>
          </cell>
          <cell r="F497" t="str">
            <v>구분2</v>
          </cell>
          <cell r="G497">
            <v>1</v>
          </cell>
          <cell r="H497" t="str">
            <v>구분2</v>
          </cell>
          <cell r="I497">
            <v>3</v>
          </cell>
        </row>
        <row r="498">
          <cell r="B498" t="str">
            <v>13859-60-4</v>
          </cell>
          <cell r="C498" t="str">
            <v>dipotassium tetrafluoronickelate(2-)</v>
          </cell>
          <cell r="D498" t="str">
            <v>구분1A</v>
          </cell>
          <cell r="E498">
            <v>0.1</v>
          </cell>
          <cell r="F498" t="str">
            <v/>
          </cell>
          <cell r="H498" t="str">
            <v/>
          </cell>
        </row>
        <row r="499">
          <cell r="B499" t="str">
            <v>13876-85-2</v>
          </cell>
          <cell r="C499" t="str">
            <v>dicopper tetraiodomercurate</v>
          </cell>
          <cell r="D499" t="str">
            <v/>
          </cell>
          <cell r="F499" t="str">
            <v/>
          </cell>
          <cell r="H499" t="str">
            <v>구분1B</v>
          </cell>
          <cell r="I499">
            <v>0.3</v>
          </cell>
        </row>
        <row r="500">
          <cell r="B500" t="str">
            <v>13877-20-8</v>
          </cell>
          <cell r="C500" t="str">
            <v>hexaamminenickel(2+) bis[tetrafluoroborate(1-)]</v>
          </cell>
          <cell r="D500" t="str">
            <v>구분1A</v>
          </cell>
          <cell r="E500">
            <v>0.1</v>
          </cell>
          <cell r="F500" t="str">
            <v/>
          </cell>
          <cell r="H500" t="str">
            <v/>
          </cell>
        </row>
        <row r="501">
          <cell r="B501" t="str">
            <v>13927-77-0</v>
          </cell>
          <cell r="C501" t="str">
            <v>nickel bis(dibutyldithiocarbamate)</v>
          </cell>
          <cell r="D501" t="str">
            <v>구분1A</v>
          </cell>
          <cell r="E501">
            <v>0.1</v>
          </cell>
          <cell r="F501" t="str">
            <v/>
          </cell>
          <cell r="H501" t="str">
            <v/>
          </cell>
        </row>
        <row r="502">
          <cell r="B502" t="str">
            <v>13940-83-5</v>
          </cell>
          <cell r="C502" t="str">
            <v>Nickel fluoride (NiF2)​, tetrahydrate</v>
          </cell>
          <cell r="D502" t="str">
            <v>구분1A</v>
          </cell>
          <cell r="E502">
            <v>0.1</v>
          </cell>
          <cell r="F502" t="str">
            <v/>
          </cell>
          <cell r="H502" t="str">
            <v/>
          </cell>
        </row>
        <row r="503">
          <cell r="B503" t="str">
            <v>13972-68-4</v>
          </cell>
          <cell r="C503" t="str">
            <v>cadmium molybdenum tetroxide</v>
          </cell>
          <cell r="D503" t="str">
            <v>구분1A</v>
          </cell>
          <cell r="E503">
            <v>0.1</v>
          </cell>
          <cell r="F503" t="str">
            <v>구분2</v>
          </cell>
          <cell r="G503">
            <v>1</v>
          </cell>
          <cell r="H503" t="str">
            <v>구분2</v>
          </cell>
          <cell r="I503">
            <v>3</v>
          </cell>
        </row>
        <row r="504">
          <cell r="B504" t="str">
            <v>14017-36-8</v>
          </cell>
          <cell r="C504" t="str">
            <v>cadmium disulphamate</v>
          </cell>
          <cell r="D504" t="str">
            <v>구분1A</v>
          </cell>
          <cell r="E504">
            <v>0.1</v>
          </cell>
          <cell r="F504" t="str">
            <v>구분2</v>
          </cell>
          <cell r="G504">
            <v>1</v>
          </cell>
          <cell r="H504" t="str">
            <v>구분2</v>
          </cell>
          <cell r="I504">
            <v>3</v>
          </cell>
        </row>
        <row r="505">
          <cell r="B505" t="str">
            <v>14018-95-2</v>
          </cell>
          <cell r="C505" t="str">
            <v>zinc dichromate</v>
          </cell>
          <cell r="D505" t="str">
            <v>구분1A</v>
          </cell>
          <cell r="E505">
            <v>0.1</v>
          </cell>
          <cell r="F505" t="str">
            <v/>
          </cell>
          <cell r="H505" t="str">
            <v/>
          </cell>
        </row>
        <row r="506">
          <cell r="B506" t="str">
            <v>14038-85-8</v>
          </cell>
          <cell r="C506" t="str">
            <v>disodium tetracyanonickelate(2-)</v>
          </cell>
          <cell r="D506" t="str">
            <v>구분1A</v>
          </cell>
          <cell r="E506">
            <v>0.1</v>
          </cell>
          <cell r="F506" t="str">
            <v/>
          </cell>
          <cell r="H506" t="str">
            <v/>
          </cell>
        </row>
        <row r="507">
          <cell r="B507" t="str">
            <v>14055-02-8</v>
          </cell>
          <cell r="C507" t="str">
            <v>[29H,31H-phthalocyaninato(2-)-N29,N30,N31,N32]nickel</v>
          </cell>
          <cell r="D507" t="str">
            <v>구분1A</v>
          </cell>
          <cell r="E507">
            <v>0.1</v>
          </cell>
          <cell r="F507" t="str">
            <v/>
          </cell>
          <cell r="H507" t="str">
            <v/>
          </cell>
        </row>
        <row r="508">
          <cell r="B508" t="str">
            <v>14060-38-9</v>
          </cell>
          <cell r="C508" t="str">
            <v>Arsenous acid, sodium salt</v>
          </cell>
          <cell r="D508" t="str">
            <v>구분1A</v>
          </cell>
          <cell r="E508">
            <v>0.1</v>
          </cell>
          <cell r="F508" t="str">
            <v/>
          </cell>
          <cell r="H508" t="str">
            <v/>
          </cell>
        </row>
        <row r="509">
          <cell r="B509" t="str">
            <v>14172-92-0</v>
          </cell>
          <cell r="C509" t="str">
            <v>Nickel, [5,​10,​15,​20-​tetraphenyl-​21H,​23H-​porphinato(2-​)​-​κN21,​κN22,​κN23,​κN24]​-​, (SP-​4-​1)​- </v>
          </cell>
          <cell r="D509" t="str">
            <v>구분1A</v>
          </cell>
          <cell r="E509">
            <v>0.1</v>
          </cell>
          <cell r="F509" t="str">
            <v/>
          </cell>
          <cell r="H509" t="str">
            <v/>
          </cell>
        </row>
        <row r="510">
          <cell r="B510" t="str">
            <v>14177-51-6</v>
          </cell>
          <cell r="C510" t="str">
            <v>nickel tungsten tetraoxide</v>
          </cell>
          <cell r="D510" t="str">
            <v>구분1A</v>
          </cell>
          <cell r="E510">
            <v>0.1</v>
          </cell>
          <cell r="F510" t="str">
            <v/>
          </cell>
          <cell r="H510" t="str">
            <v/>
          </cell>
        </row>
        <row r="511">
          <cell r="B511" t="str">
            <v>14177-55-0</v>
          </cell>
          <cell r="C511" t="str">
            <v>molybdenum nickel tetraoxide</v>
          </cell>
          <cell r="D511" t="str">
            <v>구분1A</v>
          </cell>
          <cell r="E511">
            <v>0.1</v>
          </cell>
          <cell r="F511" t="str">
            <v/>
          </cell>
          <cell r="H511" t="str">
            <v/>
          </cell>
        </row>
        <row r="512">
          <cell r="B512" t="str">
            <v>14216-75-2</v>
          </cell>
          <cell r="C512" t="str">
            <v>nitric acid, nickel salt</v>
          </cell>
          <cell r="D512" t="str">
            <v>구분1A</v>
          </cell>
          <cell r="E512">
            <v>0.1</v>
          </cell>
          <cell r="F512" t="str">
            <v/>
          </cell>
          <cell r="H512" t="str">
            <v/>
          </cell>
        </row>
        <row r="513">
          <cell r="B513" t="str">
            <v>14255-04-0</v>
          </cell>
          <cell r="C513" t="str">
            <v>Lead, isotope of mass 210</v>
          </cell>
          <cell r="D513" t="str">
            <v>구분1B</v>
          </cell>
          <cell r="E513">
            <v>0.1</v>
          </cell>
          <cell r="F513" t="str">
            <v/>
          </cell>
          <cell r="H513" t="str">
            <v>구분1A</v>
          </cell>
          <cell r="I513">
            <v>0.3</v>
          </cell>
        </row>
        <row r="514">
          <cell r="B514" t="str">
            <v>14307-33-6</v>
          </cell>
          <cell r="C514" t="str">
            <v>calcium dichromate</v>
          </cell>
          <cell r="D514" t="str">
            <v>구분1A</v>
          </cell>
          <cell r="E514">
            <v>0.1</v>
          </cell>
          <cell r="F514" t="str">
            <v/>
          </cell>
          <cell r="H514" t="str">
            <v/>
          </cell>
        </row>
        <row r="515">
          <cell r="B515" t="str">
            <v>14307-35-8</v>
          </cell>
          <cell r="C515" t="str">
            <v>lithium chromate</v>
          </cell>
          <cell r="D515" t="str">
            <v>구분1A</v>
          </cell>
          <cell r="E515">
            <v>0.1</v>
          </cell>
          <cell r="F515" t="str">
            <v/>
          </cell>
          <cell r="H515" t="str">
            <v/>
          </cell>
        </row>
        <row r="516">
          <cell r="B516" t="str">
            <v>14332-34-4</v>
          </cell>
          <cell r="C516" t="str">
            <v>nickel hydrogen phosphate</v>
          </cell>
          <cell r="D516" t="str">
            <v>구분1A</v>
          </cell>
          <cell r="E516">
            <v>0.1</v>
          </cell>
          <cell r="F516" t="str">
            <v/>
          </cell>
          <cell r="H516" t="str">
            <v/>
          </cell>
        </row>
        <row r="517">
          <cell r="B517" t="str">
            <v>14402-75-6</v>
          </cell>
          <cell r="C517" t="str">
            <v>cadmium dipotassium tetracyanide</v>
          </cell>
          <cell r="D517" t="str">
            <v>구분1A</v>
          </cell>
          <cell r="E517">
            <v>0.1</v>
          </cell>
          <cell r="F517" t="str">
            <v>구분2</v>
          </cell>
          <cell r="G517">
            <v>1</v>
          </cell>
          <cell r="H517" t="str">
            <v>구분2</v>
          </cell>
          <cell r="I517">
            <v>3</v>
          </cell>
        </row>
        <row r="518">
          <cell r="B518" t="str">
            <v>14448-18-1</v>
          </cell>
          <cell r="C518" t="str">
            <v>dinickel diphosphate</v>
          </cell>
          <cell r="D518" t="str">
            <v>구분1A</v>
          </cell>
          <cell r="E518">
            <v>0.1</v>
          </cell>
          <cell r="F518" t="str">
            <v/>
          </cell>
          <cell r="H518" t="str">
            <v/>
          </cell>
        </row>
        <row r="519">
          <cell r="B519" t="str">
            <v>14486-19-2</v>
          </cell>
          <cell r="C519" t="str">
            <v>cadmium tetrafluoroborate</v>
          </cell>
          <cell r="D519" t="str">
            <v>구분1A</v>
          </cell>
          <cell r="E519">
            <v>0.1</v>
          </cell>
          <cell r="F519" t="str">
            <v>구분2</v>
          </cell>
          <cell r="G519">
            <v>1</v>
          </cell>
          <cell r="H519" t="str">
            <v>구분2</v>
          </cell>
          <cell r="I519">
            <v>3</v>
          </cell>
        </row>
        <row r="520">
          <cell r="B520" t="str">
            <v>14507-36-9</v>
          </cell>
          <cell r="C520" t="str">
            <v>nickel bis(phosphinate)</v>
          </cell>
          <cell r="D520" t="str">
            <v>구분1A</v>
          </cell>
          <cell r="E520">
            <v>0.1</v>
          </cell>
          <cell r="F520" t="str">
            <v/>
          </cell>
          <cell r="H520" t="str">
            <v/>
          </cell>
        </row>
        <row r="521">
          <cell r="B521" t="str">
            <v>14520-70-8</v>
          </cell>
          <cell r="C521" t="str">
            <v>Phosphoric acid, ammonium cadmium salt (1:1:1)</v>
          </cell>
          <cell r="D521" t="str">
            <v>구분1A</v>
          </cell>
          <cell r="E521">
            <v>0.1</v>
          </cell>
          <cell r="F521" t="str">
            <v>구분2</v>
          </cell>
          <cell r="G521">
            <v>1</v>
          </cell>
          <cell r="H521" t="str">
            <v>구분2</v>
          </cell>
          <cell r="I521">
            <v>3</v>
          </cell>
        </row>
        <row r="522">
          <cell r="B522" t="str">
            <v>14550-87-9</v>
          </cell>
          <cell r="C522" t="str">
            <v>nickel dibromate</v>
          </cell>
          <cell r="D522" t="str">
            <v>구분1A</v>
          </cell>
          <cell r="E522">
            <v>0.1</v>
          </cell>
          <cell r="F522" t="str">
            <v/>
          </cell>
          <cell r="H522" t="str">
            <v/>
          </cell>
        </row>
        <row r="523">
          <cell r="B523" t="str">
            <v>14708-14-6</v>
          </cell>
          <cell r="C523" t="str">
            <v>nickel bis(tetrafluoroborate)</v>
          </cell>
          <cell r="D523" t="str">
            <v>구분1A</v>
          </cell>
          <cell r="E523">
            <v>0.1</v>
          </cell>
          <cell r="F523" t="str">
            <v/>
          </cell>
          <cell r="H523" t="str">
            <v/>
          </cell>
        </row>
        <row r="524">
          <cell r="B524" t="str">
            <v>14720-53-7</v>
          </cell>
          <cell r="C524" t="str">
            <v>lead metaborate</v>
          </cell>
          <cell r="D524" t="str">
            <v>구분1B</v>
          </cell>
          <cell r="E524">
            <v>0.1</v>
          </cell>
          <cell r="F524" t="str">
            <v/>
          </cell>
          <cell r="H524" t="str">
            <v>구분1A</v>
          </cell>
          <cell r="I524">
            <v>0.3</v>
          </cell>
        </row>
        <row r="525">
          <cell r="B525" t="str">
            <v>14721-18-7</v>
          </cell>
          <cell r="C525" t="str">
            <v>nickel chromate</v>
          </cell>
          <cell r="D525" t="str">
            <v>구분1A</v>
          </cell>
          <cell r="E525">
            <v>0.1</v>
          </cell>
          <cell r="F525" t="str">
            <v/>
          </cell>
          <cell r="H525" t="str">
            <v/>
          </cell>
        </row>
        <row r="526">
          <cell r="B526" t="str">
            <v>14836-60-3</v>
          </cell>
          <cell r="C526" t="str">
            <v>Nitric acid, mercury(1+)salt, dihydrate</v>
          </cell>
          <cell r="D526" t="str">
            <v/>
          </cell>
          <cell r="F526" t="str">
            <v/>
          </cell>
          <cell r="H526" t="str">
            <v>구분1B</v>
          </cell>
          <cell r="I526">
            <v>0.3</v>
          </cell>
        </row>
        <row r="527">
          <cell r="B527" t="str">
            <v>14874-86-3</v>
          </cell>
          <cell r="C527" t="str">
            <v>beryllium diammonium tetrafluoride</v>
          </cell>
          <cell r="D527" t="str">
            <v>구분1A</v>
          </cell>
          <cell r="E527">
            <v>0.1</v>
          </cell>
          <cell r="F527" t="str">
            <v/>
          </cell>
          <cell r="H527" t="str">
            <v/>
          </cell>
        </row>
        <row r="528">
          <cell r="B528" t="str">
            <v>14986-48-2</v>
          </cell>
          <cell r="C528" t="str">
            <v>Chromium chloride (CrCl6)​</v>
          </cell>
          <cell r="D528" t="str">
            <v>구분1A</v>
          </cell>
          <cell r="E528">
            <v>0.1</v>
          </cell>
          <cell r="F528" t="str">
            <v/>
          </cell>
          <cell r="H528" t="str">
            <v/>
          </cell>
        </row>
        <row r="529">
          <cell r="B529" t="str">
            <v>15060-62-5</v>
          </cell>
          <cell r="C529" t="str">
            <v>nickel selenate</v>
          </cell>
          <cell r="D529" t="str">
            <v>구분1A</v>
          </cell>
          <cell r="E529">
            <v>0.1</v>
          </cell>
          <cell r="F529" t="str">
            <v/>
          </cell>
          <cell r="H529" t="str">
            <v/>
          </cell>
        </row>
        <row r="530">
          <cell r="B530" t="str">
            <v>15067-28-4</v>
          </cell>
          <cell r="C530" t="str">
            <v>Lead, isotope of mass 214</v>
          </cell>
          <cell r="D530" t="str">
            <v>구분1B</v>
          </cell>
          <cell r="E530">
            <v>0.1</v>
          </cell>
          <cell r="F530" t="str">
            <v/>
          </cell>
          <cell r="H530" t="str">
            <v>구분1A</v>
          </cell>
          <cell r="I530">
            <v>0.3</v>
          </cell>
        </row>
        <row r="531">
          <cell r="B531" t="str">
            <v>15120-17-9</v>
          </cell>
          <cell r="C531" t="str">
            <v>sodium metaarsenate</v>
          </cell>
          <cell r="D531" t="str">
            <v>구분1A</v>
          </cell>
          <cell r="E531">
            <v>0.1</v>
          </cell>
          <cell r="F531" t="str">
            <v/>
          </cell>
          <cell r="H531" t="str">
            <v/>
          </cell>
        </row>
        <row r="532">
          <cell r="B532" t="str">
            <v>15191-85-2</v>
          </cell>
          <cell r="C532" t="str">
            <v>beryllium orthosilicate</v>
          </cell>
          <cell r="D532" t="str">
            <v>구분1A</v>
          </cell>
          <cell r="E532">
            <v>0.1</v>
          </cell>
          <cell r="F532" t="str">
            <v/>
          </cell>
          <cell r="H532" t="str">
            <v/>
          </cell>
        </row>
        <row r="533">
          <cell r="B533" t="str">
            <v>15195-06-9</v>
          </cell>
          <cell r="C533" t="str">
            <v>Arsenenous acid, strontium salt</v>
          </cell>
          <cell r="D533" t="str">
            <v>구분1A</v>
          </cell>
          <cell r="E533">
            <v>0.1</v>
          </cell>
          <cell r="F533" t="str">
            <v/>
          </cell>
          <cell r="H533" t="str">
            <v/>
          </cell>
        </row>
        <row r="534">
          <cell r="B534" t="str">
            <v>15244-35-6</v>
          </cell>
          <cell r="C534" t="str">
            <v>Sulfuric acid, cadmium salt (1:1)​, hydrate</v>
          </cell>
          <cell r="D534" t="str">
            <v>구분1A</v>
          </cell>
          <cell r="E534">
            <v>0.1</v>
          </cell>
          <cell r="F534" t="str">
            <v>구분2</v>
          </cell>
          <cell r="G534">
            <v>1</v>
          </cell>
          <cell r="H534" t="str">
            <v>구분2</v>
          </cell>
          <cell r="I534">
            <v>3</v>
          </cell>
        </row>
        <row r="535">
          <cell r="B535" t="str">
            <v>15385-58-7</v>
          </cell>
          <cell r="C535" t="str">
            <v>Mercury bromide</v>
          </cell>
          <cell r="D535" t="str">
            <v/>
          </cell>
          <cell r="F535" t="str">
            <v/>
          </cell>
          <cell r="H535" t="str">
            <v>구분1B</v>
          </cell>
          <cell r="I535">
            <v>0.3</v>
          </cell>
        </row>
        <row r="536">
          <cell r="B536" t="str">
            <v>15586-38-6</v>
          </cell>
          <cell r="C536" t="str">
            <v>nickel dichromate</v>
          </cell>
          <cell r="D536" t="str">
            <v>구분1A</v>
          </cell>
          <cell r="E536">
            <v>0.1</v>
          </cell>
          <cell r="F536" t="str">
            <v/>
          </cell>
          <cell r="H536" t="str">
            <v/>
          </cell>
        </row>
        <row r="537">
          <cell r="B537" t="str">
            <v>15600-62-1</v>
          </cell>
          <cell r="C537" t="str">
            <v>Diphosphoric acid cadmium salt (1:2)</v>
          </cell>
          <cell r="D537" t="str">
            <v>구분1A</v>
          </cell>
          <cell r="E537">
            <v>0.1</v>
          </cell>
          <cell r="F537" t="str">
            <v>구분2</v>
          </cell>
          <cell r="G537">
            <v>1</v>
          </cell>
          <cell r="H537" t="str">
            <v>구분2</v>
          </cell>
          <cell r="I537">
            <v>3</v>
          </cell>
        </row>
        <row r="538">
          <cell r="B538" t="str">
            <v>15699-18-0</v>
          </cell>
          <cell r="C538" t="str">
            <v>diammonium nickel bis(sulphate)</v>
          </cell>
          <cell r="D538" t="str">
            <v>구분1A</v>
          </cell>
          <cell r="E538">
            <v>0.1</v>
          </cell>
          <cell r="F538" t="str">
            <v/>
          </cell>
          <cell r="H538" t="str">
            <v/>
          </cell>
        </row>
        <row r="539">
          <cell r="B539" t="str">
            <v>15739-80-7</v>
          </cell>
          <cell r="C539" t="str">
            <v>sulphuric acid, lead salt</v>
          </cell>
          <cell r="D539" t="str">
            <v>구분1B</v>
          </cell>
          <cell r="E539">
            <v>0.1</v>
          </cell>
          <cell r="F539" t="str">
            <v/>
          </cell>
          <cell r="H539" t="str">
            <v>구분1A</v>
          </cell>
          <cell r="I539">
            <v>0.3</v>
          </cell>
        </row>
        <row r="540">
          <cell r="B540" t="str">
            <v>15780-33-3</v>
          </cell>
          <cell r="C540" t="str">
            <v>nickel triuranium decaoxide</v>
          </cell>
          <cell r="D540" t="str">
            <v>구분1A</v>
          </cell>
          <cell r="E540">
            <v>0.1</v>
          </cell>
          <cell r="F540" t="str">
            <v/>
          </cell>
          <cell r="H540" t="str">
            <v/>
          </cell>
        </row>
        <row r="541">
          <cell r="B541" t="str">
            <v>15829-53-5</v>
          </cell>
          <cell r="C541" t="str">
            <v>''mercurous oxide''</v>
          </cell>
          <cell r="D541" t="str">
            <v/>
          </cell>
          <cell r="F541" t="str">
            <v/>
          </cell>
          <cell r="H541" t="str">
            <v>구분1B</v>
          </cell>
          <cell r="I541">
            <v>0.3</v>
          </cell>
        </row>
        <row r="542">
          <cell r="B542" t="str">
            <v>15843-02-4</v>
          </cell>
          <cell r="C542" t="str">
            <v>formic acid, nickel salt</v>
          </cell>
          <cell r="D542" t="str">
            <v>구분1A</v>
          </cell>
          <cell r="E542">
            <v>0.1</v>
          </cell>
          <cell r="F542" t="str">
            <v/>
          </cell>
          <cell r="H542" t="str">
            <v/>
          </cell>
        </row>
        <row r="543">
          <cell r="B543" t="str">
            <v>15845-52-0</v>
          </cell>
          <cell r="C543" t="str">
            <v>lead hydrogenorthophosphate</v>
          </cell>
          <cell r="D543" t="str">
            <v>구분1B</v>
          </cell>
          <cell r="E543">
            <v>0.1</v>
          </cell>
          <cell r="F543" t="str">
            <v/>
          </cell>
          <cell r="H543" t="str">
            <v>구분1A</v>
          </cell>
          <cell r="I543">
            <v>0.3</v>
          </cell>
        </row>
        <row r="544">
          <cell r="B544" t="str">
            <v>15851-44-2</v>
          </cell>
          <cell r="C544" t="str">
            <v>cadmium tellurium trioxide</v>
          </cell>
          <cell r="D544" t="str">
            <v>구분1A</v>
          </cell>
          <cell r="E544">
            <v>0.1</v>
          </cell>
          <cell r="F544" t="str">
            <v>구분2</v>
          </cell>
          <cell r="G544">
            <v>1</v>
          </cell>
          <cell r="H544" t="str">
            <v>구분2</v>
          </cell>
          <cell r="I544">
            <v>3</v>
          </cell>
        </row>
        <row r="545">
          <cell r="B545" t="str">
            <v>15851-47-5</v>
          </cell>
          <cell r="C545" t="str">
            <v>lead(2+) tellurium trioxide</v>
          </cell>
          <cell r="D545" t="str">
            <v>구분1B</v>
          </cell>
          <cell r="E545">
            <v>0.1</v>
          </cell>
          <cell r="F545" t="str">
            <v/>
          </cell>
          <cell r="H545" t="str">
            <v>구분1A</v>
          </cell>
          <cell r="I545">
            <v>0.3</v>
          </cell>
        </row>
        <row r="546">
          <cell r="B546" t="str">
            <v>15851-52-2</v>
          </cell>
          <cell r="C546" t="str">
            <v>nickel tellurium trioxide</v>
          </cell>
          <cell r="D546" t="str">
            <v>구분1A</v>
          </cell>
          <cell r="E546">
            <v>0.1</v>
          </cell>
          <cell r="F546" t="str">
            <v/>
          </cell>
          <cell r="H546" t="str">
            <v/>
          </cell>
        </row>
        <row r="547">
          <cell r="B547" t="str">
            <v>15852-14-9</v>
          </cell>
          <cell r="C547" t="str">
            <v>cadmium tellurium tetraoxide</v>
          </cell>
          <cell r="D547" t="str">
            <v>구분1A</v>
          </cell>
          <cell r="E547">
            <v>0.1</v>
          </cell>
          <cell r="F547" t="str">
            <v>구분2</v>
          </cell>
          <cell r="G547">
            <v>1</v>
          </cell>
          <cell r="H547" t="str">
            <v>구분2</v>
          </cell>
          <cell r="I547">
            <v>3</v>
          </cell>
        </row>
        <row r="548">
          <cell r="B548" t="str">
            <v>15852-21-8</v>
          </cell>
          <cell r="C548" t="str">
            <v>nickel tellurium tetraoxide</v>
          </cell>
          <cell r="D548" t="str">
            <v>구분1A</v>
          </cell>
          <cell r="E548">
            <v>0.1</v>
          </cell>
          <cell r="F548" t="str">
            <v/>
          </cell>
          <cell r="H548" t="str">
            <v/>
          </cell>
        </row>
        <row r="549">
          <cell r="B549" t="str">
            <v>15930-94-6</v>
          </cell>
          <cell r="C549" t="str">
            <v>Zinc chromate oxide (Zn2(CrO4)​O)​, hydrate</v>
          </cell>
          <cell r="D549" t="str">
            <v>구분1A</v>
          </cell>
          <cell r="E549">
            <v>0.1</v>
          </cell>
          <cell r="F549" t="str">
            <v/>
          </cell>
          <cell r="H549" t="str">
            <v/>
          </cell>
        </row>
        <row r="550">
          <cell r="B550" t="str">
            <v>1600-27-7</v>
          </cell>
          <cell r="C550" t="str">
            <v>mercury di(acetate)</v>
          </cell>
          <cell r="D550" t="str">
            <v/>
          </cell>
          <cell r="F550" t="str">
            <v/>
          </cell>
          <cell r="H550" t="str">
            <v>구분1B</v>
          </cell>
          <cell r="I550">
            <v>0.3</v>
          </cell>
        </row>
        <row r="551">
          <cell r="B551" t="str">
            <v>16037-50-6</v>
          </cell>
          <cell r="C551" t="str">
            <v>potassium chlorotrioxochromate</v>
          </cell>
          <cell r="D551" t="str">
            <v>구분1A</v>
          </cell>
          <cell r="E551">
            <v>0.1</v>
          </cell>
          <cell r="F551" t="str">
            <v/>
          </cell>
          <cell r="H551" t="str">
            <v/>
          </cell>
        </row>
        <row r="552">
          <cell r="B552" t="str">
            <v>16038-76-9</v>
          </cell>
          <cell r="C552" t="str">
            <v>lead phosphite</v>
          </cell>
          <cell r="D552" t="str">
            <v>구분1B</v>
          </cell>
          <cell r="E552">
            <v>0.1</v>
          </cell>
          <cell r="F552" t="str">
            <v/>
          </cell>
          <cell r="H552" t="str">
            <v>구분1A</v>
          </cell>
          <cell r="I552">
            <v>0.3</v>
          </cell>
        </row>
        <row r="553">
          <cell r="B553" t="str">
            <v>16039-61-5</v>
          </cell>
          <cell r="C553" t="str">
            <v>Nickel, bis[2-​(hydroxy-​κO)​propanoato-​κO]​-</v>
          </cell>
          <cell r="D553" t="str">
            <v>구분1A</v>
          </cell>
          <cell r="E553">
            <v>0.1</v>
          </cell>
          <cell r="F553" t="str">
            <v/>
          </cell>
          <cell r="H553" t="str">
            <v/>
          </cell>
        </row>
        <row r="554">
          <cell r="B554" t="str">
            <v>16083-14-0</v>
          </cell>
          <cell r="C554" t="str">
            <v>nickel(2+) trifluoroacetate</v>
          </cell>
          <cell r="D554" t="str">
            <v>구분1A</v>
          </cell>
          <cell r="E554">
            <v>0.1</v>
          </cell>
          <cell r="F554" t="str">
            <v/>
          </cell>
          <cell r="H554" t="str">
            <v/>
          </cell>
        </row>
        <row r="555">
          <cell r="B555" t="str">
            <v>16337-84-1</v>
          </cell>
          <cell r="C555" t="str">
            <v>carbonic acid, nickel salt</v>
          </cell>
          <cell r="D555" t="str">
            <v>구분1A</v>
          </cell>
          <cell r="E555">
            <v>0.1</v>
          </cell>
          <cell r="F555" t="str">
            <v/>
          </cell>
          <cell r="H555" t="str">
            <v/>
          </cell>
        </row>
        <row r="556">
          <cell r="B556" t="str">
            <v>16923-64-1</v>
          </cell>
          <cell r="C556" t="str">
            <v>Fluoroberyllic acid</v>
          </cell>
          <cell r="D556" t="str">
            <v>구분1A</v>
          </cell>
          <cell r="E556">
            <v>0.1</v>
          </cell>
          <cell r="F556" t="str">
            <v/>
          </cell>
          <cell r="H556" t="str">
            <v/>
          </cell>
        </row>
        <row r="557">
          <cell r="B557" t="str">
            <v>17010-21-8</v>
          </cell>
          <cell r="C557" t="str">
            <v>cadmium hexafluorosilicate(2-)</v>
          </cell>
          <cell r="D557" t="str">
            <v>구분1A</v>
          </cell>
          <cell r="E557">
            <v>0.1</v>
          </cell>
          <cell r="F557" t="str">
            <v>구분2</v>
          </cell>
          <cell r="G557">
            <v>1</v>
          </cell>
          <cell r="H557" t="str">
            <v>구분2</v>
          </cell>
          <cell r="I557">
            <v>3</v>
          </cell>
        </row>
        <row r="558">
          <cell r="B558" t="str">
            <v>17029-22-0</v>
          </cell>
          <cell r="C558" t="str">
            <v>potassium hexafluoroarsenate</v>
          </cell>
          <cell r="D558" t="str">
            <v>구분1A</v>
          </cell>
          <cell r="E558">
            <v>0.1</v>
          </cell>
          <cell r="F558" t="str">
            <v/>
          </cell>
          <cell r="H558" t="str">
            <v/>
          </cell>
        </row>
        <row r="559">
          <cell r="B559" t="str">
            <v>17169-61-8</v>
          </cell>
          <cell r="C559" t="str">
            <v>Phosphoric acid, calcium nickel salt (1:?:?)</v>
          </cell>
          <cell r="D559" t="str">
            <v>구분1A</v>
          </cell>
          <cell r="E559">
            <v>0.1</v>
          </cell>
          <cell r="F559" t="str">
            <v/>
          </cell>
          <cell r="H559" t="str">
            <v/>
          </cell>
        </row>
        <row r="560">
          <cell r="B560" t="str">
            <v>17570-76-2</v>
          </cell>
          <cell r="C560" t="str">
            <v>Lead methane sulfonate</v>
          </cell>
          <cell r="D560" t="str">
            <v>구분1B</v>
          </cell>
          <cell r="E560">
            <v>0.1</v>
          </cell>
          <cell r="F560" t="str">
            <v/>
          </cell>
          <cell r="H560" t="str">
            <v>구분1A</v>
          </cell>
          <cell r="I560">
            <v>0.3</v>
          </cell>
        </row>
        <row r="561">
          <cell r="B561" t="str">
            <v>18454-12-1</v>
          </cell>
          <cell r="C561" t="str">
            <v>dilead chromate oxide</v>
          </cell>
          <cell r="D561" t="str">
            <v>구분1A</v>
          </cell>
          <cell r="E561">
            <v>0.1</v>
          </cell>
          <cell r="F561" t="str">
            <v/>
          </cell>
          <cell r="H561" t="str">
            <v>구분1A</v>
          </cell>
          <cell r="I561">
            <v>0.3</v>
          </cell>
        </row>
        <row r="562">
          <cell r="B562" t="str">
            <v>18718-11-1</v>
          </cell>
          <cell r="C562" t="str">
            <v>nickel bis(dihydrogen phosphate)</v>
          </cell>
          <cell r="D562" t="str">
            <v>구분1A</v>
          </cell>
          <cell r="E562">
            <v>0.1</v>
          </cell>
          <cell r="F562" t="str">
            <v/>
          </cell>
          <cell r="H562" t="str">
            <v/>
          </cell>
        </row>
        <row r="563">
          <cell r="B563" t="str">
            <v>18721-51-2</v>
          </cell>
          <cell r="C563" t="str">
            <v>nickel(2+) hydrogen citrate</v>
          </cell>
          <cell r="D563" t="str">
            <v>구분1A</v>
          </cell>
          <cell r="E563">
            <v>0.1</v>
          </cell>
          <cell r="F563" t="str">
            <v/>
          </cell>
          <cell r="H563" t="str">
            <v/>
          </cell>
        </row>
        <row r="564">
          <cell r="B564" t="str">
            <v>19783-14-3</v>
          </cell>
          <cell r="C564" t="str">
            <v>lead hydroxide</v>
          </cell>
          <cell r="D564" t="str">
            <v>구분1B</v>
          </cell>
          <cell r="E564">
            <v>0.1</v>
          </cell>
          <cell r="F564" t="str">
            <v/>
          </cell>
          <cell r="H564" t="str">
            <v>구분1A</v>
          </cell>
          <cell r="I564">
            <v>0.3</v>
          </cell>
        </row>
        <row r="565">
          <cell r="B565" t="str">
            <v>20039-37-6</v>
          </cell>
          <cell r="C565" t="str">
            <v>pyridinium dichromate</v>
          </cell>
          <cell r="D565" t="str">
            <v>구분1A</v>
          </cell>
          <cell r="E565">
            <v>0.1</v>
          </cell>
          <cell r="F565" t="str">
            <v/>
          </cell>
          <cell r="H565" t="str">
            <v/>
          </cell>
        </row>
        <row r="566">
          <cell r="B566" t="str">
            <v>20543-06-0</v>
          </cell>
          <cell r="C566" t="str">
            <v>oxalic acid, nickel salt</v>
          </cell>
          <cell r="D566" t="str">
            <v>구분1A</v>
          </cell>
          <cell r="E566">
            <v>0.1</v>
          </cell>
          <cell r="F566" t="str">
            <v/>
          </cell>
          <cell r="H566" t="str">
            <v/>
          </cell>
        </row>
        <row r="567">
          <cell r="B567" t="str">
            <v>20837-86-9</v>
          </cell>
          <cell r="C567" t="str">
            <v>lead cyanamidate</v>
          </cell>
          <cell r="D567" t="str">
            <v>구분1B</v>
          </cell>
          <cell r="E567">
            <v>0.1</v>
          </cell>
          <cell r="F567" t="str">
            <v/>
          </cell>
          <cell r="H567" t="str">
            <v>구분1A</v>
          </cell>
          <cell r="I567">
            <v>0.3</v>
          </cell>
        </row>
        <row r="568">
          <cell r="B568" t="str">
            <v>21041-95-2</v>
          </cell>
          <cell r="C568" t="str">
            <v>cadmium hydroxide</v>
          </cell>
          <cell r="D568" t="str">
            <v>구분1A</v>
          </cell>
          <cell r="E568">
            <v>0.1</v>
          </cell>
          <cell r="F568" t="str">
            <v>구분2</v>
          </cell>
          <cell r="G568">
            <v>1</v>
          </cell>
          <cell r="H568" t="str">
            <v>구분2</v>
          </cell>
          <cell r="I568">
            <v>3</v>
          </cell>
        </row>
        <row r="569">
          <cell r="B569" t="str">
            <v>21319-43-7</v>
          </cell>
          <cell r="C569" t="str">
            <v>Lead, bis(2,​2,​6,​6-​tetramethyl-​3,​5-​heptanedionato-​κO3,​κO5)​-​, (T-​4)​-</v>
          </cell>
          <cell r="D569" t="str">
            <v>구분1B</v>
          </cell>
          <cell r="E569">
            <v>0.1</v>
          </cell>
          <cell r="F569" t="str">
            <v/>
          </cell>
          <cell r="H569" t="str">
            <v>구분1A</v>
          </cell>
          <cell r="I569">
            <v>0.3</v>
          </cell>
        </row>
        <row r="570">
          <cell r="B570" t="str">
            <v>21784-78-1</v>
          </cell>
          <cell r="C570" t="str">
            <v>nickel(2+) silicate</v>
          </cell>
          <cell r="D570" t="str">
            <v>구분1A</v>
          </cell>
          <cell r="E570">
            <v>0.1</v>
          </cell>
          <cell r="F570" t="str">
            <v/>
          </cell>
          <cell r="H570" t="str">
            <v/>
          </cell>
        </row>
        <row r="571">
          <cell r="B571" t="str">
            <v>21908-53-2</v>
          </cell>
          <cell r="C571" t="str">
            <v>mercury monoxide</v>
          </cell>
          <cell r="D571" t="str">
            <v/>
          </cell>
          <cell r="F571" t="str">
            <v/>
          </cell>
          <cell r="H571" t="str">
            <v>구분1B</v>
          </cell>
          <cell r="I571">
            <v>0.3</v>
          </cell>
        </row>
        <row r="572">
          <cell r="B572" t="str">
            <v>2191-10-8</v>
          </cell>
          <cell r="C572" t="str">
            <v>cadmium di(octanoate)</v>
          </cell>
          <cell r="D572" t="str">
            <v>구분1A</v>
          </cell>
          <cell r="E572">
            <v>0.1</v>
          </cell>
          <cell r="F572" t="str">
            <v>구분2</v>
          </cell>
          <cell r="G572">
            <v>1</v>
          </cell>
          <cell r="H572" t="str">
            <v>구분2</v>
          </cell>
          <cell r="I572">
            <v>3</v>
          </cell>
        </row>
        <row r="573">
          <cell r="B573" t="str">
            <v>2223-93-0</v>
          </cell>
          <cell r="C573" t="str">
            <v>cadmium distearate</v>
          </cell>
          <cell r="D573" t="str">
            <v>구분1A</v>
          </cell>
          <cell r="E573">
            <v>0.1</v>
          </cell>
          <cell r="F573" t="str">
            <v>구분2</v>
          </cell>
          <cell r="G573">
            <v>1</v>
          </cell>
          <cell r="H573" t="str">
            <v>구분2</v>
          </cell>
          <cell r="I573">
            <v>3</v>
          </cell>
        </row>
        <row r="574">
          <cell r="B574" t="str">
            <v>2223-95-2</v>
          </cell>
          <cell r="C574" t="str">
            <v>nickel(2+) stearate</v>
          </cell>
          <cell r="D574" t="str">
            <v>구분1A</v>
          </cell>
          <cell r="E574">
            <v>0.1</v>
          </cell>
          <cell r="F574" t="str">
            <v/>
          </cell>
          <cell r="H574" t="str">
            <v/>
          </cell>
        </row>
        <row r="575">
          <cell r="B575" t="str">
            <v>22441-45-8</v>
          </cell>
          <cell r="C575" t="str">
            <v>Arsorane, pentachloro-</v>
          </cell>
          <cell r="D575" t="str">
            <v>구분1A</v>
          </cell>
          <cell r="E575">
            <v>0.1</v>
          </cell>
          <cell r="F575" t="str">
            <v/>
          </cell>
          <cell r="H575" t="str">
            <v/>
          </cell>
        </row>
        <row r="576">
          <cell r="B576" t="str">
            <v>22569-74-0</v>
          </cell>
          <cell r="C576" t="str">
            <v>lead silicate</v>
          </cell>
          <cell r="D576" t="str">
            <v>구분1B</v>
          </cell>
          <cell r="E576">
            <v>0.1</v>
          </cell>
          <cell r="F576" t="str">
            <v/>
          </cell>
          <cell r="H576" t="str">
            <v>구분1A</v>
          </cell>
          <cell r="I576">
            <v>0.3</v>
          </cell>
        </row>
        <row r="577">
          <cell r="B577" t="str">
            <v>22605-92-1</v>
          </cell>
          <cell r="C577" t="str">
            <v>citric acid, nickel salt</v>
          </cell>
          <cell r="D577" t="str">
            <v>구분1A</v>
          </cell>
          <cell r="E577">
            <v>0.1</v>
          </cell>
          <cell r="F577" t="str">
            <v/>
          </cell>
          <cell r="H577" t="str">
            <v/>
          </cell>
        </row>
        <row r="578">
          <cell r="B578" t="str">
            <v>2420-98-6</v>
          </cell>
          <cell r="C578" t="str">
            <v>cadmium bis(2-ethylhexanoate)</v>
          </cell>
          <cell r="D578" t="str">
            <v>구분1A</v>
          </cell>
          <cell r="E578">
            <v>0.1</v>
          </cell>
          <cell r="F578" t="str">
            <v>구분2</v>
          </cell>
          <cell r="G578">
            <v>1</v>
          </cell>
          <cell r="H578" t="str">
            <v>구분2</v>
          </cell>
          <cell r="I578">
            <v>3</v>
          </cell>
        </row>
        <row r="579">
          <cell r="B579" t="str">
            <v>24640-21-9</v>
          </cell>
          <cell r="C579" t="str">
            <v>ammonium nickel trichloride</v>
          </cell>
          <cell r="D579" t="str">
            <v>구분1A</v>
          </cell>
          <cell r="E579">
            <v>0.1</v>
          </cell>
          <cell r="F579" t="str">
            <v/>
          </cell>
          <cell r="H579" t="str">
            <v/>
          </cell>
        </row>
        <row r="580">
          <cell r="B580" t="str">
            <v>24719-19-5</v>
          </cell>
          <cell r="C580" t="str">
            <v>tricobalt diarsenate</v>
          </cell>
          <cell r="D580" t="str">
            <v>구분1A</v>
          </cell>
          <cell r="E580">
            <v>0.1</v>
          </cell>
          <cell r="F580" t="str">
            <v/>
          </cell>
          <cell r="H580" t="str">
            <v/>
          </cell>
        </row>
        <row r="581">
          <cell r="B581" t="str">
            <v>25510-11-6</v>
          </cell>
          <cell r="C581" t="str">
            <v>lead carbonate</v>
          </cell>
          <cell r="D581" t="str">
            <v>구분1B</v>
          </cell>
          <cell r="E581">
            <v>0.1</v>
          </cell>
          <cell r="F581" t="str">
            <v/>
          </cell>
          <cell r="H581" t="str">
            <v>구분1A</v>
          </cell>
          <cell r="I581">
            <v>0.3</v>
          </cell>
        </row>
        <row r="582">
          <cell r="B582" t="str">
            <v>25638-88-4</v>
          </cell>
          <cell r="C582" t="str">
            <v>beryllium zinc silicate</v>
          </cell>
          <cell r="D582" t="str">
            <v>구분1A</v>
          </cell>
          <cell r="E582">
            <v>0.1</v>
          </cell>
          <cell r="F582" t="str">
            <v/>
          </cell>
          <cell r="H582" t="str">
            <v/>
          </cell>
        </row>
        <row r="583">
          <cell r="B583" t="str">
            <v>25659-31-8</v>
          </cell>
          <cell r="C583" t="str">
            <v>lead diiodate</v>
          </cell>
          <cell r="D583" t="str">
            <v>구분1B</v>
          </cell>
          <cell r="E583">
            <v>0.1</v>
          </cell>
          <cell r="F583" t="str">
            <v/>
          </cell>
          <cell r="H583" t="str">
            <v>구분1A</v>
          </cell>
          <cell r="I583">
            <v>0.3</v>
          </cell>
        </row>
        <row r="584">
          <cell r="B584" t="str">
            <v>25749-08-0</v>
          </cell>
          <cell r="C584" t="str">
            <v>Sulfuric acid, ammonium nickel(2+) sal</v>
          </cell>
          <cell r="D584" t="str">
            <v>구분1A</v>
          </cell>
          <cell r="E584">
            <v>0.1</v>
          </cell>
          <cell r="F584" t="str">
            <v/>
          </cell>
          <cell r="H584" t="str">
            <v/>
          </cell>
        </row>
        <row r="585">
          <cell r="B585" t="str">
            <v>25808-74-6</v>
          </cell>
          <cell r="C585" t="str">
            <v>lead hexafluorosilicate</v>
          </cell>
          <cell r="D585" t="str">
            <v>구분1B</v>
          </cell>
          <cell r="E585">
            <v>0.1</v>
          </cell>
          <cell r="F585" t="str">
            <v/>
          </cell>
          <cell r="H585" t="str">
            <v>구분1A</v>
          </cell>
          <cell r="I585">
            <v>0.3</v>
          </cell>
        </row>
        <row r="586">
          <cell r="B586" t="str">
            <v>26043-11-8</v>
          </cell>
          <cell r="C586" t="str">
            <v>nickel hexafluorosilicate</v>
          </cell>
          <cell r="D586" t="str">
            <v>구분1A</v>
          </cell>
          <cell r="E586">
            <v>0.1</v>
          </cell>
          <cell r="F586" t="str">
            <v/>
          </cell>
          <cell r="H586" t="str">
            <v/>
          </cell>
        </row>
        <row r="587">
          <cell r="B587" t="str">
            <v>2605-44-9</v>
          </cell>
          <cell r="C587" t="str">
            <v>cadmium dilaurate</v>
          </cell>
          <cell r="D587" t="str">
            <v>구분1A</v>
          </cell>
          <cell r="E587">
            <v>0.1</v>
          </cell>
          <cell r="F587" t="str">
            <v>구분2</v>
          </cell>
          <cell r="G587">
            <v>1</v>
          </cell>
          <cell r="H587" t="str">
            <v>구분2</v>
          </cell>
          <cell r="I587">
            <v>3</v>
          </cell>
        </row>
        <row r="588">
          <cell r="B588" t="str">
            <v>27016-73-5</v>
          </cell>
          <cell r="C588" t="str">
            <v>cobalt arsenide</v>
          </cell>
          <cell r="D588" t="str">
            <v>구분1A</v>
          </cell>
          <cell r="E588">
            <v>0.1</v>
          </cell>
          <cell r="F588" t="str">
            <v/>
          </cell>
          <cell r="H588" t="str">
            <v/>
          </cell>
        </row>
        <row r="589">
          <cell r="B589" t="str">
            <v>27016-75-7</v>
          </cell>
          <cell r="C589" t="str">
            <v>nickel arsenide</v>
          </cell>
          <cell r="D589" t="str">
            <v>구분1A</v>
          </cell>
          <cell r="E589">
            <v>0.1</v>
          </cell>
          <cell r="F589" t="str">
            <v/>
          </cell>
          <cell r="H589" t="str">
            <v/>
          </cell>
        </row>
        <row r="590">
          <cell r="B590" t="str">
            <v>27152-57-4</v>
          </cell>
          <cell r="C590" t="str">
            <v>tricalcium diarsenite</v>
          </cell>
          <cell r="D590" t="str">
            <v>구분1A</v>
          </cell>
          <cell r="E590">
            <v>0.1</v>
          </cell>
          <cell r="F590" t="str">
            <v/>
          </cell>
          <cell r="H590" t="str">
            <v/>
          </cell>
        </row>
        <row r="591">
          <cell r="B591" t="str">
            <v>27526-45-0</v>
          </cell>
          <cell r="C591" t="str">
            <v>Manganese arsenate</v>
          </cell>
          <cell r="D591" t="str">
            <v>구분1A</v>
          </cell>
          <cell r="E591">
            <v>0.1</v>
          </cell>
          <cell r="F591" t="str">
            <v/>
          </cell>
          <cell r="H591" t="str">
            <v/>
          </cell>
        </row>
        <row r="592">
          <cell r="B592" t="str">
            <v>27546-07-2</v>
          </cell>
          <cell r="C592" t="str">
            <v>diammonium dimolybdate</v>
          </cell>
          <cell r="D592" t="str">
            <v>구분2</v>
          </cell>
          <cell r="E592">
            <v>1</v>
          </cell>
          <cell r="F592" t="str">
            <v/>
          </cell>
          <cell r="H592" t="str">
            <v/>
          </cell>
        </row>
        <row r="593">
          <cell r="B593" t="str">
            <v>27637-46-3</v>
          </cell>
          <cell r="C593" t="str">
            <v>nickel isooctanoate</v>
          </cell>
          <cell r="D593" t="str">
            <v>구분1A</v>
          </cell>
          <cell r="E593">
            <v>0.1</v>
          </cell>
          <cell r="F593" t="str">
            <v/>
          </cell>
          <cell r="H593" t="str">
            <v/>
          </cell>
        </row>
        <row r="594">
          <cell r="B594" t="str">
            <v>27685-51-4</v>
          </cell>
          <cell r="C594" t="str">
            <v>mercury(2+) tetrakis(thiocyanato-N)cobaltate(2-)</v>
          </cell>
          <cell r="D594" t="str">
            <v/>
          </cell>
          <cell r="F594" t="str">
            <v/>
          </cell>
          <cell r="H594" t="str">
            <v>구분1B</v>
          </cell>
          <cell r="I594">
            <v>0.3</v>
          </cell>
        </row>
        <row r="595">
          <cell r="B595" t="str">
            <v>27835-99-0</v>
          </cell>
          <cell r="C595" t="str">
            <v>Nickelate(4-​)​, [29H,​31H-​phthalocyanine-​C,​C,​C,​C-​tetrasulfonato(6-​)​-​κN29,​κN30,​κN31,​κN32]​-​, sodium</v>
          </cell>
          <cell r="D595" t="str">
            <v>구분1A</v>
          </cell>
          <cell r="E595">
            <v>0.1</v>
          </cell>
          <cell r="F595" t="str">
            <v/>
          </cell>
          <cell r="H595" t="str">
            <v/>
          </cell>
        </row>
        <row r="596">
          <cell r="B596" t="str">
            <v>29317-63-3</v>
          </cell>
          <cell r="C596" t="str">
            <v>nickel(II) isooctanoate</v>
          </cell>
          <cell r="D596" t="str">
            <v>구분1A</v>
          </cell>
          <cell r="E596">
            <v>0.1</v>
          </cell>
          <cell r="F596" t="str">
            <v/>
          </cell>
          <cell r="H596" t="str">
            <v/>
          </cell>
        </row>
        <row r="597">
          <cell r="B597" t="str">
            <v>29935-35-1</v>
          </cell>
          <cell r="C597" t="str">
            <v>lithium hexafluoroarsenate</v>
          </cell>
          <cell r="D597" t="str">
            <v>구분1A</v>
          </cell>
          <cell r="E597">
            <v>0.1</v>
          </cell>
          <cell r="F597" t="str">
            <v/>
          </cell>
          <cell r="H597" t="str">
            <v/>
          </cell>
        </row>
        <row r="598">
          <cell r="B598" t="str">
            <v>301-08-6</v>
          </cell>
          <cell r="C598" t="str">
            <v>lead bis(2-ethylhexanoate)</v>
          </cell>
          <cell r="D598" t="str">
            <v>구분1B</v>
          </cell>
          <cell r="E598">
            <v>0.1</v>
          </cell>
          <cell r="F598" t="str">
            <v/>
          </cell>
          <cell r="H598" t="str">
            <v>구분1A</v>
          </cell>
          <cell r="I598">
            <v>0.3</v>
          </cell>
        </row>
        <row r="599">
          <cell r="B599" t="str">
            <v>3026-22-0</v>
          </cell>
          <cell r="C599" t="str">
            <v>cadmium bis[benzoate]</v>
          </cell>
          <cell r="D599" t="str">
            <v>구분1A</v>
          </cell>
          <cell r="E599">
            <v>0.1</v>
          </cell>
          <cell r="F599" t="str">
            <v>구분2</v>
          </cell>
          <cell r="G599">
            <v>1</v>
          </cell>
          <cell r="H599" t="str">
            <v>구분2</v>
          </cell>
          <cell r="I599">
            <v>3</v>
          </cell>
        </row>
        <row r="600">
          <cell r="B600" t="str">
            <v>30868-55-4</v>
          </cell>
          <cell r="C600" t="str">
            <v>nickel hexafluorozirconate(2-)</v>
          </cell>
          <cell r="D600" t="str">
            <v>구분1A</v>
          </cell>
          <cell r="E600">
            <v>0.1</v>
          </cell>
          <cell r="F600" t="str">
            <v/>
          </cell>
          <cell r="H600" t="str">
            <v/>
          </cell>
        </row>
        <row r="601">
          <cell r="B601" t="str">
            <v>31748-25-1</v>
          </cell>
          <cell r="C601" t="str">
            <v>nickel silicate(3:4)</v>
          </cell>
          <cell r="D601" t="str">
            <v>구분1A</v>
          </cell>
          <cell r="E601">
            <v>0.1</v>
          </cell>
          <cell r="F601" t="str">
            <v/>
          </cell>
          <cell r="H601" t="str">
            <v/>
          </cell>
        </row>
        <row r="602">
          <cell r="B602" t="str">
            <v>3264-82-2</v>
          </cell>
          <cell r="C602" t="str">
            <v>bis(pentane-2,4-dionato-O,O')nickel</v>
          </cell>
          <cell r="D602" t="str">
            <v>구분1A</v>
          </cell>
          <cell r="E602">
            <v>0.1</v>
          </cell>
          <cell r="F602" t="str">
            <v/>
          </cell>
          <cell r="H602" t="str">
            <v/>
          </cell>
        </row>
        <row r="603">
          <cell r="B603" t="str">
            <v>32775-46-5</v>
          </cell>
          <cell r="C603" t="str">
            <v>europium arsenide</v>
          </cell>
          <cell r="D603" t="str">
            <v>구분1A</v>
          </cell>
          <cell r="E603">
            <v>0.1</v>
          </cell>
          <cell r="F603" t="str">
            <v/>
          </cell>
          <cell r="H603" t="str">
            <v/>
          </cell>
        </row>
        <row r="604">
          <cell r="B604" t="str">
            <v>3333-67-3</v>
          </cell>
          <cell r="C604" t="str">
            <v>nickel carbonate</v>
          </cell>
          <cell r="D604" t="str">
            <v>구분1A</v>
          </cell>
          <cell r="E604">
            <v>0.1</v>
          </cell>
          <cell r="F604" t="str">
            <v/>
          </cell>
          <cell r="H604" t="str">
            <v/>
          </cell>
        </row>
        <row r="605">
          <cell r="B605" t="str">
            <v>3349-06-2</v>
          </cell>
          <cell r="C605" t="str">
            <v>nickel diformate</v>
          </cell>
          <cell r="D605" t="str">
            <v>구분1A</v>
          </cell>
          <cell r="E605">
            <v>0.1</v>
          </cell>
          <cell r="F605" t="str">
            <v/>
          </cell>
          <cell r="H605" t="str">
            <v/>
          </cell>
        </row>
        <row r="606">
          <cell r="B606" t="str">
            <v>35089-00-0</v>
          </cell>
          <cell r="C606" t="str">
            <v>phosphoric acid, beryllium salt</v>
          </cell>
          <cell r="D606" t="str">
            <v>구분1A</v>
          </cell>
          <cell r="E606">
            <v>0.1</v>
          </cell>
          <cell r="F606" t="str">
            <v/>
          </cell>
          <cell r="H606" t="str">
            <v/>
          </cell>
        </row>
        <row r="607">
          <cell r="B607" t="str">
            <v>35498-15-8</v>
          </cell>
          <cell r="C607" t="str">
            <v>orthoboric acid, lead(2+) salt</v>
          </cell>
          <cell r="D607" t="str">
            <v>구분1B</v>
          </cell>
          <cell r="E607">
            <v>0.1</v>
          </cell>
          <cell r="F607" t="str">
            <v/>
          </cell>
          <cell r="H607" t="str">
            <v>구분1A</v>
          </cell>
          <cell r="I607">
            <v>0.3</v>
          </cell>
        </row>
        <row r="608">
          <cell r="B608" t="str">
            <v>35658-65-2</v>
          </cell>
          <cell r="C608" t="str">
            <v>Cadmium chloride (CdCl2)​, monohydrate</v>
          </cell>
          <cell r="D608" t="str">
            <v>구분1A</v>
          </cell>
          <cell r="E608">
            <v>0.1</v>
          </cell>
          <cell r="F608" t="str">
            <v>구분2</v>
          </cell>
          <cell r="G608">
            <v>1</v>
          </cell>
          <cell r="H608" t="str">
            <v>구분2</v>
          </cell>
          <cell r="I608">
            <v>3</v>
          </cell>
        </row>
        <row r="609">
          <cell r="B609" t="str">
            <v>36026-88-7</v>
          </cell>
          <cell r="C609" t="str">
            <v>nickel bisphosphinate</v>
          </cell>
          <cell r="D609" t="str">
            <v>구분1A</v>
          </cell>
          <cell r="E609">
            <v>0.1</v>
          </cell>
          <cell r="F609" t="str">
            <v/>
          </cell>
          <cell r="H609" t="str">
            <v/>
          </cell>
        </row>
        <row r="610">
          <cell r="B610" t="str">
            <v>36487-02-2</v>
          </cell>
          <cell r="C610" t="str">
            <v>1,3-Benzenedicarboxylic acid, 1,3-dimethyl ester, polymer with 1,4-cyclohexanedimethanol and 1,4-dimethyl 1,4-benzenedicarboxylate</v>
          </cell>
          <cell r="D610" t="str">
            <v>구분2</v>
          </cell>
          <cell r="E610">
            <v>1</v>
          </cell>
          <cell r="F610" t="str">
            <v/>
          </cell>
          <cell r="H610" t="str">
            <v/>
          </cell>
        </row>
        <row r="611">
          <cell r="B611" t="str">
            <v>3687-31-8</v>
          </cell>
          <cell r="C611" t="str">
            <v>trilead diarsenate</v>
          </cell>
          <cell r="D611" t="str">
            <v>구분1A</v>
          </cell>
          <cell r="E611">
            <v>0.1</v>
          </cell>
          <cell r="F611" t="str">
            <v/>
          </cell>
          <cell r="H611" t="str">
            <v>구분1A</v>
          </cell>
          <cell r="I611">
            <v>0.3</v>
          </cell>
        </row>
        <row r="612">
          <cell r="B612" t="str">
            <v>37187-84-1</v>
          </cell>
          <cell r="C612" t="str">
            <v>Nickel hydride</v>
          </cell>
          <cell r="D612" t="str">
            <v>구분1A</v>
          </cell>
          <cell r="E612">
            <v>0.1</v>
          </cell>
          <cell r="F612" t="str">
            <v/>
          </cell>
          <cell r="H612" t="str">
            <v/>
          </cell>
        </row>
        <row r="613">
          <cell r="B613" t="str">
            <v>37194-88-0</v>
          </cell>
          <cell r="C613" t="str">
            <v>dilead diruthenium hexaoxide</v>
          </cell>
          <cell r="D613" t="str">
            <v>구분1B</v>
          </cell>
          <cell r="E613">
            <v>0.1</v>
          </cell>
          <cell r="F613" t="str">
            <v/>
          </cell>
          <cell r="H613" t="str">
            <v>구분1A</v>
          </cell>
          <cell r="I613">
            <v>0.3</v>
          </cell>
        </row>
        <row r="614">
          <cell r="B614" t="str">
            <v>37300-23-5</v>
          </cell>
          <cell r="C614" t="str">
            <v>C.I. Pigment yellow 36</v>
          </cell>
          <cell r="D614" t="str">
            <v>구분1A</v>
          </cell>
          <cell r="E614">
            <v>0.1</v>
          </cell>
          <cell r="F614" t="str">
            <v/>
          </cell>
          <cell r="H614" t="str">
            <v/>
          </cell>
        </row>
        <row r="615">
          <cell r="B615" t="str">
            <v>373-02-4</v>
          </cell>
          <cell r="C615" t="str">
            <v>nickel di(acetate)</v>
          </cell>
          <cell r="D615" t="str">
            <v>구분1A</v>
          </cell>
          <cell r="E615">
            <v>0.1</v>
          </cell>
          <cell r="F615" t="str">
            <v/>
          </cell>
          <cell r="H615" t="str">
            <v/>
          </cell>
        </row>
        <row r="616">
          <cell r="B616" t="str">
            <v>37321-15-6</v>
          </cell>
          <cell r="C616" t="str">
            <v>Silicic acid, nickel salt</v>
          </cell>
          <cell r="D616" t="str">
            <v>구분1A</v>
          </cell>
          <cell r="E616">
            <v>0.1</v>
          </cell>
          <cell r="F616" t="str">
            <v/>
          </cell>
          <cell r="H616" t="str">
            <v/>
          </cell>
        </row>
        <row r="617">
          <cell r="B617" t="str">
            <v>37337-13-6</v>
          </cell>
          <cell r="C617" t="str">
            <v>Arsenic acid (H3AsO4)​, copper(2+) salt (2:3)​, chromated</v>
          </cell>
          <cell r="D617" t="str">
            <v>구분1A</v>
          </cell>
          <cell r="E617">
            <v>0.1</v>
          </cell>
          <cell r="F617" t="str">
            <v/>
          </cell>
          <cell r="H617" t="str">
            <v/>
          </cell>
        </row>
        <row r="618">
          <cell r="B618" t="str">
            <v>38232-63-2</v>
          </cell>
          <cell r="C618" t="str">
            <v>Mercury azide (Hg2(N3)​2)</v>
          </cell>
          <cell r="D618" t="str">
            <v/>
          </cell>
          <cell r="F618" t="str">
            <v/>
          </cell>
          <cell r="H618" t="str">
            <v>구분1B</v>
          </cell>
          <cell r="I618">
            <v>0.3</v>
          </cell>
        </row>
        <row r="619">
          <cell r="B619" t="str">
            <v>38465-55-3</v>
          </cell>
          <cell r="C619" t="str">
            <v>bis[1-[4-(dimethylamino)phenyl]-2-phenylethylene-1,2-dithiolato(2-)-S,S']nickel</v>
          </cell>
          <cell r="D619" t="str">
            <v>구분1A</v>
          </cell>
          <cell r="E619">
            <v>0.1</v>
          </cell>
          <cell r="F619" t="str">
            <v/>
          </cell>
          <cell r="H619" t="str">
            <v/>
          </cell>
        </row>
        <row r="620">
          <cell r="B620" t="str">
            <v>3906-55-6</v>
          </cell>
          <cell r="C620" t="str">
            <v>nickel bis(4-cyclohexylbutyrate)</v>
          </cell>
          <cell r="D620" t="str">
            <v>구분1A</v>
          </cell>
          <cell r="E620">
            <v>0.1</v>
          </cell>
          <cell r="F620" t="str">
            <v/>
          </cell>
          <cell r="H620" t="str">
            <v/>
          </cell>
        </row>
        <row r="621">
          <cell r="B621" t="str">
            <v>39297-24-0</v>
          </cell>
          <cell r="C621" t="str">
            <v>tristrontium diarsenide</v>
          </cell>
          <cell r="D621" t="str">
            <v>구분1A</v>
          </cell>
          <cell r="E621">
            <v>0.1</v>
          </cell>
          <cell r="F621" t="str">
            <v/>
          </cell>
          <cell r="H621" t="str">
            <v/>
          </cell>
        </row>
        <row r="622">
          <cell r="B622" t="str">
            <v>39430-27-8</v>
          </cell>
          <cell r="C622" t="str">
            <v>Nickel carbonate hydroxide (Ni3(CO3)​(OH)​4)​, hydrate</v>
          </cell>
          <cell r="D622" t="str">
            <v>구분1A</v>
          </cell>
          <cell r="E622">
            <v>0.1</v>
          </cell>
          <cell r="F622" t="str">
            <v/>
          </cell>
          <cell r="H622" t="str">
            <v/>
          </cell>
        </row>
        <row r="623">
          <cell r="B623" t="str">
            <v>39819-65-3</v>
          </cell>
          <cell r="C623" t="str">
            <v>nickel bis(benzenesulphonate)</v>
          </cell>
          <cell r="D623" t="str">
            <v>구분1A</v>
          </cell>
          <cell r="E623">
            <v>0.1</v>
          </cell>
          <cell r="F623" t="str">
            <v/>
          </cell>
          <cell r="H623" t="str">
            <v/>
          </cell>
        </row>
        <row r="624">
          <cell r="B624" t="str">
            <v>4167-05-9</v>
          </cell>
          <cell r="C624" t="str">
            <v>cadmium 4-(1,1-dimethylethyl)benzoate</v>
          </cell>
          <cell r="D624" t="str">
            <v>구분1A</v>
          </cell>
          <cell r="E624">
            <v>0.1</v>
          </cell>
          <cell r="F624" t="str">
            <v>구분2</v>
          </cell>
          <cell r="G624">
            <v>1</v>
          </cell>
          <cell r="H624" t="str">
            <v>구분2</v>
          </cell>
          <cell r="I624">
            <v>3</v>
          </cell>
        </row>
        <row r="625">
          <cell r="B625" t="str">
            <v>42579-89-5</v>
          </cell>
          <cell r="C625" t="str">
            <v>sulphuric acid, barium lead salt</v>
          </cell>
          <cell r="D625" t="str">
            <v>구분1B</v>
          </cell>
          <cell r="E625">
            <v>0.1</v>
          </cell>
          <cell r="F625" t="str">
            <v/>
          </cell>
          <cell r="H625" t="str">
            <v>구분1A</v>
          </cell>
          <cell r="I625">
            <v>0.3</v>
          </cell>
        </row>
        <row r="626">
          <cell r="B626" t="str">
            <v>4454-16-4</v>
          </cell>
          <cell r="C626" t="str">
            <v>nickel bis(2-ethylhexanoate)</v>
          </cell>
          <cell r="D626" t="str">
            <v>구분1A</v>
          </cell>
          <cell r="E626">
            <v>0.1</v>
          </cell>
          <cell r="F626" t="str">
            <v/>
          </cell>
          <cell r="H626" t="str">
            <v/>
          </cell>
        </row>
        <row r="627">
          <cell r="B627" t="str">
            <v>4464-23-7</v>
          </cell>
          <cell r="C627" t="str">
            <v>cadmium diformate</v>
          </cell>
          <cell r="D627" t="str">
            <v>구분1A</v>
          </cell>
          <cell r="E627">
            <v>0.1</v>
          </cell>
          <cell r="F627" t="str">
            <v>구분2</v>
          </cell>
          <cell r="G627">
            <v>1</v>
          </cell>
          <cell r="H627" t="str">
            <v>구분2</v>
          </cell>
          <cell r="I627">
            <v>3</v>
          </cell>
        </row>
        <row r="628">
          <cell r="B628" t="str">
            <v>4995-91-9</v>
          </cell>
          <cell r="C628" t="str">
            <v>nickel(2+) octanoate</v>
          </cell>
          <cell r="D628" t="str">
            <v>구분1A</v>
          </cell>
          <cell r="E628">
            <v>0.1</v>
          </cell>
          <cell r="F628" t="str">
            <v/>
          </cell>
          <cell r="H628" t="str">
            <v/>
          </cell>
        </row>
        <row r="629">
          <cell r="B629" t="str">
            <v>50922-29-7</v>
          </cell>
          <cell r="C629" t="str">
            <v>Chromium zinc oxide</v>
          </cell>
          <cell r="D629" t="str">
            <v>구분1A</v>
          </cell>
          <cell r="E629">
            <v>0.1</v>
          </cell>
          <cell r="F629" t="str">
            <v/>
          </cell>
          <cell r="H629" t="str">
            <v/>
          </cell>
        </row>
        <row r="630">
          <cell r="B630" t="str">
            <v>512-26-5</v>
          </cell>
          <cell r="C630" t="str">
            <v>trilead dicitrate</v>
          </cell>
          <cell r="D630" t="str">
            <v>구분1B</v>
          </cell>
          <cell r="E630">
            <v>0.1</v>
          </cell>
          <cell r="F630" t="str">
            <v/>
          </cell>
          <cell r="H630" t="str">
            <v>구분1A</v>
          </cell>
          <cell r="I630">
            <v>0.3</v>
          </cell>
        </row>
        <row r="631">
          <cell r="B631" t="str">
            <v>51317-24-9</v>
          </cell>
          <cell r="C631" t="str">
            <v>nitroresorcinol, lead salt</v>
          </cell>
          <cell r="D631" t="str">
            <v>구분1B</v>
          </cell>
          <cell r="E631">
            <v>0.1</v>
          </cell>
          <cell r="F631" t="str">
            <v/>
          </cell>
          <cell r="H631" t="str">
            <v>구분1A</v>
          </cell>
          <cell r="I631">
            <v>0.3</v>
          </cell>
        </row>
        <row r="632">
          <cell r="B632" t="str">
            <v>513-78-0</v>
          </cell>
          <cell r="C632" t="str">
            <v>cadmium carbonate</v>
          </cell>
          <cell r="D632" t="str">
            <v>구분1A</v>
          </cell>
          <cell r="E632">
            <v>0.1</v>
          </cell>
          <cell r="F632" t="str">
            <v>구분2</v>
          </cell>
          <cell r="G632">
            <v>1</v>
          </cell>
          <cell r="H632" t="str">
            <v>구분2</v>
          </cell>
          <cell r="I632">
            <v>3</v>
          </cell>
        </row>
        <row r="633">
          <cell r="B633" t="str">
            <v>51429-74-4</v>
          </cell>
          <cell r="C633" t="str">
            <v>Molybdate(3-​)​, tetracosa-​μ-​oxododecaoxo[μ12-​[phosphato(3-​)​-​κO:κO:κO:κO':κO':κO':κO'':κO'':κO'':κO''':κO''':κO''']​]​dodeca-​, hydrogen, hydrate</v>
          </cell>
          <cell r="D633" t="str">
            <v>구분2</v>
          </cell>
          <cell r="E633">
            <v>1</v>
          </cell>
          <cell r="F633" t="str">
            <v/>
          </cell>
          <cell r="H633" t="str">
            <v/>
          </cell>
        </row>
        <row r="634">
          <cell r="B634" t="str">
            <v>51818-56-5</v>
          </cell>
          <cell r="C634" t="str">
            <v>neodecanoic acid, nickel salt</v>
          </cell>
          <cell r="D634" t="str">
            <v>구분1A</v>
          </cell>
          <cell r="E634">
            <v>0.1</v>
          </cell>
          <cell r="F634" t="str">
            <v/>
          </cell>
          <cell r="H634" t="str">
            <v/>
          </cell>
        </row>
        <row r="635">
          <cell r="B635" t="str">
            <v>51899-02-6</v>
          </cell>
          <cell r="C635" t="str">
            <v>Lead chromate sulfate (Pb9(CrO4)5(SO4)4)</v>
          </cell>
          <cell r="D635" t="str">
            <v>구분1A</v>
          </cell>
          <cell r="E635">
            <v>0.1</v>
          </cell>
          <cell r="F635" t="str">
            <v/>
          </cell>
          <cell r="H635" t="str">
            <v>구분1A</v>
          </cell>
          <cell r="I635">
            <v>0.3</v>
          </cell>
        </row>
        <row r="636">
          <cell r="B636" t="str">
            <v>51931-46-5</v>
          </cell>
          <cell r="C636" t="str">
            <v>bis[3-[(4-chlorophenyl)azo]quinoline--2,4(1H,3H)-dionato]nickel</v>
          </cell>
          <cell r="D636" t="str">
            <v>구분1A</v>
          </cell>
          <cell r="E636">
            <v>0.1</v>
          </cell>
          <cell r="F636" t="str">
            <v/>
          </cell>
          <cell r="H636" t="str">
            <v/>
          </cell>
        </row>
        <row r="637">
          <cell r="B637" t="str">
            <v>52502-12-2</v>
          </cell>
          <cell r="C637" t="str">
            <v>nickel divanadium hexaoxide</v>
          </cell>
          <cell r="D637" t="str">
            <v>구분1A</v>
          </cell>
          <cell r="E637">
            <v>0.1</v>
          </cell>
          <cell r="F637" t="str">
            <v/>
          </cell>
          <cell r="H637" t="str">
            <v/>
          </cell>
        </row>
        <row r="638">
          <cell r="B638" t="str">
            <v>52625-25-9</v>
          </cell>
          <cell r="C638" t="str">
            <v>nickel 3,5-bis(tert-butyl-4-hydroxybenzoate (1:2)</v>
          </cell>
          <cell r="D638" t="str">
            <v>구분1A</v>
          </cell>
          <cell r="E638">
            <v>0.1</v>
          </cell>
          <cell r="F638" t="str">
            <v/>
          </cell>
          <cell r="H638" t="str">
            <v/>
          </cell>
        </row>
        <row r="639">
          <cell r="B639" t="str">
            <v>52740-16-6</v>
          </cell>
          <cell r="C639" t="str">
            <v>calcium arsenite</v>
          </cell>
          <cell r="D639" t="str">
            <v>구분1A</v>
          </cell>
          <cell r="E639">
            <v>0.1</v>
          </cell>
          <cell r="F639" t="str">
            <v/>
          </cell>
          <cell r="H639" t="str">
            <v/>
          </cell>
        </row>
        <row r="640">
          <cell r="B640" t="str">
            <v>542-83-6</v>
          </cell>
          <cell r="C640" t="str">
            <v>cadmium cyanide</v>
          </cell>
          <cell r="D640" t="str">
            <v>구분1A</v>
          </cell>
          <cell r="E640">
            <v>0.1</v>
          </cell>
          <cell r="F640" t="str">
            <v>구분2</v>
          </cell>
          <cell r="G640">
            <v>1</v>
          </cell>
          <cell r="H640" t="str">
            <v>구분2</v>
          </cell>
          <cell r="I640">
            <v>3</v>
          </cell>
        </row>
        <row r="641">
          <cell r="B641" t="str">
            <v>543-90-8</v>
          </cell>
          <cell r="C641" t="str">
            <v>cadmium di(acetate)</v>
          </cell>
          <cell r="D641" t="str">
            <v>구분1A</v>
          </cell>
          <cell r="E641">
            <v>0.1</v>
          </cell>
          <cell r="F641" t="str">
            <v>구분2</v>
          </cell>
          <cell r="G641">
            <v>1</v>
          </cell>
          <cell r="H641" t="str">
            <v>구분2</v>
          </cell>
          <cell r="I641">
            <v>3</v>
          </cell>
        </row>
        <row r="642">
          <cell r="B642" t="str">
            <v>547-67-1</v>
          </cell>
          <cell r="C642" t="str">
            <v>nickel oxalate</v>
          </cell>
          <cell r="D642" t="str">
            <v>구분1A</v>
          </cell>
          <cell r="E642">
            <v>0.1</v>
          </cell>
          <cell r="F642" t="str">
            <v/>
          </cell>
          <cell r="H642" t="str">
            <v/>
          </cell>
        </row>
        <row r="643">
          <cell r="B643" t="str">
            <v>55700-14-6</v>
          </cell>
          <cell r="C643" t="str">
            <v>cadmium bis(4-cyclohexylbutyrate)</v>
          </cell>
          <cell r="D643" t="str">
            <v>구분1A</v>
          </cell>
          <cell r="E643">
            <v>0.1</v>
          </cell>
          <cell r="F643" t="str">
            <v>구분2</v>
          </cell>
          <cell r="G643">
            <v>1</v>
          </cell>
          <cell r="H643" t="str">
            <v>구분2</v>
          </cell>
          <cell r="I643">
            <v>3</v>
          </cell>
        </row>
        <row r="644">
          <cell r="B644" t="str">
            <v>557-19-7</v>
          </cell>
          <cell r="C644" t="str">
            <v>nickel dicyanide</v>
          </cell>
          <cell r="D644" t="str">
            <v>구분1A</v>
          </cell>
          <cell r="E644">
            <v>0.1</v>
          </cell>
          <cell r="F644" t="str">
            <v/>
          </cell>
          <cell r="H644" t="str">
            <v/>
          </cell>
        </row>
        <row r="645">
          <cell r="B645" t="str">
            <v>56450-43-2</v>
          </cell>
          <cell r="C645" t="str">
            <v>Zinc arsenide</v>
          </cell>
          <cell r="D645" t="str">
            <v>구분1A</v>
          </cell>
          <cell r="E645">
            <v>0.1</v>
          </cell>
          <cell r="F645" t="str">
            <v/>
          </cell>
          <cell r="H645" t="str">
            <v/>
          </cell>
        </row>
        <row r="646">
          <cell r="B646" t="str">
            <v>5743-04-4</v>
          </cell>
          <cell r="C646" t="str">
            <v>Cadmium acetate dihydrate</v>
          </cell>
          <cell r="D646" t="str">
            <v>구분1A</v>
          </cell>
          <cell r="E646">
            <v>0.1</v>
          </cell>
          <cell r="F646" t="str">
            <v>구분2</v>
          </cell>
          <cell r="G646">
            <v>1</v>
          </cell>
          <cell r="H646" t="str">
            <v>구분2</v>
          </cell>
          <cell r="I646">
            <v>3</v>
          </cell>
        </row>
        <row r="647">
          <cell r="B647" t="str">
            <v>57620-29-8</v>
          </cell>
          <cell r="C647" t="str">
            <v>Beryllium phosphide (BeP2)</v>
          </cell>
          <cell r="D647" t="str">
            <v>구분1A</v>
          </cell>
          <cell r="E647">
            <v>0.1</v>
          </cell>
          <cell r="F647" t="str">
            <v/>
          </cell>
          <cell r="H647" t="str">
            <v/>
          </cell>
        </row>
        <row r="648">
          <cell r="B648" t="str">
            <v>578-54-1</v>
          </cell>
          <cell r="C648" t="str">
            <v>2-ethylaniline</v>
          </cell>
          <cell r="D648" t="str">
            <v>구분2</v>
          </cell>
          <cell r="E648">
            <v>1</v>
          </cell>
          <cell r="F648" t="str">
            <v>구분2</v>
          </cell>
          <cell r="G648">
            <v>1</v>
          </cell>
          <cell r="H648" t="str">
            <v/>
          </cell>
        </row>
        <row r="649">
          <cell r="B649" t="str">
            <v>579-66-8</v>
          </cell>
          <cell r="C649" t="str">
            <v>2,6-diethylaniline</v>
          </cell>
          <cell r="D649" t="str">
            <v>구분2</v>
          </cell>
          <cell r="E649">
            <v>1</v>
          </cell>
          <cell r="F649" t="str">
            <v>구분2</v>
          </cell>
          <cell r="G649">
            <v>1</v>
          </cell>
          <cell r="H649" t="str">
            <v/>
          </cell>
        </row>
        <row r="650">
          <cell r="B650" t="str">
            <v>58591-45-0</v>
          </cell>
          <cell r="C650" t="str">
            <v>cobalt nickel dioxide</v>
          </cell>
          <cell r="D650" t="str">
            <v>구분1A</v>
          </cell>
          <cell r="E650">
            <v>0.1</v>
          </cell>
          <cell r="F650" t="str">
            <v/>
          </cell>
          <cell r="H650" t="str">
            <v/>
          </cell>
        </row>
        <row r="651">
          <cell r="B651" t="str">
            <v>591-89-9</v>
          </cell>
          <cell r="C651" t="str">
            <v>dipotassium tetracyanomercurate</v>
          </cell>
          <cell r="D651" t="str">
            <v/>
          </cell>
          <cell r="F651" t="str">
            <v/>
          </cell>
          <cell r="H651" t="str">
            <v>구분1B</v>
          </cell>
          <cell r="I651">
            <v>0.3</v>
          </cell>
        </row>
        <row r="652">
          <cell r="B652" t="str">
            <v>592-02-9</v>
          </cell>
          <cell r="C652" t="str">
            <v>Diethylcadmium</v>
          </cell>
          <cell r="D652" t="str">
            <v>구분1A</v>
          </cell>
          <cell r="E652">
            <v>0.1</v>
          </cell>
          <cell r="F652" t="str">
            <v>구분2</v>
          </cell>
          <cell r="G652">
            <v>1</v>
          </cell>
          <cell r="H652" t="str">
            <v>구분2</v>
          </cell>
          <cell r="I652">
            <v>3</v>
          </cell>
        </row>
        <row r="653">
          <cell r="B653" t="str">
            <v>592-04-1</v>
          </cell>
          <cell r="C653" t="str">
            <v>mercury dicyanide</v>
          </cell>
          <cell r="D653" t="str">
            <v/>
          </cell>
          <cell r="F653" t="str">
            <v/>
          </cell>
          <cell r="H653" t="str">
            <v>구분1B</v>
          </cell>
          <cell r="I653">
            <v>0.3</v>
          </cell>
        </row>
        <row r="654">
          <cell r="B654" t="str">
            <v>592-05-2</v>
          </cell>
          <cell r="C654" t="str">
            <v>lead dicyanide</v>
          </cell>
          <cell r="D654" t="str">
            <v>구분1B</v>
          </cell>
          <cell r="E654">
            <v>0.1</v>
          </cell>
          <cell r="F654" t="str">
            <v/>
          </cell>
          <cell r="H654" t="str">
            <v>구분1A</v>
          </cell>
          <cell r="I654">
            <v>0.3</v>
          </cell>
        </row>
        <row r="655">
          <cell r="B655" t="str">
            <v>592-85-8</v>
          </cell>
          <cell r="C655" t="str">
            <v>mercury dithiocyanate</v>
          </cell>
          <cell r="D655" t="str">
            <v/>
          </cell>
          <cell r="F655" t="str">
            <v/>
          </cell>
          <cell r="H655" t="str">
            <v>구분1B</v>
          </cell>
          <cell r="I655">
            <v>0.3</v>
          </cell>
        </row>
        <row r="656">
          <cell r="B656" t="str">
            <v>592-87-0</v>
          </cell>
          <cell r="C656" t="str">
            <v>lead dithiocyanate</v>
          </cell>
          <cell r="D656" t="str">
            <v>구분1B</v>
          </cell>
          <cell r="E656">
            <v>0.1</v>
          </cell>
          <cell r="F656" t="str">
            <v/>
          </cell>
          <cell r="H656" t="str">
            <v>구분1A</v>
          </cell>
          <cell r="I656">
            <v>0.3</v>
          </cell>
        </row>
        <row r="657">
          <cell r="B657" t="str">
            <v>5970-32-1</v>
          </cell>
          <cell r="C657" t="str">
            <v>[salicylato(2-)-O1,O2]mercury</v>
          </cell>
          <cell r="D657" t="str">
            <v/>
          </cell>
          <cell r="F657" t="str">
            <v/>
          </cell>
          <cell r="H657" t="str">
            <v>구분1B</v>
          </cell>
          <cell r="I657">
            <v>0.3</v>
          </cell>
        </row>
        <row r="658">
          <cell r="B658" t="str">
            <v>59707-49-2</v>
          </cell>
          <cell r="C658" t="str">
            <v>Lead ruthenium oxide</v>
          </cell>
          <cell r="D658" t="str">
            <v>구분1B</v>
          </cell>
          <cell r="E658">
            <v>0.1</v>
          </cell>
          <cell r="F658" t="str">
            <v/>
          </cell>
          <cell r="H658" t="str">
            <v>구분1A</v>
          </cell>
          <cell r="I658">
            <v>0.3</v>
          </cell>
        </row>
        <row r="659">
          <cell r="B659" t="str">
            <v>598-63-0</v>
          </cell>
          <cell r="C659" t="str">
            <v>lead carbonate</v>
          </cell>
          <cell r="D659" t="str">
            <v>구분1B</v>
          </cell>
          <cell r="E659">
            <v>0.1</v>
          </cell>
          <cell r="F659" t="str">
            <v/>
          </cell>
          <cell r="H659" t="str">
            <v>구분1A</v>
          </cell>
          <cell r="I659">
            <v>0.3</v>
          </cell>
        </row>
        <row r="660">
          <cell r="B660" t="str">
            <v>6018-89-9</v>
          </cell>
          <cell r="C660" t="str">
            <v>Acetic acid, nickel(2+) salt, hydrate</v>
          </cell>
          <cell r="D660" t="str">
            <v>구분1A</v>
          </cell>
          <cell r="E660">
            <v>0.1</v>
          </cell>
          <cell r="F660" t="str">
            <v/>
          </cell>
          <cell r="H660" t="str">
            <v/>
          </cell>
        </row>
        <row r="661">
          <cell r="B661" t="str">
            <v>6018-92-4</v>
          </cell>
          <cell r="C661" t="str">
            <v>trinickel dicitrate</v>
          </cell>
          <cell r="D661" t="str">
            <v>구분1A</v>
          </cell>
          <cell r="E661">
            <v>0.1</v>
          </cell>
          <cell r="F661" t="str">
            <v/>
          </cell>
          <cell r="H661" t="str">
            <v/>
          </cell>
        </row>
        <row r="662">
          <cell r="B662" t="str">
            <v>6018-94-6</v>
          </cell>
          <cell r="C662" t="str">
            <v>Nickel, diaqua[ethanedioato(​2-​)​-​κO1,​κO2]​-​, (T-​4)​-</v>
          </cell>
          <cell r="D662" t="str">
            <v>구분1A</v>
          </cell>
          <cell r="E662">
            <v>0.1</v>
          </cell>
          <cell r="F662" t="str">
            <v/>
          </cell>
          <cell r="H662" t="str">
            <v/>
          </cell>
        </row>
        <row r="663">
          <cell r="B663" t="str">
            <v>6080-57-5</v>
          </cell>
          <cell r="C663" t="str">
            <v>Benzoic acid, lead(2+) salt, hydrate</v>
          </cell>
          <cell r="D663" t="str">
            <v>구분1B</v>
          </cell>
          <cell r="E663">
            <v>0.1</v>
          </cell>
          <cell r="F663" t="str">
            <v/>
          </cell>
          <cell r="H663" t="str">
            <v>구분1A</v>
          </cell>
          <cell r="I663">
            <v>0.3</v>
          </cell>
        </row>
        <row r="664">
          <cell r="B664" t="str">
            <v>60909-47-9</v>
          </cell>
          <cell r="C664" t="str">
            <v>zirconium arsenide</v>
          </cell>
          <cell r="D664" t="str">
            <v>구분1A</v>
          </cell>
          <cell r="E664">
            <v>0.1</v>
          </cell>
          <cell r="F664" t="str">
            <v/>
          </cell>
          <cell r="H664" t="str">
            <v/>
          </cell>
        </row>
        <row r="665">
          <cell r="B665" t="str">
            <v>61788-54-3</v>
          </cell>
          <cell r="C665" t="str">
            <v>Fatty acids, tall-oil, lead salts</v>
          </cell>
          <cell r="D665" t="str">
            <v>구분1B</v>
          </cell>
          <cell r="E665">
            <v>0.1</v>
          </cell>
          <cell r="F665" t="str">
            <v/>
          </cell>
          <cell r="H665" t="str">
            <v>구분1A</v>
          </cell>
          <cell r="I665">
            <v>0.3</v>
          </cell>
        </row>
        <row r="666">
          <cell r="B666" t="str">
            <v>61790-14-5</v>
          </cell>
          <cell r="C666" t="str">
            <v>Naphthenic acids, lead salts</v>
          </cell>
          <cell r="D666" t="str">
            <v>구분1B</v>
          </cell>
          <cell r="E666">
            <v>0.1</v>
          </cell>
          <cell r="F666" t="str">
            <v/>
          </cell>
          <cell r="H666" t="str">
            <v>구분1A</v>
          </cell>
          <cell r="I666">
            <v>0.3</v>
          </cell>
        </row>
        <row r="667">
          <cell r="B667" t="str">
            <v>61951-96-0</v>
          </cell>
          <cell r="C667" t="str">
            <v>cadmium neodecanoate</v>
          </cell>
          <cell r="D667" t="str">
            <v>구분1A</v>
          </cell>
          <cell r="E667">
            <v>0.1</v>
          </cell>
          <cell r="F667" t="str">
            <v>구분2</v>
          </cell>
          <cell r="G667">
            <v>1</v>
          </cell>
          <cell r="H667" t="str">
            <v>구분2</v>
          </cell>
          <cell r="I667">
            <v>3</v>
          </cell>
        </row>
        <row r="668">
          <cell r="B668" t="str">
            <v>62042-25-5</v>
          </cell>
          <cell r="C668" t="str">
            <v>Selenious acid, lead(4+) salt (2:1)</v>
          </cell>
          <cell r="D668" t="str">
            <v>구분1B</v>
          </cell>
          <cell r="E668">
            <v>0.1</v>
          </cell>
          <cell r="F668" t="str">
            <v/>
          </cell>
          <cell r="H668" t="str">
            <v>구분1A</v>
          </cell>
          <cell r="I668">
            <v>0.3</v>
          </cell>
        </row>
        <row r="669">
          <cell r="B669" t="str">
            <v>628-86-4</v>
          </cell>
          <cell r="C669" t="str">
            <v>mercury difulminate</v>
          </cell>
          <cell r="D669" t="str">
            <v/>
          </cell>
          <cell r="F669" t="str">
            <v/>
          </cell>
          <cell r="H669" t="str">
            <v>구분1B</v>
          </cell>
          <cell r="I669">
            <v>0.3</v>
          </cell>
        </row>
        <row r="670">
          <cell r="B670" t="str">
            <v>63020-43-9</v>
          </cell>
          <cell r="C670" t="str">
            <v>Chromic acid (H2CrO4)​, potassium zinc salt</v>
          </cell>
          <cell r="D670" t="str">
            <v>구분1A</v>
          </cell>
          <cell r="E670">
            <v>0.1</v>
          </cell>
          <cell r="F670" t="str">
            <v/>
          </cell>
          <cell r="H670" t="str">
            <v/>
          </cell>
        </row>
        <row r="671">
          <cell r="B671" t="str">
            <v>631-60-7</v>
          </cell>
          <cell r="C671" t="str">
            <v>dimercury di(acetate)</v>
          </cell>
          <cell r="D671" t="str">
            <v/>
          </cell>
          <cell r="F671" t="str">
            <v/>
          </cell>
          <cell r="H671" t="str">
            <v>구분1B</v>
          </cell>
          <cell r="I671">
            <v>0.3</v>
          </cell>
        </row>
        <row r="672">
          <cell r="B672" t="str">
            <v>63989-69-5</v>
          </cell>
          <cell r="C672" t="str">
            <v>Iron arsenite oxide (Fe2(AsO3)​2O3)​, pentahydrate</v>
          </cell>
          <cell r="D672" t="str">
            <v>구분1A</v>
          </cell>
          <cell r="E672">
            <v>0.1</v>
          </cell>
          <cell r="F672" t="str">
            <v/>
          </cell>
          <cell r="H672" t="str">
            <v/>
          </cell>
        </row>
        <row r="673">
          <cell r="B673" t="str">
            <v>65405-96-1</v>
          </cell>
          <cell r="C673" t="str">
            <v>[μ-[carbonato(2-)-O:O']]dihydroxydinickel</v>
          </cell>
          <cell r="D673" t="str">
            <v>구분1A</v>
          </cell>
          <cell r="E673">
            <v>0.1</v>
          </cell>
          <cell r="F673" t="str">
            <v/>
          </cell>
          <cell r="H673" t="str">
            <v/>
          </cell>
        </row>
        <row r="674">
          <cell r="B674" t="str">
            <v>67711-86-8</v>
          </cell>
          <cell r="C674" t="str">
            <v>dilead silicate sulphate</v>
          </cell>
          <cell r="D674" t="str">
            <v>구분1B</v>
          </cell>
          <cell r="E674">
            <v>0.1</v>
          </cell>
          <cell r="F674" t="str">
            <v/>
          </cell>
          <cell r="H674" t="str">
            <v>구분1A</v>
          </cell>
          <cell r="I674">
            <v>0.3</v>
          </cell>
        </row>
        <row r="675">
          <cell r="B675" t="str">
            <v>67952-43-6</v>
          </cell>
          <cell r="C675" t="str">
            <v>nickel dichlorate</v>
          </cell>
          <cell r="D675" t="str">
            <v>구분1A</v>
          </cell>
          <cell r="E675">
            <v>0.1</v>
          </cell>
          <cell r="F675" t="str">
            <v/>
          </cell>
          <cell r="H675" t="str">
            <v/>
          </cell>
        </row>
        <row r="676">
          <cell r="B676" t="str">
            <v>67968-22-3</v>
          </cell>
          <cell r="C676" t="str">
            <v>triammonium hydrogen [[[nitrilotris(methylene)]tris[phosphonato]](6-)]nickelate(4-)</v>
          </cell>
          <cell r="D676" t="str">
            <v>구분1A</v>
          </cell>
          <cell r="E676">
            <v>0.1</v>
          </cell>
          <cell r="F676" t="str">
            <v/>
          </cell>
          <cell r="H676" t="str">
            <v/>
          </cell>
        </row>
        <row r="677">
          <cell r="B677" t="str">
            <v>68016-03-5</v>
          </cell>
          <cell r="C677" t="str">
            <v>cobalt dimolybdenum nickel octaoxide</v>
          </cell>
          <cell r="D677" t="str">
            <v>구분1A</v>
          </cell>
          <cell r="E677">
            <v>0.1</v>
          </cell>
          <cell r="F677" t="str">
            <v/>
          </cell>
          <cell r="H677" t="str">
            <v/>
          </cell>
        </row>
        <row r="678">
          <cell r="B678" t="str">
            <v>68130-19-8</v>
          </cell>
          <cell r="C678" t="str">
            <v>Silicic acid, lead nickel salt</v>
          </cell>
          <cell r="D678" t="str">
            <v>구분1A</v>
          </cell>
          <cell r="E678">
            <v>0.1</v>
          </cell>
          <cell r="F678" t="str">
            <v/>
          </cell>
          <cell r="H678" t="str">
            <v/>
          </cell>
        </row>
        <row r="679">
          <cell r="B679" t="str">
            <v>68130-36-9</v>
          </cell>
          <cell r="C679" t="str">
            <v>Molybdenum nickel hydroxide oxide phosphate</v>
          </cell>
          <cell r="D679" t="str">
            <v>구분1A</v>
          </cell>
          <cell r="E679">
            <v>0.1</v>
          </cell>
          <cell r="F679" t="str">
            <v/>
          </cell>
          <cell r="H679" t="str">
            <v/>
          </cell>
        </row>
        <row r="680">
          <cell r="B680" t="str">
            <v>68134-59-8</v>
          </cell>
          <cell r="C680" t="str">
            <v>formic acid, copper nickel salt</v>
          </cell>
          <cell r="D680" t="str">
            <v>구분1A</v>
          </cell>
          <cell r="E680">
            <v>0.1</v>
          </cell>
          <cell r="F680" t="str">
            <v/>
          </cell>
          <cell r="H680" t="str">
            <v/>
          </cell>
        </row>
        <row r="681">
          <cell r="B681" t="str">
            <v>68186-89-0</v>
          </cell>
          <cell r="C681" t="str">
            <v>cobalt nickel gray periclase</v>
          </cell>
          <cell r="D681" t="str">
            <v>구분1A</v>
          </cell>
          <cell r="E681">
            <v>0.1</v>
          </cell>
          <cell r="F681" t="str">
            <v/>
          </cell>
          <cell r="H681" t="str">
            <v/>
          </cell>
        </row>
        <row r="682">
          <cell r="B682" t="str">
            <v>68391-37-7</v>
          </cell>
          <cell r="C682" t="str">
            <v>2,3-dihydroxypropyl (dihydrogen phosphate), nickel salt (1:1)</v>
          </cell>
          <cell r="D682" t="str">
            <v>구분1A</v>
          </cell>
          <cell r="E682">
            <v>0.1</v>
          </cell>
          <cell r="F682" t="str">
            <v/>
          </cell>
          <cell r="H682" t="str">
            <v/>
          </cell>
        </row>
        <row r="683">
          <cell r="B683" t="str">
            <v>68411-78-9</v>
          </cell>
          <cell r="C683" t="str">
            <v>Lead oxide (PbO), lead-contg.</v>
          </cell>
          <cell r="D683" t="str">
            <v>구분1B</v>
          </cell>
          <cell r="E683">
            <v>0.1</v>
          </cell>
          <cell r="F683" t="str">
            <v/>
          </cell>
          <cell r="H683" t="str">
            <v>구분1A</v>
          </cell>
          <cell r="I683">
            <v>0.3</v>
          </cell>
        </row>
        <row r="684">
          <cell r="B684" t="str">
            <v>68511-62-6</v>
          </cell>
          <cell r="C684" t="str">
            <v>Nickel, 5,5'-azobis-2,4,6(1H,3H,5H)-pyrimidinetrione complexes</v>
          </cell>
          <cell r="D684" t="str">
            <v>구분1A</v>
          </cell>
          <cell r="E684">
            <v>0.1</v>
          </cell>
          <cell r="F684" t="str">
            <v/>
          </cell>
          <cell r="H684" t="str">
            <v/>
          </cell>
        </row>
        <row r="685">
          <cell r="B685" t="str">
            <v>68611-43-8</v>
          </cell>
          <cell r="C685" t="str">
            <v>nickel niobium titanium yellow rutile</v>
          </cell>
          <cell r="D685" t="str">
            <v>구분1A</v>
          </cell>
          <cell r="E685">
            <v>0.1</v>
          </cell>
          <cell r="F685" t="str">
            <v/>
          </cell>
          <cell r="H685" t="str">
            <v/>
          </cell>
        </row>
        <row r="686">
          <cell r="B686" t="str">
            <v>68611-46-1</v>
          </cell>
          <cell r="C686" t="str">
            <v>Silicic acid (H4SiO4), zinc salt (1:2), arsenic and manganese-doped</v>
          </cell>
          <cell r="D686" t="str">
            <v>구분1A</v>
          </cell>
          <cell r="E686">
            <v>0.1</v>
          </cell>
          <cell r="F686" t="str">
            <v/>
          </cell>
          <cell r="H686" t="str">
            <v/>
          </cell>
        </row>
        <row r="687">
          <cell r="B687" t="str">
            <v>69011-05-8</v>
          </cell>
          <cell r="C687" t="str">
            <v>nickel icosatitanium pentatriacontaoxide diwolframate</v>
          </cell>
          <cell r="D687" t="str">
            <v>구분1A</v>
          </cell>
          <cell r="E687">
            <v>0.1</v>
          </cell>
          <cell r="F687" t="str">
            <v/>
          </cell>
          <cell r="H687" t="str">
            <v/>
          </cell>
        </row>
        <row r="688">
          <cell r="B688" t="str">
            <v>69011-07-0</v>
          </cell>
          <cell r="C688" t="str">
            <v>trilead chromate silicate</v>
          </cell>
          <cell r="D688" t="str">
            <v>구분1A</v>
          </cell>
          <cell r="E688">
            <v>0.1</v>
          </cell>
          <cell r="F688" t="str">
            <v/>
          </cell>
          <cell r="H688" t="str">
            <v>구분1A</v>
          </cell>
          <cell r="I688">
            <v>0.3</v>
          </cell>
        </row>
        <row r="689">
          <cell r="B689" t="str">
            <v>70333-07-2</v>
          </cell>
          <cell r="C689" t="str">
            <v>disilver arsenide</v>
          </cell>
          <cell r="D689" t="str">
            <v>구분1A</v>
          </cell>
          <cell r="E689">
            <v>0.1</v>
          </cell>
          <cell r="F689" t="str">
            <v/>
          </cell>
          <cell r="H689" t="str">
            <v/>
          </cell>
        </row>
        <row r="690">
          <cell r="B690" t="str">
            <v>70692-93-2</v>
          </cell>
          <cell r="C690" t="str">
            <v>nickel zirconium trioxide</v>
          </cell>
          <cell r="D690" t="str">
            <v>구분1A</v>
          </cell>
          <cell r="E690">
            <v>0.1</v>
          </cell>
          <cell r="F690" t="str">
            <v/>
          </cell>
          <cell r="H690" t="str">
            <v/>
          </cell>
        </row>
        <row r="691">
          <cell r="B691" t="str">
            <v>71720-48-4</v>
          </cell>
          <cell r="C691" t="str">
            <v>ethyl hydrogen sulphate, nickel(2+) salt</v>
          </cell>
          <cell r="D691" t="str">
            <v>구분1A</v>
          </cell>
          <cell r="E691">
            <v>0.1</v>
          </cell>
          <cell r="F691" t="str">
            <v/>
          </cell>
          <cell r="H691" t="str">
            <v/>
          </cell>
        </row>
        <row r="692">
          <cell r="B692" t="str">
            <v>71957-07-8</v>
          </cell>
          <cell r="C692" t="str">
            <v>bis(D-gluconato-O1,O2)nickel</v>
          </cell>
          <cell r="D692" t="str">
            <v>구분1A</v>
          </cell>
          <cell r="E692">
            <v>0.1</v>
          </cell>
          <cell r="F692" t="str">
            <v/>
          </cell>
          <cell r="H692" t="str">
            <v/>
          </cell>
        </row>
        <row r="693">
          <cell r="B693" t="str">
            <v>72845-34-2</v>
          </cell>
          <cell r="C693" t="str">
            <v>Arsenenous acid lithium salt</v>
          </cell>
          <cell r="D693" t="str">
            <v>구분1A</v>
          </cell>
          <cell r="E693">
            <v>0.1</v>
          </cell>
          <cell r="F693" t="str">
            <v/>
          </cell>
          <cell r="H693" t="str">
            <v/>
          </cell>
        </row>
        <row r="694">
          <cell r="B694" t="str">
            <v>7446-10-8</v>
          </cell>
          <cell r="C694" t="str">
            <v>lead sulphite</v>
          </cell>
          <cell r="D694" t="str">
            <v>구분1B</v>
          </cell>
          <cell r="E694">
            <v>0.1</v>
          </cell>
          <cell r="F694" t="str">
            <v/>
          </cell>
          <cell r="H694" t="str">
            <v>구분1A</v>
          </cell>
          <cell r="I694">
            <v>0.3</v>
          </cell>
        </row>
        <row r="695">
          <cell r="B695" t="str">
            <v>7446-14-2</v>
          </cell>
          <cell r="C695" t="str">
            <v>lead sulphate</v>
          </cell>
          <cell r="D695" t="str">
            <v>구분1B</v>
          </cell>
          <cell r="E695">
            <v>0.1</v>
          </cell>
          <cell r="F695" t="str">
            <v/>
          </cell>
          <cell r="H695" t="str">
            <v>구분1A</v>
          </cell>
          <cell r="I695">
            <v>0.3</v>
          </cell>
        </row>
        <row r="696">
          <cell r="B696" t="str">
            <v>7446-15-3</v>
          </cell>
          <cell r="C696" t="str">
            <v>lead selenate</v>
          </cell>
          <cell r="D696" t="str">
            <v>구분1B</v>
          </cell>
          <cell r="E696">
            <v>0.1</v>
          </cell>
          <cell r="F696" t="str">
            <v/>
          </cell>
          <cell r="H696" t="str">
            <v>구분1A</v>
          </cell>
          <cell r="I696">
            <v>0.3</v>
          </cell>
        </row>
        <row r="697">
          <cell r="B697" t="str">
            <v>7446-27-7</v>
          </cell>
          <cell r="C697" t="str">
            <v>trilead bis(orthophosphate)</v>
          </cell>
          <cell r="D697" t="str">
            <v>구분1B</v>
          </cell>
          <cell r="E697">
            <v>0.1</v>
          </cell>
          <cell r="F697" t="str">
            <v/>
          </cell>
          <cell r="H697" t="str">
            <v>구분1A</v>
          </cell>
          <cell r="I697">
            <v>0.3</v>
          </cell>
        </row>
        <row r="698">
          <cell r="B698" t="str">
            <v>7487-94-7</v>
          </cell>
          <cell r="C698" t="str">
            <v>mercury dichloride</v>
          </cell>
          <cell r="D698" t="str">
            <v/>
          </cell>
          <cell r="F698" t="str">
            <v/>
          </cell>
          <cell r="H698" t="str">
            <v>구분1B</v>
          </cell>
          <cell r="I698">
            <v>0.3</v>
          </cell>
        </row>
        <row r="699">
          <cell r="B699" t="str">
            <v>7488-51-9</v>
          </cell>
          <cell r="C699" t="str">
            <v>lead(2+) selenite</v>
          </cell>
          <cell r="D699" t="str">
            <v>구분1B</v>
          </cell>
          <cell r="E699">
            <v>0.1</v>
          </cell>
          <cell r="F699" t="str">
            <v/>
          </cell>
          <cell r="H699" t="str">
            <v>구분1A</v>
          </cell>
          <cell r="I699">
            <v>0.3</v>
          </cell>
        </row>
        <row r="700">
          <cell r="B700" t="str">
            <v>7546-30-7</v>
          </cell>
          <cell r="C700" t="str">
            <v>mercury chloride</v>
          </cell>
          <cell r="D700" t="str">
            <v/>
          </cell>
          <cell r="F700" t="str">
            <v/>
          </cell>
          <cell r="H700" t="str">
            <v>구분1B</v>
          </cell>
          <cell r="I700">
            <v>0.3</v>
          </cell>
        </row>
        <row r="701">
          <cell r="B701" t="str">
            <v>7580-31-6</v>
          </cell>
          <cell r="C701" t="str">
            <v>2-ethylhexanoic acid, nickel salt</v>
          </cell>
          <cell r="D701" t="str">
            <v>구분1A</v>
          </cell>
          <cell r="E701">
            <v>0.1</v>
          </cell>
          <cell r="F701" t="str">
            <v/>
          </cell>
          <cell r="H701" t="str">
            <v/>
          </cell>
        </row>
        <row r="702">
          <cell r="B702" t="str">
            <v>7616-83-3</v>
          </cell>
          <cell r="C702" t="str">
            <v>mercury diperchlorate</v>
          </cell>
          <cell r="D702" t="str">
            <v/>
          </cell>
          <cell r="F702" t="str">
            <v/>
          </cell>
          <cell r="H702" t="str">
            <v>구분1B</v>
          </cell>
          <cell r="I702">
            <v>0.3</v>
          </cell>
        </row>
        <row r="703">
          <cell r="B703" t="str">
            <v>7631-89-2</v>
          </cell>
          <cell r="C703" t="str">
            <v>arsenic acid, sodium salt</v>
          </cell>
          <cell r="D703" t="str">
            <v>구분1A</v>
          </cell>
          <cell r="E703">
            <v>0.1</v>
          </cell>
          <cell r="F703" t="str">
            <v/>
          </cell>
          <cell r="H703" t="str">
            <v/>
          </cell>
        </row>
        <row r="704">
          <cell r="B704" t="str">
            <v>7631-95-0</v>
          </cell>
          <cell r="C704" t="str">
            <v>disodium molybdate</v>
          </cell>
          <cell r="D704" t="str">
            <v>구분2</v>
          </cell>
          <cell r="E704">
            <v>1</v>
          </cell>
          <cell r="F704" t="str">
            <v/>
          </cell>
          <cell r="H704" t="str">
            <v/>
          </cell>
        </row>
        <row r="705">
          <cell r="B705" t="str">
            <v>7645-25-2</v>
          </cell>
          <cell r="C705" t="str">
            <v>Arsenic acid (H3AsO4)​, lead salt</v>
          </cell>
          <cell r="D705" t="str">
            <v>구분1A</v>
          </cell>
          <cell r="E705">
            <v>0.1</v>
          </cell>
          <cell r="F705" t="str">
            <v/>
          </cell>
          <cell r="H705" t="str">
            <v>구분1A</v>
          </cell>
          <cell r="I705">
            <v>0.3</v>
          </cell>
        </row>
        <row r="706">
          <cell r="B706" t="str">
            <v>768-52-5</v>
          </cell>
          <cell r="C706" t="str">
            <v>N-isopropylaniline</v>
          </cell>
          <cell r="D706" t="str">
            <v>구분2</v>
          </cell>
          <cell r="E706">
            <v>1</v>
          </cell>
          <cell r="F706" t="str">
            <v>구분2</v>
          </cell>
          <cell r="G706">
            <v>1</v>
          </cell>
          <cell r="H706" t="str">
            <v/>
          </cell>
        </row>
        <row r="707">
          <cell r="B707" t="str">
            <v>7718-54-9</v>
          </cell>
          <cell r="C707" t="str">
            <v>nickel dichloride</v>
          </cell>
          <cell r="D707" t="str">
            <v>구분1A</v>
          </cell>
          <cell r="E707">
            <v>0.1</v>
          </cell>
          <cell r="F707" t="str">
            <v/>
          </cell>
          <cell r="H707" t="str">
            <v/>
          </cell>
        </row>
        <row r="708">
          <cell r="B708" t="str">
            <v>7738-94-5</v>
          </cell>
          <cell r="C708" t="str">
            <v>chromic acid</v>
          </cell>
          <cell r="D708" t="str">
            <v>구분1A</v>
          </cell>
          <cell r="E708">
            <v>0.1</v>
          </cell>
          <cell r="F708" t="str">
            <v/>
          </cell>
          <cell r="H708" t="str">
            <v/>
          </cell>
        </row>
        <row r="709">
          <cell r="B709" t="str">
            <v>7757-95-1</v>
          </cell>
          <cell r="C709" t="str">
            <v>nickel(2+) sulphite</v>
          </cell>
          <cell r="D709" t="str">
            <v>구분1A</v>
          </cell>
          <cell r="E709">
            <v>0.1</v>
          </cell>
          <cell r="F709" t="str">
            <v/>
          </cell>
          <cell r="H709" t="str">
            <v/>
          </cell>
        </row>
        <row r="710">
          <cell r="B710" t="str">
            <v>7758-95-4</v>
          </cell>
          <cell r="C710" t="str">
            <v>lead dichloride</v>
          </cell>
          <cell r="D710" t="str">
            <v>구분1B</v>
          </cell>
          <cell r="E710">
            <v>0.1</v>
          </cell>
          <cell r="F710" t="str">
            <v/>
          </cell>
          <cell r="H710" t="str">
            <v>구분1A</v>
          </cell>
          <cell r="I710">
            <v>0.3</v>
          </cell>
        </row>
        <row r="711">
          <cell r="B711" t="str">
            <v>7759-01-5</v>
          </cell>
          <cell r="C711" t="str">
            <v>lead tungsten tetraoxide</v>
          </cell>
          <cell r="D711" t="str">
            <v>구분1B</v>
          </cell>
          <cell r="E711">
            <v>0.1</v>
          </cell>
          <cell r="F711" t="str">
            <v/>
          </cell>
          <cell r="H711" t="str">
            <v>구분1A</v>
          </cell>
          <cell r="I711">
            <v>0.3</v>
          </cell>
        </row>
        <row r="712">
          <cell r="B712" t="str">
            <v>7774-29-0</v>
          </cell>
          <cell r="C712" t="str">
            <v>mercury diiodide</v>
          </cell>
          <cell r="D712" t="str">
            <v/>
          </cell>
          <cell r="F712" t="str">
            <v/>
          </cell>
          <cell r="H712" t="str">
            <v>구분1B</v>
          </cell>
          <cell r="I712">
            <v>0.3</v>
          </cell>
        </row>
        <row r="713">
          <cell r="B713" t="str">
            <v>7774-41-6</v>
          </cell>
          <cell r="C713" t="str">
            <v>Arsenic acid (H3AsO4)​, hydrate</v>
          </cell>
          <cell r="D713" t="str">
            <v>구분1A</v>
          </cell>
          <cell r="E713">
            <v>0.1</v>
          </cell>
          <cell r="F713" t="str">
            <v/>
          </cell>
          <cell r="H713" t="str">
            <v/>
          </cell>
        </row>
        <row r="714">
          <cell r="B714" t="str">
            <v>7775-11-3</v>
          </cell>
          <cell r="C714" t="str">
            <v>sodium chromate</v>
          </cell>
          <cell r="D714" t="str">
            <v>구분1A</v>
          </cell>
          <cell r="E714">
            <v>0.1</v>
          </cell>
          <cell r="F714" t="str">
            <v/>
          </cell>
          <cell r="H714" t="str">
            <v/>
          </cell>
        </row>
        <row r="715">
          <cell r="B715" t="str">
            <v>7778-39-4</v>
          </cell>
          <cell r="C715" t="str">
            <v>arsenic acid</v>
          </cell>
          <cell r="D715" t="str">
            <v>구분1A</v>
          </cell>
          <cell r="E715">
            <v>0.1</v>
          </cell>
          <cell r="F715" t="str">
            <v/>
          </cell>
          <cell r="H715" t="str">
            <v/>
          </cell>
        </row>
        <row r="716">
          <cell r="B716" t="str">
            <v>7778-41-8</v>
          </cell>
          <cell r="C716" t="str">
            <v>Copper arsenate (Cu3(AsO4)2)</v>
          </cell>
          <cell r="D716" t="str">
            <v>구분1A</v>
          </cell>
          <cell r="E716">
            <v>0.1</v>
          </cell>
          <cell r="F716" t="str">
            <v/>
          </cell>
          <cell r="H716" t="str">
            <v/>
          </cell>
        </row>
        <row r="717">
          <cell r="B717" t="str">
            <v>7778-43-0</v>
          </cell>
          <cell r="C717" t="str">
            <v>disodium hydrogenarsenate</v>
          </cell>
          <cell r="D717" t="str">
            <v>구분1A</v>
          </cell>
          <cell r="E717">
            <v>0.1</v>
          </cell>
          <cell r="F717" t="str">
            <v/>
          </cell>
          <cell r="H717" t="str">
            <v/>
          </cell>
        </row>
        <row r="718">
          <cell r="B718" t="str">
            <v>7778-44-1</v>
          </cell>
          <cell r="C718" t="str">
            <v>calcium arsenate</v>
          </cell>
          <cell r="D718" t="str">
            <v>구분1A</v>
          </cell>
          <cell r="E718">
            <v>0.1</v>
          </cell>
          <cell r="F718" t="str">
            <v/>
          </cell>
          <cell r="H718" t="str">
            <v/>
          </cell>
        </row>
        <row r="719">
          <cell r="B719" t="str">
            <v>7778-50-9</v>
          </cell>
          <cell r="C719" t="str">
            <v>potassium dichromate</v>
          </cell>
          <cell r="D719" t="str">
            <v>구분1A</v>
          </cell>
          <cell r="E719">
            <v>0.1</v>
          </cell>
          <cell r="F719" t="str">
            <v/>
          </cell>
          <cell r="H719" t="str">
            <v/>
          </cell>
        </row>
        <row r="720">
          <cell r="B720" t="str">
            <v>7779-90-0</v>
          </cell>
          <cell r="C720" t="str">
            <v>trizinc bis(orthophosphate)</v>
          </cell>
          <cell r="D720" t="str">
            <v>구분1A</v>
          </cell>
          <cell r="E720">
            <v>0.1</v>
          </cell>
          <cell r="F720" t="str">
            <v/>
          </cell>
          <cell r="H720" t="str">
            <v/>
          </cell>
        </row>
        <row r="721">
          <cell r="B721" t="str">
            <v>7782-86-7</v>
          </cell>
          <cell r="C721" t="str">
            <v>Mercurous nitrate monohydrate ; Mercury protonitrate</v>
          </cell>
          <cell r="D721" t="str">
            <v/>
          </cell>
          <cell r="F721" t="str">
            <v/>
          </cell>
          <cell r="H721" t="str">
            <v>구분1B</v>
          </cell>
          <cell r="I721">
            <v>0.3</v>
          </cell>
        </row>
        <row r="722">
          <cell r="B722" t="str">
            <v>7782-91-4</v>
          </cell>
          <cell r="C722" t="str">
            <v>molybdic acid</v>
          </cell>
          <cell r="D722" t="str">
            <v>구분2</v>
          </cell>
          <cell r="E722">
            <v>1</v>
          </cell>
          <cell r="F722" t="str">
            <v/>
          </cell>
          <cell r="H722" t="str">
            <v/>
          </cell>
        </row>
        <row r="723">
          <cell r="B723" t="str">
            <v>7783-30-4</v>
          </cell>
          <cell r="C723" t="str">
            <v>mercury iodide</v>
          </cell>
          <cell r="D723" t="str">
            <v/>
          </cell>
          <cell r="F723" t="str">
            <v/>
          </cell>
          <cell r="H723" t="str">
            <v>구분1B</v>
          </cell>
          <cell r="I723">
            <v>0.3</v>
          </cell>
        </row>
        <row r="724">
          <cell r="B724" t="str">
            <v>7783-32-6</v>
          </cell>
          <cell r="C724" t="str">
            <v>mercury diiodate</v>
          </cell>
          <cell r="D724" t="str">
            <v/>
          </cell>
          <cell r="F724" t="str">
            <v/>
          </cell>
          <cell r="H724" t="str">
            <v>구분1B</v>
          </cell>
          <cell r="I724">
            <v>0.3</v>
          </cell>
        </row>
        <row r="725">
          <cell r="B725" t="str">
            <v>7783-33-7</v>
          </cell>
          <cell r="C725" t="str">
            <v>dipotassium tetraiodomercurate</v>
          </cell>
          <cell r="D725" t="str">
            <v/>
          </cell>
          <cell r="F725" t="str">
            <v/>
          </cell>
          <cell r="H725" t="str">
            <v>구분1B</v>
          </cell>
          <cell r="I725">
            <v>0.3</v>
          </cell>
        </row>
        <row r="726">
          <cell r="B726" t="str">
            <v>7783-34-8</v>
          </cell>
          <cell r="C726" t="str">
            <v>Mercury nitrate monohydrate</v>
          </cell>
          <cell r="D726" t="str">
            <v/>
          </cell>
          <cell r="F726" t="str">
            <v/>
          </cell>
          <cell r="H726" t="str">
            <v>구분1B</v>
          </cell>
          <cell r="I726">
            <v>0.3</v>
          </cell>
        </row>
        <row r="727">
          <cell r="B727" t="str">
            <v>7783-35-9</v>
          </cell>
          <cell r="C727" t="str">
            <v>mercury sulphate</v>
          </cell>
          <cell r="D727" t="str">
            <v/>
          </cell>
          <cell r="F727" t="str">
            <v/>
          </cell>
          <cell r="H727" t="str">
            <v>구분1B</v>
          </cell>
          <cell r="I727">
            <v>0.3</v>
          </cell>
        </row>
        <row r="728">
          <cell r="B728" t="str">
            <v>7783-36-0</v>
          </cell>
          <cell r="C728" t="str">
            <v>dimercury sulphate</v>
          </cell>
          <cell r="D728" t="str">
            <v/>
          </cell>
          <cell r="F728" t="str">
            <v/>
          </cell>
          <cell r="H728" t="str">
            <v>구분1B</v>
          </cell>
          <cell r="I728">
            <v>0.3</v>
          </cell>
        </row>
        <row r="729">
          <cell r="B729" t="str">
            <v>7783-39-3</v>
          </cell>
          <cell r="C729" t="str">
            <v>mercury difluoride</v>
          </cell>
          <cell r="D729" t="str">
            <v/>
          </cell>
          <cell r="F729" t="str">
            <v/>
          </cell>
          <cell r="H729" t="str">
            <v>구분1B</v>
          </cell>
          <cell r="I729">
            <v>0.3</v>
          </cell>
        </row>
        <row r="730">
          <cell r="B730" t="str">
            <v>7783-46-2</v>
          </cell>
          <cell r="C730" t="str">
            <v>lead difluoride</v>
          </cell>
          <cell r="D730" t="str">
            <v>구분1B</v>
          </cell>
          <cell r="E730">
            <v>0.1</v>
          </cell>
          <cell r="F730" t="str">
            <v/>
          </cell>
          <cell r="H730" t="str">
            <v>구분1A</v>
          </cell>
          <cell r="I730">
            <v>0.3</v>
          </cell>
        </row>
        <row r="731">
          <cell r="B731" t="str">
            <v>7783-59-7</v>
          </cell>
          <cell r="C731" t="str">
            <v>lead(IV) fluoride</v>
          </cell>
          <cell r="D731" t="str">
            <v>구분1B</v>
          </cell>
          <cell r="E731">
            <v>0.1</v>
          </cell>
          <cell r="F731" t="str">
            <v/>
          </cell>
          <cell r="H731" t="str">
            <v>구분1A</v>
          </cell>
          <cell r="I731">
            <v>0.3</v>
          </cell>
        </row>
        <row r="732">
          <cell r="B732" t="str">
            <v>7783-77-9</v>
          </cell>
          <cell r="C732" t="str">
            <v>molybdenum hexafluoride</v>
          </cell>
          <cell r="D732" t="str">
            <v>구분2</v>
          </cell>
          <cell r="E732">
            <v>1</v>
          </cell>
          <cell r="F732" t="str">
            <v/>
          </cell>
          <cell r="H732" t="str">
            <v/>
          </cell>
        </row>
        <row r="733">
          <cell r="B733" t="str">
            <v>7783-81-5</v>
          </cell>
          <cell r="C733" t="str">
            <v>uranium hexafluoride</v>
          </cell>
          <cell r="D733" t="str">
            <v>구분1A</v>
          </cell>
          <cell r="E733">
            <v>0.1</v>
          </cell>
          <cell r="F733" t="str">
            <v/>
          </cell>
          <cell r="H733" t="str">
            <v/>
          </cell>
        </row>
        <row r="734">
          <cell r="B734" t="str">
            <v>7784-01-2</v>
          </cell>
          <cell r="C734" t="str">
            <v>silver chromate</v>
          </cell>
          <cell r="D734" t="str">
            <v>구분1A</v>
          </cell>
          <cell r="E734">
            <v>0.1</v>
          </cell>
          <cell r="F734" t="str">
            <v/>
          </cell>
          <cell r="H734" t="str">
            <v/>
          </cell>
        </row>
        <row r="735">
          <cell r="B735" t="str">
            <v>7784-03-4</v>
          </cell>
          <cell r="C735" t="str">
            <v>mercury disilver tetraiodide</v>
          </cell>
          <cell r="D735" t="str">
            <v/>
          </cell>
          <cell r="F735" t="str">
            <v/>
          </cell>
          <cell r="H735" t="str">
            <v>구분1B</v>
          </cell>
          <cell r="I735">
            <v>0.3</v>
          </cell>
        </row>
        <row r="736">
          <cell r="B736" t="str">
            <v>7784-08-9</v>
          </cell>
          <cell r="C736" t="str">
            <v>trisilver arsenite</v>
          </cell>
          <cell r="D736" t="str">
            <v>구분1A</v>
          </cell>
          <cell r="E736">
            <v>0.1</v>
          </cell>
          <cell r="F736" t="str">
            <v/>
          </cell>
          <cell r="H736" t="str">
            <v/>
          </cell>
        </row>
        <row r="737">
          <cell r="B737" t="str">
            <v>7784-33-0</v>
          </cell>
          <cell r="C737" t="str">
            <v>arsenic tribromide</v>
          </cell>
          <cell r="D737" t="str">
            <v>구분1A</v>
          </cell>
          <cell r="E737">
            <v>0.1</v>
          </cell>
          <cell r="F737" t="str">
            <v/>
          </cell>
          <cell r="H737" t="str">
            <v/>
          </cell>
        </row>
        <row r="738">
          <cell r="B738" t="str">
            <v>7784-34-1</v>
          </cell>
          <cell r="C738" t="str">
            <v>arsenic trichloride</v>
          </cell>
          <cell r="D738" t="str">
            <v>구분1A</v>
          </cell>
          <cell r="E738">
            <v>0.1</v>
          </cell>
          <cell r="F738" t="str">
            <v/>
          </cell>
          <cell r="H738" t="str">
            <v/>
          </cell>
        </row>
        <row r="739">
          <cell r="B739" t="str">
            <v>7784-35-2</v>
          </cell>
          <cell r="C739" t="str">
            <v>trifluoroarsine</v>
          </cell>
          <cell r="D739" t="str">
            <v>구분1A</v>
          </cell>
          <cell r="E739">
            <v>0.1</v>
          </cell>
          <cell r="F739" t="str">
            <v/>
          </cell>
          <cell r="H739" t="str">
            <v/>
          </cell>
        </row>
        <row r="740">
          <cell r="B740" t="str">
            <v>7784-36-3</v>
          </cell>
          <cell r="C740" t="str">
            <v>pentafluoroarsorane</v>
          </cell>
          <cell r="D740" t="str">
            <v>구분1A</v>
          </cell>
          <cell r="E740">
            <v>0.1</v>
          </cell>
          <cell r="F740" t="str">
            <v/>
          </cell>
          <cell r="H740" t="str">
            <v/>
          </cell>
        </row>
        <row r="741">
          <cell r="B741" t="str">
            <v>7784-37-4</v>
          </cell>
          <cell r="C741" t="str">
            <v>mercury hydrogenarsenate</v>
          </cell>
          <cell r="D741" t="str">
            <v>구분1A</v>
          </cell>
          <cell r="E741">
            <v>0.1</v>
          </cell>
          <cell r="F741" t="str">
            <v/>
          </cell>
          <cell r="H741" t="str">
            <v>구분1B</v>
          </cell>
          <cell r="I741">
            <v>0.3</v>
          </cell>
        </row>
        <row r="742">
          <cell r="B742" t="str">
            <v>7784-38-5</v>
          </cell>
          <cell r="C742" t="str">
            <v>manganese hydrogenarsenate</v>
          </cell>
          <cell r="D742" t="str">
            <v>구분1A</v>
          </cell>
          <cell r="E742">
            <v>0.1</v>
          </cell>
          <cell r="F742" t="str">
            <v/>
          </cell>
          <cell r="H742" t="str">
            <v/>
          </cell>
        </row>
        <row r="743">
          <cell r="B743" t="str">
            <v>7784-41-0</v>
          </cell>
          <cell r="C743" t="str">
            <v>potassium dihydrogenarsenate</v>
          </cell>
          <cell r="D743" t="str">
            <v>구분1A</v>
          </cell>
          <cell r="E743">
            <v>0.1</v>
          </cell>
          <cell r="F743" t="str">
            <v/>
          </cell>
          <cell r="H743" t="str">
            <v/>
          </cell>
        </row>
        <row r="744">
          <cell r="B744" t="str">
            <v>7784-42-1</v>
          </cell>
          <cell r="C744" t="str">
            <v>arsine</v>
          </cell>
          <cell r="D744" t="str">
            <v>구분1A</v>
          </cell>
          <cell r="E744">
            <v>0.1</v>
          </cell>
          <cell r="F744" t="str">
            <v/>
          </cell>
          <cell r="H744" t="str">
            <v/>
          </cell>
        </row>
        <row r="745">
          <cell r="B745" t="str">
            <v>7784-44-3</v>
          </cell>
          <cell r="C745" t="str">
            <v>diammonium hydrogenarsenate</v>
          </cell>
          <cell r="D745" t="str">
            <v>구분1A</v>
          </cell>
          <cell r="E745">
            <v>0.1</v>
          </cell>
          <cell r="F745" t="str">
            <v/>
          </cell>
          <cell r="H745" t="str">
            <v/>
          </cell>
        </row>
        <row r="746">
          <cell r="B746" t="str">
            <v>7784-45-4</v>
          </cell>
          <cell r="C746" t="str">
            <v>arsenic triiodide</v>
          </cell>
          <cell r="D746" t="str">
            <v>구분1A</v>
          </cell>
          <cell r="E746">
            <v>0.1</v>
          </cell>
          <cell r="F746" t="str">
            <v/>
          </cell>
          <cell r="H746" t="str">
            <v/>
          </cell>
        </row>
        <row r="747">
          <cell r="B747" t="str">
            <v>7784-46-5</v>
          </cell>
          <cell r="C747" t="str">
            <v>sodium dioxoarsenate</v>
          </cell>
          <cell r="D747" t="str">
            <v>구분1A</v>
          </cell>
          <cell r="E747">
            <v>0.1</v>
          </cell>
          <cell r="F747" t="str">
            <v/>
          </cell>
          <cell r="H747" t="str">
            <v/>
          </cell>
        </row>
        <row r="748">
          <cell r="B748" t="str">
            <v>7785-20-8</v>
          </cell>
          <cell r="C748" t="str">
            <v>Sulfuric acid, ammonium nickel(2+) salt (2:2:1)​, hexahydrate</v>
          </cell>
          <cell r="D748" t="str">
            <v>구분1A</v>
          </cell>
          <cell r="E748">
            <v>0.1</v>
          </cell>
          <cell r="F748" t="str">
            <v/>
          </cell>
          <cell r="H748" t="str">
            <v/>
          </cell>
        </row>
        <row r="749">
          <cell r="B749" t="str">
            <v>7786-81-4</v>
          </cell>
          <cell r="C749" t="str">
            <v>nickel sulphate</v>
          </cell>
          <cell r="D749" t="str">
            <v>구분1A</v>
          </cell>
          <cell r="E749">
            <v>0.1</v>
          </cell>
          <cell r="F749" t="str">
            <v/>
          </cell>
          <cell r="H749" t="str">
            <v/>
          </cell>
        </row>
        <row r="750">
          <cell r="B750" t="str">
            <v>7787-37-3</v>
          </cell>
          <cell r="C750" t="str">
            <v>barium molybdate</v>
          </cell>
          <cell r="D750" t="str">
            <v>구분2</v>
          </cell>
          <cell r="E750">
            <v>1</v>
          </cell>
          <cell r="F750" t="str">
            <v/>
          </cell>
          <cell r="H750" t="str">
            <v/>
          </cell>
        </row>
        <row r="751">
          <cell r="B751" t="str">
            <v>7787-46-4</v>
          </cell>
          <cell r="C751" t="str">
            <v>beryllium dibromide</v>
          </cell>
          <cell r="D751" t="str">
            <v>구분1A</v>
          </cell>
          <cell r="E751">
            <v>0.1</v>
          </cell>
          <cell r="F751" t="str">
            <v/>
          </cell>
          <cell r="H751" t="str">
            <v/>
          </cell>
        </row>
        <row r="752">
          <cell r="B752" t="str">
            <v>7787-47-5</v>
          </cell>
          <cell r="C752" t="str">
            <v>beryllium chloride</v>
          </cell>
          <cell r="D752" t="str">
            <v>구분1A</v>
          </cell>
          <cell r="E752">
            <v>0.1</v>
          </cell>
          <cell r="F752" t="str">
            <v/>
          </cell>
          <cell r="H752" t="str">
            <v/>
          </cell>
        </row>
        <row r="753">
          <cell r="B753" t="str">
            <v>7787-49-7</v>
          </cell>
          <cell r="C753" t="str">
            <v>beryllium fluoride</v>
          </cell>
          <cell r="D753" t="str">
            <v>구분1A</v>
          </cell>
          <cell r="E753">
            <v>0.1</v>
          </cell>
          <cell r="F753" t="str">
            <v/>
          </cell>
          <cell r="H753" t="str">
            <v/>
          </cell>
        </row>
        <row r="754">
          <cell r="B754" t="str">
            <v>7787-53-3</v>
          </cell>
          <cell r="C754" t="str">
            <v>beryllium diiodide</v>
          </cell>
          <cell r="D754" t="str">
            <v>구분1A</v>
          </cell>
          <cell r="E754">
            <v>0.1</v>
          </cell>
          <cell r="F754" t="str">
            <v/>
          </cell>
          <cell r="H754" t="str">
            <v/>
          </cell>
        </row>
        <row r="755">
          <cell r="B755" t="str">
            <v>7787-55-5</v>
          </cell>
          <cell r="C755" t="str">
            <v>Nitric acid, beryllium salt, trihydrate</v>
          </cell>
          <cell r="D755" t="str">
            <v>구분1A</v>
          </cell>
          <cell r="E755">
            <v>0.1</v>
          </cell>
          <cell r="F755" t="str">
            <v/>
          </cell>
          <cell r="H755" t="str">
            <v/>
          </cell>
        </row>
        <row r="756">
          <cell r="B756" t="str">
            <v>7787-56-6</v>
          </cell>
          <cell r="C756" t="str">
            <v>Sulfuric acid, beryllium salt (1:1)​, tetrahydrate</v>
          </cell>
          <cell r="D756" t="str">
            <v>구분1A</v>
          </cell>
          <cell r="E756">
            <v>0.1</v>
          </cell>
          <cell r="F756" t="str">
            <v/>
          </cell>
          <cell r="H756" t="str">
            <v/>
          </cell>
        </row>
        <row r="757">
          <cell r="B757" t="str">
            <v>7788-98-9</v>
          </cell>
          <cell r="C757" t="str">
            <v>ammonium chromate</v>
          </cell>
          <cell r="D757" t="str">
            <v>구분1A</v>
          </cell>
          <cell r="E757">
            <v>0.1</v>
          </cell>
          <cell r="F757" t="str">
            <v/>
          </cell>
          <cell r="H757" t="str">
            <v/>
          </cell>
        </row>
        <row r="758">
          <cell r="B758" t="str">
            <v>7789-00-6</v>
          </cell>
          <cell r="C758" t="str">
            <v>potassium chromate</v>
          </cell>
          <cell r="D758" t="str">
            <v>구분1A</v>
          </cell>
          <cell r="E758">
            <v>0.1</v>
          </cell>
          <cell r="F758" t="str">
            <v/>
          </cell>
          <cell r="H758" t="str">
            <v/>
          </cell>
        </row>
        <row r="759">
          <cell r="B759" t="str">
            <v>7789-09-5</v>
          </cell>
          <cell r="C759" t="str">
            <v>ammonium dichromate</v>
          </cell>
          <cell r="D759" t="str">
            <v>구분1A</v>
          </cell>
          <cell r="E759">
            <v>0.1</v>
          </cell>
          <cell r="F759" t="str">
            <v/>
          </cell>
          <cell r="H759" t="str">
            <v/>
          </cell>
        </row>
        <row r="760">
          <cell r="B760" t="str">
            <v>7789-10-8</v>
          </cell>
          <cell r="C760" t="str">
            <v>mercury dichromate</v>
          </cell>
          <cell r="D760" t="str">
            <v>구분1A</v>
          </cell>
          <cell r="E760">
            <v>0.1</v>
          </cell>
          <cell r="F760" t="str">
            <v/>
          </cell>
          <cell r="H760" t="str">
            <v>구분1B</v>
          </cell>
          <cell r="I760">
            <v>0.3</v>
          </cell>
        </row>
        <row r="761">
          <cell r="B761" t="str">
            <v>7789-12-0</v>
          </cell>
          <cell r="C761" t="str">
            <v>Sodium dichromate dihydrate</v>
          </cell>
          <cell r="D761" t="str">
            <v>구분1A</v>
          </cell>
          <cell r="E761">
            <v>0.1</v>
          </cell>
          <cell r="F761" t="str">
            <v/>
          </cell>
          <cell r="H761" t="str">
            <v/>
          </cell>
        </row>
        <row r="762">
          <cell r="B762" t="str">
            <v>7789-42-6</v>
          </cell>
          <cell r="C762" t="str">
            <v>cadmium bromide</v>
          </cell>
          <cell r="D762" t="str">
            <v>구분1A</v>
          </cell>
          <cell r="E762">
            <v>0.1</v>
          </cell>
          <cell r="F762" t="str">
            <v>구분2</v>
          </cell>
          <cell r="G762">
            <v>1</v>
          </cell>
          <cell r="H762" t="str">
            <v>구분2</v>
          </cell>
          <cell r="I762">
            <v>3</v>
          </cell>
        </row>
        <row r="763">
          <cell r="B763" t="str">
            <v>7789-47-1</v>
          </cell>
          <cell r="C763" t="str">
            <v>mercury dibromide</v>
          </cell>
          <cell r="D763" t="str">
            <v/>
          </cell>
          <cell r="F763" t="str">
            <v/>
          </cell>
          <cell r="H763" t="str">
            <v>구분1B</v>
          </cell>
          <cell r="I763">
            <v>0.3</v>
          </cell>
        </row>
        <row r="764">
          <cell r="B764" t="str">
            <v>7789-82-4</v>
          </cell>
          <cell r="C764" t="str">
            <v>calcium molybdate</v>
          </cell>
          <cell r="D764" t="str">
            <v>구분2</v>
          </cell>
          <cell r="E764">
            <v>1</v>
          </cell>
          <cell r="F764" t="str">
            <v/>
          </cell>
          <cell r="H764" t="str">
            <v/>
          </cell>
        </row>
        <row r="765">
          <cell r="B765" t="str">
            <v>7790-78-5</v>
          </cell>
          <cell r="C765" t="str">
            <v>Cadmium chloride (CdCl2)​, hydrate</v>
          </cell>
          <cell r="D765" t="str">
            <v>구분1A</v>
          </cell>
          <cell r="E765">
            <v>0.1</v>
          </cell>
          <cell r="F765" t="str">
            <v>구분2</v>
          </cell>
          <cell r="G765">
            <v>1</v>
          </cell>
          <cell r="H765" t="str">
            <v>구분2</v>
          </cell>
          <cell r="I765">
            <v>3</v>
          </cell>
        </row>
        <row r="766">
          <cell r="B766" t="str">
            <v>7790-79-6</v>
          </cell>
          <cell r="C766" t="str">
            <v>cadmium fluoride</v>
          </cell>
          <cell r="D766" t="str">
            <v>구분1A</v>
          </cell>
          <cell r="E766">
            <v>0.1</v>
          </cell>
          <cell r="F766" t="str">
            <v>구분2</v>
          </cell>
          <cell r="G766">
            <v>1</v>
          </cell>
          <cell r="H766" t="str">
            <v>구분2</v>
          </cell>
          <cell r="I766">
            <v>3</v>
          </cell>
        </row>
        <row r="767">
          <cell r="B767" t="str">
            <v>7790-80-9</v>
          </cell>
          <cell r="C767" t="str">
            <v>cadmium iodide</v>
          </cell>
          <cell r="D767" t="str">
            <v>구분1A</v>
          </cell>
          <cell r="E767">
            <v>0.1</v>
          </cell>
          <cell r="F767" t="str">
            <v>구분2</v>
          </cell>
          <cell r="G767">
            <v>1</v>
          </cell>
          <cell r="H767" t="str">
            <v>구분2</v>
          </cell>
          <cell r="I767">
            <v>3</v>
          </cell>
        </row>
        <row r="768">
          <cell r="B768" t="str">
            <v>7790-81-0</v>
          </cell>
          <cell r="C768" t="str">
            <v>cadmium iodate</v>
          </cell>
          <cell r="D768" t="str">
            <v>구분1A</v>
          </cell>
          <cell r="E768">
            <v>0.1</v>
          </cell>
          <cell r="F768" t="str">
            <v>구분2</v>
          </cell>
          <cell r="G768">
            <v>1</v>
          </cell>
          <cell r="H768" t="str">
            <v>구분2</v>
          </cell>
          <cell r="I768">
            <v>3</v>
          </cell>
        </row>
        <row r="769">
          <cell r="B769" t="str">
            <v>7790-83-2</v>
          </cell>
          <cell r="C769" t="str">
            <v>cadmium dinitrite</v>
          </cell>
          <cell r="D769" t="str">
            <v>구분1A</v>
          </cell>
          <cell r="E769">
            <v>0.1</v>
          </cell>
          <cell r="F769" t="str">
            <v>구분2</v>
          </cell>
          <cell r="G769">
            <v>1</v>
          </cell>
          <cell r="H769" t="str">
            <v>구분2</v>
          </cell>
          <cell r="I769">
            <v>3</v>
          </cell>
        </row>
        <row r="770">
          <cell r="B770" t="str">
            <v>7790-84-3</v>
          </cell>
          <cell r="C770" t="str">
            <v>Cadmium sulfate octahydrate</v>
          </cell>
          <cell r="D770" t="str">
            <v>구분1A</v>
          </cell>
          <cell r="E770">
            <v>0.1</v>
          </cell>
          <cell r="F770" t="str">
            <v>구분2</v>
          </cell>
          <cell r="G770">
            <v>1</v>
          </cell>
          <cell r="H770" t="str">
            <v>구분2</v>
          </cell>
          <cell r="I770">
            <v>3</v>
          </cell>
        </row>
        <row r="771">
          <cell r="B771" t="str">
            <v>7790-85-4</v>
          </cell>
          <cell r="C771" t="str">
            <v>cadmium wolframate</v>
          </cell>
          <cell r="D771" t="str">
            <v>구분1A</v>
          </cell>
          <cell r="E771">
            <v>0.1</v>
          </cell>
          <cell r="F771" t="str">
            <v>구분2</v>
          </cell>
          <cell r="G771">
            <v>1</v>
          </cell>
          <cell r="H771" t="str">
            <v>구분2</v>
          </cell>
          <cell r="I771">
            <v>3</v>
          </cell>
        </row>
        <row r="772">
          <cell r="B772" t="str">
            <v>7791-20-0</v>
          </cell>
          <cell r="C772" t="str">
            <v>Nickel chloride (NiCl2), hexahydrate</v>
          </cell>
          <cell r="D772" t="str">
            <v>구분1A</v>
          </cell>
          <cell r="E772">
            <v>0.1</v>
          </cell>
          <cell r="F772" t="str">
            <v/>
          </cell>
          <cell r="H772" t="str">
            <v/>
          </cell>
        </row>
        <row r="773">
          <cell r="B773" t="str">
            <v>79357-62-3</v>
          </cell>
          <cell r="C773" t="str">
            <v>Diplumboxane, 1-(2-methyl-4,6-dinitrophenoxy)-3-(nitrooxy)-, hydrate (1:1)</v>
          </cell>
          <cell r="D773" t="str">
            <v>구분1B</v>
          </cell>
          <cell r="E773">
            <v>0.1</v>
          </cell>
          <cell r="F773" t="str">
            <v/>
          </cell>
          <cell r="H773" t="str">
            <v>구분1A</v>
          </cell>
          <cell r="I773">
            <v>0.3</v>
          </cell>
        </row>
        <row r="774">
          <cell r="B774" t="str">
            <v>814-93-7</v>
          </cell>
          <cell r="C774" t="str">
            <v>lead oxalate</v>
          </cell>
          <cell r="D774" t="str">
            <v>구분1B</v>
          </cell>
          <cell r="E774">
            <v>0.1</v>
          </cell>
          <cell r="F774" t="str">
            <v/>
          </cell>
          <cell r="H774" t="str">
            <v>구분1A</v>
          </cell>
          <cell r="I774">
            <v>0.3</v>
          </cell>
        </row>
        <row r="775">
          <cell r="B775" t="str">
            <v>84852-36-8</v>
          </cell>
          <cell r="C775" t="str">
            <v>(isodecanoato-O)(isononanoato-O)nickel</v>
          </cell>
          <cell r="D775" t="str">
            <v>구분1A</v>
          </cell>
          <cell r="E775">
            <v>0.1</v>
          </cell>
          <cell r="F775" t="str">
            <v/>
          </cell>
          <cell r="H775" t="str">
            <v/>
          </cell>
        </row>
        <row r="776">
          <cell r="B776" t="str">
            <v>84852-37-9</v>
          </cell>
          <cell r="C776" t="str">
            <v>nickel bis(isononanoate)</v>
          </cell>
          <cell r="D776" t="str">
            <v>구분1A</v>
          </cell>
          <cell r="E776">
            <v>0.1</v>
          </cell>
          <cell r="F776" t="str">
            <v/>
          </cell>
          <cell r="H776" t="str">
            <v/>
          </cell>
        </row>
        <row r="777">
          <cell r="B777" t="str">
            <v>84852-39-1</v>
          </cell>
          <cell r="C777" t="str">
            <v>(2-ethylhexanoato-O)(isodecanoato-O)nickel</v>
          </cell>
          <cell r="D777" t="str">
            <v>구분1A</v>
          </cell>
          <cell r="E777">
            <v>0.1</v>
          </cell>
          <cell r="F777" t="str">
            <v/>
          </cell>
          <cell r="H777" t="str">
            <v/>
          </cell>
        </row>
        <row r="778">
          <cell r="B778" t="str">
            <v>85135-77-9</v>
          </cell>
          <cell r="C778" t="str">
            <v>(2-ethylhexanoato-O)(neodecanoato-O)nickel</v>
          </cell>
          <cell r="D778" t="str">
            <v>구분1A</v>
          </cell>
          <cell r="E778">
            <v>0.1</v>
          </cell>
          <cell r="F778" t="str">
            <v/>
          </cell>
          <cell r="H778" t="str">
            <v/>
          </cell>
        </row>
        <row r="779">
          <cell r="B779" t="str">
            <v>85508-43-6</v>
          </cell>
          <cell r="C779" t="str">
            <v>nickel(II) isodecanoate</v>
          </cell>
          <cell r="D779" t="str">
            <v>구분1A</v>
          </cell>
          <cell r="E779">
            <v>0.1</v>
          </cell>
          <cell r="F779" t="str">
            <v/>
          </cell>
          <cell r="H779" t="str">
            <v/>
          </cell>
        </row>
        <row r="780">
          <cell r="B780" t="str">
            <v>85508-44-7</v>
          </cell>
          <cell r="C780" t="str">
            <v>nickel(2+) neodecanoate</v>
          </cell>
          <cell r="D780" t="str">
            <v>구분1A</v>
          </cell>
          <cell r="E780">
            <v>0.1</v>
          </cell>
          <cell r="F780" t="str">
            <v/>
          </cell>
          <cell r="H780" t="str">
            <v/>
          </cell>
        </row>
        <row r="781">
          <cell r="B781" t="str">
            <v>85508-45-8</v>
          </cell>
          <cell r="C781" t="str">
            <v>(2-ethylhexanoato-O)(isononanoato-O)nickel</v>
          </cell>
          <cell r="D781" t="str">
            <v>구분1A</v>
          </cell>
          <cell r="E781">
            <v>0.1</v>
          </cell>
          <cell r="F781" t="str">
            <v/>
          </cell>
          <cell r="H781" t="str">
            <v/>
          </cell>
        </row>
        <row r="782">
          <cell r="B782" t="str">
            <v>85764-81-4</v>
          </cell>
          <cell r="C782" t="str">
            <v>Iron lead sulfide (FePbS2)</v>
          </cell>
          <cell r="D782" t="str">
            <v>구분1B</v>
          </cell>
          <cell r="E782">
            <v>0.1</v>
          </cell>
          <cell r="F782" t="str">
            <v/>
          </cell>
          <cell r="H782" t="str">
            <v>구분1A</v>
          </cell>
          <cell r="I782">
            <v>0.3</v>
          </cell>
        </row>
        <row r="783">
          <cell r="B783" t="str">
            <v>91-66-7</v>
          </cell>
          <cell r="C783" t="str">
            <v>N,N-diethylaniline</v>
          </cell>
          <cell r="D783" t="str">
            <v>구분2</v>
          </cell>
          <cell r="E783">
            <v>1</v>
          </cell>
          <cell r="F783" t="str">
            <v>구분2</v>
          </cell>
          <cell r="G783">
            <v>1</v>
          </cell>
          <cell r="H783" t="str">
            <v/>
          </cell>
        </row>
        <row r="784">
          <cell r="B784" t="str">
            <v>93920-09-3</v>
          </cell>
          <cell r="C784" t="str">
            <v>nickel(2+) neoundecanoate</v>
          </cell>
          <cell r="D784" t="str">
            <v>구분1A</v>
          </cell>
          <cell r="E784">
            <v>0.1</v>
          </cell>
          <cell r="F784" t="str">
            <v/>
          </cell>
          <cell r="H784" t="str">
            <v/>
          </cell>
        </row>
        <row r="785">
          <cell r="B785" t="str">
            <v>93920-10-6</v>
          </cell>
          <cell r="C785" t="str">
            <v>nickel(2+) neononanoate</v>
          </cell>
          <cell r="D785" t="str">
            <v>구분1A</v>
          </cell>
          <cell r="E785">
            <v>0.1</v>
          </cell>
          <cell r="F785" t="str">
            <v/>
          </cell>
          <cell r="H785" t="str">
            <v/>
          </cell>
        </row>
        <row r="786">
          <cell r="B786" t="str">
            <v>93983-68-7</v>
          </cell>
          <cell r="C786" t="str">
            <v>dimethylhexanoic acid, nickel salt</v>
          </cell>
          <cell r="D786" t="str">
            <v>구분1A</v>
          </cell>
          <cell r="E786">
            <v>0.1</v>
          </cell>
          <cell r="F786" t="str">
            <v/>
          </cell>
          <cell r="H786" t="str">
            <v/>
          </cell>
        </row>
        <row r="787">
          <cell r="B787" t="str">
            <v>95860-12-1</v>
          </cell>
          <cell r="C787" t="str">
            <v>Methanesulfonic acid, lead salt</v>
          </cell>
          <cell r="D787" t="str">
            <v>구분1B</v>
          </cell>
          <cell r="E787">
            <v>0.1</v>
          </cell>
          <cell r="F787" t="str">
            <v/>
          </cell>
          <cell r="H787" t="str">
            <v>구분1A</v>
          </cell>
          <cell r="I787">
            <v>0.3</v>
          </cell>
        </row>
        <row r="788">
          <cell r="B788" t="str">
            <v>97435-21-7</v>
          </cell>
          <cell r="C788" t="str">
            <v>diiron nickel zinc tetraoxide</v>
          </cell>
          <cell r="D788" t="str">
            <v>구분1A</v>
          </cell>
          <cell r="E788">
            <v>0.1</v>
          </cell>
          <cell r="F788" t="str">
            <v/>
          </cell>
          <cell r="H788" t="str">
            <v/>
          </cell>
        </row>
        <row r="789">
          <cell r="B789" t="str">
            <v>98106-56-0</v>
          </cell>
          <cell r="C789" t="str">
            <v>gallium zinc triarsenide</v>
          </cell>
          <cell r="D789" t="str">
            <v>구분1A</v>
          </cell>
          <cell r="E789">
            <v>0.1</v>
          </cell>
          <cell r="F789" t="str">
            <v/>
          </cell>
          <cell r="H789" t="str">
            <v/>
          </cell>
        </row>
        <row r="790">
          <cell r="B790" t="str">
            <v>99035-51-5</v>
          </cell>
          <cell r="C790" t="str">
            <v>vanadium(4+) diarsenate (1:1)</v>
          </cell>
          <cell r="D790" t="str">
            <v>구분1A</v>
          </cell>
          <cell r="E790">
            <v>0.1</v>
          </cell>
          <cell r="F790" t="str">
            <v/>
          </cell>
          <cell r="H790" t="str">
            <v/>
          </cell>
        </row>
        <row r="791">
          <cell r="B791" t="str">
            <v>99-08-1</v>
          </cell>
          <cell r="C791" t="str">
            <v>3-nitrotoluene</v>
          </cell>
          <cell r="D791" t="str">
            <v>구분1B</v>
          </cell>
          <cell r="E791">
            <v>0.1</v>
          </cell>
          <cell r="F791" t="str">
            <v>구분1B</v>
          </cell>
          <cell r="G791">
            <v>0.1</v>
          </cell>
          <cell r="H791" t="str">
            <v>구분2</v>
          </cell>
          <cell r="I791">
            <v>3</v>
          </cell>
        </row>
        <row r="792">
          <cell r="B792" t="str">
            <v>99587-10-7</v>
          </cell>
          <cell r="C792" t="str">
            <v>barium tetrachlorocadmate(2-)</v>
          </cell>
          <cell r="D792" t="str">
            <v>구분1A</v>
          </cell>
          <cell r="E792">
            <v>0.1</v>
          </cell>
          <cell r="F792" t="str">
            <v>구분2</v>
          </cell>
          <cell r="G792">
            <v>1</v>
          </cell>
          <cell r="H792" t="str">
            <v>구분2</v>
          </cell>
          <cell r="I792">
            <v>3</v>
          </cell>
        </row>
        <row r="793">
          <cell r="B793" t="str">
            <v>99587-11-8</v>
          </cell>
          <cell r="C793" t="str">
            <v>diammonium tetrachloronickelate(2-)</v>
          </cell>
          <cell r="D793" t="str">
            <v>구분1A</v>
          </cell>
          <cell r="E793">
            <v>0.1</v>
          </cell>
          <cell r="F793" t="str">
            <v/>
          </cell>
          <cell r="H793" t="str">
            <v/>
          </cell>
        </row>
        <row r="794">
          <cell r="B794" t="str">
            <v>99-99-0</v>
          </cell>
          <cell r="C794" t="str">
            <v>4-nitrotoluene</v>
          </cell>
          <cell r="D794" t="str">
            <v>구분1B</v>
          </cell>
          <cell r="E794">
            <v>0.1</v>
          </cell>
          <cell r="F794" t="str">
            <v>구분1B</v>
          </cell>
          <cell r="G794">
            <v>0.1</v>
          </cell>
          <cell r="H794" t="str">
            <v>구분2</v>
          </cell>
          <cell r="I794">
            <v>3</v>
          </cell>
        </row>
      </sheetData>
      <sheetData sheetId="47" refreshError="1">
        <row r="1">
          <cell r="B1" t="str">
            <v>CAS</v>
          </cell>
          <cell r="C1" t="str">
            <v>물질명(국문)</v>
          </cell>
          <cell r="D1" t="str">
            <v>위험물분류</v>
          </cell>
          <cell r="E1" t="str">
            <v>지정수량</v>
          </cell>
          <cell r="F1" t="str">
            <v>UNNo</v>
          </cell>
        </row>
        <row r="2">
          <cell r="B2" t="str">
            <v>10588-01-9</v>
          </cell>
          <cell r="C2" t="str">
            <v>중크롬산나트륨</v>
          </cell>
          <cell r="D2" t="str">
            <v>1류 과망간산염류</v>
          </cell>
          <cell r="E2" t="str">
            <v>1000킬로그램</v>
          </cell>
          <cell r="F2">
            <v>3288</v>
          </cell>
        </row>
        <row r="3">
          <cell r="B3" t="str">
            <v>7722-64-7</v>
          </cell>
          <cell r="C3" t="str">
            <v>과망간산칼륨</v>
          </cell>
          <cell r="D3" t="str">
            <v>1류 과망간산염류</v>
          </cell>
          <cell r="E3" t="str">
            <v>1000킬로그램</v>
          </cell>
          <cell r="F3">
            <v>1490</v>
          </cell>
        </row>
        <row r="4">
          <cell r="B4" t="str">
            <v>7778-50-9</v>
          </cell>
          <cell r="C4" t="str">
            <v>크롬산 칼륨(Ⅱ)</v>
          </cell>
          <cell r="D4" t="str">
            <v>1류 과망간산염류</v>
          </cell>
          <cell r="E4" t="str">
            <v>1000킬로그램</v>
          </cell>
          <cell r="F4">
            <v>3086</v>
          </cell>
        </row>
        <row r="5">
          <cell r="B5" t="str">
            <v>79048-36-5</v>
          </cell>
          <cell r="C5" t="str">
            <v>과망간산나트륨</v>
          </cell>
          <cell r="D5" t="str">
            <v>1류 과망간산염류</v>
          </cell>
          <cell r="E5" t="str">
            <v>1000킬로그램</v>
          </cell>
          <cell r="F5">
            <v>1503</v>
          </cell>
        </row>
        <row r="6">
          <cell r="B6" t="str">
            <v>10034-81-8</v>
          </cell>
          <cell r="C6" t="str">
            <v>과염소산마그네슘</v>
          </cell>
          <cell r="D6" t="str">
            <v>1류 과염소산염류</v>
          </cell>
          <cell r="E6" t="str">
            <v>50킬로그램</v>
          </cell>
          <cell r="F6">
            <v>1475</v>
          </cell>
        </row>
        <row r="7">
          <cell r="B7" t="str">
            <v>13465-95-7</v>
          </cell>
          <cell r="C7" t="str">
            <v>과염소산바륨</v>
          </cell>
          <cell r="D7" t="str">
            <v>1류 과염소산염류</v>
          </cell>
          <cell r="E7" t="str">
            <v>50킬로그램</v>
          </cell>
          <cell r="F7">
            <v>1447</v>
          </cell>
        </row>
        <row r="8">
          <cell r="B8" t="str">
            <v>7601-89-0</v>
          </cell>
          <cell r="C8" t="str">
            <v>과염소산나트륨</v>
          </cell>
          <cell r="D8" t="str">
            <v>1류 과염소산염류</v>
          </cell>
          <cell r="E8" t="str">
            <v>50킬로그램</v>
          </cell>
          <cell r="F8">
            <v>1502</v>
          </cell>
        </row>
        <row r="9">
          <cell r="B9" t="str">
            <v>7778-74-7</v>
          </cell>
          <cell r="C9" t="str">
            <v>과염소산칼륨</v>
          </cell>
          <cell r="D9" t="str">
            <v>1류 과염소산염류</v>
          </cell>
          <cell r="E9" t="str">
            <v>50킬로그램</v>
          </cell>
          <cell r="F9">
            <v>1489</v>
          </cell>
        </row>
        <row r="10">
          <cell r="B10" t="str">
            <v>7790-21-8</v>
          </cell>
          <cell r="C10" t="str">
            <v>과요드산 칼륨</v>
          </cell>
          <cell r="D10" t="str">
            <v>1류 과요오드산염류</v>
          </cell>
          <cell r="E10" t="str">
            <v>300킬로그램</v>
          </cell>
          <cell r="F10">
            <v>1479</v>
          </cell>
        </row>
        <row r="11">
          <cell r="B11" t="str">
            <v>7790-28-5</v>
          </cell>
          <cell r="C11" t="str">
            <v>과옥소(요오드)산 나트륨</v>
          </cell>
          <cell r="D11" t="str">
            <v>1류 과요오드산염류</v>
          </cell>
          <cell r="E11" t="str">
            <v>300킬로그램</v>
          </cell>
          <cell r="F11">
            <v>3087</v>
          </cell>
        </row>
        <row r="12">
          <cell r="B12" t="str">
            <v>12030-88-5</v>
          </cell>
          <cell r="C12" t="str">
            <v>이산화칼륨</v>
          </cell>
          <cell r="D12" t="str">
            <v>1류 무기과산화물</v>
          </cell>
          <cell r="E12" t="str">
            <v>50킬로그램</v>
          </cell>
          <cell r="F12">
            <v>2466</v>
          </cell>
        </row>
        <row r="13">
          <cell r="B13" t="str">
            <v>12031-80-0</v>
          </cell>
          <cell r="C13" t="str">
            <v>과산화리튬</v>
          </cell>
          <cell r="D13" t="str">
            <v>1류 무기과산화물</v>
          </cell>
          <cell r="E13" t="str">
            <v>50킬로그램</v>
          </cell>
          <cell r="F13">
            <v>1472</v>
          </cell>
        </row>
        <row r="14">
          <cell r="B14" t="str">
            <v>1304-29-6</v>
          </cell>
          <cell r="C14" t="str">
            <v>과산화바륨</v>
          </cell>
          <cell r="D14" t="str">
            <v>1류 무기과산화물</v>
          </cell>
          <cell r="E14" t="str">
            <v>50킬로그램</v>
          </cell>
          <cell r="F14">
            <v>1449</v>
          </cell>
        </row>
        <row r="15">
          <cell r="B15" t="str">
            <v>1305-79-9</v>
          </cell>
          <cell r="C15" t="str">
            <v>과산화칼슘</v>
          </cell>
          <cell r="D15" t="str">
            <v>1류 무기과산화물</v>
          </cell>
          <cell r="E15" t="str">
            <v>50킬로그램</v>
          </cell>
          <cell r="F15">
            <v>1457</v>
          </cell>
        </row>
        <row r="16">
          <cell r="B16" t="str">
            <v>1313-60-6</v>
          </cell>
          <cell r="C16" t="str">
            <v>과산화나트륨</v>
          </cell>
          <cell r="D16" t="str">
            <v>1류 무기과산화물</v>
          </cell>
          <cell r="E16" t="str">
            <v>50킬로그램</v>
          </cell>
          <cell r="F16">
            <v>1504</v>
          </cell>
        </row>
        <row r="17">
          <cell r="B17" t="str">
            <v>1314-22-3</v>
          </cell>
          <cell r="C17" t="str">
            <v>과산화아연</v>
          </cell>
          <cell r="D17" t="str">
            <v>1류 무기과산화물</v>
          </cell>
          <cell r="E17" t="str">
            <v>50킬로그램</v>
          </cell>
          <cell r="F17">
            <v>1516</v>
          </cell>
        </row>
        <row r="18">
          <cell r="B18" t="str">
            <v>1335-26-8</v>
          </cell>
          <cell r="C18" t="str">
            <v>과산화마그네슘 복합체</v>
          </cell>
          <cell r="D18" t="str">
            <v>1류 무기과산화물</v>
          </cell>
          <cell r="E18" t="str">
            <v>50킬로그램</v>
          </cell>
          <cell r="F18">
            <v>1476</v>
          </cell>
        </row>
        <row r="19">
          <cell r="B19" t="str">
            <v>14452-57-4</v>
          </cell>
          <cell r="C19" t="str">
            <v>과산화마그네슘 라이트</v>
          </cell>
          <cell r="D19" t="str">
            <v>1류 무기과산화물</v>
          </cell>
          <cell r="E19" t="str">
            <v>50킬로그램</v>
          </cell>
          <cell r="F19">
            <v>1476</v>
          </cell>
        </row>
        <row r="20">
          <cell r="B20" t="str">
            <v>13967-90-3</v>
          </cell>
          <cell r="C20" t="str">
            <v>브롬(취소)산 바륨</v>
          </cell>
          <cell r="D20" t="str">
            <v>1류 브롬산염류</v>
          </cell>
          <cell r="E20" t="str">
            <v>300킬로그램</v>
          </cell>
          <cell r="F20">
            <v>2719</v>
          </cell>
        </row>
        <row r="21">
          <cell r="B21" t="str">
            <v>7758-01-2</v>
          </cell>
          <cell r="C21" t="str">
            <v>브롬산칼륨</v>
          </cell>
          <cell r="D21" t="str">
            <v>1류 브롬산염류</v>
          </cell>
          <cell r="E21" t="str">
            <v>300킬로그램</v>
          </cell>
          <cell r="F21">
            <v>1484</v>
          </cell>
        </row>
        <row r="22">
          <cell r="B22" t="str">
            <v>7789-38-0</v>
          </cell>
          <cell r="C22" t="str">
            <v>브롬산나트륨</v>
          </cell>
          <cell r="D22" t="str">
            <v>1류 브롬산염류</v>
          </cell>
          <cell r="E22" t="str">
            <v>300킬로그램</v>
          </cell>
          <cell r="F22">
            <v>1494</v>
          </cell>
        </row>
        <row r="23">
          <cell r="B23" t="str">
            <v>7758-19-2</v>
          </cell>
          <cell r="C23" t="str">
            <v>아염소산나트륨</v>
          </cell>
          <cell r="D23" t="str">
            <v>1류 아염소산염류</v>
          </cell>
          <cell r="E23" t="str">
            <v>50킬로그램</v>
          </cell>
          <cell r="F23">
            <v>1496</v>
          </cell>
        </row>
        <row r="24">
          <cell r="B24" t="str">
            <v>7632-00-0</v>
          </cell>
          <cell r="C24" t="str">
            <v>아질산나트륨</v>
          </cell>
          <cell r="D24" t="str">
            <v>1류 아질산염류</v>
          </cell>
          <cell r="E24" t="str">
            <v>300킬로그램</v>
          </cell>
          <cell r="F24">
            <v>1500</v>
          </cell>
        </row>
        <row r="25">
          <cell r="B25" t="str">
            <v>7758-09-0</v>
          </cell>
          <cell r="C25" t="str">
            <v>아질산칼륨</v>
          </cell>
          <cell r="D25" t="str">
            <v>1류 아질산염류</v>
          </cell>
          <cell r="E25" t="str">
            <v>300킬로그램</v>
          </cell>
          <cell r="F25">
            <v>1488</v>
          </cell>
        </row>
        <row r="26">
          <cell r="B26" t="str">
            <v>3811-04-9</v>
          </cell>
          <cell r="C26" t="str">
            <v>염소산칼륨</v>
          </cell>
          <cell r="D26" t="str">
            <v>1류 염소산염류</v>
          </cell>
          <cell r="E26" t="str">
            <v>50킬로그램</v>
          </cell>
          <cell r="F26">
            <v>1485</v>
          </cell>
        </row>
        <row r="27">
          <cell r="B27" t="str">
            <v>7775-09-9</v>
          </cell>
          <cell r="C27" t="str">
            <v>염소산나트륨</v>
          </cell>
          <cell r="D27" t="str">
            <v>1류 염소산염류</v>
          </cell>
          <cell r="E27" t="str">
            <v>50킬로그램</v>
          </cell>
          <cell r="F27">
            <v>1495</v>
          </cell>
        </row>
        <row r="28">
          <cell r="B28" t="str">
            <v>87-90-1</v>
          </cell>
          <cell r="C28" t="str">
            <v>트리클로로이소시아눌산</v>
          </cell>
          <cell r="D28" t="str">
            <v>1류 염소화이소시아눌산</v>
          </cell>
          <cell r="E28" t="str">
            <v>300킬로그램</v>
          </cell>
          <cell r="F28">
            <v>2468</v>
          </cell>
        </row>
        <row r="29">
          <cell r="B29" t="str">
            <v>7789-09-5</v>
          </cell>
          <cell r="C29" t="str">
            <v>크롬산암모늄(Ⅱ)</v>
          </cell>
          <cell r="D29" t="str">
            <v>1류 중크롬산염...</v>
          </cell>
          <cell r="E29" t="str">
            <v>1000킬로그램</v>
          </cell>
          <cell r="F29">
            <v>1439</v>
          </cell>
        </row>
        <row r="30">
          <cell r="B30" t="str">
            <v>10022-31-8</v>
          </cell>
          <cell r="C30" t="str">
            <v>질산바륨</v>
          </cell>
          <cell r="D30" t="str">
            <v>1류 질산염류</v>
          </cell>
          <cell r="E30" t="str">
            <v>300킬로그램</v>
          </cell>
          <cell r="F30">
            <v>1446</v>
          </cell>
        </row>
        <row r="31">
          <cell r="B31" t="str">
            <v>10031-43-3</v>
          </cell>
          <cell r="C31" t="str">
            <v>질산구리(Ⅱ)</v>
          </cell>
          <cell r="D31" t="str">
            <v>1류 질산염류</v>
          </cell>
          <cell r="E31" t="str">
            <v>300킬로그램</v>
          </cell>
          <cell r="F31">
            <v>3085</v>
          </cell>
        </row>
        <row r="32">
          <cell r="B32" t="str">
            <v>10042-76-9</v>
          </cell>
          <cell r="C32" t="str">
            <v>질산스트론튬</v>
          </cell>
          <cell r="D32" t="str">
            <v>1류 질산염류</v>
          </cell>
          <cell r="E32" t="str">
            <v>300킬로그램</v>
          </cell>
          <cell r="F32">
            <v>1507</v>
          </cell>
        </row>
        <row r="33">
          <cell r="B33" t="str">
            <v>10099-74-8</v>
          </cell>
          <cell r="C33" t="str">
            <v>질산납(Ⅱ)</v>
          </cell>
          <cell r="D33" t="str">
            <v>1류 질산염류</v>
          </cell>
          <cell r="E33" t="str">
            <v>300킬로그램</v>
          </cell>
          <cell r="F33">
            <v>1469</v>
          </cell>
        </row>
        <row r="34">
          <cell r="B34" t="str">
            <v>10102-45-1</v>
          </cell>
          <cell r="C34" t="str">
            <v>질산탈륨</v>
          </cell>
          <cell r="D34" t="str">
            <v>1류 질산염류</v>
          </cell>
          <cell r="E34" t="str">
            <v>300킬로그램</v>
          </cell>
          <cell r="F34">
            <v>2727</v>
          </cell>
        </row>
        <row r="35">
          <cell r="B35" t="str">
            <v>13770-61-1</v>
          </cell>
          <cell r="C35" t="str">
            <v>질산인듐(수화물)</v>
          </cell>
          <cell r="D35" t="str">
            <v>1류 질산염류</v>
          </cell>
          <cell r="E35" t="str">
            <v>300킬로그램</v>
          </cell>
          <cell r="F35">
            <v>1477</v>
          </cell>
        </row>
        <row r="36">
          <cell r="B36" t="str">
            <v>15710-66-4</v>
          </cell>
          <cell r="C36" t="str">
            <v>질산망간</v>
          </cell>
          <cell r="D36" t="str">
            <v>1류 질산염류</v>
          </cell>
          <cell r="E36" t="str">
            <v>300킬로그램</v>
          </cell>
          <cell r="F36">
            <v>2724</v>
          </cell>
        </row>
        <row r="37">
          <cell r="B37" t="str">
            <v>6484-52-2</v>
          </cell>
          <cell r="C37" t="str">
            <v>질산암모늄</v>
          </cell>
          <cell r="D37" t="str">
            <v>1류 질산염류</v>
          </cell>
          <cell r="E37" t="str">
            <v>300킬로그램</v>
          </cell>
          <cell r="F37">
            <v>1942</v>
          </cell>
        </row>
        <row r="38">
          <cell r="B38" t="str">
            <v>7631-99-4</v>
          </cell>
          <cell r="C38" t="str">
            <v>질산나트륨</v>
          </cell>
          <cell r="D38" t="str">
            <v>1류 질산염류</v>
          </cell>
          <cell r="E38" t="str">
            <v>300킬로그램</v>
          </cell>
          <cell r="F38">
            <v>1498</v>
          </cell>
        </row>
        <row r="39">
          <cell r="B39" t="str">
            <v>7757-79-1</v>
          </cell>
          <cell r="C39" t="str">
            <v>질산칼륨</v>
          </cell>
          <cell r="D39" t="str">
            <v>1류 질산염류</v>
          </cell>
          <cell r="E39" t="str">
            <v>300킬로그램</v>
          </cell>
          <cell r="F39">
            <v>1486</v>
          </cell>
        </row>
        <row r="40">
          <cell r="B40" t="str">
            <v>7761-88-8</v>
          </cell>
          <cell r="C40" t="str">
            <v>질산은</v>
          </cell>
          <cell r="D40" t="str">
            <v>1류 질산염류</v>
          </cell>
          <cell r="E40" t="str">
            <v>300킬로그램</v>
          </cell>
          <cell r="F40">
            <v>1493</v>
          </cell>
        </row>
        <row r="41">
          <cell r="B41" t="str">
            <v>7790-69-4</v>
          </cell>
          <cell r="C41" t="str">
            <v>질산리튬</v>
          </cell>
          <cell r="D41" t="str">
            <v>1류 질산염류</v>
          </cell>
          <cell r="E41" t="str">
            <v>300킬로그램</v>
          </cell>
          <cell r="F41">
            <v>2722</v>
          </cell>
        </row>
        <row r="42">
          <cell r="B42" t="str">
            <v>7778-54-3</v>
          </cell>
          <cell r="C42" t="str">
            <v>차아염소산칼슘</v>
          </cell>
          <cell r="D42" t="str">
            <v>1류 차아염소산염류</v>
          </cell>
          <cell r="E42" t="str">
            <v>50킬로그램</v>
          </cell>
          <cell r="F42">
            <v>1748</v>
          </cell>
        </row>
        <row r="43">
          <cell r="B43" t="str">
            <v>1309-60-6</v>
          </cell>
          <cell r="C43" t="str">
            <v>산화납(Ⅳ)</v>
          </cell>
          <cell r="D43" t="str">
            <v>1류 크롬,납 또는 요오드의 산화물</v>
          </cell>
          <cell r="E43" t="str">
            <v>300킬로그램</v>
          </cell>
          <cell r="F43">
            <v>1872</v>
          </cell>
        </row>
        <row r="44">
          <cell r="B44" t="str">
            <v>1314-41-6</v>
          </cell>
          <cell r="C44" t="str">
            <v>사산화삼납</v>
          </cell>
          <cell r="D44" t="str">
            <v>1류 크롬,납 또는 요오드의 산화물</v>
          </cell>
          <cell r="E44" t="str">
            <v>300킬로그램</v>
          </cell>
          <cell r="F44">
            <v>1479</v>
          </cell>
        </row>
        <row r="45">
          <cell r="B45" t="str">
            <v>1333-82-0</v>
          </cell>
          <cell r="C45" t="str">
            <v>무수크롬산</v>
          </cell>
          <cell r="D45" t="str">
            <v>1류 크롬,납 또는 요오드의 산화물</v>
          </cell>
          <cell r="E45" t="str">
            <v>300킬로그램</v>
          </cell>
          <cell r="F45">
            <v>1463</v>
          </cell>
        </row>
        <row r="46">
          <cell r="B46" t="str">
            <v>7632-04-4</v>
          </cell>
          <cell r="C46" t="str">
            <v>과붕산 나트륨</v>
          </cell>
          <cell r="D46" t="str">
            <v>1류 퍼옥소붕산염류</v>
          </cell>
          <cell r="E46" t="str">
            <v>300킬로그램</v>
          </cell>
          <cell r="F46">
            <v>3247</v>
          </cell>
        </row>
        <row r="47">
          <cell r="B47" t="str">
            <v>7727-21-1</v>
          </cell>
          <cell r="C47" t="str">
            <v>과황산칼륨</v>
          </cell>
          <cell r="D47" t="str">
            <v>1류 퍼옥소이황산염류</v>
          </cell>
          <cell r="E47" t="str">
            <v>300킬로그램</v>
          </cell>
          <cell r="F47">
            <v>1492</v>
          </cell>
        </row>
        <row r="48">
          <cell r="B48" t="str">
            <v>7727-54-0</v>
          </cell>
          <cell r="C48" t="str">
            <v>과황산암모늄</v>
          </cell>
          <cell r="D48" t="str">
            <v>1류 퍼옥소이황산염류</v>
          </cell>
          <cell r="E48" t="str">
            <v>300킬로그램</v>
          </cell>
          <cell r="F48">
            <v>1444</v>
          </cell>
        </row>
        <row r="49">
          <cell r="B49" t="str">
            <v>7775-27-1</v>
          </cell>
          <cell r="C49" t="str">
            <v>과황산나트륨</v>
          </cell>
          <cell r="D49" t="str">
            <v>1류 퍼옥소이황산염류</v>
          </cell>
          <cell r="E49" t="str">
            <v>300킬로그램</v>
          </cell>
          <cell r="F49">
            <v>1505</v>
          </cell>
        </row>
        <row r="50">
          <cell r="B50" t="str">
            <v>13494-80-9</v>
          </cell>
          <cell r="C50" t="str">
            <v>텔루르</v>
          </cell>
          <cell r="D50" t="str">
            <v>2류 금속분</v>
          </cell>
          <cell r="E50" t="str">
            <v>500킬로그램</v>
          </cell>
          <cell r="F50">
            <v>3288</v>
          </cell>
        </row>
        <row r="51">
          <cell r="B51" t="str">
            <v>7400-36-0</v>
          </cell>
          <cell r="C51" t="str">
            <v>안티몬분</v>
          </cell>
          <cell r="D51" t="str">
            <v>2류 금속분</v>
          </cell>
          <cell r="E51" t="str">
            <v>500킬로그램</v>
          </cell>
          <cell r="F51">
            <v>2871</v>
          </cell>
        </row>
        <row r="52">
          <cell r="B52" t="str">
            <v>7440-21-3</v>
          </cell>
          <cell r="C52" t="str">
            <v>실리콘 분</v>
          </cell>
          <cell r="D52" t="str">
            <v>2류 금속분</v>
          </cell>
          <cell r="E52" t="str">
            <v>500킬로그램</v>
          </cell>
          <cell r="F52">
            <v>1346</v>
          </cell>
        </row>
        <row r="53">
          <cell r="B53" t="str">
            <v>7440-31-5</v>
          </cell>
          <cell r="C53" t="str">
            <v>주석분</v>
          </cell>
          <cell r="D53" t="str">
            <v>2류 금속분</v>
          </cell>
          <cell r="E53" t="str">
            <v>500킬로그램</v>
          </cell>
          <cell r="F53" t="str">
            <v/>
          </cell>
        </row>
        <row r="54">
          <cell r="B54" t="str">
            <v>7440-32-6</v>
          </cell>
          <cell r="C54" t="str">
            <v>티타늄</v>
          </cell>
          <cell r="D54" t="str">
            <v>2류 금속분</v>
          </cell>
          <cell r="E54" t="str">
            <v>500킬로그램</v>
          </cell>
          <cell r="F54">
            <v>1352</v>
          </cell>
        </row>
        <row r="55">
          <cell r="B55" t="str">
            <v>7440-33-7</v>
          </cell>
          <cell r="C55" t="str">
            <v>텅스텐</v>
          </cell>
          <cell r="D55" t="str">
            <v>2류 금속분</v>
          </cell>
          <cell r="E55" t="str">
            <v>500킬로그램</v>
          </cell>
          <cell r="F55" t="str">
            <v/>
          </cell>
        </row>
        <row r="56">
          <cell r="B56" t="str">
            <v>7440-43-9</v>
          </cell>
          <cell r="C56" t="str">
            <v>카드뮴분</v>
          </cell>
          <cell r="D56" t="str">
            <v>2류 금속분</v>
          </cell>
          <cell r="E56" t="str">
            <v>500킬로그램</v>
          </cell>
          <cell r="F56">
            <v>1383</v>
          </cell>
        </row>
        <row r="57">
          <cell r="B57" t="str">
            <v>7440-58-6</v>
          </cell>
          <cell r="C57" t="str">
            <v>하프늄분</v>
          </cell>
          <cell r="D57" t="str">
            <v>2류 금속분</v>
          </cell>
          <cell r="E57" t="str">
            <v>500킬로그램</v>
          </cell>
          <cell r="F57">
            <v>2545</v>
          </cell>
        </row>
        <row r="58">
          <cell r="B58" t="str">
            <v>7440-66-6</v>
          </cell>
          <cell r="C58" t="str">
            <v>아연분</v>
          </cell>
          <cell r="D58" t="str">
            <v>2류 금속분</v>
          </cell>
          <cell r="E58" t="str">
            <v>500킬로그램</v>
          </cell>
          <cell r="F58">
            <v>1436</v>
          </cell>
        </row>
        <row r="59">
          <cell r="B59" t="str">
            <v>7440-67-7</v>
          </cell>
          <cell r="C59" t="str">
            <v>지르콘늄분</v>
          </cell>
          <cell r="D59" t="str">
            <v>2류 금속분</v>
          </cell>
          <cell r="E59" t="str">
            <v>500킬로그램</v>
          </cell>
          <cell r="F59">
            <v>2008</v>
          </cell>
        </row>
        <row r="60">
          <cell r="B60" t="str">
            <v>7440-75-5</v>
          </cell>
          <cell r="C60" t="str">
            <v>금분</v>
          </cell>
          <cell r="D60" t="str">
            <v>2류 금속분</v>
          </cell>
          <cell r="E60" t="str">
            <v>500킬로그램</v>
          </cell>
          <cell r="F60" t="str">
            <v/>
          </cell>
        </row>
        <row r="61">
          <cell r="B61" t="str">
            <v>7740-74-6</v>
          </cell>
          <cell r="C61" t="str">
            <v>인듐분</v>
          </cell>
          <cell r="D61" t="str">
            <v>2류 금속분</v>
          </cell>
          <cell r="E61" t="str">
            <v>500킬로그램</v>
          </cell>
          <cell r="F61">
            <v>3089</v>
          </cell>
        </row>
        <row r="62">
          <cell r="B62" t="str">
            <v>7439-95-4</v>
          </cell>
          <cell r="C62" t="str">
            <v>마그네슘</v>
          </cell>
          <cell r="D62" t="str">
            <v>2류 마그네슘</v>
          </cell>
          <cell r="E62" t="str">
            <v>500킬로그램</v>
          </cell>
          <cell r="F62">
            <v>1869</v>
          </cell>
        </row>
        <row r="63">
          <cell r="B63" t="str">
            <v>7704-34-9</v>
          </cell>
          <cell r="C63" t="str">
            <v>유황</v>
          </cell>
          <cell r="D63" t="str">
            <v>2류 유황</v>
          </cell>
          <cell r="E63" t="str">
            <v>100킬로그램</v>
          </cell>
          <cell r="F63">
            <v>1350</v>
          </cell>
        </row>
        <row r="64">
          <cell r="B64" t="str">
            <v>2414-98-4</v>
          </cell>
          <cell r="C64" t="str">
            <v>마그네슘에틸레이트</v>
          </cell>
          <cell r="D64" t="str">
            <v>2류 인화성고체</v>
          </cell>
          <cell r="E64" t="str">
            <v>1000킬로그램</v>
          </cell>
          <cell r="F64">
            <v>3205</v>
          </cell>
        </row>
        <row r="65">
          <cell r="B65" t="str">
            <v>29858-07-9</v>
          </cell>
          <cell r="C65" t="str">
            <v>에틸마그네슘브로마이드</v>
          </cell>
          <cell r="D65" t="str">
            <v>2류 인화성고체</v>
          </cell>
          <cell r="E65" t="str">
            <v>1000킬로그램</v>
          </cell>
          <cell r="F65">
            <v>1325</v>
          </cell>
        </row>
        <row r="66">
          <cell r="B66" t="str">
            <v>498-66-8</v>
          </cell>
          <cell r="C66" t="str">
            <v>노보넨모노머</v>
          </cell>
          <cell r="D66" t="str">
            <v>2류 인화성고체</v>
          </cell>
          <cell r="E66" t="str">
            <v>1000킬로그램</v>
          </cell>
          <cell r="F66">
            <v>1325</v>
          </cell>
        </row>
        <row r="67">
          <cell r="B67" t="str">
            <v>5128-29-0</v>
          </cell>
          <cell r="C67" t="str">
            <v>테트라키스스테아릴옥시티탄</v>
          </cell>
          <cell r="D67" t="str">
            <v>2류 인화성고체</v>
          </cell>
          <cell r="E67" t="str">
            <v>1000킬로그램</v>
          </cell>
          <cell r="F67">
            <v>1325</v>
          </cell>
        </row>
        <row r="68">
          <cell r="B68" t="str">
            <v>555-31-7</v>
          </cell>
          <cell r="C68" t="str">
            <v>알루미늄 이소프로폭사이드</v>
          </cell>
          <cell r="D68" t="str">
            <v>2류 인화성고체</v>
          </cell>
          <cell r="E68" t="str">
            <v>1000킬로그램</v>
          </cell>
          <cell r="F68">
            <v>3181</v>
          </cell>
        </row>
        <row r="69">
          <cell r="B69" t="str">
            <v>555-75-9</v>
          </cell>
          <cell r="C69" t="str">
            <v>알루미늄에틸레이트</v>
          </cell>
          <cell r="D69" t="str">
            <v>2류 인화성고체</v>
          </cell>
          <cell r="E69" t="str">
            <v>1000킬로그램</v>
          </cell>
          <cell r="F69">
            <v>1325</v>
          </cell>
        </row>
        <row r="70">
          <cell r="B70" t="str">
            <v>594-82-1</v>
          </cell>
          <cell r="C70" t="str">
            <v>2,2,3,3-사메틸 부탄</v>
          </cell>
          <cell r="D70" t="str">
            <v>2류 인화성고체</v>
          </cell>
          <cell r="E70" t="str">
            <v>1000킬로그램</v>
          </cell>
          <cell r="F70">
            <v>1325</v>
          </cell>
        </row>
        <row r="71">
          <cell r="B71" t="str">
            <v>75-22-9</v>
          </cell>
          <cell r="C71" t="str">
            <v>트리메틸아민보란</v>
          </cell>
          <cell r="D71" t="str">
            <v>2류 인화성고체</v>
          </cell>
          <cell r="E71" t="str">
            <v>1000킬로그램</v>
          </cell>
          <cell r="F71">
            <v>1325</v>
          </cell>
        </row>
        <row r="72">
          <cell r="B72" t="str">
            <v>992-92-7</v>
          </cell>
          <cell r="C72" t="str">
            <v>테트라메톡시티탄</v>
          </cell>
          <cell r="D72" t="str">
            <v>2류 인화성고체</v>
          </cell>
          <cell r="E72" t="str">
            <v>1000킬로그램</v>
          </cell>
          <cell r="F72">
            <v>1325</v>
          </cell>
        </row>
        <row r="73">
          <cell r="B73" t="str">
            <v>7723-14-0</v>
          </cell>
          <cell r="C73" t="str">
            <v>적린</v>
          </cell>
          <cell r="D73" t="str">
            <v>2류 적린</v>
          </cell>
          <cell r="E73" t="str">
            <v>100킬로그램</v>
          </cell>
          <cell r="F73">
            <v>1338</v>
          </cell>
        </row>
        <row r="74">
          <cell r="B74" t="str">
            <v>12037-82-0</v>
          </cell>
          <cell r="C74" t="str">
            <v>칠사황화린</v>
          </cell>
          <cell r="D74" t="str">
            <v>2류 황화린</v>
          </cell>
          <cell r="E74" t="str">
            <v>100킬로그램</v>
          </cell>
          <cell r="F74">
            <v>1339</v>
          </cell>
        </row>
        <row r="75">
          <cell r="B75" t="str">
            <v>12165-69-4</v>
          </cell>
          <cell r="C75" t="str">
            <v>삼이황화인</v>
          </cell>
          <cell r="D75" t="str">
            <v>2류 황화린</v>
          </cell>
          <cell r="E75" t="str">
            <v>100킬로그램</v>
          </cell>
          <cell r="F75">
            <v>1343</v>
          </cell>
        </row>
        <row r="76">
          <cell r="B76" t="str">
            <v>1314-80-3</v>
          </cell>
          <cell r="C76" t="str">
            <v>삼황화사인</v>
          </cell>
          <cell r="D76" t="str">
            <v>2류 황화린</v>
          </cell>
          <cell r="E76" t="str">
            <v>100킬로그램</v>
          </cell>
          <cell r="F76">
            <v>1341</v>
          </cell>
        </row>
        <row r="77">
          <cell r="B77" t="str">
            <v>13762-51-1</v>
          </cell>
          <cell r="C77" t="str">
            <v>칼륨보로하이드라이드</v>
          </cell>
          <cell r="D77" t="str">
            <v>3류 금속의 수소화물</v>
          </cell>
          <cell r="E77" t="str">
            <v>300킬로그램</v>
          </cell>
          <cell r="F77">
            <v>1870</v>
          </cell>
        </row>
        <row r="78">
          <cell r="B78" t="str">
            <v>13770-96-2</v>
          </cell>
          <cell r="C78" t="str">
            <v>수소화알루미늄 나트륨</v>
          </cell>
          <cell r="D78" t="str">
            <v>3류 금속의 수소화물</v>
          </cell>
          <cell r="E78" t="str">
            <v>300킬로그램</v>
          </cell>
          <cell r="F78">
            <v>2835</v>
          </cell>
        </row>
        <row r="79">
          <cell r="B79" t="str">
            <v>16853-85-3</v>
          </cell>
          <cell r="C79" t="str">
            <v>수소화알루미늄리튬</v>
          </cell>
          <cell r="D79" t="str">
            <v>3류 금속의 수소화물</v>
          </cell>
          <cell r="E79" t="str">
            <v>300킬로그램</v>
          </cell>
          <cell r="F79">
            <v>1400</v>
          </cell>
        </row>
        <row r="80">
          <cell r="B80" t="str">
            <v>16940-66-2</v>
          </cell>
          <cell r="C80" t="str">
            <v>나트륨보로하이드라이드</v>
          </cell>
          <cell r="D80" t="str">
            <v>3류 금속의 수소화물</v>
          </cell>
          <cell r="E80" t="str">
            <v>300킬로그램</v>
          </cell>
          <cell r="F80">
            <v>1426</v>
          </cell>
        </row>
        <row r="81">
          <cell r="B81" t="str">
            <v>17702-41-9</v>
          </cell>
          <cell r="C81" t="str">
            <v>데카보란</v>
          </cell>
          <cell r="D81" t="str">
            <v>3류 금속의 수소화물</v>
          </cell>
          <cell r="E81" t="str">
            <v>300킬로그램</v>
          </cell>
          <cell r="F81">
            <v>1868</v>
          </cell>
        </row>
        <row r="82">
          <cell r="B82" t="str">
            <v>22722-98-1</v>
          </cell>
          <cell r="C82" t="str">
            <v>나트륨수소화비스(메톡시에톡시)알루미늄</v>
          </cell>
          <cell r="D82" t="str">
            <v>3류 금속의 수소화물</v>
          </cell>
          <cell r="E82" t="str">
            <v>300킬로그램</v>
          </cell>
          <cell r="F82">
            <v>1409</v>
          </cell>
        </row>
        <row r="83">
          <cell r="B83" t="str">
            <v>7580-67-8</v>
          </cell>
          <cell r="C83" t="str">
            <v>수소화리튬</v>
          </cell>
          <cell r="D83" t="str">
            <v>3류 금속의 수소화물</v>
          </cell>
          <cell r="E83" t="str">
            <v>300킬로그램</v>
          </cell>
          <cell r="F83">
            <v>1414</v>
          </cell>
        </row>
        <row r="84">
          <cell r="B84" t="str">
            <v>7646-69-7</v>
          </cell>
          <cell r="C84" t="str">
            <v>수소화나트륨</v>
          </cell>
          <cell r="D84" t="str">
            <v>3류 금속의 수소화물</v>
          </cell>
          <cell r="E84" t="str">
            <v>300킬로그램</v>
          </cell>
          <cell r="F84">
            <v>1427</v>
          </cell>
        </row>
        <row r="85">
          <cell r="B85" t="str">
            <v>7693-26-7</v>
          </cell>
          <cell r="C85" t="str">
            <v>수소화칼륨</v>
          </cell>
          <cell r="D85" t="str">
            <v>3류 금속의 수소화물</v>
          </cell>
          <cell r="E85" t="str">
            <v>300킬로그램</v>
          </cell>
          <cell r="F85">
            <v>1409</v>
          </cell>
        </row>
        <row r="86">
          <cell r="B86" t="str">
            <v>7693-27-8</v>
          </cell>
          <cell r="C86" t="str">
            <v>수소화마그네슘</v>
          </cell>
          <cell r="D86" t="str">
            <v>3류 금속의 수소화물</v>
          </cell>
          <cell r="E86" t="str">
            <v>300킬로그램</v>
          </cell>
          <cell r="F86">
            <v>2010</v>
          </cell>
        </row>
        <row r="87">
          <cell r="B87" t="str">
            <v>7704-98-5</v>
          </cell>
          <cell r="C87" t="str">
            <v>수소화 티타늄</v>
          </cell>
          <cell r="D87" t="str">
            <v>3류 금속의 수소화물</v>
          </cell>
          <cell r="E87" t="str">
            <v>300킬로그램</v>
          </cell>
          <cell r="F87">
            <v>1871</v>
          </cell>
        </row>
        <row r="88">
          <cell r="B88" t="str">
            <v>7704-99-6</v>
          </cell>
          <cell r="C88" t="str">
            <v>수소화 지르코늄</v>
          </cell>
          <cell r="D88" t="str">
            <v>3류 금속의 수소화물</v>
          </cell>
          <cell r="E88" t="str">
            <v>300킬로그램</v>
          </cell>
          <cell r="F88">
            <v>1437</v>
          </cell>
        </row>
        <row r="89">
          <cell r="B89" t="str">
            <v>7783-29-1</v>
          </cell>
          <cell r="C89" t="str">
            <v>테트라실란</v>
          </cell>
          <cell r="D89" t="str">
            <v>3류 금속의 수소화물</v>
          </cell>
          <cell r="E89" t="str">
            <v>300킬로그램</v>
          </cell>
          <cell r="F89">
            <v>3194</v>
          </cell>
        </row>
        <row r="90">
          <cell r="B90" t="str">
            <v>7789-78-8</v>
          </cell>
          <cell r="C90" t="str">
            <v>수소화칼슘</v>
          </cell>
          <cell r="D90" t="str">
            <v>3류 금속의 수소화물</v>
          </cell>
          <cell r="E90" t="str">
            <v>300킬로그램</v>
          </cell>
          <cell r="F90">
            <v>1404</v>
          </cell>
        </row>
        <row r="91">
          <cell r="B91" t="str">
            <v>1305-99-3</v>
          </cell>
          <cell r="C91" t="str">
            <v>인화칼슘</v>
          </cell>
          <cell r="D91" t="str">
            <v>3류 금속의 인화물</v>
          </cell>
          <cell r="E91" t="str">
            <v>300킬로그램</v>
          </cell>
          <cell r="F91">
            <v>1360</v>
          </cell>
        </row>
        <row r="92">
          <cell r="B92" t="str">
            <v>1314-84-7</v>
          </cell>
          <cell r="C92" t="str">
            <v>인화아연</v>
          </cell>
          <cell r="D92" t="str">
            <v>3류 금속의 인화물</v>
          </cell>
          <cell r="E92" t="str">
            <v>300킬로그램</v>
          </cell>
          <cell r="F92">
            <v>1714</v>
          </cell>
        </row>
        <row r="93">
          <cell r="B93" t="str">
            <v>20859-73-8</v>
          </cell>
          <cell r="C93" t="str">
            <v>인화알루미늄</v>
          </cell>
          <cell r="D93" t="str">
            <v>3류 금속의 인화물</v>
          </cell>
          <cell r="E93" t="str">
            <v>300킬로그램</v>
          </cell>
          <cell r="F93">
            <v>1397</v>
          </cell>
        </row>
        <row r="94">
          <cell r="B94" t="str">
            <v>7440-23-5</v>
          </cell>
          <cell r="C94" t="str">
            <v>나트륨</v>
          </cell>
          <cell r="D94" t="str">
            <v>3류 나트륨</v>
          </cell>
          <cell r="E94" t="str">
            <v>10킬로그램</v>
          </cell>
          <cell r="F94">
            <v>1429</v>
          </cell>
        </row>
        <row r="95">
          <cell r="B95" t="str">
            <v>7439-93-2</v>
          </cell>
          <cell r="C95" t="str">
            <v>리튬</v>
          </cell>
          <cell r="D95" t="str">
            <v>3류 알칼리금속(칼륨 및 나트륨을 제외) 및 알칼리토 금속</v>
          </cell>
          <cell r="E95" t="str">
            <v>50킬로그램</v>
          </cell>
          <cell r="F95">
            <v>1415</v>
          </cell>
        </row>
        <row r="96">
          <cell r="B96" t="str">
            <v>7440-17-7</v>
          </cell>
          <cell r="C96" t="str">
            <v>루비듐</v>
          </cell>
          <cell r="D96" t="str">
            <v>3류 알칼리금속(칼륨 및 나트륨을 제외) 및 알칼리토 금속</v>
          </cell>
          <cell r="E96" t="str">
            <v>50킬로그램</v>
          </cell>
          <cell r="F96">
            <v>1423</v>
          </cell>
        </row>
        <row r="97">
          <cell r="B97" t="str">
            <v>7440-24-6</v>
          </cell>
          <cell r="C97" t="str">
            <v>스트론튬</v>
          </cell>
          <cell r="D97" t="str">
            <v>3류 알칼리금속(칼륨 및 나트륨을 제외) 및 알칼리토 금속</v>
          </cell>
          <cell r="E97" t="str">
            <v>50킬로그램</v>
          </cell>
          <cell r="F97">
            <v>3208</v>
          </cell>
        </row>
        <row r="98">
          <cell r="B98" t="str">
            <v>7440-39-3</v>
          </cell>
          <cell r="C98" t="str">
            <v>바륨</v>
          </cell>
          <cell r="D98" t="str">
            <v>3류 알칼리금속(칼륨 및 나트륨을 제외) 및 알칼리토 금속</v>
          </cell>
          <cell r="E98" t="str">
            <v>50킬로그램</v>
          </cell>
          <cell r="F98">
            <v>1400</v>
          </cell>
        </row>
        <row r="99">
          <cell r="B99" t="str">
            <v>7440-46-2</v>
          </cell>
          <cell r="C99" t="str">
            <v>세슘</v>
          </cell>
          <cell r="D99" t="str">
            <v>3류 알칼리금속(칼륨 및 나트륨을 제외) 및 알칼리토 금속</v>
          </cell>
          <cell r="E99" t="str">
            <v>50킬로그램</v>
          </cell>
          <cell r="F99">
            <v>1407</v>
          </cell>
        </row>
        <row r="100">
          <cell r="B100" t="str">
            <v>7440-70-2</v>
          </cell>
          <cell r="C100" t="str">
            <v>칼슘</v>
          </cell>
          <cell r="D100" t="str">
            <v>3류 알칼리금속(칼륨 및 나트륨을 제외) 및 알칼리토 금속</v>
          </cell>
          <cell r="E100" t="str">
            <v>50킬로그램</v>
          </cell>
          <cell r="F100">
            <v>1401</v>
          </cell>
        </row>
        <row r="101">
          <cell r="B101" t="str">
            <v>109-72-8</v>
          </cell>
          <cell r="C101" t="str">
            <v>부틸리튬</v>
          </cell>
          <cell r="D101" t="str">
            <v>3류 알킬리튬</v>
          </cell>
          <cell r="E101" t="str">
            <v>10킬로그램</v>
          </cell>
          <cell r="F101">
            <v>3394</v>
          </cell>
        </row>
        <row r="102">
          <cell r="B102" t="str">
            <v>594-19-4</v>
          </cell>
          <cell r="C102" t="str">
            <v>tert-부틸리튬</v>
          </cell>
          <cell r="D102" t="str">
            <v>3류 알킬리튬</v>
          </cell>
          <cell r="E102" t="str">
            <v>10킬로그램</v>
          </cell>
          <cell r="F102">
            <v>3394</v>
          </cell>
        </row>
        <row r="103">
          <cell r="B103" t="str">
            <v>100-99-2</v>
          </cell>
          <cell r="C103" t="str">
            <v>트리이소부틸알루미늄</v>
          </cell>
          <cell r="D103" t="str">
            <v>3류 알킬알루미늄</v>
          </cell>
          <cell r="E103" t="str">
            <v>10킬로그램</v>
          </cell>
          <cell r="F103">
            <v>3394</v>
          </cell>
        </row>
        <row r="104">
          <cell r="B104" t="str">
            <v>1070-00-4</v>
          </cell>
          <cell r="C104" t="str">
            <v>트리-노르말-옥틸알루미늄</v>
          </cell>
          <cell r="D104" t="str">
            <v>3류 알킬알루미늄</v>
          </cell>
          <cell r="E104" t="str">
            <v>10킬로그램</v>
          </cell>
          <cell r="F104">
            <v>2924</v>
          </cell>
        </row>
        <row r="105">
          <cell r="B105" t="str">
            <v>1116-73-0</v>
          </cell>
          <cell r="C105" t="str">
            <v>트리-노르말-헥실알루미늄</v>
          </cell>
          <cell r="D105" t="str">
            <v>3류 알킬알루미늄</v>
          </cell>
          <cell r="E105" t="str">
            <v>10킬로그램</v>
          </cell>
          <cell r="F105">
            <v>3051</v>
          </cell>
        </row>
        <row r="106">
          <cell r="B106" t="str">
            <v>1191-15-7</v>
          </cell>
          <cell r="C106" t="str">
            <v>디이소부틸알루미늄하이드라이드</v>
          </cell>
          <cell r="D106" t="str">
            <v>3류 알킬알루미늄</v>
          </cell>
          <cell r="E106" t="str">
            <v>10킬로그램</v>
          </cell>
          <cell r="F106">
            <v>3394</v>
          </cell>
        </row>
        <row r="107">
          <cell r="B107" t="str">
            <v>12075-68-2</v>
          </cell>
          <cell r="C107" t="str">
            <v>에틸알미늄세스키클로라이드</v>
          </cell>
          <cell r="D107" t="str">
            <v>3류 알킬알루미늄</v>
          </cell>
          <cell r="E107" t="str">
            <v>10킬로그램</v>
          </cell>
          <cell r="F107">
            <v>3394</v>
          </cell>
        </row>
        <row r="108">
          <cell r="B108" t="str">
            <v>563-43-9</v>
          </cell>
          <cell r="C108" t="str">
            <v>에틸알루미늄디클로라이드</v>
          </cell>
          <cell r="D108" t="str">
            <v>3류 알킬알루미늄</v>
          </cell>
          <cell r="E108" t="str">
            <v>10킬로그램</v>
          </cell>
          <cell r="F108">
            <v>3393</v>
          </cell>
        </row>
        <row r="109">
          <cell r="B109" t="str">
            <v>75-24-1</v>
          </cell>
          <cell r="C109" t="str">
            <v>트리메틸알루미늄</v>
          </cell>
          <cell r="D109" t="str">
            <v>3류 알킬알루미늄</v>
          </cell>
          <cell r="E109" t="str">
            <v>10킬로그램</v>
          </cell>
          <cell r="F109">
            <v>3394</v>
          </cell>
        </row>
        <row r="110">
          <cell r="B110" t="str">
            <v>92275-85-9</v>
          </cell>
          <cell r="C110" t="str">
            <v>트리메틸아민알란보란</v>
          </cell>
          <cell r="D110" t="str">
            <v>3류 알킬알루미늄</v>
          </cell>
          <cell r="E110" t="str">
            <v>10킬로그램</v>
          </cell>
          <cell r="F110">
            <v>3394</v>
          </cell>
        </row>
        <row r="111">
          <cell r="B111" t="str">
            <v>96-10-6</v>
          </cell>
          <cell r="C111" t="str">
            <v>디에틸알루미늄클로라이드</v>
          </cell>
          <cell r="D111" t="str">
            <v>3류 알킬알루미늄</v>
          </cell>
          <cell r="E111" t="str">
            <v>10킬로그램</v>
          </cell>
          <cell r="F111">
            <v>3394</v>
          </cell>
        </row>
        <row r="112">
          <cell r="B112" t="str">
            <v>97-93-8</v>
          </cell>
          <cell r="C112" t="str">
            <v>트리에틸알루미늄</v>
          </cell>
          <cell r="D112" t="str">
            <v>3류 알킬알루미늄</v>
          </cell>
          <cell r="E112" t="str">
            <v>10킬로그램</v>
          </cell>
          <cell r="F112">
            <v>3394</v>
          </cell>
        </row>
        <row r="113">
          <cell r="B113" t="str">
            <v>10025-78-2</v>
          </cell>
          <cell r="C113" t="str">
            <v>트리클로르실란</v>
          </cell>
          <cell r="D113" t="str">
            <v>3류 염소화규소화합물</v>
          </cell>
          <cell r="E113" t="str">
            <v>300킬로그램</v>
          </cell>
          <cell r="F113">
            <v>1295</v>
          </cell>
        </row>
        <row r="114">
          <cell r="B114" t="str">
            <v>100-59-4</v>
          </cell>
          <cell r="C114" t="str">
            <v>페닐마그네슘클로라드</v>
          </cell>
          <cell r="D114" t="str">
            <v>3류 유기금속화합물(알킬알루미늄 및 알킬리튬을 제외)</v>
          </cell>
          <cell r="E114" t="str">
            <v>50킬로그램</v>
          </cell>
          <cell r="F114">
            <v>2924</v>
          </cell>
        </row>
        <row r="115">
          <cell r="B115" t="str">
            <v>1066-26-8</v>
          </cell>
          <cell r="C115" t="str">
            <v>아세틸화나트륨</v>
          </cell>
          <cell r="D115" t="str">
            <v>3류 유기금속화합물(알킬알루미늄 및 알킬리튬을 제외)</v>
          </cell>
          <cell r="E115" t="str">
            <v>50킬로그램</v>
          </cell>
          <cell r="F115">
            <v>3399</v>
          </cell>
        </row>
        <row r="116">
          <cell r="B116" t="str">
            <v>1066-35-9</v>
          </cell>
          <cell r="C116" t="str">
            <v>디메틸클로로실란</v>
          </cell>
          <cell r="D116" t="str">
            <v>3류 유기금속화합물(알킬알루미늄 및 알킬리튬을 제외)</v>
          </cell>
          <cell r="E116" t="str">
            <v>50킬로그램</v>
          </cell>
          <cell r="F116">
            <v>2988</v>
          </cell>
        </row>
        <row r="117">
          <cell r="B117" t="str">
            <v>1115-99-7</v>
          </cell>
          <cell r="C117" t="str">
            <v>트리에틸갈륨</v>
          </cell>
          <cell r="D117" t="str">
            <v>3류 유기금속화합물(알킬알루미늄 및 알킬리튬을 제외)</v>
          </cell>
          <cell r="E117" t="str">
            <v>50킬로그램</v>
          </cell>
          <cell r="F117">
            <v>2003</v>
          </cell>
        </row>
        <row r="118">
          <cell r="B118" t="str">
            <v>122-56-5</v>
          </cell>
          <cell r="C118" t="str">
            <v>트리부틸보란</v>
          </cell>
          <cell r="D118" t="str">
            <v>3류 유기금속화합물(알킬알루미늄 및 알킬리튬을 제외)</v>
          </cell>
          <cell r="E118" t="str">
            <v>50킬로그램</v>
          </cell>
          <cell r="F118">
            <v>2003</v>
          </cell>
        </row>
        <row r="119">
          <cell r="B119" t="str">
            <v>124-41-4</v>
          </cell>
          <cell r="C119" t="str">
            <v>소디움메틸레이트</v>
          </cell>
          <cell r="D119" t="str">
            <v>3류 유기금속화합물(알킬알루미늄 및 알킬리튬을 제외)</v>
          </cell>
          <cell r="E119" t="str">
            <v>50킬로그램</v>
          </cell>
          <cell r="F119">
            <v>1431</v>
          </cell>
        </row>
        <row r="120">
          <cell r="B120" t="str">
            <v>1284-72-6</v>
          </cell>
          <cell r="C120" t="str">
            <v>비스(시클로펜탄다에닐)마그네슘(II)</v>
          </cell>
          <cell r="D120" t="str">
            <v>3류 유기금속화합물(알킬알루미늄 및 알킬리튬을 제외)</v>
          </cell>
          <cell r="E120" t="str">
            <v>50킬로그램</v>
          </cell>
          <cell r="F120">
            <v>3393</v>
          </cell>
        </row>
        <row r="121">
          <cell r="B121" t="str">
            <v>1445-79-0</v>
          </cell>
          <cell r="C121" t="str">
            <v>트리메틸갈륨</v>
          </cell>
          <cell r="D121" t="str">
            <v>3류 유기금속화합물(알킬알루미늄 및 알킬리튬을 제외)</v>
          </cell>
          <cell r="E121" t="str">
            <v>50킬로그램</v>
          </cell>
          <cell r="F121">
            <v>2003</v>
          </cell>
        </row>
        <row r="122">
          <cell r="B122" t="str">
            <v>19824-59-0</v>
          </cell>
          <cell r="C122" t="str">
            <v>펜타키스(디메틸아미노)탄탈륨(V)</v>
          </cell>
          <cell r="D122" t="str">
            <v>3류 유기금속화합물(알킬알루미늄 및 알킬리튬을 제외)</v>
          </cell>
          <cell r="E122" t="str">
            <v>50킬로그램</v>
          </cell>
          <cell r="F122">
            <v>3131</v>
          </cell>
        </row>
        <row r="123">
          <cell r="B123" t="str">
            <v>22560-16-3</v>
          </cell>
          <cell r="C123" t="str">
            <v>리튬트리에틸보로하이드라이드용액</v>
          </cell>
          <cell r="D123" t="str">
            <v>3류 유기금속화합물(알킬알루미늄 및 알킬리튬을 제외)</v>
          </cell>
          <cell r="E123" t="str">
            <v>50킬로그램</v>
          </cell>
          <cell r="F123">
            <v>3399</v>
          </cell>
        </row>
        <row r="124">
          <cell r="B124" t="str">
            <v>2386-64-3</v>
          </cell>
          <cell r="C124" t="str">
            <v>에틸마그네슘클로라이드</v>
          </cell>
          <cell r="D124" t="str">
            <v>3류 유기금속화합물(알킬알루미늄 및 알킬리튬을 제외)</v>
          </cell>
          <cell r="E124" t="str">
            <v>50킬로그램</v>
          </cell>
          <cell r="F124">
            <v>3399</v>
          </cell>
        </row>
        <row r="125">
          <cell r="B125" t="str">
            <v>3385-78-2</v>
          </cell>
          <cell r="C125" t="str">
            <v>트리메틸인듐</v>
          </cell>
          <cell r="D125" t="str">
            <v>3류 유기금속화합물(알킬알루미늄 및 알킬리튬을 제외)</v>
          </cell>
          <cell r="E125" t="str">
            <v>50킬로그램</v>
          </cell>
          <cell r="F125">
            <v>2003</v>
          </cell>
        </row>
        <row r="126">
          <cell r="B126" t="str">
            <v>4984-82-1</v>
          </cell>
          <cell r="C126" t="str">
            <v>시클로펜타디에닐화나트륨</v>
          </cell>
          <cell r="D126" t="str">
            <v>3류 유기금속화합물(알킬알루미늄 및 알킬리튬을 제외)</v>
          </cell>
          <cell r="E126" t="str">
            <v>50킬로그램</v>
          </cell>
          <cell r="F126">
            <v>1993</v>
          </cell>
        </row>
        <row r="127">
          <cell r="B127" t="str">
            <v>506-82-1</v>
          </cell>
          <cell r="C127" t="str">
            <v>디메틸카드뮴</v>
          </cell>
          <cell r="D127" t="str">
            <v>3류 유기금속화합물(알킬알루미늄 및 알킬리튬을 제외)</v>
          </cell>
          <cell r="E127" t="str">
            <v>50킬로그램</v>
          </cell>
          <cell r="F127">
            <v>2003</v>
          </cell>
        </row>
        <row r="128">
          <cell r="B128" t="str">
            <v>544-97-8</v>
          </cell>
          <cell r="C128" t="str">
            <v>디메틸아연</v>
          </cell>
          <cell r="D128" t="str">
            <v>3류 유기금속화합물(알킬알루미늄 및 알킬리튬을 제외)</v>
          </cell>
          <cell r="E128" t="str">
            <v>50킬로그램</v>
          </cell>
          <cell r="F128">
            <v>1370</v>
          </cell>
        </row>
        <row r="129">
          <cell r="B129" t="str">
            <v>557-20-0</v>
          </cell>
          <cell r="C129" t="str">
            <v>디에틸아연</v>
          </cell>
          <cell r="D129" t="str">
            <v>3류 유기금속화합물(알킬알루미늄 및 알킬리튬을 제외)</v>
          </cell>
          <cell r="E129" t="str">
            <v>50킬로그램</v>
          </cell>
          <cell r="F129">
            <v>3394</v>
          </cell>
        </row>
        <row r="130">
          <cell r="B130" t="str">
            <v>593-80-6</v>
          </cell>
          <cell r="C130" t="str">
            <v>디메틸텔르륨</v>
          </cell>
          <cell r="D130" t="str">
            <v>3류 유기금속화합물(알킬알루미늄 및 알킬리튬을 제외)</v>
          </cell>
          <cell r="E130" t="str">
            <v>50킬로그램</v>
          </cell>
          <cell r="F130">
            <v>2003</v>
          </cell>
        </row>
        <row r="131">
          <cell r="B131" t="str">
            <v>676-58-4</v>
          </cell>
          <cell r="C131" t="str">
            <v>메틸마그네슘클로라드</v>
          </cell>
          <cell r="D131" t="str">
            <v>3류 유기금속화합물(알킬알루미늄 및 알킬리튬을 제외)</v>
          </cell>
          <cell r="E131" t="str">
            <v>50킬로그램</v>
          </cell>
          <cell r="F131">
            <v>3399</v>
          </cell>
        </row>
        <row r="132">
          <cell r="B132" t="str">
            <v>6917-81-3</v>
          </cell>
          <cell r="C132" t="str">
            <v>디메틸 갈륨 클로라이드</v>
          </cell>
          <cell r="D132" t="str">
            <v>3류 유기금속화합물(알킬알루미늄 및 알킬리튬을 제외)</v>
          </cell>
          <cell r="E132" t="str">
            <v>50킬로그램</v>
          </cell>
          <cell r="F132" t="str">
            <v/>
          </cell>
        </row>
        <row r="133">
          <cell r="B133" t="str">
            <v>75-16-1</v>
          </cell>
          <cell r="C133" t="str">
            <v>메틸마그네슘브로마이드</v>
          </cell>
          <cell r="D133" t="str">
            <v>3류 유기금속화합물(알킬알루미늄 및 알킬리튬을 제외)</v>
          </cell>
          <cell r="E133" t="str">
            <v>50킬로그램</v>
          </cell>
          <cell r="F133">
            <v>1928</v>
          </cell>
        </row>
        <row r="134">
          <cell r="B134" t="str">
            <v>7782-92-5</v>
          </cell>
          <cell r="C134" t="str">
            <v>나트륨아미드</v>
          </cell>
          <cell r="D134" t="str">
            <v>3류 유기금속화합물(알킬알루미늄 및 알킬리튬을 제외)</v>
          </cell>
          <cell r="E134" t="str">
            <v>50킬로그램</v>
          </cell>
          <cell r="F134">
            <v>1390</v>
          </cell>
        </row>
        <row r="135">
          <cell r="B135" t="str">
            <v>865-34-9</v>
          </cell>
          <cell r="C135" t="str">
            <v>리튬메톡사이드</v>
          </cell>
          <cell r="D135" t="str">
            <v>3류 유기금속화합물(알킬알루미늄 및 알킬리튬을 제외)</v>
          </cell>
          <cell r="E135" t="str">
            <v>50킬로그램</v>
          </cell>
          <cell r="F135">
            <v>3206</v>
          </cell>
        </row>
        <row r="136">
          <cell r="B136" t="str">
            <v>865-47-4</v>
          </cell>
          <cell r="C136" t="str">
            <v>포타슘터셔리부톡사이드</v>
          </cell>
          <cell r="D136" t="str">
            <v>3류 유기금속화합물(알킬알루미늄 및 알킬리튬을 제외)</v>
          </cell>
          <cell r="E136" t="str">
            <v>50킬로그램</v>
          </cell>
          <cell r="F136">
            <v>3206</v>
          </cell>
        </row>
        <row r="137">
          <cell r="B137" t="str">
            <v>917-64-6</v>
          </cell>
          <cell r="C137" t="str">
            <v>메틸마그네슘요오다이드</v>
          </cell>
          <cell r="D137" t="str">
            <v>3류 유기금속화합물(알킬알루미늄 및 알킬리튬을 제외)</v>
          </cell>
          <cell r="E137" t="str">
            <v>50킬로그램</v>
          </cell>
          <cell r="F137">
            <v>3399</v>
          </cell>
        </row>
        <row r="138">
          <cell r="B138" t="str">
            <v>923-34-2</v>
          </cell>
          <cell r="C138" t="str">
            <v>트리에틸인듐</v>
          </cell>
          <cell r="D138" t="str">
            <v>3류 유기금속화합물(알킬알루미늄 및 알킬리튬을 제외)</v>
          </cell>
          <cell r="E138" t="str">
            <v>50킬로그램</v>
          </cell>
          <cell r="F138" t="str">
            <v/>
          </cell>
        </row>
        <row r="139">
          <cell r="B139" t="str">
            <v>97-94-9</v>
          </cell>
          <cell r="C139" t="str">
            <v>트리에틸보란</v>
          </cell>
          <cell r="D139" t="str">
            <v>3류 유기금속화합물(알킬알루미늄 및 알킬리튬을 제외)</v>
          </cell>
          <cell r="E139" t="str">
            <v>50킬로그램</v>
          </cell>
          <cell r="F139">
            <v>2003</v>
          </cell>
        </row>
        <row r="140">
          <cell r="B140" t="str">
            <v>7440-09-7</v>
          </cell>
          <cell r="C140" t="str">
            <v>칼륨</v>
          </cell>
          <cell r="D140" t="str">
            <v>3류 칼륨</v>
          </cell>
          <cell r="E140" t="str">
            <v>10킬로그램</v>
          </cell>
          <cell r="F140">
            <v>1420</v>
          </cell>
        </row>
        <row r="141">
          <cell r="B141" t="str">
            <v>1299-86-1</v>
          </cell>
          <cell r="C141" t="str">
            <v>탄화알루미늄</v>
          </cell>
          <cell r="D141" t="str">
            <v>3류 칼슘 또는 알류미늄의 탄화물</v>
          </cell>
          <cell r="E141" t="str">
            <v>300킬로그램</v>
          </cell>
          <cell r="F141">
            <v>1394</v>
          </cell>
        </row>
        <row r="142">
          <cell r="B142" t="str">
            <v>75-20-7</v>
          </cell>
          <cell r="C142" t="str">
            <v>탄화칼슘</v>
          </cell>
          <cell r="D142" t="str">
            <v>3류 칼슘 또는 알류미늄의 탄화물</v>
          </cell>
          <cell r="E142" t="str">
            <v>300킬로그램</v>
          </cell>
          <cell r="F142">
            <v>1402</v>
          </cell>
        </row>
        <row r="143">
          <cell r="B143" t="str">
            <v>8001-25-0</v>
          </cell>
          <cell r="C143" t="str">
            <v>올리브유</v>
          </cell>
          <cell r="D143" t="str">
            <v>4류 동식물유류</v>
          </cell>
          <cell r="E143" t="str">
            <v>10000리터</v>
          </cell>
          <cell r="F143" t="str">
            <v/>
          </cell>
        </row>
        <row r="144">
          <cell r="B144" t="str">
            <v>8001-26-1</v>
          </cell>
          <cell r="C144" t="str">
            <v>아마인유</v>
          </cell>
          <cell r="D144" t="str">
            <v>4류 동식물유류</v>
          </cell>
          <cell r="E144" t="str">
            <v>10000리터</v>
          </cell>
          <cell r="F144" t="str">
            <v/>
          </cell>
        </row>
        <row r="145">
          <cell r="B145" t="str">
            <v>8001-30-7</v>
          </cell>
          <cell r="C145" t="str">
            <v>채종유</v>
          </cell>
          <cell r="D145" t="str">
            <v>4류 동식물유류</v>
          </cell>
          <cell r="E145" t="str">
            <v>10000리터</v>
          </cell>
          <cell r="F145" t="str">
            <v/>
          </cell>
        </row>
        <row r="146">
          <cell r="B146" t="str">
            <v>8001-31-8</v>
          </cell>
          <cell r="C146" t="str">
            <v>야자유</v>
          </cell>
          <cell r="D146" t="str">
            <v>4류 동식물유류</v>
          </cell>
          <cell r="E146" t="str">
            <v>10000리터</v>
          </cell>
          <cell r="F146" t="str">
            <v/>
          </cell>
        </row>
        <row r="147">
          <cell r="B147" t="str">
            <v>8001-79-4</v>
          </cell>
          <cell r="C147" t="str">
            <v>피마자유</v>
          </cell>
          <cell r="D147" t="str">
            <v>4류 동식물유류</v>
          </cell>
          <cell r="E147" t="str">
            <v>10000리터</v>
          </cell>
          <cell r="F147" t="str">
            <v/>
          </cell>
        </row>
        <row r="148">
          <cell r="B148" t="str">
            <v>8006-64-2</v>
          </cell>
          <cell r="C148" t="str">
            <v>테레핀유</v>
          </cell>
          <cell r="D148" t="str">
            <v>4류 동식물유류</v>
          </cell>
          <cell r="E148" t="str">
            <v>10000리터</v>
          </cell>
          <cell r="F148">
            <v>1299</v>
          </cell>
        </row>
        <row r="149">
          <cell r="B149" t="str">
            <v>1455-13-6</v>
          </cell>
          <cell r="C149" t="str">
            <v>메탄올-디(1)</v>
          </cell>
          <cell r="D149" t="str">
            <v>4류 알코올류</v>
          </cell>
          <cell r="E149" t="str">
            <v>400리터</v>
          </cell>
          <cell r="F149">
            <v>1230</v>
          </cell>
        </row>
        <row r="150">
          <cell r="B150" t="str">
            <v>2052-49-5</v>
          </cell>
          <cell r="C150" t="str">
            <v>수산화 테트라-n-부틸암모늄</v>
          </cell>
          <cell r="D150" t="str">
            <v>4류 알코올류</v>
          </cell>
          <cell r="E150" t="str">
            <v>400리터</v>
          </cell>
          <cell r="F150">
            <v>1992</v>
          </cell>
        </row>
        <row r="151">
          <cell r="B151" t="str">
            <v>64-17-5</v>
          </cell>
          <cell r="C151" t="str">
            <v>에틸알코올</v>
          </cell>
          <cell r="D151" t="str">
            <v>4류 알코올류</v>
          </cell>
          <cell r="E151" t="str">
            <v>400리터</v>
          </cell>
          <cell r="F151">
            <v>1170</v>
          </cell>
        </row>
        <row r="152">
          <cell r="B152" t="str">
            <v>67-56-1</v>
          </cell>
          <cell r="C152" t="str">
            <v>메탄올</v>
          </cell>
          <cell r="D152" t="str">
            <v>4류 알코올류</v>
          </cell>
          <cell r="E152" t="str">
            <v>400리터</v>
          </cell>
          <cell r="F152">
            <v>1230</v>
          </cell>
        </row>
        <row r="153">
          <cell r="B153" t="str">
            <v>67-63-0</v>
          </cell>
          <cell r="C153" t="str">
            <v>이소프로필알코올</v>
          </cell>
          <cell r="D153" t="str">
            <v>4류 알코올류</v>
          </cell>
          <cell r="E153" t="str">
            <v>400리터</v>
          </cell>
          <cell r="F153">
            <v>1219</v>
          </cell>
        </row>
        <row r="154">
          <cell r="B154" t="str">
            <v>71-23-8</v>
          </cell>
          <cell r="C154" t="str">
            <v>1-프로판올</v>
          </cell>
          <cell r="D154" t="str">
            <v>4류 알코올류</v>
          </cell>
          <cell r="E154" t="str">
            <v>400리터</v>
          </cell>
          <cell r="F154">
            <v>1274</v>
          </cell>
        </row>
        <row r="155">
          <cell r="B155" t="str">
            <v>126-99-8</v>
          </cell>
          <cell r="C155" t="str">
            <v>클로로프렌</v>
          </cell>
          <cell r="D155" t="str">
            <v>4류 제1석유류</v>
          </cell>
          <cell r="F155">
            <v>1230</v>
          </cell>
        </row>
        <row r="156">
          <cell r="B156" t="str">
            <v>19443-16-4</v>
          </cell>
          <cell r="C156" t="str">
            <v>알루미늄비스에틸아세토아세테이트 모노아...</v>
          </cell>
          <cell r="D156" t="str">
            <v>4류 제1석유류</v>
          </cell>
          <cell r="F156">
            <v>1993</v>
          </cell>
        </row>
        <row r="157">
          <cell r="B157" t="str">
            <v>591-76-4</v>
          </cell>
          <cell r="C157" t="str">
            <v>2-메틸헥산</v>
          </cell>
          <cell r="D157" t="str">
            <v>4류 제1석유류</v>
          </cell>
          <cell r="F157">
            <v>1206</v>
          </cell>
        </row>
        <row r="158">
          <cell r="B158" t="str">
            <v>100-41-4</v>
          </cell>
          <cell r="C158" t="str">
            <v>에틸벤젠</v>
          </cell>
          <cell r="D158" t="str">
            <v>4류 제1석유류(비수용성)</v>
          </cell>
          <cell r="E158" t="str">
            <v>200리터</v>
          </cell>
          <cell r="F158">
            <v>1175</v>
          </cell>
        </row>
        <row r="159">
          <cell r="B159" t="str">
            <v>10152-76-8</v>
          </cell>
          <cell r="C159" t="str">
            <v>알릴메틸설파이드</v>
          </cell>
          <cell r="D159" t="str">
            <v>4류 제1석유류(비수용성)</v>
          </cell>
          <cell r="E159" t="str">
            <v>200리터</v>
          </cell>
          <cell r="F159">
            <v>1993</v>
          </cell>
        </row>
        <row r="160">
          <cell r="B160" t="str">
            <v>10353-53-4</v>
          </cell>
          <cell r="C160" t="str">
            <v>에폭시(1,2-)-5-헥센</v>
          </cell>
          <cell r="D160" t="str">
            <v>4류 제1석유류(비수용성)</v>
          </cell>
          <cell r="E160" t="str">
            <v>200리터</v>
          </cell>
          <cell r="F160">
            <v>3271</v>
          </cell>
        </row>
        <row r="161">
          <cell r="B161" t="str">
            <v>105-37-3</v>
          </cell>
          <cell r="C161" t="str">
            <v>프로피온산에틸</v>
          </cell>
          <cell r="D161" t="str">
            <v>4류 제1석유류(비수용성)</v>
          </cell>
          <cell r="E161" t="str">
            <v>200리터</v>
          </cell>
          <cell r="F161" t="str">
            <v/>
          </cell>
        </row>
        <row r="162">
          <cell r="B162" t="str">
            <v>105-57-7</v>
          </cell>
          <cell r="C162" t="str">
            <v>아세탈</v>
          </cell>
          <cell r="D162" t="str">
            <v>4류 제1석유류(비수용성)</v>
          </cell>
          <cell r="E162" t="str">
            <v>200리터</v>
          </cell>
          <cell r="F162">
            <v>1088</v>
          </cell>
        </row>
        <row r="163">
          <cell r="B163" t="str">
            <v>106-88-7</v>
          </cell>
          <cell r="C163" t="str">
            <v>1,2-부틸렌옥사이드</v>
          </cell>
          <cell r="D163" t="str">
            <v>4류 제1석유류(비수용성)</v>
          </cell>
          <cell r="E163" t="str">
            <v>200리터</v>
          </cell>
          <cell r="F163">
            <v>3022</v>
          </cell>
        </row>
        <row r="164">
          <cell r="B164" t="str">
            <v>106-95-6</v>
          </cell>
          <cell r="C164" t="str">
            <v>브롬화알릴</v>
          </cell>
          <cell r="D164" t="str">
            <v>4류 제1석유류(비수용성)</v>
          </cell>
          <cell r="E164" t="str">
            <v>200리터</v>
          </cell>
          <cell r="F164">
            <v>1099</v>
          </cell>
        </row>
        <row r="165">
          <cell r="B165" t="str">
            <v>106-96-7</v>
          </cell>
          <cell r="C165" t="str">
            <v>프로파길브로마이드</v>
          </cell>
          <cell r="D165" t="str">
            <v>4류 제1석유류(비수용성)</v>
          </cell>
          <cell r="E165" t="str">
            <v>200리터</v>
          </cell>
          <cell r="F165">
            <v>2345</v>
          </cell>
        </row>
        <row r="166">
          <cell r="B166" t="str">
            <v>107-02-8</v>
          </cell>
          <cell r="C166" t="str">
            <v>아크롤레인</v>
          </cell>
          <cell r="D166" t="str">
            <v>4류 제1석유류(비수용성)</v>
          </cell>
          <cell r="E166" t="str">
            <v>200리터</v>
          </cell>
          <cell r="F166">
            <v>1092</v>
          </cell>
        </row>
        <row r="167">
          <cell r="B167" t="str">
            <v>107-03-9</v>
          </cell>
          <cell r="C167" t="str">
            <v>프로필메르캅탄</v>
          </cell>
          <cell r="D167" t="str">
            <v>4류 제1석유류(비수용성)</v>
          </cell>
          <cell r="E167" t="str">
            <v>200리터</v>
          </cell>
          <cell r="F167">
            <v>2402</v>
          </cell>
        </row>
        <row r="168">
          <cell r="B168" t="str">
            <v>107-05-1</v>
          </cell>
          <cell r="C168" t="str">
            <v>알릴클로라이드</v>
          </cell>
          <cell r="D168" t="str">
            <v>4류 제1석유류(비수용성)</v>
          </cell>
          <cell r="E168" t="str">
            <v>200리터</v>
          </cell>
          <cell r="F168">
            <v>1100</v>
          </cell>
        </row>
        <row r="169">
          <cell r="B169" t="str">
            <v>107-06-2</v>
          </cell>
          <cell r="C169" t="str">
            <v>이염화에틸렌</v>
          </cell>
          <cell r="D169" t="str">
            <v>4류 제1석유류(비수용성)</v>
          </cell>
          <cell r="E169" t="str">
            <v>200리터</v>
          </cell>
          <cell r="F169">
            <v>1184</v>
          </cell>
        </row>
        <row r="170">
          <cell r="B170" t="str">
            <v>107-12-0</v>
          </cell>
          <cell r="C170" t="str">
            <v>프로피오니트릴</v>
          </cell>
          <cell r="D170" t="str">
            <v>4류 제1석유류(비수용성)</v>
          </cell>
          <cell r="E170" t="str">
            <v>200리터</v>
          </cell>
          <cell r="F170">
            <v>2404</v>
          </cell>
        </row>
        <row r="171">
          <cell r="B171" t="str">
            <v>107-13-1</v>
          </cell>
          <cell r="C171" t="str">
            <v>아크릴로니트릴</v>
          </cell>
          <cell r="D171" t="str">
            <v>4류 제1석유류(비수용성)</v>
          </cell>
          <cell r="E171" t="str">
            <v>200리터</v>
          </cell>
          <cell r="F171">
            <v>1093</v>
          </cell>
        </row>
        <row r="172">
          <cell r="B172" t="str">
            <v>107-30-2</v>
          </cell>
          <cell r="C172" t="str">
            <v>클로로메틸 메틸 에테르</v>
          </cell>
          <cell r="D172" t="str">
            <v>4류 제1석유류(비수용성)</v>
          </cell>
          <cell r="E172" t="str">
            <v>200리터</v>
          </cell>
          <cell r="F172">
            <v>1239</v>
          </cell>
        </row>
        <row r="173">
          <cell r="B173" t="str">
            <v>107-39-1</v>
          </cell>
          <cell r="C173" t="str">
            <v>2,4,4-트리메틸펜텐-1</v>
          </cell>
          <cell r="D173" t="str">
            <v>4류 제1석유류(비수용성)</v>
          </cell>
          <cell r="E173" t="str">
            <v>200리터</v>
          </cell>
          <cell r="F173">
            <v>2050</v>
          </cell>
        </row>
        <row r="174">
          <cell r="B174" t="str">
            <v>107-40-4</v>
          </cell>
          <cell r="C174" t="str">
            <v>2,4,4-트리메틸펜텐-2</v>
          </cell>
          <cell r="D174" t="str">
            <v>4류 제1석유류(비수용성)</v>
          </cell>
          <cell r="E174" t="str">
            <v>200리터</v>
          </cell>
          <cell r="F174">
            <v>2050</v>
          </cell>
        </row>
        <row r="175">
          <cell r="B175" t="str">
            <v>107-46-0</v>
          </cell>
          <cell r="C175" t="str">
            <v>헥사메틸디실록산</v>
          </cell>
          <cell r="D175" t="str">
            <v>4류 제1석유류(비수용성)</v>
          </cell>
          <cell r="E175" t="str">
            <v>200리터</v>
          </cell>
          <cell r="F175">
            <v>1993</v>
          </cell>
        </row>
        <row r="176">
          <cell r="B176" t="str">
            <v>1076-43-3</v>
          </cell>
          <cell r="C176" t="str">
            <v>벤젠</v>
          </cell>
          <cell r="D176" t="str">
            <v>4류 제1석유류(비수용성)</v>
          </cell>
          <cell r="E176" t="str">
            <v>200리터</v>
          </cell>
          <cell r="F176">
            <v>1114</v>
          </cell>
        </row>
        <row r="177">
          <cell r="B177" t="str">
            <v>107-81-3</v>
          </cell>
          <cell r="C177" t="str">
            <v>2-브로모펜탄</v>
          </cell>
          <cell r="D177" t="str">
            <v>4류 제1석유류(비수용성)</v>
          </cell>
          <cell r="E177" t="str">
            <v>200리터</v>
          </cell>
          <cell r="F177">
            <v>2343</v>
          </cell>
        </row>
        <row r="178">
          <cell r="B178" t="str">
            <v>107-83-5</v>
          </cell>
          <cell r="C178" t="str">
            <v>2-메틸펜탄</v>
          </cell>
          <cell r="D178" t="str">
            <v>4류 제1석유류(비수용성)</v>
          </cell>
          <cell r="E178" t="str">
            <v>200리터</v>
          </cell>
          <cell r="F178">
            <v>1208</v>
          </cell>
        </row>
        <row r="179">
          <cell r="B179" t="str">
            <v>107-84-6</v>
          </cell>
          <cell r="C179" t="str">
            <v>클로로-3-메틸부탄</v>
          </cell>
          <cell r="D179" t="str">
            <v>4류 제1석유류(비수용성)</v>
          </cell>
          <cell r="E179" t="str">
            <v>200리터</v>
          </cell>
          <cell r="F179">
            <v>1107</v>
          </cell>
        </row>
        <row r="180">
          <cell r="B180" t="str">
            <v>107-85-7</v>
          </cell>
          <cell r="C180" t="str">
            <v>이소아밀아민</v>
          </cell>
          <cell r="D180" t="str">
            <v>4류 제1석유류(비수용성)</v>
          </cell>
          <cell r="E180" t="str">
            <v>200리터</v>
          </cell>
          <cell r="F180">
            <v>1106</v>
          </cell>
        </row>
        <row r="181">
          <cell r="B181" t="str">
            <v>107-87-9</v>
          </cell>
          <cell r="C181" t="str">
            <v>펜타논-2</v>
          </cell>
          <cell r="D181" t="str">
            <v>4류 제1석유류(비수용성)</v>
          </cell>
          <cell r="E181" t="str">
            <v>200리터</v>
          </cell>
          <cell r="F181">
            <v>1249</v>
          </cell>
        </row>
        <row r="182">
          <cell r="B182" t="str">
            <v>108-00-9</v>
          </cell>
          <cell r="C182" t="str">
            <v>N,N-디메틸에틸렌디아민</v>
          </cell>
          <cell r="D182" t="str">
            <v>4류 제1석유류(비수용성)</v>
          </cell>
          <cell r="E182" t="str">
            <v>200리터</v>
          </cell>
          <cell r="F182">
            <v>2734</v>
          </cell>
        </row>
        <row r="183">
          <cell r="B183" t="str">
            <v>108-05-4</v>
          </cell>
          <cell r="C183" t="str">
            <v>초산비닐모노머</v>
          </cell>
          <cell r="D183" t="str">
            <v>4류 제1석유류(비수용성)</v>
          </cell>
          <cell r="E183" t="str">
            <v>200리터</v>
          </cell>
          <cell r="F183">
            <v>1301</v>
          </cell>
        </row>
        <row r="184">
          <cell r="B184" t="str">
            <v>108-08-7</v>
          </cell>
          <cell r="C184" t="str">
            <v>2,4-디메틸펜탄</v>
          </cell>
          <cell r="D184" t="str">
            <v>4류 제1석유류(비수용성)</v>
          </cell>
          <cell r="E184" t="str">
            <v>200리터</v>
          </cell>
          <cell r="F184">
            <v>3295</v>
          </cell>
        </row>
        <row r="185">
          <cell r="B185" t="str">
            <v>108-09-8</v>
          </cell>
          <cell r="C185" t="str">
            <v>노르말부틸아민(1,3)</v>
          </cell>
          <cell r="D185" t="str">
            <v>4류 제1석유류(비수용성)</v>
          </cell>
          <cell r="E185" t="str">
            <v>200리터</v>
          </cell>
          <cell r="F185">
            <v>2379</v>
          </cell>
        </row>
        <row r="186">
          <cell r="B186" t="str">
            <v>108-10-1</v>
          </cell>
          <cell r="C186" t="str">
            <v>메틸이소부틸케톤</v>
          </cell>
          <cell r="D186" t="str">
            <v>4류 제1석유류(비수용성)</v>
          </cell>
          <cell r="E186" t="str">
            <v>200리터</v>
          </cell>
          <cell r="F186">
            <v>1245</v>
          </cell>
        </row>
        <row r="187">
          <cell r="B187" t="str">
            <v>108-20-3</v>
          </cell>
          <cell r="C187" t="str">
            <v>이소프로필에테르</v>
          </cell>
          <cell r="D187" t="str">
            <v>4류 제1석유류(비수용성)</v>
          </cell>
          <cell r="E187" t="str">
            <v>200리터</v>
          </cell>
          <cell r="F187">
            <v>1159</v>
          </cell>
        </row>
        <row r="188">
          <cell r="B188" t="str">
            <v>108-21-4</v>
          </cell>
          <cell r="C188" t="str">
            <v>초산이소프로필</v>
          </cell>
          <cell r="D188" t="str">
            <v>4류 제1석유류(비수용성)</v>
          </cell>
          <cell r="E188" t="str">
            <v>200리터</v>
          </cell>
          <cell r="F188">
            <v>1220</v>
          </cell>
        </row>
        <row r="189">
          <cell r="B189" t="str">
            <v>108-22-5</v>
          </cell>
          <cell r="C189" t="str">
            <v>아세트산이소프로펜일에스테르</v>
          </cell>
          <cell r="D189" t="str">
            <v>4류 제1석유류(비수용성)</v>
          </cell>
          <cell r="E189" t="str">
            <v>200리터</v>
          </cell>
          <cell r="F189">
            <v>2403</v>
          </cell>
        </row>
        <row r="190">
          <cell r="B190" t="str">
            <v>108-87-2</v>
          </cell>
          <cell r="C190" t="str">
            <v>메틸사이클로헥산</v>
          </cell>
          <cell r="D190" t="str">
            <v>4류 제1석유류(비수용성)</v>
          </cell>
          <cell r="E190" t="str">
            <v>200리터</v>
          </cell>
          <cell r="F190">
            <v>2296</v>
          </cell>
        </row>
        <row r="191">
          <cell r="B191" t="str">
            <v>108-88-3</v>
          </cell>
          <cell r="C191" t="str">
            <v>톨루엔</v>
          </cell>
          <cell r="D191" t="str">
            <v>4류 제1석유류(비수용성)</v>
          </cell>
          <cell r="E191" t="str">
            <v>200리터</v>
          </cell>
          <cell r="F191">
            <v>1294</v>
          </cell>
        </row>
        <row r="192">
          <cell r="B192" t="str">
            <v>109-65-9</v>
          </cell>
          <cell r="C192" t="str">
            <v>브롬화부틸</v>
          </cell>
          <cell r="D192" t="str">
            <v>4류 제1석유류(비수용성)</v>
          </cell>
          <cell r="E192" t="str">
            <v>200리터</v>
          </cell>
          <cell r="F192">
            <v>1126</v>
          </cell>
        </row>
        <row r="193">
          <cell r="B193" t="str">
            <v>109-69-3</v>
          </cell>
          <cell r="C193" t="str">
            <v>염화 n-부틸</v>
          </cell>
          <cell r="D193" t="str">
            <v>4류 제1석유류(비수용성)</v>
          </cell>
          <cell r="E193" t="str">
            <v>200리터</v>
          </cell>
          <cell r="F193">
            <v>1127</v>
          </cell>
        </row>
        <row r="194">
          <cell r="B194" t="str">
            <v>109-74-0</v>
          </cell>
          <cell r="C194" t="str">
            <v>노르말부틸로니트릴</v>
          </cell>
          <cell r="D194" t="str">
            <v>4류 제1석유류(비수용성)</v>
          </cell>
          <cell r="E194" t="str">
            <v>200리터</v>
          </cell>
          <cell r="F194">
            <v>2411</v>
          </cell>
        </row>
        <row r="195">
          <cell r="B195" t="str">
            <v>109-79-5</v>
          </cell>
          <cell r="C195" t="str">
            <v>N-부틸메르캅탄</v>
          </cell>
          <cell r="D195" t="str">
            <v>4류 제1석유류(비수용성)</v>
          </cell>
          <cell r="E195" t="str">
            <v>200리터</v>
          </cell>
          <cell r="F195">
            <v>2347</v>
          </cell>
        </row>
        <row r="196">
          <cell r="B196" t="str">
            <v>109-85-3</v>
          </cell>
          <cell r="C196" t="str">
            <v>2-메톡시에틸아민</v>
          </cell>
          <cell r="D196" t="str">
            <v>4류 제1석유류(비수용성)</v>
          </cell>
          <cell r="E196" t="str">
            <v>200리터</v>
          </cell>
          <cell r="F196">
            <v>2733</v>
          </cell>
        </row>
        <row r="197">
          <cell r="B197" t="str">
            <v>109-87-5</v>
          </cell>
          <cell r="C197" t="str">
            <v>디메톡시메탄</v>
          </cell>
          <cell r="D197" t="str">
            <v>4류 제1석유류(비수용성)</v>
          </cell>
          <cell r="E197" t="str">
            <v>200리터</v>
          </cell>
          <cell r="F197">
            <v>1234</v>
          </cell>
        </row>
        <row r="198">
          <cell r="B198" t="str">
            <v>109-88-6</v>
          </cell>
          <cell r="C198" t="str">
            <v>마그네슘메틸레이트</v>
          </cell>
          <cell r="D198" t="str">
            <v>4류 제1석유류(비수용성)</v>
          </cell>
          <cell r="E198" t="str">
            <v>200리터</v>
          </cell>
          <cell r="F198">
            <v>3274</v>
          </cell>
        </row>
        <row r="199">
          <cell r="B199" t="str">
            <v>109-90-0</v>
          </cell>
          <cell r="C199" t="str">
            <v>에틸이소시아네이트</v>
          </cell>
          <cell r="D199" t="str">
            <v>4류 제1석유류(비수용성)</v>
          </cell>
          <cell r="E199" t="str">
            <v>200리터</v>
          </cell>
          <cell r="F199">
            <v>2481</v>
          </cell>
        </row>
        <row r="200">
          <cell r="B200" t="str">
            <v>109-94-4</v>
          </cell>
          <cell r="C200" t="str">
            <v>포름산에틸</v>
          </cell>
          <cell r="D200" t="str">
            <v>4류 제1석유류(비수용성)</v>
          </cell>
          <cell r="E200" t="str">
            <v>200리터</v>
          </cell>
          <cell r="F200">
            <v>1190</v>
          </cell>
        </row>
        <row r="201">
          <cell r="B201" t="str">
            <v>110-54-3</v>
          </cell>
          <cell r="C201" t="str">
            <v>노르말헥산</v>
          </cell>
          <cell r="D201" t="str">
            <v>4류 제1석유류(비수용성)</v>
          </cell>
          <cell r="E201" t="str">
            <v>200리터</v>
          </cell>
          <cell r="F201">
            <v>1208</v>
          </cell>
        </row>
        <row r="202">
          <cell r="B202" t="str">
            <v>110-66-7</v>
          </cell>
          <cell r="C202" t="str">
            <v>아밀 멀캅탄</v>
          </cell>
          <cell r="D202" t="str">
            <v>4류 제1석유류(비수용성)</v>
          </cell>
          <cell r="E202" t="str">
            <v>200리터</v>
          </cell>
          <cell r="F202">
            <v>1111</v>
          </cell>
        </row>
        <row r="203">
          <cell r="B203" t="str">
            <v>110-68-9</v>
          </cell>
          <cell r="C203" t="str">
            <v>메틸노르말부틸아민</v>
          </cell>
          <cell r="D203" t="str">
            <v>4류 제1석유류(비수용성)</v>
          </cell>
          <cell r="E203" t="str">
            <v>200리터</v>
          </cell>
          <cell r="F203">
            <v>2945</v>
          </cell>
        </row>
        <row r="204">
          <cell r="B204" t="str">
            <v>110-82-7</v>
          </cell>
          <cell r="C204" t="str">
            <v>시클로헥산</v>
          </cell>
          <cell r="D204" t="str">
            <v>4류 제1석유류(비수용성)</v>
          </cell>
          <cell r="E204" t="str">
            <v>200리터</v>
          </cell>
          <cell r="F204">
            <v>1145</v>
          </cell>
        </row>
        <row r="205">
          <cell r="B205" t="str">
            <v>110-83-8</v>
          </cell>
          <cell r="C205" t="str">
            <v>시클로헥센</v>
          </cell>
          <cell r="D205" t="str">
            <v>4류 제1석유류(비수용성)</v>
          </cell>
          <cell r="E205" t="str">
            <v>200리터</v>
          </cell>
          <cell r="F205">
            <v>2256</v>
          </cell>
        </row>
        <row r="206">
          <cell r="B206" t="str">
            <v>110-87-2</v>
          </cell>
          <cell r="C206" t="str">
            <v>2,3-디하이드로피란</v>
          </cell>
          <cell r="D206" t="str">
            <v>4류 제1석유류(비수용성)</v>
          </cell>
          <cell r="E206" t="str">
            <v>200리터</v>
          </cell>
          <cell r="F206">
            <v>2376</v>
          </cell>
        </row>
        <row r="207">
          <cell r="B207" t="str">
            <v>1112-39-6</v>
          </cell>
          <cell r="C207" t="str">
            <v>디메톡시디메틸실란</v>
          </cell>
          <cell r="D207" t="str">
            <v>4류 제1석유류(비수용성)</v>
          </cell>
          <cell r="E207" t="str">
            <v>200리터</v>
          </cell>
          <cell r="F207">
            <v>1993</v>
          </cell>
        </row>
        <row r="208">
          <cell r="B208" t="str">
            <v>1113-12-8</v>
          </cell>
          <cell r="C208" t="str">
            <v>디알릴디메틸실란</v>
          </cell>
          <cell r="D208" t="str">
            <v>4류 제1석유류(비수용성)</v>
          </cell>
          <cell r="E208" t="str">
            <v>200리터</v>
          </cell>
          <cell r="F208">
            <v>1993</v>
          </cell>
        </row>
        <row r="209">
          <cell r="B209" t="str">
            <v>111-34-2</v>
          </cell>
          <cell r="C209" t="str">
            <v>부틸비닐에테르</v>
          </cell>
          <cell r="D209" t="str">
            <v>4류 제1석유류(비수용성)</v>
          </cell>
          <cell r="E209" t="str">
            <v>200리터</v>
          </cell>
          <cell r="F209">
            <v>2352</v>
          </cell>
        </row>
        <row r="210">
          <cell r="B210" t="str">
            <v>111-36-4</v>
          </cell>
          <cell r="C210" t="str">
            <v>노르말부칠이소시아네이트</v>
          </cell>
          <cell r="D210" t="str">
            <v>4류 제1석유류(비수용성)</v>
          </cell>
          <cell r="E210" t="str">
            <v>200리터</v>
          </cell>
          <cell r="F210">
            <v>2485</v>
          </cell>
        </row>
        <row r="211">
          <cell r="B211" t="str">
            <v>111-43-3</v>
          </cell>
          <cell r="C211" t="str">
            <v>디노르말프로필에테르</v>
          </cell>
          <cell r="D211" t="str">
            <v>4류 제1석유류(비수용성)</v>
          </cell>
          <cell r="E211" t="str">
            <v>200리터</v>
          </cell>
          <cell r="F211">
            <v>2384</v>
          </cell>
        </row>
        <row r="212">
          <cell r="B212" t="str">
            <v>111-65-9</v>
          </cell>
          <cell r="C212" t="str">
            <v>노르말옥탄</v>
          </cell>
          <cell r="D212" t="str">
            <v>4류 제1석유류(비수용성)</v>
          </cell>
          <cell r="E212" t="str">
            <v>200리터</v>
          </cell>
          <cell r="F212">
            <v>1262</v>
          </cell>
        </row>
        <row r="213">
          <cell r="B213" t="str">
            <v>1118-02-1</v>
          </cell>
          <cell r="C213" t="str">
            <v>트리메칠이소시아네이트</v>
          </cell>
          <cell r="D213" t="str">
            <v>4류 제1석유류(비수용성)</v>
          </cell>
          <cell r="E213" t="str">
            <v>200리터</v>
          </cell>
          <cell r="F213">
            <v>2478</v>
          </cell>
        </row>
        <row r="214">
          <cell r="B214" t="str">
            <v>1120-64-5</v>
          </cell>
          <cell r="C214" t="str">
            <v>메틸(2-)-2-옥사졸린</v>
          </cell>
          <cell r="D214" t="str">
            <v>4류 제1석유류(비수용성)</v>
          </cell>
          <cell r="E214" t="str">
            <v>200리터</v>
          </cell>
          <cell r="F214">
            <v>1993</v>
          </cell>
        </row>
        <row r="215">
          <cell r="B215" t="str">
            <v>115-18-4</v>
          </cell>
          <cell r="C215" t="str">
            <v>메틸(2-)-3-부텐-2-올</v>
          </cell>
          <cell r="D215" t="str">
            <v>4류 제1석유류(비수용성)</v>
          </cell>
          <cell r="E215" t="str">
            <v>200리터</v>
          </cell>
          <cell r="F215">
            <v>1987</v>
          </cell>
        </row>
        <row r="216">
          <cell r="B216" t="str">
            <v>115-19-5</v>
          </cell>
          <cell r="C216" t="str">
            <v>3-메틸-1-부틴-3-올</v>
          </cell>
          <cell r="D216" t="str">
            <v>4류 제1석유류(비수용성)</v>
          </cell>
          <cell r="E216" t="str">
            <v>200리터</v>
          </cell>
          <cell r="F216">
            <v>1993</v>
          </cell>
        </row>
        <row r="217">
          <cell r="B217" t="str">
            <v>115-21-9</v>
          </cell>
          <cell r="C217" t="str">
            <v>에틸트리클로로실란</v>
          </cell>
          <cell r="D217" t="str">
            <v>4류 제1석유류(비수용성)</v>
          </cell>
          <cell r="E217" t="str">
            <v>200리터</v>
          </cell>
          <cell r="F217">
            <v>1196</v>
          </cell>
        </row>
        <row r="218">
          <cell r="B218" t="str">
            <v>1185-55-3</v>
          </cell>
          <cell r="C218" t="str">
            <v>트리메톡시실란</v>
          </cell>
          <cell r="D218" t="str">
            <v>4류 제1석유류(비수용성)</v>
          </cell>
          <cell r="E218" t="str">
            <v>200리터</v>
          </cell>
          <cell r="F218">
            <v>1993</v>
          </cell>
        </row>
        <row r="219">
          <cell r="B219" t="str">
            <v>1191-99-7</v>
          </cell>
          <cell r="C219" t="str">
            <v>디하이드로퓨란(2,3-)</v>
          </cell>
          <cell r="D219" t="str">
            <v>4류 제1석유류(비수용성)</v>
          </cell>
          <cell r="E219" t="str">
            <v>200리터</v>
          </cell>
          <cell r="F219">
            <v>1993</v>
          </cell>
        </row>
        <row r="220">
          <cell r="B220" t="str">
            <v>1192-37-6</v>
          </cell>
          <cell r="C220" t="str">
            <v>메틸렌시클로헥센</v>
          </cell>
          <cell r="D220" t="str">
            <v>4류 제1석유류(비수용성)</v>
          </cell>
          <cell r="E220" t="str">
            <v>200리터</v>
          </cell>
          <cell r="F220">
            <v>3295</v>
          </cell>
        </row>
        <row r="221">
          <cell r="B221" t="str">
            <v>121-43-7</v>
          </cell>
          <cell r="C221" t="str">
            <v>붕산트리메틸</v>
          </cell>
          <cell r="D221" t="str">
            <v>4류 제1석유류(비수용성)</v>
          </cell>
          <cell r="E221" t="str">
            <v>200리터</v>
          </cell>
          <cell r="F221">
            <v>2416</v>
          </cell>
        </row>
        <row r="222">
          <cell r="B222" t="str">
            <v>121-44-8</v>
          </cell>
          <cell r="C222" t="str">
            <v>트리에틸아민</v>
          </cell>
          <cell r="D222" t="str">
            <v>4류 제1석유류(비수용성)</v>
          </cell>
          <cell r="E222" t="str">
            <v>200리터</v>
          </cell>
          <cell r="F222">
            <v>1296</v>
          </cell>
        </row>
        <row r="223">
          <cell r="B223" t="str">
            <v>121-46-0</v>
          </cell>
          <cell r="C223" t="str">
            <v>노르보나디엔(2,5-)</v>
          </cell>
          <cell r="D223" t="str">
            <v>4류 제1석유류(비수용성)</v>
          </cell>
          <cell r="E223" t="str">
            <v>200리터</v>
          </cell>
          <cell r="F223">
            <v>2251</v>
          </cell>
        </row>
        <row r="224">
          <cell r="B224" t="str">
            <v>123-15-9</v>
          </cell>
          <cell r="C224" t="str">
            <v>2-메틸펜타날</v>
          </cell>
          <cell r="D224" t="str">
            <v>4류 제1석유류(비수용성)</v>
          </cell>
          <cell r="E224" t="str">
            <v>200리터</v>
          </cell>
          <cell r="F224">
            <v>2367</v>
          </cell>
        </row>
        <row r="225">
          <cell r="B225" t="str">
            <v>123-20-6</v>
          </cell>
          <cell r="C225" t="str">
            <v>비닐부틸산</v>
          </cell>
          <cell r="D225" t="str">
            <v>4류 제1석유류(비수용성)</v>
          </cell>
          <cell r="E225" t="str">
            <v>200리터</v>
          </cell>
          <cell r="F225">
            <v>2838</v>
          </cell>
        </row>
        <row r="226">
          <cell r="B226" t="str">
            <v>123-38-6</v>
          </cell>
          <cell r="C226" t="str">
            <v>프로피온알데히드</v>
          </cell>
          <cell r="D226" t="str">
            <v>4류 제1석유류(비수용성)</v>
          </cell>
          <cell r="E226" t="str">
            <v>200리터</v>
          </cell>
          <cell r="F226">
            <v>1275</v>
          </cell>
        </row>
        <row r="227">
          <cell r="B227" t="str">
            <v>123-63-7</v>
          </cell>
          <cell r="C227" t="str">
            <v>파라알데히드</v>
          </cell>
          <cell r="D227" t="str">
            <v>4류 제1석유류(비수용성)</v>
          </cell>
          <cell r="E227" t="str">
            <v>200리터</v>
          </cell>
          <cell r="F227">
            <v>1264</v>
          </cell>
        </row>
        <row r="228">
          <cell r="B228" t="str">
            <v>123-72-8</v>
          </cell>
          <cell r="C228" t="str">
            <v>부틸알데히드</v>
          </cell>
          <cell r="D228" t="str">
            <v>4류 제1석유류(비수용성)</v>
          </cell>
          <cell r="E228" t="str">
            <v>200리터</v>
          </cell>
          <cell r="F228">
            <v>1129</v>
          </cell>
        </row>
        <row r="229">
          <cell r="B229" t="str">
            <v>126-84-1</v>
          </cell>
          <cell r="C229" t="str">
            <v>아세톤디에틸아세탈</v>
          </cell>
          <cell r="D229" t="str">
            <v>4류 제1석유류(비수용성)</v>
          </cell>
          <cell r="E229" t="str">
            <v>200리터</v>
          </cell>
          <cell r="F229">
            <v>3271</v>
          </cell>
        </row>
        <row r="230">
          <cell r="B230" t="str">
            <v>126-98-7</v>
          </cell>
          <cell r="C230" t="str">
            <v>메타크릴로니트릴</v>
          </cell>
          <cell r="D230" t="str">
            <v>4류 제1석유류(비수용성)</v>
          </cell>
          <cell r="E230" t="str">
            <v>200리터</v>
          </cell>
          <cell r="F230">
            <v>3079</v>
          </cell>
        </row>
        <row r="231">
          <cell r="B231" t="str">
            <v>13269-52-8</v>
          </cell>
          <cell r="C231" t="str">
            <v>헥센(트란스-3)</v>
          </cell>
          <cell r="D231" t="str">
            <v>4류 제1석유류(비수용성)</v>
          </cell>
          <cell r="E231" t="str">
            <v>200리터</v>
          </cell>
          <cell r="F231">
            <v>3295</v>
          </cell>
        </row>
        <row r="232">
          <cell r="B232" t="str">
            <v>13294-71-8</v>
          </cell>
          <cell r="C232" t="str">
            <v>2-브로모-2-부텐</v>
          </cell>
          <cell r="D232" t="str">
            <v>4류 제1석유류(비수용성)</v>
          </cell>
          <cell r="E232" t="str">
            <v>200리터</v>
          </cell>
          <cell r="F232">
            <v>1993</v>
          </cell>
        </row>
        <row r="233">
          <cell r="B233" t="str">
            <v>13360-63-9</v>
          </cell>
          <cell r="C233" t="str">
            <v>노르말에틸부틸아민</v>
          </cell>
          <cell r="D233" t="str">
            <v>4류 제1석유류(비수용성)</v>
          </cell>
          <cell r="E233" t="str">
            <v>200리터</v>
          </cell>
          <cell r="F233">
            <v>2733</v>
          </cell>
        </row>
        <row r="234">
          <cell r="B234" t="str">
            <v>13389-42-9</v>
          </cell>
          <cell r="C234" t="str">
            <v>옥텐(트란스-2)</v>
          </cell>
          <cell r="D234" t="str">
            <v>4류 제1석유류(비수용성)</v>
          </cell>
          <cell r="E234" t="str">
            <v>200리터</v>
          </cell>
          <cell r="F234">
            <v>3295</v>
          </cell>
        </row>
        <row r="235">
          <cell r="B235" t="str">
            <v>140-88-5</v>
          </cell>
          <cell r="C235" t="str">
            <v>아크릴산에틸에스테르</v>
          </cell>
          <cell r="D235" t="str">
            <v>4류 제1석유류(비수용성)</v>
          </cell>
          <cell r="E235" t="str">
            <v>200리터</v>
          </cell>
          <cell r="F235">
            <v>1917</v>
          </cell>
        </row>
        <row r="236">
          <cell r="B236" t="str">
            <v>141-75-3</v>
          </cell>
          <cell r="C236" t="str">
            <v>부티릴클로라이드</v>
          </cell>
          <cell r="D236" t="str">
            <v>4류 제1석유류(비수용성)</v>
          </cell>
          <cell r="E236" t="str">
            <v>200리터</v>
          </cell>
          <cell r="F236">
            <v>2353</v>
          </cell>
        </row>
        <row r="237">
          <cell r="B237" t="str">
            <v>141-78-6</v>
          </cell>
          <cell r="C237" t="str">
            <v>초산에틸</v>
          </cell>
          <cell r="D237" t="str">
            <v>4류 제1석유류(비수용성)</v>
          </cell>
          <cell r="E237" t="str">
            <v>200리터</v>
          </cell>
          <cell r="F237">
            <v>1173</v>
          </cell>
        </row>
        <row r="238">
          <cell r="B238" t="str">
            <v>142-25-6</v>
          </cell>
          <cell r="C238" t="str">
            <v>N,N,N′-트리메틸에틸렌디아민</v>
          </cell>
          <cell r="D238" t="str">
            <v>4류 제1석유류(비수용성)</v>
          </cell>
          <cell r="E238" t="str">
            <v>200리터</v>
          </cell>
          <cell r="F238">
            <v>2733</v>
          </cell>
        </row>
        <row r="239">
          <cell r="B239" t="str">
            <v>142-29-0</v>
          </cell>
          <cell r="C239" t="str">
            <v>사이클로펜텐</v>
          </cell>
          <cell r="D239" t="str">
            <v>4류 제1석유류(비수용성)</v>
          </cell>
          <cell r="E239" t="str">
            <v>200리터</v>
          </cell>
          <cell r="F239">
            <v>2246</v>
          </cell>
        </row>
        <row r="240">
          <cell r="B240" t="str">
            <v>142-82-5</v>
          </cell>
          <cell r="C240" t="str">
            <v>노르말헵탄</v>
          </cell>
          <cell r="D240" t="str">
            <v>4류 제1석유류(비수용성)</v>
          </cell>
          <cell r="E240" t="str">
            <v>200리터</v>
          </cell>
          <cell r="F240">
            <v>1206</v>
          </cell>
        </row>
        <row r="241">
          <cell r="B241" t="str">
            <v>142-84-7</v>
          </cell>
          <cell r="C241" t="str">
            <v>디프로필아민</v>
          </cell>
          <cell r="D241" t="str">
            <v>4류 제1석유류(비수용성)</v>
          </cell>
          <cell r="E241" t="str">
            <v>200리터</v>
          </cell>
          <cell r="F241">
            <v>2383</v>
          </cell>
        </row>
        <row r="242">
          <cell r="B242" t="str">
            <v>1445-45-0</v>
          </cell>
          <cell r="C242" t="str">
            <v>오소초산메틸</v>
          </cell>
          <cell r="D242" t="str">
            <v>4류 제1석유류(비수용성)</v>
          </cell>
          <cell r="E242" t="str">
            <v>200리터</v>
          </cell>
          <cell r="F242">
            <v>3272</v>
          </cell>
        </row>
        <row r="243">
          <cell r="B243" t="str">
            <v>1450-14-2</v>
          </cell>
          <cell r="C243" t="str">
            <v>헥사메틸디실란</v>
          </cell>
          <cell r="D243" t="str">
            <v>4류 제1석유류(비수용성)</v>
          </cell>
          <cell r="E243" t="str">
            <v>200리터</v>
          </cell>
          <cell r="F243">
            <v>1993</v>
          </cell>
        </row>
        <row r="244">
          <cell r="B244" t="str">
            <v>14704-14-4</v>
          </cell>
          <cell r="C244" t="str">
            <v>메톡시메틸트리메틸실란</v>
          </cell>
          <cell r="D244" t="str">
            <v>4류 제1석유류(비수용성)</v>
          </cell>
          <cell r="E244" t="str">
            <v>200리터</v>
          </cell>
          <cell r="F244">
            <v>3271</v>
          </cell>
        </row>
        <row r="245">
          <cell r="B245" t="str">
            <v>1471-03-0</v>
          </cell>
          <cell r="C245" t="str">
            <v>알릴노르말프로필에테르</v>
          </cell>
          <cell r="D245" t="str">
            <v>4류 제1석유류(비수용성)</v>
          </cell>
          <cell r="E245" t="str">
            <v>200리터</v>
          </cell>
          <cell r="F245">
            <v>3271</v>
          </cell>
        </row>
        <row r="246">
          <cell r="B246" t="str">
            <v>14850-22-7</v>
          </cell>
          <cell r="C246" t="str">
            <v>옥텐(시스-3)</v>
          </cell>
          <cell r="D246" t="str">
            <v>4류 제1석유류(비수용성)</v>
          </cell>
          <cell r="E246" t="str">
            <v>200리터</v>
          </cell>
          <cell r="F246">
            <v>1993</v>
          </cell>
        </row>
        <row r="247">
          <cell r="B247" t="str">
            <v>14850-23-8</v>
          </cell>
          <cell r="C247" t="str">
            <v>옥텐(트란스-4</v>
          </cell>
          <cell r="D247" t="str">
            <v>4류 제1석유류(비수용성)</v>
          </cell>
          <cell r="E247" t="str">
            <v>200리터</v>
          </cell>
          <cell r="F247">
            <v>3295</v>
          </cell>
        </row>
        <row r="248">
          <cell r="B248" t="str">
            <v>149190-18-7</v>
          </cell>
          <cell r="C248" t="str">
            <v>옥텐(트란스-3)</v>
          </cell>
          <cell r="D248" t="str">
            <v>4류 제1석유류(비수용성)</v>
          </cell>
          <cell r="E248" t="str">
            <v>200리터</v>
          </cell>
          <cell r="F248">
            <v>1262</v>
          </cell>
        </row>
        <row r="249">
          <cell r="B249" t="str">
            <v>149-73-5</v>
          </cell>
          <cell r="C249" t="str">
            <v>오소 포름산 메틸</v>
          </cell>
          <cell r="D249" t="str">
            <v>4류 제1석유류(비수용성)</v>
          </cell>
          <cell r="E249" t="str">
            <v>200리터</v>
          </cell>
          <cell r="F249">
            <v>3272</v>
          </cell>
        </row>
        <row r="250">
          <cell r="B250" t="str">
            <v>1529-47-1</v>
          </cell>
          <cell r="C250" t="str">
            <v>트리메칠사이크로게르만</v>
          </cell>
          <cell r="D250" t="str">
            <v>4류 제1석유류(비수용성)</v>
          </cell>
          <cell r="E250" t="str">
            <v>200리터</v>
          </cell>
          <cell r="F250">
            <v>2924</v>
          </cell>
        </row>
        <row r="251">
          <cell r="B251" t="str">
            <v>156-59-2</v>
          </cell>
          <cell r="C251" t="str">
            <v>시스-1,2-디클로로에틸렌</v>
          </cell>
          <cell r="D251" t="str">
            <v>4류 제1석유류(비수용성)</v>
          </cell>
          <cell r="E251" t="str">
            <v>200리터</v>
          </cell>
          <cell r="F251">
            <v>1150</v>
          </cell>
        </row>
        <row r="252">
          <cell r="B252" t="str">
            <v>156-60-5</v>
          </cell>
          <cell r="C252" t="str">
            <v>트란스-1,2-디클로로에틸렌</v>
          </cell>
          <cell r="D252" t="str">
            <v>4류 제1석유류(비수용성)</v>
          </cell>
          <cell r="E252" t="str">
            <v>200리터</v>
          </cell>
          <cell r="F252">
            <v>1150</v>
          </cell>
        </row>
        <row r="253">
          <cell r="B253" t="str">
            <v>1574-41-0</v>
          </cell>
          <cell r="C253" t="str">
            <v>펜타디엔(시스-1,3-)</v>
          </cell>
          <cell r="D253" t="str">
            <v>4류 제1석유류(비수용성)</v>
          </cell>
          <cell r="E253" t="str">
            <v>200리터</v>
          </cell>
          <cell r="F253">
            <v>3295</v>
          </cell>
        </row>
        <row r="254">
          <cell r="B254" t="str">
            <v>15870-10-7</v>
          </cell>
          <cell r="C254" t="str">
            <v>메틸(2-)-1-헥텐</v>
          </cell>
          <cell r="D254" t="str">
            <v>4류 제1석유류(비수용성)</v>
          </cell>
          <cell r="E254" t="str">
            <v>200리터</v>
          </cell>
          <cell r="F254">
            <v>3295</v>
          </cell>
        </row>
        <row r="255">
          <cell r="B255" t="str">
            <v>1634-04-4</v>
          </cell>
          <cell r="C255" t="str">
            <v>메틸t-부틸에테르</v>
          </cell>
          <cell r="D255" t="str">
            <v>4류 제1석유류(비수용성)</v>
          </cell>
          <cell r="E255" t="str">
            <v>200리터</v>
          </cell>
          <cell r="F255">
            <v>2398</v>
          </cell>
        </row>
        <row r="256">
          <cell r="B256" t="str">
            <v>1663-39-4</v>
          </cell>
          <cell r="C256" t="str">
            <v>아크릴산 t-부틸</v>
          </cell>
          <cell r="D256" t="str">
            <v>4류 제1석유류(비수용성)</v>
          </cell>
          <cell r="E256" t="str">
            <v>200리터</v>
          </cell>
          <cell r="F256">
            <v>1993</v>
          </cell>
        </row>
        <row r="257">
          <cell r="B257" t="str">
            <v>16747-26-5</v>
          </cell>
          <cell r="C257" t="str">
            <v>2,2,4-트리메칠헥산</v>
          </cell>
          <cell r="D257" t="str">
            <v>4류 제1석유류(비수용성)</v>
          </cell>
          <cell r="E257" t="str">
            <v>200리터</v>
          </cell>
          <cell r="F257">
            <v>3295</v>
          </cell>
        </row>
        <row r="258">
          <cell r="B258" t="str">
            <v>1678-91-7</v>
          </cell>
          <cell r="C258" t="str">
            <v>에틸사이클로헥산</v>
          </cell>
          <cell r="D258" t="str">
            <v>4류 제1석유류(비수용성)</v>
          </cell>
          <cell r="E258" t="str">
            <v>200리터</v>
          </cell>
          <cell r="F258">
            <v>1993</v>
          </cell>
        </row>
        <row r="259">
          <cell r="B259" t="str">
            <v>1708-29-8</v>
          </cell>
          <cell r="C259" t="str">
            <v>디하이드로퓨란(2,5-)</v>
          </cell>
          <cell r="D259" t="str">
            <v>4류 제1석유류(비수용성)</v>
          </cell>
          <cell r="E259" t="str">
            <v>200리터</v>
          </cell>
          <cell r="F259">
            <v>3271</v>
          </cell>
        </row>
        <row r="260">
          <cell r="B260" t="str">
            <v>1719-58-0</v>
          </cell>
          <cell r="C260" t="str">
            <v>클로로디메틸비닐실란</v>
          </cell>
          <cell r="D260" t="str">
            <v>4류 제1석유류(비수용성)</v>
          </cell>
          <cell r="E260" t="str">
            <v>200리터</v>
          </cell>
          <cell r="F260">
            <v>2985</v>
          </cell>
        </row>
        <row r="261">
          <cell r="B261" t="str">
            <v>17501-79-0</v>
          </cell>
          <cell r="C261" t="str">
            <v>테트라아세틸아세토네이트 티탄</v>
          </cell>
          <cell r="D261" t="str">
            <v>4류 제1석유류(비수용성)</v>
          </cell>
          <cell r="E261" t="str">
            <v>200리터</v>
          </cell>
          <cell r="F261">
            <v>1993</v>
          </cell>
        </row>
        <row r="262">
          <cell r="B262" t="str">
            <v>1772-43-6</v>
          </cell>
          <cell r="C262" t="str">
            <v>2,4,4-트리메칠-2-옥사졸린</v>
          </cell>
          <cell r="D262" t="str">
            <v>4류 제1석유류(비수용성)</v>
          </cell>
          <cell r="E262" t="str">
            <v>200리터</v>
          </cell>
          <cell r="F262">
            <v>1993</v>
          </cell>
        </row>
        <row r="263">
          <cell r="B263" t="str">
            <v>1789-58-8</v>
          </cell>
          <cell r="C263" t="str">
            <v>에틸디클로로실란</v>
          </cell>
          <cell r="D263" t="str">
            <v>4류 제1석유류(비수용성)</v>
          </cell>
          <cell r="E263" t="str">
            <v>200리터</v>
          </cell>
          <cell r="F263">
            <v>1183</v>
          </cell>
        </row>
        <row r="264">
          <cell r="B264" t="str">
            <v>1795-48-8</v>
          </cell>
          <cell r="C264" t="str">
            <v>이소프로필이소시아네이트</v>
          </cell>
          <cell r="D264" t="str">
            <v>4류 제1석유류(비수용성)</v>
          </cell>
          <cell r="E264" t="str">
            <v>200리터</v>
          </cell>
          <cell r="F264">
            <v>2483</v>
          </cell>
        </row>
        <row r="265">
          <cell r="B265" t="str">
            <v>18146-00-4</v>
          </cell>
          <cell r="C265" t="str">
            <v>알릴옥시트리메틸실란</v>
          </cell>
          <cell r="D265" t="str">
            <v>4류 제1석유류(비수용성)</v>
          </cell>
          <cell r="E265" t="str">
            <v>200리터</v>
          </cell>
          <cell r="F265">
            <v>1993</v>
          </cell>
        </row>
        <row r="266">
          <cell r="B266" t="str">
            <v>1825-62-3</v>
          </cell>
          <cell r="C266" t="str">
            <v>트리메틸에톡시실란</v>
          </cell>
          <cell r="D266" t="str">
            <v>4류 제1석유류(비수용성)</v>
          </cell>
          <cell r="E266" t="str">
            <v>200리터</v>
          </cell>
          <cell r="F266">
            <v>1993</v>
          </cell>
        </row>
        <row r="267">
          <cell r="B267" t="str">
            <v>19430-93-4</v>
          </cell>
          <cell r="C267" t="str">
            <v>나노플로르-1-헥센</v>
          </cell>
          <cell r="D267" t="str">
            <v>4류 제1석유류(비수용성)</v>
          </cell>
          <cell r="E267" t="str">
            <v>200리터</v>
          </cell>
          <cell r="F267">
            <v>1993</v>
          </cell>
        </row>
        <row r="268">
          <cell r="B268" t="str">
            <v>19522-67-9</v>
          </cell>
          <cell r="C268" t="str">
            <v>이소프로필에틸렌디아민(엔-)</v>
          </cell>
          <cell r="D268" t="str">
            <v>4류 제1석유류(비수용성)</v>
          </cell>
          <cell r="E268" t="str">
            <v>200리터</v>
          </cell>
          <cell r="F268">
            <v>2733</v>
          </cell>
        </row>
        <row r="269">
          <cell r="B269" t="str">
            <v>2004-70-8</v>
          </cell>
          <cell r="C269" t="str">
            <v>펜타디엔(트란스-1.3-)</v>
          </cell>
          <cell r="D269" t="str">
            <v>4류 제1석유류(비수용성)</v>
          </cell>
          <cell r="E269" t="str">
            <v>200리터</v>
          </cell>
          <cell r="F269">
            <v>1993</v>
          </cell>
        </row>
        <row r="270">
          <cell r="B270" t="str">
            <v>2083-91-2</v>
          </cell>
          <cell r="C270" t="str">
            <v>노르말트리메틸실릴디메틸아민</v>
          </cell>
          <cell r="D270" t="str">
            <v>4류 제1석유류(비수용성)</v>
          </cell>
          <cell r="E270" t="str">
            <v>200리터</v>
          </cell>
          <cell r="F270">
            <v>2733</v>
          </cell>
        </row>
        <row r="271">
          <cell r="B271" t="str">
            <v>21474-51-1</v>
          </cell>
          <cell r="C271" t="str">
            <v>디이소프로폭시비스(아세틸아세토나트)티...</v>
          </cell>
          <cell r="D271" t="str">
            <v>4류 제1석유류(비수용성)</v>
          </cell>
          <cell r="E271" t="str">
            <v>200리터</v>
          </cell>
          <cell r="F271">
            <v>1993</v>
          </cell>
        </row>
        <row r="272">
          <cell r="B272" t="str">
            <v>2177-18-6</v>
          </cell>
          <cell r="C272" t="str">
            <v>아크릴산비닐에스테르</v>
          </cell>
          <cell r="D272" t="str">
            <v>4류 제1석유류(비수용성)</v>
          </cell>
          <cell r="E272" t="str">
            <v>200리터</v>
          </cell>
          <cell r="F272">
            <v>3286</v>
          </cell>
        </row>
        <row r="273">
          <cell r="B273" t="str">
            <v>2207-01-4</v>
          </cell>
          <cell r="C273" t="str">
            <v>디메틸시클로헥산(시스)</v>
          </cell>
          <cell r="D273" t="str">
            <v>4류 제1석유류(비수용성)</v>
          </cell>
          <cell r="E273" t="str">
            <v>200리터</v>
          </cell>
          <cell r="F273">
            <v>2263</v>
          </cell>
        </row>
        <row r="274">
          <cell r="B274" t="str">
            <v>2207-03-6</v>
          </cell>
          <cell r="C274" t="str">
            <v>디메틸시클로헥산(트란스1,3-)</v>
          </cell>
          <cell r="D274" t="str">
            <v>4류 제1석유류(비수용성)</v>
          </cell>
          <cell r="E274" t="str">
            <v>200리터</v>
          </cell>
          <cell r="F274">
            <v>2263</v>
          </cell>
        </row>
        <row r="275">
          <cell r="B275" t="str">
            <v>2207-04-7</v>
          </cell>
          <cell r="C275" t="str">
            <v>디메틸시클로헥산(트란스1,4-)</v>
          </cell>
          <cell r="D275" t="str">
            <v>4류 제1석유류(비수용성)</v>
          </cell>
          <cell r="E275" t="str">
            <v>200리터</v>
          </cell>
          <cell r="F275">
            <v>2263</v>
          </cell>
        </row>
        <row r="276">
          <cell r="B276" t="str">
            <v>2373-51-5</v>
          </cell>
          <cell r="C276" t="str">
            <v>클로로메틸메틸술파이드</v>
          </cell>
          <cell r="D276" t="str">
            <v>4류 제1석유류(비수용성)</v>
          </cell>
          <cell r="E276" t="str">
            <v>200리터</v>
          </cell>
          <cell r="F276">
            <v>1993</v>
          </cell>
        </row>
        <row r="277">
          <cell r="B277" t="str">
            <v>2450-71-7</v>
          </cell>
          <cell r="C277" t="str">
            <v>프로파질아민</v>
          </cell>
          <cell r="D277" t="str">
            <v>4류 제1석유류(비수용성)</v>
          </cell>
          <cell r="E277" t="str">
            <v>200리터</v>
          </cell>
          <cell r="F277">
            <v>1992</v>
          </cell>
        </row>
        <row r="278">
          <cell r="B278" t="str">
            <v>2487-90-3</v>
          </cell>
          <cell r="C278" t="str">
            <v>트리메톡시실란</v>
          </cell>
          <cell r="D278" t="str">
            <v>4류 제1석유류(비수용성)</v>
          </cell>
          <cell r="E278" t="str">
            <v>200리터</v>
          </cell>
          <cell r="F278">
            <v>3384</v>
          </cell>
        </row>
        <row r="279">
          <cell r="B279" t="str">
            <v>2516-34-9</v>
          </cell>
          <cell r="C279" t="str">
            <v>아미노시클로부탄</v>
          </cell>
          <cell r="D279" t="str">
            <v>4류 제1석유류(비수용성)</v>
          </cell>
          <cell r="E279" t="str">
            <v>200리터</v>
          </cell>
          <cell r="F279">
            <v>2733</v>
          </cell>
        </row>
        <row r="280">
          <cell r="B280" t="str">
            <v>25167-70-8</v>
          </cell>
          <cell r="C280" t="str">
            <v>2,4,4-트리메틸펜텐</v>
          </cell>
          <cell r="D280" t="str">
            <v>4류 제1석유류(비수용성)</v>
          </cell>
          <cell r="E280" t="str">
            <v>200리터</v>
          </cell>
          <cell r="F280">
            <v>2050</v>
          </cell>
        </row>
        <row r="281">
          <cell r="B281" t="str">
            <v>25414-22-6</v>
          </cell>
          <cell r="C281" t="str">
            <v>2-메톡시퓨랸</v>
          </cell>
          <cell r="D281" t="str">
            <v>4류 제1석유류(비수용성)</v>
          </cell>
          <cell r="E281" t="str">
            <v>200리터</v>
          </cell>
          <cell r="F281">
            <v>1993</v>
          </cell>
        </row>
        <row r="282">
          <cell r="B282" t="str">
            <v>2627-95-4</v>
          </cell>
          <cell r="C282" t="str">
            <v>디비닐데트라메틸디실록산(1,3)</v>
          </cell>
          <cell r="D282" t="str">
            <v>4류 제1석유류(비수용성)</v>
          </cell>
          <cell r="E282" t="str">
            <v>200리터</v>
          </cell>
          <cell r="F282">
            <v>1993</v>
          </cell>
        </row>
        <row r="283">
          <cell r="B283" t="str">
            <v>2738-19-4</v>
          </cell>
          <cell r="C283" t="str">
            <v>메틸(2-)-2-헥센</v>
          </cell>
          <cell r="D283" t="str">
            <v>4류 제1석유류(비수용성)</v>
          </cell>
          <cell r="E283" t="str">
            <v>200리터</v>
          </cell>
          <cell r="F283">
            <v>3295</v>
          </cell>
        </row>
        <row r="284">
          <cell r="B284" t="str">
            <v>27858-32-8</v>
          </cell>
          <cell r="C284" t="str">
            <v>디이소프로폭시비스(에틸아세토아세테이트...</v>
          </cell>
          <cell r="D284" t="str">
            <v>4류 제1석유류(비수용성)</v>
          </cell>
          <cell r="E284" t="str">
            <v>200리터</v>
          </cell>
          <cell r="F284">
            <v>1993</v>
          </cell>
        </row>
        <row r="285">
          <cell r="B285" t="str">
            <v>287-27-4</v>
          </cell>
          <cell r="C285" t="str">
            <v>트리메틸렌설파이드</v>
          </cell>
          <cell r="D285" t="str">
            <v>4류 제1석유류(비수용성)</v>
          </cell>
          <cell r="E285" t="str">
            <v>200리터</v>
          </cell>
          <cell r="F285">
            <v>1993</v>
          </cell>
        </row>
        <row r="286">
          <cell r="B286" t="str">
            <v>287-92-3</v>
          </cell>
          <cell r="C286" t="str">
            <v>시클로펜탄</v>
          </cell>
          <cell r="D286" t="str">
            <v>4류 제1석유류(비수용성)</v>
          </cell>
          <cell r="E286" t="str">
            <v>200리터</v>
          </cell>
          <cell r="F286">
            <v>1146</v>
          </cell>
        </row>
        <row r="287">
          <cell r="B287" t="str">
            <v>288-14-2</v>
          </cell>
          <cell r="C287" t="str">
            <v>이소옥사졸</v>
          </cell>
          <cell r="D287" t="str">
            <v>4류 제1석유류(비수용성)</v>
          </cell>
          <cell r="E287" t="str">
            <v>200리터</v>
          </cell>
          <cell r="F287">
            <v>1993</v>
          </cell>
        </row>
        <row r="288">
          <cell r="B288" t="str">
            <v>2916-31-6</v>
          </cell>
          <cell r="C288" t="str">
            <v>2,2-디메틸-1,3-디옥살란</v>
          </cell>
          <cell r="D288" t="str">
            <v>4류 제1석유류(비수용성)</v>
          </cell>
          <cell r="E288" t="str">
            <v>200리터</v>
          </cell>
          <cell r="F288">
            <v>1993</v>
          </cell>
        </row>
        <row r="289">
          <cell r="B289" t="str">
            <v>291-64-5</v>
          </cell>
          <cell r="C289" t="str">
            <v>시클로헵탄</v>
          </cell>
          <cell r="D289" t="str">
            <v>4류 제1석유류(비수용성)</v>
          </cell>
          <cell r="E289" t="str">
            <v>200리터</v>
          </cell>
          <cell r="F289">
            <v>2241</v>
          </cell>
        </row>
        <row r="290">
          <cell r="B290" t="str">
            <v>29576-14-5</v>
          </cell>
          <cell r="C290" t="str">
            <v>크로틸알콜</v>
          </cell>
          <cell r="D290" t="str">
            <v>4류 제1석유류(비수용성)</v>
          </cell>
          <cell r="E290" t="str">
            <v>200리터</v>
          </cell>
          <cell r="F290">
            <v>1993</v>
          </cell>
        </row>
        <row r="291">
          <cell r="B291" t="str">
            <v>30736-07-3</v>
          </cell>
          <cell r="C291" t="str">
            <v>디-3차-부틸실란</v>
          </cell>
          <cell r="D291" t="str">
            <v>4류 제1석유류(비수용성)</v>
          </cell>
          <cell r="E291" t="str">
            <v>200리터</v>
          </cell>
          <cell r="F291">
            <v>1993</v>
          </cell>
        </row>
        <row r="292">
          <cell r="B292" t="str">
            <v>3188-13-4</v>
          </cell>
          <cell r="C292" t="str">
            <v>클로로메틸에틸에테르</v>
          </cell>
          <cell r="D292" t="str">
            <v>4류 제1석유류(비수용성)</v>
          </cell>
          <cell r="E292" t="str">
            <v>200리터</v>
          </cell>
          <cell r="F292">
            <v>2354</v>
          </cell>
        </row>
        <row r="293">
          <cell r="B293" t="str">
            <v>3208-16-0</v>
          </cell>
          <cell r="C293" t="str">
            <v>에틸퓨란</v>
          </cell>
          <cell r="D293" t="str">
            <v>4류 제1석유류(비수용성)</v>
          </cell>
          <cell r="E293" t="str">
            <v>200리터</v>
          </cell>
          <cell r="F293">
            <v>1993</v>
          </cell>
        </row>
        <row r="294">
          <cell r="B294" t="str">
            <v>3266-23-7</v>
          </cell>
          <cell r="C294" t="str">
            <v>부틸렌옥사이드</v>
          </cell>
          <cell r="D294" t="str">
            <v>4류 제1석유류(비수용성)</v>
          </cell>
          <cell r="E294" t="str">
            <v>200리터</v>
          </cell>
          <cell r="F294">
            <v>3271</v>
          </cell>
        </row>
        <row r="295">
          <cell r="B295" t="str">
            <v>3282-30-2</v>
          </cell>
          <cell r="C295" t="str">
            <v>트리메틸아세틸크로라이드</v>
          </cell>
          <cell r="D295" t="str">
            <v>4류 제1석유류(비수용성)</v>
          </cell>
          <cell r="E295" t="str">
            <v>200리터</v>
          </cell>
          <cell r="F295">
            <v>2438</v>
          </cell>
        </row>
        <row r="296">
          <cell r="B296" t="str">
            <v>3377-92-2</v>
          </cell>
          <cell r="C296" t="str">
            <v>비닐피버레이트</v>
          </cell>
          <cell r="D296" t="str">
            <v>4류 제1석유류(비수용성)</v>
          </cell>
          <cell r="E296" t="str">
            <v>200리터</v>
          </cell>
          <cell r="F296">
            <v>3272</v>
          </cell>
        </row>
        <row r="297">
          <cell r="B297" t="str">
            <v>3404-61-3</v>
          </cell>
          <cell r="C297" t="str">
            <v>메틸(3-)-1-헥센</v>
          </cell>
          <cell r="D297" t="str">
            <v>4류 제1석유류(비수용성)</v>
          </cell>
          <cell r="E297" t="str">
            <v>200리터</v>
          </cell>
          <cell r="F297">
            <v>3295</v>
          </cell>
        </row>
        <row r="298">
          <cell r="B298" t="str">
            <v>352-32-9</v>
          </cell>
          <cell r="C298" t="str">
            <v>플로로톨루엔(4-)</v>
          </cell>
          <cell r="D298" t="str">
            <v>4류 제1석유류(비수용성)</v>
          </cell>
          <cell r="E298" t="str">
            <v>200리터</v>
          </cell>
          <cell r="F298">
            <v>2388</v>
          </cell>
        </row>
        <row r="299">
          <cell r="B299" t="str">
            <v>3524-73-0</v>
          </cell>
          <cell r="C299" t="str">
            <v>메틸(5-)-1-헥센</v>
          </cell>
          <cell r="D299" t="str">
            <v>4류 제1석유류(비수용성)</v>
          </cell>
          <cell r="E299" t="str">
            <v>200리터</v>
          </cell>
          <cell r="F299">
            <v>3295</v>
          </cell>
        </row>
        <row r="300">
          <cell r="B300" t="str">
            <v>352-70-5</v>
          </cell>
          <cell r="C300" t="str">
            <v>플로로톨루엔(3-)</v>
          </cell>
          <cell r="D300" t="str">
            <v>4류 제1석유류(비수용성)</v>
          </cell>
          <cell r="E300" t="str">
            <v>200리터</v>
          </cell>
          <cell r="F300">
            <v>2388</v>
          </cell>
        </row>
        <row r="301">
          <cell r="B301" t="str">
            <v>363-72-4</v>
          </cell>
          <cell r="C301" t="str">
            <v>펜타플로로벤젠</v>
          </cell>
          <cell r="D301" t="str">
            <v>4류 제1석유류(비수용성)</v>
          </cell>
          <cell r="E301" t="str">
            <v>200리터</v>
          </cell>
          <cell r="F301">
            <v>1993</v>
          </cell>
        </row>
        <row r="302">
          <cell r="B302" t="str">
            <v>367-11-3</v>
          </cell>
          <cell r="C302" t="str">
            <v>디플르오르벤제(1,2-)</v>
          </cell>
          <cell r="D302" t="str">
            <v>4류 제1석유류(비수용성)</v>
          </cell>
          <cell r="E302" t="str">
            <v>200리터</v>
          </cell>
          <cell r="F302">
            <v>1993</v>
          </cell>
        </row>
        <row r="303">
          <cell r="B303" t="str">
            <v>3710-30-3</v>
          </cell>
          <cell r="C303" t="str">
            <v>옥타디인(1,7-)</v>
          </cell>
          <cell r="D303" t="str">
            <v>4류 제1석유류(비수용성)</v>
          </cell>
          <cell r="E303" t="str">
            <v>200리터</v>
          </cell>
          <cell r="F303">
            <v>2309</v>
          </cell>
        </row>
        <row r="304">
          <cell r="B304" t="str">
            <v>372-18-9</v>
          </cell>
          <cell r="C304" t="str">
            <v>디플르오르벤젠(1,3-)</v>
          </cell>
          <cell r="D304" t="str">
            <v>4류 제1석유류(비수용성)</v>
          </cell>
          <cell r="E304" t="str">
            <v>200리터</v>
          </cell>
          <cell r="F304">
            <v>1993</v>
          </cell>
        </row>
        <row r="305">
          <cell r="B305" t="str">
            <v>372-47-4</v>
          </cell>
          <cell r="C305" t="str">
            <v>플로로피리딘</v>
          </cell>
          <cell r="D305" t="str">
            <v>4류 제1석유류(비수용성)</v>
          </cell>
          <cell r="E305" t="str">
            <v>200리터</v>
          </cell>
          <cell r="F305">
            <v>1993</v>
          </cell>
        </row>
        <row r="306">
          <cell r="B306" t="str">
            <v>3769-23-1</v>
          </cell>
          <cell r="C306" t="str">
            <v>메틸(4-)-1헥센</v>
          </cell>
          <cell r="D306" t="str">
            <v>4류 제1석유류(비수용성)</v>
          </cell>
          <cell r="E306" t="str">
            <v>200리터</v>
          </cell>
          <cell r="F306">
            <v>3295</v>
          </cell>
        </row>
        <row r="307">
          <cell r="B307" t="str">
            <v>383-62-0</v>
          </cell>
          <cell r="C307" t="str">
            <v>클로로디프로로아세트산에틸에스테르</v>
          </cell>
          <cell r="D307" t="str">
            <v>4류 제1석유류(비수용성)</v>
          </cell>
          <cell r="E307" t="str">
            <v>200리터</v>
          </cell>
          <cell r="F307">
            <v>2924</v>
          </cell>
        </row>
        <row r="308">
          <cell r="B308" t="str">
            <v>383-63-1</v>
          </cell>
          <cell r="C308" t="str">
            <v>트리플루오로초산 에틸에스테르</v>
          </cell>
          <cell r="D308" t="str">
            <v>4류 제1석유류(비수용성)</v>
          </cell>
          <cell r="E308" t="str">
            <v>200리터</v>
          </cell>
          <cell r="F308" t="str">
            <v/>
          </cell>
        </row>
        <row r="309">
          <cell r="B309" t="str">
            <v>383-64-2</v>
          </cell>
          <cell r="C309" t="str">
            <v>S-에틸 트리플루오로 티오 아세테이트</v>
          </cell>
          <cell r="D309" t="str">
            <v>4류 제1석유류(비수용성)</v>
          </cell>
          <cell r="E309" t="str">
            <v>200리터</v>
          </cell>
          <cell r="F309">
            <v>3272</v>
          </cell>
        </row>
        <row r="310">
          <cell r="B310" t="str">
            <v>392-56-3</v>
          </cell>
          <cell r="C310" t="str">
            <v>헥사플로로벤젠</v>
          </cell>
          <cell r="D310" t="str">
            <v>4류 제1석유류(비수용성)</v>
          </cell>
          <cell r="E310" t="str">
            <v>200리터</v>
          </cell>
          <cell r="F310">
            <v>1993</v>
          </cell>
        </row>
        <row r="311">
          <cell r="B311" t="str">
            <v>402-44-8</v>
          </cell>
          <cell r="C311" t="str">
            <v>플루오르벤조트리폴로라이드</v>
          </cell>
          <cell r="D311" t="str">
            <v>4류 제1석유류(비수용성)</v>
          </cell>
          <cell r="E311" t="str">
            <v>200리터</v>
          </cell>
          <cell r="F311">
            <v>1993</v>
          </cell>
        </row>
        <row r="312">
          <cell r="B312" t="str">
            <v>4049-81-4</v>
          </cell>
          <cell r="C312" t="str">
            <v>메틸(2-)-1,5-헥사디엔</v>
          </cell>
          <cell r="D312" t="str">
            <v>4류 제1석유류(비수용성)</v>
          </cell>
          <cell r="E312" t="str">
            <v>200리터</v>
          </cell>
          <cell r="F312">
            <v>3295</v>
          </cell>
        </row>
        <row r="313">
          <cell r="B313" t="str">
            <v>4050-45-7</v>
          </cell>
          <cell r="C313" t="str">
            <v>헥센(트란스-2)</v>
          </cell>
          <cell r="D313" t="str">
            <v>4류 제1석유류(비수용성)</v>
          </cell>
          <cell r="E313" t="str">
            <v>200리터</v>
          </cell>
          <cell r="F313">
            <v>3295</v>
          </cell>
        </row>
        <row r="314">
          <cell r="B314" t="str">
            <v>407-47-6</v>
          </cell>
          <cell r="C314" t="str">
            <v>아크릴산2,2,2-트리플로로에틸에스테...</v>
          </cell>
          <cell r="D314" t="str">
            <v>4류 제1석유류(비수용성)</v>
          </cell>
          <cell r="E314" t="str">
            <v>200리터</v>
          </cell>
          <cell r="F314">
            <v>3272</v>
          </cell>
        </row>
        <row r="315">
          <cell r="B315" t="str">
            <v>4170-30-3</v>
          </cell>
          <cell r="C315" t="str">
            <v>크로톤알데하이드</v>
          </cell>
          <cell r="D315" t="str">
            <v>4류 제1석유류(비수용성)</v>
          </cell>
          <cell r="E315" t="str">
            <v>200리터</v>
          </cell>
          <cell r="F315" t="str">
            <v/>
          </cell>
        </row>
        <row r="316">
          <cell r="B316" t="str">
            <v>4245-37-8</v>
          </cell>
          <cell r="C316" t="str">
            <v>비닐 메타아크릴레이트</v>
          </cell>
          <cell r="D316" t="str">
            <v>4류 제1석유류(비수용성)</v>
          </cell>
          <cell r="E316" t="str">
            <v>200리터</v>
          </cell>
          <cell r="F316">
            <v>3272</v>
          </cell>
        </row>
        <row r="317">
          <cell r="B317" t="str">
            <v>426-65-3</v>
          </cell>
          <cell r="C317" t="str">
            <v>Ethyl pentafluoropro...</v>
          </cell>
          <cell r="D317" t="str">
            <v>4류 제1석유류(비수용성)</v>
          </cell>
          <cell r="E317" t="str">
            <v>200리터</v>
          </cell>
          <cell r="F317">
            <v>3272</v>
          </cell>
        </row>
        <row r="318">
          <cell r="B318" t="str">
            <v>431-03-8</v>
          </cell>
          <cell r="C318" t="str">
            <v>2,3-부탄디온</v>
          </cell>
          <cell r="D318" t="str">
            <v>4류 제1석유류(비수용성)</v>
          </cell>
          <cell r="E318" t="str">
            <v>200리터</v>
          </cell>
          <cell r="F318">
            <v>2346</v>
          </cell>
        </row>
        <row r="319">
          <cell r="B319" t="str">
            <v>431-35-6</v>
          </cell>
          <cell r="C319" t="str">
            <v>3-브로모-1,1,1-트리플로로-2-...</v>
          </cell>
          <cell r="D319" t="str">
            <v>4류 제1석유류(비수용성)</v>
          </cell>
          <cell r="E319" t="str">
            <v>200리터</v>
          </cell>
          <cell r="F319">
            <v>2924</v>
          </cell>
        </row>
        <row r="320">
          <cell r="B320" t="str">
            <v>4313-57-9</v>
          </cell>
          <cell r="C320" t="str">
            <v>메틸-1,4-시크로헥사디엔</v>
          </cell>
          <cell r="D320" t="str">
            <v>4류 제1석유류(비수용성)</v>
          </cell>
          <cell r="E320" t="str">
            <v>200리터</v>
          </cell>
          <cell r="F320">
            <v>3295</v>
          </cell>
        </row>
        <row r="321">
          <cell r="B321" t="str">
            <v>4333-56-6</v>
          </cell>
          <cell r="C321" t="str">
            <v>브로모시클로프로판</v>
          </cell>
          <cell r="D321" t="str">
            <v>4류 제1석유류(비수용성)</v>
          </cell>
          <cell r="E321" t="str">
            <v>200리터</v>
          </cell>
          <cell r="F321">
            <v>1993</v>
          </cell>
        </row>
        <row r="322">
          <cell r="B322" t="str">
            <v>434-64-0</v>
          </cell>
          <cell r="C322" t="str">
            <v>퍼플로로톨루엔</v>
          </cell>
          <cell r="D322" t="str">
            <v>4류 제1석유류(비수용성)</v>
          </cell>
          <cell r="E322" t="str">
            <v>200리터</v>
          </cell>
          <cell r="F322">
            <v>1993</v>
          </cell>
        </row>
        <row r="323">
          <cell r="B323" t="str">
            <v>4403-61-6</v>
          </cell>
          <cell r="C323" t="str">
            <v>메틸(2-)-2-부텐니트릴</v>
          </cell>
          <cell r="D323" t="str">
            <v>4류 제1석유류(비수용성)</v>
          </cell>
          <cell r="E323" t="str">
            <v>200리터</v>
          </cell>
          <cell r="F323">
            <v>3273</v>
          </cell>
        </row>
        <row r="324">
          <cell r="B324" t="str">
            <v>443-84-5</v>
          </cell>
          <cell r="C324" t="str">
            <v>디플로로톨루엔(2,6-)</v>
          </cell>
          <cell r="D324" t="str">
            <v>4류 제1석유류(비수용성)</v>
          </cell>
          <cell r="E324" t="str">
            <v>200리터</v>
          </cell>
          <cell r="F324">
            <v>1993</v>
          </cell>
        </row>
        <row r="325">
          <cell r="B325" t="str">
            <v>4461-48-7</v>
          </cell>
          <cell r="C325" t="str">
            <v>메틸-2-펜텐</v>
          </cell>
          <cell r="D325" t="str">
            <v>4류 제1석유류(비수용성)</v>
          </cell>
          <cell r="E325" t="str">
            <v>200리터</v>
          </cell>
          <cell r="F325">
            <v>2288</v>
          </cell>
        </row>
        <row r="326">
          <cell r="B326" t="str">
            <v>452-76-6</v>
          </cell>
          <cell r="C326" t="str">
            <v>디플로로툴루엔(2,4-)</v>
          </cell>
          <cell r="D326" t="str">
            <v>4류 제1석유류(비수용성)</v>
          </cell>
          <cell r="E326" t="str">
            <v>200리터</v>
          </cell>
          <cell r="F326">
            <v>1993</v>
          </cell>
        </row>
        <row r="327">
          <cell r="B327" t="str">
            <v>4549-74-0</v>
          </cell>
          <cell r="C327" t="str">
            <v>메틸(3-),-1,3-펜타디엔</v>
          </cell>
          <cell r="D327" t="str">
            <v>4류 제1석유류(비수용성)</v>
          </cell>
          <cell r="E327" t="str">
            <v>200리터</v>
          </cell>
          <cell r="F327">
            <v>2461</v>
          </cell>
        </row>
        <row r="328">
          <cell r="B328" t="str">
            <v>456-55-3</v>
          </cell>
          <cell r="C328" t="str">
            <v>트리플르오르메톡시벤젠</v>
          </cell>
          <cell r="D328" t="str">
            <v>4류 제1석유류(비수용성)</v>
          </cell>
          <cell r="E328" t="str">
            <v>200리터</v>
          </cell>
          <cell r="F328">
            <v>1993</v>
          </cell>
        </row>
        <row r="329">
          <cell r="B329" t="str">
            <v>462-06-6</v>
          </cell>
          <cell r="C329" t="str">
            <v>플루오르벤젠</v>
          </cell>
          <cell r="D329" t="str">
            <v>4류 제1석유류(비수용성)</v>
          </cell>
          <cell r="E329" t="str">
            <v>200리터</v>
          </cell>
          <cell r="F329">
            <v>2387</v>
          </cell>
        </row>
        <row r="330">
          <cell r="B330" t="str">
            <v>4637-24-5</v>
          </cell>
          <cell r="C330" t="str">
            <v>N,N-디메틸포름아마이드 디메틸 아세...</v>
          </cell>
          <cell r="D330" t="str">
            <v>4류 제1석유류(비수용성)</v>
          </cell>
          <cell r="E330" t="str">
            <v>200리터</v>
          </cell>
          <cell r="F330">
            <v>3271</v>
          </cell>
        </row>
        <row r="331">
          <cell r="B331" t="str">
            <v>464-06-2</v>
          </cell>
          <cell r="C331" t="str">
            <v>트리메틸부탄2,2,3</v>
          </cell>
          <cell r="D331" t="str">
            <v>4류 제1석유류(비수용성)</v>
          </cell>
          <cell r="E331" t="str">
            <v>200리터</v>
          </cell>
          <cell r="F331">
            <v>1206</v>
          </cell>
        </row>
        <row r="332">
          <cell r="B332" t="str">
            <v>4744-08-5</v>
          </cell>
          <cell r="C332" t="str">
            <v>프로피온알대히드디메틸아세탈</v>
          </cell>
          <cell r="D332" t="str">
            <v>4류 제1석유류(비수용성)</v>
          </cell>
          <cell r="E332" t="str">
            <v>200리터</v>
          </cell>
          <cell r="F332">
            <v>1989</v>
          </cell>
        </row>
        <row r="333">
          <cell r="B333" t="str">
            <v>4786-20-3</v>
          </cell>
          <cell r="C333" t="str">
            <v>크로토노니트릴</v>
          </cell>
          <cell r="D333" t="str">
            <v>4류 제1석유류(비수용성)</v>
          </cell>
          <cell r="E333" t="str">
            <v>200리터</v>
          </cell>
          <cell r="F333">
            <v>2924</v>
          </cell>
        </row>
        <row r="334">
          <cell r="B334" t="str">
            <v>497-03-0</v>
          </cell>
          <cell r="C334" t="str">
            <v>메틸-2-브탄알</v>
          </cell>
          <cell r="D334" t="str">
            <v>4류 제1석유류(비수용성)</v>
          </cell>
          <cell r="E334" t="str">
            <v>200리터</v>
          </cell>
          <cell r="F334">
            <v>1989</v>
          </cell>
        </row>
        <row r="335">
          <cell r="B335" t="str">
            <v>497-26-7</v>
          </cell>
          <cell r="C335" t="str">
            <v>2-메틸-1,3-디옥솔란</v>
          </cell>
          <cell r="D335" t="str">
            <v>4류 제1석유류(비수용성)</v>
          </cell>
          <cell r="E335" t="str">
            <v>200리터</v>
          </cell>
          <cell r="F335">
            <v>1993</v>
          </cell>
        </row>
        <row r="336">
          <cell r="B336" t="str">
            <v>5021-93-2</v>
          </cell>
          <cell r="C336" t="str">
            <v>디에톡시디메틸실란</v>
          </cell>
          <cell r="D336" t="str">
            <v>4류 제1석유류(비수용성)</v>
          </cell>
          <cell r="E336" t="str">
            <v>200리터</v>
          </cell>
          <cell r="F336">
            <v>1993</v>
          </cell>
        </row>
        <row r="337">
          <cell r="B337" t="str">
            <v>503-30-0</v>
          </cell>
          <cell r="C337" t="str">
            <v>트리메틸렌옥사이드</v>
          </cell>
          <cell r="D337" t="str">
            <v>4류 제1석유류(비수용성)</v>
          </cell>
          <cell r="E337" t="str">
            <v>200리터</v>
          </cell>
          <cell r="F337">
            <v>1993</v>
          </cell>
        </row>
        <row r="338">
          <cell r="B338" t="str">
            <v>503-60-6</v>
          </cell>
          <cell r="C338" t="str">
            <v>클로로-3-메틸-2-부텐</v>
          </cell>
          <cell r="D338" t="str">
            <v>4류 제1석유류(비수용성)</v>
          </cell>
          <cell r="E338" t="str">
            <v>200리터</v>
          </cell>
          <cell r="F338">
            <v>1993</v>
          </cell>
        </row>
        <row r="339">
          <cell r="B339" t="str">
            <v>505-22-6</v>
          </cell>
          <cell r="C339" t="str">
            <v>1,3-디옥산</v>
          </cell>
          <cell r="D339" t="str">
            <v>4류 제1석유류(비수용성)</v>
          </cell>
          <cell r="E339" t="str">
            <v>200리터</v>
          </cell>
          <cell r="F339">
            <v>1165</v>
          </cell>
        </row>
        <row r="340">
          <cell r="B340" t="str">
            <v>507-20-0</v>
          </cell>
          <cell r="C340" t="str">
            <v>클로로-2-메틸프로판</v>
          </cell>
          <cell r="D340" t="str">
            <v>4류 제1석유류(비수용성)</v>
          </cell>
          <cell r="E340" t="str">
            <v>200리터</v>
          </cell>
          <cell r="F340">
            <v>1127</v>
          </cell>
        </row>
        <row r="341">
          <cell r="B341" t="str">
            <v>507-36-8</v>
          </cell>
          <cell r="C341" t="str">
            <v>삼차-아밀브로마이드</v>
          </cell>
          <cell r="D341" t="str">
            <v>4류 제1석유류(비수용성)</v>
          </cell>
          <cell r="E341" t="str">
            <v>200리터</v>
          </cell>
          <cell r="F341">
            <v>1993</v>
          </cell>
        </row>
        <row r="342">
          <cell r="B342" t="str">
            <v>513-36-0</v>
          </cell>
          <cell r="C342" t="str">
            <v>클로로-2-메틸프로탄</v>
          </cell>
          <cell r="D342" t="str">
            <v>4류 제1석유류(비수용성)</v>
          </cell>
          <cell r="E342" t="str">
            <v>200리터</v>
          </cell>
          <cell r="F342">
            <v>1127</v>
          </cell>
        </row>
        <row r="343">
          <cell r="B343" t="str">
            <v>513-37-1</v>
          </cell>
          <cell r="C343" t="str">
            <v>클로로-2-메틸-1-프로펜</v>
          </cell>
          <cell r="D343" t="str">
            <v>4류 제1석유류(비수용성)</v>
          </cell>
          <cell r="E343" t="str">
            <v>200리터</v>
          </cell>
          <cell r="F343">
            <v>1127</v>
          </cell>
        </row>
        <row r="344">
          <cell r="B344" t="str">
            <v>513-44-0</v>
          </cell>
          <cell r="C344" t="str">
            <v>이소부틸메르캅탄</v>
          </cell>
          <cell r="D344" t="str">
            <v>4류 제1석유류(비수용성)</v>
          </cell>
          <cell r="E344" t="str">
            <v>200리터</v>
          </cell>
          <cell r="F344">
            <v>2347</v>
          </cell>
        </row>
        <row r="345">
          <cell r="B345" t="str">
            <v>513-53-1</v>
          </cell>
          <cell r="C345" t="str">
            <v>sec-부틸메르캅탄</v>
          </cell>
          <cell r="D345" t="str">
            <v>4류 제1석유류(비수용성)</v>
          </cell>
          <cell r="E345" t="str">
            <v>200리터</v>
          </cell>
          <cell r="F345">
            <v>2347</v>
          </cell>
        </row>
        <row r="346">
          <cell r="B346" t="str">
            <v>513-81-5</v>
          </cell>
          <cell r="C346" t="str">
            <v>2,3-디메틸-1,3-부타디엔</v>
          </cell>
          <cell r="D346" t="str">
            <v>4류 제1석유류(비수용성)</v>
          </cell>
          <cell r="E346" t="str">
            <v>200리터</v>
          </cell>
          <cell r="F346">
            <v>3295</v>
          </cell>
        </row>
        <row r="347">
          <cell r="B347" t="str">
            <v>534-15-6</v>
          </cell>
          <cell r="C347" t="str">
            <v>1,1-디메톡시에탄</v>
          </cell>
          <cell r="D347" t="str">
            <v>4류 제1석유류(비수용성)</v>
          </cell>
          <cell r="E347" t="str">
            <v>200리터</v>
          </cell>
          <cell r="F347">
            <v>2377</v>
          </cell>
        </row>
        <row r="348">
          <cell r="B348" t="str">
            <v>534-22-5</v>
          </cell>
          <cell r="C348" t="str">
            <v>2-메틸퓨란</v>
          </cell>
          <cell r="D348" t="str">
            <v>4류 제1석유류(비수용성)</v>
          </cell>
          <cell r="E348" t="str">
            <v>200리터</v>
          </cell>
          <cell r="F348">
            <v>2301</v>
          </cell>
        </row>
        <row r="349">
          <cell r="B349" t="str">
            <v>540-36-3</v>
          </cell>
          <cell r="C349" t="str">
            <v>디플로로벤젠(1,4-)</v>
          </cell>
          <cell r="D349" t="str">
            <v>4류 제1석유류(비수용성)</v>
          </cell>
          <cell r="E349" t="str">
            <v>200리터</v>
          </cell>
          <cell r="F349">
            <v>1993</v>
          </cell>
        </row>
        <row r="350">
          <cell r="B350" t="str">
            <v>540-84-1</v>
          </cell>
          <cell r="C350" t="str">
            <v>2,2,4-트리메칠펜탄</v>
          </cell>
          <cell r="D350" t="str">
            <v>4류 제1석유류(비수용성)</v>
          </cell>
          <cell r="E350" t="str">
            <v>200리터</v>
          </cell>
          <cell r="F350">
            <v>1262</v>
          </cell>
        </row>
        <row r="351">
          <cell r="B351" t="str">
            <v>540-86-5</v>
          </cell>
          <cell r="C351" t="str">
            <v>아세트산3차부틸에스테르</v>
          </cell>
          <cell r="D351" t="str">
            <v>4류 제1석유류(비수용성)</v>
          </cell>
          <cell r="E351" t="str">
            <v>200리터</v>
          </cell>
          <cell r="F351">
            <v>1123</v>
          </cell>
        </row>
        <row r="352">
          <cell r="B352" t="str">
            <v>541-31-1</v>
          </cell>
          <cell r="C352" t="str">
            <v>이소메르캅탄</v>
          </cell>
          <cell r="D352" t="str">
            <v>4류 제1석유류(비수용성)</v>
          </cell>
          <cell r="E352" t="str">
            <v>200리터</v>
          </cell>
          <cell r="F352">
            <v>1228</v>
          </cell>
        </row>
        <row r="353">
          <cell r="B353" t="str">
            <v>541-41-3</v>
          </cell>
          <cell r="C353" t="str">
            <v>클로로탄산 에틸에스테르</v>
          </cell>
          <cell r="D353" t="str">
            <v>4류 제1석유류(비수용성)</v>
          </cell>
          <cell r="E353" t="str">
            <v>200리터</v>
          </cell>
          <cell r="F353">
            <v>1182</v>
          </cell>
        </row>
        <row r="354">
          <cell r="B354" t="str">
            <v>5419-55-6</v>
          </cell>
          <cell r="C354" t="str">
            <v>보릭산트리이소프로필에스테르</v>
          </cell>
          <cell r="D354" t="str">
            <v>4류 제1석유류(비수용성)</v>
          </cell>
          <cell r="E354" t="str">
            <v>200리터</v>
          </cell>
          <cell r="F354">
            <v>2616</v>
          </cell>
        </row>
        <row r="355">
          <cell r="B355" t="str">
            <v>543-59-9</v>
          </cell>
          <cell r="C355" t="str">
            <v>노르말-아밀클로라이드</v>
          </cell>
          <cell r="D355" t="str">
            <v>4류 제1석유류(비수용성)</v>
          </cell>
          <cell r="E355" t="str">
            <v>200리터</v>
          </cell>
          <cell r="F355">
            <v>1107</v>
          </cell>
        </row>
        <row r="356">
          <cell r="B356" t="str">
            <v>544-25-2</v>
          </cell>
          <cell r="C356" t="str">
            <v>1,3,5-시클로헵타트리</v>
          </cell>
          <cell r="D356" t="str">
            <v>4류 제1석유류(비수용성)</v>
          </cell>
          <cell r="E356" t="str">
            <v>200리터</v>
          </cell>
          <cell r="F356">
            <v>2603</v>
          </cell>
        </row>
        <row r="357">
          <cell r="B357" t="str">
            <v>547-63-7</v>
          </cell>
          <cell r="C357" t="str">
            <v>이소부틸산메틸에스테르</v>
          </cell>
          <cell r="D357" t="str">
            <v>4류 제1석유류(비수용성)</v>
          </cell>
          <cell r="E357" t="str">
            <v>200리터</v>
          </cell>
          <cell r="F357">
            <v>1237</v>
          </cell>
        </row>
        <row r="358">
          <cell r="B358" t="str">
            <v>5507-44-8</v>
          </cell>
          <cell r="C358" t="str">
            <v>디에톡시메틸비닐실란</v>
          </cell>
          <cell r="D358" t="str">
            <v>4류 제1석유류(비수용성)</v>
          </cell>
          <cell r="E358" t="str">
            <v>200리터</v>
          </cell>
          <cell r="F358">
            <v>1993</v>
          </cell>
        </row>
        <row r="359">
          <cell r="B359" t="str">
            <v>554-12-1</v>
          </cell>
          <cell r="C359" t="str">
            <v>Methyl propionate</v>
          </cell>
          <cell r="D359" t="str">
            <v>4류 제1석유류(비수용성)</v>
          </cell>
          <cell r="E359" t="str">
            <v>200리터</v>
          </cell>
          <cell r="F359">
            <v>1248</v>
          </cell>
        </row>
        <row r="360">
          <cell r="B360" t="str">
            <v>554-14-3</v>
          </cell>
          <cell r="C360" t="str">
            <v>메틸(2-)티오펜</v>
          </cell>
          <cell r="D360" t="str">
            <v>4류 제1석유류(비수용성)</v>
          </cell>
          <cell r="E360" t="str">
            <v>200리터</v>
          </cell>
          <cell r="F360">
            <v>1993</v>
          </cell>
        </row>
        <row r="361">
          <cell r="B361" t="str">
            <v>556-24-1</v>
          </cell>
          <cell r="C361" t="str">
            <v>메틸 이소발레레이트</v>
          </cell>
          <cell r="D361" t="str">
            <v>4류 제1석유류(비수용성)</v>
          </cell>
          <cell r="E361" t="str">
            <v>200리터</v>
          </cell>
          <cell r="F361">
            <v>2400</v>
          </cell>
        </row>
        <row r="362">
          <cell r="B362" t="str">
            <v>556-56-9</v>
          </cell>
          <cell r="C362" t="str">
            <v>알릴요오다이드</v>
          </cell>
          <cell r="D362" t="str">
            <v>4류 제1석유류(비수용성)</v>
          </cell>
          <cell r="E362" t="str">
            <v>200리터</v>
          </cell>
          <cell r="F362">
            <v>1723</v>
          </cell>
        </row>
        <row r="363">
          <cell r="B363" t="str">
            <v>557-31-3</v>
          </cell>
          <cell r="C363" t="str">
            <v>알릴에틸에테르</v>
          </cell>
          <cell r="D363" t="str">
            <v>4류 제1석유류(비수용성)</v>
          </cell>
          <cell r="E363" t="str">
            <v>200리터</v>
          </cell>
          <cell r="F363">
            <v>2335</v>
          </cell>
        </row>
        <row r="364">
          <cell r="B364" t="str">
            <v>557-40-4</v>
          </cell>
          <cell r="C364" t="str">
            <v>알릴에테르</v>
          </cell>
          <cell r="D364" t="str">
            <v>4류 제1석유류(비수용성)</v>
          </cell>
          <cell r="E364" t="str">
            <v>200리터</v>
          </cell>
          <cell r="F364">
            <v>2360</v>
          </cell>
        </row>
        <row r="365">
          <cell r="B365" t="str">
            <v>5575-43-9</v>
          </cell>
          <cell r="C365" t="str">
            <v>이소프로폭시(2-에틸-1,3-헥산디올...</v>
          </cell>
          <cell r="D365" t="str">
            <v>4류 제1석유류(비수용성)</v>
          </cell>
          <cell r="E365" t="str">
            <v>200리터</v>
          </cell>
          <cell r="F365">
            <v>1993</v>
          </cell>
        </row>
        <row r="366">
          <cell r="B366" t="str">
            <v>557-93-7</v>
          </cell>
          <cell r="C366" t="str">
            <v>2-브로모-1-프로펜</v>
          </cell>
          <cell r="D366" t="str">
            <v>4류 제1석유류(비수용성)</v>
          </cell>
          <cell r="E366" t="str">
            <v>200리터</v>
          </cell>
          <cell r="F366">
            <v>1993</v>
          </cell>
        </row>
        <row r="367">
          <cell r="B367" t="str">
            <v>558-37-2</v>
          </cell>
          <cell r="C367" t="str">
            <v>3.3-디메틸-1-부텐</v>
          </cell>
          <cell r="D367" t="str">
            <v>4류 제1석유류(비수용성)</v>
          </cell>
          <cell r="E367" t="str">
            <v>200리터</v>
          </cell>
          <cell r="F367">
            <v>3295</v>
          </cell>
        </row>
        <row r="368">
          <cell r="B368" t="str">
            <v>563-47-3</v>
          </cell>
          <cell r="C368" t="str">
            <v>메탈릴클로라이드</v>
          </cell>
          <cell r="D368" t="str">
            <v>4류 제1석유류(비수용성)</v>
          </cell>
          <cell r="E368" t="str">
            <v>200리터</v>
          </cell>
          <cell r="F368">
            <v>2554</v>
          </cell>
        </row>
        <row r="369">
          <cell r="B369" t="str">
            <v>563-52-0</v>
          </cell>
          <cell r="C369" t="str">
            <v>클로로(3-)-1-부텐</v>
          </cell>
          <cell r="D369" t="str">
            <v>4류 제1석유류(비수용성)</v>
          </cell>
          <cell r="E369" t="str">
            <v>200리터</v>
          </cell>
          <cell r="F369">
            <v>1993</v>
          </cell>
        </row>
        <row r="370">
          <cell r="B370" t="str">
            <v>563-58-6</v>
          </cell>
          <cell r="C370" t="str">
            <v>1,1-디클로로프로펜</v>
          </cell>
          <cell r="D370" t="str">
            <v>4류 제1석유류(비수용성)</v>
          </cell>
          <cell r="E370" t="str">
            <v>200리터</v>
          </cell>
          <cell r="F370">
            <v>1230</v>
          </cell>
        </row>
        <row r="371">
          <cell r="B371" t="str">
            <v>563-79-1</v>
          </cell>
          <cell r="C371" t="str">
            <v>디메칠(2,3)-2-부텐</v>
          </cell>
          <cell r="D371" t="str">
            <v>4류 제1석유류(비수용성)</v>
          </cell>
          <cell r="E371" t="str">
            <v>200리터</v>
          </cell>
          <cell r="F371">
            <v>3295</v>
          </cell>
        </row>
        <row r="372">
          <cell r="B372" t="str">
            <v>563-80-4</v>
          </cell>
          <cell r="C372" t="str">
            <v>메틸이소프로필케톤</v>
          </cell>
          <cell r="D372" t="str">
            <v>4류 제1석유류(비수용성)</v>
          </cell>
          <cell r="E372" t="str">
            <v>200리터</v>
          </cell>
          <cell r="F372">
            <v>2397</v>
          </cell>
        </row>
        <row r="373">
          <cell r="B373" t="str">
            <v>565-59-3</v>
          </cell>
          <cell r="C373" t="str">
            <v>2,3-디메틸펜탄</v>
          </cell>
          <cell r="D373" t="str">
            <v>4류 제1석유류(비수용성)</v>
          </cell>
          <cell r="E373" t="str">
            <v>200리터</v>
          </cell>
          <cell r="F373">
            <v>3295</v>
          </cell>
        </row>
        <row r="374">
          <cell r="B374" t="str">
            <v>565-69-5</v>
          </cell>
          <cell r="C374" t="str">
            <v>메틸(2-)-3-펜탄온</v>
          </cell>
          <cell r="D374" t="str">
            <v>4류 제1석유류(비수용성)</v>
          </cell>
          <cell r="E374" t="str">
            <v>200리터</v>
          </cell>
          <cell r="F374">
            <v>1224</v>
          </cell>
        </row>
        <row r="375">
          <cell r="B375" t="str">
            <v>565-80-0</v>
          </cell>
          <cell r="C375" t="str">
            <v>디이소프로필 케톤</v>
          </cell>
          <cell r="D375" t="str">
            <v>4류 제1석유류(비수용성)</v>
          </cell>
          <cell r="E375" t="str">
            <v>200리터</v>
          </cell>
          <cell r="F375">
            <v>1224</v>
          </cell>
        </row>
        <row r="376">
          <cell r="B376" t="str">
            <v>57-14-7</v>
          </cell>
          <cell r="C376" t="str">
            <v>N,N-디메틸하이드라진</v>
          </cell>
          <cell r="D376" t="str">
            <v>4류 제1석유류(비수용성)</v>
          </cell>
          <cell r="E376" t="str">
            <v>200리터</v>
          </cell>
          <cell r="F376">
            <v>1163</v>
          </cell>
        </row>
        <row r="377">
          <cell r="B377" t="str">
            <v>583-48-2</v>
          </cell>
          <cell r="C377" t="str">
            <v>디메틸헥산(3,4)</v>
          </cell>
          <cell r="D377" t="str">
            <v>4류 제1석유류(비수용성)</v>
          </cell>
          <cell r="E377" t="str">
            <v>200리터</v>
          </cell>
          <cell r="F377">
            <v>1262</v>
          </cell>
        </row>
        <row r="378">
          <cell r="B378" t="str">
            <v>589-34-4</v>
          </cell>
          <cell r="C378" t="str">
            <v>메틸(3-)헥산</v>
          </cell>
          <cell r="D378" t="str">
            <v>4류 제1석유류(비수용성)</v>
          </cell>
          <cell r="E378" t="str">
            <v>200리터</v>
          </cell>
          <cell r="F378">
            <v>1206</v>
          </cell>
        </row>
        <row r="379">
          <cell r="B379" t="str">
            <v>589-43-5</v>
          </cell>
          <cell r="C379" t="str">
            <v>디메틸헥산(2.4)</v>
          </cell>
          <cell r="D379" t="str">
            <v>4류 제1석유류(비수용성)</v>
          </cell>
          <cell r="E379" t="str">
            <v>200리터</v>
          </cell>
          <cell r="F379">
            <v>1262</v>
          </cell>
        </row>
        <row r="380">
          <cell r="B380" t="str">
            <v>589-53-7</v>
          </cell>
          <cell r="C380" t="str">
            <v>메틸(4-)헵탄</v>
          </cell>
          <cell r="D380" t="str">
            <v>4류 제1석유류(비수용성)</v>
          </cell>
          <cell r="E380" t="str">
            <v>200리터</v>
          </cell>
          <cell r="F380">
            <v>1262</v>
          </cell>
        </row>
        <row r="381">
          <cell r="B381" t="str">
            <v>589-81-1</v>
          </cell>
          <cell r="C381" t="str">
            <v>메틸(3-)헵탄</v>
          </cell>
          <cell r="D381" t="str">
            <v>4류 제1석유류(비수용성)</v>
          </cell>
          <cell r="E381" t="str">
            <v>200리터</v>
          </cell>
          <cell r="F381">
            <v>1262</v>
          </cell>
        </row>
        <row r="382">
          <cell r="B382" t="str">
            <v>589-90-2</v>
          </cell>
          <cell r="C382" t="str">
            <v>1,4-디메틸 사이클로헥산</v>
          </cell>
          <cell r="D382" t="str">
            <v>4류 제1석유류(비수용성)</v>
          </cell>
          <cell r="E382" t="str">
            <v>200리터</v>
          </cell>
          <cell r="F382">
            <v>2263</v>
          </cell>
        </row>
        <row r="383">
          <cell r="B383" t="str">
            <v>590-14-7</v>
          </cell>
          <cell r="C383" t="str">
            <v>1-브로모-1-프로펜</v>
          </cell>
          <cell r="D383" t="str">
            <v>4류 제1석유류(비수용성)</v>
          </cell>
          <cell r="E383" t="str">
            <v>200리터</v>
          </cell>
          <cell r="F383">
            <v>1993</v>
          </cell>
        </row>
        <row r="384">
          <cell r="B384" t="str">
            <v>590-73-8</v>
          </cell>
          <cell r="C384" t="str">
            <v>디메틸헥산(2.2)</v>
          </cell>
          <cell r="D384" t="str">
            <v>4류 제1석유류(비수용성)</v>
          </cell>
          <cell r="E384" t="str">
            <v>200리터</v>
          </cell>
          <cell r="F384">
            <v>3295</v>
          </cell>
        </row>
        <row r="385">
          <cell r="B385" t="str">
            <v>590-86-3</v>
          </cell>
          <cell r="C385" t="str">
            <v>이소밸러알데히드</v>
          </cell>
          <cell r="D385" t="str">
            <v>4류 제1석유류(비수용성)</v>
          </cell>
          <cell r="E385" t="str">
            <v>200리터</v>
          </cell>
          <cell r="F385">
            <v>1989</v>
          </cell>
        </row>
        <row r="386">
          <cell r="B386" t="str">
            <v>591-21-9</v>
          </cell>
          <cell r="C386" t="str">
            <v>1,3-디메틸 사이클로헥산</v>
          </cell>
          <cell r="D386" t="str">
            <v>4류 제1석유류(비수용성)</v>
          </cell>
          <cell r="E386" t="str">
            <v>200리터</v>
          </cell>
          <cell r="F386">
            <v>2263</v>
          </cell>
        </row>
        <row r="387">
          <cell r="B387" t="str">
            <v>591-47-9</v>
          </cell>
          <cell r="C387" t="str">
            <v>메틸(4)-1-시클로헥센</v>
          </cell>
          <cell r="D387" t="str">
            <v>4류 제1석유류(비수용성)</v>
          </cell>
          <cell r="E387" t="str">
            <v>200리터</v>
          </cell>
          <cell r="F387">
            <v>3295</v>
          </cell>
        </row>
        <row r="388">
          <cell r="B388" t="str">
            <v>591-49-1</v>
          </cell>
          <cell r="C388" t="str">
            <v>메틸(1-)-1-시클로헥센</v>
          </cell>
          <cell r="D388" t="str">
            <v>4류 제1석유류(비수용성)</v>
          </cell>
          <cell r="E388" t="str">
            <v>200리터</v>
          </cell>
          <cell r="F388">
            <v>3295</v>
          </cell>
        </row>
        <row r="389">
          <cell r="B389" t="str">
            <v>591-87-7</v>
          </cell>
          <cell r="C389" t="str">
            <v>아세트산알릴</v>
          </cell>
          <cell r="D389" t="str">
            <v>4류 제1석유류(비수용성)</v>
          </cell>
          <cell r="E389" t="str">
            <v>200리터</v>
          </cell>
          <cell r="F389">
            <v>2333</v>
          </cell>
        </row>
        <row r="390">
          <cell r="B390" t="str">
            <v>591-97-9</v>
          </cell>
          <cell r="C390" t="str">
            <v>크로틸클로라이드</v>
          </cell>
          <cell r="D390" t="str">
            <v>4류 제1석유류(비수용성)</v>
          </cell>
          <cell r="E390" t="str">
            <v>200리터</v>
          </cell>
          <cell r="F390">
            <v>2924</v>
          </cell>
        </row>
        <row r="391">
          <cell r="B391" t="str">
            <v>592-27-8</v>
          </cell>
          <cell r="C391" t="str">
            <v>메틸(2-)헵탄</v>
          </cell>
          <cell r="D391" t="str">
            <v>4류 제1석유류(비수용성)</v>
          </cell>
          <cell r="E391" t="str">
            <v>200리터</v>
          </cell>
          <cell r="F391">
            <v>1262</v>
          </cell>
        </row>
        <row r="392">
          <cell r="B392" t="str">
            <v>592-41-6</v>
          </cell>
          <cell r="C392" t="str">
            <v>헥실렌</v>
          </cell>
          <cell r="D392" t="str">
            <v>4류 제1석유류(비수용성)</v>
          </cell>
          <cell r="E392" t="str">
            <v>200리터</v>
          </cell>
          <cell r="F392">
            <v>2370</v>
          </cell>
        </row>
        <row r="393">
          <cell r="B393" t="str">
            <v>592-43-8</v>
          </cell>
          <cell r="C393" t="str">
            <v>헥센(2-)</v>
          </cell>
          <cell r="D393" t="str">
            <v>4류 제1석유류(비수용성)</v>
          </cell>
          <cell r="E393" t="str">
            <v>200리터</v>
          </cell>
          <cell r="F393">
            <v>3295</v>
          </cell>
        </row>
        <row r="394">
          <cell r="B394" t="str">
            <v>592-57-4</v>
          </cell>
          <cell r="C394" t="str">
            <v>시클로헥사디엔</v>
          </cell>
          <cell r="D394" t="str">
            <v>4류 제1석유류(비수용성)</v>
          </cell>
          <cell r="E394" t="str">
            <v>200리터</v>
          </cell>
          <cell r="F394">
            <v>3295</v>
          </cell>
        </row>
        <row r="395">
          <cell r="B395" t="str">
            <v>592-84-7</v>
          </cell>
          <cell r="C395" t="str">
            <v>부틸포메이트</v>
          </cell>
          <cell r="D395" t="str">
            <v>4류 제1석유류(비수용성)</v>
          </cell>
          <cell r="E395" t="str">
            <v>200리터</v>
          </cell>
          <cell r="F395">
            <v>1128</v>
          </cell>
        </row>
        <row r="396">
          <cell r="B396" t="str">
            <v>593-74-8</v>
          </cell>
          <cell r="C396" t="str">
            <v>디메틸 수은</v>
          </cell>
          <cell r="D396" t="str">
            <v>4류 제1석유류(비수용성)</v>
          </cell>
          <cell r="E396" t="str">
            <v>200리터</v>
          </cell>
          <cell r="F396">
            <v>3383</v>
          </cell>
        </row>
        <row r="397">
          <cell r="B397" t="str">
            <v>594-20-7</v>
          </cell>
          <cell r="C397" t="str">
            <v>2,2디클로로프로판</v>
          </cell>
          <cell r="D397" t="str">
            <v>4류 제1석유류(비수용성)</v>
          </cell>
          <cell r="E397" t="str">
            <v>200리터</v>
          </cell>
          <cell r="F397">
            <v>1993</v>
          </cell>
        </row>
        <row r="398">
          <cell r="B398" t="str">
            <v>594-27-4</v>
          </cell>
          <cell r="C398" t="str">
            <v>테트라메틸주석</v>
          </cell>
          <cell r="D398" t="str">
            <v>4류 제1석유류(비수용성)</v>
          </cell>
          <cell r="E398" t="str">
            <v>200리터</v>
          </cell>
          <cell r="F398">
            <v>3384</v>
          </cell>
        </row>
        <row r="399">
          <cell r="B399" t="str">
            <v>594-36-5</v>
          </cell>
          <cell r="C399" t="str">
            <v>클로로-2-메틸부탄</v>
          </cell>
          <cell r="D399" t="str">
            <v>4류 제1석유류(비수용성)</v>
          </cell>
          <cell r="E399" t="str">
            <v>200리터</v>
          </cell>
          <cell r="F399">
            <v>1993</v>
          </cell>
        </row>
        <row r="400">
          <cell r="B400" t="str">
            <v>594-37-6</v>
          </cell>
          <cell r="C400" t="str">
            <v>1,2-디클로로-2-메틸프로판</v>
          </cell>
          <cell r="D400" t="str">
            <v>4류 제1석유류(비수용성)</v>
          </cell>
          <cell r="E400" t="str">
            <v>200리터</v>
          </cell>
          <cell r="F400">
            <v>1992</v>
          </cell>
        </row>
        <row r="401">
          <cell r="B401" t="str">
            <v>594-39-8</v>
          </cell>
          <cell r="C401" t="str">
            <v>삼차-아밀아민</v>
          </cell>
          <cell r="D401" t="str">
            <v>4류 제1석유류(비수용성)</v>
          </cell>
          <cell r="E401" t="str">
            <v>200리터</v>
          </cell>
          <cell r="F401">
            <v>1106</v>
          </cell>
        </row>
        <row r="402">
          <cell r="B402" t="str">
            <v>594-56-9</v>
          </cell>
          <cell r="C402" t="str">
            <v>2,3,3-트리메칠-1-부탄</v>
          </cell>
          <cell r="D402" t="str">
            <v>4류 제1석유류(비수용성)</v>
          </cell>
          <cell r="E402" t="str">
            <v>200리터</v>
          </cell>
          <cell r="F402">
            <v>3295</v>
          </cell>
        </row>
        <row r="403">
          <cell r="B403" t="str">
            <v>598-25-4</v>
          </cell>
          <cell r="C403" t="str">
            <v>3-메틸-1,3-부타디엔</v>
          </cell>
          <cell r="D403" t="str">
            <v>4류 제1석유류(비수용성)</v>
          </cell>
          <cell r="E403" t="str">
            <v>200리터</v>
          </cell>
          <cell r="F403">
            <v>3295</v>
          </cell>
        </row>
        <row r="404">
          <cell r="B404" t="str">
            <v>598-74-3</v>
          </cell>
          <cell r="C404" t="str">
            <v>1,2-디메틸프로필아민</v>
          </cell>
          <cell r="D404" t="str">
            <v>4류 제1석유류(비수용성)</v>
          </cell>
          <cell r="E404" t="str">
            <v>200리터</v>
          </cell>
          <cell r="F404">
            <v>3286</v>
          </cell>
        </row>
        <row r="405">
          <cell r="B405" t="str">
            <v>598-98-1</v>
          </cell>
          <cell r="C405" t="str">
            <v>2,2-디메틸프로패노익산,메틸에스테르</v>
          </cell>
          <cell r="D405" t="str">
            <v>4류 제1석유류(비수용성)</v>
          </cell>
          <cell r="E405" t="str">
            <v>200리터</v>
          </cell>
          <cell r="F405">
            <v>3272</v>
          </cell>
        </row>
        <row r="406">
          <cell r="B406" t="str">
            <v>600-14-6</v>
          </cell>
          <cell r="C406" t="str">
            <v>펜탄디온(2,3-)</v>
          </cell>
          <cell r="D406" t="str">
            <v>4류 제1석유류(비수용성)</v>
          </cell>
          <cell r="E406" t="str">
            <v>200리터</v>
          </cell>
          <cell r="F406">
            <v>1224</v>
          </cell>
        </row>
        <row r="407">
          <cell r="B407" t="str">
            <v>609-26-7</v>
          </cell>
          <cell r="C407" t="str">
            <v>에틸(3-)-2메틸펜탄</v>
          </cell>
          <cell r="D407" t="str">
            <v>4류 제1석유류(비수용성)</v>
          </cell>
          <cell r="E407" t="str">
            <v>200리터</v>
          </cell>
          <cell r="F407">
            <v>1262</v>
          </cell>
        </row>
        <row r="408">
          <cell r="B408" t="str">
            <v>6094-02-6</v>
          </cell>
          <cell r="C408" t="str">
            <v>메틸(2-)-1-헥센</v>
          </cell>
          <cell r="D408" t="str">
            <v>4류 제1석유류(비수용성)</v>
          </cell>
          <cell r="E408" t="str">
            <v>200리터</v>
          </cell>
          <cell r="F408">
            <v>2287</v>
          </cell>
        </row>
        <row r="409">
          <cell r="B409" t="str">
            <v>616-12-6</v>
          </cell>
          <cell r="C409" t="str">
            <v>메틸(트란스-3)-2-펜텐</v>
          </cell>
          <cell r="D409" t="str">
            <v>4류 제1석유류(비수용성)</v>
          </cell>
          <cell r="E409" t="str">
            <v>200리터</v>
          </cell>
          <cell r="F409">
            <v>3295</v>
          </cell>
        </row>
        <row r="410">
          <cell r="B410" t="str">
            <v>616-38-6</v>
          </cell>
          <cell r="C410" t="str">
            <v>디메틸카보네이트</v>
          </cell>
          <cell r="D410" t="str">
            <v>4류 제1석유류(비수용성)</v>
          </cell>
          <cell r="E410" t="str">
            <v>200리터</v>
          </cell>
          <cell r="F410">
            <v>1161</v>
          </cell>
        </row>
        <row r="411">
          <cell r="B411" t="str">
            <v>616-39-7</v>
          </cell>
          <cell r="C411" t="str">
            <v>노르말디메칠아민</v>
          </cell>
          <cell r="D411" t="str">
            <v>4류 제1석유류(비수용성)</v>
          </cell>
          <cell r="E411" t="str">
            <v>200리터</v>
          </cell>
          <cell r="F411">
            <v>2733</v>
          </cell>
        </row>
        <row r="412">
          <cell r="B412" t="str">
            <v>616-44-4</v>
          </cell>
          <cell r="C412" t="str">
            <v>메틸(3-)티오펜</v>
          </cell>
          <cell r="D412" t="str">
            <v>4류 제1석유류(비수용성)</v>
          </cell>
          <cell r="E412" t="str">
            <v>200리터</v>
          </cell>
          <cell r="F412">
            <v>1993</v>
          </cell>
        </row>
        <row r="413">
          <cell r="B413" t="str">
            <v>6224-91-5</v>
          </cell>
          <cell r="C413" t="str">
            <v>1-트리메틸실릴-1-프로핀</v>
          </cell>
          <cell r="D413" t="str">
            <v>4류 제1석유류(비수용성)</v>
          </cell>
          <cell r="E413" t="str">
            <v>200리터</v>
          </cell>
          <cell r="F413">
            <v>1993</v>
          </cell>
        </row>
        <row r="414">
          <cell r="B414" t="str">
            <v>623-43-8</v>
          </cell>
          <cell r="C414" t="str">
            <v>크로톤산메틸에스테르</v>
          </cell>
          <cell r="D414" t="str">
            <v>4류 제1석유류(비수용성)</v>
          </cell>
          <cell r="E414" t="str">
            <v>200리터</v>
          </cell>
          <cell r="F414">
            <v>3272</v>
          </cell>
        </row>
        <row r="415">
          <cell r="B415" t="str">
            <v>623-70-1</v>
          </cell>
          <cell r="C415" t="str">
            <v>크로톤산에틸에스테르</v>
          </cell>
          <cell r="D415" t="str">
            <v>4류 제1석유류(비수용성)</v>
          </cell>
          <cell r="E415" t="str">
            <v>200리터</v>
          </cell>
          <cell r="F415">
            <v>1862</v>
          </cell>
        </row>
        <row r="416">
          <cell r="B416" t="str">
            <v>624-29-3</v>
          </cell>
          <cell r="C416" t="str">
            <v>디메틸시클로헥산(시스1,4)</v>
          </cell>
          <cell r="D416" t="str">
            <v>4류 제1석유류(비수용성)</v>
          </cell>
          <cell r="E416" t="str">
            <v>200리터</v>
          </cell>
          <cell r="F416">
            <v>2263</v>
          </cell>
        </row>
        <row r="417">
          <cell r="B417" t="str">
            <v>624-65-7</v>
          </cell>
          <cell r="C417" t="str">
            <v>프로파질클로라이드</v>
          </cell>
          <cell r="D417" t="str">
            <v>4류 제1석유류(비수용성)</v>
          </cell>
          <cell r="E417" t="str">
            <v>200리터</v>
          </cell>
          <cell r="F417">
            <v>3286</v>
          </cell>
        </row>
        <row r="418">
          <cell r="B418" t="str">
            <v>624-83-9</v>
          </cell>
          <cell r="C418" t="str">
            <v>메틸 이소시아네이트</v>
          </cell>
          <cell r="D418" t="str">
            <v>4류 제1석유류(비수용성)</v>
          </cell>
          <cell r="E418" t="str">
            <v>200리터</v>
          </cell>
          <cell r="F418">
            <v>2480</v>
          </cell>
        </row>
        <row r="419">
          <cell r="B419" t="str">
            <v>624-89-5</v>
          </cell>
          <cell r="C419" t="str">
            <v>에틸 메틸 설파이드</v>
          </cell>
          <cell r="D419" t="str">
            <v>4류 제1석유류(비수용성)</v>
          </cell>
          <cell r="E419" t="str">
            <v>200리터</v>
          </cell>
          <cell r="F419">
            <v>1993</v>
          </cell>
        </row>
        <row r="420">
          <cell r="B420" t="str">
            <v>624-92-0</v>
          </cell>
          <cell r="C420" t="str">
            <v>디메틸디설파이드</v>
          </cell>
          <cell r="D420" t="str">
            <v>4류 제1석유류(비수용성)</v>
          </cell>
          <cell r="E420" t="str">
            <v>200리터</v>
          </cell>
          <cell r="F420">
            <v>1992</v>
          </cell>
        </row>
        <row r="421">
          <cell r="B421" t="str">
            <v>625-80-9</v>
          </cell>
          <cell r="C421" t="str">
            <v>이소프로필술파이드</v>
          </cell>
          <cell r="D421" t="str">
            <v>4류 제1석유류(비수용성)</v>
          </cell>
          <cell r="E421" t="str">
            <v>200리터</v>
          </cell>
          <cell r="F421">
            <v>1993</v>
          </cell>
        </row>
        <row r="422">
          <cell r="B422" t="str">
            <v>625-98-9</v>
          </cell>
          <cell r="C422" t="str">
            <v>클로로(3-)플로로벤젠</v>
          </cell>
          <cell r="D422" t="str">
            <v>4류 제1석유류(비수용성)</v>
          </cell>
          <cell r="E422" t="str">
            <v>200리터</v>
          </cell>
          <cell r="F422">
            <v>1993</v>
          </cell>
        </row>
        <row r="423">
          <cell r="B423" t="str">
            <v>627-19-0</v>
          </cell>
          <cell r="C423" t="str">
            <v>펜틴(1-)</v>
          </cell>
          <cell r="D423" t="str">
            <v>4류 제1석유류(비수용성)</v>
          </cell>
          <cell r="E423" t="str">
            <v>200리터</v>
          </cell>
          <cell r="F423">
            <v>3295</v>
          </cell>
        </row>
        <row r="424">
          <cell r="B424" t="str">
            <v>627-21-4</v>
          </cell>
          <cell r="C424" t="str">
            <v>2-펜틴</v>
          </cell>
          <cell r="D424" t="str">
            <v>4류 제1석유류(비수용성)</v>
          </cell>
          <cell r="E424" t="str">
            <v>200리터</v>
          </cell>
          <cell r="F424">
            <v>3295</v>
          </cell>
        </row>
        <row r="425">
          <cell r="B425" t="str">
            <v>627-42-9</v>
          </cell>
          <cell r="C425" t="str">
            <v>클로로(2-)에틸메틸에테르</v>
          </cell>
          <cell r="D425" t="str">
            <v>4류 제1석유류(비수용성)</v>
          </cell>
          <cell r="E425" t="str">
            <v>200리터</v>
          </cell>
          <cell r="F425">
            <v>3271</v>
          </cell>
        </row>
        <row r="426">
          <cell r="B426" t="str">
            <v>627-58-7</v>
          </cell>
          <cell r="C426" t="str">
            <v>2,5-디메틸-1,5-헥사디엔</v>
          </cell>
          <cell r="D426" t="str">
            <v>4류 제1석유류(비수용성)</v>
          </cell>
          <cell r="E426" t="str">
            <v>200리터</v>
          </cell>
          <cell r="F426">
            <v>3295</v>
          </cell>
        </row>
        <row r="427">
          <cell r="B427" t="str">
            <v>628-28-4</v>
          </cell>
          <cell r="C427" t="str">
            <v>부틸메틸에테르</v>
          </cell>
          <cell r="D427" t="str">
            <v>4류 제1석유류(비수용성)</v>
          </cell>
          <cell r="E427" t="str">
            <v>200리터</v>
          </cell>
          <cell r="F427">
            <v>2350</v>
          </cell>
        </row>
        <row r="428">
          <cell r="B428" t="str">
            <v>628-34-2</v>
          </cell>
          <cell r="C428" t="str">
            <v>클로로(2-)에틸에틸에테르</v>
          </cell>
          <cell r="D428" t="str">
            <v>4류 제1석유류(비수용성)</v>
          </cell>
          <cell r="E428" t="str">
            <v>200리터</v>
          </cell>
          <cell r="F428">
            <v>1992</v>
          </cell>
        </row>
        <row r="429">
          <cell r="B429" t="str">
            <v>628-81-9</v>
          </cell>
          <cell r="C429" t="str">
            <v>부틸에틸에테르</v>
          </cell>
          <cell r="D429" t="str">
            <v>4류 제1석유류(비수용성)</v>
          </cell>
          <cell r="E429" t="str">
            <v>200리터</v>
          </cell>
          <cell r="F429">
            <v>1179</v>
          </cell>
        </row>
        <row r="430">
          <cell r="B430" t="str">
            <v>630-18-2</v>
          </cell>
          <cell r="C430" t="str">
            <v>트리메틸아세토니트릴</v>
          </cell>
          <cell r="D430" t="str">
            <v>4류 제1석유류(비수용성)</v>
          </cell>
          <cell r="E430" t="str">
            <v>200리터</v>
          </cell>
          <cell r="F430">
            <v>1993</v>
          </cell>
        </row>
        <row r="431">
          <cell r="B431" t="str">
            <v>630-19-3</v>
          </cell>
          <cell r="C431" t="str">
            <v>피발알데히드</v>
          </cell>
          <cell r="D431" t="str">
            <v>4류 제1석유류(비수용성)</v>
          </cell>
          <cell r="E431" t="str">
            <v>200리터</v>
          </cell>
          <cell r="F431">
            <v>1989</v>
          </cell>
        </row>
        <row r="432">
          <cell r="B432" t="str">
            <v>64491-68-5</v>
          </cell>
          <cell r="C432" t="str">
            <v>(S)-(+)-글리시딜 메틸 에테르</v>
          </cell>
          <cell r="D432" t="str">
            <v>4류 제1석유류(비수용성)</v>
          </cell>
          <cell r="E432" t="str">
            <v>200리터</v>
          </cell>
          <cell r="F432">
            <v>3271</v>
          </cell>
        </row>
        <row r="433">
          <cell r="B433" t="str">
            <v>64491-70-9</v>
          </cell>
          <cell r="C433" t="str">
            <v>(R)-(-)-글리시딜 메틸 에테르</v>
          </cell>
          <cell r="D433" t="str">
            <v>4류 제1석유류(비수용성)</v>
          </cell>
          <cell r="E433" t="str">
            <v>200리터</v>
          </cell>
          <cell r="F433">
            <v>3271</v>
          </cell>
        </row>
        <row r="434">
          <cell r="B434" t="str">
            <v>646-04-8</v>
          </cell>
          <cell r="C434" t="str">
            <v>펜텐(트란스-2-)</v>
          </cell>
          <cell r="D434" t="str">
            <v>4류 제1석유류(비수용성)</v>
          </cell>
          <cell r="E434" t="str">
            <v>200리터</v>
          </cell>
          <cell r="F434">
            <v>3295</v>
          </cell>
        </row>
        <row r="435">
          <cell r="B435" t="str">
            <v>659-70-1</v>
          </cell>
          <cell r="C435" t="str">
            <v>이소길초산이소아밀</v>
          </cell>
          <cell r="D435" t="str">
            <v>4류 제1석유류(비수용성)</v>
          </cell>
          <cell r="E435" t="str">
            <v>200리터</v>
          </cell>
          <cell r="F435" t="str">
            <v/>
          </cell>
        </row>
        <row r="436">
          <cell r="B436" t="str">
            <v>674-76-0</v>
          </cell>
          <cell r="C436" t="str">
            <v>트렌스-4-메틸-2-펜텐</v>
          </cell>
          <cell r="D436" t="str">
            <v>4류 제1석유류(비수용성)</v>
          </cell>
          <cell r="E436" t="str">
            <v>200리터</v>
          </cell>
          <cell r="F436">
            <v>3295</v>
          </cell>
        </row>
        <row r="437">
          <cell r="B437" t="str">
            <v>6876-23-9</v>
          </cell>
          <cell r="C437" t="str">
            <v>디메틸시클로헥산(시스)</v>
          </cell>
          <cell r="D437" t="str">
            <v>4류 제1석유류(비수용성)</v>
          </cell>
          <cell r="E437" t="str">
            <v>200리터</v>
          </cell>
          <cell r="F437">
            <v>2263</v>
          </cell>
        </row>
        <row r="438">
          <cell r="B438" t="str">
            <v>691-37-2</v>
          </cell>
          <cell r="C438" t="str">
            <v>메틸(4)-1-펜텐</v>
          </cell>
          <cell r="D438" t="str">
            <v>4류 제1석유류(비수용성)</v>
          </cell>
          <cell r="E438" t="str">
            <v>200리터</v>
          </cell>
          <cell r="F438">
            <v>3295</v>
          </cell>
        </row>
        <row r="439">
          <cell r="B439" t="str">
            <v>691-38-3</v>
          </cell>
          <cell r="C439" t="str">
            <v>시스-4-메틸-2-펜텐</v>
          </cell>
          <cell r="D439" t="str">
            <v>4류 제1석유류(비수용성)</v>
          </cell>
          <cell r="E439" t="str">
            <v>200리터</v>
          </cell>
          <cell r="F439">
            <v>3295</v>
          </cell>
        </row>
        <row r="440">
          <cell r="B440" t="str">
            <v>693-02-7</v>
          </cell>
          <cell r="C440" t="str">
            <v>헥신</v>
          </cell>
          <cell r="D440" t="str">
            <v>4류 제1석유류(비수용성)</v>
          </cell>
          <cell r="E440" t="str">
            <v>200리터</v>
          </cell>
          <cell r="F440">
            <v>3295</v>
          </cell>
        </row>
        <row r="441">
          <cell r="B441" t="str">
            <v>693-89-0</v>
          </cell>
          <cell r="C441" t="str">
            <v>메틸-1-시클로펜텐</v>
          </cell>
          <cell r="D441" t="str">
            <v>4류 제1석유류(비수용성)</v>
          </cell>
          <cell r="E441" t="str">
            <v>200리터</v>
          </cell>
          <cell r="F441">
            <v>3295</v>
          </cell>
        </row>
        <row r="442">
          <cell r="B442" t="str">
            <v>7087-68-5</v>
          </cell>
          <cell r="C442" t="str">
            <v>N,N-디이소프로필에틸아민</v>
          </cell>
          <cell r="D442" t="str">
            <v>4류 제1석유류(비수용성)</v>
          </cell>
          <cell r="E442" t="str">
            <v>200리터</v>
          </cell>
          <cell r="F442">
            <v>2733</v>
          </cell>
        </row>
        <row r="443">
          <cell r="B443" t="str">
            <v>71-43-2</v>
          </cell>
          <cell r="C443" t="str">
            <v>벤젠</v>
          </cell>
          <cell r="D443" t="str">
            <v>4류 제1석유류(비수용성)</v>
          </cell>
          <cell r="E443" t="str">
            <v>200리터</v>
          </cell>
          <cell r="F443">
            <v>1114</v>
          </cell>
        </row>
        <row r="444">
          <cell r="B444" t="str">
            <v>7154-75-8</v>
          </cell>
          <cell r="C444" t="str">
            <v>메틸(4-)-1-펜틴</v>
          </cell>
          <cell r="D444" t="str">
            <v>4류 제1석유류(비수용성)</v>
          </cell>
          <cell r="E444" t="str">
            <v>200리터</v>
          </cell>
          <cell r="F444">
            <v>1993</v>
          </cell>
        </row>
        <row r="445">
          <cell r="B445" t="str">
            <v>74-93-1</v>
          </cell>
          <cell r="C445" t="str">
            <v>메틸메르캅탄</v>
          </cell>
          <cell r="D445" t="str">
            <v>4류 제1석유류(비수용성)</v>
          </cell>
          <cell r="E445" t="str">
            <v>200리터</v>
          </cell>
          <cell r="F445">
            <v>1064</v>
          </cell>
        </row>
        <row r="446">
          <cell r="B446" t="str">
            <v>75-26-3</v>
          </cell>
          <cell r="C446" t="str">
            <v>이소프로필브로마이드</v>
          </cell>
          <cell r="D446" t="str">
            <v>4류 제1석유류(비수용성)</v>
          </cell>
          <cell r="E446" t="str">
            <v>200리터</v>
          </cell>
          <cell r="F446">
            <v>2344</v>
          </cell>
        </row>
        <row r="447">
          <cell r="B447" t="str">
            <v>75-33-2</v>
          </cell>
          <cell r="C447" t="str">
            <v>2-프로판티올</v>
          </cell>
          <cell r="D447" t="str">
            <v>4류 제1석유류(비수용성)</v>
          </cell>
          <cell r="E447" t="str">
            <v>200리터</v>
          </cell>
          <cell r="F447">
            <v>2402</v>
          </cell>
        </row>
        <row r="448">
          <cell r="B448" t="str">
            <v>75-34-3</v>
          </cell>
          <cell r="C448" t="str">
            <v>1,1-디클로로에탄</v>
          </cell>
          <cell r="D448" t="str">
            <v>4류 제1석유류(비수용성)</v>
          </cell>
          <cell r="E448" t="str">
            <v>200리터</v>
          </cell>
          <cell r="F448">
            <v>2362</v>
          </cell>
        </row>
        <row r="449">
          <cell r="B449" t="str">
            <v>75-36-5</v>
          </cell>
          <cell r="C449" t="str">
            <v>염화아세틸</v>
          </cell>
          <cell r="D449" t="str">
            <v>4류 제1석유류(비수용성)</v>
          </cell>
          <cell r="E449" t="str">
            <v>200리터</v>
          </cell>
          <cell r="F449">
            <v>1717</v>
          </cell>
        </row>
        <row r="450">
          <cell r="B450" t="str">
            <v>753-89-9</v>
          </cell>
          <cell r="C450" t="str">
            <v>클로로디메틸프로판</v>
          </cell>
          <cell r="D450" t="str">
            <v>4류 제1석유류(비수용성)</v>
          </cell>
          <cell r="E450" t="str">
            <v>200리터</v>
          </cell>
          <cell r="F450">
            <v>1993</v>
          </cell>
        </row>
        <row r="451">
          <cell r="B451" t="str">
            <v>753-90-2</v>
          </cell>
          <cell r="C451" t="str">
            <v>트리플르오르에틸아민2,2,2</v>
          </cell>
          <cell r="D451" t="str">
            <v>4류 제1석유류(비수용성)</v>
          </cell>
          <cell r="E451" t="str">
            <v>200리터</v>
          </cell>
          <cell r="F451">
            <v>2733</v>
          </cell>
        </row>
        <row r="452">
          <cell r="B452" t="str">
            <v>75-54-7</v>
          </cell>
          <cell r="C452" t="str">
            <v>메틸디클로로실란</v>
          </cell>
          <cell r="D452" t="str">
            <v>4류 제1석유류(비수용성)</v>
          </cell>
          <cell r="E452" t="str">
            <v>200리터</v>
          </cell>
          <cell r="F452">
            <v>1242</v>
          </cell>
        </row>
        <row r="453">
          <cell r="B453" t="str">
            <v>75-77-4</v>
          </cell>
          <cell r="C453" t="str">
            <v>트리메틸클로로실란</v>
          </cell>
          <cell r="D453" t="str">
            <v>4류 제1석유류(비수용성)</v>
          </cell>
          <cell r="E453" t="str">
            <v>200리터</v>
          </cell>
          <cell r="F453">
            <v>1298</v>
          </cell>
        </row>
        <row r="454">
          <cell r="B454" t="str">
            <v>75-78-5</v>
          </cell>
          <cell r="C454" t="str">
            <v>디메틸디클로로실란</v>
          </cell>
          <cell r="D454" t="str">
            <v>4류 제1석유류(비수용성)</v>
          </cell>
          <cell r="E454" t="str">
            <v>200리터</v>
          </cell>
          <cell r="F454">
            <v>1162</v>
          </cell>
        </row>
        <row r="455">
          <cell r="B455" t="str">
            <v>75-79-6</v>
          </cell>
          <cell r="C455" t="str">
            <v>메틸트리클로로실란</v>
          </cell>
          <cell r="D455" t="str">
            <v>4류 제1석유류(비수용성)</v>
          </cell>
          <cell r="E455" t="str">
            <v>200리터</v>
          </cell>
          <cell r="F455">
            <v>1250</v>
          </cell>
        </row>
        <row r="456">
          <cell r="B456" t="str">
            <v>75-83-2</v>
          </cell>
          <cell r="C456" t="str">
            <v>2,2-디메틸부탄</v>
          </cell>
          <cell r="D456" t="str">
            <v>4류 제1석유류(비수용성)</v>
          </cell>
          <cell r="E456" t="str">
            <v>200리터</v>
          </cell>
          <cell r="F456">
            <v>1208</v>
          </cell>
        </row>
        <row r="457">
          <cell r="B457" t="str">
            <v>75-85-4</v>
          </cell>
          <cell r="C457" t="str">
            <v>삼차-아밀알코올</v>
          </cell>
          <cell r="D457" t="str">
            <v>4류 제1석유류(비수용성)</v>
          </cell>
          <cell r="E457" t="str">
            <v>200리터</v>
          </cell>
          <cell r="F457">
            <v>1105</v>
          </cell>
        </row>
        <row r="458">
          <cell r="B458" t="str">
            <v>75-94-5</v>
          </cell>
          <cell r="C458" t="str">
            <v>비닐트리클로로실란</v>
          </cell>
          <cell r="D458" t="str">
            <v>4류 제1석유류(비수용성)</v>
          </cell>
          <cell r="E458" t="str">
            <v>200리터</v>
          </cell>
          <cell r="F458">
            <v>1305</v>
          </cell>
        </row>
        <row r="459">
          <cell r="B459" t="str">
            <v>75-97-8</v>
          </cell>
          <cell r="C459" t="str">
            <v>피나콜린</v>
          </cell>
          <cell r="D459" t="str">
            <v>4류 제1석유류(비수용성)</v>
          </cell>
          <cell r="E459" t="str">
            <v>200리터</v>
          </cell>
          <cell r="F459">
            <v>1224</v>
          </cell>
        </row>
        <row r="460">
          <cell r="B460" t="str">
            <v>762-49-2</v>
          </cell>
          <cell r="C460" t="str">
            <v>1-브로모-2-플로로에탄</v>
          </cell>
          <cell r="D460" t="str">
            <v>4류 제1석유류(비수용성)</v>
          </cell>
          <cell r="E460" t="str">
            <v>200리터</v>
          </cell>
          <cell r="F460">
            <v>1992</v>
          </cell>
        </row>
        <row r="461">
          <cell r="B461" t="str">
            <v>762-62-9</v>
          </cell>
          <cell r="C461" t="str">
            <v>4,4-다이메틸-1-펜텐</v>
          </cell>
          <cell r="D461" t="str">
            <v>4류 제1석유류(비수용성)</v>
          </cell>
          <cell r="E461" t="str">
            <v>200리터</v>
          </cell>
          <cell r="F461">
            <v>3295</v>
          </cell>
        </row>
        <row r="462">
          <cell r="B462" t="str">
            <v>762-72-1</v>
          </cell>
          <cell r="C462" t="str">
            <v>알릴트리메틸실란</v>
          </cell>
          <cell r="D462" t="str">
            <v>4류 제1석유류(비수용성)</v>
          </cell>
          <cell r="E462" t="str">
            <v>200리터</v>
          </cell>
          <cell r="F462">
            <v>1993</v>
          </cell>
        </row>
        <row r="463">
          <cell r="B463" t="str">
            <v>763-29-1</v>
          </cell>
          <cell r="C463" t="str">
            <v>2-메틸-1-펜텐</v>
          </cell>
          <cell r="D463" t="str">
            <v>4류 제1석유류(비수용성)</v>
          </cell>
          <cell r="E463" t="str">
            <v>200리터</v>
          </cell>
          <cell r="F463">
            <v>2288</v>
          </cell>
        </row>
        <row r="464">
          <cell r="B464" t="str">
            <v>763-30-4</v>
          </cell>
          <cell r="C464" t="str">
            <v>메틸(2-)-1,4-펜타디엔</v>
          </cell>
          <cell r="D464" t="str">
            <v>4류 제1석유류(비수용성)</v>
          </cell>
          <cell r="E464" t="str">
            <v>200리터</v>
          </cell>
          <cell r="F464">
            <v>2461</v>
          </cell>
        </row>
        <row r="465">
          <cell r="B465" t="str">
            <v>7642-09-3</v>
          </cell>
          <cell r="C465" t="str">
            <v>헥센(시스-3)</v>
          </cell>
          <cell r="D465" t="str">
            <v>4류 제1석유류(비수용성)</v>
          </cell>
          <cell r="E465" t="str">
            <v>200리터</v>
          </cell>
          <cell r="F465">
            <v>3295</v>
          </cell>
        </row>
        <row r="466">
          <cell r="B466" t="str">
            <v>764-35-2</v>
          </cell>
          <cell r="C466" t="str">
            <v>헥신(2-)</v>
          </cell>
          <cell r="D466" t="str">
            <v>4류 제1석유류(비수용성)</v>
          </cell>
          <cell r="E466" t="str">
            <v>200리터</v>
          </cell>
          <cell r="F466">
            <v>3295</v>
          </cell>
        </row>
        <row r="467">
          <cell r="B467" t="str">
            <v>765-30-0</v>
          </cell>
          <cell r="C467" t="str">
            <v>시클로프로필아민</v>
          </cell>
          <cell r="D467" t="str">
            <v>4류 제1석유류(비수용성)</v>
          </cell>
          <cell r="E467" t="str">
            <v>200리터</v>
          </cell>
          <cell r="F467">
            <v>2733</v>
          </cell>
        </row>
        <row r="468">
          <cell r="B468" t="str">
            <v>765-43-5</v>
          </cell>
          <cell r="C468" t="str">
            <v>시클로프로필메틸케톤</v>
          </cell>
          <cell r="D468" t="str">
            <v>4류 제1석유류(비수용성)</v>
          </cell>
          <cell r="E468" t="str">
            <v>200리터</v>
          </cell>
          <cell r="F468">
            <v>1224</v>
          </cell>
        </row>
        <row r="469">
          <cell r="B469" t="str">
            <v>7659-86-1</v>
          </cell>
          <cell r="C469" t="str">
            <v>티오글리콜산 2-에틸헥실</v>
          </cell>
          <cell r="D469" t="str">
            <v>4류 제1석유류(비수용성)</v>
          </cell>
          <cell r="E469" t="str">
            <v>200리터</v>
          </cell>
          <cell r="F469" t="str">
            <v/>
          </cell>
        </row>
        <row r="470">
          <cell r="B470" t="str">
            <v>766-09-6</v>
          </cell>
          <cell r="C470" t="str">
            <v>에틸(1)피페리딘</v>
          </cell>
          <cell r="D470" t="str">
            <v>4류 제1석유류(비수용성)</v>
          </cell>
          <cell r="E470" t="str">
            <v>200리터</v>
          </cell>
          <cell r="F470">
            <v>2386</v>
          </cell>
        </row>
        <row r="471">
          <cell r="B471" t="str">
            <v>766-17-6</v>
          </cell>
          <cell r="C471" t="str">
            <v>시스-2,6-디메틸피페리딘</v>
          </cell>
          <cell r="D471" t="str">
            <v>4류 제1석유류(비수용성)</v>
          </cell>
          <cell r="E471" t="str">
            <v>200리터</v>
          </cell>
          <cell r="F471">
            <v>1993</v>
          </cell>
        </row>
        <row r="472">
          <cell r="B472" t="str">
            <v>7677-24-9</v>
          </cell>
          <cell r="C472" t="str">
            <v>트리메칠시아나이드</v>
          </cell>
          <cell r="D472" t="str">
            <v>4류 제1석유류(비수용성)</v>
          </cell>
          <cell r="E472" t="str">
            <v>200리터</v>
          </cell>
          <cell r="F472">
            <v>3384</v>
          </cell>
        </row>
        <row r="473">
          <cell r="B473" t="str">
            <v>7688-21-3</v>
          </cell>
          <cell r="C473" t="str">
            <v>헥센(시스-2)</v>
          </cell>
          <cell r="D473" t="str">
            <v>4류 제1석유류(비수용성)</v>
          </cell>
          <cell r="E473" t="str">
            <v>200리터</v>
          </cell>
          <cell r="F473">
            <v>3295</v>
          </cell>
        </row>
        <row r="474">
          <cell r="B474" t="str">
            <v>78-77-3</v>
          </cell>
          <cell r="C474" t="str">
            <v>이소부틸브로마이드</v>
          </cell>
          <cell r="D474" t="str">
            <v>4류 제1석유류(비수용성)</v>
          </cell>
          <cell r="E474" t="str">
            <v>200리터</v>
          </cell>
          <cell r="F474">
            <v>2342</v>
          </cell>
        </row>
        <row r="475">
          <cell r="B475" t="str">
            <v>78-81-9</v>
          </cell>
          <cell r="C475" t="str">
            <v>이소부틸아민</v>
          </cell>
          <cell r="D475" t="str">
            <v>4류 제1석유류(비수용성)</v>
          </cell>
          <cell r="E475" t="str">
            <v>200리터</v>
          </cell>
          <cell r="F475">
            <v>1214</v>
          </cell>
        </row>
        <row r="476">
          <cell r="B476" t="str">
            <v>78-82-0</v>
          </cell>
          <cell r="C476" t="str">
            <v>부소부틸로니트릴</v>
          </cell>
          <cell r="D476" t="str">
            <v>4류 제1석유류(비수용성)</v>
          </cell>
          <cell r="E476" t="str">
            <v>200리터</v>
          </cell>
          <cell r="F476">
            <v>2284</v>
          </cell>
        </row>
        <row r="477">
          <cell r="B477" t="str">
            <v>78-84-2</v>
          </cell>
          <cell r="C477" t="str">
            <v>이소부틸알데히드</v>
          </cell>
          <cell r="D477" t="str">
            <v>4류 제1석유류(비수용성)</v>
          </cell>
          <cell r="E477" t="str">
            <v>200리터</v>
          </cell>
          <cell r="F477">
            <v>2045</v>
          </cell>
        </row>
        <row r="478">
          <cell r="B478" t="str">
            <v>78-85-3</v>
          </cell>
          <cell r="C478" t="str">
            <v>메타크롤레인</v>
          </cell>
          <cell r="D478" t="str">
            <v>4류 제1석유류(비수용성)</v>
          </cell>
          <cell r="E478" t="str">
            <v>200리터</v>
          </cell>
          <cell r="F478">
            <v>2396</v>
          </cell>
        </row>
        <row r="479">
          <cell r="B479" t="str">
            <v>78-86-4</v>
          </cell>
          <cell r="C479" t="str">
            <v>클로로부탄(2-)</v>
          </cell>
          <cell r="D479" t="str">
            <v>4류 제1석유류(비수용성)</v>
          </cell>
          <cell r="E479" t="str">
            <v>200리터</v>
          </cell>
          <cell r="F479">
            <v>1127</v>
          </cell>
        </row>
        <row r="480">
          <cell r="B480" t="str">
            <v>78-87-5</v>
          </cell>
          <cell r="C480" t="str">
            <v>1,2-디클로로프로판</v>
          </cell>
          <cell r="D480" t="str">
            <v>4류 제1석유류(비수용성)</v>
          </cell>
          <cell r="E480" t="str">
            <v>200리터</v>
          </cell>
          <cell r="F480">
            <v>1279</v>
          </cell>
        </row>
        <row r="481">
          <cell r="B481" t="str">
            <v>78-88-6</v>
          </cell>
          <cell r="C481" t="str">
            <v>2,3-디클로로-1-프로펜</v>
          </cell>
          <cell r="D481" t="str">
            <v>4류 제1석유류(비수용성)</v>
          </cell>
          <cell r="E481" t="str">
            <v>200리터</v>
          </cell>
          <cell r="F481">
            <v>2047</v>
          </cell>
        </row>
        <row r="482">
          <cell r="B482" t="str">
            <v>78-93-3</v>
          </cell>
          <cell r="C482" t="str">
            <v>메틸에틸케톤</v>
          </cell>
          <cell r="D482" t="str">
            <v>4류 제1석유류(비수용성)</v>
          </cell>
          <cell r="E482" t="str">
            <v>200리터</v>
          </cell>
          <cell r="F482">
            <v>1193</v>
          </cell>
        </row>
        <row r="483">
          <cell r="B483" t="str">
            <v>78-94-4</v>
          </cell>
          <cell r="C483" t="str">
            <v>메틸비닐케톤</v>
          </cell>
          <cell r="D483" t="str">
            <v>4류 제1석유류(비수용성)</v>
          </cell>
          <cell r="E483" t="str">
            <v>200리터</v>
          </cell>
          <cell r="F483">
            <v>1251</v>
          </cell>
        </row>
        <row r="484">
          <cell r="B484" t="str">
            <v>79-20-9</v>
          </cell>
          <cell r="C484" t="str">
            <v>초산메틸</v>
          </cell>
          <cell r="D484" t="str">
            <v>4류 제1석유류(비수용성)</v>
          </cell>
          <cell r="E484" t="str">
            <v>200리터</v>
          </cell>
          <cell r="F484">
            <v>1231</v>
          </cell>
        </row>
        <row r="485">
          <cell r="B485" t="str">
            <v>79-22-1</v>
          </cell>
          <cell r="C485" t="str">
            <v>클로로탄산 메틸에스테르</v>
          </cell>
          <cell r="D485" t="str">
            <v>4류 제1석유류(비수용성)</v>
          </cell>
          <cell r="E485" t="str">
            <v>200리터</v>
          </cell>
          <cell r="F485">
            <v>1238</v>
          </cell>
        </row>
        <row r="486">
          <cell r="B486" t="str">
            <v>79-29-8</v>
          </cell>
          <cell r="C486" t="str">
            <v>2,3-디메틸부탄</v>
          </cell>
          <cell r="D486" t="str">
            <v>4류 제1석유류(비수용성)</v>
          </cell>
          <cell r="E486" t="str">
            <v>200리터</v>
          </cell>
          <cell r="F486">
            <v>2457</v>
          </cell>
        </row>
        <row r="487">
          <cell r="B487" t="str">
            <v>79-30-1</v>
          </cell>
          <cell r="C487" t="str">
            <v>이소부티릴 클로라이드</v>
          </cell>
          <cell r="D487" t="str">
            <v>4류 제1석유류(비수용성)</v>
          </cell>
          <cell r="E487" t="str">
            <v>200리터</v>
          </cell>
          <cell r="F487">
            <v>2395</v>
          </cell>
        </row>
        <row r="488">
          <cell r="B488" t="str">
            <v>8032-32-4</v>
          </cell>
          <cell r="C488" t="str">
            <v>석유 에테르</v>
          </cell>
          <cell r="D488" t="str">
            <v>4류 제1석유류(비수용성)</v>
          </cell>
          <cell r="E488" t="str">
            <v>200리터</v>
          </cell>
          <cell r="F488">
            <v>1268</v>
          </cell>
        </row>
        <row r="489">
          <cell r="B489" t="str">
            <v>80-62-6</v>
          </cell>
          <cell r="C489" t="str">
            <v>메틸메타크릴레이트</v>
          </cell>
          <cell r="D489" t="str">
            <v>4류 제1석유류(비수용성)</v>
          </cell>
          <cell r="E489" t="str">
            <v>200리터</v>
          </cell>
          <cell r="F489">
            <v>1247</v>
          </cell>
        </row>
        <row r="490">
          <cell r="B490" t="str">
            <v>81290-20-2</v>
          </cell>
          <cell r="C490" t="str">
            <v>트리메칠실란트리플르오르메칠</v>
          </cell>
          <cell r="D490" t="str">
            <v>4류 제1석유류(비수용성)</v>
          </cell>
          <cell r="E490" t="str">
            <v>200리터</v>
          </cell>
          <cell r="F490">
            <v>1993</v>
          </cell>
        </row>
        <row r="491">
          <cell r="B491" t="str">
            <v>814-68-6</v>
          </cell>
          <cell r="C491" t="str">
            <v>아크릴오일클로라이드</v>
          </cell>
          <cell r="D491" t="str">
            <v>4류 제1석유류(비수용성)</v>
          </cell>
          <cell r="E491" t="str">
            <v>200리터</v>
          </cell>
          <cell r="F491">
            <v>3383</v>
          </cell>
        </row>
        <row r="492">
          <cell r="B492" t="str">
            <v>870-23-5</v>
          </cell>
          <cell r="C492" t="str">
            <v>알릴메르캅탄</v>
          </cell>
          <cell r="D492" t="str">
            <v>4류 제1석유류(비수용성)</v>
          </cell>
          <cell r="E492" t="str">
            <v>200리터</v>
          </cell>
          <cell r="F492">
            <v>1228</v>
          </cell>
        </row>
        <row r="493">
          <cell r="B493" t="str">
            <v>920-46-7</v>
          </cell>
          <cell r="C493" t="str">
            <v>메타크릴산 클로라이드</v>
          </cell>
          <cell r="D493" t="str">
            <v>4류 제1석유류(비수용성)</v>
          </cell>
          <cell r="E493" t="str">
            <v>200리터</v>
          </cell>
          <cell r="F493">
            <v>3383</v>
          </cell>
        </row>
        <row r="494">
          <cell r="B494" t="str">
            <v>922-61-2</v>
          </cell>
          <cell r="C494" t="str">
            <v>메틸(3-)-2-펜텐</v>
          </cell>
          <cell r="D494" t="str">
            <v>4류 제1석유류(비수용성)</v>
          </cell>
          <cell r="E494" t="str">
            <v>200리터</v>
          </cell>
          <cell r="F494">
            <v>3295</v>
          </cell>
        </row>
        <row r="495">
          <cell r="B495" t="str">
            <v>922-62-3</v>
          </cell>
          <cell r="C495" t="str">
            <v>메틸(시스-3)-2-펜텐</v>
          </cell>
          <cell r="D495" t="str">
            <v>4류 제1석유류(비수용성)</v>
          </cell>
          <cell r="E495" t="str">
            <v>200리터</v>
          </cell>
          <cell r="F495">
            <v>3295</v>
          </cell>
        </row>
        <row r="496">
          <cell r="B496" t="str">
            <v>922-67-8</v>
          </cell>
          <cell r="C496" t="str">
            <v>메틸 프로피오레이트</v>
          </cell>
          <cell r="D496" t="str">
            <v>4류 제1석유류(비수용성)</v>
          </cell>
          <cell r="E496" t="str">
            <v>200리터</v>
          </cell>
          <cell r="F496">
            <v>3272</v>
          </cell>
        </row>
        <row r="497">
          <cell r="B497" t="str">
            <v>927-62-8</v>
          </cell>
          <cell r="C497" t="str">
            <v>부틸디메틸아민</v>
          </cell>
          <cell r="D497" t="str">
            <v>4류 제1석유류(비수용성)</v>
          </cell>
          <cell r="E497" t="str">
            <v>200리터</v>
          </cell>
          <cell r="F497">
            <v>2733</v>
          </cell>
        </row>
        <row r="498">
          <cell r="B498" t="str">
            <v>928-49-4</v>
          </cell>
          <cell r="C498" t="str">
            <v>헥신(3-)</v>
          </cell>
          <cell r="D498" t="str">
            <v>4류 제1석유류(비수용성)</v>
          </cell>
          <cell r="E498" t="str">
            <v>200리터</v>
          </cell>
          <cell r="F498">
            <v>3295</v>
          </cell>
        </row>
        <row r="499">
          <cell r="B499" t="str">
            <v>930-28-9</v>
          </cell>
          <cell r="C499" t="str">
            <v>사이클로펜틸 클로라이드</v>
          </cell>
          <cell r="D499" t="str">
            <v>4류 제1석유류(비수용성)</v>
          </cell>
          <cell r="E499" t="str">
            <v>200리터</v>
          </cell>
          <cell r="F499">
            <v>1993</v>
          </cell>
        </row>
        <row r="500">
          <cell r="B500" t="str">
            <v>95-52-3</v>
          </cell>
          <cell r="C500" t="str">
            <v>플로로톨루엔(2-)</v>
          </cell>
          <cell r="D500" t="str">
            <v>4류 제1석유류(비수용성)</v>
          </cell>
          <cell r="E500" t="str">
            <v>200리터</v>
          </cell>
          <cell r="F500">
            <v>2388</v>
          </cell>
        </row>
        <row r="501">
          <cell r="B501" t="str">
            <v>96-14-0</v>
          </cell>
          <cell r="C501" t="str">
            <v>메틸(3-)펜탄</v>
          </cell>
          <cell r="D501" t="str">
            <v>4류 제1석유류(비수용성)</v>
          </cell>
          <cell r="E501" t="str">
            <v>200리터</v>
          </cell>
          <cell r="F501">
            <v>1208</v>
          </cell>
        </row>
        <row r="502">
          <cell r="B502" t="str">
            <v>96-17-3</v>
          </cell>
          <cell r="C502" t="str">
            <v>2-메틸부티랄데이히드</v>
          </cell>
          <cell r="D502" t="str">
            <v>4류 제1석유류(비수용성)</v>
          </cell>
          <cell r="E502" t="str">
            <v>200리터</v>
          </cell>
          <cell r="F502">
            <v>1989</v>
          </cell>
        </row>
        <row r="503">
          <cell r="B503" t="str">
            <v>96-22-0</v>
          </cell>
          <cell r="C503" t="str">
            <v>디에틸케톤</v>
          </cell>
          <cell r="D503" t="str">
            <v>4류 제1석유류(비수용성)</v>
          </cell>
          <cell r="E503" t="str">
            <v>200리터</v>
          </cell>
          <cell r="F503">
            <v>1156</v>
          </cell>
        </row>
        <row r="504">
          <cell r="B504" t="str">
            <v>96-33-3</v>
          </cell>
          <cell r="C504" t="str">
            <v>아크릴산메틸</v>
          </cell>
          <cell r="D504" t="str">
            <v>4류 제1석유류(비수용성)</v>
          </cell>
          <cell r="E504" t="str">
            <v>200리터</v>
          </cell>
          <cell r="F504">
            <v>1919</v>
          </cell>
        </row>
        <row r="505">
          <cell r="B505" t="str">
            <v>96-37-7</v>
          </cell>
          <cell r="C505" t="str">
            <v>메틸시클로펜탄</v>
          </cell>
          <cell r="D505" t="str">
            <v>4류 제1석유류(비수용성)</v>
          </cell>
          <cell r="E505" t="str">
            <v>200리터</v>
          </cell>
          <cell r="F505">
            <v>2298</v>
          </cell>
        </row>
        <row r="506">
          <cell r="B506" t="str">
            <v>96-54-8</v>
          </cell>
          <cell r="C506" t="str">
            <v>1-메틸피롤</v>
          </cell>
          <cell r="D506" t="str">
            <v>4류 제1석유류(비수용성)</v>
          </cell>
          <cell r="E506" t="str">
            <v>200리터</v>
          </cell>
          <cell r="F506">
            <v>1993</v>
          </cell>
        </row>
        <row r="507">
          <cell r="B507" t="str">
            <v>97-62-1</v>
          </cell>
          <cell r="C507" t="str">
            <v>에틸이소부틸레이트</v>
          </cell>
          <cell r="D507" t="str">
            <v>4류 제1석유류(비수용성)</v>
          </cell>
          <cell r="E507" t="str">
            <v>200리터</v>
          </cell>
          <cell r="F507">
            <v>2385</v>
          </cell>
        </row>
        <row r="508">
          <cell r="B508" t="str">
            <v>97-63-2</v>
          </cell>
          <cell r="C508" t="str">
            <v>메타크릴산 에틸</v>
          </cell>
          <cell r="D508" t="str">
            <v>4류 제1석유류(비수용성)</v>
          </cell>
          <cell r="E508" t="str">
            <v>200리터</v>
          </cell>
          <cell r="F508">
            <v>2277</v>
          </cell>
        </row>
        <row r="509">
          <cell r="B509" t="str">
            <v>98-08-8</v>
          </cell>
          <cell r="C509" t="str">
            <v>벤조트리플루오라이드</v>
          </cell>
          <cell r="D509" t="str">
            <v>4류 제1석유류(비수용성)</v>
          </cell>
          <cell r="E509" t="str">
            <v>200리터</v>
          </cell>
          <cell r="F509">
            <v>2338</v>
          </cell>
        </row>
        <row r="510">
          <cell r="B510" t="str">
            <v>996-35-0</v>
          </cell>
          <cell r="C510" t="str">
            <v>디메틸이소프로필아민</v>
          </cell>
          <cell r="D510" t="str">
            <v>4류 제1석유류(비수용성)</v>
          </cell>
          <cell r="E510" t="str">
            <v>200리터</v>
          </cell>
          <cell r="F510">
            <v>2733</v>
          </cell>
        </row>
        <row r="511">
          <cell r="B511" t="str">
            <v>996-50-9</v>
          </cell>
          <cell r="C511" t="str">
            <v>노르말트리메틸실릴디에틸아민</v>
          </cell>
          <cell r="D511" t="str">
            <v>4류 제1석유류(비수용성)</v>
          </cell>
          <cell r="E511" t="str">
            <v>200리터</v>
          </cell>
          <cell r="F511">
            <v>2733</v>
          </cell>
        </row>
        <row r="512">
          <cell r="B512" t="str">
            <v>999-97-3</v>
          </cell>
          <cell r="C512" t="str">
            <v>헥사메틸디실라잔</v>
          </cell>
          <cell r="D512" t="str">
            <v>4류 제1석유류(비수용성)</v>
          </cell>
          <cell r="E512" t="str">
            <v>200리터</v>
          </cell>
          <cell r="F512">
            <v>3286</v>
          </cell>
        </row>
        <row r="513">
          <cell r="B513" t="str">
            <v>1003-03-8</v>
          </cell>
          <cell r="C513" t="str">
            <v>시클로펜틸 아민</v>
          </cell>
          <cell r="D513" t="str">
            <v>4류 제1석유류(수용성)</v>
          </cell>
          <cell r="E513" t="str">
            <v>400리터</v>
          </cell>
          <cell r="F513">
            <v>2733</v>
          </cell>
        </row>
        <row r="514">
          <cell r="B514" t="str">
            <v>100-85-6</v>
          </cell>
          <cell r="C514" t="str">
            <v>수산화 트리메틸벤질암모늄</v>
          </cell>
          <cell r="D514" t="str">
            <v>4류 제1석유류(수용성)</v>
          </cell>
          <cell r="E514" t="str">
            <v>400리터</v>
          </cell>
          <cell r="F514">
            <v>2924</v>
          </cell>
        </row>
        <row r="515">
          <cell r="B515" t="str">
            <v>107-10-8</v>
          </cell>
          <cell r="C515" t="str">
            <v>프로필아민</v>
          </cell>
          <cell r="D515" t="str">
            <v>4류 제1석유류(수용성)</v>
          </cell>
          <cell r="E515" t="str">
            <v>400리터</v>
          </cell>
          <cell r="F515">
            <v>1277</v>
          </cell>
        </row>
        <row r="516">
          <cell r="B516" t="str">
            <v>107-11-9</v>
          </cell>
          <cell r="C516" t="str">
            <v>알릴아민</v>
          </cell>
          <cell r="D516" t="str">
            <v>4류 제1석유류(수용성)</v>
          </cell>
          <cell r="E516" t="str">
            <v>400리터</v>
          </cell>
          <cell r="F516">
            <v>2334</v>
          </cell>
        </row>
        <row r="517">
          <cell r="B517" t="str">
            <v>107-31-3</v>
          </cell>
          <cell r="C517" t="str">
            <v>포름산메틸</v>
          </cell>
          <cell r="D517" t="str">
            <v>4류 제1석유류(수용성)</v>
          </cell>
          <cell r="E517" t="str">
            <v>400리터</v>
          </cell>
          <cell r="F517">
            <v>1243</v>
          </cell>
        </row>
        <row r="518">
          <cell r="B518" t="str">
            <v>108-18-9</v>
          </cell>
          <cell r="C518" t="str">
            <v>디이소프로필아민</v>
          </cell>
          <cell r="D518" t="str">
            <v>4류 제1석유류(수용성)</v>
          </cell>
          <cell r="E518" t="str">
            <v>400리터</v>
          </cell>
          <cell r="F518">
            <v>1158</v>
          </cell>
        </row>
        <row r="519">
          <cell r="B519" t="str">
            <v>109-02-4</v>
          </cell>
          <cell r="C519" t="str">
            <v>N-메틸모폴린</v>
          </cell>
          <cell r="D519" t="str">
            <v>4류 제1석유류(수용성)</v>
          </cell>
          <cell r="E519" t="str">
            <v>400리터</v>
          </cell>
          <cell r="F519">
            <v>2535</v>
          </cell>
        </row>
        <row r="520">
          <cell r="B520" t="str">
            <v>109-05-7</v>
          </cell>
          <cell r="C520" t="str">
            <v>2-피페콜린</v>
          </cell>
          <cell r="D520" t="str">
            <v>4류 제1석유류(수용성)</v>
          </cell>
          <cell r="E520" t="str">
            <v>400리터</v>
          </cell>
          <cell r="F520">
            <v>1993</v>
          </cell>
        </row>
        <row r="521">
          <cell r="B521" t="str">
            <v>109-73-9</v>
          </cell>
          <cell r="C521" t="str">
            <v>모노부틸아민</v>
          </cell>
          <cell r="D521" t="str">
            <v>4류 제1석유류(수용성)</v>
          </cell>
          <cell r="E521" t="str">
            <v>400리터</v>
          </cell>
          <cell r="F521">
            <v>1125</v>
          </cell>
        </row>
        <row r="522">
          <cell r="B522" t="str">
            <v>109-89-7</v>
          </cell>
          <cell r="C522" t="str">
            <v>디에틸아민</v>
          </cell>
          <cell r="D522" t="str">
            <v>4류 제1석유류(수용성)</v>
          </cell>
          <cell r="E522" t="str">
            <v>400리터</v>
          </cell>
          <cell r="F522">
            <v>1154</v>
          </cell>
        </row>
        <row r="523">
          <cell r="B523" t="str">
            <v>109-99-9</v>
          </cell>
          <cell r="C523" t="str">
            <v>테트라하이드로푸란</v>
          </cell>
          <cell r="D523" t="str">
            <v>4류 제1석유류(수용성)</v>
          </cell>
          <cell r="E523" t="str">
            <v>400리터</v>
          </cell>
          <cell r="F523">
            <v>2056</v>
          </cell>
        </row>
        <row r="524">
          <cell r="B524" t="str">
            <v>110-18-9</v>
          </cell>
          <cell r="C524" t="str">
            <v>테트라메틸 에틸렌디아민</v>
          </cell>
          <cell r="D524" t="str">
            <v>4류 제1석유류(수용성)</v>
          </cell>
          <cell r="E524" t="str">
            <v>400리터</v>
          </cell>
          <cell r="F524">
            <v>2372</v>
          </cell>
        </row>
        <row r="525">
          <cell r="B525" t="str">
            <v>110-58-7</v>
          </cell>
          <cell r="C525" t="str">
            <v>노르말펜틸아민</v>
          </cell>
          <cell r="D525" t="str">
            <v>4류 제1석유류(수용성)</v>
          </cell>
          <cell r="E525" t="str">
            <v>400리터</v>
          </cell>
          <cell r="F525">
            <v>1106</v>
          </cell>
        </row>
        <row r="526">
          <cell r="B526" t="str">
            <v>110-71-4</v>
          </cell>
          <cell r="C526" t="str">
            <v>에틸렌글리콜 디메틸에테르</v>
          </cell>
          <cell r="D526" t="str">
            <v>4류 제1석유류(수용성)</v>
          </cell>
          <cell r="E526" t="str">
            <v>400리터</v>
          </cell>
          <cell r="F526">
            <v>2252</v>
          </cell>
        </row>
        <row r="527">
          <cell r="B527" t="str">
            <v>110-86-1</v>
          </cell>
          <cell r="C527" t="str">
            <v>피리딘</v>
          </cell>
          <cell r="D527" t="str">
            <v>4류 제1석유류(수용성)</v>
          </cell>
          <cell r="E527" t="str">
            <v>400리터</v>
          </cell>
          <cell r="F527">
            <v>1282</v>
          </cell>
        </row>
        <row r="528">
          <cell r="B528" t="str">
            <v>110-89-4</v>
          </cell>
          <cell r="C528" t="str">
            <v>피페리딘</v>
          </cell>
          <cell r="D528" t="str">
            <v>4류 제1석유류(수용성)</v>
          </cell>
          <cell r="E528" t="str">
            <v>400리터</v>
          </cell>
          <cell r="F528">
            <v>2401</v>
          </cell>
        </row>
        <row r="529">
          <cell r="B529" t="str">
            <v>120-94-5</v>
          </cell>
          <cell r="C529" t="str">
            <v>1-메틸피롤리딘</v>
          </cell>
          <cell r="D529" t="str">
            <v>4류 제1석유류(수용성)</v>
          </cell>
          <cell r="E529" t="str">
            <v>400리터</v>
          </cell>
          <cell r="F529">
            <v>2924</v>
          </cell>
        </row>
        <row r="530">
          <cell r="B530" t="str">
            <v>123-75-1</v>
          </cell>
          <cell r="C530" t="str">
            <v>피롤리딘</v>
          </cell>
          <cell r="D530" t="str">
            <v>4류 제1석유류(수용성)</v>
          </cell>
          <cell r="E530" t="str">
            <v>400리터</v>
          </cell>
          <cell r="F530">
            <v>1922</v>
          </cell>
        </row>
        <row r="531">
          <cell r="B531" t="str">
            <v>123-91-1</v>
          </cell>
          <cell r="C531" t="str">
            <v>디옥산</v>
          </cell>
          <cell r="D531" t="str">
            <v>4류 제1석유류(수용성)</v>
          </cell>
          <cell r="E531" t="str">
            <v>400리터</v>
          </cell>
          <cell r="F531">
            <v>1165</v>
          </cell>
        </row>
        <row r="532">
          <cell r="B532" t="str">
            <v>13952-84-6</v>
          </cell>
          <cell r="C532" t="str">
            <v>sec-부틸아민</v>
          </cell>
          <cell r="D532" t="str">
            <v>4류 제1석유류(수용성)</v>
          </cell>
          <cell r="E532" t="str">
            <v>400리터</v>
          </cell>
          <cell r="F532">
            <v>2733</v>
          </cell>
        </row>
        <row r="533">
          <cell r="B533" t="str">
            <v>150-46-9</v>
          </cell>
          <cell r="C533" t="str">
            <v>붕산트리에틸</v>
          </cell>
          <cell r="D533" t="str">
            <v>4류 제1석유류(수용성)</v>
          </cell>
          <cell r="E533" t="str">
            <v>400리터</v>
          </cell>
          <cell r="F533" t="str">
            <v/>
          </cell>
        </row>
        <row r="534">
          <cell r="B534" t="str">
            <v>151-56-4</v>
          </cell>
          <cell r="C534" t="str">
            <v>에틸렌이민</v>
          </cell>
          <cell r="D534" t="str">
            <v>4류 제1석유류(수용성)</v>
          </cell>
          <cell r="E534" t="str">
            <v>400리터</v>
          </cell>
          <cell r="F534">
            <v>1185</v>
          </cell>
        </row>
        <row r="535">
          <cell r="B535" t="str">
            <v>2104-64-5</v>
          </cell>
          <cell r="C535" t="str">
            <v>이피엔 in 아세토니트릴</v>
          </cell>
          <cell r="D535" t="str">
            <v>4류 제1석유류(수용성)</v>
          </cell>
          <cell r="E535" t="str">
            <v>400리터</v>
          </cell>
          <cell r="F535">
            <v>1648</v>
          </cell>
        </row>
        <row r="536">
          <cell r="B536" t="str">
            <v>35835-94-0</v>
          </cell>
          <cell r="C536" t="str">
            <v>에틸트리페닐소프피튬아세테이트 초산착제...</v>
          </cell>
          <cell r="D536" t="str">
            <v>4류 제1석유류(수용성)</v>
          </cell>
          <cell r="E536" t="str">
            <v>400리터</v>
          </cell>
          <cell r="F536">
            <v>3286</v>
          </cell>
        </row>
        <row r="537">
          <cell r="B537" t="str">
            <v>36673-16-2</v>
          </cell>
          <cell r="C537" t="str">
            <v>디이소프로폭시비스(트리에탄올아미나토)...</v>
          </cell>
          <cell r="D537" t="str">
            <v>4류 제1석유류(수용성)</v>
          </cell>
          <cell r="E537" t="str">
            <v>400리터</v>
          </cell>
          <cell r="F537">
            <v>1993</v>
          </cell>
        </row>
        <row r="538">
          <cell r="B538" t="str">
            <v>429-41-4</v>
          </cell>
          <cell r="C538" t="str">
            <v>테트라-n-부틸 암모늄플루오라이드</v>
          </cell>
          <cell r="D538" t="str">
            <v>4류 제1석유류(수용성)</v>
          </cell>
          <cell r="E538" t="str">
            <v>400리터</v>
          </cell>
          <cell r="F538">
            <v>1993</v>
          </cell>
        </row>
        <row r="539">
          <cell r="B539" t="str">
            <v>507-09-5</v>
          </cell>
          <cell r="C539" t="str">
            <v>티오초산</v>
          </cell>
          <cell r="D539" t="str">
            <v>4류 제1석유류(수용성)</v>
          </cell>
          <cell r="E539" t="str">
            <v>400리터</v>
          </cell>
          <cell r="F539">
            <v>2436</v>
          </cell>
        </row>
        <row r="540">
          <cell r="B540" t="str">
            <v>626-58-4</v>
          </cell>
          <cell r="C540" t="str">
            <v>4-피페콜린</v>
          </cell>
          <cell r="D540" t="str">
            <v>4류 제1석유류(수용성)</v>
          </cell>
          <cell r="E540" t="str">
            <v>400리터</v>
          </cell>
          <cell r="F540">
            <v>1993</v>
          </cell>
        </row>
        <row r="541">
          <cell r="B541" t="str">
            <v>646-06-0</v>
          </cell>
          <cell r="C541" t="str">
            <v>1,3-디옥소란</v>
          </cell>
          <cell r="D541" t="str">
            <v>4류 제1석유류(수용성)</v>
          </cell>
          <cell r="E541" t="str">
            <v>400리터</v>
          </cell>
          <cell r="F541">
            <v>1166</v>
          </cell>
        </row>
        <row r="542">
          <cell r="B542" t="str">
            <v>67-64-1</v>
          </cell>
          <cell r="C542" t="str">
            <v>아세톤</v>
          </cell>
          <cell r="D542" t="str">
            <v>4류 제1석유류(수용성)</v>
          </cell>
          <cell r="E542" t="str">
            <v>400리터</v>
          </cell>
          <cell r="F542">
            <v>1090</v>
          </cell>
        </row>
        <row r="543">
          <cell r="B543" t="str">
            <v>74-90-8</v>
          </cell>
          <cell r="C543" t="str">
            <v>시안화수소</v>
          </cell>
          <cell r="D543" t="str">
            <v>4류 제1석유류(수용성)</v>
          </cell>
          <cell r="E543" t="str">
            <v>400리터</v>
          </cell>
          <cell r="F543">
            <v>1051</v>
          </cell>
        </row>
        <row r="544">
          <cell r="B544" t="str">
            <v>75-05-8</v>
          </cell>
          <cell r="C544" t="str">
            <v>아세토니트릴</v>
          </cell>
          <cell r="D544" t="str">
            <v>4류 제1석유류(수용성)</v>
          </cell>
          <cell r="E544" t="str">
            <v>400리터</v>
          </cell>
          <cell r="F544">
            <v>1648</v>
          </cell>
        </row>
        <row r="545">
          <cell r="B545" t="str">
            <v>75-64-9</v>
          </cell>
          <cell r="C545" t="str">
            <v>t-부틸아민</v>
          </cell>
          <cell r="D545" t="str">
            <v>4류 제1석유류(수용성)</v>
          </cell>
          <cell r="E545" t="str">
            <v>400리터</v>
          </cell>
          <cell r="F545">
            <v>3286</v>
          </cell>
        </row>
        <row r="546">
          <cell r="B546" t="str">
            <v>75-65-0</v>
          </cell>
          <cell r="C546" t="str">
            <v>t-부탄올</v>
          </cell>
          <cell r="D546" t="str">
            <v>4류 제1석유류(수용성)</v>
          </cell>
          <cell r="E546" t="str">
            <v>400리터</v>
          </cell>
          <cell r="F546">
            <v>1120</v>
          </cell>
        </row>
        <row r="547">
          <cell r="B547" t="str">
            <v>77-76-9</v>
          </cell>
          <cell r="C547" t="str">
            <v>2,2-디메폭시프로판</v>
          </cell>
          <cell r="D547" t="str">
            <v>4류 제1석유류(수용성)</v>
          </cell>
          <cell r="E547" t="str">
            <v>400리터</v>
          </cell>
          <cell r="F547">
            <v>1993</v>
          </cell>
        </row>
        <row r="548">
          <cell r="B548" t="str">
            <v>96-47-9</v>
          </cell>
          <cell r="C548" t="str">
            <v>2-메틸테트라하이드로퓨란</v>
          </cell>
          <cell r="D548" t="str">
            <v>4류 제1석유류(수용성)</v>
          </cell>
          <cell r="E548" t="str">
            <v>400리터</v>
          </cell>
          <cell r="F548">
            <v>2536</v>
          </cell>
        </row>
        <row r="549">
          <cell r="B549" t="str">
            <v>14782-75-3</v>
          </cell>
          <cell r="C549" t="str">
            <v>알루미늄 에틸아세토 아세테이트 디이소...</v>
          </cell>
          <cell r="D549" t="str">
            <v>4류 제2석유류</v>
          </cell>
          <cell r="F549">
            <v>1993</v>
          </cell>
        </row>
        <row r="550">
          <cell r="B550" t="str">
            <v>79286-79-6</v>
          </cell>
          <cell r="C550" t="str">
            <v>3-아미노피롤리딘</v>
          </cell>
          <cell r="D550" t="str">
            <v>4류 제2석유류</v>
          </cell>
          <cell r="F550" t="str">
            <v/>
          </cell>
        </row>
        <row r="551">
          <cell r="B551" t="str">
            <v>1002-28-4</v>
          </cell>
          <cell r="C551" t="str">
            <v>헥신(3-)-1-올</v>
          </cell>
          <cell r="D551" t="str">
            <v>4류 제2석유류(비수용성)</v>
          </cell>
          <cell r="E551" t="str">
            <v>1000리터</v>
          </cell>
          <cell r="F551">
            <v>1993</v>
          </cell>
        </row>
        <row r="552">
          <cell r="B552" t="str">
            <v>1003-09-4</v>
          </cell>
          <cell r="C552" t="str">
            <v>2-브로모티오펜</v>
          </cell>
          <cell r="D552" t="str">
            <v>4류 제2석유류(비수용성)</v>
          </cell>
          <cell r="E552" t="str">
            <v>1000리터</v>
          </cell>
          <cell r="F552">
            <v>2929</v>
          </cell>
        </row>
        <row r="553">
          <cell r="B553" t="str">
            <v>10031-87-5</v>
          </cell>
          <cell r="C553" t="str">
            <v>아세트산2-에틸부틸에스테르</v>
          </cell>
          <cell r="D553" t="str">
            <v>4류 제2석유류(비수용성)</v>
          </cell>
          <cell r="E553" t="str">
            <v>1000리터</v>
          </cell>
          <cell r="F553">
            <v>1177</v>
          </cell>
        </row>
        <row r="554">
          <cell r="B554" t="str">
            <v>1003-38-9</v>
          </cell>
          <cell r="C554" t="str">
            <v>2,5디메칠테트라하이드로퓨란</v>
          </cell>
          <cell r="D554" t="str">
            <v>4류 제2석유류(비수용성)</v>
          </cell>
          <cell r="E554" t="str">
            <v>1000리터</v>
          </cell>
          <cell r="F554">
            <v>1993</v>
          </cell>
        </row>
        <row r="555">
          <cell r="B555" t="str">
            <v>100-42-5</v>
          </cell>
          <cell r="C555" t="str">
            <v>스티렌 모노머</v>
          </cell>
          <cell r="D555" t="str">
            <v>4류 제2석유류(비수용성)</v>
          </cell>
          <cell r="E555" t="str">
            <v>1000리터</v>
          </cell>
          <cell r="F555">
            <v>2055</v>
          </cell>
        </row>
        <row r="556">
          <cell r="B556" t="str">
            <v>100-43-6</v>
          </cell>
          <cell r="C556" t="str">
            <v>4-비닐피리딘</v>
          </cell>
          <cell r="D556" t="str">
            <v>4류 제2석유류(비수용성)</v>
          </cell>
          <cell r="E556" t="str">
            <v>1000리터</v>
          </cell>
          <cell r="F556" t="str">
            <v/>
          </cell>
        </row>
        <row r="557">
          <cell r="B557" t="str">
            <v>100-44-7</v>
          </cell>
          <cell r="C557" t="str">
            <v>염화벤질</v>
          </cell>
          <cell r="D557" t="str">
            <v>4류 제2석유류(비수용성)</v>
          </cell>
          <cell r="E557" t="str">
            <v>1000리터</v>
          </cell>
          <cell r="F557">
            <v>1738</v>
          </cell>
        </row>
        <row r="558">
          <cell r="B558" t="str">
            <v>100-52-7</v>
          </cell>
          <cell r="C558" t="str">
            <v>벤즈알데히드</v>
          </cell>
          <cell r="D558" t="str">
            <v>4류 제2석유류(비수용성)</v>
          </cell>
          <cell r="E558" t="str">
            <v>1000리터</v>
          </cell>
          <cell r="F558">
            <v>1990</v>
          </cell>
        </row>
        <row r="559">
          <cell r="B559" t="str">
            <v>100-60-7</v>
          </cell>
          <cell r="C559" t="str">
            <v>메틸시클로헥실아민</v>
          </cell>
          <cell r="D559" t="str">
            <v>4류 제2석유류(비수용성)</v>
          </cell>
          <cell r="E559" t="str">
            <v>1000리터</v>
          </cell>
          <cell r="F559">
            <v>2734</v>
          </cell>
        </row>
        <row r="560">
          <cell r="B560" t="str">
            <v>10061-02-6</v>
          </cell>
          <cell r="C560" t="str">
            <v>디클로로프로펜</v>
          </cell>
          <cell r="D560" t="str">
            <v>4류 제2석유류(비수용성)</v>
          </cell>
          <cell r="E560" t="str">
            <v>1000리터</v>
          </cell>
          <cell r="F560">
            <v>2047</v>
          </cell>
        </row>
        <row r="561">
          <cell r="B561" t="str">
            <v>100-66-3</v>
          </cell>
          <cell r="C561" t="str">
            <v>아니졸</v>
          </cell>
          <cell r="D561" t="str">
            <v>4류 제2석유류(비수용성)</v>
          </cell>
          <cell r="E561" t="str">
            <v>1000리터</v>
          </cell>
          <cell r="F561">
            <v>2222</v>
          </cell>
        </row>
        <row r="562">
          <cell r="B562" t="str">
            <v>100-68-5</v>
          </cell>
          <cell r="C562" t="str">
            <v>티오아니솔</v>
          </cell>
          <cell r="D562" t="str">
            <v>4류 제2석유류(비수용성)</v>
          </cell>
          <cell r="E562" t="str">
            <v>1000리터</v>
          </cell>
          <cell r="F562" t="str">
            <v/>
          </cell>
        </row>
        <row r="563">
          <cell r="B563" t="str">
            <v>100-69-6</v>
          </cell>
          <cell r="C563" t="str">
            <v>2-비닐피리딘</v>
          </cell>
          <cell r="D563" t="str">
            <v>4류 제2석유류(비수용성)</v>
          </cell>
          <cell r="E563" t="str">
            <v>1000리터</v>
          </cell>
          <cell r="F563">
            <v>3073</v>
          </cell>
        </row>
        <row r="564">
          <cell r="B564" t="str">
            <v>100-71-0</v>
          </cell>
          <cell r="C564" t="str">
            <v>2-에틸피리딘</v>
          </cell>
          <cell r="D564" t="str">
            <v>4류 제2석유류(비수용성)</v>
          </cell>
          <cell r="E564" t="str">
            <v>1000리터</v>
          </cell>
          <cell r="F564">
            <v>1993</v>
          </cell>
        </row>
        <row r="565">
          <cell r="B565" t="str">
            <v>1007-26-7</v>
          </cell>
          <cell r="C565" t="str">
            <v>네오펜틸벤젠</v>
          </cell>
          <cell r="D565" t="str">
            <v>4류 제2석유류(비수용성)</v>
          </cell>
          <cell r="E565" t="str">
            <v>1000리터</v>
          </cell>
          <cell r="F565">
            <v>3295</v>
          </cell>
        </row>
        <row r="566">
          <cell r="B566" t="str">
            <v>100-74-3</v>
          </cell>
          <cell r="C566" t="str">
            <v>에틸모르폴린</v>
          </cell>
          <cell r="D566" t="str">
            <v>4류 제2석유류(비수용성)</v>
          </cell>
          <cell r="E566" t="str">
            <v>1000리터</v>
          </cell>
          <cell r="F566">
            <v>2920</v>
          </cell>
        </row>
        <row r="567">
          <cell r="B567" t="str">
            <v>100-84-5</v>
          </cell>
          <cell r="C567" t="str">
            <v>3-메틸아니솔</v>
          </cell>
          <cell r="D567" t="str">
            <v>4류 제2석유류(비수용성)</v>
          </cell>
          <cell r="E567" t="str">
            <v>1000리터</v>
          </cell>
          <cell r="F567">
            <v>1993</v>
          </cell>
        </row>
        <row r="568">
          <cell r="B568" t="str">
            <v>1009-93-4</v>
          </cell>
          <cell r="C568" t="str">
            <v>헥사메틸시클로트리실라잔</v>
          </cell>
          <cell r="D568" t="str">
            <v>4류 제2석유류(비수용성)</v>
          </cell>
          <cell r="E568" t="str">
            <v>1000리터</v>
          </cell>
          <cell r="F568">
            <v>1993</v>
          </cell>
        </row>
        <row r="569">
          <cell r="B569" t="str">
            <v>10229-10-4</v>
          </cell>
          <cell r="C569" t="str">
            <v>펜틴(3-)-1-올</v>
          </cell>
          <cell r="D569" t="str">
            <v>4류 제2석유류(비수용성)</v>
          </cell>
          <cell r="E569" t="str">
            <v>1000리터</v>
          </cell>
          <cell r="F569">
            <v>1987</v>
          </cell>
        </row>
        <row r="570">
          <cell r="B570" t="str">
            <v>102-70-5</v>
          </cell>
          <cell r="C570" t="str">
            <v>트리알릴아민</v>
          </cell>
          <cell r="D570" t="str">
            <v>4류 제2석유류(비수용성)</v>
          </cell>
          <cell r="E570" t="str">
            <v>1000리터</v>
          </cell>
          <cell r="F570">
            <v>2610</v>
          </cell>
        </row>
        <row r="571">
          <cell r="B571" t="str">
            <v>102-82-9</v>
          </cell>
          <cell r="C571" t="str">
            <v>트리부틸아민</v>
          </cell>
          <cell r="D571" t="str">
            <v>4류 제2석유류(비수용성)</v>
          </cell>
          <cell r="E571" t="str">
            <v>1000리터</v>
          </cell>
          <cell r="F571">
            <v>2542</v>
          </cell>
        </row>
        <row r="572">
          <cell r="B572" t="str">
            <v>10340-23-5</v>
          </cell>
          <cell r="C572" t="str">
            <v>노넨(시스-3-)-1-올</v>
          </cell>
          <cell r="D572" t="str">
            <v>4류 제2석유류(비수용성)</v>
          </cell>
          <cell r="E572" t="str">
            <v>1000리터</v>
          </cell>
          <cell r="F572">
            <v>1993</v>
          </cell>
        </row>
        <row r="573">
          <cell r="B573" t="str">
            <v>103-71-9</v>
          </cell>
          <cell r="C573" t="str">
            <v>페닐이소시안산</v>
          </cell>
          <cell r="D573" t="str">
            <v>4류 제2석유류(비수용성)</v>
          </cell>
          <cell r="E573" t="str">
            <v>1000리터</v>
          </cell>
          <cell r="F573">
            <v>2487</v>
          </cell>
        </row>
        <row r="574">
          <cell r="B574" t="str">
            <v>103-73-1</v>
          </cell>
          <cell r="C574" t="str">
            <v>페네톨</v>
          </cell>
          <cell r="D574" t="str">
            <v>4류 제2석유류(비수용성)</v>
          </cell>
          <cell r="E574" t="str">
            <v>1000리터</v>
          </cell>
          <cell r="F574">
            <v>1993</v>
          </cell>
        </row>
        <row r="575">
          <cell r="B575" t="str">
            <v>103-83-3</v>
          </cell>
          <cell r="C575" t="str">
            <v>디메틸벤질아민</v>
          </cell>
          <cell r="D575" t="str">
            <v>4류 제2석유류(비수용성)</v>
          </cell>
          <cell r="E575" t="str">
            <v>1000리터</v>
          </cell>
          <cell r="F575">
            <v>2619</v>
          </cell>
        </row>
        <row r="576">
          <cell r="B576" t="str">
            <v>10431-98-8</v>
          </cell>
          <cell r="C576" t="str">
            <v>에틸(2-)-2-옥사졸린</v>
          </cell>
          <cell r="D576" t="str">
            <v>4류 제2석유류(비수용성)</v>
          </cell>
          <cell r="E576" t="str">
            <v>1000리터</v>
          </cell>
          <cell r="F576">
            <v>1993</v>
          </cell>
        </row>
        <row r="577">
          <cell r="B577" t="str">
            <v>104-75-6</v>
          </cell>
          <cell r="C577" t="str">
            <v>2-에틸헥실아민</v>
          </cell>
          <cell r="D577" t="str">
            <v>4류 제2석유류(비수용성)</v>
          </cell>
          <cell r="E577" t="str">
            <v>1000리터</v>
          </cell>
          <cell r="F577">
            <v>2276</v>
          </cell>
        </row>
        <row r="578">
          <cell r="B578" t="str">
            <v>104-79-0</v>
          </cell>
          <cell r="C578" t="str">
            <v>디에틸메틸에틸렌디아민</v>
          </cell>
          <cell r="D578" t="str">
            <v>4류 제2석유류(비수용성)</v>
          </cell>
          <cell r="E578" t="str">
            <v>1000리터</v>
          </cell>
          <cell r="F578">
            <v>2734</v>
          </cell>
        </row>
        <row r="579">
          <cell r="B579" t="str">
            <v>104-93-8</v>
          </cell>
          <cell r="C579" t="str">
            <v>4-메틸아니솔</v>
          </cell>
          <cell r="D579" t="str">
            <v>4류 제2석유류(비수용성)</v>
          </cell>
          <cell r="E579" t="str">
            <v>1000리터</v>
          </cell>
          <cell r="F579">
            <v>1993</v>
          </cell>
        </row>
        <row r="580">
          <cell r="B580" t="str">
            <v>105-05-5</v>
          </cell>
          <cell r="C580" t="str">
            <v>1.4-디에틸벤젠</v>
          </cell>
          <cell r="D580" t="str">
            <v>4류 제2석유류(비수용성)</v>
          </cell>
          <cell r="E580" t="str">
            <v>1000리터</v>
          </cell>
          <cell r="F580">
            <v>2049</v>
          </cell>
        </row>
        <row r="581">
          <cell r="B581" t="str">
            <v>105-30-6</v>
          </cell>
          <cell r="C581" t="str">
            <v>2-메틸-1-펜탄올</v>
          </cell>
          <cell r="D581" t="str">
            <v>4류 제2석유류(비수용성)</v>
          </cell>
          <cell r="E581" t="str">
            <v>1000리터</v>
          </cell>
          <cell r="F581">
            <v>1987</v>
          </cell>
        </row>
        <row r="582">
          <cell r="B582" t="str">
            <v>105-31-7</v>
          </cell>
          <cell r="C582" t="str">
            <v>헥신(1-)-3-올</v>
          </cell>
          <cell r="D582" t="str">
            <v>4류 제2석유류(비수용성)</v>
          </cell>
          <cell r="E582" t="str">
            <v>1000리터</v>
          </cell>
          <cell r="F582">
            <v>2929</v>
          </cell>
        </row>
        <row r="583">
          <cell r="B583" t="str">
            <v>105-36-2</v>
          </cell>
          <cell r="C583" t="str">
            <v>에틸브로모아세트산</v>
          </cell>
          <cell r="D583" t="str">
            <v>4류 제2석유류(비수용성)</v>
          </cell>
          <cell r="E583" t="str">
            <v>1000리터</v>
          </cell>
          <cell r="F583">
            <v>1603</v>
          </cell>
        </row>
        <row r="584">
          <cell r="B584" t="str">
            <v>105-39-5</v>
          </cell>
          <cell r="C584" t="str">
            <v>모노클로로초산에틸</v>
          </cell>
          <cell r="D584" t="str">
            <v>4류 제2석유류(비수용성)</v>
          </cell>
          <cell r="E584" t="str">
            <v>1000리터</v>
          </cell>
          <cell r="F584">
            <v>1181</v>
          </cell>
        </row>
        <row r="585">
          <cell r="B585" t="str">
            <v>105-46-4</v>
          </cell>
          <cell r="C585" t="str">
            <v>초산sec부틸</v>
          </cell>
          <cell r="D585" t="str">
            <v>4류 제2석유류(비수용성)</v>
          </cell>
          <cell r="E585" t="str">
            <v>1000리터</v>
          </cell>
          <cell r="F585">
            <v>1123</v>
          </cell>
        </row>
        <row r="586">
          <cell r="B586" t="str">
            <v>105-54-4</v>
          </cell>
          <cell r="C586" t="str">
            <v>부틸산에틸</v>
          </cell>
          <cell r="D586" t="str">
            <v>4류 제2석유류(비수용성)</v>
          </cell>
          <cell r="E586" t="str">
            <v>1000리터</v>
          </cell>
          <cell r="F586">
            <v>1180</v>
          </cell>
        </row>
        <row r="587">
          <cell r="B587" t="str">
            <v>105-58-8</v>
          </cell>
          <cell r="C587" t="str">
            <v>디에틸 탄소산</v>
          </cell>
          <cell r="D587" t="str">
            <v>4류 제2석유류(비수용성)</v>
          </cell>
          <cell r="E587" t="str">
            <v>1000리터</v>
          </cell>
          <cell r="F587">
            <v>2366</v>
          </cell>
        </row>
        <row r="588">
          <cell r="B588" t="str">
            <v>105-66-8</v>
          </cell>
          <cell r="C588" t="str">
            <v>부틸산메틸에스테르</v>
          </cell>
          <cell r="D588" t="str">
            <v>4류 제2석유류(비수용성)</v>
          </cell>
          <cell r="E588" t="str">
            <v>1000리터</v>
          </cell>
          <cell r="F588">
            <v>3272</v>
          </cell>
        </row>
        <row r="589">
          <cell r="B589" t="str">
            <v>105-68-0</v>
          </cell>
          <cell r="C589" t="str">
            <v>프로피온산이소아밀</v>
          </cell>
          <cell r="D589" t="str">
            <v>4류 제2석유류(비수용성)</v>
          </cell>
          <cell r="E589" t="str">
            <v>1000리터</v>
          </cell>
          <cell r="F589" t="str">
            <v/>
          </cell>
        </row>
        <row r="590">
          <cell r="B590" t="str">
            <v>106-27-4</v>
          </cell>
          <cell r="C590" t="str">
            <v>부틸산이소아밀</v>
          </cell>
          <cell r="D590" t="str">
            <v>4류 제2석유류(비수용성)</v>
          </cell>
          <cell r="E590" t="str">
            <v>1000리터</v>
          </cell>
          <cell r="F590">
            <v>3272</v>
          </cell>
        </row>
        <row r="591">
          <cell r="B591" t="str">
            <v>106-42-3</v>
          </cell>
          <cell r="C591" t="str">
            <v>P-크실렌</v>
          </cell>
          <cell r="D591" t="str">
            <v>4류 제2석유류(비수용성)</v>
          </cell>
          <cell r="E591" t="str">
            <v>1000리터</v>
          </cell>
          <cell r="F591">
            <v>1307</v>
          </cell>
        </row>
        <row r="592">
          <cell r="B592" t="str">
            <v>106-43-4</v>
          </cell>
          <cell r="C592" t="str">
            <v>p-클로로톨루엔</v>
          </cell>
          <cell r="D592" t="str">
            <v>4류 제2석유류(비수용성)</v>
          </cell>
          <cell r="E592" t="str">
            <v>1000리터</v>
          </cell>
          <cell r="F592">
            <v>2238</v>
          </cell>
        </row>
        <row r="593">
          <cell r="B593" t="str">
            <v>106-63-8</v>
          </cell>
          <cell r="C593" t="str">
            <v>이소부틸아크릴레이트</v>
          </cell>
          <cell r="D593" t="str">
            <v>4류 제2석유류(비수용성)</v>
          </cell>
          <cell r="E593" t="str">
            <v>1000리터</v>
          </cell>
          <cell r="F593">
            <v>2527</v>
          </cell>
        </row>
        <row r="594">
          <cell r="B594" t="str">
            <v>106-68-3</v>
          </cell>
          <cell r="C594" t="str">
            <v>3-옥타논</v>
          </cell>
          <cell r="D594" t="str">
            <v>4류 제2석유류(비수용성)</v>
          </cell>
          <cell r="E594" t="str">
            <v>1000리터</v>
          </cell>
          <cell r="F594">
            <v>2271</v>
          </cell>
        </row>
        <row r="595">
          <cell r="B595" t="str">
            <v>106-70-7</v>
          </cell>
          <cell r="C595" t="str">
            <v>카프로익산메틸에스테르</v>
          </cell>
          <cell r="D595" t="str">
            <v>4류 제2석유류(비수용성)</v>
          </cell>
          <cell r="E595" t="str">
            <v>1000리터</v>
          </cell>
          <cell r="F595">
            <v>3272</v>
          </cell>
        </row>
        <row r="596">
          <cell r="B596" t="str">
            <v>106-72-9</v>
          </cell>
          <cell r="C596" t="str">
            <v>디메틸-5-헵텐-1알,테크</v>
          </cell>
          <cell r="D596" t="str">
            <v>4류 제2석유류(비수용성)</v>
          </cell>
          <cell r="E596" t="str">
            <v>1000리터</v>
          </cell>
          <cell r="F596">
            <v>1993</v>
          </cell>
        </row>
        <row r="597">
          <cell r="B597" t="str">
            <v>106-73-0</v>
          </cell>
          <cell r="C597" t="str">
            <v>에난틴산메틸에스테르</v>
          </cell>
          <cell r="D597" t="str">
            <v>4류 제2석유류(비수용성)</v>
          </cell>
          <cell r="E597" t="str">
            <v>1000리터</v>
          </cell>
          <cell r="F597">
            <v>3272</v>
          </cell>
        </row>
        <row r="598">
          <cell r="B598" t="str">
            <v>106-89-8</v>
          </cell>
          <cell r="C598" t="str">
            <v>에피클로로히드린</v>
          </cell>
          <cell r="D598" t="str">
            <v>4류 제2석유류(비수용성)</v>
          </cell>
          <cell r="E598" t="str">
            <v>1000리터</v>
          </cell>
          <cell r="F598">
            <v>2023</v>
          </cell>
        </row>
        <row r="599">
          <cell r="B599" t="str">
            <v>106-92-3</v>
          </cell>
          <cell r="C599" t="str">
            <v>알릴글리시딜에테르</v>
          </cell>
          <cell r="D599" t="str">
            <v>4류 제2석유류(비수용성)</v>
          </cell>
          <cell r="E599" t="str">
            <v>1000리터</v>
          </cell>
          <cell r="F599">
            <v>2219</v>
          </cell>
        </row>
        <row r="600">
          <cell r="B600" t="str">
            <v>1070-10-6</v>
          </cell>
          <cell r="C600" t="str">
            <v>테트라키스(2-에틸헥실옥시)티탄</v>
          </cell>
          <cell r="D600" t="str">
            <v>4류 제2석유류(비수용성)</v>
          </cell>
          <cell r="E600" t="str">
            <v>1000리터</v>
          </cell>
          <cell r="F600">
            <v>1933</v>
          </cell>
        </row>
        <row r="601">
          <cell r="B601" t="str">
            <v>107-08-4</v>
          </cell>
          <cell r="C601" t="str">
            <v>요오드화n-프로필</v>
          </cell>
          <cell r="D601" t="str">
            <v>4류 제2석유류(비수용성)</v>
          </cell>
          <cell r="E601" t="str">
            <v>1000리터</v>
          </cell>
          <cell r="F601">
            <v>2392</v>
          </cell>
        </row>
        <row r="602">
          <cell r="B602" t="str">
            <v>107-14-2</v>
          </cell>
          <cell r="C602" t="str">
            <v>클로로아세토니트릴</v>
          </cell>
          <cell r="D602" t="str">
            <v>4류 제2석유류(비수용성)</v>
          </cell>
          <cell r="E602" t="str">
            <v>1000리터</v>
          </cell>
          <cell r="F602">
            <v>2668</v>
          </cell>
        </row>
        <row r="603">
          <cell r="B603" t="str">
            <v>1072-85-1</v>
          </cell>
          <cell r="C603" t="str">
            <v>2-브로모플로로벤젠</v>
          </cell>
          <cell r="D603" t="str">
            <v>4류 제2석유류(비수용성)</v>
          </cell>
          <cell r="E603" t="str">
            <v>1000리터</v>
          </cell>
          <cell r="F603">
            <v>1993</v>
          </cell>
        </row>
        <row r="604">
          <cell r="B604" t="str">
            <v>1073-06-9</v>
          </cell>
          <cell r="C604" t="str">
            <v>3-브로모플로로벤젠</v>
          </cell>
          <cell r="D604" t="str">
            <v>4류 제2석유류(비수용성)</v>
          </cell>
          <cell r="E604" t="str">
            <v>1000리터</v>
          </cell>
          <cell r="F604">
            <v>1993</v>
          </cell>
        </row>
        <row r="605">
          <cell r="B605" t="str">
            <v>1073-67-2</v>
          </cell>
          <cell r="C605" t="str">
            <v>클로로(4-)스티렌</v>
          </cell>
          <cell r="D605" t="str">
            <v>4류 제2석유류(비수용성)</v>
          </cell>
          <cell r="E605" t="str">
            <v>1000리터</v>
          </cell>
          <cell r="F605">
            <v>1993</v>
          </cell>
        </row>
        <row r="606">
          <cell r="B606" t="str">
            <v>107-51-7</v>
          </cell>
          <cell r="C606" t="str">
            <v>옥타메틸트리실록산</v>
          </cell>
          <cell r="D606" t="str">
            <v>4류 제2석유류(비수용성)</v>
          </cell>
          <cell r="E606" t="str">
            <v>1000리터</v>
          </cell>
          <cell r="F606">
            <v>1993</v>
          </cell>
        </row>
        <row r="607">
          <cell r="B607" t="str">
            <v>107-54-0</v>
          </cell>
          <cell r="C607" t="str">
            <v>3,5-다이메틸-1-헥신-3-올</v>
          </cell>
          <cell r="D607" t="str">
            <v>4류 제2석유류(비수용성)</v>
          </cell>
          <cell r="E607" t="str">
            <v>1000리터</v>
          </cell>
          <cell r="F607">
            <v>1986</v>
          </cell>
        </row>
        <row r="608">
          <cell r="B608" t="str">
            <v>107-59-5</v>
          </cell>
          <cell r="C608" t="str">
            <v>클로로아세트산터셔리부틸에스테르</v>
          </cell>
          <cell r="D608" t="str">
            <v>4류 제2석유류(비수용성)</v>
          </cell>
          <cell r="E608" t="str">
            <v>1000리터</v>
          </cell>
          <cell r="F608">
            <v>2920</v>
          </cell>
        </row>
        <row r="609">
          <cell r="B609" t="str">
            <v>107-82-4</v>
          </cell>
          <cell r="C609" t="str">
            <v>이소아밀브로마이드</v>
          </cell>
          <cell r="D609" t="str">
            <v>4류 제2석유류(비수용성)</v>
          </cell>
          <cell r="E609" t="str">
            <v>1000리터</v>
          </cell>
          <cell r="F609">
            <v>2341</v>
          </cell>
        </row>
        <row r="610">
          <cell r="B610" t="str">
            <v>108-03-2</v>
          </cell>
          <cell r="C610" t="str">
            <v>1-니트로프로판</v>
          </cell>
          <cell r="D610" t="str">
            <v>4류 제2석유류(비수용성)</v>
          </cell>
          <cell r="E610" t="str">
            <v>1000리터</v>
          </cell>
          <cell r="F610">
            <v>2608</v>
          </cell>
        </row>
        <row r="611">
          <cell r="B611" t="str">
            <v>108-11-2</v>
          </cell>
          <cell r="C611" t="str">
            <v>메틸이소부틸카비놀</v>
          </cell>
          <cell r="D611" t="str">
            <v>4류 제2석유류(비수용성)</v>
          </cell>
          <cell r="E611" t="str">
            <v>1000리터</v>
          </cell>
          <cell r="F611">
            <v>2053</v>
          </cell>
        </row>
        <row r="612">
          <cell r="B612" t="str">
            <v>108-12-3</v>
          </cell>
          <cell r="C612" t="str">
            <v>이소발레로일클로라이드</v>
          </cell>
          <cell r="D612" t="str">
            <v>4류 제2석유류(비수용성)</v>
          </cell>
          <cell r="E612" t="str">
            <v>1000리터</v>
          </cell>
          <cell r="F612">
            <v>2502</v>
          </cell>
        </row>
        <row r="613">
          <cell r="B613" t="str">
            <v>108-16-7</v>
          </cell>
          <cell r="C613" t="str">
            <v>1-디메틸아미노-2-프로판올</v>
          </cell>
          <cell r="D613" t="str">
            <v>4류 제2석유류(비수용성)</v>
          </cell>
          <cell r="E613" t="str">
            <v>1000리터</v>
          </cell>
          <cell r="F613">
            <v>2734</v>
          </cell>
        </row>
        <row r="614">
          <cell r="B614" t="str">
            <v>108-24-7</v>
          </cell>
          <cell r="C614" t="str">
            <v>무수초산</v>
          </cell>
          <cell r="D614" t="str">
            <v>4류 제2석유류(비수용성)</v>
          </cell>
          <cell r="E614" t="str">
            <v>1000리터</v>
          </cell>
          <cell r="F614">
            <v>1715</v>
          </cell>
        </row>
        <row r="615">
          <cell r="B615" t="str">
            <v>108-38-3</v>
          </cell>
          <cell r="C615" t="str">
            <v>M-자일렌</v>
          </cell>
          <cell r="D615" t="str">
            <v>4류 제2석유류(비수용성)</v>
          </cell>
          <cell r="E615" t="str">
            <v>1000리터</v>
          </cell>
          <cell r="F615">
            <v>1307</v>
          </cell>
        </row>
        <row r="616">
          <cell r="B616" t="str">
            <v>108-41-8</v>
          </cell>
          <cell r="C616" t="str">
            <v>클로로(3-)티오펜</v>
          </cell>
          <cell r="D616" t="str">
            <v>4류 제2석유류(비수용성)</v>
          </cell>
          <cell r="E616" t="str">
            <v>1000리터</v>
          </cell>
          <cell r="F616">
            <v>2238</v>
          </cell>
        </row>
        <row r="617">
          <cell r="B617" t="str">
            <v>108-47-4</v>
          </cell>
          <cell r="C617" t="str">
            <v>2,4-루티딘</v>
          </cell>
          <cell r="D617" t="str">
            <v>4류 제2석유류(비수용성)</v>
          </cell>
          <cell r="E617" t="str">
            <v>1000리터</v>
          </cell>
          <cell r="F617">
            <v>1992</v>
          </cell>
        </row>
        <row r="618">
          <cell r="B618" t="str">
            <v>108-64-5</v>
          </cell>
          <cell r="C618" t="str">
            <v>이소길초산에틸</v>
          </cell>
          <cell r="D618" t="str">
            <v>4류 제2석유류(비수용성)</v>
          </cell>
          <cell r="E618" t="str">
            <v>1000리터</v>
          </cell>
          <cell r="F618">
            <v>3272</v>
          </cell>
        </row>
        <row r="619">
          <cell r="B619" t="str">
            <v>108-65-6</v>
          </cell>
          <cell r="C619" t="str">
            <v>프로필렌 글리콜 모노메틸 에테르 아세...</v>
          </cell>
          <cell r="D619" t="str">
            <v>4류 제2석유류(비수용성)</v>
          </cell>
          <cell r="E619" t="str">
            <v>1000리터</v>
          </cell>
          <cell r="F619">
            <v>1993</v>
          </cell>
        </row>
        <row r="620">
          <cell r="B620" t="str">
            <v>108-67-8</v>
          </cell>
          <cell r="C620" t="str">
            <v>메시틸렌</v>
          </cell>
          <cell r="D620" t="str">
            <v>4류 제2석유류(비수용성)</v>
          </cell>
          <cell r="E620" t="str">
            <v>1000리터</v>
          </cell>
          <cell r="F620">
            <v>2325</v>
          </cell>
        </row>
        <row r="621">
          <cell r="B621" t="str">
            <v>108-74-7</v>
          </cell>
          <cell r="C621" t="str">
            <v>1,3,5-트리메틸헥사하이드로1-3-...</v>
          </cell>
          <cell r="D621" t="str">
            <v>4류 제2석유류(비수용성)</v>
          </cell>
          <cell r="E621" t="str">
            <v>1000리터</v>
          </cell>
          <cell r="F621">
            <v>1993</v>
          </cell>
        </row>
        <row r="622">
          <cell r="B622" t="str">
            <v>108-75-8</v>
          </cell>
          <cell r="C622" t="str">
            <v>2,4,6-콜리딘</v>
          </cell>
          <cell r="D622" t="str">
            <v>4류 제2석유류(비수용성)</v>
          </cell>
          <cell r="E622" t="str">
            <v>1000리터</v>
          </cell>
          <cell r="F622">
            <v>1992</v>
          </cell>
        </row>
        <row r="623">
          <cell r="B623" t="str">
            <v>108-82-7</v>
          </cell>
          <cell r="C623" t="str">
            <v>디이소부틸카르비놀</v>
          </cell>
          <cell r="D623" t="str">
            <v>4류 제2석유류(비수용성)</v>
          </cell>
          <cell r="E623" t="str">
            <v>1000리터</v>
          </cell>
          <cell r="F623">
            <v>1993</v>
          </cell>
        </row>
        <row r="624">
          <cell r="B624" t="str">
            <v>108-83-8</v>
          </cell>
          <cell r="C624" t="str">
            <v>디이소부틸케톤</v>
          </cell>
          <cell r="D624" t="str">
            <v>4류 제2석유류(비수용성)</v>
          </cell>
          <cell r="E624" t="str">
            <v>1000리터</v>
          </cell>
          <cell r="F624">
            <v>1157</v>
          </cell>
        </row>
        <row r="625">
          <cell r="B625" t="str">
            <v>108-85-0</v>
          </cell>
          <cell r="C625" t="str">
            <v>브로모시클로헥산</v>
          </cell>
          <cell r="D625" t="str">
            <v>4류 제2석유류(비수용성)</v>
          </cell>
          <cell r="E625" t="str">
            <v>1000리터</v>
          </cell>
          <cell r="F625" t="str">
            <v/>
          </cell>
        </row>
        <row r="626">
          <cell r="B626" t="str">
            <v>108-86-1</v>
          </cell>
          <cell r="C626" t="str">
            <v>브로모벤젠</v>
          </cell>
          <cell r="D626" t="str">
            <v>4류 제2석유류(비수용성)</v>
          </cell>
          <cell r="E626" t="str">
            <v>1000리터</v>
          </cell>
          <cell r="F626">
            <v>2514</v>
          </cell>
        </row>
        <row r="627">
          <cell r="B627" t="str">
            <v>108-90-7</v>
          </cell>
          <cell r="C627" t="str">
            <v>클로로벤젠</v>
          </cell>
          <cell r="D627" t="str">
            <v>4류 제2석유류(비수용성)</v>
          </cell>
          <cell r="E627" t="str">
            <v>1000리터</v>
          </cell>
          <cell r="F627">
            <v>1134</v>
          </cell>
        </row>
        <row r="628">
          <cell r="B628" t="str">
            <v>108-93-0</v>
          </cell>
          <cell r="C628" t="str">
            <v>사이클로헥산올</v>
          </cell>
          <cell r="D628" t="str">
            <v>4류 제2석유류(비수용성)</v>
          </cell>
          <cell r="E628" t="str">
            <v>1000리터</v>
          </cell>
          <cell r="F628">
            <v>1993</v>
          </cell>
        </row>
        <row r="629">
          <cell r="B629" t="str">
            <v>108-94-1</v>
          </cell>
          <cell r="C629" t="str">
            <v>사이클로헥사논</v>
          </cell>
          <cell r="D629" t="str">
            <v>4류 제2석유류(비수용성)</v>
          </cell>
          <cell r="E629" t="str">
            <v>1000리터</v>
          </cell>
          <cell r="F629">
            <v>1915</v>
          </cell>
        </row>
        <row r="630">
          <cell r="B630" t="str">
            <v>108-98-5</v>
          </cell>
          <cell r="C630" t="str">
            <v>티오페놀</v>
          </cell>
          <cell r="D630" t="str">
            <v>4류 제2석유류(비수용성)</v>
          </cell>
          <cell r="E630" t="str">
            <v>1000리터</v>
          </cell>
          <cell r="F630">
            <v>2337</v>
          </cell>
        </row>
        <row r="631">
          <cell r="B631" t="str">
            <v>109-09-1</v>
          </cell>
          <cell r="C631" t="str">
            <v>2-클로로피리딘</v>
          </cell>
          <cell r="D631" t="str">
            <v>4류 제2석유류(비수용성)</v>
          </cell>
          <cell r="E631" t="str">
            <v>1000리터</v>
          </cell>
          <cell r="F631">
            <v>2822</v>
          </cell>
        </row>
        <row r="632">
          <cell r="B632" t="str">
            <v>109-21-7</v>
          </cell>
          <cell r="C632" t="str">
            <v>부틸산부틸</v>
          </cell>
          <cell r="D632" t="str">
            <v>4류 제2석유류(비수용성)</v>
          </cell>
          <cell r="E632" t="str">
            <v>1000리터</v>
          </cell>
          <cell r="F632">
            <v>3272</v>
          </cell>
        </row>
        <row r="633">
          <cell r="B633" t="str">
            <v>109-49-9</v>
          </cell>
          <cell r="C633" t="str">
            <v>헥센(-5)-2-온</v>
          </cell>
          <cell r="D633" t="str">
            <v>4류 제2석유류(비수용성)</v>
          </cell>
          <cell r="E633" t="str">
            <v>1000리터</v>
          </cell>
          <cell r="F633">
            <v>1224</v>
          </cell>
        </row>
        <row r="634">
          <cell r="B634" t="str">
            <v>109-59-1</v>
          </cell>
          <cell r="C634" t="str">
            <v>2-이소프로폭시에탄올</v>
          </cell>
          <cell r="D634" t="str">
            <v>4류 제2석유류(비수용성)</v>
          </cell>
          <cell r="E634" t="str">
            <v>1000리터</v>
          </cell>
          <cell r="F634">
            <v>2929</v>
          </cell>
        </row>
        <row r="635">
          <cell r="B635" t="str">
            <v>109-61-5</v>
          </cell>
          <cell r="C635" t="str">
            <v>클로로탄산 n-프로필에스테르</v>
          </cell>
          <cell r="D635" t="str">
            <v>4류 제2석유류(비수용성)</v>
          </cell>
          <cell r="E635" t="str">
            <v>1000리터</v>
          </cell>
          <cell r="F635">
            <v>2740</v>
          </cell>
        </row>
        <row r="636">
          <cell r="B636" t="str">
            <v>109-63-7</v>
          </cell>
          <cell r="C636" t="str">
            <v>삼불화붕소화합물</v>
          </cell>
          <cell r="D636" t="str">
            <v>4류 제2석유류(비수용성)</v>
          </cell>
          <cell r="E636" t="str">
            <v>1000리터</v>
          </cell>
          <cell r="F636">
            <v>2604</v>
          </cell>
        </row>
        <row r="637">
          <cell r="B637" t="str">
            <v>109-70-6</v>
          </cell>
          <cell r="C637" t="str">
            <v>1-브로모-3-클로로프로판</v>
          </cell>
          <cell r="D637" t="str">
            <v>4류 제2석유류(비수용성)</v>
          </cell>
          <cell r="E637" t="str">
            <v>1000리터</v>
          </cell>
          <cell r="F637">
            <v>2688</v>
          </cell>
        </row>
        <row r="638">
          <cell r="B638" t="str">
            <v>109-75-1</v>
          </cell>
          <cell r="C638" t="str">
            <v>알릴시아니드</v>
          </cell>
          <cell r="D638" t="str">
            <v>4류 제2석유류(비수용성)</v>
          </cell>
          <cell r="E638" t="str">
            <v>1000리터</v>
          </cell>
          <cell r="F638">
            <v>1992</v>
          </cell>
        </row>
        <row r="639">
          <cell r="B639" t="str">
            <v>109-80-8</v>
          </cell>
          <cell r="C639" t="str">
            <v>1,3-프로판디티올</v>
          </cell>
          <cell r="D639" t="str">
            <v>4류 제2석유류(비수용성)</v>
          </cell>
          <cell r="E639" t="str">
            <v>1000리터</v>
          </cell>
          <cell r="F639">
            <v>3334</v>
          </cell>
        </row>
        <row r="640">
          <cell r="B640" t="str">
            <v>110-06-5</v>
          </cell>
          <cell r="C640" t="str">
            <v>디3차부틸디설파이드</v>
          </cell>
          <cell r="D640" t="str">
            <v>4류 제2석유류(비수용성)</v>
          </cell>
          <cell r="E640" t="str">
            <v>1000리터</v>
          </cell>
          <cell r="F640">
            <v>3334</v>
          </cell>
        </row>
        <row r="641">
          <cell r="B641" t="str">
            <v>110-12-3</v>
          </cell>
          <cell r="C641" t="str">
            <v>메틸이소아밀케톤</v>
          </cell>
          <cell r="D641" t="str">
            <v>4류 제2석유류(비수용성)</v>
          </cell>
          <cell r="E641" t="str">
            <v>1000리터</v>
          </cell>
          <cell r="F641">
            <v>2302</v>
          </cell>
        </row>
        <row r="642">
          <cell r="B642" t="str">
            <v>110-19-0</v>
          </cell>
          <cell r="C642" t="str">
            <v>초산 이소부틸</v>
          </cell>
          <cell r="D642" t="str">
            <v>4류 제2석유류(비수용성)</v>
          </cell>
          <cell r="E642" t="str">
            <v>1000리터</v>
          </cell>
          <cell r="F642">
            <v>1213</v>
          </cell>
        </row>
        <row r="643">
          <cell r="B643" t="str">
            <v>110-49-6</v>
          </cell>
          <cell r="C643" t="str">
            <v>2-메톡시에틸 아세테이트</v>
          </cell>
          <cell r="D643" t="str">
            <v>4류 제2석유류(비수용성)</v>
          </cell>
          <cell r="E643" t="str">
            <v>1000리터</v>
          </cell>
          <cell r="F643">
            <v>1189</v>
          </cell>
        </row>
        <row r="644">
          <cell r="B644" t="str">
            <v>110-51-0</v>
          </cell>
          <cell r="C644" t="str">
            <v>피리딘보란 부가물</v>
          </cell>
          <cell r="D644" t="str">
            <v>4류 제2석유류(비수용성)</v>
          </cell>
          <cell r="E644" t="str">
            <v>1000리터</v>
          </cell>
          <cell r="F644">
            <v>1992</v>
          </cell>
        </row>
        <row r="645">
          <cell r="B645" t="str">
            <v>110-53-2</v>
          </cell>
          <cell r="C645" t="str">
            <v>1-브로모펜탄</v>
          </cell>
          <cell r="D645" t="str">
            <v>4류 제2석유류(비수용성)</v>
          </cell>
          <cell r="E645" t="str">
            <v>1000리터</v>
          </cell>
          <cell r="F645">
            <v>1993</v>
          </cell>
        </row>
        <row r="646">
          <cell r="B646" t="str">
            <v>110-56-5</v>
          </cell>
          <cell r="C646" t="str">
            <v>1,4-디클로로부탄</v>
          </cell>
          <cell r="D646" t="str">
            <v>4류 제2석유류(비수용성)</v>
          </cell>
          <cell r="E646" t="str">
            <v>1000리터</v>
          </cell>
          <cell r="F646">
            <v>1993</v>
          </cell>
        </row>
        <row r="647">
          <cell r="B647" t="str">
            <v>110-69-0</v>
          </cell>
          <cell r="C647" t="str">
            <v>부틸산벤질에스테르</v>
          </cell>
          <cell r="D647" t="str">
            <v>4류 제2석유류(비수용성)</v>
          </cell>
          <cell r="E647" t="str">
            <v>1000리터</v>
          </cell>
          <cell r="F647">
            <v>2840</v>
          </cell>
        </row>
        <row r="648">
          <cell r="B648" t="str">
            <v>110-75-8</v>
          </cell>
          <cell r="C648" t="str">
            <v>클로로에틸비닐에테르</v>
          </cell>
          <cell r="D648" t="str">
            <v>4류 제2석유류(비수용성)</v>
          </cell>
          <cell r="E648" t="str">
            <v>1000리터</v>
          </cell>
          <cell r="F648">
            <v>1992</v>
          </cell>
        </row>
        <row r="649">
          <cell r="B649" t="str">
            <v>110-93-0</v>
          </cell>
          <cell r="C649" t="str">
            <v>메틸(2-)-2-헵텐-6-온</v>
          </cell>
          <cell r="D649" t="str">
            <v>4류 제2석유류(비수용성)</v>
          </cell>
          <cell r="E649" t="str">
            <v>1000리터</v>
          </cell>
          <cell r="F649">
            <v>1224</v>
          </cell>
        </row>
        <row r="650">
          <cell r="B650" t="str">
            <v>110-96-3</v>
          </cell>
          <cell r="C650" t="str">
            <v>디이소부틸아민</v>
          </cell>
          <cell r="D650" t="str">
            <v>4류 제2석유류(비수용성)</v>
          </cell>
          <cell r="E650" t="str">
            <v>1000리터</v>
          </cell>
          <cell r="F650">
            <v>2361</v>
          </cell>
        </row>
        <row r="651">
          <cell r="B651" t="str">
            <v>111-13-7</v>
          </cell>
          <cell r="C651" t="str">
            <v>2-옥타논</v>
          </cell>
          <cell r="D651" t="str">
            <v>4류 제2석유류(비수용성)</v>
          </cell>
          <cell r="E651" t="str">
            <v>1000리터</v>
          </cell>
          <cell r="F651">
            <v>1224</v>
          </cell>
        </row>
        <row r="652">
          <cell r="B652" t="str">
            <v>111-15-9</v>
          </cell>
          <cell r="C652" t="str">
            <v>에틸글리콜 아세테이트</v>
          </cell>
          <cell r="D652" t="str">
            <v>4류 제2석유류(비수용성)</v>
          </cell>
          <cell r="E652" t="str">
            <v>1000리터</v>
          </cell>
          <cell r="F652">
            <v>1172</v>
          </cell>
        </row>
        <row r="653">
          <cell r="B653" t="str">
            <v>111-25-1</v>
          </cell>
          <cell r="C653" t="str">
            <v>1-브로모헥산</v>
          </cell>
          <cell r="D653" t="str">
            <v>4류 제2석유류(비수용성)</v>
          </cell>
          <cell r="E653" t="str">
            <v>1000리터</v>
          </cell>
          <cell r="F653">
            <v>1993</v>
          </cell>
        </row>
        <row r="654">
          <cell r="B654" t="str">
            <v>111-26-2</v>
          </cell>
          <cell r="C654" t="str">
            <v>N-헥실아민</v>
          </cell>
          <cell r="D654" t="str">
            <v>4류 제2석유류(비수용성)</v>
          </cell>
          <cell r="E654" t="str">
            <v>1000리터</v>
          </cell>
          <cell r="F654">
            <v>2734</v>
          </cell>
        </row>
        <row r="655">
          <cell r="B655" t="str">
            <v>111-27-3</v>
          </cell>
          <cell r="C655" t="str">
            <v>헥사놀(1-)</v>
          </cell>
          <cell r="D655" t="str">
            <v>4류 제2석유류(비수용성)</v>
          </cell>
          <cell r="E655" t="str">
            <v>1000리터</v>
          </cell>
          <cell r="F655">
            <v>2282</v>
          </cell>
        </row>
        <row r="656">
          <cell r="B656" t="str">
            <v>111-31-9</v>
          </cell>
          <cell r="C656" t="str">
            <v>n-헥실메르캅탄</v>
          </cell>
          <cell r="D656" t="str">
            <v>4류 제2석유류(비수용성)</v>
          </cell>
          <cell r="E656" t="str">
            <v>1000리터</v>
          </cell>
          <cell r="F656">
            <v>1228</v>
          </cell>
        </row>
        <row r="657">
          <cell r="B657" t="str">
            <v>111-44-4</v>
          </cell>
          <cell r="C657" t="str">
            <v>2-클로로에틸 에테르</v>
          </cell>
          <cell r="D657" t="str">
            <v>4류 제2석유류(비수용성)</v>
          </cell>
          <cell r="E657" t="str">
            <v>1000리터</v>
          </cell>
          <cell r="F657">
            <v>1916</v>
          </cell>
        </row>
        <row r="658">
          <cell r="B658" t="str">
            <v>111-49-9</v>
          </cell>
          <cell r="C658" t="str">
            <v>헥사메틸렌이민</v>
          </cell>
          <cell r="D658" t="str">
            <v>4류 제2석유류(비수용성)</v>
          </cell>
          <cell r="E658" t="str">
            <v>1000리터</v>
          </cell>
          <cell r="F658">
            <v>2493</v>
          </cell>
        </row>
        <row r="659">
          <cell r="B659" t="str">
            <v>111-66-0</v>
          </cell>
          <cell r="C659" t="str">
            <v>1-옥텐</v>
          </cell>
          <cell r="D659" t="str">
            <v>4류 제2석유류(비수용성)</v>
          </cell>
          <cell r="E659" t="str">
            <v>1000리터</v>
          </cell>
          <cell r="F659">
            <v>3295</v>
          </cell>
        </row>
        <row r="660">
          <cell r="B660" t="str">
            <v>111-67-1</v>
          </cell>
          <cell r="C660" t="str">
            <v>2-옥텐</v>
          </cell>
          <cell r="D660" t="str">
            <v>4류 제2석유류(비수용성)</v>
          </cell>
          <cell r="E660" t="str">
            <v>1000리터</v>
          </cell>
          <cell r="F660">
            <v>1993</v>
          </cell>
        </row>
        <row r="661">
          <cell r="B661" t="str">
            <v>111-74-0</v>
          </cell>
          <cell r="C661" t="str">
            <v>2-[디에틸아미노]에틸아민</v>
          </cell>
          <cell r="D661" t="str">
            <v>4류 제2석유류(비수용성)</v>
          </cell>
          <cell r="E661" t="str">
            <v>1000리터</v>
          </cell>
          <cell r="F661">
            <v>2685</v>
          </cell>
        </row>
        <row r="662">
          <cell r="B662" t="str">
            <v>111-78-4</v>
          </cell>
          <cell r="C662" t="str">
            <v>시클로옥타디엔</v>
          </cell>
          <cell r="D662" t="str">
            <v>4류 제2석유류(비수용성)</v>
          </cell>
          <cell r="E662" t="str">
            <v>1000리터</v>
          </cell>
          <cell r="F662">
            <v>2520</v>
          </cell>
        </row>
        <row r="663">
          <cell r="B663" t="str">
            <v>111-84-2</v>
          </cell>
          <cell r="C663" t="str">
            <v>노르말노난</v>
          </cell>
          <cell r="D663" t="str">
            <v>4류 제2석유류(비수용성)</v>
          </cell>
          <cell r="E663" t="str">
            <v>1000리터</v>
          </cell>
          <cell r="F663">
            <v>1920</v>
          </cell>
        </row>
        <row r="664">
          <cell r="B664" t="str">
            <v>111-85-3</v>
          </cell>
          <cell r="C664" t="str">
            <v>1-클로로옥탄</v>
          </cell>
          <cell r="D664" t="str">
            <v>4류 제2석유류(비수용성)</v>
          </cell>
          <cell r="E664" t="str">
            <v>1000리터</v>
          </cell>
          <cell r="F664">
            <v>1993</v>
          </cell>
        </row>
        <row r="665">
          <cell r="B665" t="str">
            <v>111-92-2</v>
          </cell>
          <cell r="C665" t="str">
            <v>디부틸아민</v>
          </cell>
          <cell r="D665" t="str">
            <v>4류 제2석유류(비수용성)</v>
          </cell>
          <cell r="E665" t="str">
            <v>1000리터</v>
          </cell>
          <cell r="F665">
            <v>2248</v>
          </cell>
        </row>
        <row r="666">
          <cell r="B666" t="str">
            <v>1119-51-3</v>
          </cell>
          <cell r="C666" t="str">
            <v>5-브로모-1-펜텐</v>
          </cell>
          <cell r="D666" t="str">
            <v>4류 제2석유류(비수용성)</v>
          </cell>
          <cell r="E666" t="str">
            <v>1000리터</v>
          </cell>
          <cell r="F666">
            <v>1993</v>
          </cell>
        </row>
        <row r="667">
          <cell r="B667" t="str">
            <v>1120-21-4</v>
          </cell>
          <cell r="C667" t="str">
            <v>n-운데칸</v>
          </cell>
          <cell r="D667" t="str">
            <v>4류 제2석유류(비수용성)</v>
          </cell>
          <cell r="E667" t="str">
            <v>1000리터</v>
          </cell>
          <cell r="F667">
            <v>2330</v>
          </cell>
        </row>
        <row r="668">
          <cell r="B668" t="str">
            <v>112-06-1</v>
          </cell>
          <cell r="C668" t="str">
            <v>아세트산노르말-헵틸에스테르</v>
          </cell>
          <cell r="D668" t="str">
            <v>4류 제2석유류(비수용성)</v>
          </cell>
          <cell r="E668" t="str">
            <v>1000리터</v>
          </cell>
          <cell r="F668">
            <v>1993</v>
          </cell>
        </row>
        <row r="669">
          <cell r="B669" t="str">
            <v>1120-97-4</v>
          </cell>
          <cell r="C669" t="str">
            <v>메틸(4-)-1,3-디옥산</v>
          </cell>
          <cell r="D669" t="str">
            <v>4류 제2석유류(비수용성)</v>
          </cell>
          <cell r="E669" t="str">
            <v>1000리터</v>
          </cell>
          <cell r="F669">
            <v>1993</v>
          </cell>
        </row>
        <row r="670">
          <cell r="B670" t="str">
            <v>1121-37-5</v>
          </cell>
          <cell r="C670" t="str">
            <v>디사이클로프로필케톤</v>
          </cell>
          <cell r="D670" t="str">
            <v>4류 제2석유류(비수용성)</v>
          </cell>
          <cell r="E670" t="str">
            <v>1000리터</v>
          </cell>
          <cell r="F670">
            <v>1224</v>
          </cell>
        </row>
        <row r="671">
          <cell r="B671" t="str">
            <v>1121-86-4</v>
          </cell>
          <cell r="C671" t="str">
            <v>플로로요오드벤젠</v>
          </cell>
          <cell r="D671" t="str">
            <v>4류 제2석유류(비수용성)</v>
          </cell>
          <cell r="E671" t="str">
            <v>1000리터</v>
          </cell>
          <cell r="F671" t="str">
            <v/>
          </cell>
        </row>
        <row r="672">
          <cell r="B672" t="str">
            <v>1123-51-3</v>
          </cell>
          <cell r="C672" t="str">
            <v>이소아밀 알코올</v>
          </cell>
          <cell r="D672" t="str">
            <v>4류 제2석유류(비수용성)</v>
          </cell>
          <cell r="E672" t="str">
            <v>1000리터</v>
          </cell>
          <cell r="F672">
            <v>1105</v>
          </cell>
        </row>
        <row r="673">
          <cell r="B673" t="str">
            <v>1125-88-8</v>
          </cell>
          <cell r="C673" t="str">
            <v>벤즈알데히드디메틸아세탈</v>
          </cell>
          <cell r="D673" t="str">
            <v>4류 제2석유류(비수용성)</v>
          </cell>
          <cell r="E673" t="str">
            <v>1000리터</v>
          </cell>
          <cell r="F673">
            <v>1993</v>
          </cell>
        </row>
        <row r="674">
          <cell r="B674" t="str">
            <v>115-22-0</v>
          </cell>
          <cell r="C674" t="str">
            <v>하이드록시-3-메틸-2-부타온</v>
          </cell>
          <cell r="D674" t="str">
            <v>4류 제2석유류(비수용성)</v>
          </cell>
          <cell r="E674" t="str">
            <v>1000리터</v>
          </cell>
          <cell r="F674">
            <v>1224</v>
          </cell>
        </row>
        <row r="675">
          <cell r="B675" t="str">
            <v>115-80-0</v>
          </cell>
          <cell r="C675" t="str">
            <v>오소 프로피온산 에틸</v>
          </cell>
          <cell r="D675" t="str">
            <v>4류 제2석유류(비수용성)</v>
          </cell>
          <cell r="E675" t="str">
            <v>1000리터</v>
          </cell>
          <cell r="F675" t="str">
            <v/>
          </cell>
        </row>
        <row r="676">
          <cell r="B676" t="str">
            <v>116-17-6</v>
          </cell>
          <cell r="C676" t="str">
            <v>트리이소부틸포스파이트</v>
          </cell>
          <cell r="D676" t="str">
            <v>4류 제2석유류(비수용성)</v>
          </cell>
          <cell r="E676" t="str">
            <v>1000리터</v>
          </cell>
          <cell r="F676">
            <v>3278</v>
          </cell>
        </row>
        <row r="677">
          <cell r="B677" t="str">
            <v>116-54-1</v>
          </cell>
          <cell r="C677" t="str">
            <v>디클로로아세트산메틸에스테르</v>
          </cell>
          <cell r="D677" t="str">
            <v>4류 제2석유류(비수용성)</v>
          </cell>
          <cell r="E677" t="str">
            <v>1000리터</v>
          </cell>
          <cell r="F677">
            <v>2299</v>
          </cell>
        </row>
        <row r="678">
          <cell r="B678" t="str">
            <v>118-12-7</v>
          </cell>
          <cell r="C678" t="str">
            <v>트리메틸-1,3,3,-2-메틸렌인돌린</v>
          </cell>
          <cell r="D678" t="str">
            <v>4류 제2석유류(비수용성)</v>
          </cell>
          <cell r="E678" t="str">
            <v>1000리터</v>
          </cell>
          <cell r="F678">
            <v>3082</v>
          </cell>
        </row>
        <row r="679">
          <cell r="B679" t="str">
            <v>1188-33-6</v>
          </cell>
          <cell r="C679" t="str">
            <v>디메틸포름아미드디에틸아세탈</v>
          </cell>
          <cell r="D679" t="str">
            <v>4류 제2석유류(비수용성)</v>
          </cell>
          <cell r="E679" t="str">
            <v>1000리터</v>
          </cell>
          <cell r="F679">
            <v>1993</v>
          </cell>
        </row>
        <row r="680">
          <cell r="B680" t="str">
            <v>1194-02-1</v>
          </cell>
          <cell r="C680" t="str">
            <v>플루오르벤조니트릴</v>
          </cell>
          <cell r="D680" t="str">
            <v>4류 제2석유류(비수용성)</v>
          </cell>
          <cell r="E680" t="str">
            <v>1000리터</v>
          </cell>
          <cell r="F680">
            <v>1325</v>
          </cell>
        </row>
        <row r="681">
          <cell r="B681" t="str">
            <v>120-92-3</v>
          </cell>
          <cell r="C681" t="str">
            <v>사이클로펜타논</v>
          </cell>
          <cell r="D681" t="str">
            <v>4류 제2석유류(비수용성)</v>
          </cell>
          <cell r="E681" t="str">
            <v>1000리터</v>
          </cell>
          <cell r="F681">
            <v>2245</v>
          </cell>
        </row>
        <row r="682">
          <cell r="B682" t="str">
            <v>121-45-9</v>
          </cell>
          <cell r="C682" t="str">
            <v>트리메틸포스파이트</v>
          </cell>
          <cell r="D682" t="str">
            <v>4류 제2석유류(비수용성)</v>
          </cell>
          <cell r="E682" t="str">
            <v>1000리터</v>
          </cell>
          <cell r="F682">
            <v>2329</v>
          </cell>
        </row>
        <row r="683">
          <cell r="B683" t="str">
            <v>122-07-6</v>
          </cell>
          <cell r="C683" t="str">
            <v>메틸아미노아세트알데히드디메틸아세탈</v>
          </cell>
          <cell r="D683" t="str">
            <v>4류 제2석유류(비수용성)</v>
          </cell>
          <cell r="E683" t="str">
            <v>1000리터</v>
          </cell>
          <cell r="F683">
            <v>1989</v>
          </cell>
        </row>
        <row r="684">
          <cell r="B684" t="str">
            <v>122-51-0</v>
          </cell>
          <cell r="C684" t="str">
            <v>오소포름산에틸</v>
          </cell>
          <cell r="D684" t="str">
            <v>4류 제2석유류(비수용성)</v>
          </cell>
          <cell r="E684" t="str">
            <v>1000리터</v>
          </cell>
          <cell r="F684">
            <v>2524</v>
          </cell>
        </row>
        <row r="685">
          <cell r="B685" t="str">
            <v>122-52-1</v>
          </cell>
          <cell r="C685" t="str">
            <v>트리에틸포스파이트</v>
          </cell>
          <cell r="D685" t="str">
            <v>4류 제2석유류(비수용성)</v>
          </cell>
          <cell r="E685" t="str">
            <v>1000리터</v>
          </cell>
          <cell r="F685">
            <v>3082</v>
          </cell>
        </row>
        <row r="686">
          <cell r="B686" t="str">
            <v>123-05-7</v>
          </cell>
          <cell r="C686" t="str">
            <v>2에틸헥실알데히드</v>
          </cell>
          <cell r="D686" t="str">
            <v>4류 제2석유류(비수용성)</v>
          </cell>
          <cell r="E686" t="str">
            <v>1000리터</v>
          </cell>
          <cell r="F686">
            <v>1191</v>
          </cell>
        </row>
        <row r="687">
          <cell r="B687" t="str">
            <v>123-54-6</v>
          </cell>
          <cell r="C687" t="str">
            <v>아세틸아세톤</v>
          </cell>
          <cell r="D687" t="str">
            <v>4류 제2석유류(비수용성)</v>
          </cell>
          <cell r="E687" t="str">
            <v>1000리터</v>
          </cell>
          <cell r="F687">
            <v>2310</v>
          </cell>
        </row>
        <row r="688">
          <cell r="B688" t="str">
            <v>123-62-6</v>
          </cell>
          <cell r="C688" t="str">
            <v>무수프로피온산</v>
          </cell>
          <cell r="D688" t="str">
            <v>4류 제2석유류(비수용성)</v>
          </cell>
          <cell r="E688" t="str">
            <v>1000리터</v>
          </cell>
          <cell r="F688">
            <v>2496</v>
          </cell>
        </row>
        <row r="689">
          <cell r="B689" t="str">
            <v>123-66-0</v>
          </cell>
          <cell r="C689" t="str">
            <v>카프로산에틸</v>
          </cell>
          <cell r="D689" t="str">
            <v>4류 제2석유류(비수용성)</v>
          </cell>
          <cell r="E689" t="str">
            <v>1000리터</v>
          </cell>
          <cell r="F689">
            <v>3272</v>
          </cell>
        </row>
        <row r="690">
          <cell r="B690" t="str">
            <v>123-86-4</v>
          </cell>
          <cell r="C690" t="str">
            <v>초산n-부틸</v>
          </cell>
          <cell r="D690" t="str">
            <v>4류 제2석유류(비수용성)</v>
          </cell>
          <cell r="E690" t="str">
            <v>1000리터</v>
          </cell>
          <cell r="F690">
            <v>1123</v>
          </cell>
        </row>
        <row r="691">
          <cell r="B691" t="str">
            <v>123-92-2</v>
          </cell>
          <cell r="C691" t="str">
            <v>초산이소아밀</v>
          </cell>
          <cell r="D691" t="str">
            <v>4류 제2석유류(비수용성)</v>
          </cell>
          <cell r="E691" t="str">
            <v>1000리터</v>
          </cell>
          <cell r="F691">
            <v>1104</v>
          </cell>
        </row>
        <row r="692">
          <cell r="B692" t="str">
            <v>124-11-8</v>
          </cell>
          <cell r="C692" t="str">
            <v>1-노넨</v>
          </cell>
          <cell r="D692" t="str">
            <v>4류 제2석유류(비수용성)</v>
          </cell>
          <cell r="E692" t="str">
            <v>1000리터</v>
          </cell>
          <cell r="F692">
            <v>3295</v>
          </cell>
        </row>
        <row r="693">
          <cell r="B693" t="str">
            <v>124-13-0</v>
          </cell>
          <cell r="C693" t="str">
            <v>옥틸알데히드</v>
          </cell>
          <cell r="D693" t="str">
            <v>4류 제2석유류(비수용성)</v>
          </cell>
          <cell r="E693" t="str">
            <v>1000리터</v>
          </cell>
          <cell r="F693">
            <v>1191</v>
          </cell>
        </row>
        <row r="694">
          <cell r="B694" t="str">
            <v>124-18-5</v>
          </cell>
          <cell r="C694" t="str">
            <v>노르말데칸</v>
          </cell>
          <cell r="D694" t="str">
            <v>4류 제2석유류(비수용성)</v>
          </cell>
          <cell r="E694" t="str">
            <v>1000리터</v>
          </cell>
          <cell r="F694">
            <v>2247</v>
          </cell>
        </row>
        <row r="695">
          <cell r="B695" t="str">
            <v>124-68-5</v>
          </cell>
          <cell r="C695" t="str">
            <v>2-아미노-2-메틸-1-프로판올</v>
          </cell>
          <cell r="D695" t="str">
            <v>4류 제2석유류(비수용성)</v>
          </cell>
          <cell r="E695" t="str">
            <v>1000리터</v>
          </cell>
          <cell r="F695" t="str">
            <v/>
          </cell>
        </row>
        <row r="696">
          <cell r="B696" t="str">
            <v>127-00-4</v>
          </cell>
          <cell r="C696" t="str">
            <v>1-클로로-2-프로탄올</v>
          </cell>
          <cell r="D696" t="str">
            <v>4류 제2석유류(비수용성)</v>
          </cell>
          <cell r="E696" t="str">
            <v>1000리터</v>
          </cell>
          <cell r="F696">
            <v>2611</v>
          </cell>
        </row>
        <row r="697">
          <cell r="B697" t="str">
            <v>13019-20-0</v>
          </cell>
          <cell r="C697" t="str">
            <v>메틸(2-)3-헵타논</v>
          </cell>
          <cell r="D697" t="str">
            <v>4류 제2석유류(비수용성)</v>
          </cell>
          <cell r="E697" t="str">
            <v>1000리터</v>
          </cell>
          <cell r="F697">
            <v>1224</v>
          </cell>
        </row>
        <row r="698">
          <cell r="B698" t="str">
            <v>1321-74-0</v>
          </cell>
          <cell r="C698" t="str">
            <v>디비닐벤젠 80%</v>
          </cell>
          <cell r="D698" t="str">
            <v>4류 제2석유류(비수용성)</v>
          </cell>
          <cell r="E698" t="str">
            <v>1000리터</v>
          </cell>
          <cell r="F698" t="str">
            <v/>
          </cell>
        </row>
        <row r="699">
          <cell r="B699" t="str">
            <v>13284-42-9</v>
          </cell>
          <cell r="C699" t="str">
            <v>펜텐니트릴(2-)</v>
          </cell>
          <cell r="D699" t="str">
            <v>4류 제2석유류(비수용성)</v>
          </cell>
          <cell r="E699" t="str">
            <v>1000리터</v>
          </cell>
          <cell r="F699">
            <v>3276</v>
          </cell>
        </row>
        <row r="700">
          <cell r="B700" t="str">
            <v>1330-20-7</v>
          </cell>
          <cell r="C700" t="str">
            <v>크실렌</v>
          </cell>
          <cell r="D700" t="str">
            <v>4류 제2석유류(비수용성)</v>
          </cell>
          <cell r="E700" t="str">
            <v>1000리터</v>
          </cell>
          <cell r="F700">
            <v>1307</v>
          </cell>
        </row>
        <row r="701">
          <cell r="B701" t="str">
            <v>13368-42-8</v>
          </cell>
          <cell r="C701" t="str">
            <v>엔-트리메틸실릴모르폴린</v>
          </cell>
          <cell r="D701" t="str">
            <v>4류 제2석유류(비수용성)</v>
          </cell>
          <cell r="E701" t="str">
            <v>1000리터</v>
          </cell>
          <cell r="F701">
            <v>1993</v>
          </cell>
        </row>
        <row r="702">
          <cell r="B702" t="str">
            <v>135-01-3</v>
          </cell>
          <cell r="C702" t="str">
            <v>1,2-디에틸벤젠</v>
          </cell>
          <cell r="D702" t="str">
            <v>4류 제2석유류(비수용성)</v>
          </cell>
          <cell r="E702" t="str">
            <v>1000리터</v>
          </cell>
          <cell r="F702">
            <v>2049</v>
          </cell>
        </row>
        <row r="703">
          <cell r="B703" t="str">
            <v>13547-70-1</v>
          </cell>
          <cell r="C703" t="str">
            <v>클로로피나콜린</v>
          </cell>
          <cell r="D703" t="str">
            <v>4류 제2석유류(비수용성)</v>
          </cell>
          <cell r="E703" t="str">
            <v>1000리터</v>
          </cell>
          <cell r="F703">
            <v>3334</v>
          </cell>
        </row>
        <row r="704">
          <cell r="B704" t="str">
            <v>135-98-8</v>
          </cell>
          <cell r="C704" t="str">
            <v>부틸(2차)벤젠</v>
          </cell>
          <cell r="D704" t="str">
            <v>4류 제2석유류(비수용성)</v>
          </cell>
          <cell r="E704" t="str">
            <v>1000리터</v>
          </cell>
          <cell r="F704">
            <v>2709</v>
          </cell>
        </row>
        <row r="705">
          <cell r="B705" t="str">
            <v>137-32-6</v>
          </cell>
          <cell r="C705" t="str">
            <v>P-2-메틸부탄올</v>
          </cell>
          <cell r="D705" t="str">
            <v>4류 제2석유류(비수용성)</v>
          </cell>
          <cell r="E705" t="str">
            <v>1000리터</v>
          </cell>
          <cell r="F705" t="str">
            <v/>
          </cell>
        </row>
        <row r="706">
          <cell r="B706" t="str">
            <v>137-43-9</v>
          </cell>
          <cell r="C706" t="str">
            <v>사이클로펜틸브로마이드</v>
          </cell>
          <cell r="D706" t="str">
            <v>4류 제2석유류(비수용성)</v>
          </cell>
          <cell r="E706" t="str">
            <v>1000리터</v>
          </cell>
          <cell r="F706">
            <v>1993</v>
          </cell>
        </row>
        <row r="707">
          <cell r="B707" t="str">
            <v>13820-09-2</v>
          </cell>
          <cell r="C707" t="str">
            <v>오르소노르말발레릭산트리메틸에스테러</v>
          </cell>
          <cell r="D707" t="str">
            <v>4류 제2석유류(비수용성)</v>
          </cell>
          <cell r="E707" t="str">
            <v>1000리터</v>
          </cell>
          <cell r="F707">
            <v>3272</v>
          </cell>
        </row>
        <row r="708">
          <cell r="B708" t="str">
            <v>138526-69-9</v>
          </cell>
          <cell r="C708" t="str">
            <v>1-브로모-3,4,5-트리플로로벤젠</v>
          </cell>
          <cell r="D708" t="str">
            <v>4류 제2석유류(비수용성)</v>
          </cell>
          <cell r="E708" t="str">
            <v>1000리터</v>
          </cell>
          <cell r="F708">
            <v>1993</v>
          </cell>
        </row>
        <row r="709">
          <cell r="B709" t="str">
            <v>138-86-3</v>
          </cell>
          <cell r="C709" t="str">
            <v>d-리모넨</v>
          </cell>
          <cell r="D709" t="str">
            <v>4류 제2석유류(비수용성)</v>
          </cell>
          <cell r="E709" t="str">
            <v>1000리터</v>
          </cell>
          <cell r="F709">
            <v>2052</v>
          </cell>
        </row>
        <row r="710">
          <cell r="B710" t="str">
            <v>140-75-0</v>
          </cell>
          <cell r="C710" t="str">
            <v>플로로벤질아민</v>
          </cell>
          <cell r="D710" t="str">
            <v>4류 제2석유류(비수용성)</v>
          </cell>
          <cell r="E710" t="str">
            <v>1000리터</v>
          </cell>
          <cell r="F710">
            <v>2735</v>
          </cell>
        </row>
        <row r="711">
          <cell r="B711" t="str">
            <v>140-80-7</v>
          </cell>
          <cell r="C711" t="str">
            <v>2-아미노-5-디에틸아미노펜탄</v>
          </cell>
          <cell r="D711" t="str">
            <v>4류 제2석유류(비수용성)</v>
          </cell>
          <cell r="E711" t="str">
            <v>1000리터</v>
          </cell>
          <cell r="F711">
            <v>2946</v>
          </cell>
        </row>
        <row r="712">
          <cell r="B712" t="str">
            <v>141-32-2</v>
          </cell>
          <cell r="C712" t="str">
            <v>아크릴산부탄</v>
          </cell>
          <cell r="D712" t="str">
            <v>4류 제2석유류(비수용성)</v>
          </cell>
          <cell r="E712" t="str">
            <v>1000리터</v>
          </cell>
          <cell r="F712">
            <v>2348</v>
          </cell>
        </row>
        <row r="713">
          <cell r="B713" t="str">
            <v>141-62-8</v>
          </cell>
          <cell r="C713" t="str">
            <v>데카메틸테트라실록산</v>
          </cell>
          <cell r="D713" t="str">
            <v>4류 제2석유류(비수용성)</v>
          </cell>
          <cell r="E713" t="str">
            <v>1000리터</v>
          </cell>
          <cell r="F713" t="str">
            <v/>
          </cell>
        </row>
        <row r="714">
          <cell r="B714" t="str">
            <v>141-79-7</v>
          </cell>
          <cell r="C714" t="str">
            <v>메시틸옥시드</v>
          </cell>
          <cell r="D714" t="str">
            <v>4류 제2석유류(비수용성)</v>
          </cell>
          <cell r="E714" t="str">
            <v>1000리터</v>
          </cell>
          <cell r="F714">
            <v>1229</v>
          </cell>
        </row>
        <row r="715">
          <cell r="B715" t="str">
            <v>141-93-5</v>
          </cell>
          <cell r="C715" t="str">
            <v>1,3-디에틸벤젠</v>
          </cell>
          <cell r="D715" t="str">
            <v>4류 제2석유류(비수용성)</v>
          </cell>
          <cell r="E715" t="str">
            <v>1000리터</v>
          </cell>
          <cell r="F715">
            <v>2049</v>
          </cell>
        </row>
        <row r="716">
          <cell r="B716" t="str">
            <v>1422-53-3</v>
          </cell>
          <cell r="C716" t="str">
            <v>2-브로모-4-플로로톨루엔</v>
          </cell>
          <cell r="D716" t="str">
            <v>4류 제2석유류(비수용성)</v>
          </cell>
          <cell r="E716" t="str">
            <v>1000리터</v>
          </cell>
          <cell r="F716" t="str">
            <v/>
          </cell>
        </row>
        <row r="717">
          <cell r="B717" t="str">
            <v>142-28-9</v>
          </cell>
          <cell r="C717" t="str">
            <v>1,3-디클로로프로판</v>
          </cell>
          <cell r="D717" t="str">
            <v>4류 제2석유류(비수용성)</v>
          </cell>
          <cell r="E717" t="str">
            <v>1000리터</v>
          </cell>
          <cell r="F717">
            <v>1993</v>
          </cell>
        </row>
        <row r="718">
          <cell r="B718" t="str">
            <v>142-92-7</v>
          </cell>
          <cell r="C718" t="str">
            <v>초산 n-헥실</v>
          </cell>
          <cell r="D718" t="str">
            <v>4류 제2석유류(비수용성)</v>
          </cell>
          <cell r="E718" t="str">
            <v>1000리터</v>
          </cell>
          <cell r="F718">
            <v>3272</v>
          </cell>
        </row>
        <row r="719">
          <cell r="B719" t="str">
            <v>142-96-1</v>
          </cell>
          <cell r="C719" t="str">
            <v>디부틸에테르</v>
          </cell>
          <cell r="D719" t="str">
            <v>4류 제2석유류(비수용성)</v>
          </cell>
          <cell r="E719" t="str">
            <v>1000리터</v>
          </cell>
          <cell r="F719">
            <v>1149</v>
          </cell>
        </row>
        <row r="720">
          <cell r="B720" t="str">
            <v>1435-48-9</v>
          </cell>
          <cell r="C720" t="str">
            <v>1,3-디클로로-4-플로오르벤젠</v>
          </cell>
          <cell r="D720" t="str">
            <v>4류 제2석유류(비수용성)</v>
          </cell>
          <cell r="E720" t="str">
            <v>1000리터</v>
          </cell>
          <cell r="F720">
            <v>1993</v>
          </cell>
        </row>
        <row r="721">
          <cell r="B721" t="str">
            <v>1445-73-4</v>
          </cell>
          <cell r="C721" t="str">
            <v>메틸(1-)-4-피페리돈</v>
          </cell>
          <cell r="D721" t="str">
            <v>4류 제2석유류(비수용성)</v>
          </cell>
          <cell r="E721" t="str">
            <v>1000리터</v>
          </cell>
          <cell r="F721">
            <v>1224</v>
          </cell>
        </row>
        <row r="722">
          <cell r="B722" t="str">
            <v>1464-53-5</v>
          </cell>
          <cell r="C722" t="str">
            <v>1,3-부타디엔디에폭시드</v>
          </cell>
          <cell r="D722" t="str">
            <v>4류 제2석유류(비수용성)</v>
          </cell>
          <cell r="E722" t="str">
            <v>1000리터</v>
          </cell>
          <cell r="F722">
            <v>3384</v>
          </cell>
        </row>
        <row r="723">
          <cell r="B723" t="str">
            <v>1467-79-4</v>
          </cell>
          <cell r="C723" t="str">
            <v>디메틸시안아미드</v>
          </cell>
          <cell r="D723" t="str">
            <v>4류 제2석유류(비수용성)</v>
          </cell>
          <cell r="E723" t="str">
            <v>1000리터</v>
          </cell>
          <cell r="F723">
            <v>3275</v>
          </cell>
        </row>
        <row r="724">
          <cell r="B724" t="str">
            <v>1484-80-6</v>
          </cell>
          <cell r="C724" t="str">
            <v>에틸펜탄디온</v>
          </cell>
          <cell r="D724" t="str">
            <v>4류 제2석유류(비수용성)</v>
          </cell>
          <cell r="E724" t="str">
            <v>1000리터</v>
          </cell>
          <cell r="F724">
            <v>2924</v>
          </cell>
        </row>
        <row r="725">
          <cell r="B725" t="str">
            <v>14861-06-4</v>
          </cell>
          <cell r="C725" t="str">
            <v>크로톤산비닐에스테르</v>
          </cell>
          <cell r="D725" t="str">
            <v>4류 제2석유류(비수용성)</v>
          </cell>
          <cell r="E725" t="str">
            <v>1000리터</v>
          </cell>
          <cell r="F725">
            <v>3272</v>
          </cell>
        </row>
        <row r="726">
          <cell r="B726" t="str">
            <v>1499-21-4</v>
          </cell>
          <cell r="C726" t="str">
            <v>디페닐포시닉클로라이드</v>
          </cell>
          <cell r="D726" t="str">
            <v>4류 제2석유류(비수용성)</v>
          </cell>
          <cell r="E726" t="str">
            <v>1000리터</v>
          </cell>
          <cell r="F726">
            <v>2920</v>
          </cell>
        </row>
        <row r="727">
          <cell r="B727" t="str">
            <v>1502-24-5</v>
          </cell>
          <cell r="C727" t="str">
            <v>디메틸시클로헥산올(2,3-)</v>
          </cell>
          <cell r="D727" t="str">
            <v>4류 제2석유류(비수용성)</v>
          </cell>
          <cell r="E727" t="str">
            <v>1000리터</v>
          </cell>
          <cell r="F727" t="str">
            <v/>
          </cell>
        </row>
        <row r="728">
          <cell r="B728" t="str">
            <v>1521-51-3</v>
          </cell>
          <cell r="C728" t="str">
            <v>3-브로모시클로핵센</v>
          </cell>
          <cell r="D728" t="str">
            <v>4류 제2석유류(비수용성)</v>
          </cell>
          <cell r="E728" t="str">
            <v>1000리터</v>
          </cell>
          <cell r="F728">
            <v>1993</v>
          </cell>
        </row>
        <row r="729">
          <cell r="B729" t="str">
            <v>1522-22-1</v>
          </cell>
          <cell r="C729" t="str">
            <v>헥사플로로아세틸아세톤</v>
          </cell>
          <cell r="D729" t="str">
            <v>4류 제2석유류(비수용성)</v>
          </cell>
          <cell r="E729" t="str">
            <v>1000리터</v>
          </cell>
          <cell r="F729">
            <v>2920</v>
          </cell>
        </row>
        <row r="730">
          <cell r="B730" t="str">
            <v>1540-34-7</v>
          </cell>
          <cell r="C730" t="str">
            <v>에틸-2(에틸(3-)-24-펜탄티온</v>
          </cell>
          <cell r="D730" t="str">
            <v>4류 제2석유류(비수용성)</v>
          </cell>
          <cell r="E730" t="str">
            <v>1000리터</v>
          </cell>
          <cell r="F730" t="str">
            <v/>
          </cell>
        </row>
        <row r="731">
          <cell r="B731" t="str">
            <v>1559-88-2</v>
          </cell>
          <cell r="C731" t="str">
            <v>1-브로모-2,3,5,6-테트라플로로...</v>
          </cell>
          <cell r="D731" t="str">
            <v>4류 제2석유류(비수용성)</v>
          </cell>
          <cell r="E731" t="str">
            <v>1000리터</v>
          </cell>
          <cell r="F731">
            <v>1993</v>
          </cell>
        </row>
        <row r="732">
          <cell r="B732" t="str">
            <v>1565-80-6</v>
          </cell>
          <cell r="C732" t="str">
            <v>메틸(에스-2-)-1부타놀</v>
          </cell>
          <cell r="D732" t="str">
            <v>4류 제2석유류(비수용성)</v>
          </cell>
          <cell r="E732" t="str">
            <v>1000리터</v>
          </cell>
          <cell r="F732">
            <v>1105</v>
          </cell>
        </row>
        <row r="733">
          <cell r="B733" t="str">
            <v>15679-12-6</v>
          </cell>
          <cell r="C733" t="str">
            <v>에틸-4-메틸티아졸</v>
          </cell>
          <cell r="D733" t="str">
            <v>4류 제2석유류(비수용성)</v>
          </cell>
          <cell r="E733" t="str">
            <v>1000리터</v>
          </cell>
          <cell r="F733">
            <v>1993</v>
          </cell>
        </row>
        <row r="734">
          <cell r="B734" t="str">
            <v>15707-23-0</v>
          </cell>
          <cell r="C734" t="str">
            <v>에틸(2-)-3-메틸피라지온</v>
          </cell>
          <cell r="D734" t="str">
            <v>4류 제2석유류(비수용성)</v>
          </cell>
          <cell r="E734" t="str">
            <v>1000리터</v>
          </cell>
          <cell r="F734">
            <v>1993</v>
          </cell>
        </row>
        <row r="735">
          <cell r="B735" t="str">
            <v>1576-95-0</v>
          </cell>
          <cell r="C735" t="str">
            <v>펜텐(시스-2-)</v>
          </cell>
          <cell r="D735" t="str">
            <v>4류 제2석유류(비수용성)</v>
          </cell>
          <cell r="E735" t="str">
            <v>1000리터</v>
          </cell>
          <cell r="F735">
            <v>1987</v>
          </cell>
        </row>
        <row r="736">
          <cell r="B736" t="str">
            <v>1585-07-5</v>
          </cell>
          <cell r="C736" t="str">
            <v>1-브로모-4-에틸벤젠</v>
          </cell>
          <cell r="D736" t="str">
            <v>4류 제2석유류(비수용성)</v>
          </cell>
          <cell r="E736" t="str">
            <v>1000리터</v>
          </cell>
          <cell r="F736">
            <v>1993</v>
          </cell>
        </row>
        <row r="737">
          <cell r="B737" t="str">
            <v>16182-04-0</v>
          </cell>
          <cell r="C737" t="str">
            <v>에폭시카보닐이소티오시아네이트</v>
          </cell>
          <cell r="D737" t="str">
            <v>4류 제2석유류(비수용성)</v>
          </cell>
          <cell r="E737" t="str">
            <v>1000리터</v>
          </cell>
          <cell r="F737">
            <v>2929</v>
          </cell>
        </row>
        <row r="738">
          <cell r="B738" t="str">
            <v>1618-26-4</v>
          </cell>
          <cell r="C738" t="str">
            <v>포름알데히드디메틸메르캅탈</v>
          </cell>
          <cell r="D738" t="str">
            <v>4류 제2석유류(비수용성)</v>
          </cell>
          <cell r="E738" t="str">
            <v>1000리터</v>
          </cell>
          <cell r="F738">
            <v>1993</v>
          </cell>
        </row>
        <row r="739">
          <cell r="B739" t="str">
            <v>16219-75-3</v>
          </cell>
          <cell r="C739" t="str">
            <v>에틸리덴노르보넨</v>
          </cell>
          <cell r="D739" t="str">
            <v>4류 제2석유류(비수용성)</v>
          </cell>
          <cell r="E739" t="str">
            <v>1000리터</v>
          </cell>
          <cell r="F739">
            <v>2929</v>
          </cell>
        </row>
        <row r="740">
          <cell r="B740" t="str">
            <v>1647-16-1</v>
          </cell>
          <cell r="C740" t="str">
            <v>데카디엔</v>
          </cell>
          <cell r="D740" t="str">
            <v>4류 제2석유류(비수용성)</v>
          </cell>
          <cell r="E740" t="str">
            <v>1000리터</v>
          </cell>
          <cell r="F740">
            <v>3295</v>
          </cell>
        </row>
        <row r="741">
          <cell r="B741" t="str">
            <v>16499-88-0</v>
          </cell>
          <cell r="C741" t="str">
            <v>부톡시-3-프로필아민</v>
          </cell>
          <cell r="D741" t="str">
            <v>4류 제2석유류(비수용성)</v>
          </cell>
          <cell r="E741" t="str">
            <v>1000리터</v>
          </cell>
          <cell r="F741">
            <v>2735</v>
          </cell>
        </row>
        <row r="742">
          <cell r="B742" t="str">
            <v>16529-66-1</v>
          </cell>
          <cell r="C742" t="str">
            <v>펜테노익산(4-)</v>
          </cell>
          <cell r="D742" t="str">
            <v>4류 제2석유류(비수용성)</v>
          </cell>
          <cell r="E742" t="str">
            <v>1000리터</v>
          </cell>
          <cell r="F742">
            <v>3275</v>
          </cell>
        </row>
        <row r="743">
          <cell r="B743" t="str">
            <v>1678-93-9</v>
          </cell>
          <cell r="C743" t="str">
            <v>부틸시클로헥산</v>
          </cell>
          <cell r="D743" t="str">
            <v>4류 제2석유류(비수용성)</v>
          </cell>
          <cell r="E743" t="str">
            <v>1000리터</v>
          </cell>
          <cell r="F743">
            <v>3295</v>
          </cell>
        </row>
        <row r="744">
          <cell r="B744" t="str">
            <v>1694-31-1</v>
          </cell>
          <cell r="C744" t="str">
            <v>아세토아세트산터셔리부틸에스테르</v>
          </cell>
          <cell r="D744" t="str">
            <v>4류 제2석유류(비수용성)</v>
          </cell>
          <cell r="E744" t="str">
            <v>1000리터</v>
          </cell>
          <cell r="F744" t="str">
            <v/>
          </cell>
        </row>
        <row r="745">
          <cell r="B745" t="str">
            <v>17301-94-9</v>
          </cell>
          <cell r="C745" t="str">
            <v>메틸(4-)노난</v>
          </cell>
          <cell r="D745" t="str">
            <v>4류 제2석유류(비수용성)</v>
          </cell>
          <cell r="E745" t="str">
            <v>1000리터</v>
          </cell>
          <cell r="F745">
            <v>3295</v>
          </cell>
        </row>
        <row r="746">
          <cell r="B746" t="str">
            <v>1738-25-6</v>
          </cell>
          <cell r="C746" t="str">
            <v>디메틸아미노프로피온니트릴</v>
          </cell>
          <cell r="D746" t="str">
            <v>4류 제2석유류(비수용성)</v>
          </cell>
          <cell r="E746" t="str">
            <v>1000리터</v>
          </cell>
          <cell r="F746">
            <v>1993</v>
          </cell>
        </row>
        <row r="747">
          <cell r="B747" t="str">
            <v>1738-36-9</v>
          </cell>
          <cell r="C747" t="str">
            <v>메톡시아세토닐트릴</v>
          </cell>
          <cell r="D747" t="str">
            <v>4류 제2석유류(비수용성)</v>
          </cell>
          <cell r="E747" t="str">
            <v>1000리터</v>
          </cell>
          <cell r="F747">
            <v>1993</v>
          </cell>
        </row>
        <row r="748">
          <cell r="B748" t="str">
            <v>17392-83-5</v>
          </cell>
          <cell r="C748" t="str">
            <v>락산메틸에스테르(R-+)</v>
          </cell>
          <cell r="D748" t="str">
            <v>4류 제2석유류(비수용성)</v>
          </cell>
          <cell r="E748" t="str">
            <v>1000리터</v>
          </cell>
          <cell r="F748">
            <v>3272</v>
          </cell>
        </row>
        <row r="749">
          <cell r="B749" t="str">
            <v>17430-98-7</v>
          </cell>
          <cell r="C749" t="str">
            <v>시클로헥실에틸아민</v>
          </cell>
          <cell r="D749" t="str">
            <v>4류 제2석유류(비수용성)</v>
          </cell>
          <cell r="E749" t="str">
            <v>1000리터</v>
          </cell>
          <cell r="F749">
            <v>2734</v>
          </cell>
        </row>
        <row r="750">
          <cell r="B750" t="str">
            <v>1746-11-8</v>
          </cell>
          <cell r="C750" t="str">
            <v>디하이드로-2-메틸벤조푸란</v>
          </cell>
          <cell r="D750" t="str">
            <v>4류 제2석유류(비수용성)</v>
          </cell>
          <cell r="E750" t="str">
            <v>1000리터</v>
          </cell>
          <cell r="F750" t="str">
            <v/>
          </cell>
        </row>
        <row r="751">
          <cell r="B751" t="str">
            <v>1746-13-0</v>
          </cell>
          <cell r="C751" t="str">
            <v>알릴페닐에테르</v>
          </cell>
          <cell r="D751" t="str">
            <v>4류 제2석유류(비수용성)</v>
          </cell>
          <cell r="E751" t="str">
            <v>1000리터</v>
          </cell>
          <cell r="F751">
            <v>1993</v>
          </cell>
        </row>
        <row r="752">
          <cell r="B752" t="str">
            <v>176317-02-5</v>
          </cell>
          <cell r="C752" t="str">
            <v>1-브로모-2,3,4-트리플로로벤젠</v>
          </cell>
          <cell r="D752" t="str">
            <v>4류 제2석유류(비수용성)</v>
          </cell>
          <cell r="E752" t="str">
            <v>1000리터</v>
          </cell>
          <cell r="F752" t="str">
            <v/>
          </cell>
        </row>
        <row r="753">
          <cell r="B753" t="str">
            <v>17639-93-9</v>
          </cell>
          <cell r="C753" t="str">
            <v>모노클로로프로피온산 메틸</v>
          </cell>
          <cell r="D753" t="str">
            <v>4류 제2석유류(비수용성)</v>
          </cell>
          <cell r="E753" t="str">
            <v>1000리터</v>
          </cell>
          <cell r="F753">
            <v>2933</v>
          </cell>
        </row>
        <row r="754">
          <cell r="B754" t="str">
            <v>17873-08-4</v>
          </cell>
          <cell r="C754" t="str">
            <v>트리메틸(페닐티오)메틸</v>
          </cell>
          <cell r="D754" t="str">
            <v>4류 제2석유류(비수용성)</v>
          </cell>
          <cell r="E754" t="str">
            <v>1000리터</v>
          </cell>
          <cell r="F754">
            <v>1993</v>
          </cell>
        </row>
        <row r="755">
          <cell r="B755" t="str">
            <v>1873-77-4</v>
          </cell>
          <cell r="C755" t="str">
            <v>트리스(트리메틸실릴)실란</v>
          </cell>
          <cell r="D755" t="str">
            <v>4류 제2석유류(비수용성)</v>
          </cell>
          <cell r="E755" t="str">
            <v>1000리터</v>
          </cell>
          <cell r="F755">
            <v>1993</v>
          </cell>
        </row>
        <row r="756">
          <cell r="B756" t="str">
            <v>18908-66-2</v>
          </cell>
          <cell r="C756" t="str">
            <v>1-브로모-2-에틸헥산</v>
          </cell>
          <cell r="D756" t="str">
            <v>4류 제2석유류(비수용성)</v>
          </cell>
          <cell r="E756" t="str">
            <v>1000리터</v>
          </cell>
          <cell r="F756">
            <v>1993</v>
          </cell>
        </row>
        <row r="757">
          <cell r="B757" t="str">
            <v>18997-19-8</v>
          </cell>
          <cell r="C757" t="str">
            <v>클로로메틸-2,2-디메틸프로피오네이트</v>
          </cell>
          <cell r="D757" t="str">
            <v>4류 제2석유류(비수용성)</v>
          </cell>
          <cell r="E757" t="str">
            <v>1000리터</v>
          </cell>
          <cell r="F757">
            <v>3272</v>
          </cell>
        </row>
        <row r="758">
          <cell r="B758" t="str">
            <v>1943-83-5</v>
          </cell>
          <cell r="C758" t="str">
            <v>클로르이소시아네이트(2)</v>
          </cell>
          <cell r="D758" t="str">
            <v>4류 제2석유류(비수용성)</v>
          </cell>
          <cell r="E758" t="str">
            <v>1000리터</v>
          </cell>
          <cell r="F758">
            <v>1993</v>
          </cell>
        </row>
        <row r="759">
          <cell r="B759" t="str">
            <v>19686-73-8</v>
          </cell>
          <cell r="C759" t="str">
            <v>1-브로모-2-프로판올</v>
          </cell>
          <cell r="D759" t="str">
            <v>4류 제2석유류(비수용성)</v>
          </cell>
          <cell r="E759" t="str">
            <v>1000리터</v>
          </cell>
          <cell r="F759">
            <v>2920</v>
          </cell>
        </row>
        <row r="760">
          <cell r="B760" t="str">
            <v>19693-75-5</v>
          </cell>
          <cell r="C760" t="str">
            <v>2-메톡시-1,3-디옥살란</v>
          </cell>
          <cell r="D760" t="str">
            <v>4류 제2석유류(비수용성)</v>
          </cell>
          <cell r="E760" t="str">
            <v>1000리터</v>
          </cell>
          <cell r="F760">
            <v>1993</v>
          </cell>
        </row>
        <row r="761">
          <cell r="B761" t="str">
            <v>19780-10-0</v>
          </cell>
          <cell r="C761" t="str">
            <v>도데칸온(5-)</v>
          </cell>
          <cell r="D761" t="str">
            <v>4류 제2석유류(비수용성)</v>
          </cell>
          <cell r="E761" t="str">
            <v>1000리터</v>
          </cell>
          <cell r="F761" t="str">
            <v/>
          </cell>
        </row>
        <row r="762">
          <cell r="B762" t="str">
            <v>20063-92-7</v>
          </cell>
          <cell r="C762" t="str">
            <v>노넨(트란스-3-)</v>
          </cell>
          <cell r="D762" t="str">
            <v>4류 제2석유류(비수용성)</v>
          </cell>
          <cell r="E762" t="str">
            <v>1000리터</v>
          </cell>
          <cell r="F762">
            <v>3295</v>
          </cell>
        </row>
        <row r="763">
          <cell r="B763" t="str">
            <v>2031-67-6</v>
          </cell>
          <cell r="C763" t="str">
            <v>메틸트리에톡시실란</v>
          </cell>
          <cell r="D763" t="str">
            <v>4류 제2석유류(비수용성)</v>
          </cell>
          <cell r="E763" t="str">
            <v>1000리터</v>
          </cell>
          <cell r="F763">
            <v>1993</v>
          </cell>
        </row>
        <row r="764">
          <cell r="B764" t="str">
            <v>2032-35-1</v>
          </cell>
          <cell r="C764" t="str">
            <v>브로모아세트알데히드디에틸아세탈</v>
          </cell>
          <cell r="D764" t="str">
            <v>4류 제2석유류(비수용성)</v>
          </cell>
          <cell r="E764" t="str">
            <v>1000리터</v>
          </cell>
          <cell r="F764">
            <v>1993</v>
          </cell>
        </row>
        <row r="765">
          <cell r="B765" t="str">
            <v>2039-85-2</v>
          </cell>
          <cell r="C765" t="str">
            <v>클로로(3-)시티렌</v>
          </cell>
          <cell r="D765" t="str">
            <v>4류 제2석유류(비수용성)</v>
          </cell>
          <cell r="E765" t="str">
            <v>1000리터</v>
          </cell>
          <cell r="F765">
            <v>1933</v>
          </cell>
        </row>
        <row r="766">
          <cell r="B766" t="str">
            <v>2039-87-4</v>
          </cell>
          <cell r="C766" t="str">
            <v>클로로(2-)스티렌</v>
          </cell>
          <cell r="D766" t="str">
            <v>4류 제2석유류(비수용성)</v>
          </cell>
          <cell r="E766" t="str">
            <v>1000리터</v>
          </cell>
          <cell r="F766">
            <v>1993</v>
          </cell>
        </row>
        <row r="767">
          <cell r="B767" t="str">
            <v>2049-94-7</v>
          </cell>
          <cell r="C767" t="str">
            <v>메틸(3-)부틸벤젠</v>
          </cell>
          <cell r="D767" t="str">
            <v>4류 제2석유류(비수용성)</v>
          </cell>
          <cell r="E767" t="str">
            <v>1000리터</v>
          </cell>
          <cell r="F767">
            <v>1993</v>
          </cell>
        </row>
        <row r="768">
          <cell r="B768" t="str">
            <v>2050-92-2</v>
          </cell>
          <cell r="C768" t="str">
            <v>디펜틸아민</v>
          </cell>
          <cell r="D768" t="str">
            <v>4류 제2석유류(비수용성)</v>
          </cell>
          <cell r="E768" t="str">
            <v>1000리터</v>
          </cell>
          <cell r="F768">
            <v>2841</v>
          </cell>
        </row>
        <row r="769">
          <cell r="B769" t="str">
            <v>2051-30-1</v>
          </cell>
          <cell r="C769" t="str">
            <v>2,6-디메틸옥탄</v>
          </cell>
          <cell r="D769" t="str">
            <v>4류 제2석유류(비수용성)</v>
          </cell>
          <cell r="E769" t="str">
            <v>1000리터</v>
          </cell>
          <cell r="F769">
            <v>3295</v>
          </cell>
        </row>
        <row r="770">
          <cell r="B770" t="str">
            <v>2117-11-5</v>
          </cell>
          <cell r="C770" t="str">
            <v>펜틴(4-)-2-올</v>
          </cell>
          <cell r="D770" t="str">
            <v>4류 제2석유류(비수용성)</v>
          </cell>
          <cell r="E770" t="str">
            <v>1000리터</v>
          </cell>
          <cell r="F770">
            <v>1987</v>
          </cell>
        </row>
        <row r="771">
          <cell r="B771" t="str">
            <v>2172-02-3</v>
          </cell>
          <cell r="C771" t="str">
            <v>하프늄 4-부톡사이드</v>
          </cell>
          <cell r="D771" t="str">
            <v>4류 제2석유류(비수용성)</v>
          </cell>
          <cell r="E771" t="str">
            <v>1000리터</v>
          </cell>
          <cell r="F771">
            <v>1993</v>
          </cell>
        </row>
        <row r="772">
          <cell r="B772" t="str">
            <v>2182-66-3</v>
          </cell>
          <cell r="C772" t="str">
            <v>디아세톡시디메틸실란</v>
          </cell>
          <cell r="D772" t="str">
            <v>4류 제2석유류(비수용성)</v>
          </cell>
          <cell r="E772" t="str">
            <v>1000리터</v>
          </cell>
          <cell r="F772">
            <v>3265</v>
          </cell>
        </row>
        <row r="773">
          <cell r="B773" t="str">
            <v>2253-73-8</v>
          </cell>
          <cell r="C773" t="str">
            <v>이소티오시안산이소프로필에스테르</v>
          </cell>
          <cell r="D773" t="str">
            <v>4류 제2석유류(비수용성)</v>
          </cell>
          <cell r="E773" t="str">
            <v>1000리터</v>
          </cell>
          <cell r="F773">
            <v>1993</v>
          </cell>
        </row>
        <row r="774">
          <cell r="B774" t="str">
            <v>2269-22-9</v>
          </cell>
          <cell r="C774" t="str">
            <v>알루미늄 트리 sec-부톡사이드</v>
          </cell>
          <cell r="D774" t="str">
            <v>4류 제2석유류(비수용성)</v>
          </cell>
          <cell r="E774" t="str">
            <v>1000리터</v>
          </cell>
          <cell r="F774">
            <v>1993</v>
          </cell>
        </row>
        <row r="775">
          <cell r="B775" t="str">
            <v>2346-00-1</v>
          </cell>
          <cell r="C775" t="str">
            <v>메틸티아졸린(2-)</v>
          </cell>
          <cell r="D775" t="str">
            <v>4류 제2석유류(비수용성)</v>
          </cell>
          <cell r="E775" t="str">
            <v>1000리터</v>
          </cell>
          <cell r="F775">
            <v>1993</v>
          </cell>
        </row>
        <row r="776">
          <cell r="B776" t="str">
            <v>23877-12-5</v>
          </cell>
          <cell r="C776" t="str">
            <v>α-브로모이소부틸산 tert-부틸 에...</v>
          </cell>
          <cell r="D776" t="str">
            <v>4류 제2석유류(비수용성)</v>
          </cell>
          <cell r="E776" t="str">
            <v>1000리터</v>
          </cell>
          <cell r="F776">
            <v>1993</v>
          </cell>
        </row>
        <row r="777">
          <cell r="B777" t="str">
            <v>2396-65-8</v>
          </cell>
          <cell r="C777" t="str">
            <v>노나디인(1,8-)</v>
          </cell>
          <cell r="D777" t="str">
            <v>4류 제2석유류(비수용성)</v>
          </cell>
          <cell r="E777" t="str">
            <v>1000리터</v>
          </cell>
          <cell r="F777">
            <v>3295</v>
          </cell>
        </row>
        <row r="778">
          <cell r="B778" t="str">
            <v>2404-35-5</v>
          </cell>
          <cell r="C778" t="str">
            <v>브로모시클로헵탄</v>
          </cell>
          <cell r="D778" t="str">
            <v>4류 제2석유류(비수용성)</v>
          </cell>
          <cell r="E778" t="str">
            <v>1000리터</v>
          </cell>
          <cell r="F778" t="str">
            <v/>
          </cell>
        </row>
        <row r="779">
          <cell r="B779" t="str">
            <v>2426-08-6</v>
          </cell>
          <cell r="C779" t="str">
            <v>부틸글리시딜에테르</v>
          </cell>
          <cell r="D779" t="str">
            <v>4류 제2석유류(비수용성)</v>
          </cell>
          <cell r="E779" t="str">
            <v>1000리터</v>
          </cell>
          <cell r="F779">
            <v>3271</v>
          </cell>
        </row>
        <row r="780">
          <cell r="B780" t="str">
            <v>2499-95-8</v>
          </cell>
          <cell r="C780" t="str">
            <v>아크릴산노르말헥실에스테르</v>
          </cell>
          <cell r="D780" t="str">
            <v>4류 제2석유류(비수용성)</v>
          </cell>
          <cell r="E780" t="str">
            <v>1000리터</v>
          </cell>
          <cell r="F780">
            <v>1993</v>
          </cell>
        </row>
        <row r="781">
          <cell r="B781" t="str">
            <v>2516-33-8</v>
          </cell>
          <cell r="C781" t="str">
            <v>시클로프로필카르비놀</v>
          </cell>
          <cell r="D781" t="str">
            <v>4류 제2석유류(비수용성)</v>
          </cell>
          <cell r="E781" t="str">
            <v>1000리터</v>
          </cell>
          <cell r="F781">
            <v>1987</v>
          </cell>
        </row>
        <row r="782">
          <cell r="B782" t="str">
            <v>2528-61-2</v>
          </cell>
          <cell r="C782" t="str">
            <v>에난틴클로라이드</v>
          </cell>
          <cell r="D782" t="str">
            <v>4류 제2석유류(비수용성)</v>
          </cell>
          <cell r="E782" t="str">
            <v>1000리터</v>
          </cell>
          <cell r="F782">
            <v>2920</v>
          </cell>
        </row>
        <row r="783">
          <cell r="B783" t="str">
            <v>25340-17-4</v>
          </cell>
          <cell r="C783" t="str">
            <v>디에틸벤젠</v>
          </cell>
          <cell r="D783" t="str">
            <v>4류 제2석유류(비수용성)</v>
          </cell>
          <cell r="E783" t="str">
            <v>1000리터</v>
          </cell>
          <cell r="F783">
            <v>2049</v>
          </cell>
        </row>
        <row r="784">
          <cell r="B784" t="str">
            <v>2548-87-0</v>
          </cell>
          <cell r="C784" t="str">
            <v>옥탄알(트란스-2-)</v>
          </cell>
          <cell r="D784" t="str">
            <v>4류 제2석유류(비수용성)</v>
          </cell>
          <cell r="E784" t="str">
            <v>1000리터</v>
          </cell>
          <cell r="F784" t="str">
            <v/>
          </cell>
        </row>
        <row r="785">
          <cell r="B785" t="str">
            <v>2549-51-1</v>
          </cell>
          <cell r="C785" t="str">
            <v>클로로아세트산비닐에스테르</v>
          </cell>
          <cell r="D785" t="str">
            <v>4류 제2석유류(비수용성)</v>
          </cell>
          <cell r="E785" t="str">
            <v>1000리터</v>
          </cell>
          <cell r="F785">
            <v>2589</v>
          </cell>
        </row>
        <row r="786">
          <cell r="B786" t="str">
            <v>2550-04-1</v>
          </cell>
          <cell r="C786" t="str">
            <v>알릴트리에톡시실란</v>
          </cell>
          <cell r="D786" t="str">
            <v>4류 제2석유류(비수용성)</v>
          </cell>
          <cell r="E786" t="str">
            <v>1000리터</v>
          </cell>
          <cell r="F786">
            <v>1993</v>
          </cell>
        </row>
        <row r="787">
          <cell r="B787" t="str">
            <v>2550-21-2</v>
          </cell>
          <cell r="C787" t="str">
            <v>메틸(3-)-2-헥센논</v>
          </cell>
          <cell r="D787" t="str">
            <v>4류 제2석유류(비수용성)</v>
          </cell>
          <cell r="E787" t="str">
            <v>1000리터</v>
          </cell>
          <cell r="F787" t="str">
            <v/>
          </cell>
        </row>
        <row r="788">
          <cell r="B788" t="str">
            <v>2550-36-9</v>
          </cell>
          <cell r="C788" t="str">
            <v>브로모메틸시클로핵산</v>
          </cell>
          <cell r="D788" t="str">
            <v>4류 제2석유류(비수용성)</v>
          </cell>
          <cell r="E788" t="str">
            <v>1000리터</v>
          </cell>
          <cell r="F788">
            <v>1993</v>
          </cell>
        </row>
        <row r="789">
          <cell r="B789" t="str">
            <v>25680-58-4</v>
          </cell>
          <cell r="C789" t="str">
            <v>에틸(2-)헥사논산</v>
          </cell>
          <cell r="D789" t="str">
            <v>4류 제2석유류(비수용성)</v>
          </cell>
          <cell r="E789" t="str">
            <v>1000리터</v>
          </cell>
          <cell r="F789">
            <v>1993</v>
          </cell>
        </row>
        <row r="790">
          <cell r="B790" t="str">
            <v>2568-30-1</v>
          </cell>
          <cell r="C790" t="str">
            <v>클로로메틸-1,3-디옥소란</v>
          </cell>
          <cell r="D790" t="str">
            <v>4류 제2석유류(비수용성)</v>
          </cell>
          <cell r="E790" t="str">
            <v>1000리터</v>
          </cell>
          <cell r="F790">
            <v>1993</v>
          </cell>
        </row>
        <row r="791">
          <cell r="B791" t="str">
            <v>26184-62-3</v>
          </cell>
          <cell r="C791" t="str">
            <v>펜탄올(s-+)</v>
          </cell>
          <cell r="D791" t="str">
            <v>4류 제2석유류(비수용성)</v>
          </cell>
          <cell r="E791" t="str">
            <v>1000리터</v>
          </cell>
          <cell r="F791">
            <v>1105</v>
          </cell>
        </row>
        <row r="792">
          <cell r="B792" t="str">
            <v>26472-00-4</v>
          </cell>
          <cell r="C792" t="str">
            <v>메틸시클로펜타디엔다이머</v>
          </cell>
          <cell r="D792" t="str">
            <v>4류 제2석유류(비수용성)</v>
          </cell>
          <cell r="E792" t="str">
            <v>1000리터</v>
          </cell>
          <cell r="F792">
            <v>3295</v>
          </cell>
        </row>
        <row r="793">
          <cell r="B793" t="str">
            <v>26555-40-8</v>
          </cell>
          <cell r="C793" t="str">
            <v>메톡시카보닐술페닐클로라이드</v>
          </cell>
          <cell r="D793" t="str">
            <v>4류 제2석유류(비수용성)</v>
          </cell>
          <cell r="E793" t="str">
            <v>1000리터</v>
          </cell>
          <cell r="F793">
            <v>2920</v>
          </cell>
        </row>
        <row r="794">
          <cell r="B794" t="str">
            <v>26762-92-5</v>
          </cell>
          <cell r="C794" t="str">
            <v>P-멘탄하이드로퍼옥사이드</v>
          </cell>
          <cell r="D794" t="str">
            <v>4류 제2석유류(비수용성)</v>
          </cell>
          <cell r="E794" t="str">
            <v>1000리터</v>
          </cell>
          <cell r="F794">
            <v>3105</v>
          </cell>
        </row>
        <row r="795">
          <cell r="B795" t="str">
            <v>271-89-6</v>
          </cell>
          <cell r="C795" t="str">
            <v>2,3-벤조퓨란</v>
          </cell>
          <cell r="D795" t="str">
            <v>4류 제2석유류(비수용성)</v>
          </cell>
          <cell r="E795" t="str">
            <v>1000리터</v>
          </cell>
          <cell r="F795">
            <v>1993</v>
          </cell>
        </row>
        <row r="796">
          <cell r="B796" t="str">
            <v>273-53-0</v>
          </cell>
          <cell r="C796" t="str">
            <v>벤나옥사졸</v>
          </cell>
          <cell r="D796" t="str">
            <v>4류 제2석유류(비수용성)</v>
          </cell>
          <cell r="E796" t="str">
            <v>1000리터</v>
          </cell>
          <cell r="F796" t="str">
            <v/>
          </cell>
        </row>
        <row r="797">
          <cell r="B797" t="str">
            <v>274-09-9</v>
          </cell>
          <cell r="C797" t="str">
            <v>메틸렌디옥시벤젠</v>
          </cell>
          <cell r="D797" t="str">
            <v>4류 제2석유류(비수용성)</v>
          </cell>
          <cell r="E797" t="str">
            <v>1000리터</v>
          </cell>
          <cell r="F797">
            <v>1993</v>
          </cell>
        </row>
        <row r="798">
          <cell r="B798" t="str">
            <v>2757-23-5</v>
          </cell>
          <cell r="C798" t="str">
            <v>클로로카보닐슬페닐클로라이드</v>
          </cell>
          <cell r="D798" t="str">
            <v>4류 제2석유류(비수용성)</v>
          </cell>
          <cell r="E798" t="str">
            <v>1000리터</v>
          </cell>
          <cell r="F798">
            <v>3265</v>
          </cell>
        </row>
        <row r="799">
          <cell r="B799" t="str">
            <v>2761-24-2</v>
          </cell>
          <cell r="C799" t="str">
            <v>펜틸트리에톡시실란</v>
          </cell>
          <cell r="D799" t="str">
            <v>4류 제2석유류(비수용성)</v>
          </cell>
          <cell r="E799" t="str">
            <v>1000리터</v>
          </cell>
          <cell r="F799">
            <v>1993</v>
          </cell>
        </row>
        <row r="800">
          <cell r="B800" t="str">
            <v>2816-57-1</v>
          </cell>
          <cell r="C800" t="str">
            <v>디메틸시클로헥산온(2,6-)</v>
          </cell>
          <cell r="D800" t="str">
            <v>4류 제2석유류(비수용성)</v>
          </cell>
          <cell r="E800" t="str">
            <v>1000리터</v>
          </cell>
          <cell r="F800">
            <v>1224</v>
          </cell>
        </row>
        <row r="801">
          <cell r="B801" t="str">
            <v>2857-97-8</v>
          </cell>
          <cell r="C801" t="str">
            <v>브로모트리메틸실란</v>
          </cell>
          <cell r="D801" t="str">
            <v>4류 제2석유류(비수용성)</v>
          </cell>
          <cell r="E801" t="str">
            <v>1000리터</v>
          </cell>
          <cell r="F801">
            <v>2920</v>
          </cell>
        </row>
        <row r="802">
          <cell r="B802" t="str">
            <v>286-20-4</v>
          </cell>
          <cell r="C802" t="str">
            <v>사이클로헥센옥사이드</v>
          </cell>
          <cell r="D802" t="str">
            <v>4류 제2석유류(비수용성)</v>
          </cell>
          <cell r="E802" t="str">
            <v>1000리터</v>
          </cell>
          <cell r="F802">
            <v>2924</v>
          </cell>
        </row>
        <row r="803">
          <cell r="B803" t="str">
            <v>2867-47-2</v>
          </cell>
          <cell r="C803" t="str">
            <v>메타크릴산 디메틸아미노에틸</v>
          </cell>
          <cell r="D803" t="str">
            <v>4류 제2석유류(비수용성)</v>
          </cell>
          <cell r="E803" t="str">
            <v>1000리터</v>
          </cell>
          <cell r="F803">
            <v>2522</v>
          </cell>
        </row>
        <row r="804">
          <cell r="B804" t="str">
            <v>2916-14-5</v>
          </cell>
          <cell r="C804" t="str">
            <v>클로로아세트산알릴에스테르</v>
          </cell>
          <cell r="D804" t="str">
            <v>4류 제2석유류(비수용성)</v>
          </cell>
          <cell r="E804" t="str">
            <v>1000리터</v>
          </cell>
          <cell r="F804" t="str">
            <v/>
          </cell>
        </row>
        <row r="805">
          <cell r="B805" t="str">
            <v>2919-23-5</v>
          </cell>
          <cell r="C805" t="str">
            <v>시클로부탄올</v>
          </cell>
          <cell r="D805" t="str">
            <v>4류 제2석유류(비수용성)</v>
          </cell>
          <cell r="E805" t="str">
            <v>1000리터</v>
          </cell>
          <cell r="F805">
            <v>1987</v>
          </cell>
        </row>
        <row r="806">
          <cell r="B806" t="str">
            <v>292-64-8</v>
          </cell>
          <cell r="C806" t="str">
            <v>시클로옥탄</v>
          </cell>
          <cell r="D806" t="str">
            <v>4류 제2석유류(비수용성)</v>
          </cell>
          <cell r="E806" t="str">
            <v>1000리터</v>
          </cell>
          <cell r="F806">
            <v>3295</v>
          </cell>
        </row>
        <row r="807">
          <cell r="B807" t="str">
            <v>2935-90-2</v>
          </cell>
          <cell r="C807" t="str">
            <v>3-메르캅토프로피온산메틸</v>
          </cell>
          <cell r="D807" t="str">
            <v>4류 제2석유류(비수용성)</v>
          </cell>
          <cell r="E807" t="str">
            <v>1000리터</v>
          </cell>
          <cell r="F807" t="str">
            <v/>
          </cell>
        </row>
        <row r="808">
          <cell r="B808" t="str">
            <v>2937-50-0</v>
          </cell>
          <cell r="C808" t="str">
            <v>클로로포름산아릴에스테르</v>
          </cell>
          <cell r="D808" t="str">
            <v>4류 제2석유류(비수용성)</v>
          </cell>
          <cell r="E808" t="str">
            <v>1000리터</v>
          </cell>
          <cell r="F808">
            <v>1722</v>
          </cell>
        </row>
        <row r="809">
          <cell r="B809" t="str">
            <v>293-96-9</v>
          </cell>
          <cell r="C809" t="str">
            <v>시클로데칸</v>
          </cell>
          <cell r="D809" t="str">
            <v>4류 제2석유류(비수용성)</v>
          </cell>
          <cell r="E809" t="str">
            <v>1000리터</v>
          </cell>
          <cell r="F809">
            <v>1993</v>
          </cell>
        </row>
        <row r="810">
          <cell r="B810" t="str">
            <v>2955-88-6</v>
          </cell>
          <cell r="C810" t="str">
            <v>하이드록시피클리딘</v>
          </cell>
          <cell r="D810" t="str">
            <v>4류 제2석유류(비수용성)</v>
          </cell>
          <cell r="E810" t="str">
            <v>1000리터</v>
          </cell>
          <cell r="F810">
            <v>1993</v>
          </cell>
        </row>
        <row r="811">
          <cell r="B811" t="str">
            <v>2969-81-5</v>
          </cell>
          <cell r="C811" t="str">
            <v>4-브로모-노르말브틸산에틸에스테르</v>
          </cell>
          <cell r="D811" t="str">
            <v>4류 제2석유류(비수용성)</v>
          </cell>
          <cell r="E811" t="str">
            <v>1000리터</v>
          </cell>
          <cell r="F811">
            <v>1993</v>
          </cell>
        </row>
        <row r="812">
          <cell r="B812" t="str">
            <v>2984-50-1</v>
          </cell>
          <cell r="C812" t="str">
            <v>에폭시옥탄(1,2-)</v>
          </cell>
          <cell r="D812" t="str">
            <v>4류 제2석유류(비수용성)</v>
          </cell>
          <cell r="E812" t="str">
            <v>1000리터</v>
          </cell>
          <cell r="F812">
            <v>1993</v>
          </cell>
        </row>
        <row r="813">
          <cell r="B813" t="str">
            <v>3002-23-1</v>
          </cell>
          <cell r="C813" t="str">
            <v>메틸(6-)-2,4-헵탄디온</v>
          </cell>
          <cell r="D813" t="str">
            <v>4류 제2석유류(비수용성)</v>
          </cell>
          <cell r="E813" t="str">
            <v>1000리터</v>
          </cell>
          <cell r="F813">
            <v>1993</v>
          </cell>
        </row>
        <row r="814">
          <cell r="B814" t="str">
            <v>300-57-2</v>
          </cell>
          <cell r="C814" t="str">
            <v>알릴벤젠</v>
          </cell>
          <cell r="D814" t="str">
            <v>4류 제2석유류(비수용성)</v>
          </cell>
          <cell r="E814" t="str">
            <v>1000리터</v>
          </cell>
          <cell r="F814">
            <v>3295</v>
          </cell>
        </row>
        <row r="815">
          <cell r="B815" t="str">
            <v>300-87-8</v>
          </cell>
          <cell r="C815" t="str">
            <v>디메틸이소옥사졸</v>
          </cell>
          <cell r="D815" t="str">
            <v>4류 제2석유류(비수용성)</v>
          </cell>
          <cell r="E815" t="str">
            <v>1000리터</v>
          </cell>
          <cell r="F815">
            <v>1993</v>
          </cell>
        </row>
        <row r="816">
          <cell r="B816" t="str">
            <v>3010-02-4</v>
          </cell>
          <cell r="C816" t="str">
            <v>디에틸아미노아세토니트릴</v>
          </cell>
          <cell r="D816" t="str">
            <v>4류 제2석유류(비수용성)</v>
          </cell>
          <cell r="E816" t="str">
            <v>1000리터</v>
          </cell>
          <cell r="F816">
            <v>3275</v>
          </cell>
        </row>
        <row r="817">
          <cell r="B817" t="str">
            <v>3018-12-0</v>
          </cell>
          <cell r="C817" t="str">
            <v>디클로로아세토니트릴</v>
          </cell>
          <cell r="D817" t="str">
            <v>4류 제2석유류(비수용성)</v>
          </cell>
          <cell r="E817" t="str">
            <v>1000리터</v>
          </cell>
          <cell r="F817">
            <v>2920</v>
          </cell>
        </row>
        <row r="818">
          <cell r="B818" t="str">
            <v>3019-25-8</v>
          </cell>
          <cell r="C818" t="str">
            <v>아세틸시클로부탄</v>
          </cell>
          <cell r="D818" t="str">
            <v>4류 제2석유류(비수용성)</v>
          </cell>
          <cell r="E818" t="str">
            <v>1000리터</v>
          </cell>
          <cell r="F818">
            <v>1224</v>
          </cell>
        </row>
        <row r="819">
          <cell r="B819" t="str">
            <v>3066-71-5</v>
          </cell>
          <cell r="C819" t="str">
            <v>사이클로헥실 아크릴레이트</v>
          </cell>
          <cell r="D819" t="str">
            <v>4류 제2석유류(비수용성)</v>
          </cell>
          <cell r="E819" t="str">
            <v>1000리터</v>
          </cell>
          <cell r="F819" t="str">
            <v/>
          </cell>
        </row>
        <row r="820">
          <cell r="B820" t="str">
            <v>3068-88-0</v>
          </cell>
          <cell r="C820" t="str">
            <v>부틸로락톤</v>
          </cell>
          <cell r="D820" t="str">
            <v>4류 제2석유류(비수용성)</v>
          </cell>
          <cell r="E820" t="str">
            <v>1000리터</v>
          </cell>
          <cell r="F820">
            <v>1993</v>
          </cell>
        </row>
        <row r="821">
          <cell r="B821" t="str">
            <v>306-94-5</v>
          </cell>
          <cell r="C821" t="str">
            <v>퍼플로로데카린</v>
          </cell>
          <cell r="D821" t="str">
            <v>4류 제2석유류(비수용성)</v>
          </cell>
          <cell r="E821" t="str">
            <v>1000리터</v>
          </cell>
          <cell r="F821">
            <v>1993</v>
          </cell>
        </row>
        <row r="822">
          <cell r="B822" t="str">
            <v>3085-35-6</v>
          </cell>
          <cell r="C822" t="str">
            <v>부틸헤미포말</v>
          </cell>
          <cell r="D822" t="str">
            <v>4류 제2석유류(비수용성)</v>
          </cell>
          <cell r="E822" t="str">
            <v>1000리터</v>
          </cell>
          <cell r="F822">
            <v>2924</v>
          </cell>
        </row>
        <row r="823">
          <cell r="B823" t="str">
            <v>31087-44-2</v>
          </cell>
          <cell r="C823" t="str">
            <v>펜탄올(r--)</v>
          </cell>
          <cell r="D823" t="str">
            <v>4류 제2석유류(비수용성)</v>
          </cell>
          <cell r="E823" t="str">
            <v>1000리터</v>
          </cell>
          <cell r="F823">
            <v>1105</v>
          </cell>
        </row>
        <row r="824">
          <cell r="B824" t="str">
            <v>3121-61-7</v>
          </cell>
          <cell r="C824" t="str">
            <v>아크릴산 2-메톡시에틸</v>
          </cell>
          <cell r="D824" t="str">
            <v>4류 제2석유류(비수용성)</v>
          </cell>
          <cell r="E824" t="str">
            <v>1000리터</v>
          </cell>
          <cell r="F824">
            <v>1992</v>
          </cell>
        </row>
        <row r="825">
          <cell r="B825" t="str">
            <v>3121-70-8</v>
          </cell>
          <cell r="C825" t="str">
            <v>부틸산나프틸에스테르</v>
          </cell>
          <cell r="D825" t="str">
            <v>4류 제2석유류(비수용성)</v>
          </cell>
          <cell r="E825" t="str">
            <v>1000리터</v>
          </cell>
          <cell r="F825">
            <v>1993</v>
          </cell>
        </row>
        <row r="826">
          <cell r="B826" t="str">
            <v>3140-93-0</v>
          </cell>
          <cell r="C826" t="str">
            <v>디프로모티오펜(2.3-)</v>
          </cell>
          <cell r="D826" t="str">
            <v>4류 제2석유류(비수용성)</v>
          </cell>
          <cell r="E826" t="str">
            <v>1000리터</v>
          </cell>
          <cell r="F826">
            <v>1993</v>
          </cell>
        </row>
        <row r="827">
          <cell r="B827" t="str">
            <v>31469-15-5</v>
          </cell>
          <cell r="C827" t="str">
            <v>디메틸케텐메틸트리메틸실일아세탈</v>
          </cell>
          <cell r="D827" t="str">
            <v>4류 제2석유류(비수용성)</v>
          </cell>
          <cell r="E827" t="str">
            <v>1000리터</v>
          </cell>
          <cell r="F827">
            <v>3271</v>
          </cell>
        </row>
        <row r="828">
          <cell r="B828" t="str">
            <v>3153-37-5</v>
          </cell>
          <cell r="C828" t="str">
            <v>클로로(4-)부틸산메틸에스테르</v>
          </cell>
          <cell r="D828" t="str">
            <v>4류 제2석유류(비수용성)</v>
          </cell>
          <cell r="E828" t="str">
            <v>1000리터</v>
          </cell>
          <cell r="F828">
            <v>3272</v>
          </cell>
        </row>
        <row r="829">
          <cell r="B829" t="str">
            <v>3172-52-9</v>
          </cell>
          <cell r="C829" t="str">
            <v>디클로로티오펜</v>
          </cell>
          <cell r="D829" t="str">
            <v>4류 제2석유류(비수용성)</v>
          </cell>
          <cell r="E829" t="str">
            <v>1000리터</v>
          </cell>
          <cell r="F829">
            <v>1993</v>
          </cell>
        </row>
        <row r="830">
          <cell r="B830" t="str">
            <v>3173-53-3</v>
          </cell>
          <cell r="C830" t="str">
            <v>시클로헥실이소시아네이트</v>
          </cell>
          <cell r="D830" t="str">
            <v>4류 제2석유류(비수용성)</v>
          </cell>
          <cell r="E830" t="str">
            <v>1000리터</v>
          </cell>
          <cell r="F830">
            <v>2488</v>
          </cell>
        </row>
        <row r="831">
          <cell r="B831" t="str">
            <v>3173-56-6</v>
          </cell>
          <cell r="C831" t="str">
            <v>벤질이소시아네이트</v>
          </cell>
          <cell r="D831" t="str">
            <v>4류 제2석유류(비수용성)</v>
          </cell>
          <cell r="E831" t="str">
            <v>1000리터</v>
          </cell>
          <cell r="F831">
            <v>3080</v>
          </cell>
        </row>
        <row r="832">
          <cell r="B832" t="str">
            <v>3178-22-1</v>
          </cell>
          <cell r="C832" t="str">
            <v>부틸(터셔리)시클로헥산</v>
          </cell>
          <cell r="D832" t="str">
            <v>4류 제2석유류(비수용성)</v>
          </cell>
          <cell r="E832" t="str">
            <v>1000리터</v>
          </cell>
          <cell r="F832">
            <v>3295</v>
          </cell>
        </row>
        <row r="833">
          <cell r="B833" t="str">
            <v>3179-63-3</v>
          </cell>
          <cell r="C833" t="str">
            <v>디메틸아미노-1-프로판올</v>
          </cell>
          <cell r="D833" t="str">
            <v>4류 제2석유류(비수용성)</v>
          </cell>
          <cell r="E833" t="str">
            <v>1000리터</v>
          </cell>
          <cell r="F833">
            <v>1987</v>
          </cell>
        </row>
        <row r="834">
          <cell r="B834" t="str">
            <v>31807-55-3</v>
          </cell>
          <cell r="C834" t="str">
            <v>이소도데칸</v>
          </cell>
          <cell r="D834" t="str">
            <v>4류 제2석유류(비수용성)</v>
          </cell>
          <cell r="E834" t="str">
            <v>1000리터</v>
          </cell>
          <cell r="F834">
            <v>2286</v>
          </cell>
        </row>
        <row r="835">
          <cell r="B835" t="str">
            <v>3188-00-9</v>
          </cell>
          <cell r="C835" t="str">
            <v>메틸(2-)테트라히드로퓨란-3-온</v>
          </cell>
          <cell r="D835" t="str">
            <v>4류 제2석유류(비수용성)</v>
          </cell>
          <cell r="E835" t="str">
            <v>1000리터</v>
          </cell>
          <cell r="F835">
            <v>1224</v>
          </cell>
        </row>
        <row r="836">
          <cell r="B836" t="str">
            <v>3196-15-4</v>
          </cell>
          <cell r="C836" t="str">
            <v>2-브로모-노르말부틸산메틸에스테르</v>
          </cell>
          <cell r="D836" t="str">
            <v>4류 제2석유류(비수용성)</v>
          </cell>
          <cell r="E836" t="str">
            <v>1000리터</v>
          </cell>
          <cell r="F836">
            <v>3265</v>
          </cell>
        </row>
        <row r="837">
          <cell r="B837" t="str">
            <v>321-28-8</v>
          </cell>
          <cell r="C837" t="str">
            <v>플루오르아니솔</v>
          </cell>
          <cell r="D837" t="str">
            <v>4류 제2석유류(비수용성)</v>
          </cell>
          <cell r="E837" t="str">
            <v>1000리터</v>
          </cell>
          <cell r="F837">
            <v>1993</v>
          </cell>
        </row>
        <row r="838">
          <cell r="B838" t="str">
            <v>3236-82-6</v>
          </cell>
          <cell r="C838" t="str">
            <v>펜타에톡시니오브</v>
          </cell>
          <cell r="D838" t="str">
            <v>4류 제2석유류(비수용성)</v>
          </cell>
          <cell r="E838" t="str">
            <v>1000리터</v>
          </cell>
          <cell r="F838">
            <v>2920</v>
          </cell>
        </row>
        <row r="839">
          <cell r="B839" t="str">
            <v>3268-49-3</v>
          </cell>
          <cell r="C839" t="str">
            <v>메틸(3-)티오프로피온알데히드</v>
          </cell>
          <cell r="D839" t="str">
            <v>4류 제2석유류(비수용성)</v>
          </cell>
          <cell r="E839" t="str">
            <v>1000리터</v>
          </cell>
          <cell r="F839">
            <v>2785</v>
          </cell>
        </row>
        <row r="840">
          <cell r="B840" t="str">
            <v>327-52-6</v>
          </cell>
          <cell r="C840" t="str">
            <v>1-브로모-2,4,5-트리플로로벤젠</v>
          </cell>
          <cell r="D840" t="str">
            <v>4류 제2석유류(비수용성)</v>
          </cell>
          <cell r="E840" t="str">
            <v>1000리터</v>
          </cell>
          <cell r="F840">
            <v>1993</v>
          </cell>
        </row>
        <row r="841">
          <cell r="B841" t="str">
            <v>3279-26-3</v>
          </cell>
          <cell r="C841" t="str">
            <v>메틸포스포로디클로다이트</v>
          </cell>
          <cell r="D841" t="str">
            <v>4류 제2석유류(비수용성)</v>
          </cell>
          <cell r="E841" t="str">
            <v>1000리터</v>
          </cell>
          <cell r="F841">
            <v>2920</v>
          </cell>
        </row>
        <row r="842">
          <cell r="B842" t="str">
            <v>328-84-7</v>
          </cell>
          <cell r="C842" t="str">
            <v>디클로로벤조트리플로라이드</v>
          </cell>
          <cell r="D842" t="str">
            <v>4류 제2석유류(비수용성)</v>
          </cell>
          <cell r="E842" t="str">
            <v>1000리터</v>
          </cell>
          <cell r="F842" t="str">
            <v/>
          </cell>
        </row>
        <row r="843">
          <cell r="B843" t="str">
            <v>33229-89-9</v>
          </cell>
          <cell r="C843" t="str">
            <v>디메틸글리신에틸에스테르</v>
          </cell>
          <cell r="D843" t="str">
            <v>4류 제2석유류(비수용성)</v>
          </cell>
          <cell r="E843" t="str">
            <v>1000리터</v>
          </cell>
          <cell r="F843">
            <v>1993</v>
          </cell>
        </row>
        <row r="844">
          <cell r="B844" t="str">
            <v>332-77-4</v>
          </cell>
          <cell r="C844" t="str">
            <v>디메톡시디하이드로퓨란</v>
          </cell>
          <cell r="D844" t="str">
            <v>4류 제2석유류(비수용성)</v>
          </cell>
          <cell r="E844" t="str">
            <v>1000리터</v>
          </cell>
          <cell r="F844">
            <v>1993</v>
          </cell>
        </row>
        <row r="845">
          <cell r="B845" t="str">
            <v>3385-94-2</v>
          </cell>
          <cell r="C845" t="str">
            <v>비스(트리메틸실릴)술파이드</v>
          </cell>
          <cell r="D845" t="str">
            <v>4류 제2석유류(비수용성)</v>
          </cell>
          <cell r="E845" t="str">
            <v>1000리터</v>
          </cell>
          <cell r="F845">
            <v>1993</v>
          </cell>
        </row>
        <row r="846">
          <cell r="B846" t="str">
            <v>3391-86-4</v>
          </cell>
          <cell r="C846" t="str">
            <v>1-옥텐-3-올</v>
          </cell>
          <cell r="D846" t="str">
            <v>4류 제2석유류(비수용성)</v>
          </cell>
          <cell r="E846" t="str">
            <v>1000리터</v>
          </cell>
          <cell r="F846" t="str">
            <v/>
          </cell>
        </row>
        <row r="847">
          <cell r="B847" t="str">
            <v>34036-07-2</v>
          </cell>
          <cell r="C847" t="str">
            <v>3,4-디플루오르벤즈알데히드</v>
          </cell>
          <cell r="D847" t="str">
            <v>4류 제2석유류(비수용성)</v>
          </cell>
          <cell r="E847" t="str">
            <v>1000리터</v>
          </cell>
          <cell r="F847" t="str">
            <v/>
          </cell>
        </row>
        <row r="848">
          <cell r="B848" t="str">
            <v>3452-09-3</v>
          </cell>
          <cell r="C848" t="str">
            <v>노닌(1-)</v>
          </cell>
          <cell r="D848" t="str">
            <v>4류 제2석유류(비수용성)</v>
          </cell>
          <cell r="E848" t="str">
            <v>1000리터</v>
          </cell>
          <cell r="F848">
            <v>3295</v>
          </cell>
        </row>
        <row r="849">
          <cell r="B849" t="str">
            <v>345-35-7</v>
          </cell>
          <cell r="C849" t="str">
            <v>플로로벤질클로라이드</v>
          </cell>
          <cell r="D849" t="str">
            <v>4류 제2석유류(비수용성)</v>
          </cell>
          <cell r="E849" t="str">
            <v>1000리터</v>
          </cell>
          <cell r="F849">
            <v>2920</v>
          </cell>
        </row>
        <row r="850">
          <cell r="B850" t="str">
            <v>34846-90-7</v>
          </cell>
          <cell r="C850" t="str">
            <v>메톡시아크릴산메틸에스테르</v>
          </cell>
          <cell r="D850" t="str">
            <v>4류 제2석유류(비수용성)</v>
          </cell>
          <cell r="E850" t="str">
            <v>1000리터</v>
          </cell>
          <cell r="F850" t="str">
            <v/>
          </cell>
        </row>
        <row r="851">
          <cell r="B851" t="str">
            <v>348-51-6</v>
          </cell>
          <cell r="C851" t="str">
            <v>클로로(2-)플로로벤젠</v>
          </cell>
          <cell r="D851" t="str">
            <v>4류 제2석유류(비수용성)</v>
          </cell>
          <cell r="E851" t="str">
            <v>1000리터</v>
          </cell>
          <cell r="F851">
            <v>1993</v>
          </cell>
        </row>
        <row r="852">
          <cell r="B852" t="str">
            <v>348-54-9</v>
          </cell>
          <cell r="C852" t="str">
            <v>o-플루오로아닐린</v>
          </cell>
          <cell r="D852" t="str">
            <v>4류 제2석유류(비수용성)</v>
          </cell>
          <cell r="E852" t="str">
            <v>1000리터</v>
          </cell>
          <cell r="F852">
            <v>2941</v>
          </cell>
        </row>
        <row r="853">
          <cell r="B853" t="str">
            <v>348-57-2</v>
          </cell>
          <cell r="C853" t="str">
            <v>1-브로모-2,4-디플로로벤젠</v>
          </cell>
          <cell r="D853" t="str">
            <v>4류 제2석유류(비수용성)</v>
          </cell>
          <cell r="E853" t="str">
            <v>1000리터</v>
          </cell>
          <cell r="F853">
            <v>1993</v>
          </cell>
        </row>
        <row r="854">
          <cell r="B854" t="str">
            <v>348-61-8</v>
          </cell>
          <cell r="C854" t="str">
            <v>1-브로모-3,4-디플로로벤젠</v>
          </cell>
          <cell r="D854" t="str">
            <v>4류 제2석유류(비수용성)</v>
          </cell>
          <cell r="E854" t="str">
            <v>1000리터</v>
          </cell>
          <cell r="F854">
            <v>1993</v>
          </cell>
        </row>
        <row r="855">
          <cell r="B855" t="str">
            <v>352-34-1</v>
          </cell>
          <cell r="C855" t="str">
            <v>플로로요오드벤젠</v>
          </cell>
          <cell r="D855" t="str">
            <v>4류 제2석유류(비수용성)</v>
          </cell>
          <cell r="E855" t="str">
            <v>1000리터</v>
          </cell>
          <cell r="F855" t="str">
            <v/>
          </cell>
        </row>
        <row r="856">
          <cell r="B856" t="str">
            <v>35466-83-2</v>
          </cell>
          <cell r="C856" t="str">
            <v>카보닐산알릴메틸에스테르</v>
          </cell>
          <cell r="D856" t="str">
            <v>4류 제2석유류(비수용성)</v>
          </cell>
          <cell r="E856" t="str">
            <v>1000리터</v>
          </cell>
          <cell r="F856">
            <v>3272</v>
          </cell>
        </row>
        <row r="857">
          <cell r="B857" t="str">
            <v>35854-86-5</v>
          </cell>
          <cell r="C857" t="str">
            <v>노넨(시스-6-)-1-올</v>
          </cell>
          <cell r="D857" t="str">
            <v>4류 제2석유류(비수용성)</v>
          </cell>
          <cell r="E857" t="str">
            <v>1000리터</v>
          </cell>
          <cell r="F857">
            <v>1993</v>
          </cell>
        </row>
        <row r="858">
          <cell r="B858" t="str">
            <v>3605-65-0</v>
          </cell>
          <cell r="C858" t="str">
            <v>모노sec-부톡시알루미늄디이소프로필레...</v>
          </cell>
          <cell r="D858" t="str">
            <v>4류 제2석유류(비수용성)</v>
          </cell>
          <cell r="E858" t="str">
            <v>1000리터</v>
          </cell>
          <cell r="F858">
            <v>1993</v>
          </cell>
        </row>
        <row r="859">
          <cell r="B859" t="str">
            <v>3616-56-6</v>
          </cell>
          <cell r="C859" t="str">
            <v>디메틸아미노아세트알데히드에틸아세탈</v>
          </cell>
          <cell r="D859" t="str">
            <v>4류 제2석유류(비수용성)</v>
          </cell>
          <cell r="E859" t="str">
            <v>1000리터</v>
          </cell>
          <cell r="F859">
            <v>1993</v>
          </cell>
        </row>
        <row r="860">
          <cell r="B860" t="str">
            <v>36239-09-5</v>
          </cell>
          <cell r="C860" t="str">
            <v>에틸말로닐염화물</v>
          </cell>
          <cell r="D860" t="str">
            <v>4류 제2석유류(비수용성)</v>
          </cell>
          <cell r="E860" t="str">
            <v>1000리터</v>
          </cell>
          <cell r="F860">
            <v>3265</v>
          </cell>
        </row>
        <row r="861">
          <cell r="B861" t="str">
            <v>367-25-9</v>
          </cell>
          <cell r="C861" t="str">
            <v>2,4-디플루오로아닐린</v>
          </cell>
          <cell r="D861" t="str">
            <v>4류 제2석유류(비수용성)</v>
          </cell>
          <cell r="E861" t="str">
            <v>1000리터</v>
          </cell>
          <cell r="F861">
            <v>2941</v>
          </cell>
        </row>
        <row r="862">
          <cell r="B862" t="str">
            <v>367-30-6</v>
          </cell>
          <cell r="C862" t="str">
            <v>디플르오르아닐린(2,5-)</v>
          </cell>
          <cell r="D862" t="str">
            <v>4류 제2석유류(비수용성)</v>
          </cell>
          <cell r="E862" t="str">
            <v>1000리터</v>
          </cell>
          <cell r="F862">
            <v>1993</v>
          </cell>
        </row>
        <row r="863">
          <cell r="B863" t="str">
            <v>367-86-2</v>
          </cell>
          <cell r="C863" t="str">
            <v>프로로(4-)-3니트로벤조트리풀로라이...</v>
          </cell>
          <cell r="D863" t="str">
            <v>4류 제2석유류(비수용성)</v>
          </cell>
          <cell r="E863" t="str">
            <v>1000리터</v>
          </cell>
          <cell r="F863">
            <v>1993</v>
          </cell>
        </row>
        <row r="864">
          <cell r="B864" t="str">
            <v>3710-84-7</v>
          </cell>
          <cell r="C864" t="str">
            <v>디에틸하이드록실아민</v>
          </cell>
          <cell r="D864" t="str">
            <v>4류 제2석유류(비수용성)</v>
          </cell>
          <cell r="E864" t="str">
            <v>1000리터</v>
          </cell>
          <cell r="F864">
            <v>1993</v>
          </cell>
        </row>
        <row r="865">
          <cell r="B865" t="str">
            <v>372-48-5</v>
          </cell>
          <cell r="C865" t="str">
            <v>플로로피리딘</v>
          </cell>
          <cell r="D865" t="str">
            <v>4류 제2석유류(비수용성)</v>
          </cell>
          <cell r="E865" t="str">
            <v>1000리터</v>
          </cell>
          <cell r="F865">
            <v>1993</v>
          </cell>
        </row>
        <row r="866">
          <cell r="B866" t="str">
            <v>3777-69-3</v>
          </cell>
          <cell r="C866" t="str">
            <v>펜틸퓨란</v>
          </cell>
          <cell r="D866" t="str">
            <v>4류 제2석유류(비수용성)</v>
          </cell>
          <cell r="E866" t="str">
            <v>1000리터</v>
          </cell>
          <cell r="F866">
            <v>1993</v>
          </cell>
        </row>
        <row r="867">
          <cell r="B867" t="str">
            <v>382-31-0</v>
          </cell>
          <cell r="C867" t="str">
            <v>헥사플로로부탄올</v>
          </cell>
          <cell r="D867" t="str">
            <v>4류 제2석유류(비수용성)</v>
          </cell>
          <cell r="E867" t="str">
            <v>1000리터</v>
          </cell>
          <cell r="F867">
            <v>1987</v>
          </cell>
        </row>
        <row r="868">
          <cell r="B868" t="str">
            <v>389-40-2</v>
          </cell>
          <cell r="C868" t="str">
            <v>펜타플로로아니솔</v>
          </cell>
          <cell r="D868" t="str">
            <v>4류 제2석유류(비수용성)</v>
          </cell>
          <cell r="E868" t="str">
            <v>1000리터</v>
          </cell>
          <cell r="F868">
            <v>1993</v>
          </cell>
        </row>
        <row r="869">
          <cell r="B869" t="str">
            <v>392-83-6</v>
          </cell>
          <cell r="C869" t="str">
            <v>2-브로모벤조트리플루오르화물</v>
          </cell>
          <cell r="D869" t="str">
            <v>4류 제2석유류(비수용성)</v>
          </cell>
          <cell r="E869" t="str">
            <v>1000리터</v>
          </cell>
          <cell r="F869">
            <v>1993</v>
          </cell>
        </row>
        <row r="870">
          <cell r="B870" t="str">
            <v>399-94-0</v>
          </cell>
          <cell r="C870" t="str">
            <v>1-브로모-2,5-디플로로벤젠</v>
          </cell>
          <cell r="D870" t="str">
            <v>4류 제2석유류(비수용성)</v>
          </cell>
          <cell r="E870" t="str">
            <v>1000리터</v>
          </cell>
          <cell r="F870">
            <v>1993</v>
          </cell>
        </row>
        <row r="871">
          <cell r="B871" t="str">
            <v>401-56-9</v>
          </cell>
          <cell r="C871" t="str">
            <v>클로로플로로아세트산에틸에테르</v>
          </cell>
          <cell r="D871" t="str">
            <v>4류 제2석유류(비수용성)</v>
          </cell>
          <cell r="E871" t="str">
            <v>1000리터</v>
          </cell>
          <cell r="F871">
            <v>2920</v>
          </cell>
        </row>
        <row r="872">
          <cell r="B872" t="str">
            <v>4016-14-2</v>
          </cell>
          <cell r="C872" t="str">
            <v>이소프로필글리시딜에테르</v>
          </cell>
          <cell r="D872" t="str">
            <v>4류 제2석유류(비수용성)</v>
          </cell>
          <cell r="E872" t="str">
            <v>1000리터</v>
          </cell>
          <cell r="F872">
            <v>3271</v>
          </cell>
        </row>
        <row r="873">
          <cell r="B873" t="str">
            <v>401-78-5</v>
          </cell>
          <cell r="C873" t="str">
            <v>3-브로모벤조트리플루오르화물</v>
          </cell>
          <cell r="D873" t="str">
            <v>4류 제2석유류(비수용성)</v>
          </cell>
          <cell r="E873" t="str">
            <v>1000리터</v>
          </cell>
          <cell r="F873">
            <v>1993</v>
          </cell>
        </row>
        <row r="874">
          <cell r="B874" t="str">
            <v>401-95-6</v>
          </cell>
          <cell r="C874" t="str">
            <v>3,5-비스(트리플로오르메틸)벤즈알데...</v>
          </cell>
          <cell r="D874" t="str">
            <v>4류 제2석유류(비수용성)</v>
          </cell>
          <cell r="E874" t="str">
            <v>1000리터</v>
          </cell>
          <cell r="F874" t="str">
            <v/>
          </cell>
        </row>
        <row r="875">
          <cell r="B875" t="str">
            <v>402-31-3</v>
          </cell>
          <cell r="C875" t="str">
            <v>1,3-비스(플리프루오로메틸)벤젠</v>
          </cell>
          <cell r="D875" t="str">
            <v>4류 제2석유류(비수용성)</v>
          </cell>
          <cell r="E875" t="str">
            <v>1000리터</v>
          </cell>
          <cell r="F875">
            <v>1993</v>
          </cell>
        </row>
        <row r="876">
          <cell r="B876" t="str">
            <v>4023-34-1</v>
          </cell>
          <cell r="C876" t="str">
            <v>시클로프로판카보닐크로라이드</v>
          </cell>
          <cell r="D876" t="str">
            <v>4류 제2석유류(비수용성)</v>
          </cell>
          <cell r="E876" t="str">
            <v>1000리터</v>
          </cell>
          <cell r="F876">
            <v>2920</v>
          </cell>
        </row>
        <row r="877">
          <cell r="B877" t="str">
            <v>402-43-7</v>
          </cell>
          <cell r="C877" t="str">
            <v>4-브로모벤조트리플루오르화물</v>
          </cell>
          <cell r="D877" t="str">
            <v>4류 제2석유류(비수용성)</v>
          </cell>
          <cell r="E877" t="str">
            <v>1000리터</v>
          </cell>
          <cell r="F877">
            <v>1993</v>
          </cell>
        </row>
        <row r="878">
          <cell r="B878" t="str">
            <v>403-54-3</v>
          </cell>
          <cell r="C878" t="str">
            <v>플루오르벤조니트릴</v>
          </cell>
          <cell r="D878" t="str">
            <v>4류 제2석유류(비수용성)</v>
          </cell>
          <cell r="E878" t="str">
            <v>1000리터</v>
          </cell>
          <cell r="F878">
            <v>3276</v>
          </cell>
        </row>
        <row r="879">
          <cell r="B879" t="str">
            <v>40635-66-3</v>
          </cell>
          <cell r="C879" t="str">
            <v>2-아세톡시이소부티릴클로라이드</v>
          </cell>
          <cell r="D879" t="str">
            <v>4류 제2석유류(비수용성)</v>
          </cell>
          <cell r="E879" t="str">
            <v>1000리터</v>
          </cell>
          <cell r="F879">
            <v>3265</v>
          </cell>
        </row>
        <row r="880">
          <cell r="B880" t="str">
            <v>407-14-7</v>
          </cell>
          <cell r="C880" t="str">
            <v>1-브로모-4-트리플로로메톡시벤젠</v>
          </cell>
          <cell r="D880" t="str">
            <v>4류 제2석유류(비수용성)</v>
          </cell>
          <cell r="E880" t="str">
            <v>1000리터</v>
          </cell>
          <cell r="F880">
            <v>3082</v>
          </cell>
        </row>
        <row r="881">
          <cell r="B881" t="str">
            <v>4187-86-4</v>
          </cell>
          <cell r="C881" t="str">
            <v>펜틴(1-)-3-올</v>
          </cell>
          <cell r="D881" t="str">
            <v>4류 제2석유류(비수용성)</v>
          </cell>
          <cell r="E881" t="str">
            <v>1000리터</v>
          </cell>
          <cell r="F881">
            <v>1986</v>
          </cell>
        </row>
        <row r="882">
          <cell r="B882" t="str">
            <v>4206-67-1</v>
          </cell>
          <cell r="C882" t="str">
            <v>요오드메틸트리메틸실란</v>
          </cell>
          <cell r="D882" t="str">
            <v>4류 제2석유류(비수용성)</v>
          </cell>
          <cell r="E882" t="str">
            <v>1000리터</v>
          </cell>
          <cell r="F882">
            <v>2924</v>
          </cell>
        </row>
        <row r="883">
          <cell r="B883" t="str">
            <v>42152-47-6</v>
          </cell>
          <cell r="C883" t="str">
            <v>메틸(7-)-1,6-옥타디엔</v>
          </cell>
          <cell r="D883" t="str">
            <v>4류 제2석유류(비수용성)</v>
          </cell>
          <cell r="E883" t="str">
            <v>1000리터</v>
          </cell>
          <cell r="F883">
            <v>3295</v>
          </cell>
        </row>
        <row r="884">
          <cell r="B884" t="str">
            <v>4221-98-1</v>
          </cell>
          <cell r="C884" t="str">
            <v>메타-1,5-디엔</v>
          </cell>
          <cell r="D884" t="str">
            <v>4류 제2석유류(비수용성)</v>
          </cell>
          <cell r="E884" t="str">
            <v>1000리터</v>
          </cell>
          <cell r="F884">
            <v>2319</v>
          </cell>
        </row>
        <row r="885">
          <cell r="B885" t="str">
            <v>4300-97-4</v>
          </cell>
          <cell r="C885" t="str">
            <v>클로로(3-)피발로일클로라이드</v>
          </cell>
          <cell r="D885" t="str">
            <v>4류 제2석유류(비수용성)</v>
          </cell>
          <cell r="E885" t="str">
            <v>1000리터</v>
          </cell>
          <cell r="F885">
            <v>9263</v>
          </cell>
        </row>
        <row r="886">
          <cell r="B886" t="str">
            <v>43083-12-1</v>
          </cell>
          <cell r="C886" t="str">
            <v>오소-n-부틸산 메틸</v>
          </cell>
          <cell r="D886" t="str">
            <v>4류 제2석유류(비수용성)</v>
          </cell>
          <cell r="E886" t="str">
            <v>1000리터</v>
          </cell>
          <cell r="F886">
            <v>3272</v>
          </cell>
        </row>
        <row r="887">
          <cell r="B887" t="str">
            <v>4319-49-7</v>
          </cell>
          <cell r="C887" t="str">
            <v>엔-아미노모르폴린</v>
          </cell>
          <cell r="D887" t="str">
            <v>4류 제2석유류(비수용성)</v>
          </cell>
          <cell r="E887" t="str">
            <v>1000리터</v>
          </cell>
          <cell r="F887">
            <v>1993</v>
          </cell>
        </row>
        <row r="888">
          <cell r="B888" t="str">
            <v>433-19-2</v>
          </cell>
          <cell r="C888" t="str">
            <v>1,4-비스(트리플루오로메틸)벤젠</v>
          </cell>
          <cell r="D888" t="str">
            <v>4류 제2석유류(비수용성)</v>
          </cell>
          <cell r="E888" t="str">
            <v>1000리터</v>
          </cell>
          <cell r="F888">
            <v>1993</v>
          </cell>
        </row>
        <row r="889">
          <cell r="B889" t="str">
            <v>4399-47-7</v>
          </cell>
          <cell r="C889" t="str">
            <v>브로모시클로부탄</v>
          </cell>
          <cell r="D889" t="str">
            <v>4류 제2석유류(비수용성)</v>
          </cell>
          <cell r="E889" t="str">
            <v>1000리터</v>
          </cell>
          <cell r="F889">
            <v>1993</v>
          </cell>
        </row>
        <row r="890">
          <cell r="B890" t="str">
            <v>4402-32-8</v>
          </cell>
          <cell r="C890" t="str">
            <v>디에틸아미노-2-프로판올</v>
          </cell>
          <cell r="D890" t="str">
            <v>4류 제2석유류(비수용성)</v>
          </cell>
          <cell r="E890" t="str">
            <v>1000리터</v>
          </cell>
          <cell r="F890">
            <v>1987</v>
          </cell>
        </row>
        <row r="891">
          <cell r="B891" t="str">
            <v>4421-10-7</v>
          </cell>
          <cell r="C891" t="str">
            <v>디이소프로필-1,3-디옥</v>
          </cell>
          <cell r="D891" t="str">
            <v>4류 제2석유류(비수용성)</v>
          </cell>
          <cell r="E891" t="str">
            <v>1000리터</v>
          </cell>
          <cell r="F891" t="str">
            <v/>
          </cell>
        </row>
        <row r="892">
          <cell r="B892" t="str">
            <v>4435-53-4</v>
          </cell>
          <cell r="C892" t="str">
            <v>3-메톡시부틸 아세테이트</v>
          </cell>
          <cell r="D892" t="str">
            <v>4류 제2석유류(비수용성)</v>
          </cell>
          <cell r="E892" t="str">
            <v>1000리터</v>
          </cell>
          <cell r="F892" t="str">
            <v/>
          </cell>
        </row>
        <row r="893">
          <cell r="B893" t="str">
            <v>443-82-3</v>
          </cell>
          <cell r="C893" t="str">
            <v>플로로오르소크실렌</v>
          </cell>
          <cell r="D893" t="str">
            <v>4류 제2석유류(비수용성)</v>
          </cell>
          <cell r="E893" t="str">
            <v>1000리터</v>
          </cell>
          <cell r="F893">
            <v>1993</v>
          </cell>
        </row>
        <row r="894">
          <cell r="B894" t="str">
            <v>4454-05-1</v>
          </cell>
          <cell r="C894" t="str">
            <v>디하이드로-2-메톡시피란</v>
          </cell>
          <cell r="D894" t="str">
            <v>4류 제2석유류(비수용성)</v>
          </cell>
          <cell r="E894" t="str">
            <v>1000리터</v>
          </cell>
          <cell r="F894">
            <v>1993</v>
          </cell>
        </row>
        <row r="895">
          <cell r="B895" t="str">
            <v>4455-13-4</v>
          </cell>
          <cell r="C895" t="str">
            <v>메틸티오아세트산에틸에스테르</v>
          </cell>
          <cell r="D895" t="str">
            <v>4류 제2석유류(비수용성)</v>
          </cell>
          <cell r="E895" t="str">
            <v>1000리터</v>
          </cell>
          <cell r="F895">
            <v>3272</v>
          </cell>
        </row>
        <row r="896">
          <cell r="B896" t="str">
            <v>447-61-0</v>
          </cell>
          <cell r="C896" t="str">
            <v>2-(트리블루오로메틸)벤즈알데히드</v>
          </cell>
          <cell r="D896" t="str">
            <v>4류 제2석유류(비수용성)</v>
          </cell>
          <cell r="E896" t="str">
            <v>1000리터</v>
          </cell>
          <cell r="F896" t="str">
            <v/>
          </cell>
        </row>
        <row r="897">
          <cell r="B897" t="str">
            <v>4497-92-1</v>
          </cell>
          <cell r="C897" t="str">
            <v>카렌(2)</v>
          </cell>
          <cell r="D897" t="str">
            <v>4류 제2석유류(비수용성)</v>
          </cell>
          <cell r="E897" t="str">
            <v>1000리터</v>
          </cell>
          <cell r="F897">
            <v>2319</v>
          </cell>
        </row>
        <row r="898">
          <cell r="B898" t="str">
            <v>452-63-1</v>
          </cell>
          <cell r="C898" t="str">
            <v>2-브로모-5-플로로톨루엔</v>
          </cell>
          <cell r="D898" t="str">
            <v>4류 제2석유류(비수용성)</v>
          </cell>
          <cell r="E898" t="str">
            <v>1000리터</v>
          </cell>
          <cell r="F898">
            <v>1993</v>
          </cell>
        </row>
        <row r="899">
          <cell r="B899" t="str">
            <v>452-73-3</v>
          </cell>
          <cell r="C899" t="str">
            <v>클로로(2-)-4-플로로톨루엔</v>
          </cell>
          <cell r="D899" t="str">
            <v>4류 제2석유류(비수용성)</v>
          </cell>
          <cell r="E899" t="str">
            <v>1000리터</v>
          </cell>
          <cell r="F899">
            <v>1993</v>
          </cell>
        </row>
        <row r="900">
          <cell r="B900" t="str">
            <v>454-89-7</v>
          </cell>
          <cell r="C900" t="str">
            <v>3-트리플로르메틸벤즈알데히드</v>
          </cell>
          <cell r="D900" t="str">
            <v>4류 제2석유류(비수용성)</v>
          </cell>
          <cell r="E900" t="str">
            <v>1000리터</v>
          </cell>
          <cell r="F900" t="str">
            <v/>
          </cell>
        </row>
        <row r="901">
          <cell r="B901" t="str">
            <v>455-19-6</v>
          </cell>
          <cell r="C901" t="str">
            <v>4-(트리플루오로메틸)벤즈알데히드</v>
          </cell>
          <cell r="D901" t="str">
            <v>4류 제2석유류(비수용성)</v>
          </cell>
          <cell r="E901" t="str">
            <v>1000리터</v>
          </cell>
          <cell r="F901">
            <v>1993</v>
          </cell>
        </row>
        <row r="902">
          <cell r="B902" t="str">
            <v>455-32-3</v>
          </cell>
          <cell r="C902" t="str">
            <v>벤조일플로라이드</v>
          </cell>
          <cell r="D902" t="str">
            <v>4류 제2석유류(비수용성)</v>
          </cell>
          <cell r="E902" t="str">
            <v>1000리터</v>
          </cell>
          <cell r="F902">
            <v>2920</v>
          </cell>
        </row>
        <row r="903">
          <cell r="B903" t="str">
            <v>456-41-7</v>
          </cell>
          <cell r="C903" t="str">
            <v>플로로벤질브로마이드</v>
          </cell>
          <cell r="D903" t="str">
            <v>4류 제2석유류(비수용성)</v>
          </cell>
          <cell r="E903" t="str">
            <v>1000리터</v>
          </cell>
          <cell r="F903">
            <v>3265</v>
          </cell>
        </row>
        <row r="904">
          <cell r="B904" t="str">
            <v>456-42-8</v>
          </cell>
          <cell r="C904" t="str">
            <v>플로로벤질클로라이드</v>
          </cell>
          <cell r="D904" t="str">
            <v>4류 제2석유류(비수용성)</v>
          </cell>
          <cell r="E904" t="str">
            <v>1000리터</v>
          </cell>
          <cell r="F904">
            <v>2920</v>
          </cell>
        </row>
        <row r="905">
          <cell r="B905" t="str">
            <v>456-49-5</v>
          </cell>
          <cell r="C905" t="str">
            <v>플루오르아니솔</v>
          </cell>
          <cell r="D905" t="str">
            <v>4류 제2석유류(비수용성)</v>
          </cell>
          <cell r="E905" t="str">
            <v>1000리터</v>
          </cell>
          <cell r="F905">
            <v>1993</v>
          </cell>
        </row>
        <row r="906">
          <cell r="B906" t="str">
            <v>459-57-4</v>
          </cell>
          <cell r="C906" t="str">
            <v>플루오르벤젠알데히드</v>
          </cell>
          <cell r="D906" t="str">
            <v>4류 제2석유류(비수용성)</v>
          </cell>
          <cell r="E906" t="str">
            <v>1000리터</v>
          </cell>
          <cell r="F906">
            <v>1989</v>
          </cell>
        </row>
        <row r="907">
          <cell r="B907" t="str">
            <v>459-60-9</v>
          </cell>
          <cell r="C907" t="str">
            <v>플루오르아니솔</v>
          </cell>
          <cell r="D907" t="str">
            <v>4류 제2석유류(비수용성)</v>
          </cell>
          <cell r="E907" t="str">
            <v>1000리터</v>
          </cell>
          <cell r="F907">
            <v>3271</v>
          </cell>
        </row>
        <row r="908">
          <cell r="B908" t="str">
            <v>459-72-3</v>
          </cell>
          <cell r="C908" t="str">
            <v>플루오로아세트산에틸에스테르</v>
          </cell>
          <cell r="D908" t="str">
            <v>4류 제2석유류(비수용성)</v>
          </cell>
          <cell r="E908" t="str">
            <v>1000리터</v>
          </cell>
          <cell r="F908">
            <v>2929</v>
          </cell>
        </row>
        <row r="909">
          <cell r="B909" t="str">
            <v>460-00-4</v>
          </cell>
          <cell r="C909" t="str">
            <v>4-브로모플로로벤젠</v>
          </cell>
          <cell r="D909" t="str">
            <v>4류 제2석유류(비수용성)</v>
          </cell>
          <cell r="E909" t="str">
            <v>1000리터</v>
          </cell>
          <cell r="F909">
            <v>1993</v>
          </cell>
        </row>
        <row r="910">
          <cell r="B910" t="str">
            <v>461-96-1</v>
          </cell>
          <cell r="C910" t="str">
            <v>1-브로모-3,5-디플로로벤젠</v>
          </cell>
          <cell r="D910" t="str">
            <v>4류 제2석유류(비수용성)</v>
          </cell>
          <cell r="E910" t="str">
            <v>1000리터</v>
          </cell>
          <cell r="F910">
            <v>1993</v>
          </cell>
        </row>
        <row r="911">
          <cell r="B911" t="str">
            <v>464-07-3</v>
          </cell>
          <cell r="C911" t="str">
            <v>3,3-디메틸-2-부틴</v>
          </cell>
          <cell r="D911" t="str">
            <v>4류 제2석유류(비수용성)</v>
          </cell>
          <cell r="E911" t="str">
            <v>1000리터</v>
          </cell>
          <cell r="F911">
            <v>1987</v>
          </cell>
        </row>
        <row r="912">
          <cell r="B912" t="str">
            <v>4695-62-9</v>
          </cell>
          <cell r="C912" t="str">
            <v>펜콘(+-)</v>
          </cell>
          <cell r="D912" t="str">
            <v>4류 제2석유류(비수용성)</v>
          </cell>
          <cell r="E912" t="str">
            <v>1000리터</v>
          </cell>
          <cell r="F912" t="str">
            <v/>
          </cell>
        </row>
        <row r="913">
          <cell r="B913" t="str">
            <v>470-82-6</v>
          </cell>
          <cell r="C913" t="str">
            <v>1,8-시네올</v>
          </cell>
          <cell r="D913" t="str">
            <v>4류 제2석유류(비수용성)</v>
          </cell>
          <cell r="E913" t="str">
            <v>1000리터</v>
          </cell>
          <cell r="F913" t="str">
            <v/>
          </cell>
        </row>
        <row r="914">
          <cell r="B914" t="str">
            <v>471-25-0</v>
          </cell>
          <cell r="C914" t="str">
            <v>프로피오락산</v>
          </cell>
          <cell r="D914" t="str">
            <v>4류 제2석유류(비수용성)</v>
          </cell>
          <cell r="E914" t="str">
            <v>1000리터</v>
          </cell>
          <cell r="F914">
            <v>2920</v>
          </cell>
        </row>
        <row r="915">
          <cell r="B915" t="str">
            <v>4747-81-3</v>
          </cell>
          <cell r="C915" t="str">
            <v>이소시아네이트헵틸</v>
          </cell>
          <cell r="D915" t="str">
            <v>4류 제2석유류(비수용성)</v>
          </cell>
          <cell r="E915" t="str">
            <v>1000리터</v>
          </cell>
          <cell r="F915">
            <v>2206</v>
          </cell>
        </row>
        <row r="916">
          <cell r="B916" t="str">
            <v>4755-77-5</v>
          </cell>
          <cell r="C916" t="str">
            <v>클로로글리옥실산에틸에스테르</v>
          </cell>
          <cell r="D916" t="str">
            <v>4류 제2석유류(비수용성)</v>
          </cell>
          <cell r="E916" t="str">
            <v>1000리터</v>
          </cell>
          <cell r="F916">
            <v>2920</v>
          </cell>
        </row>
        <row r="917">
          <cell r="B917" t="str">
            <v>4798-44-1</v>
          </cell>
          <cell r="C917" t="str">
            <v>헥센-3-올</v>
          </cell>
          <cell r="D917" t="str">
            <v>4류 제2석유류(비수용성)</v>
          </cell>
          <cell r="E917" t="str">
            <v>1000리터</v>
          </cell>
          <cell r="F917">
            <v>1987</v>
          </cell>
        </row>
        <row r="918">
          <cell r="B918" t="str">
            <v>4909-78-8</v>
          </cell>
          <cell r="C918" t="str">
            <v>디메틸포름아미드디네오펜틸아세탈</v>
          </cell>
          <cell r="D918" t="str">
            <v>4류 제2석유류(비수용성)</v>
          </cell>
          <cell r="E918" t="str">
            <v>1000리터</v>
          </cell>
          <cell r="F918">
            <v>1993</v>
          </cell>
        </row>
        <row r="919">
          <cell r="B919" t="str">
            <v>493-01-6</v>
          </cell>
          <cell r="C919" t="str">
            <v>시스데칼린</v>
          </cell>
          <cell r="D919" t="str">
            <v>4류 제2석유류(비수용성)</v>
          </cell>
          <cell r="E919" t="str">
            <v>1000리터</v>
          </cell>
          <cell r="F919">
            <v>1147</v>
          </cell>
        </row>
        <row r="920">
          <cell r="B920" t="str">
            <v>493-02-7</v>
          </cell>
          <cell r="C920" t="str">
            <v>트란스데칼린</v>
          </cell>
          <cell r="D920" t="str">
            <v>4류 제2석유류(비수용성)</v>
          </cell>
          <cell r="E920" t="str">
            <v>1000리터</v>
          </cell>
          <cell r="F920">
            <v>1147</v>
          </cell>
        </row>
        <row r="921">
          <cell r="B921" t="str">
            <v>493-09-4</v>
          </cell>
          <cell r="C921" t="str">
            <v>1,4-벤조디옥산</v>
          </cell>
          <cell r="D921" t="str">
            <v>4류 제2석유류(비수용성)</v>
          </cell>
          <cell r="E921" t="str">
            <v>1000리터</v>
          </cell>
          <cell r="F921">
            <v>1993</v>
          </cell>
        </row>
        <row r="922">
          <cell r="B922" t="str">
            <v>496-11-7</v>
          </cell>
          <cell r="C922" t="str">
            <v>인단</v>
          </cell>
          <cell r="D922" t="str">
            <v>4류 제2석유류(비수용성)</v>
          </cell>
          <cell r="E922" t="str">
            <v>1000리터</v>
          </cell>
          <cell r="F922">
            <v>3295</v>
          </cell>
        </row>
        <row r="923">
          <cell r="B923" t="str">
            <v>496-16-2</v>
          </cell>
          <cell r="C923" t="str">
            <v>디하이드로벤조퓨란(2,3-)</v>
          </cell>
          <cell r="D923" t="str">
            <v>4류 제2석유류(비수용성)</v>
          </cell>
          <cell r="E923" t="str">
            <v>1000리터</v>
          </cell>
          <cell r="F923" t="str">
            <v/>
          </cell>
        </row>
        <row r="924">
          <cell r="B924" t="str">
            <v>502-41-0</v>
          </cell>
          <cell r="C924" t="str">
            <v>시클로헵탄올</v>
          </cell>
          <cell r="D924" t="str">
            <v>4류 제2석유류(비수용성)</v>
          </cell>
          <cell r="E924" t="str">
            <v>1000리터</v>
          </cell>
          <cell r="F924">
            <v>1987</v>
          </cell>
        </row>
        <row r="925">
          <cell r="B925" t="str">
            <v>502-42-1</v>
          </cell>
          <cell r="C925" t="str">
            <v>시클로헵타논</v>
          </cell>
          <cell r="D925" t="str">
            <v>4류 제2석유류(비수용성)</v>
          </cell>
          <cell r="E925" t="str">
            <v>1000리터</v>
          </cell>
          <cell r="F925">
            <v>1224</v>
          </cell>
        </row>
        <row r="926">
          <cell r="B926" t="str">
            <v>502-56-7</v>
          </cell>
          <cell r="C926" t="str">
            <v>노나논(5-)</v>
          </cell>
          <cell r="D926" t="str">
            <v>4류 제2석유류(비수용성)</v>
          </cell>
          <cell r="E926" t="str">
            <v>1000리터</v>
          </cell>
          <cell r="F926">
            <v>1224</v>
          </cell>
        </row>
        <row r="927">
          <cell r="B927" t="str">
            <v>505-66-8</v>
          </cell>
          <cell r="C927" t="str">
            <v>호모피페라진</v>
          </cell>
          <cell r="D927" t="str">
            <v>4류 제2석유류(비수용성)</v>
          </cell>
          <cell r="E927" t="str">
            <v>1000리터</v>
          </cell>
          <cell r="F927">
            <v>3259</v>
          </cell>
        </row>
        <row r="928">
          <cell r="B928" t="str">
            <v>50893-36-2</v>
          </cell>
          <cell r="C928" t="str">
            <v>카르보닐산클로르에틸에틸에스테르</v>
          </cell>
          <cell r="D928" t="str">
            <v>4류 제2석유류(비수용성)</v>
          </cell>
          <cell r="E928" t="str">
            <v>1000리터</v>
          </cell>
          <cell r="F928" t="str">
            <v/>
          </cell>
        </row>
        <row r="929">
          <cell r="B929" t="str">
            <v>50893-53-3</v>
          </cell>
          <cell r="C929" t="str">
            <v>클로로포름산-1-클로로에틸에스테르</v>
          </cell>
          <cell r="D929" t="str">
            <v>4류 제2석유류(비수용성)</v>
          </cell>
          <cell r="E929" t="str">
            <v>1000리터</v>
          </cell>
          <cell r="F929">
            <v>2742</v>
          </cell>
        </row>
        <row r="930">
          <cell r="B930" t="str">
            <v>513-86-3</v>
          </cell>
          <cell r="C930" t="str">
            <v>아세토인</v>
          </cell>
          <cell r="D930" t="str">
            <v>4류 제2석유류(비수용성)</v>
          </cell>
          <cell r="E930" t="str">
            <v>1000리터</v>
          </cell>
          <cell r="F930">
            <v>2621</v>
          </cell>
        </row>
        <row r="931">
          <cell r="B931" t="str">
            <v>513-88-2</v>
          </cell>
          <cell r="C931" t="str">
            <v>디클로로아세톤</v>
          </cell>
          <cell r="D931" t="str">
            <v>4류 제2석유류(비수용성)</v>
          </cell>
          <cell r="E931" t="str">
            <v>1000리터</v>
          </cell>
          <cell r="F931">
            <v>1992</v>
          </cell>
        </row>
        <row r="932">
          <cell r="B932" t="str">
            <v>5166-53-0</v>
          </cell>
          <cell r="C932" t="str">
            <v>메틸(5-)-3-헥센-2-온</v>
          </cell>
          <cell r="D932" t="str">
            <v>4류 제2석유류(비수용성)</v>
          </cell>
          <cell r="E932" t="str">
            <v>1000리터</v>
          </cell>
          <cell r="F932">
            <v>1992</v>
          </cell>
        </row>
        <row r="933">
          <cell r="B933" t="str">
            <v>526-73-8</v>
          </cell>
          <cell r="C933" t="str">
            <v>1,2,3-트리메틸벤젠</v>
          </cell>
          <cell r="D933" t="str">
            <v>4류 제2석유류(비수용성)</v>
          </cell>
          <cell r="E933" t="str">
            <v>1000리터</v>
          </cell>
          <cell r="F933">
            <v>3295</v>
          </cell>
        </row>
        <row r="934">
          <cell r="B934" t="str">
            <v>527-84-4</v>
          </cell>
          <cell r="C934" t="str">
            <v>시멘(오르소)</v>
          </cell>
          <cell r="D934" t="str">
            <v>4류 제2석유류(비수용성)</v>
          </cell>
          <cell r="E934" t="str">
            <v>1000리터</v>
          </cell>
          <cell r="F934">
            <v>2046</v>
          </cell>
        </row>
        <row r="935">
          <cell r="B935" t="str">
            <v>5292-43-3</v>
          </cell>
          <cell r="C935" t="str">
            <v>터트-부틸브로모아세드산</v>
          </cell>
          <cell r="D935" t="str">
            <v>4류 제2석유류(비수용성)</v>
          </cell>
          <cell r="E935" t="str">
            <v>1000리터</v>
          </cell>
          <cell r="F935">
            <v>1993</v>
          </cell>
        </row>
        <row r="936">
          <cell r="B936" t="str">
            <v>5308-25-8</v>
          </cell>
          <cell r="C936" t="str">
            <v>에틸피페라진(노르말)</v>
          </cell>
          <cell r="D936" t="str">
            <v>4류 제2석유류(비수용성)</v>
          </cell>
          <cell r="E936" t="str">
            <v>1000리터</v>
          </cell>
          <cell r="F936">
            <v>1993</v>
          </cell>
        </row>
        <row r="937">
          <cell r="B937" t="str">
            <v>533-68-6</v>
          </cell>
          <cell r="C937" t="str">
            <v>α-브로모부틸산에틸</v>
          </cell>
          <cell r="D937" t="str">
            <v>4류 제2석유류(비수용성)</v>
          </cell>
          <cell r="E937" t="str">
            <v>1000리터</v>
          </cell>
          <cell r="F937">
            <v>1993</v>
          </cell>
        </row>
        <row r="938">
          <cell r="B938" t="str">
            <v>5337-72-4</v>
          </cell>
          <cell r="C938" t="str">
            <v>디메틸시클로헥산올(2,6-)</v>
          </cell>
          <cell r="D938" t="str">
            <v>4류 제2석유류(비수용성)</v>
          </cell>
          <cell r="E938" t="str">
            <v>1000리터</v>
          </cell>
          <cell r="F938">
            <v>1987</v>
          </cell>
        </row>
        <row r="939">
          <cell r="B939" t="str">
            <v>53475-15-3</v>
          </cell>
          <cell r="C939" t="str">
            <v>3-메틸티오-2-부탄온</v>
          </cell>
          <cell r="D939" t="str">
            <v>4류 제2석유류(비수용성)</v>
          </cell>
          <cell r="E939" t="str">
            <v>1000리터</v>
          </cell>
          <cell r="F939">
            <v>1224</v>
          </cell>
        </row>
        <row r="940">
          <cell r="B940" t="str">
            <v>535-11-5</v>
          </cell>
          <cell r="C940" t="str">
            <v>2-브로모프로피온산에틸에스테르</v>
          </cell>
          <cell r="D940" t="str">
            <v>4류 제2석유류(비수용성)</v>
          </cell>
          <cell r="E940" t="str">
            <v>1000리터</v>
          </cell>
          <cell r="F940">
            <v>2920</v>
          </cell>
        </row>
        <row r="941">
          <cell r="B941" t="str">
            <v>535-13-7</v>
          </cell>
          <cell r="C941" t="str">
            <v>클로로(2-)프로피온산에틸에스테르</v>
          </cell>
          <cell r="D941" t="str">
            <v>4류 제2석유류(비수용성)</v>
          </cell>
          <cell r="E941" t="str">
            <v>1000리터</v>
          </cell>
          <cell r="F941">
            <v>2935</v>
          </cell>
        </row>
        <row r="942">
          <cell r="B942" t="str">
            <v>535-77-3</v>
          </cell>
          <cell r="C942" t="str">
            <v>시멘(메타)</v>
          </cell>
          <cell r="D942" t="str">
            <v>4류 제2석유류(비수용성)</v>
          </cell>
          <cell r="E942" t="str">
            <v>1000리터</v>
          </cell>
          <cell r="F942">
            <v>2046</v>
          </cell>
        </row>
        <row r="943">
          <cell r="B943" t="str">
            <v>536-74-3</v>
          </cell>
          <cell r="C943" t="str">
            <v>에티일벤젠</v>
          </cell>
          <cell r="D943" t="str">
            <v>4류 제2석유류(비수용성)</v>
          </cell>
          <cell r="E943" t="str">
            <v>1000리터</v>
          </cell>
          <cell r="F943">
            <v>3295</v>
          </cell>
        </row>
        <row r="944">
          <cell r="B944" t="str">
            <v>536-75-4</v>
          </cell>
          <cell r="C944" t="str">
            <v>에틸피리딘-4</v>
          </cell>
          <cell r="D944" t="str">
            <v>4류 제2석유류(비수용성)</v>
          </cell>
          <cell r="E944" t="str">
            <v>1000리터</v>
          </cell>
          <cell r="F944">
            <v>2924</v>
          </cell>
        </row>
        <row r="945">
          <cell r="B945" t="str">
            <v>536-78-7</v>
          </cell>
          <cell r="C945" t="str">
            <v>에틸피리딘-3</v>
          </cell>
          <cell r="D945" t="str">
            <v>4류 제2석유류(비수용성)</v>
          </cell>
          <cell r="E945" t="str">
            <v>1000리터</v>
          </cell>
          <cell r="F945">
            <v>1993</v>
          </cell>
        </row>
        <row r="946">
          <cell r="B946" t="str">
            <v>538-68-1</v>
          </cell>
          <cell r="C946" t="str">
            <v>엔-아밀벤젠</v>
          </cell>
          <cell r="D946" t="str">
            <v>4류 제2석유류(비수용성)</v>
          </cell>
          <cell r="E946" t="str">
            <v>1000리터</v>
          </cell>
          <cell r="F946">
            <v>3082</v>
          </cell>
        </row>
        <row r="947">
          <cell r="B947" t="str">
            <v>538-93-2</v>
          </cell>
          <cell r="C947" t="str">
            <v>이소부틸벤젠</v>
          </cell>
          <cell r="D947" t="str">
            <v>4류 제2석유류(비수용성)</v>
          </cell>
          <cell r="E947" t="str">
            <v>1000리터</v>
          </cell>
          <cell r="F947">
            <v>3295</v>
          </cell>
        </row>
        <row r="948">
          <cell r="B948" t="str">
            <v>5390-04-5</v>
          </cell>
          <cell r="C948" t="str">
            <v>펜틴(4-)-1-올</v>
          </cell>
          <cell r="D948" t="str">
            <v>4류 제2석유류(비수용성)</v>
          </cell>
          <cell r="E948" t="str">
            <v>1000리터</v>
          </cell>
          <cell r="F948">
            <v>1993</v>
          </cell>
        </row>
        <row r="949">
          <cell r="B949" t="str">
            <v>540-18-1</v>
          </cell>
          <cell r="C949" t="str">
            <v>노르말펜틸부틸레이트</v>
          </cell>
          <cell r="D949" t="str">
            <v>4류 제2석유류(비수용성)</v>
          </cell>
          <cell r="E949" t="str">
            <v>1000리터</v>
          </cell>
          <cell r="F949" t="str">
            <v/>
          </cell>
        </row>
        <row r="950">
          <cell r="B950" t="str">
            <v>540-42-1</v>
          </cell>
          <cell r="C950" t="str">
            <v>프로피온산이소부틸에스테르</v>
          </cell>
          <cell r="D950" t="str">
            <v>4류 제2석유류(비수용성)</v>
          </cell>
          <cell r="E950" t="str">
            <v>1000리터</v>
          </cell>
          <cell r="F950">
            <v>2394</v>
          </cell>
        </row>
        <row r="951">
          <cell r="B951" t="str">
            <v>540-63-6</v>
          </cell>
          <cell r="C951" t="str">
            <v>에탄디티올</v>
          </cell>
          <cell r="D951" t="str">
            <v>4류 제2석유류(비수용성)</v>
          </cell>
          <cell r="E951" t="str">
            <v>1000리터</v>
          </cell>
          <cell r="F951">
            <v>3071</v>
          </cell>
        </row>
        <row r="952">
          <cell r="B952" t="str">
            <v>541-58-2</v>
          </cell>
          <cell r="C952" t="str">
            <v>2,4-디메틸티아졸</v>
          </cell>
          <cell r="D952" t="str">
            <v>4류 제2석유류(비수용성)</v>
          </cell>
          <cell r="E952" t="str">
            <v>1000리터</v>
          </cell>
          <cell r="F952">
            <v>1993</v>
          </cell>
        </row>
        <row r="953">
          <cell r="B953" t="str">
            <v>541-73-1</v>
          </cell>
          <cell r="C953" t="str">
            <v>m-디클로로벨젠</v>
          </cell>
          <cell r="D953" t="str">
            <v>4류 제2석유류(비수용성)</v>
          </cell>
          <cell r="E953" t="str">
            <v>1000리터</v>
          </cell>
          <cell r="F953">
            <v>3082</v>
          </cell>
        </row>
        <row r="954">
          <cell r="B954" t="str">
            <v>541-85-5</v>
          </cell>
          <cell r="C954" t="str">
            <v>5-메틸-3-헵탄온</v>
          </cell>
          <cell r="D954" t="str">
            <v>4류 제2석유류(비수용성)</v>
          </cell>
          <cell r="E954" t="str">
            <v>1000리터</v>
          </cell>
          <cell r="F954">
            <v>2271</v>
          </cell>
        </row>
        <row r="955">
          <cell r="B955" t="str">
            <v>542-18-7</v>
          </cell>
          <cell r="C955" t="str">
            <v>클로로시클로헥산</v>
          </cell>
          <cell r="D955" t="str">
            <v>4류 제2석유류(비수용성)</v>
          </cell>
          <cell r="E955" t="str">
            <v>1000리터</v>
          </cell>
          <cell r="F955">
            <v>1993</v>
          </cell>
        </row>
        <row r="956">
          <cell r="B956" t="str">
            <v>542-69-8</v>
          </cell>
          <cell r="C956" t="str">
            <v>요오드화부틸</v>
          </cell>
          <cell r="D956" t="str">
            <v>4류 제2석유류(비수용성)</v>
          </cell>
          <cell r="E956" t="str">
            <v>1000리터</v>
          </cell>
          <cell r="F956">
            <v>1993</v>
          </cell>
        </row>
        <row r="957">
          <cell r="B957" t="str">
            <v>542-75-6</v>
          </cell>
          <cell r="C957" t="str">
            <v>1,3-디클로로프로펜</v>
          </cell>
          <cell r="D957" t="str">
            <v>4류 제2석유류(비수용성)</v>
          </cell>
          <cell r="E957" t="str">
            <v>1000리터</v>
          </cell>
          <cell r="F957">
            <v>1992</v>
          </cell>
        </row>
        <row r="958">
          <cell r="B958" t="str">
            <v>542-81-4</v>
          </cell>
          <cell r="C958" t="str">
            <v>클로로(2-)에틸메틸슐파이드</v>
          </cell>
          <cell r="D958" t="str">
            <v>4류 제2석유류(비수용성)</v>
          </cell>
          <cell r="E958" t="str">
            <v>1000리터</v>
          </cell>
          <cell r="F958">
            <v>2924</v>
          </cell>
        </row>
        <row r="959">
          <cell r="B959" t="str">
            <v>542-85-8</v>
          </cell>
          <cell r="C959" t="str">
            <v>이소티오시안산에틸에스테르</v>
          </cell>
          <cell r="D959" t="str">
            <v>4류 제2석유류(비수용성)</v>
          </cell>
          <cell r="E959" t="str">
            <v>1000리터</v>
          </cell>
          <cell r="F959">
            <v>3286</v>
          </cell>
        </row>
        <row r="960">
          <cell r="B960" t="str">
            <v>542-88-1</v>
          </cell>
          <cell r="C960" t="str">
            <v>디클로로메틸 에테르</v>
          </cell>
          <cell r="D960" t="str">
            <v>4류 제2석유류(비수용성)</v>
          </cell>
          <cell r="E960" t="str">
            <v>1000리터</v>
          </cell>
          <cell r="F960">
            <v>2249</v>
          </cell>
        </row>
        <row r="961">
          <cell r="B961" t="str">
            <v>54306-00-2</v>
          </cell>
          <cell r="C961" t="str">
            <v>2-헥센알디에틸아세탈</v>
          </cell>
          <cell r="D961" t="str">
            <v>4류 제2석유류(비수용성)</v>
          </cell>
          <cell r="E961" t="str">
            <v>1000리터</v>
          </cell>
          <cell r="F961" t="str">
            <v/>
          </cell>
        </row>
        <row r="962">
          <cell r="B962" t="str">
            <v>543-27-1</v>
          </cell>
          <cell r="C962" t="str">
            <v>클로로탄산 이소부틸에스테르</v>
          </cell>
          <cell r="D962" t="str">
            <v>4류 제2석유류(비수용성)</v>
          </cell>
          <cell r="E962" t="str">
            <v>1000리터</v>
          </cell>
          <cell r="F962">
            <v>2742</v>
          </cell>
        </row>
        <row r="963">
          <cell r="B963" t="str">
            <v>5436-21-5</v>
          </cell>
          <cell r="C963" t="str">
            <v>4,4-디메톡시-2-부타논</v>
          </cell>
          <cell r="D963" t="str">
            <v>4류 제2석유류(비수용성)</v>
          </cell>
          <cell r="E963" t="str">
            <v>1000리터</v>
          </cell>
          <cell r="F963">
            <v>1989</v>
          </cell>
        </row>
        <row r="964">
          <cell r="B964" t="str">
            <v>543-82-8</v>
          </cell>
          <cell r="C964" t="str">
            <v>디메틸헥실아민(1,5)</v>
          </cell>
          <cell r="D964" t="str">
            <v>4류 제2석유류(비수용성)</v>
          </cell>
          <cell r="E964" t="str">
            <v>1000리터</v>
          </cell>
          <cell r="F964">
            <v>1993</v>
          </cell>
        </row>
        <row r="965">
          <cell r="B965" t="str">
            <v>544-01-4</v>
          </cell>
          <cell r="C965" t="str">
            <v>이소아밀에테르</v>
          </cell>
          <cell r="D965" t="str">
            <v>4류 제2석유류(비수용성)</v>
          </cell>
          <cell r="E965" t="str">
            <v>1000리터</v>
          </cell>
          <cell r="F965">
            <v>3271</v>
          </cell>
        </row>
        <row r="966">
          <cell r="B966" t="str">
            <v>544-10-5</v>
          </cell>
          <cell r="C966" t="str">
            <v>클로로헥산</v>
          </cell>
          <cell r="D966" t="str">
            <v>4류 제2석유류(비수용성)</v>
          </cell>
          <cell r="E966" t="str">
            <v>1000리터</v>
          </cell>
          <cell r="F966">
            <v>1993</v>
          </cell>
        </row>
        <row r="967">
          <cell r="B967" t="str">
            <v>5441-51-0</v>
          </cell>
          <cell r="C967" t="str">
            <v>에틸시클로헥산온(4-)</v>
          </cell>
          <cell r="D967" t="str">
            <v>4류 제2석유류(비수용성)</v>
          </cell>
          <cell r="E967" t="str">
            <v>1000리터</v>
          </cell>
          <cell r="F967" t="str">
            <v/>
          </cell>
        </row>
        <row r="968">
          <cell r="B968" t="str">
            <v>5445-17-0</v>
          </cell>
          <cell r="C968" t="str">
            <v>2-브로모프로피온산메틸에스테르</v>
          </cell>
          <cell r="D968" t="str">
            <v>4류 제2석유류(비수용성)</v>
          </cell>
          <cell r="E968" t="str">
            <v>1000리터</v>
          </cell>
          <cell r="F968">
            <v>2920</v>
          </cell>
        </row>
        <row r="969">
          <cell r="B969" t="str">
            <v>5452-35-7</v>
          </cell>
          <cell r="C969" t="str">
            <v>시클로햅틸아민</v>
          </cell>
          <cell r="D969" t="str">
            <v>4류 제2석유류(비수용성)</v>
          </cell>
          <cell r="E969" t="str">
            <v>1000리터</v>
          </cell>
          <cell r="F969">
            <v>2734</v>
          </cell>
        </row>
        <row r="970">
          <cell r="B970" t="str">
            <v>5452-37-9</v>
          </cell>
          <cell r="C970" t="str">
            <v>시클로옥틸아민</v>
          </cell>
          <cell r="D970" t="str">
            <v>4류 제2석유류(비수용성)</v>
          </cell>
          <cell r="E970" t="str">
            <v>1000리터</v>
          </cell>
          <cell r="F970">
            <v>2735</v>
          </cell>
        </row>
        <row r="971">
          <cell r="B971" t="str">
            <v>5453-80-5</v>
          </cell>
          <cell r="C971" t="str">
            <v>노르보넨-2-카복시알데히드</v>
          </cell>
          <cell r="D971" t="str">
            <v>4류 제2석유류(비수용성)</v>
          </cell>
          <cell r="E971" t="str">
            <v>1000리터</v>
          </cell>
          <cell r="F971">
            <v>1989</v>
          </cell>
        </row>
        <row r="972">
          <cell r="B972" t="str">
            <v>5500-21-0</v>
          </cell>
          <cell r="C972" t="str">
            <v>시클로프로필시아니드</v>
          </cell>
          <cell r="D972" t="str">
            <v>4류 제2석유류(비수용성)</v>
          </cell>
          <cell r="E972" t="str">
            <v>1000리터</v>
          </cell>
          <cell r="F972">
            <v>3275</v>
          </cell>
        </row>
        <row r="973">
          <cell r="B973" t="str">
            <v>5509-65-9</v>
          </cell>
          <cell r="C973" t="str">
            <v>디플르오르아닐린(2,6-)</v>
          </cell>
          <cell r="D973" t="str">
            <v>4류 제2석유류(비수용성)</v>
          </cell>
          <cell r="E973" t="str">
            <v>1000리터</v>
          </cell>
          <cell r="F973">
            <v>1993</v>
          </cell>
        </row>
        <row r="974">
          <cell r="B974" t="str">
            <v>556-61-6</v>
          </cell>
          <cell r="C974" t="str">
            <v>이소티오시안산메틸에스테르</v>
          </cell>
          <cell r="D974" t="str">
            <v>4류 제2석유류(비수용성)</v>
          </cell>
          <cell r="E974" t="str">
            <v>1000리터</v>
          </cell>
          <cell r="F974">
            <v>2477</v>
          </cell>
        </row>
        <row r="975">
          <cell r="B975" t="str">
            <v>556-67-2</v>
          </cell>
          <cell r="C975" t="str">
            <v>옥타메틸시클로테트라실록산</v>
          </cell>
          <cell r="D975" t="str">
            <v>4류 제2석유류(비수용성)</v>
          </cell>
          <cell r="E975" t="str">
            <v>1000리터</v>
          </cell>
          <cell r="F975">
            <v>1993</v>
          </cell>
        </row>
        <row r="976">
          <cell r="B976" t="str">
            <v>556-82-1</v>
          </cell>
          <cell r="C976" t="str">
            <v>메틸(3-)-2-부텐-1-올</v>
          </cell>
          <cell r="D976" t="str">
            <v>4류 제2석유류(비수용성)</v>
          </cell>
          <cell r="E976" t="str">
            <v>1000리터</v>
          </cell>
          <cell r="F976">
            <v>1987</v>
          </cell>
        </row>
        <row r="977">
          <cell r="B977" t="str">
            <v>558-42-9</v>
          </cell>
          <cell r="C977" t="str">
            <v>클로로-2-메틸-2-프로탄올</v>
          </cell>
          <cell r="D977" t="str">
            <v>4류 제2석유류(비수용성)</v>
          </cell>
          <cell r="E977" t="str">
            <v>1000리터</v>
          </cell>
          <cell r="F977">
            <v>1987</v>
          </cell>
        </row>
        <row r="978">
          <cell r="B978" t="str">
            <v>5588-84-1</v>
          </cell>
          <cell r="C978" t="str">
            <v>바나듐(V) 옥시트리이소프로폭사이드</v>
          </cell>
          <cell r="D978" t="str">
            <v>4류 제2석유류(비수용성)</v>
          </cell>
          <cell r="E978" t="str">
            <v>1000리터</v>
          </cell>
          <cell r="F978">
            <v>1993</v>
          </cell>
        </row>
        <row r="979">
          <cell r="B979" t="str">
            <v>5593-70-4</v>
          </cell>
          <cell r="C979" t="str">
            <v>테트라-n-부톡시티탄</v>
          </cell>
          <cell r="D979" t="str">
            <v>4류 제2석유류(비수용성)</v>
          </cell>
          <cell r="E979" t="str">
            <v>1000리터</v>
          </cell>
          <cell r="F979">
            <v>1933</v>
          </cell>
        </row>
        <row r="980">
          <cell r="B980" t="str">
            <v>565-60-6</v>
          </cell>
          <cell r="C980" t="str">
            <v>메틸(3-)-2-펜탄올</v>
          </cell>
          <cell r="D980" t="str">
            <v>4류 제2석유류(비수용성)</v>
          </cell>
          <cell r="E980" t="str">
            <v>1000리터</v>
          </cell>
          <cell r="F980">
            <v>1987</v>
          </cell>
        </row>
        <row r="981">
          <cell r="B981" t="str">
            <v>57-06-7</v>
          </cell>
          <cell r="C981" t="str">
            <v>이소티오시안산알릴</v>
          </cell>
          <cell r="D981" t="str">
            <v>4류 제2석유류(비수용성)</v>
          </cell>
          <cell r="E981" t="str">
            <v>1000리터</v>
          </cell>
          <cell r="F981">
            <v>1545</v>
          </cell>
        </row>
        <row r="982">
          <cell r="B982" t="str">
            <v>578-58-5</v>
          </cell>
          <cell r="C982" t="str">
            <v>2-메틸아니솔</v>
          </cell>
          <cell r="D982" t="str">
            <v>4류 제2석유류(비수용성)</v>
          </cell>
          <cell r="E982" t="str">
            <v>1000리터</v>
          </cell>
          <cell r="F982">
            <v>1993</v>
          </cell>
        </row>
        <row r="983">
          <cell r="B983" t="str">
            <v>583-59-5</v>
          </cell>
          <cell r="C983" t="str">
            <v>메틸시클로헥산올(2-)</v>
          </cell>
          <cell r="D983" t="str">
            <v>4류 제2석유류(비수용성)</v>
          </cell>
          <cell r="E983" t="str">
            <v>1000리터</v>
          </cell>
          <cell r="F983">
            <v>2617</v>
          </cell>
        </row>
        <row r="984">
          <cell r="B984" t="str">
            <v>583-60-8</v>
          </cell>
          <cell r="C984" t="str">
            <v>2-메틸사이클로헥사논</v>
          </cell>
          <cell r="D984" t="str">
            <v>4류 제2석유류(비수용성)</v>
          </cell>
          <cell r="E984" t="str">
            <v>1000리터</v>
          </cell>
          <cell r="F984">
            <v>2297</v>
          </cell>
        </row>
        <row r="985">
          <cell r="B985" t="str">
            <v>584-02-1</v>
          </cell>
          <cell r="C985" t="str">
            <v>펜탄올(3-)</v>
          </cell>
          <cell r="D985" t="str">
            <v>4류 제2석유류(비수용성)</v>
          </cell>
          <cell r="E985" t="str">
            <v>1000리터</v>
          </cell>
          <cell r="F985">
            <v>1105</v>
          </cell>
        </row>
        <row r="986">
          <cell r="B986" t="str">
            <v>585-07-9</v>
          </cell>
          <cell r="C986" t="str">
            <v>메타크릴산 t-부틸</v>
          </cell>
          <cell r="D986" t="str">
            <v>4류 제2석유류(비수용성)</v>
          </cell>
          <cell r="E986" t="str">
            <v>1000리터</v>
          </cell>
          <cell r="F986">
            <v>3272</v>
          </cell>
        </row>
        <row r="987">
          <cell r="B987" t="str">
            <v>5878-19-3</v>
          </cell>
          <cell r="C987" t="str">
            <v>메톡시아세톤</v>
          </cell>
          <cell r="D987" t="str">
            <v>4류 제2석유류(비수용성)</v>
          </cell>
          <cell r="E987" t="str">
            <v>1000리터</v>
          </cell>
          <cell r="F987">
            <v>1224</v>
          </cell>
        </row>
        <row r="988">
          <cell r="B988" t="str">
            <v>589-35-5</v>
          </cell>
          <cell r="C988" t="str">
            <v>메틸(3-),-1,5-펜탄올</v>
          </cell>
          <cell r="D988" t="str">
            <v>4류 제2석유류(비수용성)</v>
          </cell>
          <cell r="E988" t="str">
            <v>1000리터</v>
          </cell>
          <cell r="F988">
            <v>1987</v>
          </cell>
        </row>
        <row r="989">
          <cell r="B989" t="str">
            <v>589-38-8</v>
          </cell>
          <cell r="C989" t="str">
            <v>3-헥사논</v>
          </cell>
          <cell r="D989" t="str">
            <v>4류 제2석유류(비수용성)</v>
          </cell>
          <cell r="E989" t="str">
            <v>1000리터</v>
          </cell>
          <cell r="F989">
            <v>1224</v>
          </cell>
        </row>
        <row r="990">
          <cell r="B990" t="str">
            <v>589-62-8</v>
          </cell>
          <cell r="C990" t="str">
            <v>옥탄올</v>
          </cell>
          <cell r="D990" t="str">
            <v>4류 제2석유류(비수용성)</v>
          </cell>
          <cell r="E990" t="str">
            <v>1000리터</v>
          </cell>
          <cell r="F990" t="str">
            <v/>
          </cell>
        </row>
        <row r="991">
          <cell r="B991" t="str">
            <v>590-01-2</v>
          </cell>
          <cell r="C991" t="str">
            <v>프로피오닉산.부틸에스테프</v>
          </cell>
          <cell r="D991" t="str">
            <v>4류 제2석유류(비수용성)</v>
          </cell>
          <cell r="E991" t="str">
            <v>1000리터</v>
          </cell>
          <cell r="F991">
            <v>1914</v>
          </cell>
        </row>
        <row r="992">
          <cell r="B992" t="str">
            <v>590-36-3</v>
          </cell>
          <cell r="C992" t="str">
            <v>메틸(2-)-2-펜탄올</v>
          </cell>
          <cell r="D992" t="str">
            <v>4류 제2석유류(비수용성)</v>
          </cell>
          <cell r="E992" t="str">
            <v>1000리터</v>
          </cell>
          <cell r="F992">
            <v>2560</v>
          </cell>
        </row>
        <row r="993">
          <cell r="B993" t="str">
            <v>5906-35-4</v>
          </cell>
          <cell r="C993" t="str">
            <v>1-아미노호모피페리딘</v>
          </cell>
          <cell r="D993" t="str">
            <v>4류 제2석유류(비수용성)</v>
          </cell>
          <cell r="E993" t="str">
            <v>1000리터</v>
          </cell>
          <cell r="F993">
            <v>1993</v>
          </cell>
        </row>
        <row r="994">
          <cell r="B994" t="str">
            <v>590-67-0</v>
          </cell>
          <cell r="C994" t="str">
            <v>메틸시클로헥산올</v>
          </cell>
          <cell r="D994" t="str">
            <v>4류 제2석유류(비수용성)</v>
          </cell>
          <cell r="E994" t="str">
            <v>1000리터</v>
          </cell>
          <cell r="F994">
            <v>1325</v>
          </cell>
        </row>
        <row r="995">
          <cell r="B995" t="str">
            <v>591-12-8</v>
          </cell>
          <cell r="C995" t="str">
            <v>α-안겔리카락톤</v>
          </cell>
          <cell r="D995" t="str">
            <v>4류 제2석유류(비수용성)</v>
          </cell>
          <cell r="E995" t="str">
            <v>1000리터</v>
          </cell>
          <cell r="F995">
            <v>1993</v>
          </cell>
        </row>
        <row r="996">
          <cell r="B996" t="str">
            <v>591-17-3</v>
          </cell>
          <cell r="C996" t="str">
            <v>3-브로모톨루엔</v>
          </cell>
          <cell r="D996" t="str">
            <v>4류 제2석유류(비수용성)</v>
          </cell>
          <cell r="E996" t="str">
            <v>1000리터</v>
          </cell>
          <cell r="F996">
            <v>1993</v>
          </cell>
        </row>
        <row r="997">
          <cell r="B997" t="str">
            <v>591-23-1</v>
          </cell>
          <cell r="C997" t="str">
            <v>메틸시클로헥산올</v>
          </cell>
          <cell r="D997" t="str">
            <v>4류 제2석유류(비수용성)</v>
          </cell>
          <cell r="E997" t="str">
            <v>1000리터</v>
          </cell>
          <cell r="F997" t="str">
            <v/>
          </cell>
        </row>
        <row r="998">
          <cell r="B998" t="str">
            <v>591-24-2</v>
          </cell>
          <cell r="C998" t="str">
            <v>3-메틸사이클로헥사논</v>
          </cell>
          <cell r="D998" t="str">
            <v>4류 제2석유류(비수용성)</v>
          </cell>
          <cell r="E998" t="str">
            <v>1000리터</v>
          </cell>
          <cell r="F998">
            <v>2297</v>
          </cell>
        </row>
        <row r="999">
          <cell r="B999" t="str">
            <v>592-13-2</v>
          </cell>
          <cell r="C999" t="str">
            <v>디메틸헥산(2.5)</v>
          </cell>
          <cell r="D999" t="str">
            <v>4류 제2석유류(비수용성)</v>
          </cell>
          <cell r="E999" t="str">
            <v>1000리터</v>
          </cell>
          <cell r="F999">
            <v>3295</v>
          </cell>
        </row>
        <row r="1000">
          <cell r="B1000" t="str">
            <v>592-34-7</v>
          </cell>
          <cell r="C1000" t="str">
            <v>포름산노르말부틸에스테르</v>
          </cell>
          <cell r="D1000" t="str">
            <v>4류 제2석유류(비수용성)</v>
          </cell>
          <cell r="E1000" t="str">
            <v>1000리터</v>
          </cell>
          <cell r="F1000">
            <v>2743</v>
          </cell>
        </row>
        <row r="1001">
          <cell r="B1001" t="str">
            <v>592-55-2</v>
          </cell>
          <cell r="C1001" t="str">
            <v>2-브로모에틸에틸에테르</v>
          </cell>
          <cell r="D1001" t="str">
            <v>4류 제2석유류(비수용성)</v>
          </cell>
          <cell r="E1001" t="str">
            <v>1000리터</v>
          </cell>
          <cell r="F1001">
            <v>2340</v>
          </cell>
        </row>
        <row r="1002">
          <cell r="B1002" t="str">
            <v>592-82-5</v>
          </cell>
          <cell r="C1002" t="str">
            <v>이소티오시안산부틸에스테르</v>
          </cell>
          <cell r="D1002" t="str">
            <v>4류 제2석유류(비수용성)</v>
          </cell>
          <cell r="E1002" t="str">
            <v>1000리터</v>
          </cell>
          <cell r="F1002">
            <v>1693</v>
          </cell>
        </row>
        <row r="1003">
          <cell r="B1003" t="str">
            <v>597-49-9</v>
          </cell>
          <cell r="C1003" t="str">
            <v>에틸-3-펜탄올</v>
          </cell>
          <cell r="D1003" t="str">
            <v>4류 제2석유류(비수용성)</v>
          </cell>
          <cell r="E1003" t="str">
            <v>1000리터</v>
          </cell>
          <cell r="F1003">
            <v>1987</v>
          </cell>
        </row>
        <row r="1004">
          <cell r="B1004" t="str">
            <v>598-75-4</v>
          </cell>
          <cell r="C1004" t="str">
            <v>메틸(3-)-2-부탄올</v>
          </cell>
          <cell r="D1004" t="str">
            <v>4류 제2석유류(비수용성)</v>
          </cell>
          <cell r="E1004" t="str">
            <v>1000리터</v>
          </cell>
          <cell r="F1004">
            <v>1105</v>
          </cell>
        </row>
        <row r="1005">
          <cell r="B1005" t="str">
            <v>600-00-0</v>
          </cell>
          <cell r="C1005" t="str">
            <v>α-브로모이소부틸산 에틸</v>
          </cell>
          <cell r="D1005" t="str">
            <v>4류 제2석유류(비수용성)</v>
          </cell>
          <cell r="E1005" t="str">
            <v>1000리터</v>
          </cell>
          <cell r="F1005">
            <v>2924</v>
          </cell>
        </row>
        <row r="1006">
          <cell r="B1006" t="str">
            <v>600-22-6</v>
          </cell>
          <cell r="C1006" t="str">
            <v>피루브산메틸</v>
          </cell>
          <cell r="D1006" t="str">
            <v>4류 제2석유류(비수용성)</v>
          </cell>
          <cell r="E1006" t="str">
            <v>1000리터</v>
          </cell>
          <cell r="F1006">
            <v>1993</v>
          </cell>
        </row>
        <row r="1007">
          <cell r="B1007" t="str">
            <v>600-36-2</v>
          </cell>
          <cell r="C1007" t="str">
            <v>디메틸l(2,4)-3-펜탄올</v>
          </cell>
          <cell r="D1007" t="str">
            <v>4류 제2석유류(비수용성)</v>
          </cell>
          <cell r="E1007" t="str">
            <v>1000리터</v>
          </cell>
          <cell r="F1007">
            <v>1987</v>
          </cell>
        </row>
        <row r="1008">
          <cell r="B1008" t="str">
            <v>6032-29-7</v>
          </cell>
          <cell r="C1008" t="str">
            <v>2-펜타놀</v>
          </cell>
          <cell r="D1008" t="str">
            <v>4류 제2석유류(비수용성)</v>
          </cell>
          <cell r="E1008" t="str">
            <v>1000리터</v>
          </cell>
          <cell r="F1008">
            <v>1105</v>
          </cell>
        </row>
        <row r="1009">
          <cell r="B1009" t="str">
            <v>6074-84-6</v>
          </cell>
          <cell r="C1009" t="str">
            <v>펜타에톡시탄탈륨</v>
          </cell>
          <cell r="D1009" t="str">
            <v>4류 제2석유류(비수용성)</v>
          </cell>
          <cell r="E1009" t="str">
            <v>1000리터</v>
          </cell>
          <cell r="F1009">
            <v>2920</v>
          </cell>
        </row>
        <row r="1010">
          <cell r="B1010" t="str">
            <v>609-14-3</v>
          </cell>
          <cell r="C1010" t="str">
            <v>메틸아세토아세트산에틸에스테르</v>
          </cell>
          <cell r="D1010" t="str">
            <v>4류 제2석유류(비수용성)</v>
          </cell>
          <cell r="E1010" t="str">
            <v>1000리터</v>
          </cell>
          <cell r="F1010" t="str">
            <v/>
          </cell>
        </row>
        <row r="1011">
          <cell r="B1011" t="str">
            <v>609-15-4</v>
          </cell>
          <cell r="C1011" t="str">
            <v>클로로(2-)아세토아세트산에틸에스테르</v>
          </cell>
          <cell r="D1011" t="str">
            <v>4류 제2석유류(비수용성)</v>
          </cell>
          <cell r="E1011" t="str">
            <v>1000리터</v>
          </cell>
          <cell r="F1011">
            <v>2920</v>
          </cell>
        </row>
        <row r="1012">
          <cell r="B1012" t="str">
            <v>6092-54-2</v>
          </cell>
          <cell r="C1012" t="str">
            <v>클로로포름산노르말헥실에스테르</v>
          </cell>
          <cell r="D1012" t="str">
            <v>4류 제2석유류(비수용성)</v>
          </cell>
          <cell r="E1012" t="str">
            <v>1000리터</v>
          </cell>
          <cell r="F1012">
            <v>3277</v>
          </cell>
        </row>
        <row r="1013">
          <cell r="B1013" t="str">
            <v>611-14-3</v>
          </cell>
          <cell r="C1013" t="str">
            <v>에틸톨루엔-2</v>
          </cell>
          <cell r="D1013" t="str">
            <v>4류 제2석유류(비수용성)</v>
          </cell>
          <cell r="E1013" t="str">
            <v>1000리터</v>
          </cell>
          <cell r="F1013">
            <v>3295</v>
          </cell>
        </row>
        <row r="1014">
          <cell r="B1014" t="str">
            <v>611-15-4</v>
          </cell>
          <cell r="C1014" t="str">
            <v>2-메틸스티렌</v>
          </cell>
          <cell r="D1014" t="str">
            <v>4류 제2석유류(비수용성)</v>
          </cell>
          <cell r="E1014" t="str">
            <v>1000리터</v>
          </cell>
          <cell r="F1014">
            <v>2618</v>
          </cell>
        </row>
        <row r="1015">
          <cell r="B1015" t="str">
            <v>6117-91-5</v>
          </cell>
          <cell r="C1015" t="str">
            <v>크로틸알콜</v>
          </cell>
          <cell r="D1015" t="str">
            <v>4류 제2석유류(비수용성)</v>
          </cell>
          <cell r="E1015" t="str">
            <v>1000리터</v>
          </cell>
          <cell r="F1015">
            <v>1987</v>
          </cell>
        </row>
        <row r="1016">
          <cell r="B1016" t="str">
            <v>616-21-7</v>
          </cell>
          <cell r="C1016" t="str">
            <v>디클로로부탄</v>
          </cell>
          <cell r="D1016" t="str">
            <v>4류 제2석유류(비수용성)</v>
          </cell>
          <cell r="E1016" t="str">
            <v>1000리터</v>
          </cell>
          <cell r="F1016">
            <v>1993</v>
          </cell>
        </row>
        <row r="1017">
          <cell r="B1017" t="str">
            <v>616-25-1</v>
          </cell>
          <cell r="C1017" t="str">
            <v>펜텐(1-)-3-올</v>
          </cell>
          <cell r="D1017" t="str">
            <v>4류 제2석유류(비수용성)</v>
          </cell>
          <cell r="E1017" t="str">
            <v>1000리터</v>
          </cell>
          <cell r="F1017">
            <v>1987</v>
          </cell>
        </row>
        <row r="1018">
          <cell r="B1018" t="str">
            <v>616-42-2</v>
          </cell>
          <cell r="C1018" t="str">
            <v>디메틸설피트</v>
          </cell>
          <cell r="D1018" t="str">
            <v>4류 제2석유류(비수용성)</v>
          </cell>
          <cell r="E1018" t="str">
            <v>1000리터</v>
          </cell>
          <cell r="F1018">
            <v>1993</v>
          </cell>
        </row>
        <row r="1019">
          <cell r="B1019" t="str">
            <v>617-29-8</v>
          </cell>
          <cell r="C1019" t="str">
            <v>메틸(2-)-3-헥사놀</v>
          </cell>
          <cell r="D1019" t="str">
            <v>4류 제2석유류(비수용성)</v>
          </cell>
          <cell r="E1019" t="str">
            <v>1000리터</v>
          </cell>
          <cell r="F1019">
            <v>1987</v>
          </cell>
        </row>
        <row r="1020">
          <cell r="B1020" t="str">
            <v>617-35-6</v>
          </cell>
          <cell r="C1020" t="str">
            <v>피루브산에틸</v>
          </cell>
          <cell r="D1020" t="str">
            <v>4류 제2석유류(비수용성)</v>
          </cell>
          <cell r="E1020" t="str">
            <v>1000리터</v>
          </cell>
          <cell r="F1020">
            <v>1993</v>
          </cell>
        </row>
        <row r="1021">
          <cell r="B1021" t="str">
            <v>619-33-0</v>
          </cell>
          <cell r="C1021" t="str">
            <v>디클로로아세탈</v>
          </cell>
          <cell r="D1021" t="str">
            <v>4류 제2석유류(비수용성)</v>
          </cell>
          <cell r="E1021" t="str">
            <v>1000리터</v>
          </cell>
          <cell r="F1021">
            <v>1993</v>
          </cell>
        </row>
        <row r="1022">
          <cell r="B1022" t="str">
            <v>620-14-4</v>
          </cell>
          <cell r="C1022" t="str">
            <v>에틸톨루엔-3</v>
          </cell>
          <cell r="D1022" t="str">
            <v>4류 제2석유류(비수용성)</v>
          </cell>
          <cell r="E1022" t="str">
            <v>1000리터</v>
          </cell>
          <cell r="F1022">
            <v>3295</v>
          </cell>
        </row>
        <row r="1023">
          <cell r="B1023" t="str">
            <v>621-29-4</v>
          </cell>
          <cell r="C1023" t="str">
            <v>3-메틸페닐 이소시아네이트</v>
          </cell>
          <cell r="D1023" t="str">
            <v>4류 제2석유류(비수용성)</v>
          </cell>
          <cell r="E1023" t="str">
            <v>1000리터</v>
          </cell>
          <cell r="F1023">
            <v>2206</v>
          </cell>
        </row>
        <row r="1024">
          <cell r="B1024" t="str">
            <v>621-62-5</v>
          </cell>
          <cell r="C1024" t="str">
            <v>클로로아세탈</v>
          </cell>
          <cell r="D1024" t="str">
            <v>4류 제2석유류(비수용성)</v>
          </cell>
          <cell r="E1024" t="str">
            <v>1000리터</v>
          </cell>
          <cell r="F1024">
            <v>1993</v>
          </cell>
        </row>
        <row r="1025">
          <cell r="B1025" t="str">
            <v>622-24-2</v>
          </cell>
          <cell r="C1025" t="str">
            <v>클로로(2-)에틸벤젠</v>
          </cell>
          <cell r="D1025" t="str">
            <v>4류 제2석유류(비수용성)</v>
          </cell>
          <cell r="E1025" t="str">
            <v>1000리터</v>
          </cell>
          <cell r="F1025" t="str">
            <v/>
          </cell>
        </row>
        <row r="1026">
          <cell r="B1026" t="str">
            <v>622-45-7</v>
          </cell>
          <cell r="C1026" t="str">
            <v>아세트산시클로헥실에스테르</v>
          </cell>
          <cell r="D1026" t="str">
            <v>4류 제2석유류(비수용성)</v>
          </cell>
          <cell r="E1026" t="str">
            <v>1000리터</v>
          </cell>
          <cell r="F1026">
            <v>2243</v>
          </cell>
        </row>
        <row r="1027">
          <cell r="B1027" t="str">
            <v>622-93-5</v>
          </cell>
          <cell r="C1027" t="str">
            <v>디에틸아미노-1-프로판올</v>
          </cell>
          <cell r="D1027" t="str">
            <v>4류 제2석유류(비수용성)</v>
          </cell>
          <cell r="E1027" t="str">
            <v>1000리터</v>
          </cell>
          <cell r="F1027" t="str">
            <v/>
          </cell>
        </row>
        <row r="1028">
          <cell r="B1028" t="str">
            <v>622-96-8</v>
          </cell>
          <cell r="C1028" t="str">
            <v>에틸톨루엔-4</v>
          </cell>
          <cell r="D1028" t="str">
            <v>4류 제2석유류(비수용성)</v>
          </cell>
          <cell r="E1028" t="str">
            <v>1000리터</v>
          </cell>
          <cell r="F1028">
            <v>3295</v>
          </cell>
        </row>
        <row r="1029">
          <cell r="B1029" t="str">
            <v>623-17-6</v>
          </cell>
          <cell r="C1029" t="str">
            <v>아세트산푸르푸릴에스테르</v>
          </cell>
          <cell r="D1029" t="str">
            <v>4류 제2석유류(비수용성)</v>
          </cell>
          <cell r="E1029" t="str">
            <v>1000리터</v>
          </cell>
          <cell r="F1029">
            <v>1993</v>
          </cell>
        </row>
        <row r="1030">
          <cell r="B1030" t="str">
            <v>623-37-0</v>
          </cell>
          <cell r="C1030" t="str">
            <v>3-헥사놀</v>
          </cell>
          <cell r="D1030" t="str">
            <v>4류 제2석유류(비수용성)</v>
          </cell>
          <cell r="E1030" t="str">
            <v>1000리터</v>
          </cell>
          <cell r="F1030">
            <v>2282</v>
          </cell>
        </row>
        <row r="1031">
          <cell r="B1031" t="str">
            <v>623-47-2</v>
          </cell>
          <cell r="C1031" t="str">
            <v>프로피오릭산에틸에스테르</v>
          </cell>
          <cell r="D1031" t="str">
            <v>4류 제2석유류(비수용성)</v>
          </cell>
          <cell r="E1031" t="str">
            <v>1000리터</v>
          </cell>
          <cell r="F1031">
            <v>3272</v>
          </cell>
        </row>
        <row r="1032">
          <cell r="B1032" t="str">
            <v>623-49-4</v>
          </cell>
          <cell r="C1032" t="str">
            <v>시아노포름산에틸에스테르</v>
          </cell>
          <cell r="D1032" t="str">
            <v>4류 제2석유류(비수용성)</v>
          </cell>
          <cell r="E1032" t="str">
            <v>1000리터</v>
          </cell>
          <cell r="F1032">
            <v>3275</v>
          </cell>
        </row>
        <row r="1033">
          <cell r="B1033" t="str">
            <v>623-71-2</v>
          </cell>
          <cell r="C1033" t="str">
            <v>클로로(3-)프로피온산메틸에스테르</v>
          </cell>
          <cell r="D1033" t="str">
            <v>4류 제2석유류(비수용성)</v>
          </cell>
          <cell r="E1033" t="str">
            <v>1000리터</v>
          </cell>
          <cell r="F1033">
            <v>1993</v>
          </cell>
        </row>
        <row r="1034">
          <cell r="B1034" t="str">
            <v>623-81-4</v>
          </cell>
          <cell r="C1034" t="str">
            <v>디에틸설페이트</v>
          </cell>
          <cell r="D1034" t="str">
            <v>4류 제2석유류(비수용성)</v>
          </cell>
          <cell r="E1034" t="str">
            <v>1000리터</v>
          </cell>
          <cell r="F1034">
            <v>1993</v>
          </cell>
        </row>
        <row r="1035">
          <cell r="B1035" t="str">
            <v>624-41-9</v>
          </cell>
          <cell r="C1035" t="str">
            <v>아세트산2-메틸부틸에스테르</v>
          </cell>
          <cell r="D1035" t="str">
            <v>4류 제2석유류(비수용성)</v>
          </cell>
          <cell r="E1035" t="str">
            <v>1000리터</v>
          </cell>
          <cell r="F1035">
            <v>1104</v>
          </cell>
        </row>
        <row r="1036">
          <cell r="B1036" t="str">
            <v>624-76-0</v>
          </cell>
          <cell r="C1036" t="str">
            <v>요오드에탄올(2-)</v>
          </cell>
          <cell r="D1036" t="str">
            <v>4류 제2석유류(비수용성)</v>
          </cell>
          <cell r="E1036" t="str">
            <v>1000리터</v>
          </cell>
          <cell r="F1036">
            <v>2810</v>
          </cell>
        </row>
        <row r="1037">
          <cell r="B1037" t="str">
            <v>625-23-0</v>
          </cell>
          <cell r="C1037" t="str">
            <v>메틸(2-)-2-헥사놀</v>
          </cell>
          <cell r="D1037" t="str">
            <v>4류 제2석유류(비수용성)</v>
          </cell>
          <cell r="E1037" t="str">
            <v>1000리터</v>
          </cell>
          <cell r="F1037">
            <v>1987</v>
          </cell>
        </row>
        <row r="1038">
          <cell r="B1038" t="str">
            <v>625-36-5</v>
          </cell>
          <cell r="C1038" t="str">
            <v>3-클로로프로피온산 클로라이드</v>
          </cell>
          <cell r="D1038" t="str">
            <v>4류 제2석유류(비수용성)</v>
          </cell>
          <cell r="E1038" t="str">
            <v>1000리터</v>
          </cell>
          <cell r="F1038">
            <v>1760</v>
          </cell>
        </row>
        <row r="1039">
          <cell r="B1039" t="str">
            <v>625-38-7</v>
          </cell>
          <cell r="C1039" t="str">
            <v>부탄노익(-3)산</v>
          </cell>
          <cell r="D1039" t="str">
            <v>4류 제2석유류(비수용성)</v>
          </cell>
          <cell r="E1039" t="str">
            <v>1000리터</v>
          </cell>
          <cell r="F1039">
            <v>2922</v>
          </cell>
        </row>
        <row r="1040">
          <cell r="B1040" t="str">
            <v>6261-22-9</v>
          </cell>
          <cell r="C1040" t="str">
            <v>펜틴(2-)-1-올</v>
          </cell>
          <cell r="D1040" t="str">
            <v>4류 제2석유류(비수용성)</v>
          </cell>
          <cell r="E1040" t="str">
            <v>1000리터</v>
          </cell>
          <cell r="F1040">
            <v>1987</v>
          </cell>
        </row>
        <row r="1041">
          <cell r="B1041" t="str">
            <v>626-23-3</v>
          </cell>
          <cell r="C1041" t="str">
            <v>디2차부틸아민</v>
          </cell>
          <cell r="D1041" t="str">
            <v>4류 제2석유류(비수용성)</v>
          </cell>
          <cell r="E1041" t="str">
            <v>1000리터</v>
          </cell>
          <cell r="F1041">
            <v>2733</v>
          </cell>
        </row>
        <row r="1042">
          <cell r="B1042" t="str">
            <v>626-60-8</v>
          </cell>
          <cell r="C1042" t="str">
            <v>클로로(3-)피리딘</v>
          </cell>
          <cell r="D1042" t="str">
            <v>4류 제2석유류(비수용성)</v>
          </cell>
          <cell r="E1042" t="str">
            <v>1000리터</v>
          </cell>
          <cell r="F1042">
            <v>1993</v>
          </cell>
        </row>
        <row r="1043">
          <cell r="B1043" t="str">
            <v>626-88-0</v>
          </cell>
          <cell r="C1043" t="str">
            <v>1-브로모-4-메틸펜탄</v>
          </cell>
          <cell r="D1043" t="str">
            <v>4류 제2석유류(비수용성)</v>
          </cell>
          <cell r="E1043" t="str">
            <v>1000리터</v>
          </cell>
          <cell r="F1043">
            <v>1993</v>
          </cell>
        </row>
        <row r="1044">
          <cell r="B1044" t="str">
            <v>626-93-7</v>
          </cell>
          <cell r="C1044" t="str">
            <v>2-헥사놀</v>
          </cell>
          <cell r="D1044" t="str">
            <v>4류 제2석유류(비수용성)</v>
          </cell>
          <cell r="E1044" t="str">
            <v>1000리터</v>
          </cell>
          <cell r="F1044">
            <v>2282</v>
          </cell>
        </row>
        <row r="1045">
          <cell r="B1045" t="str">
            <v>627-11-2</v>
          </cell>
          <cell r="C1045" t="str">
            <v>클로로포름산-2-클로로에틸에테르</v>
          </cell>
          <cell r="D1045" t="str">
            <v>4류 제2석유류(비수용성)</v>
          </cell>
          <cell r="E1045" t="str">
            <v>1000리터</v>
          </cell>
          <cell r="F1045">
            <v>3277</v>
          </cell>
        </row>
        <row r="1046">
          <cell r="B1046" t="str">
            <v>628-17-1</v>
          </cell>
          <cell r="C1046" t="str">
            <v>옥소아밀</v>
          </cell>
          <cell r="D1046" t="str">
            <v>4류 제2석유류(비수용성)</v>
          </cell>
          <cell r="E1046" t="str">
            <v>1000리터</v>
          </cell>
          <cell r="F1046">
            <v>1993</v>
          </cell>
        </row>
        <row r="1047">
          <cell r="B1047" t="str">
            <v>6285-06-9</v>
          </cell>
          <cell r="C1047" t="str">
            <v>3-에틸-1-펜틴-3올</v>
          </cell>
          <cell r="D1047" t="str">
            <v>4류 제2석유류(비수용성)</v>
          </cell>
          <cell r="E1047" t="str">
            <v>1000리터</v>
          </cell>
          <cell r="F1047">
            <v>1987</v>
          </cell>
        </row>
        <row r="1048">
          <cell r="B1048" t="str">
            <v>628-63-7</v>
          </cell>
          <cell r="C1048" t="str">
            <v>노르말 아밀아세트산</v>
          </cell>
          <cell r="D1048" t="str">
            <v>4류 제2석유류(비수용성)</v>
          </cell>
          <cell r="E1048" t="str">
            <v>1000리터</v>
          </cell>
          <cell r="F1048">
            <v>1104</v>
          </cell>
        </row>
        <row r="1049">
          <cell r="B1049" t="str">
            <v>628-73-9</v>
          </cell>
          <cell r="C1049" t="str">
            <v>카프로니트릴</v>
          </cell>
          <cell r="D1049" t="str">
            <v>4류 제2석유류(비수용성)</v>
          </cell>
          <cell r="E1049" t="str">
            <v>1000리터</v>
          </cell>
          <cell r="F1049">
            <v>1993</v>
          </cell>
        </row>
        <row r="1050">
          <cell r="B1050" t="str">
            <v>629-04-9</v>
          </cell>
          <cell r="C1050" t="str">
            <v>n-헵틸브로마이드</v>
          </cell>
          <cell r="D1050" t="str">
            <v>4류 제2석유류(비수용성)</v>
          </cell>
          <cell r="E1050" t="str">
            <v>1000리터</v>
          </cell>
          <cell r="F1050">
            <v>1993</v>
          </cell>
        </row>
        <row r="1051">
          <cell r="B1051" t="str">
            <v>629-06-1</v>
          </cell>
          <cell r="C1051" t="str">
            <v>클로로헵탄</v>
          </cell>
          <cell r="D1051" t="str">
            <v>4류 제2석유류(비수용성)</v>
          </cell>
          <cell r="E1051" t="str">
            <v>1000리터</v>
          </cell>
          <cell r="F1051">
            <v>1993</v>
          </cell>
        </row>
        <row r="1052">
          <cell r="B1052" t="str">
            <v>629-14-1</v>
          </cell>
          <cell r="C1052" t="str">
            <v>디에톡시에탈</v>
          </cell>
          <cell r="D1052" t="str">
            <v>4류 제2석유류(비수용성)</v>
          </cell>
          <cell r="E1052" t="str">
            <v>1000리터</v>
          </cell>
          <cell r="F1052">
            <v>1153</v>
          </cell>
        </row>
        <row r="1053">
          <cell r="B1053" t="str">
            <v>629-19-6</v>
          </cell>
          <cell r="C1053" t="str">
            <v>디노르말포로필디술파이드</v>
          </cell>
          <cell r="D1053" t="str">
            <v>4류 제2석유류(비수용성)</v>
          </cell>
          <cell r="E1053" t="str">
            <v>1000리터</v>
          </cell>
          <cell r="F1053">
            <v>3334</v>
          </cell>
        </row>
        <row r="1054">
          <cell r="B1054" t="str">
            <v>63721-05-1</v>
          </cell>
          <cell r="C1054" t="str">
            <v>디메틸(3,3-)펜테온산메틸에스테르</v>
          </cell>
          <cell r="D1054" t="str">
            <v>4류 제2석유류(비수용성)</v>
          </cell>
          <cell r="E1054" t="str">
            <v>1000리터</v>
          </cell>
          <cell r="F1054">
            <v>3272</v>
          </cell>
        </row>
        <row r="1055">
          <cell r="B1055" t="str">
            <v>638-02-8</v>
          </cell>
          <cell r="C1055" t="str">
            <v>2,5-디메틸티오펜</v>
          </cell>
          <cell r="D1055" t="str">
            <v>4류 제2석유류(비수용성)</v>
          </cell>
          <cell r="E1055" t="str">
            <v>1000리터</v>
          </cell>
          <cell r="F1055">
            <v>1993</v>
          </cell>
        </row>
        <row r="1056">
          <cell r="B1056" t="str">
            <v>638-11-9</v>
          </cell>
          <cell r="C1056" t="str">
            <v>부틸산이소프로필</v>
          </cell>
          <cell r="D1056" t="str">
            <v>4류 제2석유류(비수용성)</v>
          </cell>
          <cell r="E1056" t="str">
            <v>1000리터</v>
          </cell>
          <cell r="F1056" t="str">
            <v/>
          </cell>
        </row>
        <row r="1057">
          <cell r="B1057" t="str">
            <v>638-45-9</v>
          </cell>
          <cell r="C1057" t="str">
            <v>요오드헥산(1-)</v>
          </cell>
          <cell r="D1057" t="str">
            <v>4류 제2석유류(비수용성)</v>
          </cell>
          <cell r="E1057" t="str">
            <v>1000리터</v>
          </cell>
          <cell r="F1057">
            <v>3082</v>
          </cell>
        </row>
        <row r="1058">
          <cell r="B1058" t="str">
            <v>638-49-3</v>
          </cell>
          <cell r="C1058" t="str">
            <v>포름산노르말아밀에스테르</v>
          </cell>
          <cell r="D1058" t="str">
            <v>4류 제2석유류(비수용성)</v>
          </cell>
          <cell r="E1058" t="str">
            <v>1000리터</v>
          </cell>
          <cell r="F1058">
            <v>1109</v>
          </cell>
        </row>
        <row r="1059">
          <cell r="B1059" t="str">
            <v>64248-56-2</v>
          </cell>
          <cell r="C1059" t="str">
            <v>1-브로모-2,6-디플로로벤젠</v>
          </cell>
          <cell r="D1059" t="str">
            <v>4류 제2석유류(비수용성)</v>
          </cell>
          <cell r="E1059" t="str">
            <v>1000리터</v>
          </cell>
          <cell r="F1059">
            <v>1993</v>
          </cell>
        </row>
        <row r="1060">
          <cell r="B1060" t="str">
            <v>6482-24-2</v>
          </cell>
          <cell r="C1060" t="str">
            <v>2-브로모에틸메틸에테르</v>
          </cell>
          <cell r="D1060" t="str">
            <v>4류 제2석유류(비수용성)</v>
          </cell>
          <cell r="E1060" t="str">
            <v>1000리터</v>
          </cell>
          <cell r="F1060">
            <v>3271</v>
          </cell>
        </row>
        <row r="1061">
          <cell r="B1061" t="str">
            <v>6485-79-6</v>
          </cell>
          <cell r="C1061" t="str">
            <v>트리이소프로필실란</v>
          </cell>
          <cell r="D1061" t="str">
            <v>4류 제2석유류(비수용성)</v>
          </cell>
          <cell r="E1061" t="str">
            <v>1000리터</v>
          </cell>
          <cell r="F1061">
            <v>1993</v>
          </cell>
        </row>
        <row r="1062">
          <cell r="B1062" t="str">
            <v>652-29-2</v>
          </cell>
          <cell r="C1062" t="str">
            <v>펜타플로로아세토페논</v>
          </cell>
          <cell r="D1062" t="str">
            <v>4류 제2석유류(비수용성)</v>
          </cell>
          <cell r="E1062" t="str">
            <v>1000리터</v>
          </cell>
          <cell r="F1062" t="str">
            <v/>
          </cell>
        </row>
        <row r="1063">
          <cell r="B1063" t="str">
            <v>653-34-9</v>
          </cell>
          <cell r="C1063" t="str">
            <v>펜타플로로스티렌</v>
          </cell>
          <cell r="D1063" t="str">
            <v>4류 제2석유류(비수용성)</v>
          </cell>
          <cell r="E1063" t="str">
            <v>1000리터</v>
          </cell>
          <cell r="F1063">
            <v>1993</v>
          </cell>
        </row>
        <row r="1064">
          <cell r="B1064" t="str">
            <v>65583-10-0</v>
          </cell>
          <cell r="C1064" t="str">
            <v>알루미늄-n-부톡시모노에틸 아세트아세...</v>
          </cell>
          <cell r="D1064" t="str">
            <v>4류 제2석유류(비수용성)</v>
          </cell>
          <cell r="E1064" t="str">
            <v>1000리터</v>
          </cell>
          <cell r="F1064">
            <v>1993</v>
          </cell>
        </row>
        <row r="1065">
          <cell r="B1065" t="str">
            <v>66-25-1</v>
          </cell>
          <cell r="C1065" t="str">
            <v>카프론알데히드</v>
          </cell>
          <cell r="D1065" t="str">
            <v>4류 제2석유류(비수용성)</v>
          </cell>
          <cell r="E1065" t="str">
            <v>1000리터</v>
          </cell>
          <cell r="F1065">
            <v>1207</v>
          </cell>
        </row>
        <row r="1066">
          <cell r="B1066" t="str">
            <v>670-80-4</v>
          </cell>
          <cell r="C1066" t="str">
            <v>모르폴리노시클로헥센</v>
          </cell>
          <cell r="D1066" t="str">
            <v>4류 제2석유류(비수용성)</v>
          </cell>
          <cell r="E1066" t="str">
            <v>1000리터</v>
          </cell>
          <cell r="F1066" t="str">
            <v/>
          </cell>
        </row>
        <row r="1067">
          <cell r="B1067" t="str">
            <v>672-65-1</v>
          </cell>
          <cell r="C1067" t="str">
            <v>클로로에틸벤젠</v>
          </cell>
          <cell r="D1067" t="str">
            <v>4류 제2석유류(비수용성)</v>
          </cell>
          <cell r="E1067" t="str">
            <v>1000리터</v>
          </cell>
          <cell r="F1067">
            <v>1993</v>
          </cell>
        </row>
        <row r="1068">
          <cell r="B1068" t="str">
            <v>6728-26-3</v>
          </cell>
          <cell r="C1068" t="str">
            <v>헥센-1-일-알데히드</v>
          </cell>
          <cell r="D1068" t="str">
            <v>4류 제2석유류(비수용성)</v>
          </cell>
          <cell r="E1068" t="str">
            <v>1000리터</v>
          </cell>
          <cell r="F1068">
            <v>1988</v>
          </cell>
        </row>
        <row r="1069">
          <cell r="B1069" t="str">
            <v>674-82-8</v>
          </cell>
          <cell r="C1069" t="str">
            <v>디케텐</v>
          </cell>
          <cell r="D1069" t="str">
            <v>4류 제2석유류(비수용성)</v>
          </cell>
          <cell r="E1069" t="str">
            <v>1000리터</v>
          </cell>
          <cell r="F1069">
            <v>2521</v>
          </cell>
        </row>
        <row r="1070">
          <cell r="B1070" t="str">
            <v>681-84-5</v>
          </cell>
          <cell r="C1070" t="str">
            <v>테트라메톡시실란</v>
          </cell>
          <cell r="D1070" t="str">
            <v>4류 제2석유류(비수용성)</v>
          </cell>
          <cell r="E1070" t="str">
            <v>1000리터</v>
          </cell>
          <cell r="F1070">
            <v>2606</v>
          </cell>
        </row>
        <row r="1071">
          <cell r="B1071" t="str">
            <v>685-88-1</v>
          </cell>
          <cell r="C1071" t="str">
            <v>프로로말론산디에틸에스테르</v>
          </cell>
          <cell r="D1071" t="str">
            <v>4류 제2석유류(비수용성)</v>
          </cell>
          <cell r="E1071" t="str">
            <v>1000리터</v>
          </cell>
          <cell r="F1071">
            <v>3265</v>
          </cell>
        </row>
        <row r="1072">
          <cell r="B1072" t="str">
            <v>688-71-1</v>
          </cell>
          <cell r="C1072" t="str">
            <v>보릭산트리노르말프로필에스테르</v>
          </cell>
          <cell r="D1072" t="str">
            <v>4류 제2석유류(비수용성)</v>
          </cell>
          <cell r="E1072" t="str">
            <v>1000리터</v>
          </cell>
          <cell r="F1072">
            <v>1993</v>
          </cell>
        </row>
        <row r="1073">
          <cell r="B1073" t="str">
            <v>693-07-2</v>
          </cell>
          <cell r="C1073" t="str">
            <v>클로로(2-)에틸에틸슐파이드</v>
          </cell>
          <cell r="D1073" t="str">
            <v>4류 제2석유류(비수용성)</v>
          </cell>
          <cell r="E1073" t="str">
            <v>1000리터</v>
          </cell>
          <cell r="F1073">
            <v>1992</v>
          </cell>
        </row>
        <row r="1074">
          <cell r="B1074" t="str">
            <v>693-13-0</v>
          </cell>
          <cell r="C1074" t="str">
            <v>1,3-디이소프로필 카보디아미드</v>
          </cell>
          <cell r="D1074" t="str">
            <v>4류 제2석유류(비수용성)</v>
          </cell>
          <cell r="E1074" t="str">
            <v>1000리터</v>
          </cell>
          <cell r="F1074">
            <v>2929</v>
          </cell>
        </row>
        <row r="1075">
          <cell r="B1075" t="str">
            <v>693-16-3</v>
          </cell>
          <cell r="C1075" t="str">
            <v>2-아미노옥탄</v>
          </cell>
          <cell r="D1075" t="str">
            <v>4류 제2석유류(비수용성)</v>
          </cell>
          <cell r="E1075" t="str">
            <v>1000리터</v>
          </cell>
          <cell r="F1075">
            <v>2734</v>
          </cell>
        </row>
        <row r="1076">
          <cell r="B1076" t="str">
            <v>693-65-2</v>
          </cell>
          <cell r="C1076" t="str">
            <v>엔-아밀에테르</v>
          </cell>
          <cell r="D1076" t="str">
            <v>4류 제2석유류(비수용성)</v>
          </cell>
          <cell r="E1076" t="str">
            <v>1000리터</v>
          </cell>
          <cell r="F1076">
            <v>3271</v>
          </cell>
        </row>
        <row r="1077">
          <cell r="B1077" t="str">
            <v>693-95-8</v>
          </cell>
          <cell r="C1077" t="str">
            <v>메틸티아졸(4-)</v>
          </cell>
          <cell r="D1077" t="str">
            <v>4류 제2석유류(비수용성)</v>
          </cell>
          <cell r="E1077" t="str">
            <v>1000리터</v>
          </cell>
          <cell r="F1077">
            <v>1993</v>
          </cell>
        </row>
        <row r="1078">
          <cell r="B1078" t="str">
            <v>696-29-7</v>
          </cell>
          <cell r="C1078" t="str">
            <v>메틸에톤케톤옥심</v>
          </cell>
          <cell r="D1078" t="str">
            <v>4류 제2석유류(비수용성)</v>
          </cell>
          <cell r="E1078" t="str">
            <v>1000리터</v>
          </cell>
          <cell r="F1078">
            <v>1993</v>
          </cell>
        </row>
        <row r="1079">
          <cell r="B1079" t="str">
            <v>700-16-3</v>
          </cell>
          <cell r="C1079" t="str">
            <v>오불화피리딘</v>
          </cell>
          <cell r="D1079" t="str">
            <v>4류 제2석유류(비수용성)</v>
          </cell>
          <cell r="E1079" t="str">
            <v>1000리터</v>
          </cell>
          <cell r="F1079">
            <v>1993</v>
          </cell>
        </row>
        <row r="1080">
          <cell r="B1080" t="str">
            <v>7005-47-2</v>
          </cell>
          <cell r="C1080" t="str">
            <v>디메틸아미노-2-메틸-1-프로판올</v>
          </cell>
          <cell r="D1080" t="str">
            <v>4류 제2석유류(비수용성)</v>
          </cell>
          <cell r="E1080" t="str">
            <v>1000리터</v>
          </cell>
          <cell r="F1080">
            <v>2735</v>
          </cell>
        </row>
        <row r="1081">
          <cell r="B1081" t="str">
            <v>702-79-4</v>
          </cell>
          <cell r="C1081" t="str">
            <v>디메틸아다맨탄</v>
          </cell>
          <cell r="D1081" t="str">
            <v>4류 제2석유류(비수용성)</v>
          </cell>
          <cell r="E1081" t="str">
            <v>1000리터</v>
          </cell>
          <cell r="F1081">
            <v>1993</v>
          </cell>
        </row>
        <row r="1082">
          <cell r="B1082" t="str">
            <v>7065-46-5</v>
          </cell>
          <cell r="C1082" t="str">
            <v>부틸(3차)아세틸클로라이드</v>
          </cell>
          <cell r="D1082" t="str">
            <v>4류 제2석유류(비수용성)</v>
          </cell>
          <cell r="E1082" t="str">
            <v>1000리터</v>
          </cell>
          <cell r="F1082">
            <v>2924</v>
          </cell>
        </row>
        <row r="1083">
          <cell r="B1083" t="str">
            <v>71-36-3</v>
          </cell>
          <cell r="C1083" t="str">
            <v>n-부탄올</v>
          </cell>
          <cell r="D1083" t="str">
            <v>4류 제2석유류(비수용성)</v>
          </cell>
          <cell r="E1083" t="str">
            <v>1000리터</v>
          </cell>
          <cell r="F1083">
            <v>1120</v>
          </cell>
        </row>
        <row r="1084">
          <cell r="B1084" t="str">
            <v>71-41-0</v>
          </cell>
          <cell r="C1084" t="str">
            <v>1-펜타놀</v>
          </cell>
          <cell r="D1084" t="str">
            <v>4류 제2석유류(비수용성)</v>
          </cell>
          <cell r="E1084" t="str">
            <v>1000리터</v>
          </cell>
          <cell r="F1084">
            <v>1105</v>
          </cell>
        </row>
        <row r="1085">
          <cell r="B1085" t="str">
            <v>7148-74-5</v>
          </cell>
          <cell r="C1085" t="str">
            <v>α-브로모프로피온산 클로라이드</v>
          </cell>
          <cell r="D1085" t="str">
            <v>4류 제2석유류(비수용성)</v>
          </cell>
          <cell r="E1085" t="str">
            <v>1000리터</v>
          </cell>
          <cell r="F1085">
            <v>2924</v>
          </cell>
        </row>
        <row r="1086">
          <cell r="B1086" t="str">
            <v>718-64-9</v>
          </cell>
          <cell r="C1086" t="str">
            <v>헥사플로로큐밀알콜</v>
          </cell>
          <cell r="D1086" t="str">
            <v>4류 제2석유류(비수용성)</v>
          </cell>
          <cell r="E1086" t="str">
            <v>1000리터</v>
          </cell>
          <cell r="F1086">
            <v>1987</v>
          </cell>
        </row>
        <row r="1087">
          <cell r="B1087" t="str">
            <v>7252-83-7</v>
          </cell>
          <cell r="C1087" t="str">
            <v>브로모아세트알데히드디메틸아세탈</v>
          </cell>
          <cell r="D1087" t="str">
            <v>4류 제2석유류(비수용성)</v>
          </cell>
          <cell r="E1087" t="str">
            <v>1000리터</v>
          </cell>
          <cell r="F1087">
            <v>1989</v>
          </cell>
        </row>
        <row r="1088">
          <cell r="B1088" t="str">
            <v>7378-99-6</v>
          </cell>
          <cell r="C1088" t="str">
            <v>디메틸노르말옥틸아민</v>
          </cell>
          <cell r="D1088" t="str">
            <v>4류 제2석유류(비수용성)</v>
          </cell>
          <cell r="E1088" t="str">
            <v>1000리터</v>
          </cell>
          <cell r="F1088">
            <v>2922</v>
          </cell>
        </row>
        <row r="1089">
          <cell r="B1089" t="str">
            <v>7379-12-6</v>
          </cell>
          <cell r="C1089" t="str">
            <v>메틸(2-)-3-헥사논</v>
          </cell>
          <cell r="D1089" t="str">
            <v>4류 제2석유류(비수용성)</v>
          </cell>
          <cell r="E1089" t="str">
            <v>1000리터</v>
          </cell>
          <cell r="F1089">
            <v>1224</v>
          </cell>
        </row>
        <row r="1090">
          <cell r="B1090" t="str">
            <v>7429-44-9</v>
          </cell>
          <cell r="C1090" t="str">
            <v>메톡시시클로헥사논</v>
          </cell>
          <cell r="D1090" t="str">
            <v>4류 제2석유류(비수용성)</v>
          </cell>
          <cell r="E1090" t="str">
            <v>1000리터</v>
          </cell>
          <cell r="F1090" t="str">
            <v/>
          </cell>
        </row>
        <row r="1091">
          <cell r="B1091" t="str">
            <v>7443-70-1</v>
          </cell>
          <cell r="C1091" t="str">
            <v>메틸시클로헥산올</v>
          </cell>
          <cell r="D1091" t="str">
            <v>4류 제2석유류(비수용성)</v>
          </cell>
          <cell r="E1091" t="str">
            <v>1000리터</v>
          </cell>
          <cell r="F1091">
            <v>2617</v>
          </cell>
        </row>
        <row r="1092">
          <cell r="B1092" t="str">
            <v>7452-79-1</v>
          </cell>
          <cell r="C1092" t="str">
            <v>2-메틸부틸산에틸</v>
          </cell>
          <cell r="D1092" t="str">
            <v>4류 제2석유류(비수용성)</v>
          </cell>
          <cell r="E1092" t="str">
            <v>1000리터</v>
          </cell>
          <cell r="F1092">
            <v>3272</v>
          </cell>
        </row>
        <row r="1093">
          <cell r="B1093" t="str">
            <v>74-94-2</v>
          </cell>
          <cell r="C1093" t="str">
            <v>보란 디메틸아민 복합체</v>
          </cell>
          <cell r="D1093" t="str">
            <v>4류 제2석유류(비수용성)</v>
          </cell>
          <cell r="E1093" t="str">
            <v>1000리터</v>
          </cell>
          <cell r="F1093">
            <v>2926</v>
          </cell>
        </row>
        <row r="1094">
          <cell r="B1094" t="str">
            <v>75-30-9</v>
          </cell>
          <cell r="C1094" t="str">
            <v>요오드화이소프로필</v>
          </cell>
          <cell r="D1094" t="str">
            <v>4류 제2석유류(비수용성)</v>
          </cell>
          <cell r="E1094" t="str">
            <v>1000리터</v>
          </cell>
          <cell r="F1094">
            <v>2392</v>
          </cell>
        </row>
        <row r="1095">
          <cell r="B1095" t="str">
            <v>756-79-6</v>
          </cell>
          <cell r="C1095" t="str">
            <v>메틸인산디메틸에스테르</v>
          </cell>
          <cell r="D1095" t="str">
            <v>4류 제2석유류(비수용성)</v>
          </cell>
          <cell r="E1095" t="str">
            <v>1000리터</v>
          </cell>
          <cell r="F1095">
            <v>1993</v>
          </cell>
        </row>
        <row r="1096">
          <cell r="B1096" t="str">
            <v>75-74-1</v>
          </cell>
          <cell r="C1096" t="str">
            <v>사메틸납</v>
          </cell>
          <cell r="D1096" t="str">
            <v>4류 제2석유류(비수용성)</v>
          </cell>
          <cell r="E1096" t="str">
            <v>1000리터</v>
          </cell>
          <cell r="F1096">
            <v>1649</v>
          </cell>
        </row>
        <row r="1097">
          <cell r="B1097" t="str">
            <v>758-96-3</v>
          </cell>
          <cell r="C1097" t="str">
            <v>디메틸프로피온아미드</v>
          </cell>
          <cell r="D1097" t="str">
            <v>4류 제2석유류(비수용성)</v>
          </cell>
          <cell r="E1097" t="str">
            <v>1000리터</v>
          </cell>
          <cell r="F1097">
            <v>1993</v>
          </cell>
        </row>
        <row r="1098">
          <cell r="B1098" t="str">
            <v>760-23-6</v>
          </cell>
          <cell r="C1098" t="str">
            <v>디클로로(3,4-)-1-부텐</v>
          </cell>
          <cell r="D1098" t="str">
            <v>4류 제2석유류(비수용성)</v>
          </cell>
          <cell r="E1098" t="str">
            <v>1000리터</v>
          </cell>
          <cell r="F1098">
            <v>2920</v>
          </cell>
        </row>
        <row r="1099">
          <cell r="B1099" t="str">
            <v>760-67-8</v>
          </cell>
          <cell r="C1099" t="str">
            <v>에틸헥사노일클로라이드</v>
          </cell>
          <cell r="D1099" t="str">
            <v>4류 제2석유류(비수용성)</v>
          </cell>
          <cell r="E1099" t="str">
            <v>1000리터</v>
          </cell>
          <cell r="F1099">
            <v>3265</v>
          </cell>
        </row>
        <row r="1100">
          <cell r="B1100" t="str">
            <v>763-32-6</v>
          </cell>
          <cell r="C1100" t="str">
            <v>메틸(3-)-3-부텐-1-올</v>
          </cell>
          <cell r="D1100" t="str">
            <v>4류 제2석유류(비수용성)</v>
          </cell>
          <cell r="E1100" t="str">
            <v>1000리터</v>
          </cell>
          <cell r="F1100">
            <v>1987</v>
          </cell>
        </row>
        <row r="1101">
          <cell r="B1101" t="str">
            <v>763-69-9</v>
          </cell>
          <cell r="C1101" t="str">
            <v>에폭시프로피온산에틸에스테르</v>
          </cell>
          <cell r="D1101" t="str">
            <v>4류 제2석유류(비수용성)</v>
          </cell>
          <cell r="E1101" t="str">
            <v>1000리터</v>
          </cell>
          <cell r="F1101">
            <v>3272</v>
          </cell>
        </row>
        <row r="1102">
          <cell r="B1102" t="str">
            <v>764-13-6</v>
          </cell>
          <cell r="C1102" t="str">
            <v>디메틸-2.4-헥사디엔</v>
          </cell>
          <cell r="D1102" t="str">
            <v>4류 제2석유류(비수용성)</v>
          </cell>
          <cell r="E1102" t="str">
            <v>1000리터</v>
          </cell>
          <cell r="F1102">
            <v>3295</v>
          </cell>
        </row>
        <row r="1103">
          <cell r="B1103" t="str">
            <v>764-60-3</v>
          </cell>
          <cell r="C1103" t="str">
            <v>헥신(2-)-1-올</v>
          </cell>
          <cell r="D1103" t="str">
            <v>4류 제2석유류(비수용성)</v>
          </cell>
          <cell r="E1103" t="str">
            <v>1000리터</v>
          </cell>
          <cell r="F1103">
            <v>1993</v>
          </cell>
        </row>
        <row r="1104">
          <cell r="B1104" t="str">
            <v>764-93-2</v>
          </cell>
          <cell r="C1104" t="str">
            <v>데신(1-)</v>
          </cell>
          <cell r="D1104" t="str">
            <v>4류 제2석유류(비수용성)</v>
          </cell>
          <cell r="E1104" t="str">
            <v>1000리터</v>
          </cell>
          <cell r="F1104">
            <v>3295</v>
          </cell>
        </row>
        <row r="1105">
          <cell r="B1105" t="str">
            <v>765-42-4</v>
          </cell>
          <cell r="C1105" t="str">
            <v>시클로프로필에탄올</v>
          </cell>
          <cell r="D1105" t="str">
            <v>4류 제2석유류(비수용성)</v>
          </cell>
          <cell r="E1105" t="str">
            <v>1000리터</v>
          </cell>
          <cell r="F1105">
            <v>1987</v>
          </cell>
        </row>
        <row r="1106">
          <cell r="B1106" t="str">
            <v>766-77-8</v>
          </cell>
          <cell r="C1106" t="str">
            <v>디메틸페닐실란</v>
          </cell>
          <cell r="D1106" t="str">
            <v>4류 제2석유류(비수용성)</v>
          </cell>
          <cell r="E1106" t="str">
            <v>1000리터</v>
          </cell>
          <cell r="F1106">
            <v>1993</v>
          </cell>
        </row>
        <row r="1107">
          <cell r="B1107" t="str">
            <v>768-32-1</v>
          </cell>
          <cell r="C1107" t="str">
            <v>트리메틸페닐실란</v>
          </cell>
          <cell r="D1107" t="str">
            <v>4류 제2석유류(비수용성)</v>
          </cell>
          <cell r="E1107" t="str">
            <v>1000리터</v>
          </cell>
          <cell r="F1107">
            <v>1993</v>
          </cell>
        </row>
        <row r="1108">
          <cell r="B1108" t="str">
            <v>768-49-0</v>
          </cell>
          <cell r="C1108" t="str">
            <v>메틸(2-)-1-페닐프로펜</v>
          </cell>
          <cell r="D1108" t="str">
            <v>4류 제2석유류(비수용성)</v>
          </cell>
          <cell r="E1108" t="str">
            <v>1000리터</v>
          </cell>
          <cell r="F1108">
            <v>3295</v>
          </cell>
        </row>
        <row r="1109">
          <cell r="B1109" t="str">
            <v>7691-02-3</v>
          </cell>
          <cell r="C1109" t="str">
            <v>디비닐-1,1,3,3-데트라메틸디실라...</v>
          </cell>
          <cell r="D1109" t="str">
            <v>4류 제2석유류(비수용성)</v>
          </cell>
          <cell r="E1109" t="str">
            <v>1000리터</v>
          </cell>
          <cell r="F1109">
            <v>2920</v>
          </cell>
        </row>
        <row r="1110">
          <cell r="B1110" t="str">
            <v>770-09-2</v>
          </cell>
          <cell r="C1110" t="str">
            <v>벤질트리메틸실란</v>
          </cell>
          <cell r="D1110" t="str">
            <v>4류 제2석유류(비수용성)</v>
          </cell>
          <cell r="E1110" t="str">
            <v>1000리터</v>
          </cell>
          <cell r="F1110">
            <v>1993</v>
          </cell>
        </row>
        <row r="1111">
          <cell r="B1111" t="str">
            <v>773-82-0</v>
          </cell>
          <cell r="C1111" t="str">
            <v>펜타플로로벤조니트릴</v>
          </cell>
          <cell r="D1111" t="str">
            <v>4류 제2석유류(비수용성)</v>
          </cell>
          <cell r="E1111" t="str">
            <v>1000리터</v>
          </cell>
          <cell r="F1111">
            <v>1993</v>
          </cell>
        </row>
        <row r="1112">
          <cell r="B1112" t="str">
            <v>7756-94-7</v>
          </cell>
          <cell r="C1112" t="str">
            <v>트리이소부틸렌</v>
          </cell>
          <cell r="D1112" t="str">
            <v>4류 제2석유류(비수용성)</v>
          </cell>
          <cell r="E1112" t="str">
            <v>1000리터</v>
          </cell>
          <cell r="F1112">
            <v>2324</v>
          </cell>
        </row>
        <row r="1113">
          <cell r="B1113" t="str">
            <v>77-73-6</v>
          </cell>
          <cell r="C1113" t="str">
            <v>디사이클로펜타디엔</v>
          </cell>
          <cell r="D1113" t="str">
            <v>4류 제2석유류(비수용성)</v>
          </cell>
          <cell r="E1113" t="str">
            <v>1000리터</v>
          </cell>
          <cell r="F1113">
            <v>2048</v>
          </cell>
        </row>
        <row r="1114">
          <cell r="B1114" t="str">
            <v>77-74-7</v>
          </cell>
          <cell r="C1114" t="str">
            <v>메틸(3-)-3-펜탄올</v>
          </cell>
          <cell r="D1114" t="str">
            <v>4류 제2석유류(비수용성)</v>
          </cell>
          <cell r="E1114" t="str">
            <v>1000리터</v>
          </cell>
          <cell r="F1114">
            <v>1987</v>
          </cell>
        </row>
        <row r="1115">
          <cell r="B1115" t="str">
            <v>77-75-8</v>
          </cell>
          <cell r="C1115" t="str">
            <v>3-메틸-1-펜틴-3-올</v>
          </cell>
          <cell r="D1115" t="str">
            <v>4류 제2석유류(비수용성)</v>
          </cell>
          <cell r="E1115" t="str">
            <v>1000리터</v>
          </cell>
          <cell r="F1115">
            <v>1986</v>
          </cell>
        </row>
        <row r="1116">
          <cell r="B1116" t="str">
            <v>7785-26-4</v>
          </cell>
          <cell r="C1116" t="str">
            <v>피넨</v>
          </cell>
          <cell r="D1116" t="str">
            <v>4류 제2석유류(비수용성)</v>
          </cell>
          <cell r="E1116" t="str">
            <v>1000리터</v>
          </cell>
          <cell r="F1116">
            <v>2368</v>
          </cell>
        </row>
        <row r="1117">
          <cell r="B1117" t="str">
            <v>7785-70-8</v>
          </cell>
          <cell r="C1117" t="str">
            <v>피넨</v>
          </cell>
          <cell r="D1117" t="str">
            <v>4류 제2석유류(비수용성)</v>
          </cell>
          <cell r="E1117" t="str">
            <v>1000리터</v>
          </cell>
          <cell r="F1117">
            <v>2368</v>
          </cell>
        </row>
        <row r="1118">
          <cell r="B1118" t="str">
            <v>7787-20-4</v>
          </cell>
          <cell r="C1118" t="str">
            <v>펜콘(--)</v>
          </cell>
          <cell r="D1118" t="str">
            <v>4류 제2석유류(비수용성)</v>
          </cell>
          <cell r="E1118" t="str">
            <v>1000리터</v>
          </cell>
          <cell r="F1118">
            <v>1224</v>
          </cell>
        </row>
        <row r="1119">
          <cell r="B1119" t="str">
            <v>780-69-8</v>
          </cell>
          <cell r="C1119" t="str">
            <v>트리에톡시페닐실란</v>
          </cell>
          <cell r="D1119" t="str">
            <v>4류 제2석유류(비수용성)</v>
          </cell>
          <cell r="E1119" t="str">
            <v>1000리터</v>
          </cell>
          <cell r="F1119">
            <v>1993</v>
          </cell>
        </row>
        <row r="1120">
          <cell r="B1120" t="str">
            <v>78-07-9</v>
          </cell>
          <cell r="C1120" t="str">
            <v>에틸트리에톡시실란</v>
          </cell>
          <cell r="D1120" t="str">
            <v>4류 제2석유류(비수용성)</v>
          </cell>
          <cell r="E1120" t="str">
            <v>1000리터</v>
          </cell>
          <cell r="F1120">
            <v>1993</v>
          </cell>
        </row>
        <row r="1121">
          <cell r="B1121" t="str">
            <v>78-39-7</v>
          </cell>
          <cell r="C1121" t="str">
            <v>오소초산에틸</v>
          </cell>
          <cell r="D1121" t="str">
            <v>4류 제2석유류(비수용성)</v>
          </cell>
          <cell r="E1121" t="str">
            <v>1000리터</v>
          </cell>
          <cell r="F1121">
            <v>3272</v>
          </cell>
        </row>
        <row r="1122">
          <cell r="B1122" t="str">
            <v>78-76-2</v>
          </cell>
          <cell r="C1122" t="str">
            <v>2-브로모부탄</v>
          </cell>
          <cell r="D1122" t="str">
            <v>4류 제2석유류(비수용성)</v>
          </cell>
          <cell r="E1122" t="str">
            <v>1000리터</v>
          </cell>
          <cell r="F1122">
            <v>2339</v>
          </cell>
        </row>
        <row r="1123">
          <cell r="B1123" t="str">
            <v>78-83-1</v>
          </cell>
          <cell r="C1123" t="str">
            <v>이소부탄올</v>
          </cell>
          <cell r="D1123" t="str">
            <v>4류 제2석유류(비수용성)</v>
          </cell>
          <cell r="E1123" t="str">
            <v>1000리터</v>
          </cell>
          <cell r="F1123">
            <v>1212</v>
          </cell>
        </row>
        <row r="1124">
          <cell r="B1124" t="str">
            <v>78-92-2</v>
          </cell>
          <cell r="C1124" t="str">
            <v>sec-부탄올</v>
          </cell>
          <cell r="D1124" t="str">
            <v>4류 제2석유류(비수용성)</v>
          </cell>
          <cell r="E1124" t="str">
            <v>1000리터</v>
          </cell>
          <cell r="F1124">
            <v>1120</v>
          </cell>
        </row>
        <row r="1125">
          <cell r="B1125" t="str">
            <v>78-95-5</v>
          </cell>
          <cell r="C1125" t="str">
            <v>클로로아세톤</v>
          </cell>
          <cell r="D1125" t="str">
            <v>4류 제2석유류(비수용성)</v>
          </cell>
          <cell r="E1125" t="str">
            <v>1000리터</v>
          </cell>
          <cell r="F1125">
            <v>1695</v>
          </cell>
        </row>
        <row r="1126">
          <cell r="B1126" t="str">
            <v>79241-46-6</v>
          </cell>
          <cell r="C1126" t="str">
            <v>플루아지풉-p</v>
          </cell>
          <cell r="D1126" t="str">
            <v>4류 제2석유류(비수용성)</v>
          </cell>
          <cell r="E1126" t="str">
            <v>1000리터</v>
          </cell>
          <cell r="F1126">
            <v>1993</v>
          </cell>
        </row>
        <row r="1127">
          <cell r="B1127" t="str">
            <v>79265-30-8</v>
          </cell>
          <cell r="C1127" t="str">
            <v>2-(트리메틸실릴)티아졸</v>
          </cell>
          <cell r="D1127" t="str">
            <v>4류 제2석유류(비수용성)</v>
          </cell>
          <cell r="E1127" t="str">
            <v>1000리터</v>
          </cell>
          <cell r="F1127">
            <v>1993</v>
          </cell>
        </row>
        <row r="1128">
          <cell r="B1128" t="str">
            <v>79-46-9</v>
          </cell>
          <cell r="C1128" t="str">
            <v>2-니트로프로판</v>
          </cell>
          <cell r="D1128" t="str">
            <v>4류 제2석유류(비수용성)</v>
          </cell>
          <cell r="E1128" t="str">
            <v>1000리터</v>
          </cell>
          <cell r="F1128">
            <v>2608</v>
          </cell>
        </row>
        <row r="1129">
          <cell r="B1129" t="str">
            <v>80481-35-2</v>
          </cell>
          <cell r="C1129" t="str">
            <v>알루미늄계 커플링제</v>
          </cell>
          <cell r="D1129" t="str">
            <v>4류 제2석유류(비수용성)</v>
          </cell>
          <cell r="E1129" t="str">
            <v>1000리터</v>
          </cell>
          <cell r="F1129">
            <v>1993</v>
          </cell>
        </row>
        <row r="1130">
          <cell r="B1130" t="str">
            <v>815-57-6</v>
          </cell>
          <cell r="C1130" t="str">
            <v>메틸(3-)-2,4-,펜탄디온</v>
          </cell>
          <cell r="D1130" t="str">
            <v>4류 제2석유류(비수용성)</v>
          </cell>
          <cell r="E1130" t="str">
            <v>1000리터</v>
          </cell>
          <cell r="F1130">
            <v>1224</v>
          </cell>
        </row>
        <row r="1131">
          <cell r="B1131" t="str">
            <v>821-41-0</v>
          </cell>
          <cell r="C1131" t="str">
            <v>헥센(-5)-1-올</v>
          </cell>
          <cell r="D1131" t="str">
            <v>4류 제2석유류(비수용성)</v>
          </cell>
          <cell r="E1131" t="str">
            <v>1000리터</v>
          </cell>
          <cell r="F1131">
            <v>1987</v>
          </cell>
        </row>
        <row r="1132">
          <cell r="B1132" t="str">
            <v>821-55-6</v>
          </cell>
          <cell r="C1132" t="str">
            <v>노나논(2-)</v>
          </cell>
          <cell r="D1132" t="str">
            <v>4류 제2석유류(비수용성)</v>
          </cell>
          <cell r="E1132" t="str">
            <v>1000리터</v>
          </cell>
          <cell r="F1132">
            <v>1993</v>
          </cell>
        </row>
        <row r="1133">
          <cell r="B1133" t="str">
            <v>822-86-6</v>
          </cell>
          <cell r="C1133" t="str">
            <v>디클로로사이클로헥산</v>
          </cell>
          <cell r="D1133" t="str">
            <v>4류 제2석유류(비수용성)</v>
          </cell>
          <cell r="E1133" t="str">
            <v>1000리터</v>
          </cell>
          <cell r="F1133" t="str">
            <v/>
          </cell>
        </row>
        <row r="1134">
          <cell r="B1134" t="str">
            <v>868-57-5</v>
          </cell>
          <cell r="C1134" t="str">
            <v>메틸(디엘-2)부틸산메틸에스테르</v>
          </cell>
          <cell r="D1134" t="str">
            <v>4류 제2석유류(비수용성)</v>
          </cell>
          <cell r="E1134" t="str">
            <v>1000리터</v>
          </cell>
          <cell r="F1134">
            <v>3272</v>
          </cell>
        </row>
        <row r="1135">
          <cell r="B1135" t="str">
            <v>870-63-3</v>
          </cell>
          <cell r="C1135" t="str">
            <v>4-브로모-2-메틸-2-부텐</v>
          </cell>
          <cell r="D1135" t="str">
            <v>4류 제2석유류(비수용성)</v>
          </cell>
          <cell r="E1135" t="str">
            <v>1000리터</v>
          </cell>
          <cell r="F1135">
            <v>2920</v>
          </cell>
        </row>
        <row r="1136">
          <cell r="B1136" t="str">
            <v>872-05-9</v>
          </cell>
          <cell r="C1136" t="str">
            <v>데센</v>
          </cell>
          <cell r="D1136" t="str">
            <v>4류 제2석유류(비수용성)</v>
          </cell>
          <cell r="E1136" t="str">
            <v>1000리터</v>
          </cell>
          <cell r="F1136">
            <v>3295</v>
          </cell>
        </row>
        <row r="1137">
          <cell r="B1137" t="str">
            <v>872-31-1</v>
          </cell>
          <cell r="C1137" t="str">
            <v>3-브로모티오펜</v>
          </cell>
          <cell r="D1137" t="str">
            <v>4류 제2석유류(비수용성)</v>
          </cell>
          <cell r="E1137" t="str">
            <v>1000리터</v>
          </cell>
          <cell r="F1137">
            <v>1993</v>
          </cell>
        </row>
        <row r="1138">
          <cell r="B1138" t="str">
            <v>872-55-9</v>
          </cell>
          <cell r="C1138" t="str">
            <v>에틸티오펜</v>
          </cell>
          <cell r="D1138" t="str">
            <v>4류 제2석유류(비수용성)</v>
          </cell>
          <cell r="E1138" t="str">
            <v>1000리터</v>
          </cell>
          <cell r="F1138">
            <v>1993</v>
          </cell>
        </row>
        <row r="1139">
          <cell r="B1139" t="str">
            <v>873-66-5</v>
          </cell>
          <cell r="C1139" t="str">
            <v>메틸(트랜스-베타-)스티렌</v>
          </cell>
          <cell r="D1139" t="str">
            <v>4류 제2석유류(비수용성)</v>
          </cell>
          <cell r="E1139" t="str">
            <v>1000리터</v>
          </cell>
          <cell r="F1139">
            <v>2618</v>
          </cell>
        </row>
        <row r="1140">
          <cell r="B1140" t="str">
            <v>873-94-9</v>
          </cell>
          <cell r="C1140" t="str">
            <v>3,3,5-트리메틸사이클로헥사논</v>
          </cell>
          <cell r="D1140" t="str">
            <v>4류 제2석유류(비수용성)</v>
          </cell>
          <cell r="E1140" t="str">
            <v>1000리터</v>
          </cell>
          <cell r="F1140">
            <v>1993</v>
          </cell>
        </row>
        <row r="1141">
          <cell r="B1141" t="str">
            <v>874-63-5</v>
          </cell>
          <cell r="C1141" t="str">
            <v>디메틸아니솔</v>
          </cell>
          <cell r="D1141" t="str">
            <v>4류 제2석유류(비수용성)</v>
          </cell>
          <cell r="E1141" t="str">
            <v>1000리터</v>
          </cell>
          <cell r="F1141" t="str">
            <v/>
          </cell>
        </row>
        <row r="1142">
          <cell r="B1142" t="str">
            <v>88-16-4</v>
          </cell>
          <cell r="C1142" t="str">
            <v>o-클로로벤조트리플루오라이드</v>
          </cell>
          <cell r="D1142" t="str">
            <v>4류 제2석유류(비수용성)</v>
          </cell>
          <cell r="E1142" t="str">
            <v>1000리터</v>
          </cell>
          <cell r="F1142">
            <v>2234</v>
          </cell>
        </row>
        <row r="1143">
          <cell r="B1143" t="str">
            <v>89343-06-6</v>
          </cell>
          <cell r="C1143" t="str">
            <v>트리이소프로필실릴)아세틸렌</v>
          </cell>
          <cell r="D1143" t="str">
            <v>4류 제2석유류(비수용성)</v>
          </cell>
          <cell r="E1143" t="str">
            <v>1000리터</v>
          </cell>
          <cell r="F1143">
            <v>1993</v>
          </cell>
        </row>
        <row r="1144">
          <cell r="B1144" t="str">
            <v>89-91-8</v>
          </cell>
          <cell r="C1144" t="str">
            <v>디메톡시아세트산메틸에스테르</v>
          </cell>
          <cell r="D1144" t="str">
            <v>4류 제2석유류(비수용성)</v>
          </cell>
          <cell r="E1144" t="str">
            <v>1000리터</v>
          </cell>
          <cell r="F1144" t="str">
            <v/>
          </cell>
        </row>
        <row r="1145">
          <cell r="B1145" t="str">
            <v>91-17-8</v>
          </cell>
          <cell r="C1145" t="str">
            <v>데카인</v>
          </cell>
          <cell r="D1145" t="str">
            <v>4류 제2석유류(비수용성)</v>
          </cell>
          <cell r="E1145" t="str">
            <v>1000리터</v>
          </cell>
          <cell r="F1145">
            <v>1147</v>
          </cell>
        </row>
        <row r="1146">
          <cell r="B1146" t="str">
            <v>925-78-0</v>
          </cell>
          <cell r="C1146" t="str">
            <v>노나논(3-)</v>
          </cell>
          <cell r="D1146" t="str">
            <v>4류 제2석유류(비수용성)</v>
          </cell>
          <cell r="E1146" t="str">
            <v>1000리터</v>
          </cell>
          <cell r="F1146">
            <v>1993</v>
          </cell>
        </row>
        <row r="1147">
          <cell r="B1147" t="str">
            <v>926-57-8</v>
          </cell>
          <cell r="C1147" t="str">
            <v>디클로로(1,3-)-2-부텐</v>
          </cell>
          <cell r="D1147" t="str">
            <v>4류 제2석유류(비수용성)</v>
          </cell>
          <cell r="E1147" t="str">
            <v>1000리터</v>
          </cell>
          <cell r="F1147">
            <v>1993</v>
          </cell>
        </row>
        <row r="1148">
          <cell r="B1148" t="str">
            <v>926-64-7</v>
          </cell>
          <cell r="C1148" t="str">
            <v>디메틸아미노아세토니트릴</v>
          </cell>
          <cell r="D1148" t="str">
            <v>4류 제2석유류(비수용성)</v>
          </cell>
          <cell r="E1148" t="str">
            <v>1000리터</v>
          </cell>
          <cell r="F1148">
            <v>2378</v>
          </cell>
        </row>
        <row r="1149">
          <cell r="B1149" t="str">
            <v>927-74-2</v>
          </cell>
          <cell r="C1149" t="str">
            <v>부틸알데히드</v>
          </cell>
          <cell r="D1149" t="str">
            <v>4류 제2석유류(비수용성)</v>
          </cell>
          <cell r="E1149" t="str">
            <v>1000리터</v>
          </cell>
          <cell r="F1149">
            <v>1986</v>
          </cell>
        </row>
        <row r="1150">
          <cell r="B1150" t="str">
            <v>928-80-3</v>
          </cell>
          <cell r="C1150" t="str">
            <v>데카논(3-)</v>
          </cell>
          <cell r="D1150" t="str">
            <v>4류 제2석유류(비수용성)</v>
          </cell>
          <cell r="E1150" t="str">
            <v>1000리터</v>
          </cell>
          <cell r="F1150">
            <v>1993</v>
          </cell>
        </row>
        <row r="1151">
          <cell r="B1151" t="str">
            <v>928-90-5</v>
          </cell>
          <cell r="C1151" t="str">
            <v>헥신(5-)-1-올</v>
          </cell>
          <cell r="D1151" t="str">
            <v>4류 제2석유류(비수용성)</v>
          </cell>
          <cell r="E1151" t="str">
            <v>1000리터</v>
          </cell>
          <cell r="F1151" t="str">
            <v/>
          </cell>
        </row>
        <row r="1152">
          <cell r="B1152" t="str">
            <v>928-91-6</v>
          </cell>
          <cell r="C1152" t="str">
            <v>헥센(시스-4)-1-올</v>
          </cell>
          <cell r="D1152" t="str">
            <v>4류 제2석유류(비수용성)</v>
          </cell>
          <cell r="E1152" t="str">
            <v>1000리터</v>
          </cell>
          <cell r="F1152">
            <v>1993</v>
          </cell>
        </row>
        <row r="1153">
          <cell r="B1153" t="str">
            <v>928-94-9</v>
          </cell>
          <cell r="C1153" t="str">
            <v>헥센(시스-2)-1-올</v>
          </cell>
          <cell r="D1153" t="str">
            <v>4류 제2석유류(비수용성)</v>
          </cell>
          <cell r="E1153" t="str">
            <v>1000리터</v>
          </cell>
          <cell r="F1153">
            <v>1987</v>
          </cell>
        </row>
        <row r="1154">
          <cell r="B1154" t="str">
            <v>928-95-0</v>
          </cell>
          <cell r="C1154" t="str">
            <v>헥센(트란스-2)-1-올</v>
          </cell>
          <cell r="D1154" t="str">
            <v>4류 제2석유류(비수용성)</v>
          </cell>
          <cell r="E1154" t="str">
            <v>1000리터</v>
          </cell>
          <cell r="F1154">
            <v>1987</v>
          </cell>
        </row>
        <row r="1155">
          <cell r="B1155" t="str">
            <v>928-96-1</v>
          </cell>
          <cell r="C1155" t="str">
            <v>시스헥세놀</v>
          </cell>
          <cell r="D1155" t="str">
            <v>4류 제2석유류(비수용성)</v>
          </cell>
          <cell r="E1155" t="str">
            <v>1000리터</v>
          </cell>
          <cell r="F1155">
            <v>1987</v>
          </cell>
        </row>
        <row r="1156">
          <cell r="B1156" t="str">
            <v>930-30-3</v>
          </cell>
          <cell r="C1156" t="str">
            <v>시클로펜텐온</v>
          </cell>
          <cell r="D1156" t="str">
            <v>4류 제2석유류(비수용성)</v>
          </cell>
          <cell r="E1156" t="str">
            <v>1000리터</v>
          </cell>
          <cell r="F1156">
            <v>1224</v>
          </cell>
        </row>
        <row r="1157">
          <cell r="B1157" t="str">
            <v>931-88-4</v>
          </cell>
          <cell r="C1157" t="str">
            <v>시클로옥텐</v>
          </cell>
          <cell r="D1157" t="str">
            <v>4류 제2석유류(비수용성)</v>
          </cell>
          <cell r="E1157" t="str">
            <v>1000리터</v>
          </cell>
          <cell r="F1157">
            <v>3295</v>
          </cell>
        </row>
        <row r="1158">
          <cell r="B1158" t="str">
            <v>933-40-4</v>
          </cell>
          <cell r="C1158" t="str">
            <v>사이클로헥사논 디메틸 아세탈</v>
          </cell>
          <cell r="D1158" t="str">
            <v>4류 제2석유류(비수용성)</v>
          </cell>
          <cell r="E1158" t="str">
            <v>1000리터</v>
          </cell>
          <cell r="F1158">
            <v>1993</v>
          </cell>
        </row>
        <row r="1159">
          <cell r="B1159" t="str">
            <v>93343-10-3</v>
          </cell>
          <cell r="C1159" t="str">
            <v>3,5-디플루오로아니솔</v>
          </cell>
          <cell r="D1159" t="str">
            <v>4류 제2석유류(비수용성)</v>
          </cell>
          <cell r="E1159" t="str">
            <v>1000리터</v>
          </cell>
          <cell r="F1159">
            <v>1993</v>
          </cell>
        </row>
        <row r="1160">
          <cell r="B1160" t="str">
            <v>936-52-7</v>
          </cell>
          <cell r="C1160" t="str">
            <v>시클로펜텐-1-일모르폴린</v>
          </cell>
          <cell r="D1160" t="str">
            <v>4류 제2석유류(비수용성)</v>
          </cell>
          <cell r="E1160" t="str">
            <v>1000리터</v>
          </cell>
          <cell r="F1160">
            <v>1993</v>
          </cell>
        </row>
        <row r="1161">
          <cell r="B1161" t="str">
            <v>94-04-2</v>
          </cell>
          <cell r="C1161" t="str">
            <v>에틸헥사노일산비닐에스테르</v>
          </cell>
          <cell r="D1161" t="str">
            <v>4류 제2석유류(비수용성)</v>
          </cell>
          <cell r="E1161" t="str">
            <v>1000리터</v>
          </cell>
          <cell r="F1161" t="str">
            <v/>
          </cell>
        </row>
        <row r="1162">
          <cell r="B1162" t="str">
            <v>95-13-6</v>
          </cell>
          <cell r="C1162" t="str">
            <v>인딘</v>
          </cell>
          <cell r="D1162" t="str">
            <v>4류 제2석유류(비수용성)</v>
          </cell>
          <cell r="E1162" t="str">
            <v>1000리터</v>
          </cell>
          <cell r="F1162">
            <v>3295</v>
          </cell>
        </row>
        <row r="1163">
          <cell r="B1163" t="str">
            <v>95-49-8</v>
          </cell>
          <cell r="C1163" t="str">
            <v>o-클로로톨루엔</v>
          </cell>
          <cell r="D1163" t="str">
            <v>4류 제2석유류(비수용성)</v>
          </cell>
          <cell r="E1163" t="str">
            <v>1000리터</v>
          </cell>
          <cell r="F1163">
            <v>2238</v>
          </cell>
        </row>
        <row r="1164">
          <cell r="B1164" t="str">
            <v>95-50-1</v>
          </cell>
          <cell r="C1164" t="str">
            <v>o-디클로로벤젠</v>
          </cell>
          <cell r="D1164" t="str">
            <v>4류 제2석유류(비수용성)</v>
          </cell>
          <cell r="E1164" t="str">
            <v>1000리터</v>
          </cell>
          <cell r="F1164">
            <v>1591</v>
          </cell>
        </row>
        <row r="1165">
          <cell r="B1165" t="str">
            <v>95-63-6</v>
          </cell>
          <cell r="C1165" t="str">
            <v>수도큐멘</v>
          </cell>
          <cell r="D1165" t="str">
            <v>4류 제2석유류(비수용성)</v>
          </cell>
          <cell r="E1165" t="str">
            <v>1000리터</v>
          </cell>
          <cell r="F1165">
            <v>3295</v>
          </cell>
        </row>
        <row r="1166">
          <cell r="B1166" t="str">
            <v>95-72-7</v>
          </cell>
          <cell r="C1166" t="str">
            <v>클로로(2-)파라크실렌</v>
          </cell>
          <cell r="D1166" t="str">
            <v>4류 제2석유류(비수용성)</v>
          </cell>
          <cell r="E1166" t="str">
            <v>1000리터</v>
          </cell>
          <cell r="F1166">
            <v>1993</v>
          </cell>
        </row>
        <row r="1167">
          <cell r="B1167" t="str">
            <v>96-05-9</v>
          </cell>
          <cell r="C1167" t="str">
            <v>알릴메타크릴레이트</v>
          </cell>
          <cell r="D1167" t="str">
            <v>4류 제2석유류(비수용성)</v>
          </cell>
          <cell r="E1167" t="str">
            <v>1000리터</v>
          </cell>
          <cell r="F1167">
            <v>2929</v>
          </cell>
        </row>
        <row r="1168">
          <cell r="B1168" t="str">
            <v>96-21-9</v>
          </cell>
          <cell r="C1168" t="str">
            <v>브로모(1,3-)-2-프로판올</v>
          </cell>
          <cell r="D1168" t="str">
            <v>4류 제2석유류(비수용성)</v>
          </cell>
          <cell r="E1168" t="str">
            <v>1000리터</v>
          </cell>
          <cell r="F1168">
            <v>1987</v>
          </cell>
        </row>
        <row r="1169">
          <cell r="B1169" t="str">
            <v>96-32-2</v>
          </cell>
          <cell r="C1169" t="str">
            <v>메틸브로모아세드산</v>
          </cell>
          <cell r="D1169" t="str">
            <v>4류 제2석유류(비수용성)</v>
          </cell>
          <cell r="E1169" t="str">
            <v>1000리터</v>
          </cell>
          <cell r="F1169">
            <v>2643</v>
          </cell>
        </row>
        <row r="1170">
          <cell r="B1170" t="str">
            <v>96-34-4</v>
          </cell>
          <cell r="C1170" t="str">
            <v>모노클로로아세트산메틸</v>
          </cell>
          <cell r="D1170" t="str">
            <v>4류 제2석유류(비수용성)</v>
          </cell>
          <cell r="E1170" t="str">
            <v>1000리터</v>
          </cell>
          <cell r="F1170">
            <v>2295</v>
          </cell>
        </row>
        <row r="1171">
          <cell r="B1171" t="str">
            <v>96-41-3</v>
          </cell>
          <cell r="C1171" t="str">
            <v>사이클로펜타놀</v>
          </cell>
          <cell r="D1171" t="str">
            <v>4류 제2석유류(비수용성)</v>
          </cell>
          <cell r="E1171" t="str">
            <v>1000리터</v>
          </cell>
          <cell r="F1171">
            <v>2244</v>
          </cell>
        </row>
        <row r="1172">
          <cell r="B1172" t="str">
            <v>96-43-5</v>
          </cell>
          <cell r="C1172" t="str">
            <v>클로로(2-)티오펜</v>
          </cell>
          <cell r="D1172" t="str">
            <v>4류 제2석유류(비수용성)</v>
          </cell>
          <cell r="E1172" t="str">
            <v>1000리터</v>
          </cell>
          <cell r="F1172">
            <v>1992</v>
          </cell>
        </row>
        <row r="1173">
          <cell r="B1173" t="str">
            <v>97-72-3</v>
          </cell>
          <cell r="C1173" t="str">
            <v>무수이소부틸산</v>
          </cell>
          <cell r="D1173" t="str">
            <v>4류 제2석유류(비수용성)</v>
          </cell>
          <cell r="E1173" t="str">
            <v>1000리터</v>
          </cell>
          <cell r="F1173">
            <v>1993</v>
          </cell>
        </row>
        <row r="1174">
          <cell r="B1174" t="str">
            <v>97-85-8</v>
          </cell>
          <cell r="C1174" t="str">
            <v>이소부틸산이소부틸에스테르</v>
          </cell>
          <cell r="D1174" t="str">
            <v>4류 제2석유류(비수용성)</v>
          </cell>
          <cell r="E1174" t="str">
            <v>1000리터</v>
          </cell>
          <cell r="F1174">
            <v>2528</v>
          </cell>
        </row>
        <row r="1175">
          <cell r="B1175" t="str">
            <v>97-86-9</v>
          </cell>
          <cell r="C1175" t="str">
            <v>메타크릴산 i-부틸</v>
          </cell>
          <cell r="D1175" t="str">
            <v>4류 제2석유류(비수용성)</v>
          </cell>
          <cell r="E1175" t="str">
            <v>1000리터</v>
          </cell>
          <cell r="F1175">
            <v>2283</v>
          </cell>
        </row>
        <row r="1176">
          <cell r="B1176" t="str">
            <v>97-87-0</v>
          </cell>
          <cell r="C1176" t="str">
            <v>부틸 이소부틸레이트</v>
          </cell>
          <cell r="D1176" t="str">
            <v>4류 제2석유류(비수용성)</v>
          </cell>
          <cell r="E1176" t="str">
            <v>1000리터</v>
          </cell>
          <cell r="F1176">
            <v>3272</v>
          </cell>
        </row>
        <row r="1177">
          <cell r="B1177" t="str">
            <v>97-88-1</v>
          </cell>
          <cell r="C1177" t="str">
            <v>메타크릴산 n-부틸</v>
          </cell>
          <cell r="D1177" t="str">
            <v>4류 제2석유류(비수용성)</v>
          </cell>
          <cell r="E1177" t="str">
            <v>1000리터</v>
          </cell>
          <cell r="F1177">
            <v>2227</v>
          </cell>
        </row>
        <row r="1178">
          <cell r="B1178" t="str">
            <v>97-95-0</v>
          </cell>
          <cell r="C1178" t="str">
            <v>에틸부탄올</v>
          </cell>
          <cell r="D1178" t="str">
            <v>4류 제2석유류(비수용성)</v>
          </cell>
          <cell r="E1178" t="str">
            <v>1000리터</v>
          </cell>
          <cell r="F1178">
            <v>2275</v>
          </cell>
        </row>
        <row r="1179">
          <cell r="B1179" t="str">
            <v>97-97-2</v>
          </cell>
          <cell r="C1179" t="str">
            <v>디메틸클로로아세탈</v>
          </cell>
          <cell r="D1179" t="str">
            <v>4류 제2석유류(비수용성)</v>
          </cell>
          <cell r="E1179" t="str">
            <v>1000리터</v>
          </cell>
          <cell r="F1179">
            <v>1989</v>
          </cell>
        </row>
        <row r="1180">
          <cell r="B1180" t="str">
            <v>98-06-6</v>
          </cell>
          <cell r="C1180" t="str">
            <v>부틸(3차)벤젠</v>
          </cell>
          <cell r="D1180" t="str">
            <v>4류 제2석유류(비수용성)</v>
          </cell>
          <cell r="E1180" t="str">
            <v>1000리터</v>
          </cell>
          <cell r="F1180">
            <v>2709</v>
          </cell>
        </row>
        <row r="1181">
          <cell r="B1181" t="str">
            <v>98-15-7</v>
          </cell>
          <cell r="C1181" t="str">
            <v>m-클로로벤조트리플루오라이드</v>
          </cell>
          <cell r="D1181" t="str">
            <v>4류 제2석유류(비수용성)</v>
          </cell>
          <cell r="E1181" t="str">
            <v>1000리터</v>
          </cell>
          <cell r="F1181">
            <v>2234</v>
          </cell>
        </row>
        <row r="1182">
          <cell r="B1182" t="str">
            <v>98-19-1</v>
          </cell>
          <cell r="C1182" t="str">
            <v>부틸메타크실렌</v>
          </cell>
          <cell r="D1182" t="str">
            <v>4류 제2석유류(비수용성)</v>
          </cell>
          <cell r="E1182" t="str">
            <v>1000리터</v>
          </cell>
          <cell r="F1182" t="str">
            <v/>
          </cell>
        </row>
        <row r="1183">
          <cell r="B1183" t="str">
            <v>98-51-1</v>
          </cell>
          <cell r="C1183" t="str">
            <v>부틸(1-3차)메틸벤젠(4-)</v>
          </cell>
          <cell r="D1183" t="str">
            <v>4류 제2석유류(비수용성)</v>
          </cell>
          <cell r="E1183" t="str">
            <v>1000리터</v>
          </cell>
          <cell r="F1183">
            <v>1993</v>
          </cell>
        </row>
        <row r="1184">
          <cell r="B1184" t="str">
            <v>98-56-6</v>
          </cell>
          <cell r="C1184" t="str">
            <v>p-클로로벤조트리플루오라이드</v>
          </cell>
          <cell r="D1184" t="str">
            <v>4류 제2석유류(비수용성)</v>
          </cell>
          <cell r="E1184" t="str">
            <v>1000리터</v>
          </cell>
          <cell r="F1184">
            <v>2234</v>
          </cell>
        </row>
        <row r="1185">
          <cell r="B1185" t="str">
            <v>98-82-8</v>
          </cell>
          <cell r="C1185" t="str">
            <v>큐멘</v>
          </cell>
          <cell r="D1185" t="str">
            <v>4류 제2석유류(비수용성)</v>
          </cell>
          <cell r="E1185" t="str">
            <v>1000리터</v>
          </cell>
          <cell r="F1185">
            <v>1918</v>
          </cell>
        </row>
        <row r="1186">
          <cell r="B1186" t="str">
            <v>98-83-9</v>
          </cell>
          <cell r="C1186" t="str">
            <v>α-메틸스티렌</v>
          </cell>
          <cell r="D1186" t="str">
            <v>4류 제2석유류(비수용성)</v>
          </cell>
          <cell r="E1186" t="str">
            <v>1000리터</v>
          </cell>
          <cell r="F1186">
            <v>2303</v>
          </cell>
        </row>
        <row r="1187">
          <cell r="B1187" t="str">
            <v>98-94-2</v>
          </cell>
          <cell r="C1187" t="str">
            <v>디메틸시클로헥실아민</v>
          </cell>
          <cell r="D1187" t="str">
            <v>4류 제2석유류(비수용성)</v>
          </cell>
          <cell r="E1187" t="str">
            <v>1000리터</v>
          </cell>
          <cell r="F1187">
            <v>2264</v>
          </cell>
        </row>
        <row r="1188">
          <cell r="B1188" t="str">
            <v>996-70-3</v>
          </cell>
          <cell r="C1188" t="str">
            <v>테트라키스(디메틸아미노)에틸렌</v>
          </cell>
          <cell r="D1188" t="str">
            <v>4류 제2석유류(비수용성)</v>
          </cell>
          <cell r="E1188" t="str">
            <v>1000리터</v>
          </cell>
          <cell r="F1188">
            <v>2734</v>
          </cell>
        </row>
        <row r="1189">
          <cell r="B1189" t="str">
            <v>998-30-1</v>
          </cell>
          <cell r="C1189" t="str">
            <v>트리에톡시실란</v>
          </cell>
          <cell r="D1189" t="str">
            <v>4류 제2석유류(비수용성)</v>
          </cell>
          <cell r="E1189" t="str">
            <v>1000리터</v>
          </cell>
          <cell r="F1189">
            <v>3384</v>
          </cell>
        </row>
        <row r="1190">
          <cell r="B1190" t="str">
            <v>99-87-6</v>
          </cell>
          <cell r="C1190" t="str">
            <v>파라시멘</v>
          </cell>
          <cell r="D1190" t="str">
            <v>4류 제2석유류(비수용성)</v>
          </cell>
          <cell r="E1190" t="str">
            <v>1000리터</v>
          </cell>
          <cell r="F1190">
            <v>2046</v>
          </cell>
        </row>
        <row r="1191">
          <cell r="B1191" t="str">
            <v>NA</v>
          </cell>
          <cell r="C1191" t="str">
            <v>(R)-(？)-에피클로로히드린</v>
          </cell>
          <cell r="D1191" t="str">
            <v>4류 제2석유류(비수용성)</v>
          </cell>
          <cell r="E1191" t="str">
            <v>1000리터</v>
          </cell>
          <cell r="F1191" t="str">
            <v/>
          </cell>
        </row>
        <row r="1192">
          <cell r="B1192" t="str">
            <v>100-37-8</v>
          </cell>
          <cell r="C1192" t="str">
            <v>디에틸아미노에탄올</v>
          </cell>
          <cell r="D1192" t="str">
            <v>4류 제2석유류(수용성)</v>
          </cell>
          <cell r="E1192" t="str">
            <v>2000리터</v>
          </cell>
          <cell r="F1192">
            <v>2686</v>
          </cell>
        </row>
        <row r="1193">
          <cell r="B1193" t="str">
            <v>100-46-9</v>
          </cell>
          <cell r="C1193" t="str">
            <v>벤질아민</v>
          </cell>
          <cell r="D1193" t="str">
            <v>4류 제2석유류(수용성)</v>
          </cell>
          <cell r="E1193" t="str">
            <v>2000리터</v>
          </cell>
          <cell r="F1193">
            <v>2735</v>
          </cell>
        </row>
        <row r="1194">
          <cell r="B1194" t="str">
            <v>104-78-9</v>
          </cell>
          <cell r="C1194" t="str">
            <v>3-(디에틸아미노)프로필아민</v>
          </cell>
          <cell r="D1194" t="str">
            <v>4류 제2석유류(수용성)</v>
          </cell>
          <cell r="E1194" t="str">
            <v>2000리터</v>
          </cell>
          <cell r="F1194">
            <v>2684</v>
          </cell>
        </row>
        <row r="1195">
          <cell r="B1195" t="str">
            <v>107-07-3</v>
          </cell>
          <cell r="C1195" t="str">
            <v>에틸렌 클로로히드린</v>
          </cell>
          <cell r="D1195" t="str">
            <v>4류 제2석유류(수용성)</v>
          </cell>
          <cell r="E1195" t="str">
            <v>2000리터</v>
          </cell>
          <cell r="F1195">
            <v>1135</v>
          </cell>
        </row>
        <row r="1196">
          <cell r="B1196" t="str">
            <v>107-15-3</v>
          </cell>
          <cell r="C1196" t="str">
            <v>에틸렌디아민</v>
          </cell>
          <cell r="D1196" t="str">
            <v>4류 제2석유류(수용성)</v>
          </cell>
          <cell r="E1196" t="str">
            <v>2000리터</v>
          </cell>
          <cell r="F1196">
            <v>1604</v>
          </cell>
        </row>
        <row r="1197">
          <cell r="B1197" t="str">
            <v>107-18-6</v>
          </cell>
          <cell r="C1197" t="str">
            <v>알릴알코올</v>
          </cell>
          <cell r="D1197" t="str">
            <v>4류 제2석유류(수용성)</v>
          </cell>
          <cell r="E1197" t="str">
            <v>2000리터</v>
          </cell>
          <cell r="F1197">
            <v>1098</v>
          </cell>
        </row>
        <row r="1198">
          <cell r="B1198" t="str">
            <v>107-20-0</v>
          </cell>
          <cell r="C1198" t="str">
            <v>모노클로로아세트알데히드</v>
          </cell>
          <cell r="D1198" t="str">
            <v>4류 제2석유류(수용성)</v>
          </cell>
          <cell r="E1198" t="str">
            <v>2000리터</v>
          </cell>
          <cell r="F1198">
            <v>2232</v>
          </cell>
        </row>
        <row r="1199">
          <cell r="B1199" t="str">
            <v>107-98-2</v>
          </cell>
          <cell r="C1199" t="str">
            <v>프로필렌글리콜 모노메틸에테르</v>
          </cell>
          <cell r="D1199" t="str">
            <v>4류 제2석유류(수용성)</v>
          </cell>
          <cell r="E1199" t="str">
            <v>2000리터</v>
          </cell>
          <cell r="F1199">
            <v>3092</v>
          </cell>
        </row>
        <row r="1200">
          <cell r="B1200" t="str">
            <v>108-01-0</v>
          </cell>
          <cell r="C1200" t="str">
            <v>N,N-디메틸아미노에탄올</v>
          </cell>
          <cell r="D1200" t="str">
            <v>4류 제2석유류(수용성)</v>
          </cell>
          <cell r="E1200" t="str">
            <v>2000리터</v>
          </cell>
          <cell r="F1200">
            <v>2051</v>
          </cell>
        </row>
        <row r="1201">
          <cell r="B1201" t="str">
            <v>108-89-4</v>
          </cell>
          <cell r="C1201" t="str">
            <v>γ-피콜린</v>
          </cell>
          <cell r="D1201" t="str">
            <v>4류 제2석유류(수용성)</v>
          </cell>
          <cell r="E1201" t="str">
            <v>2000리터</v>
          </cell>
          <cell r="F1201">
            <v>1992</v>
          </cell>
        </row>
        <row r="1202">
          <cell r="B1202" t="str">
            <v>108-91-8</v>
          </cell>
          <cell r="C1202" t="str">
            <v>시클로헥실아민</v>
          </cell>
          <cell r="D1202" t="str">
            <v>4류 제2석유류(수용성)</v>
          </cell>
          <cell r="E1202" t="str">
            <v>2000리터</v>
          </cell>
          <cell r="F1202">
            <v>2357</v>
          </cell>
        </row>
        <row r="1203">
          <cell r="B1203" t="str">
            <v>108-99-6</v>
          </cell>
          <cell r="C1203" t="str">
            <v>β-피콜린</v>
          </cell>
          <cell r="D1203" t="str">
            <v>4류 제2석유류(수용성)</v>
          </cell>
          <cell r="E1203" t="str">
            <v>2000리터</v>
          </cell>
          <cell r="F1203">
            <v>2313</v>
          </cell>
        </row>
        <row r="1204">
          <cell r="B1204" t="str">
            <v>109-01-3</v>
          </cell>
          <cell r="C1204" t="str">
            <v>N-메틸피페라진</v>
          </cell>
          <cell r="D1204" t="str">
            <v>4류 제2석유류(수용성)</v>
          </cell>
          <cell r="E1204" t="str">
            <v>2000리터</v>
          </cell>
          <cell r="F1204">
            <v>2734</v>
          </cell>
        </row>
        <row r="1205">
          <cell r="B1205" t="str">
            <v>109-06-8</v>
          </cell>
          <cell r="C1205" t="str">
            <v>α-피콜린</v>
          </cell>
          <cell r="D1205" t="str">
            <v>4류 제2석유류(수용성)</v>
          </cell>
          <cell r="E1205" t="str">
            <v>2000리터</v>
          </cell>
          <cell r="F1205">
            <v>2313</v>
          </cell>
        </row>
        <row r="1206">
          <cell r="B1206" t="str">
            <v>109-08-0</v>
          </cell>
          <cell r="C1206" t="str">
            <v>메틸피라진</v>
          </cell>
          <cell r="D1206" t="str">
            <v>4류 제2석유류(수용성)</v>
          </cell>
          <cell r="E1206" t="str">
            <v>2000리터</v>
          </cell>
          <cell r="F1206">
            <v>1993</v>
          </cell>
        </row>
        <row r="1207">
          <cell r="B1207" t="str">
            <v>109-55-7</v>
          </cell>
          <cell r="C1207" t="str">
            <v>3-(디메틸아미노)프로필아민</v>
          </cell>
          <cell r="D1207" t="str">
            <v>4류 제2석유류(수용성)</v>
          </cell>
          <cell r="E1207" t="str">
            <v>2000리터</v>
          </cell>
          <cell r="F1207">
            <v>2734</v>
          </cell>
        </row>
        <row r="1208">
          <cell r="B1208" t="str">
            <v>109-76-2</v>
          </cell>
          <cell r="C1208" t="str">
            <v>1,3-디아미노프로판</v>
          </cell>
          <cell r="D1208" t="str">
            <v>4류 제2석유류(수용성)</v>
          </cell>
          <cell r="E1208" t="str">
            <v>2000리터</v>
          </cell>
          <cell r="F1208">
            <v>2922</v>
          </cell>
        </row>
        <row r="1209">
          <cell r="B1209" t="str">
            <v>109-86-4</v>
          </cell>
          <cell r="C1209" t="str">
            <v>2-메톡시 에탄올</v>
          </cell>
          <cell r="D1209" t="str">
            <v>4류 제2석유류(수용성)</v>
          </cell>
          <cell r="E1209" t="str">
            <v>2000리터</v>
          </cell>
          <cell r="F1209">
            <v>1188</v>
          </cell>
        </row>
        <row r="1210">
          <cell r="B1210" t="str">
            <v>110-45-2</v>
          </cell>
          <cell r="C1210" t="str">
            <v>포름산이소아밀</v>
          </cell>
          <cell r="D1210" t="str">
            <v>4류 제2석유류(수용성)</v>
          </cell>
          <cell r="E1210" t="str">
            <v>2000리터</v>
          </cell>
          <cell r="F1210">
            <v>1109</v>
          </cell>
        </row>
        <row r="1211">
          <cell r="B1211" t="str">
            <v>110-60-1</v>
          </cell>
          <cell r="C1211" t="str">
            <v>1,4-디아미노부탄</v>
          </cell>
          <cell r="D1211" t="str">
            <v>4류 제2석유류(수용성)</v>
          </cell>
          <cell r="E1211" t="str">
            <v>2000리터</v>
          </cell>
          <cell r="F1211">
            <v>2734</v>
          </cell>
        </row>
        <row r="1212">
          <cell r="B1212" t="str">
            <v>110-72-5</v>
          </cell>
          <cell r="C1212" t="str">
            <v>에틸에틸렌디아민</v>
          </cell>
          <cell r="D1212" t="str">
            <v>4류 제2석유류(수용성)</v>
          </cell>
          <cell r="E1212" t="str">
            <v>2000리터</v>
          </cell>
          <cell r="F1212">
            <v>2734</v>
          </cell>
        </row>
        <row r="1213">
          <cell r="B1213" t="str">
            <v>110-80-5</v>
          </cell>
          <cell r="C1213" t="str">
            <v>에틸글르콜</v>
          </cell>
          <cell r="D1213" t="str">
            <v>4류 제2석유류(수용성)</v>
          </cell>
          <cell r="E1213" t="str">
            <v>2000리터</v>
          </cell>
          <cell r="F1213">
            <v>1171</v>
          </cell>
        </row>
        <row r="1214">
          <cell r="B1214" t="str">
            <v>110-95-2</v>
          </cell>
          <cell r="C1214" t="str">
            <v>테트라메틸-1,3-디아미노프로판</v>
          </cell>
          <cell r="D1214" t="str">
            <v>4류 제2석유류(수용성)</v>
          </cell>
          <cell r="E1214" t="str">
            <v>2000리터</v>
          </cell>
          <cell r="F1214">
            <v>2733</v>
          </cell>
        </row>
        <row r="1215">
          <cell r="B1215" t="str">
            <v>111-45-5</v>
          </cell>
          <cell r="C1215" t="str">
            <v>에틸렌글리콜 모노알릴 에테르</v>
          </cell>
          <cell r="D1215" t="str">
            <v>4류 제2석유류(수용성)</v>
          </cell>
          <cell r="E1215" t="str">
            <v>2000리터</v>
          </cell>
          <cell r="F1215">
            <v>1993</v>
          </cell>
        </row>
        <row r="1216">
          <cell r="B1216" t="str">
            <v>111-76-2</v>
          </cell>
          <cell r="C1216" t="str">
            <v>에틸렌글리콜모노부틸에테르</v>
          </cell>
          <cell r="D1216" t="str">
            <v>4류 제2석유류(수용성)</v>
          </cell>
          <cell r="E1216" t="str">
            <v>2000리터</v>
          </cell>
          <cell r="F1216">
            <v>1993</v>
          </cell>
        </row>
        <row r="1217">
          <cell r="B1217" t="str">
            <v>111-96-6</v>
          </cell>
          <cell r="C1217" t="str">
            <v>디에틸렌글리콜 디메틸에테르</v>
          </cell>
          <cell r="D1217" t="str">
            <v>4류 제2석유류(수용성)</v>
          </cell>
          <cell r="E1217" t="str">
            <v>2000리터</v>
          </cell>
          <cell r="F1217">
            <v>3271</v>
          </cell>
        </row>
        <row r="1218">
          <cell r="B1218" t="str">
            <v>123-32-0</v>
          </cell>
          <cell r="C1218" t="str">
            <v>2,5-디메틸피라진</v>
          </cell>
          <cell r="D1218" t="str">
            <v>4류 제2석유류(수용성)</v>
          </cell>
          <cell r="E1218" t="str">
            <v>2000리터</v>
          </cell>
          <cell r="F1218">
            <v>1993</v>
          </cell>
        </row>
        <row r="1219">
          <cell r="B1219" t="str">
            <v>123-42-2</v>
          </cell>
          <cell r="C1219" t="str">
            <v>디아세톤 알코올</v>
          </cell>
          <cell r="D1219" t="str">
            <v>4류 제2석유류(수용성)</v>
          </cell>
          <cell r="E1219" t="str">
            <v>2000리터</v>
          </cell>
          <cell r="F1219">
            <v>1148</v>
          </cell>
        </row>
        <row r="1220">
          <cell r="B1220" t="str">
            <v>127-19-5</v>
          </cell>
          <cell r="C1220" t="str">
            <v>N,N-디메틸아세트아미드</v>
          </cell>
          <cell r="D1220" t="str">
            <v>4류 제2석유류(수용성)</v>
          </cell>
          <cell r="E1220" t="str">
            <v>2000리터</v>
          </cell>
          <cell r="F1220" t="str">
            <v/>
          </cell>
        </row>
        <row r="1221">
          <cell r="B1221" t="str">
            <v>2110-78-3</v>
          </cell>
          <cell r="C1221" t="str">
            <v>하이드록시이소부틸산메틸에스테르</v>
          </cell>
          <cell r="D1221" t="str">
            <v>4류 제2석유류(수용성)</v>
          </cell>
          <cell r="E1221" t="str">
            <v>2000리터</v>
          </cell>
          <cell r="F1221">
            <v>3272</v>
          </cell>
        </row>
        <row r="1222">
          <cell r="B1222" t="str">
            <v>2439-35-2</v>
          </cell>
          <cell r="C1222" t="str">
            <v>아크릴산 디메틸아미노에틸</v>
          </cell>
          <cell r="D1222" t="str">
            <v>4류 제2석유류(수용성)</v>
          </cell>
          <cell r="E1222" t="str">
            <v>2000리터</v>
          </cell>
          <cell r="F1222">
            <v>3302</v>
          </cell>
        </row>
        <row r="1223">
          <cell r="B1223" t="str">
            <v>2517-43-3</v>
          </cell>
          <cell r="C1223" t="str">
            <v>3-메톡시-1-부탄올</v>
          </cell>
          <cell r="D1223" t="str">
            <v>4류 제2석유류(수용성)</v>
          </cell>
          <cell r="E1223" t="str">
            <v>2000리터</v>
          </cell>
          <cell r="F1223">
            <v>1987</v>
          </cell>
        </row>
        <row r="1224">
          <cell r="B1224" t="str">
            <v>2749-11-3</v>
          </cell>
          <cell r="C1224" t="str">
            <v>L-알라니놀</v>
          </cell>
          <cell r="D1224" t="str">
            <v>4류 제2석유류(수용성)</v>
          </cell>
          <cell r="E1224" t="str">
            <v>2000리터</v>
          </cell>
          <cell r="F1224">
            <v>2735</v>
          </cell>
        </row>
        <row r="1225">
          <cell r="B1225" t="str">
            <v>29674-47-3</v>
          </cell>
          <cell r="C1225" t="str">
            <v>2-하이드록시부탄산메틸</v>
          </cell>
          <cell r="D1225" t="str">
            <v>4류 제2석유류(수용성)</v>
          </cell>
          <cell r="E1225" t="str">
            <v>2000리터</v>
          </cell>
          <cell r="F1225">
            <v>3272</v>
          </cell>
        </row>
        <row r="1226">
          <cell r="B1226" t="str">
            <v>302-01-2</v>
          </cell>
          <cell r="C1226" t="str">
            <v>히드라진</v>
          </cell>
          <cell r="D1226" t="str">
            <v>4류 제2석유류(수용성)</v>
          </cell>
          <cell r="E1226" t="str">
            <v>2000리터</v>
          </cell>
          <cell r="F1226">
            <v>2029</v>
          </cell>
        </row>
        <row r="1227">
          <cell r="B1227" t="str">
            <v>367-12-4</v>
          </cell>
          <cell r="C1227" t="str">
            <v>플로로페놀</v>
          </cell>
          <cell r="D1227" t="str">
            <v>4류 제2석유류(수용성)</v>
          </cell>
          <cell r="E1227" t="str">
            <v>2000리터</v>
          </cell>
          <cell r="F1227">
            <v>1993</v>
          </cell>
        </row>
        <row r="1228">
          <cell r="B1228" t="str">
            <v>367-27-1</v>
          </cell>
          <cell r="C1228" t="str">
            <v>디플로로페놀(2,4-)</v>
          </cell>
          <cell r="D1228" t="str">
            <v>4류 제2석유류(수용성)</v>
          </cell>
          <cell r="E1228" t="str">
            <v>2000리터</v>
          </cell>
          <cell r="F1228" t="str">
            <v/>
          </cell>
        </row>
        <row r="1229">
          <cell r="B1229" t="str">
            <v>500-22-1</v>
          </cell>
          <cell r="C1229" t="str">
            <v>3-알데히드피리딘</v>
          </cell>
          <cell r="D1229" t="str">
            <v>4류 제2석유류(수용성)</v>
          </cell>
          <cell r="E1229" t="str">
            <v>2000리터</v>
          </cell>
          <cell r="F1229">
            <v>1989</v>
          </cell>
        </row>
        <row r="1230">
          <cell r="B1230" t="str">
            <v>513-86-0</v>
          </cell>
          <cell r="C1230" t="str">
            <v>아세틸메틸 카비놀</v>
          </cell>
          <cell r="D1230" t="str">
            <v>4류 제2석유류(수용성)</v>
          </cell>
          <cell r="E1230" t="str">
            <v>2000리터</v>
          </cell>
          <cell r="F1230">
            <v>2621</v>
          </cell>
        </row>
        <row r="1231">
          <cell r="B1231" t="str">
            <v>5332-73-0</v>
          </cell>
          <cell r="C1231" t="str">
            <v>3-메톡시프로필아민</v>
          </cell>
          <cell r="D1231" t="str">
            <v>4류 제2석유류(수용성)</v>
          </cell>
          <cell r="E1231" t="str">
            <v>2000리터</v>
          </cell>
          <cell r="F1231">
            <v>2920</v>
          </cell>
        </row>
        <row r="1232">
          <cell r="B1232" t="str">
            <v>547-64-8</v>
          </cell>
          <cell r="C1232" t="str">
            <v>유산메틸</v>
          </cell>
          <cell r="D1232" t="str">
            <v>4류 제2석유류(수용성)</v>
          </cell>
          <cell r="E1232" t="str">
            <v>2000리터</v>
          </cell>
          <cell r="F1232">
            <v>3272</v>
          </cell>
        </row>
        <row r="1233">
          <cell r="B1233" t="str">
            <v>590-90-9</v>
          </cell>
          <cell r="C1233" t="str">
            <v>4-하이드록시-2-부타논</v>
          </cell>
          <cell r="D1233" t="str">
            <v>4류 제2석유류(수용성)</v>
          </cell>
          <cell r="E1233" t="str">
            <v>2000리터</v>
          </cell>
          <cell r="F1233">
            <v>1993</v>
          </cell>
        </row>
        <row r="1234">
          <cell r="B1234" t="str">
            <v>626-56-2</v>
          </cell>
          <cell r="C1234" t="str">
            <v>3-피페콜린</v>
          </cell>
          <cell r="D1234" t="str">
            <v>4류 제2석유류(수용성)</v>
          </cell>
          <cell r="E1234" t="str">
            <v>2000리터</v>
          </cell>
          <cell r="F1234">
            <v>1993</v>
          </cell>
        </row>
        <row r="1235">
          <cell r="B1235" t="str">
            <v>6291-84-5</v>
          </cell>
          <cell r="C1235" t="str">
            <v>3-(메틸아미노)프로필아민</v>
          </cell>
          <cell r="D1235" t="str">
            <v>4류 제2석유류(수용성)</v>
          </cell>
          <cell r="E1235" t="str">
            <v>2000리터</v>
          </cell>
          <cell r="F1235">
            <v>2734</v>
          </cell>
        </row>
        <row r="1236">
          <cell r="B1236" t="str">
            <v>6291-85-6</v>
          </cell>
          <cell r="C1236" t="str">
            <v>3-에톡시프로필아민</v>
          </cell>
          <cell r="D1236" t="str">
            <v>4류 제2석유류(수용성)</v>
          </cell>
          <cell r="E1236" t="str">
            <v>2000리터</v>
          </cell>
          <cell r="F1236">
            <v>2734</v>
          </cell>
        </row>
        <row r="1237">
          <cell r="B1237" t="str">
            <v>64-18-6</v>
          </cell>
          <cell r="C1237" t="str">
            <v>포름산</v>
          </cell>
          <cell r="D1237" t="str">
            <v>4류 제2석유류(수용성)</v>
          </cell>
          <cell r="E1237" t="str">
            <v>2000리터</v>
          </cell>
          <cell r="F1237">
            <v>1779</v>
          </cell>
        </row>
        <row r="1238">
          <cell r="B1238" t="str">
            <v>64-19-7</v>
          </cell>
          <cell r="C1238" t="str">
            <v>아세트산</v>
          </cell>
          <cell r="D1238" t="str">
            <v>4류 제2석유류(수용성)</v>
          </cell>
          <cell r="E1238" t="str">
            <v>2000리터</v>
          </cell>
          <cell r="F1238">
            <v>2789</v>
          </cell>
        </row>
        <row r="1239">
          <cell r="B1239" t="str">
            <v>68-12-2</v>
          </cell>
          <cell r="C1239" t="str">
            <v>N,N-디메틸포름아미드</v>
          </cell>
          <cell r="D1239" t="str">
            <v>4류 제2석유류(수용성)</v>
          </cell>
          <cell r="E1239" t="str">
            <v>2000리터</v>
          </cell>
          <cell r="F1239">
            <v>2265</v>
          </cell>
        </row>
        <row r="1240">
          <cell r="B1240" t="str">
            <v>6928-85-4</v>
          </cell>
          <cell r="C1240" t="str">
            <v>1-아미노-4-미틸피페라진</v>
          </cell>
          <cell r="D1240" t="str">
            <v>4류 제2석유류(수용성)</v>
          </cell>
          <cell r="E1240" t="str">
            <v>2000리터</v>
          </cell>
          <cell r="F1240">
            <v>1993</v>
          </cell>
        </row>
        <row r="1241">
          <cell r="B1241" t="str">
            <v>7580-85-0</v>
          </cell>
          <cell r="C1241" t="str">
            <v>에틸렌 글리콜 모노 t-부틸 에테르</v>
          </cell>
          <cell r="D1241" t="str">
            <v>4류 제2석유류(수용성)</v>
          </cell>
          <cell r="E1241" t="str">
            <v>2000리터</v>
          </cell>
          <cell r="F1241">
            <v>1993</v>
          </cell>
        </row>
        <row r="1242">
          <cell r="B1242" t="str">
            <v>75-89-8</v>
          </cell>
          <cell r="C1242" t="str">
            <v>트리플루오로에탄올</v>
          </cell>
          <cell r="D1242" t="str">
            <v>4류 제2석유류(수용성)</v>
          </cell>
          <cell r="E1242" t="str">
            <v>2000리터</v>
          </cell>
          <cell r="F1242">
            <v>1992</v>
          </cell>
        </row>
        <row r="1243">
          <cell r="B1243" t="str">
            <v>76-37-9</v>
          </cell>
          <cell r="C1243" t="str">
            <v>2,2,3,3-테트라플루오로프로판올</v>
          </cell>
          <cell r="D1243" t="str">
            <v>4류 제2석유류(수용성)</v>
          </cell>
          <cell r="E1243" t="str">
            <v>2000리터</v>
          </cell>
          <cell r="F1243">
            <v>1993</v>
          </cell>
        </row>
        <row r="1244">
          <cell r="B1244" t="str">
            <v>771-62-0</v>
          </cell>
          <cell r="C1244" t="str">
            <v>펜타플로로티오페놀</v>
          </cell>
          <cell r="D1244" t="str">
            <v>4류 제2석유류(수용성)</v>
          </cell>
          <cell r="E1244" t="str">
            <v>2000리터</v>
          </cell>
          <cell r="F1244">
            <v>2920</v>
          </cell>
        </row>
        <row r="1245">
          <cell r="B1245" t="str">
            <v>78-90-0</v>
          </cell>
          <cell r="C1245" t="str">
            <v>1,2-디아미노프로판</v>
          </cell>
          <cell r="D1245" t="str">
            <v>4류 제2석유류(수용성)</v>
          </cell>
          <cell r="E1245" t="str">
            <v>2000리터</v>
          </cell>
          <cell r="F1245">
            <v>2258</v>
          </cell>
        </row>
        <row r="1246">
          <cell r="B1246" t="str">
            <v>79-09-4</v>
          </cell>
          <cell r="C1246" t="str">
            <v>프로피온산</v>
          </cell>
          <cell r="D1246" t="str">
            <v>4류 제2석유류(수용성)</v>
          </cell>
          <cell r="E1246" t="str">
            <v>2000리터</v>
          </cell>
          <cell r="F1246">
            <v>3463</v>
          </cell>
        </row>
        <row r="1247">
          <cell r="B1247" t="str">
            <v>79-10-7</v>
          </cell>
          <cell r="C1247" t="str">
            <v>아크릴산</v>
          </cell>
          <cell r="D1247" t="str">
            <v>4류 제2석유류(수용성)</v>
          </cell>
          <cell r="E1247" t="str">
            <v>2000리터</v>
          </cell>
          <cell r="F1247">
            <v>2218</v>
          </cell>
        </row>
        <row r="1248">
          <cell r="B1248" t="str">
            <v>79-31-2</v>
          </cell>
          <cell r="C1248" t="str">
            <v>이소낙산</v>
          </cell>
          <cell r="D1248" t="str">
            <v>4류 제2석유류(수용성)</v>
          </cell>
          <cell r="E1248" t="str">
            <v>2000리터</v>
          </cell>
          <cell r="F1248">
            <v>2529</v>
          </cell>
        </row>
        <row r="1249">
          <cell r="B1249" t="str">
            <v>80778-56-9</v>
          </cell>
          <cell r="C1249" t="str">
            <v>디-n-부톡시비스(트리에탄올아미나토)...</v>
          </cell>
          <cell r="D1249" t="str">
            <v>4류 제2석유류(수용성)</v>
          </cell>
          <cell r="E1249" t="str">
            <v>2000리터</v>
          </cell>
          <cell r="F1249">
            <v>1993</v>
          </cell>
        </row>
        <row r="1250">
          <cell r="B1250" t="str">
            <v>95-56-7</v>
          </cell>
          <cell r="C1250" t="str">
            <v>2-브로모페놀</v>
          </cell>
          <cell r="D1250" t="str">
            <v>4류 제2석유류(수용성)</v>
          </cell>
          <cell r="E1250" t="str">
            <v>2000리터</v>
          </cell>
          <cell r="F1250">
            <v>1993</v>
          </cell>
        </row>
        <row r="1251">
          <cell r="B1251" t="str">
            <v>97-64-3</v>
          </cell>
          <cell r="C1251" t="str">
            <v>유산에틸</v>
          </cell>
          <cell r="D1251" t="str">
            <v>4류 제2석유류(수용성)</v>
          </cell>
          <cell r="E1251" t="str">
            <v>2000리터</v>
          </cell>
          <cell r="F1251">
            <v>1192</v>
          </cell>
        </row>
        <row r="1252">
          <cell r="B1252" t="str">
            <v>105-72-6</v>
          </cell>
          <cell r="C1252" t="str">
            <v>에틸렌글리콜디노르말부틸레이트</v>
          </cell>
          <cell r="D1252" t="str">
            <v>4류 제3석유류</v>
          </cell>
          <cell r="F1252" t="str">
            <v/>
          </cell>
        </row>
        <row r="1253">
          <cell r="B1253" t="str">
            <v>110-98-5</v>
          </cell>
          <cell r="C1253" t="str">
            <v>디프로필렌글리콜</v>
          </cell>
          <cell r="D1253" t="str">
            <v>4류 제3석유류</v>
          </cell>
          <cell r="F1253" t="str">
            <v/>
          </cell>
        </row>
        <row r="1254">
          <cell r="B1254" t="str">
            <v>112-36-7</v>
          </cell>
          <cell r="C1254" t="str">
            <v>디에틸렌글리콜디에틸에테르</v>
          </cell>
          <cell r="D1254" t="str">
            <v>4류 제3석유류</v>
          </cell>
          <cell r="F1254" t="str">
            <v/>
          </cell>
        </row>
        <row r="1255">
          <cell r="B1255" t="str">
            <v>120-55-8</v>
          </cell>
          <cell r="C1255" t="str">
            <v>디에틸렌글리콜디벤조에이트</v>
          </cell>
          <cell r="D1255" t="str">
            <v>4류 제3석유류</v>
          </cell>
          <cell r="F1255" t="str">
            <v/>
          </cell>
        </row>
        <row r="1256">
          <cell r="B1256" t="str">
            <v>1222-05-5</v>
          </cell>
          <cell r="C1256" t="str">
            <v>갈락솔리드</v>
          </cell>
          <cell r="D1256" t="str">
            <v>4류 제3석유류</v>
          </cell>
          <cell r="F1256" t="str">
            <v/>
          </cell>
        </row>
        <row r="1257">
          <cell r="B1257" t="str">
            <v>13750-62-4</v>
          </cell>
          <cell r="C1257" t="str">
            <v>1-벤질-2-메틸이미다졸</v>
          </cell>
          <cell r="D1257" t="str">
            <v>4류 제3석유류</v>
          </cell>
          <cell r="F1257" t="str">
            <v/>
          </cell>
        </row>
        <row r="1258">
          <cell r="B1258" t="str">
            <v>138495-42-8</v>
          </cell>
          <cell r="C1258" t="str">
            <v>1,1,1,2,2,3,4,5,5,5-...</v>
          </cell>
          <cell r="D1258" t="str">
            <v>4류 제3석유류</v>
          </cell>
          <cell r="F1258" t="str">
            <v/>
          </cell>
        </row>
        <row r="1259">
          <cell r="B1259" t="str">
            <v>149-57-5</v>
          </cell>
          <cell r="C1259" t="str">
            <v>옥틸산</v>
          </cell>
          <cell r="D1259" t="str">
            <v>4류 제3석유류</v>
          </cell>
          <cell r="F1259" t="str">
            <v/>
          </cell>
        </row>
        <row r="1260">
          <cell r="B1260" t="str">
            <v>34590-94-8</v>
          </cell>
          <cell r="C1260" t="str">
            <v>디프로필렌글리콜메틸에테르</v>
          </cell>
          <cell r="D1260" t="str">
            <v>4류 제3석유류</v>
          </cell>
          <cell r="F1260" t="str">
            <v/>
          </cell>
        </row>
        <row r="1261">
          <cell r="B1261" t="str">
            <v>628-68-2</v>
          </cell>
          <cell r="C1261" t="str">
            <v>디에틸렌글리콜디아세테이트</v>
          </cell>
          <cell r="D1261" t="str">
            <v>4류 제3석유류</v>
          </cell>
          <cell r="F1261" t="str">
            <v/>
          </cell>
        </row>
        <row r="1262">
          <cell r="B1262" t="str">
            <v>64741-95-3</v>
          </cell>
          <cell r="C1262" t="str">
            <v>잔사유(석유), 탈아스팔트유</v>
          </cell>
          <cell r="D1262" t="str">
            <v>4류 제3석유류</v>
          </cell>
          <cell r="F1262" t="str">
            <v/>
          </cell>
        </row>
        <row r="1263">
          <cell r="B1263" t="str">
            <v>84852-15-3</v>
          </cell>
          <cell r="C1263" t="str">
            <v>노닐페놀, 4-가지형</v>
          </cell>
          <cell r="D1263" t="str">
            <v>4류 제3석유류</v>
          </cell>
          <cell r="F1263">
            <v>3145</v>
          </cell>
        </row>
        <row r="1264">
          <cell r="B1264" t="str">
            <v>9005-07-6</v>
          </cell>
          <cell r="C1264" t="str">
            <v>폴리에틸렌 글리콜 디올레산 (디탈르산...</v>
          </cell>
          <cell r="D1264" t="str">
            <v>4류 제3석유류</v>
          </cell>
          <cell r="F1264" t="str">
            <v/>
          </cell>
        </row>
        <row r="1265">
          <cell r="B1265" t="str">
            <v>95-57-8</v>
          </cell>
          <cell r="C1265" t="str">
            <v>O-클로로페놀</v>
          </cell>
          <cell r="D1265" t="str">
            <v>4류 제3석유류</v>
          </cell>
          <cell r="F1265">
            <v>2021</v>
          </cell>
        </row>
        <row r="1266">
          <cell r="B1266" t="str">
            <v>1001-26-9</v>
          </cell>
          <cell r="C1266" t="str">
            <v>에톡시아크릴산에틸에스테르</v>
          </cell>
          <cell r="D1266" t="str">
            <v>4류 제3석유류(비수용성)</v>
          </cell>
          <cell r="E1266" t="str">
            <v>2000리터</v>
          </cell>
          <cell r="F1266">
            <v>3334</v>
          </cell>
        </row>
        <row r="1267">
          <cell r="B1267" t="str">
            <v>100-12-9</v>
          </cell>
          <cell r="C1267" t="str">
            <v>1-에틸-4-니트로벤젠</v>
          </cell>
          <cell r="D1267" t="str">
            <v>4류 제3석유류(비수용성)</v>
          </cell>
          <cell r="E1267" t="str">
            <v>2000리터</v>
          </cell>
          <cell r="F1267" t="str">
            <v/>
          </cell>
        </row>
        <row r="1268">
          <cell r="B1268" t="str">
            <v>100-18-5</v>
          </cell>
          <cell r="C1268" t="str">
            <v>디이소프로필벤젠(1,4-)</v>
          </cell>
          <cell r="D1268" t="str">
            <v>4류 제3석유류(비수용성)</v>
          </cell>
          <cell r="E1268" t="str">
            <v>2000리터</v>
          </cell>
          <cell r="F1268">
            <v>3082</v>
          </cell>
        </row>
        <row r="1269">
          <cell r="B1269" t="str">
            <v>1002-69-3</v>
          </cell>
          <cell r="C1269" t="str">
            <v>1-크로르데칸</v>
          </cell>
          <cell r="D1269" t="str">
            <v>4류 제3석유류(비수용성)</v>
          </cell>
          <cell r="E1269" t="str">
            <v>2000리터</v>
          </cell>
          <cell r="F1269">
            <v>3082</v>
          </cell>
        </row>
        <row r="1270">
          <cell r="B1270" t="str">
            <v>10031-82-0</v>
          </cell>
          <cell r="C1270" t="str">
            <v>에폭시벤즈알데히드(4-)</v>
          </cell>
          <cell r="D1270" t="str">
            <v>4류 제3석유류(비수용성)</v>
          </cell>
          <cell r="E1270" t="str">
            <v>2000리터</v>
          </cell>
          <cell r="F1270" t="str">
            <v/>
          </cell>
        </row>
        <row r="1271">
          <cell r="B1271" t="str">
            <v>100-39-0</v>
          </cell>
          <cell r="C1271" t="str">
            <v>벤질브로마이드</v>
          </cell>
          <cell r="D1271" t="str">
            <v>4류 제3석유류(비수용성)</v>
          </cell>
          <cell r="E1271" t="str">
            <v>2000리터</v>
          </cell>
          <cell r="F1271">
            <v>1737</v>
          </cell>
        </row>
        <row r="1272">
          <cell r="B1272" t="str">
            <v>1003-98-1</v>
          </cell>
          <cell r="C1272" t="str">
            <v>2-브로모-4-플르오르아닐닌</v>
          </cell>
          <cell r="D1272" t="str">
            <v>4류 제3석유류(비수용성)</v>
          </cell>
          <cell r="E1272" t="str">
            <v>2000리터</v>
          </cell>
          <cell r="F1272" t="str">
            <v/>
          </cell>
        </row>
        <row r="1273">
          <cell r="B1273" t="str">
            <v>100-47-0</v>
          </cell>
          <cell r="C1273" t="str">
            <v>벤조니트릴</v>
          </cell>
          <cell r="D1273" t="str">
            <v>4류 제3석유류(비수용성)</v>
          </cell>
          <cell r="E1273" t="str">
            <v>2000리터</v>
          </cell>
          <cell r="F1273">
            <v>2224</v>
          </cell>
        </row>
        <row r="1274">
          <cell r="B1274" t="str">
            <v>100-49-2</v>
          </cell>
          <cell r="C1274" t="str">
            <v>시클로헥산메탄올</v>
          </cell>
          <cell r="D1274" t="str">
            <v>4류 제3석유류(비수용성)</v>
          </cell>
          <cell r="E1274" t="str">
            <v>2000리터</v>
          </cell>
          <cell r="F1274">
            <v>1993</v>
          </cell>
        </row>
        <row r="1275">
          <cell r="B1275" t="str">
            <v>100-51-6</v>
          </cell>
          <cell r="C1275" t="str">
            <v>벤질 알코올</v>
          </cell>
          <cell r="D1275" t="str">
            <v>4류 제3석유류(비수용성)</v>
          </cell>
          <cell r="E1275" t="str">
            <v>2000리터</v>
          </cell>
          <cell r="F1275">
            <v>3334</v>
          </cell>
        </row>
        <row r="1276">
          <cell r="B1276" t="str">
            <v>100-53-8</v>
          </cell>
          <cell r="C1276" t="str">
            <v>벤질메르캅탄</v>
          </cell>
          <cell r="D1276" t="str">
            <v>4류 제3석유류(비수용성)</v>
          </cell>
          <cell r="E1276" t="str">
            <v>2000리터</v>
          </cell>
          <cell r="F1276">
            <v>3334</v>
          </cell>
        </row>
        <row r="1277">
          <cell r="B1277" t="str">
            <v>1005-56-7</v>
          </cell>
          <cell r="C1277" t="str">
            <v>페닐클로로티오노포메이트</v>
          </cell>
          <cell r="D1277" t="str">
            <v>4류 제3석유류(비수용성)</v>
          </cell>
          <cell r="E1277" t="str">
            <v>2000리터</v>
          </cell>
          <cell r="F1277">
            <v>3265</v>
          </cell>
        </row>
        <row r="1278">
          <cell r="B1278" t="str">
            <v>100-61-8</v>
          </cell>
          <cell r="C1278" t="str">
            <v>N-메틸아닐린</v>
          </cell>
          <cell r="D1278" t="str">
            <v>4류 제3석유류(비수용성)</v>
          </cell>
          <cell r="E1278" t="str">
            <v>2000리터</v>
          </cell>
          <cell r="F1278">
            <v>2294</v>
          </cell>
        </row>
        <row r="1279">
          <cell r="B1279" t="str">
            <v>100-63-0</v>
          </cell>
          <cell r="C1279" t="str">
            <v>페닐히드라진</v>
          </cell>
          <cell r="D1279" t="str">
            <v>4류 제3석유류(비수용성)</v>
          </cell>
          <cell r="E1279" t="str">
            <v>2000리터</v>
          </cell>
          <cell r="F1279">
            <v>2572</v>
          </cell>
        </row>
        <row r="1280">
          <cell r="B1280" t="str">
            <v>1007-32-5</v>
          </cell>
          <cell r="C1280" t="str">
            <v>페닐-2-부탄논</v>
          </cell>
          <cell r="D1280" t="str">
            <v>4류 제3석유류(비수용성)</v>
          </cell>
          <cell r="E1280" t="str">
            <v>2000리터</v>
          </cell>
          <cell r="F1280">
            <v>1993</v>
          </cell>
        </row>
        <row r="1281">
          <cell r="B1281" t="str">
            <v>100-81-2</v>
          </cell>
          <cell r="C1281" t="str">
            <v>3-메틸벤질아민</v>
          </cell>
          <cell r="D1281" t="str">
            <v>4류 제3석유류(비수용성)</v>
          </cell>
          <cell r="E1281" t="str">
            <v>2000리터</v>
          </cell>
          <cell r="F1281">
            <v>2735</v>
          </cell>
        </row>
        <row r="1282">
          <cell r="B1282" t="str">
            <v>100-86-7</v>
          </cell>
          <cell r="C1282" t="str">
            <v>2-메틸-1-페닐-2-프로판올</v>
          </cell>
          <cell r="D1282" t="str">
            <v>4류 제3석유류(비수용성)</v>
          </cell>
          <cell r="E1282" t="str">
            <v>2000리터</v>
          </cell>
          <cell r="F1282" t="str">
            <v/>
          </cell>
        </row>
        <row r="1283">
          <cell r="B1283" t="str">
            <v>101-39-3</v>
          </cell>
          <cell r="C1283" t="str">
            <v>메틸(에이-)시남알데히드</v>
          </cell>
          <cell r="D1283" t="str">
            <v>4류 제3석유류(비수용성)</v>
          </cell>
          <cell r="E1283" t="str">
            <v>2000리터</v>
          </cell>
          <cell r="F1283">
            <v>1993</v>
          </cell>
        </row>
        <row r="1284">
          <cell r="B1284" t="str">
            <v>101-43-9</v>
          </cell>
          <cell r="C1284" t="str">
            <v>메타크릴레이트 사이클로헥실</v>
          </cell>
          <cell r="D1284" t="str">
            <v>4류 제3석유류(비수용성)</v>
          </cell>
          <cell r="E1284" t="str">
            <v>2000리터</v>
          </cell>
          <cell r="F1284">
            <v>1993</v>
          </cell>
        </row>
        <row r="1285">
          <cell r="B1285" t="str">
            <v>1014-60-4</v>
          </cell>
          <cell r="C1285" t="str">
            <v>디삼차부틸벤젠</v>
          </cell>
          <cell r="D1285" t="str">
            <v>4류 제3석유류(비수용성)</v>
          </cell>
          <cell r="E1285" t="str">
            <v>2000리터</v>
          </cell>
          <cell r="F1285">
            <v>1993</v>
          </cell>
        </row>
        <row r="1286">
          <cell r="B1286" t="str">
            <v>10147-36-1</v>
          </cell>
          <cell r="C1286" t="str">
            <v>프로판술보닐(1-)글로라이드</v>
          </cell>
          <cell r="D1286" t="str">
            <v>4류 제3석유류(비수용성)</v>
          </cell>
          <cell r="E1286" t="str">
            <v>2000리터</v>
          </cell>
          <cell r="F1286">
            <v>3265</v>
          </cell>
        </row>
        <row r="1287">
          <cell r="B1287" t="str">
            <v>101-49-5</v>
          </cell>
          <cell r="C1287" t="str">
            <v>2-벤질-1,3-디옥솔란</v>
          </cell>
          <cell r="D1287" t="str">
            <v>4류 제3석유류(비수용성)</v>
          </cell>
          <cell r="E1287" t="str">
            <v>2000리터</v>
          </cell>
          <cell r="F1287" t="str">
            <v/>
          </cell>
        </row>
        <row r="1288">
          <cell r="B1288" t="str">
            <v>101-82-6</v>
          </cell>
          <cell r="C1288" t="str">
            <v>2-벤질피리딘</v>
          </cell>
          <cell r="D1288" t="str">
            <v>4류 제3석유류(비수용성)</v>
          </cell>
          <cell r="E1288" t="str">
            <v>2000리터</v>
          </cell>
          <cell r="F1288" t="str">
            <v/>
          </cell>
        </row>
        <row r="1289">
          <cell r="B1289" t="str">
            <v>101-83-7</v>
          </cell>
          <cell r="C1289" t="str">
            <v>디사이클로헥실아민</v>
          </cell>
          <cell r="D1289" t="str">
            <v>4류 제3석유류(비수용성)</v>
          </cell>
          <cell r="E1289" t="str">
            <v>2000리터</v>
          </cell>
          <cell r="F1289">
            <v>2565</v>
          </cell>
        </row>
        <row r="1290">
          <cell r="B1290" t="str">
            <v>101-86-0</v>
          </cell>
          <cell r="C1290" t="str">
            <v>헥실신나믹알데히드</v>
          </cell>
          <cell r="D1290" t="str">
            <v>4류 제3석유류(비수용성)</v>
          </cell>
          <cell r="E1290" t="str">
            <v>2000리터</v>
          </cell>
          <cell r="F1290" t="str">
            <v/>
          </cell>
        </row>
        <row r="1291">
          <cell r="B1291" t="str">
            <v>1019-79-3</v>
          </cell>
          <cell r="C1291" t="str">
            <v>페닐 초산에틸</v>
          </cell>
          <cell r="D1291" t="str">
            <v>4류 제3석유류(비수용성)</v>
          </cell>
          <cell r="E1291" t="str">
            <v>2000리터</v>
          </cell>
          <cell r="F1291" t="str">
            <v/>
          </cell>
        </row>
        <row r="1292">
          <cell r="B1292" t="str">
            <v>102-27-2</v>
          </cell>
          <cell r="C1292" t="str">
            <v>에틸메타톨루이딘</v>
          </cell>
          <cell r="D1292" t="str">
            <v>4류 제3석유류(비수용성)</v>
          </cell>
          <cell r="E1292" t="str">
            <v>2000리터</v>
          </cell>
          <cell r="F1292">
            <v>2754</v>
          </cell>
        </row>
        <row r="1293">
          <cell r="B1293" t="str">
            <v>102-46-5</v>
          </cell>
          <cell r="C1293" t="str">
            <v>디메틸벤질클로라이드</v>
          </cell>
          <cell r="D1293" t="str">
            <v>4류 제3석유류(비수용성)</v>
          </cell>
          <cell r="E1293" t="str">
            <v>2000리터</v>
          </cell>
          <cell r="F1293">
            <v>3265</v>
          </cell>
        </row>
        <row r="1294">
          <cell r="B1294" t="str">
            <v>102-47-6</v>
          </cell>
          <cell r="C1294" t="str">
            <v>3,4-디클로로벤질클로라이드</v>
          </cell>
          <cell r="D1294" t="str">
            <v>4류 제3석유류(비수용성)</v>
          </cell>
          <cell r="E1294" t="str">
            <v>2000리터</v>
          </cell>
          <cell r="F1294">
            <v>3265</v>
          </cell>
        </row>
        <row r="1295">
          <cell r="B1295" t="str">
            <v>102-52-3</v>
          </cell>
          <cell r="C1295" t="str">
            <v>1,1,3,3-테트라메톡시프로판</v>
          </cell>
          <cell r="D1295" t="str">
            <v>4류 제3석유류(비수용성)</v>
          </cell>
          <cell r="E1295" t="str">
            <v>2000리터</v>
          </cell>
          <cell r="F1295" t="str">
            <v/>
          </cell>
        </row>
        <row r="1296">
          <cell r="B1296" t="str">
            <v>102-76-1</v>
          </cell>
          <cell r="C1296" t="str">
            <v>트리아세틴</v>
          </cell>
          <cell r="D1296" t="str">
            <v>4류 제3석유류(비수용성)</v>
          </cell>
          <cell r="E1296" t="str">
            <v>2000리터</v>
          </cell>
          <cell r="F1296" t="str">
            <v/>
          </cell>
        </row>
        <row r="1297">
          <cell r="B1297" t="str">
            <v>102-79-4</v>
          </cell>
          <cell r="C1297" t="str">
            <v>부틸말론산디에틸에스테르</v>
          </cell>
          <cell r="D1297" t="str">
            <v>4류 제3석유류(비수용성)</v>
          </cell>
          <cell r="E1297" t="str">
            <v>2000리터</v>
          </cell>
          <cell r="F1297">
            <v>2735</v>
          </cell>
        </row>
        <row r="1298">
          <cell r="B1298" t="str">
            <v>102-81-8</v>
          </cell>
          <cell r="C1298" t="str">
            <v>N,N-디부틸에탄올아민</v>
          </cell>
          <cell r="D1298" t="str">
            <v>4류 제3석유류(비수용성)</v>
          </cell>
          <cell r="E1298" t="str">
            <v>2000리터</v>
          </cell>
          <cell r="F1298">
            <v>2873</v>
          </cell>
        </row>
        <row r="1299">
          <cell r="B1299" t="str">
            <v>102-83-0</v>
          </cell>
          <cell r="C1299" t="str">
            <v>3-(디부틸아미노)프로필아민</v>
          </cell>
          <cell r="D1299" t="str">
            <v>4류 제3석유류(비수용성)</v>
          </cell>
          <cell r="E1299" t="str">
            <v>2000리터</v>
          </cell>
          <cell r="F1299">
            <v>2922</v>
          </cell>
        </row>
        <row r="1300">
          <cell r="B1300" t="str">
            <v>102851-06-9</v>
          </cell>
          <cell r="C1300" t="str">
            <v>τ-플루바리네이트</v>
          </cell>
          <cell r="D1300" t="str">
            <v>4류 제3석유류(비수용성)</v>
          </cell>
          <cell r="E1300" t="str">
            <v>2000리터</v>
          </cell>
          <cell r="F1300">
            <v>2810</v>
          </cell>
        </row>
        <row r="1301">
          <cell r="B1301" t="str">
            <v>102-97-6</v>
          </cell>
          <cell r="C1301" t="str">
            <v>벤질이소프로필아민</v>
          </cell>
          <cell r="D1301" t="str">
            <v>4류 제3석유류(비수용성)</v>
          </cell>
          <cell r="E1301" t="str">
            <v>2000리터</v>
          </cell>
          <cell r="F1301">
            <v>1993</v>
          </cell>
        </row>
        <row r="1302">
          <cell r="B1302" t="str">
            <v>103-09-3</v>
          </cell>
          <cell r="C1302" t="str">
            <v>2-에틸헥실아세테이트</v>
          </cell>
          <cell r="D1302" t="str">
            <v>4류 제3석유류(비수용성)</v>
          </cell>
          <cell r="E1302" t="str">
            <v>2000리터</v>
          </cell>
          <cell r="F1302">
            <v>1993</v>
          </cell>
        </row>
        <row r="1303">
          <cell r="B1303" t="str">
            <v>103-11-7</v>
          </cell>
          <cell r="C1303" t="str">
            <v>아크릴산 2-에틸헥실</v>
          </cell>
          <cell r="D1303" t="str">
            <v>4류 제3석유류(비수용성)</v>
          </cell>
          <cell r="E1303" t="str">
            <v>2000리터</v>
          </cell>
          <cell r="F1303">
            <v>3334</v>
          </cell>
        </row>
        <row r="1304">
          <cell r="B1304" t="str">
            <v>103-26-4</v>
          </cell>
          <cell r="C1304" t="str">
            <v>계피산메틸</v>
          </cell>
          <cell r="D1304" t="str">
            <v>4류 제3석유류(비수용성)</v>
          </cell>
          <cell r="E1304" t="str">
            <v>2000리터</v>
          </cell>
          <cell r="F1304" t="str">
            <v/>
          </cell>
        </row>
        <row r="1305">
          <cell r="B1305" t="str">
            <v>103-36-6</v>
          </cell>
          <cell r="C1305" t="str">
            <v>계피산에틸</v>
          </cell>
          <cell r="D1305" t="str">
            <v>4류 제3석유류(비수용성)</v>
          </cell>
          <cell r="E1305" t="str">
            <v>2000리터</v>
          </cell>
          <cell r="F1305" t="str">
            <v/>
          </cell>
        </row>
        <row r="1306">
          <cell r="B1306" t="str">
            <v>103429-90-9</v>
          </cell>
          <cell r="C1306" t="str">
            <v>3-메톡시-3-메틸부틸아세테이트</v>
          </cell>
          <cell r="D1306" t="str">
            <v>4류 제3석유류(비수용성)</v>
          </cell>
          <cell r="E1306" t="str">
            <v>2000리터</v>
          </cell>
          <cell r="F1306" t="str">
            <v/>
          </cell>
        </row>
        <row r="1307">
          <cell r="B1307" t="str">
            <v>103-49-1</v>
          </cell>
          <cell r="C1307" t="str">
            <v>디벤질아민</v>
          </cell>
          <cell r="D1307" t="str">
            <v>4류 제3석유류(비수용성)</v>
          </cell>
          <cell r="E1307" t="str">
            <v>2000리터</v>
          </cell>
          <cell r="F1307">
            <v>2810</v>
          </cell>
        </row>
        <row r="1308">
          <cell r="B1308" t="str">
            <v>103-50-4</v>
          </cell>
          <cell r="C1308" t="str">
            <v>디벤질에테르</v>
          </cell>
          <cell r="D1308" t="str">
            <v>4류 제3석유류(비수용성)</v>
          </cell>
          <cell r="E1308" t="str">
            <v>2000리터</v>
          </cell>
          <cell r="F1308">
            <v>3082</v>
          </cell>
        </row>
        <row r="1309">
          <cell r="B1309" t="str">
            <v>103-54-8</v>
          </cell>
          <cell r="C1309" t="str">
            <v>아세트초산 신나밀</v>
          </cell>
          <cell r="D1309" t="str">
            <v>4류 제3석유류(비수용성)</v>
          </cell>
          <cell r="E1309" t="str">
            <v>2000리터</v>
          </cell>
          <cell r="F1309" t="str">
            <v/>
          </cell>
        </row>
        <row r="1310">
          <cell r="B1310" t="str">
            <v>103-63-9</v>
          </cell>
          <cell r="C1310" t="str">
            <v>β-브로모에틸벤젠</v>
          </cell>
          <cell r="D1310" t="str">
            <v>4류 제3석유류(비수용성)</v>
          </cell>
          <cell r="E1310" t="str">
            <v>2000리터</v>
          </cell>
          <cell r="F1310">
            <v>1993</v>
          </cell>
        </row>
        <row r="1311">
          <cell r="B1311" t="str">
            <v>103-64-0</v>
          </cell>
          <cell r="C1311" t="str">
            <v>브로모스틸렌</v>
          </cell>
          <cell r="D1311" t="str">
            <v>4류 제3석유류(비수용성)</v>
          </cell>
          <cell r="E1311" t="str">
            <v>2000리터</v>
          </cell>
          <cell r="F1311">
            <v>1993</v>
          </cell>
        </row>
        <row r="1312">
          <cell r="B1312" t="str">
            <v>103-67-3</v>
          </cell>
          <cell r="C1312" t="str">
            <v>메틸벤질아민</v>
          </cell>
          <cell r="D1312" t="str">
            <v>4류 제3석유류(비수용성)</v>
          </cell>
          <cell r="E1312" t="str">
            <v>2000리터</v>
          </cell>
          <cell r="F1312">
            <v>2735</v>
          </cell>
        </row>
        <row r="1313">
          <cell r="B1313" t="str">
            <v>103-69-5</v>
          </cell>
          <cell r="C1313" t="str">
            <v>N-에틸아닐린</v>
          </cell>
          <cell r="D1313" t="str">
            <v>4류 제3석유류(비수용성)</v>
          </cell>
          <cell r="E1313" t="str">
            <v>2000리터</v>
          </cell>
          <cell r="F1313">
            <v>2272</v>
          </cell>
        </row>
        <row r="1314">
          <cell r="B1314" t="str">
            <v>103-72-0</v>
          </cell>
          <cell r="C1314" t="str">
            <v>페닐이소티오시아네이트</v>
          </cell>
          <cell r="D1314" t="str">
            <v>4류 제3석유류(비수용성)</v>
          </cell>
          <cell r="E1314" t="str">
            <v>2000리터</v>
          </cell>
          <cell r="F1314">
            <v>1693</v>
          </cell>
        </row>
        <row r="1315">
          <cell r="B1315" t="str">
            <v>103-95-7</v>
          </cell>
          <cell r="C1315" t="str">
            <v>시클라멘 알데히드</v>
          </cell>
          <cell r="D1315" t="str">
            <v>4류 제3석유류(비수용성)</v>
          </cell>
          <cell r="E1315" t="str">
            <v>2000리터</v>
          </cell>
          <cell r="F1315" t="str">
            <v/>
          </cell>
        </row>
        <row r="1316">
          <cell r="B1316" t="str">
            <v>104-09-6</v>
          </cell>
          <cell r="C1316" t="str">
            <v>P-메틸페닐아세트알데히드</v>
          </cell>
          <cell r="D1316" t="str">
            <v>4류 제3석유류(비수용성)</v>
          </cell>
          <cell r="E1316" t="str">
            <v>2000리터</v>
          </cell>
          <cell r="F1316" t="str">
            <v/>
          </cell>
        </row>
        <row r="1317">
          <cell r="B1317" t="str">
            <v>104-13-2</v>
          </cell>
          <cell r="C1317" t="str">
            <v>부틸아민(4-노르말)</v>
          </cell>
          <cell r="D1317" t="str">
            <v>4류 제3석유류(비수용성)</v>
          </cell>
          <cell r="E1317" t="str">
            <v>2000리터</v>
          </cell>
          <cell r="F1317">
            <v>2810</v>
          </cell>
        </row>
        <row r="1318">
          <cell r="B1318" t="str">
            <v>104-40-5</v>
          </cell>
          <cell r="C1318" t="str">
            <v>4노닐페놀</v>
          </cell>
          <cell r="D1318" t="str">
            <v>4류 제3석유류(비수용성)</v>
          </cell>
          <cell r="E1318" t="str">
            <v>2000리터</v>
          </cell>
          <cell r="F1318">
            <v>2430</v>
          </cell>
        </row>
        <row r="1319">
          <cell r="B1319" t="str">
            <v>104-46-1</v>
          </cell>
          <cell r="C1319" t="str">
            <v>아네톨</v>
          </cell>
          <cell r="D1319" t="str">
            <v>4류 제3석유류(비수용성)</v>
          </cell>
          <cell r="E1319" t="str">
            <v>2000리터</v>
          </cell>
          <cell r="F1319" t="str">
            <v/>
          </cell>
        </row>
        <row r="1320">
          <cell r="B1320" t="str">
            <v>104-50-7</v>
          </cell>
          <cell r="C1320" t="str">
            <v>옥탄올락톤</v>
          </cell>
          <cell r="D1320" t="str">
            <v>4류 제3석유류(비수용성)</v>
          </cell>
          <cell r="E1320" t="str">
            <v>2000리터</v>
          </cell>
          <cell r="F1320" t="str">
            <v/>
          </cell>
        </row>
        <row r="1321">
          <cell r="B1321" t="str">
            <v>104-51-8</v>
          </cell>
          <cell r="C1321" t="str">
            <v>부틸(노르말)벤젠</v>
          </cell>
          <cell r="D1321" t="str">
            <v>4류 제3석유류(비수용성)</v>
          </cell>
          <cell r="E1321" t="str">
            <v>2000리터</v>
          </cell>
          <cell r="F1321">
            <v>2709</v>
          </cell>
        </row>
        <row r="1322">
          <cell r="B1322" t="str">
            <v>104-54-1</v>
          </cell>
          <cell r="C1322" t="str">
            <v>계피알코올</v>
          </cell>
          <cell r="D1322" t="str">
            <v>4류 제3석유류(비수용성)</v>
          </cell>
          <cell r="E1322" t="str">
            <v>2000리터</v>
          </cell>
          <cell r="F1322" t="str">
            <v/>
          </cell>
        </row>
        <row r="1323">
          <cell r="B1323" t="str">
            <v>104-55-2</v>
          </cell>
          <cell r="C1323" t="str">
            <v>계피알데히드</v>
          </cell>
          <cell r="D1323" t="str">
            <v>4류 제3석유류(비수용성)</v>
          </cell>
          <cell r="E1323" t="str">
            <v>2000리터</v>
          </cell>
          <cell r="F1323" t="str">
            <v/>
          </cell>
        </row>
        <row r="1324">
          <cell r="B1324" t="str">
            <v>104-57-4</v>
          </cell>
          <cell r="C1324" t="str">
            <v>포름산벤질에스테르</v>
          </cell>
          <cell r="D1324" t="str">
            <v>4류 제3석유류(비수용성)</v>
          </cell>
          <cell r="E1324" t="str">
            <v>2000리터</v>
          </cell>
          <cell r="F1324">
            <v>1993</v>
          </cell>
        </row>
        <row r="1325">
          <cell r="B1325" t="str">
            <v>104-61-0</v>
          </cell>
          <cell r="C1325" t="str">
            <v>노나락톤</v>
          </cell>
          <cell r="D1325" t="str">
            <v>4류 제3석유류(비수용성)</v>
          </cell>
          <cell r="E1325" t="str">
            <v>2000리터</v>
          </cell>
          <cell r="F1325" t="str">
            <v/>
          </cell>
        </row>
        <row r="1326">
          <cell r="B1326" t="str">
            <v>104-62-1</v>
          </cell>
          <cell r="C1326" t="str">
            <v>포름산페닐에틸에스테르</v>
          </cell>
          <cell r="D1326" t="str">
            <v>4류 제3석유류(비수용성)</v>
          </cell>
          <cell r="E1326" t="str">
            <v>2000리터</v>
          </cell>
          <cell r="F1326">
            <v>1993</v>
          </cell>
        </row>
        <row r="1327">
          <cell r="B1327" t="str">
            <v>104-63-2</v>
          </cell>
          <cell r="C1327" t="str">
            <v>벤질아미노에탄올</v>
          </cell>
          <cell r="D1327" t="str">
            <v>4류 제3석유류(비수용성)</v>
          </cell>
          <cell r="E1327" t="str">
            <v>2000리터</v>
          </cell>
          <cell r="F1327" t="str">
            <v/>
          </cell>
        </row>
        <row r="1328">
          <cell r="B1328" t="str">
            <v>104-67-6</v>
          </cell>
          <cell r="C1328" t="str">
            <v>γ-운데카락톤</v>
          </cell>
          <cell r="D1328" t="str">
            <v>4류 제3석유류(비수용성)</v>
          </cell>
          <cell r="E1328" t="str">
            <v>2000리터</v>
          </cell>
          <cell r="F1328" t="str">
            <v/>
          </cell>
        </row>
        <row r="1329">
          <cell r="B1329" t="str">
            <v>104-72-3</v>
          </cell>
          <cell r="C1329" t="str">
            <v>노르말데실벤젠</v>
          </cell>
          <cell r="D1329" t="str">
            <v>4류 제3석유류(비수용성)</v>
          </cell>
          <cell r="E1329" t="str">
            <v>2000리터</v>
          </cell>
          <cell r="F1329">
            <v>3082</v>
          </cell>
        </row>
        <row r="1330">
          <cell r="B1330" t="str">
            <v>104-76-7</v>
          </cell>
          <cell r="C1330" t="str">
            <v>2-에틸-1-핵산올</v>
          </cell>
          <cell r="D1330" t="str">
            <v>4류 제3석유류(비수용성)</v>
          </cell>
          <cell r="E1330" t="str">
            <v>2000리터</v>
          </cell>
          <cell r="F1330">
            <v>1993</v>
          </cell>
        </row>
        <row r="1331">
          <cell r="B1331" t="str">
            <v>104-82-5</v>
          </cell>
          <cell r="C1331" t="str">
            <v>4-메틸벤질클로라이드</v>
          </cell>
          <cell r="D1331" t="str">
            <v>4류 제3석유류(비수용성)</v>
          </cell>
          <cell r="E1331" t="str">
            <v>2000리터</v>
          </cell>
          <cell r="F1331">
            <v>2922</v>
          </cell>
        </row>
        <row r="1332">
          <cell r="B1332" t="str">
            <v>10486-61-0</v>
          </cell>
          <cell r="C1332" t="str">
            <v>요오드티펜(3-)</v>
          </cell>
          <cell r="D1332" t="str">
            <v>4류 제3석유류(비수용성)</v>
          </cell>
          <cell r="E1332" t="str">
            <v>2000리터</v>
          </cell>
          <cell r="F1332">
            <v>1993</v>
          </cell>
        </row>
        <row r="1333">
          <cell r="B1333" t="str">
            <v>104-86-9</v>
          </cell>
          <cell r="C1333" t="str">
            <v>클로로(4-)벤질아민</v>
          </cell>
          <cell r="D1333" t="str">
            <v>4류 제3석유류(비수용성)</v>
          </cell>
          <cell r="E1333" t="str">
            <v>2000리터</v>
          </cell>
          <cell r="F1333">
            <v>1993</v>
          </cell>
        </row>
        <row r="1334">
          <cell r="B1334" t="str">
            <v>104-87-0</v>
          </cell>
          <cell r="C1334" t="str">
            <v>4-메틸벤즈알데히드</v>
          </cell>
          <cell r="D1334" t="str">
            <v>4류 제3석유류(비수용성)</v>
          </cell>
          <cell r="E1334" t="str">
            <v>2000리터</v>
          </cell>
          <cell r="F1334">
            <v>1993</v>
          </cell>
        </row>
        <row r="1335">
          <cell r="B1335" t="str">
            <v>104-92-7</v>
          </cell>
          <cell r="C1335" t="str">
            <v>p-브로모아니졸</v>
          </cell>
          <cell r="D1335" t="str">
            <v>4류 제3석유류(비수용성)</v>
          </cell>
          <cell r="E1335" t="str">
            <v>2000리터</v>
          </cell>
          <cell r="F1335" t="str">
            <v/>
          </cell>
        </row>
        <row r="1336">
          <cell r="B1336" t="str">
            <v>10519-33-2</v>
          </cell>
          <cell r="C1336" t="str">
            <v>데센(3-)-2-온</v>
          </cell>
          <cell r="D1336" t="str">
            <v>4류 제3석유류(비수용성)</v>
          </cell>
          <cell r="E1336" t="str">
            <v>2000리터</v>
          </cell>
          <cell r="F1336">
            <v>1993</v>
          </cell>
        </row>
        <row r="1337">
          <cell r="B1337" t="str">
            <v>105-34-0</v>
          </cell>
          <cell r="C1337" t="str">
            <v>시안초산메틸</v>
          </cell>
          <cell r="D1337" t="str">
            <v>4류 제3석유류(비수용성)</v>
          </cell>
          <cell r="E1337" t="str">
            <v>2000리터</v>
          </cell>
          <cell r="F1337" t="str">
            <v/>
          </cell>
        </row>
        <row r="1338">
          <cell r="B1338" t="str">
            <v>105-43-1</v>
          </cell>
          <cell r="C1338" t="str">
            <v>메틸(3-)노르말레르산</v>
          </cell>
          <cell r="D1338" t="str">
            <v>4류 제3석유류(비수용성)</v>
          </cell>
          <cell r="E1338" t="str">
            <v>2000리터</v>
          </cell>
          <cell r="F1338">
            <v>3265</v>
          </cell>
        </row>
        <row r="1339">
          <cell r="B1339" t="str">
            <v>105-45-3</v>
          </cell>
          <cell r="C1339" t="str">
            <v>아세트초산메틸</v>
          </cell>
          <cell r="D1339" t="str">
            <v>4류 제3석유류(비수용성)</v>
          </cell>
          <cell r="E1339" t="str">
            <v>2000리터</v>
          </cell>
          <cell r="F1339">
            <v>1993</v>
          </cell>
        </row>
        <row r="1340">
          <cell r="B1340" t="str">
            <v>105-48-6</v>
          </cell>
          <cell r="C1340" t="str">
            <v>클로로아세트산이소프로필에스테르</v>
          </cell>
          <cell r="D1340" t="str">
            <v>4류 제3석유류(비수용성)</v>
          </cell>
          <cell r="E1340" t="str">
            <v>2000리터</v>
          </cell>
          <cell r="F1340">
            <v>2947</v>
          </cell>
        </row>
        <row r="1341">
          <cell r="B1341" t="str">
            <v>105-53-3</v>
          </cell>
          <cell r="C1341" t="str">
            <v>말론산 디에틸</v>
          </cell>
          <cell r="D1341" t="str">
            <v>4류 제3석유류(비수용성)</v>
          </cell>
          <cell r="E1341" t="str">
            <v>2000리터</v>
          </cell>
          <cell r="F1341" t="str">
            <v/>
          </cell>
        </row>
        <row r="1342">
          <cell r="B1342" t="str">
            <v>105-56-6</v>
          </cell>
          <cell r="C1342" t="str">
            <v>시안초산에틸</v>
          </cell>
          <cell r="D1342" t="str">
            <v>4류 제3석유류(비수용성)</v>
          </cell>
          <cell r="E1342" t="str">
            <v>2000리터</v>
          </cell>
          <cell r="F1342">
            <v>3334</v>
          </cell>
        </row>
        <row r="1343">
          <cell r="B1343" t="str">
            <v>105-75-9</v>
          </cell>
          <cell r="C1343" t="str">
            <v>포름산디노르말부틸에스테르</v>
          </cell>
          <cell r="D1343" t="str">
            <v>4류 제3석유류(비수용성)</v>
          </cell>
          <cell r="E1343" t="str">
            <v>2000리터</v>
          </cell>
          <cell r="F1343" t="str">
            <v/>
          </cell>
        </row>
        <row r="1344">
          <cell r="B1344" t="str">
            <v>105-76-0</v>
          </cell>
          <cell r="C1344" t="str">
            <v>디부틸말레이트</v>
          </cell>
          <cell r="D1344" t="str">
            <v>4류 제3석유류(비수용성)</v>
          </cell>
          <cell r="E1344" t="str">
            <v>2000리터</v>
          </cell>
          <cell r="F1344" t="str">
            <v/>
          </cell>
        </row>
        <row r="1345">
          <cell r="B1345" t="str">
            <v>105-85-1</v>
          </cell>
          <cell r="C1345" t="str">
            <v>포름산시트로넬릴</v>
          </cell>
          <cell r="D1345" t="str">
            <v>4류 제3석유류(비수용성)</v>
          </cell>
          <cell r="E1345" t="str">
            <v>2000리터</v>
          </cell>
          <cell r="F1345" t="str">
            <v/>
          </cell>
        </row>
        <row r="1346">
          <cell r="B1346" t="str">
            <v>105-86-2</v>
          </cell>
          <cell r="C1346" t="str">
            <v>포름산게라닐</v>
          </cell>
          <cell r="D1346" t="str">
            <v>4류 제3석유류(비수용성)</v>
          </cell>
          <cell r="E1346" t="str">
            <v>2000리터</v>
          </cell>
          <cell r="F1346" t="str">
            <v/>
          </cell>
        </row>
        <row r="1347">
          <cell r="B1347" t="str">
            <v>105-87-3</v>
          </cell>
          <cell r="C1347" t="str">
            <v>초산 게라닐</v>
          </cell>
          <cell r="D1347" t="str">
            <v>4류 제3석유류(비수용성)</v>
          </cell>
          <cell r="E1347" t="str">
            <v>2000리터</v>
          </cell>
          <cell r="F1347" t="str">
            <v/>
          </cell>
        </row>
        <row r="1348">
          <cell r="B1348" t="str">
            <v>105-99-7</v>
          </cell>
          <cell r="C1348" t="str">
            <v>아디프산디노르말부틸에스테르</v>
          </cell>
          <cell r="D1348" t="str">
            <v>4류 제3석유류(비수용성)</v>
          </cell>
          <cell r="E1348" t="str">
            <v>2000리터</v>
          </cell>
          <cell r="F1348" t="str">
            <v/>
          </cell>
        </row>
        <row r="1349">
          <cell r="B1349" t="str">
            <v>10599-70-9</v>
          </cell>
          <cell r="C1349" t="str">
            <v>3-아세틸디메틸아민</v>
          </cell>
          <cell r="D1349" t="str">
            <v>4류 제3석유류(비수용성)</v>
          </cell>
          <cell r="E1349" t="str">
            <v>2000리터</v>
          </cell>
          <cell r="F1349">
            <v>1993</v>
          </cell>
        </row>
        <row r="1350">
          <cell r="B1350" t="str">
            <v>10601-80-6</v>
          </cell>
          <cell r="C1350" t="str">
            <v>디에투시프로피온산에틸에스테르</v>
          </cell>
          <cell r="D1350" t="str">
            <v>4류 제3석유류(비수용성)</v>
          </cell>
          <cell r="E1350" t="str">
            <v>2000리터</v>
          </cell>
          <cell r="F1350">
            <v>1993</v>
          </cell>
        </row>
        <row r="1351">
          <cell r="B1351" t="str">
            <v>106-18-3</v>
          </cell>
          <cell r="C1351" t="str">
            <v>부틸 도데카노산</v>
          </cell>
          <cell r="D1351" t="str">
            <v>4류 제3석유류(비수용성)</v>
          </cell>
          <cell r="E1351" t="str">
            <v>2000리터</v>
          </cell>
          <cell r="F1351" t="str">
            <v/>
          </cell>
        </row>
        <row r="1352">
          <cell r="B1352" t="str">
            <v>106-20-7</v>
          </cell>
          <cell r="C1352" t="str">
            <v>디-2-에틸헥실아민</v>
          </cell>
          <cell r="D1352" t="str">
            <v>4류 제3석유류(비수용성)</v>
          </cell>
          <cell r="E1352" t="str">
            <v>2000리터</v>
          </cell>
          <cell r="F1352">
            <v>2735</v>
          </cell>
        </row>
        <row r="1353">
          <cell r="B1353" t="str">
            <v>106-22-9</v>
          </cell>
          <cell r="C1353" t="str">
            <v>시트로넬롤</v>
          </cell>
          <cell r="D1353" t="str">
            <v>4류 제3석유류(비수용성)</v>
          </cell>
          <cell r="E1353" t="str">
            <v>2000리터</v>
          </cell>
          <cell r="F1353" t="str">
            <v/>
          </cell>
        </row>
        <row r="1354">
          <cell r="B1354" t="str">
            <v>106-23-0</v>
          </cell>
          <cell r="C1354" t="str">
            <v>시트로넬랄</v>
          </cell>
          <cell r="D1354" t="str">
            <v>4류 제3석유류(비수용성)</v>
          </cell>
          <cell r="E1354" t="str">
            <v>2000리터</v>
          </cell>
          <cell r="F1354" t="str">
            <v/>
          </cell>
        </row>
        <row r="1355">
          <cell r="B1355" t="str">
            <v>106-24-1</v>
          </cell>
          <cell r="C1355" t="str">
            <v>게라니올</v>
          </cell>
          <cell r="D1355" t="str">
            <v>4류 제3석유류(비수용성)</v>
          </cell>
          <cell r="E1355" t="str">
            <v>2000리터</v>
          </cell>
          <cell r="F1355" t="str">
            <v/>
          </cell>
        </row>
        <row r="1356">
          <cell r="B1356" t="str">
            <v>106-25-2</v>
          </cell>
          <cell r="C1356" t="str">
            <v>네롤</v>
          </cell>
          <cell r="D1356" t="str">
            <v>4류 제3석유류(비수용성)</v>
          </cell>
          <cell r="E1356" t="str">
            <v>2000리터</v>
          </cell>
          <cell r="F1356" t="str">
            <v/>
          </cell>
        </row>
        <row r="1357">
          <cell r="B1357" t="str">
            <v>106-31-0</v>
          </cell>
          <cell r="C1357" t="str">
            <v>무수부틸산</v>
          </cell>
          <cell r="D1357" t="str">
            <v>4류 제3석유류(비수용성)</v>
          </cell>
          <cell r="E1357" t="str">
            <v>2000리터</v>
          </cell>
          <cell r="F1357">
            <v>2739</v>
          </cell>
        </row>
        <row r="1358">
          <cell r="B1358" t="str">
            <v>106-32-1</v>
          </cell>
          <cell r="C1358" t="str">
            <v>카프릴산에틸</v>
          </cell>
          <cell r="D1358" t="str">
            <v>4류 제3석유류(비수용성)</v>
          </cell>
          <cell r="E1358" t="str">
            <v>2000리터</v>
          </cell>
          <cell r="F1358" t="str">
            <v/>
          </cell>
        </row>
        <row r="1359">
          <cell r="B1359" t="str">
            <v>106-33-2</v>
          </cell>
          <cell r="C1359" t="str">
            <v>라우릴산에틸에스테르</v>
          </cell>
          <cell r="D1359" t="str">
            <v>4류 제3석유류(비수용성)</v>
          </cell>
          <cell r="E1359" t="str">
            <v>2000리터</v>
          </cell>
          <cell r="F1359" t="str">
            <v/>
          </cell>
        </row>
        <row r="1360">
          <cell r="B1360" t="str">
            <v>1067-33-0</v>
          </cell>
          <cell r="C1360" t="str">
            <v>디노르말부틸틴디아세테이트</v>
          </cell>
          <cell r="D1360" t="str">
            <v>4류 제3석유류(비수용성)</v>
          </cell>
          <cell r="E1360" t="str">
            <v>2000리터</v>
          </cell>
          <cell r="F1360">
            <v>2922</v>
          </cell>
        </row>
        <row r="1361">
          <cell r="B1361" t="str">
            <v>1070-70-8</v>
          </cell>
          <cell r="C1361" t="str">
            <v>1,4-부탄디올 디아크릴레이트</v>
          </cell>
          <cell r="D1361" t="str">
            <v>4류 제3석유류(비수용성)</v>
          </cell>
          <cell r="E1361" t="str">
            <v>2000리터</v>
          </cell>
          <cell r="F1361" t="str">
            <v/>
          </cell>
        </row>
        <row r="1362">
          <cell r="B1362" t="str">
            <v>1070-83-3</v>
          </cell>
          <cell r="C1362" t="str">
            <v>부틸(터셔리)아세트산</v>
          </cell>
          <cell r="D1362" t="str">
            <v>4류 제3석유류(비수용성)</v>
          </cell>
          <cell r="E1362" t="str">
            <v>2000리터</v>
          </cell>
          <cell r="F1362">
            <v>3265</v>
          </cell>
        </row>
        <row r="1363">
          <cell r="B1363" t="str">
            <v>1071-73-4</v>
          </cell>
          <cell r="C1363" t="str">
            <v>하이드록시(5-)-2-펜탄온</v>
          </cell>
          <cell r="D1363" t="str">
            <v>4류 제3석유류(비수용성)</v>
          </cell>
          <cell r="E1363" t="str">
            <v>2000리터</v>
          </cell>
          <cell r="F1363" t="str">
            <v/>
          </cell>
        </row>
        <row r="1364">
          <cell r="B1364" t="str">
            <v>107481-28-7</v>
          </cell>
          <cell r="C1364" t="str">
            <v>1,9-노난디올 디아크릴레이트</v>
          </cell>
          <cell r="D1364" t="str">
            <v>4류 제3석유류(비수용성)</v>
          </cell>
          <cell r="E1364" t="str">
            <v>2000리터</v>
          </cell>
          <cell r="F1364" t="str">
            <v/>
          </cell>
        </row>
        <row r="1365">
          <cell r="B1365" t="str">
            <v>1077-16-3</v>
          </cell>
          <cell r="C1365" t="str">
            <v>이소프로페닐-2-톨루엔</v>
          </cell>
          <cell r="D1365" t="str">
            <v>4류 제3석유류(비수용성)</v>
          </cell>
          <cell r="E1365" t="str">
            <v>2000리터</v>
          </cell>
          <cell r="F1365">
            <v>1993</v>
          </cell>
        </row>
        <row r="1366">
          <cell r="B1366" t="str">
            <v>107-75-5</v>
          </cell>
          <cell r="C1366" t="str">
            <v>하이드록시시트로넬랄</v>
          </cell>
          <cell r="D1366" t="str">
            <v>4류 제3석유류(비수용성)</v>
          </cell>
          <cell r="E1366" t="str">
            <v>2000리터</v>
          </cell>
          <cell r="F1366" t="str">
            <v/>
          </cell>
        </row>
        <row r="1367">
          <cell r="B1367" t="str">
            <v>10781-28-7</v>
          </cell>
          <cell r="C1367" t="str">
            <v>1,9-노난디올 디아크릴레이트</v>
          </cell>
          <cell r="D1367" t="str">
            <v>4류 제3석유류(비수용성)</v>
          </cell>
          <cell r="E1367" t="str">
            <v>2000리터</v>
          </cell>
          <cell r="F1367" t="str">
            <v/>
          </cell>
        </row>
        <row r="1368">
          <cell r="B1368" t="str">
            <v>1079-66-9</v>
          </cell>
          <cell r="C1368" t="str">
            <v>디페닐포스피너스클로라이드</v>
          </cell>
          <cell r="D1368" t="str">
            <v>4류 제3석유류(비수용성)</v>
          </cell>
          <cell r="E1368" t="str">
            <v>2000리터</v>
          </cell>
          <cell r="F1368">
            <v>3265</v>
          </cell>
        </row>
        <row r="1369">
          <cell r="B1369" t="str">
            <v>108-32-7</v>
          </cell>
          <cell r="C1369" t="str">
            <v>프로필렌 카보네이트</v>
          </cell>
          <cell r="D1369" t="str">
            <v>4류 제3석유류(비수용성)</v>
          </cell>
          <cell r="E1369" t="str">
            <v>2000리터</v>
          </cell>
          <cell r="F1369" t="str">
            <v/>
          </cell>
        </row>
        <row r="1370">
          <cell r="B1370" t="str">
            <v>108-36-1</v>
          </cell>
          <cell r="C1370" t="str">
            <v>디브로모벤젠(1,3-)</v>
          </cell>
          <cell r="D1370" t="str">
            <v>4류 제3석유류(비수용성)</v>
          </cell>
          <cell r="E1370" t="str">
            <v>2000리터</v>
          </cell>
          <cell r="F1370">
            <v>1993</v>
          </cell>
        </row>
        <row r="1371">
          <cell r="B1371" t="str">
            <v>108-37-2</v>
          </cell>
          <cell r="C1371" t="str">
            <v>3-브로모클로로벤젠</v>
          </cell>
          <cell r="D1371" t="str">
            <v>4류 제3석유류(비수용성)</v>
          </cell>
          <cell r="E1371" t="str">
            <v>2000리터</v>
          </cell>
          <cell r="F1371" t="str">
            <v/>
          </cell>
        </row>
        <row r="1372">
          <cell r="B1372" t="str">
            <v>108-39-4</v>
          </cell>
          <cell r="C1372" t="str">
            <v>m-크레졸</v>
          </cell>
          <cell r="D1372" t="str">
            <v>4류 제3석유류(비수용성)</v>
          </cell>
          <cell r="E1372" t="str">
            <v>2000리터</v>
          </cell>
          <cell r="F1372">
            <v>2076</v>
          </cell>
        </row>
        <row r="1373">
          <cell r="B1373" t="str">
            <v>108-42-9</v>
          </cell>
          <cell r="C1373" t="str">
            <v>M-클로로아닐린</v>
          </cell>
          <cell r="D1373" t="str">
            <v>4류 제3석유류(비수용성)</v>
          </cell>
          <cell r="E1373" t="str">
            <v>2000리터</v>
          </cell>
          <cell r="F1373">
            <v>2019</v>
          </cell>
        </row>
        <row r="1374">
          <cell r="B1374" t="str">
            <v>108-59-8</v>
          </cell>
          <cell r="C1374" t="str">
            <v>말론산 디메틸</v>
          </cell>
          <cell r="D1374" t="str">
            <v>4류 제3석유류(비수용성)</v>
          </cell>
          <cell r="E1374" t="str">
            <v>2000리터</v>
          </cell>
          <cell r="F1374" t="str">
            <v/>
          </cell>
        </row>
        <row r="1375">
          <cell r="B1375" t="str">
            <v>108-69-0</v>
          </cell>
          <cell r="C1375" t="str">
            <v>디메틸-1.3-프로판디아민</v>
          </cell>
          <cell r="D1375" t="str">
            <v>4류 제3석유류(비수용성)</v>
          </cell>
          <cell r="E1375" t="str">
            <v>2000리터</v>
          </cell>
          <cell r="F1375">
            <v>1711</v>
          </cell>
        </row>
        <row r="1376">
          <cell r="B1376" t="str">
            <v>1087-21-4</v>
          </cell>
          <cell r="C1376" t="str">
            <v>이소프탈산디알릴</v>
          </cell>
          <cell r="D1376" t="str">
            <v>4류 제3석유류(비수용성)</v>
          </cell>
          <cell r="E1376" t="str">
            <v>2000리터</v>
          </cell>
          <cell r="F1376" t="str">
            <v/>
          </cell>
        </row>
        <row r="1377">
          <cell r="B1377" t="str">
            <v>109-16-0</v>
          </cell>
          <cell r="C1377" t="str">
            <v>디메타크릴레이트 디에틸렌글리콜</v>
          </cell>
          <cell r="D1377" t="str">
            <v>4류 제3석유류(비수용성)</v>
          </cell>
          <cell r="E1377" t="str">
            <v>2000리터</v>
          </cell>
          <cell r="F1377" t="str">
            <v/>
          </cell>
        </row>
        <row r="1378">
          <cell r="B1378" t="str">
            <v>109-17-1</v>
          </cell>
          <cell r="C1378" t="str">
            <v>디메타크릴레이트 테트라에틸렌글리콜</v>
          </cell>
          <cell r="D1378" t="str">
            <v>4류 제3석유류(비수용성)</v>
          </cell>
          <cell r="E1378" t="str">
            <v>2000리터</v>
          </cell>
          <cell r="F1378" t="str">
            <v/>
          </cell>
        </row>
        <row r="1379">
          <cell r="B1379" t="str">
            <v>109-43-3</v>
          </cell>
          <cell r="C1379" t="str">
            <v>디부틸 세바케이트</v>
          </cell>
          <cell r="D1379" t="str">
            <v>4류 제3석유류(비수용성)</v>
          </cell>
          <cell r="E1379" t="str">
            <v>2000리터</v>
          </cell>
          <cell r="F1379" t="str">
            <v/>
          </cell>
        </row>
        <row r="1380">
          <cell r="B1380" t="str">
            <v>109-52-4</v>
          </cell>
          <cell r="C1380" t="str">
            <v>펜탄산</v>
          </cell>
          <cell r="D1380" t="str">
            <v>4류 제3석유류(비수용성)</v>
          </cell>
          <cell r="E1380" t="str">
            <v>2000리터</v>
          </cell>
          <cell r="F1380">
            <v>3265</v>
          </cell>
        </row>
        <row r="1381">
          <cell r="B1381" t="str">
            <v>109-56-8</v>
          </cell>
          <cell r="C1381" t="str">
            <v>이소프로필아미노-2-에탄올</v>
          </cell>
          <cell r="D1381" t="str">
            <v>4류 제3석유류(비수용성)</v>
          </cell>
          <cell r="E1381" t="str">
            <v>2000리터</v>
          </cell>
          <cell r="F1381" t="str">
            <v/>
          </cell>
        </row>
        <row r="1382">
          <cell r="B1382" t="str">
            <v>110-13-4</v>
          </cell>
          <cell r="C1382" t="str">
            <v>아세토닐아세톤</v>
          </cell>
          <cell r="D1382" t="str">
            <v>4류 제3석유류(비수용성)</v>
          </cell>
          <cell r="E1382" t="str">
            <v>2000리터</v>
          </cell>
          <cell r="F1382">
            <v>1993</v>
          </cell>
        </row>
        <row r="1383">
          <cell r="B1383" t="str">
            <v>110-27-0</v>
          </cell>
          <cell r="C1383" t="str">
            <v>미리스틸산이소프로필에스테르</v>
          </cell>
          <cell r="D1383" t="str">
            <v>4류 제3석유류(비수용성)</v>
          </cell>
          <cell r="E1383" t="str">
            <v>2000리터</v>
          </cell>
          <cell r="F1383" t="str">
            <v/>
          </cell>
        </row>
        <row r="1384">
          <cell r="B1384" t="str">
            <v>110-38-3</v>
          </cell>
          <cell r="C1384" t="str">
            <v>카프릴산에틸에스테르</v>
          </cell>
          <cell r="D1384" t="str">
            <v>4류 제3석유류(비수용성)</v>
          </cell>
          <cell r="E1384" t="str">
            <v>2000리터</v>
          </cell>
          <cell r="F1384" t="str">
            <v/>
          </cell>
        </row>
        <row r="1385">
          <cell r="B1385" t="str">
            <v>110-42-9</v>
          </cell>
          <cell r="C1385" t="str">
            <v>메틸 데카노산</v>
          </cell>
          <cell r="D1385" t="str">
            <v>4류 제3석유류(비수용성)</v>
          </cell>
          <cell r="E1385" t="str">
            <v>2000리터</v>
          </cell>
          <cell r="F1385" t="str">
            <v/>
          </cell>
        </row>
        <row r="1386">
          <cell r="B1386" t="str">
            <v>110-52-1</v>
          </cell>
          <cell r="C1386" t="str">
            <v>1,4-디브로모부탄</v>
          </cell>
          <cell r="D1386" t="str">
            <v>4류 제3석유류(비수용성)</v>
          </cell>
          <cell r="E1386" t="str">
            <v>2000리터</v>
          </cell>
          <cell r="F1386">
            <v>2810</v>
          </cell>
        </row>
        <row r="1387">
          <cell r="B1387" t="str">
            <v>110-64-5</v>
          </cell>
          <cell r="C1387" t="str">
            <v>부텐(2-)-1,4-디올</v>
          </cell>
          <cell r="D1387" t="str">
            <v>4류 제3석유류(비수용성)</v>
          </cell>
          <cell r="E1387" t="str">
            <v>2000리터</v>
          </cell>
          <cell r="F1387" t="str">
            <v/>
          </cell>
        </row>
        <row r="1388">
          <cell r="B1388" t="str">
            <v>11070-44-3</v>
          </cell>
          <cell r="C1388" t="str">
            <v>메틸 테트라하이드로 무수프탈산</v>
          </cell>
          <cell r="D1388" t="str">
            <v>4류 제3석유류(비수용성)</v>
          </cell>
          <cell r="E1388" t="str">
            <v>2000리터</v>
          </cell>
          <cell r="F1388" t="str">
            <v/>
          </cell>
        </row>
        <row r="1389">
          <cell r="B1389" t="str">
            <v>110-73-6</v>
          </cell>
          <cell r="C1389" t="str">
            <v>에틸아미노에탄올</v>
          </cell>
          <cell r="D1389" t="str">
            <v>4류 제3석유류(비수용성)</v>
          </cell>
          <cell r="E1389" t="str">
            <v>2000리터</v>
          </cell>
          <cell r="F1389">
            <v>2810</v>
          </cell>
        </row>
        <row r="1390">
          <cell r="B1390" t="str">
            <v>111-24-0</v>
          </cell>
          <cell r="C1390" t="str">
            <v>1,5-디브로모펜탄</v>
          </cell>
          <cell r="D1390" t="str">
            <v>4류 제3석유류(비수용성)</v>
          </cell>
          <cell r="E1390" t="str">
            <v>2000리터</v>
          </cell>
          <cell r="F1390" t="str">
            <v/>
          </cell>
        </row>
        <row r="1391">
          <cell r="B1391" t="str">
            <v>111-29-5</v>
          </cell>
          <cell r="C1391" t="str">
            <v>1,5-펜탄디올</v>
          </cell>
          <cell r="D1391" t="str">
            <v>4류 제3석유류(비수용성)</v>
          </cell>
          <cell r="E1391" t="str">
            <v>2000리터</v>
          </cell>
          <cell r="F1391" t="str">
            <v/>
          </cell>
        </row>
        <row r="1392">
          <cell r="B1392" t="str">
            <v>1114-51-8</v>
          </cell>
          <cell r="C1392" t="str">
            <v>디에틸프로피온아미드(엔,엔-)</v>
          </cell>
          <cell r="D1392" t="str">
            <v>4류 제3석유류(비수용성)</v>
          </cell>
          <cell r="E1392" t="str">
            <v>2000리터</v>
          </cell>
          <cell r="F1392" t="str">
            <v/>
          </cell>
        </row>
        <row r="1393">
          <cell r="B1393" t="str">
            <v>111-55-7</v>
          </cell>
          <cell r="C1393" t="str">
            <v>디초산에틸렌글리콜</v>
          </cell>
          <cell r="D1393" t="str">
            <v>4류 제3석유류(비수용성)</v>
          </cell>
          <cell r="E1393" t="str">
            <v>2000리터</v>
          </cell>
          <cell r="F1393">
            <v>1993</v>
          </cell>
        </row>
        <row r="1394">
          <cell r="B1394" t="str">
            <v>1116-76-3</v>
          </cell>
          <cell r="C1394" t="str">
            <v>트리-n-옥틸아민</v>
          </cell>
          <cell r="D1394" t="str">
            <v>4류 제3석유류(비수용성)</v>
          </cell>
          <cell r="E1394" t="str">
            <v>2000리터</v>
          </cell>
          <cell r="F1394" t="str">
            <v/>
          </cell>
        </row>
        <row r="1395">
          <cell r="B1395" t="str">
            <v>111-69-3</v>
          </cell>
          <cell r="C1395" t="str">
            <v>아디포니트릴</v>
          </cell>
          <cell r="D1395" t="str">
            <v>4류 제3석유류(비수용성)</v>
          </cell>
          <cell r="E1395" t="str">
            <v>2000리터</v>
          </cell>
          <cell r="F1395">
            <v>2205</v>
          </cell>
        </row>
        <row r="1396">
          <cell r="B1396" t="str">
            <v>1116-98-9</v>
          </cell>
          <cell r="C1396" t="str">
            <v>터트-부틸시아노아세트산</v>
          </cell>
          <cell r="D1396" t="str">
            <v>4류 제3석유류(비수용성)</v>
          </cell>
          <cell r="E1396" t="str">
            <v>2000리터</v>
          </cell>
          <cell r="F1396" t="str">
            <v/>
          </cell>
        </row>
        <row r="1397">
          <cell r="B1397" t="str">
            <v>111-70-6</v>
          </cell>
          <cell r="C1397" t="str">
            <v>n-헵탄올</v>
          </cell>
          <cell r="D1397" t="str">
            <v>4류 제3석유류(비수용성)</v>
          </cell>
          <cell r="E1397" t="str">
            <v>2000리터</v>
          </cell>
          <cell r="F1397" t="str">
            <v/>
          </cell>
        </row>
        <row r="1398">
          <cell r="B1398" t="str">
            <v>1117-37-9</v>
          </cell>
          <cell r="C1398" t="str">
            <v>에틸-3-디메틸아미노 아크릴레이트</v>
          </cell>
          <cell r="D1398" t="str">
            <v>4류 제3석유류(비수용성)</v>
          </cell>
          <cell r="E1398" t="str">
            <v>2000리터</v>
          </cell>
          <cell r="F1398" t="str">
            <v/>
          </cell>
        </row>
        <row r="1399">
          <cell r="B1399" t="str">
            <v>111-77-3</v>
          </cell>
          <cell r="C1399" t="str">
            <v>2-(메톡시에톡시)에탄올DI</v>
          </cell>
          <cell r="D1399" t="str">
            <v>4류 제3석유류(비수용성)</v>
          </cell>
          <cell r="E1399" t="str">
            <v>2000리터</v>
          </cell>
          <cell r="F1399" t="str">
            <v/>
          </cell>
        </row>
        <row r="1400">
          <cell r="B1400" t="str">
            <v>111-80-8</v>
          </cell>
          <cell r="C1400" t="str">
            <v>메틸 2-노니노에이트</v>
          </cell>
          <cell r="D1400" t="str">
            <v>4류 제3석유류(비수용성)</v>
          </cell>
          <cell r="E1400" t="str">
            <v>2000리터</v>
          </cell>
          <cell r="F1400" t="str">
            <v/>
          </cell>
        </row>
        <row r="1401">
          <cell r="B1401" t="str">
            <v>111-82-0</v>
          </cell>
          <cell r="C1401" t="str">
            <v>라우릴산메틸에스테르</v>
          </cell>
          <cell r="D1401" t="str">
            <v>4류 제3석유류(비수용성)</v>
          </cell>
          <cell r="E1401" t="str">
            <v>2000리터</v>
          </cell>
          <cell r="F1401" t="str">
            <v/>
          </cell>
        </row>
        <row r="1402">
          <cell r="B1402" t="str">
            <v>111-83-1</v>
          </cell>
          <cell r="C1402" t="str">
            <v>브롬화옥틸</v>
          </cell>
          <cell r="D1402" t="str">
            <v>4류 제3석유류(비수용성)</v>
          </cell>
          <cell r="E1402" t="str">
            <v>2000리터</v>
          </cell>
          <cell r="F1402" t="str">
            <v/>
          </cell>
        </row>
        <row r="1403">
          <cell r="B1403" t="str">
            <v>111-87-5</v>
          </cell>
          <cell r="C1403" t="str">
            <v>1-옥타놀</v>
          </cell>
          <cell r="D1403" t="str">
            <v>4류 제3석유류(비수용성)</v>
          </cell>
          <cell r="E1403" t="str">
            <v>2000리터</v>
          </cell>
          <cell r="F1403" t="str">
            <v/>
          </cell>
        </row>
        <row r="1404">
          <cell r="B1404" t="str">
            <v>1118-84-9</v>
          </cell>
          <cell r="C1404" t="str">
            <v>아세트초산알릴</v>
          </cell>
          <cell r="D1404" t="str">
            <v>4류 제3석유류(비수용성)</v>
          </cell>
          <cell r="E1404" t="str">
            <v>2000리터</v>
          </cell>
          <cell r="F1404">
            <v>2810</v>
          </cell>
        </row>
        <row r="1405">
          <cell r="B1405" t="str">
            <v>111-88-6</v>
          </cell>
          <cell r="C1405" t="str">
            <v>N-옥틸메르캅탄</v>
          </cell>
          <cell r="D1405" t="str">
            <v>4류 제3석유류(비수용성)</v>
          </cell>
          <cell r="E1405" t="str">
            <v>2000리터</v>
          </cell>
          <cell r="F1405">
            <v>3334</v>
          </cell>
        </row>
        <row r="1406">
          <cell r="B1406" t="str">
            <v>111-91-1</v>
          </cell>
          <cell r="C1406" t="str">
            <v>디클로로에틸포말</v>
          </cell>
          <cell r="D1406" t="str">
            <v>4류 제3석유류(비수용성)</v>
          </cell>
          <cell r="E1406" t="str">
            <v>2000리터</v>
          </cell>
          <cell r="F1406">
            <v>2810</v>
          </cell>
        </row>
        <row r="1407">
          <cell r="B1407" t="str">
            <v>1119-40-0</v>
          </cell>
          <cell r="C1407" t="str">
            <v>플루탈산디메틸에스테르</v>
          </cell>
          <cell r="D1407" t="str">
            <v>4류 제3석유류(비수용성)</v>
          </cell>
          <cell r="E1407" t="str">
            <v>2000리터</v>
          </cell>
          <cell r="F1407" t="str">
            <v/>
          </cell>
        </row>
        <row r="1408">
          <cell r="B1408" t="str">
            <v>1120-06-5</v>
          </cell>
          <cell r="C1408" t="str">
            <v>2-데카놀</v>
          </cell>
          <cell r="D1408" t="str">
            <v>4류 제3석유류(비수용성)</v>
          </cell>
          <cell r="E1408" t="str">
            <v>2000리터</v>
          </cell>
          <cell r="F1408">
            <v>3082</v>
          </cell>
        </row>
        <row r="1409">
          <cell r="B1409" t="str">
            <v>1120-48-5</v>
          </cell>
          <cell r="C1409" t="str">
            <v>디-n-옥틸아민</v>
          </cell>
          <cell r="D1409" t="str">
            <v>4류 제3석유류(비수용성)</v>
          </cell>
          <cell r="E1409" t="str">
            <v>2000리터</v>
          </cell>
          <cell r="F1409">
            <v>2735</v>
          </cell>
        </row>
        <row r="1410">
          <cell r="B1410" t="str">
            <v>112-05-0</v>
          </cell>
          <cell r="C1410" t="str">
            <v>펠라곤산</v>
          </cell>
          <cell r="D1410" t="str">
            <v>4류 제3석유류(비수용성)</v>
          </cell>
          <cell r="E1410" t="str">
            <v>2000리터</v>
          </cell>
          <cell r="F1410">
            <v>3265</v>
          </cell>
        </row>
        <row r="1411">
          <cell r="B1411" t="str">
            <v>112-13-0</v>
          </cell>
          <cell r="C1411" t="str">
            <v>데카노일(노르말)클로라이드</v>
          </cell>
          <cell r="D1411" t="str">
            <v>4류 제3석유류(비수용성)</v>
          </cell>
          <cell r="E1411" t="str">
            <v>2000리터</v>
          </cell>
          <cell r="F1411">
            <v>3265</v>
          </cell>
        </row>
        <row r="1412">
          <cell r="B1412" t="str">
            <v>112-14-1</v>
          </cell>
          <cell r="C1412" t="str">
            <v>아세트산노르말-옥틸에스테르</v>
          </cell>
          <cell r="D1412" t="str">
            <v>4류 제3석유류(비수용성)</v>
          </cell>
          <cell r="E1412" t="str">
            <v>2000리터</v>
          </cell>
          <cell r="F1412">
            <v>1993</v>
          </cell>
        </row>
        <row r="1413">
          <cell r="B1413" t="str">
            <v>112-18-5</v>
          </cell>
          <cell r="C1413" t="str">
            <v>디메틸노르말데실아민</v>
          </cell>
          <cell r="D1413" t="str">
            <v>4류 제3석유류(비수용성)</v>
          </cell>
          <cell r="E1413" t="str">
            <v>2000리터</v>
          </cell>
          <cell r="F1413">
            <v>2735</v>
          </cell>
        </row>
        <row r="1414">
          <cell r="B1414" t="str">
            <v>112-20-9</v>
          </cell>
          <cell r="C1414" t="str">
            <v>노닐아민(노르말)</v>
          </cell>
          <cell r="D1414" t="str">
            <v>4류 제3석유류(비수용성)</v>
          </cell>
          <cell r="E1414" t="str">
            <v>2000리터</v>
          </cell>
          <cell r="F1414">
            <v>2735</v>
          </cell>
        </row>
        <row r="1415">
          <cell r="B1415" t="str">
            <v>112-25-4</v>
          </cell>
          <cell r="C1415" t="str">
            <v>에틸렌글리콜모노노르말헥실에테르</v>
          </cell>
          <cell r="D1415" t="str">
            <v>4류 제3석유류(비수용성)</v>
          </cell>
          <cell r="E1415" t="str">
            <v>2000리터</v>
          </cell>
          <cell r="F1415">
            <v>2922</v>
          </cell>
        </row>
        <row r="1416">
          <cell r="B1416" t="str">
            <v>1122-54-9</v>
          </cell>
          <cell r="C1416" t="str">
            <v>4-아세틸피리딘</v>
          </cell>
          <cell r="D1416" t="str">
            <v>4류 제3석유류(비수용성)</v>
          </cell>
          <cell r="E1416" t="str">
            <v>2000리터</v>
          </cell>
          <cell r="F1416" t="str">
            <v/>
          </cell>
        </row>
        <row r="1417">
          <cell r="B1417" t="str">
            <v>1122-60-7</v>
          </cell>
          <cell r="C1417" t="str">
            <v>헥사하이드로니트로벤젠</v>
          </cell>
          <cell r="D1417" t="str">
            <v>4류 제3석유류(비수용성)</v>
          </cell>
          <cell r="E1417" t="str">
            <v>2000리터</v>
          </cell>
          <cell r="F1417">
            <v>3382</v>
          </cell>
        </row>
        <row r="1418">
          <cell r="B1418" t="str">
            <v>1122-62-9</v>
          </cell>
          <cell r="C1418" t="str">
            <v>2-아세틸피리딘</v>
          </cell>
          <cell r="D1418" t="str">
            <v>4류 제3석유류(비수용성)</v>
          </cell>
          <cell r="E1418" t="str">
            <v>2000리터</v>
          </cell>
          <cell r="F1418">
            <v>1993</v>
          </cell>
        </row>
        <row r="1419">
          <cell r="B1419" t="str">
            <v>112-26-5</v>
          </cell>
          <cell r="C1419" t="str">
            <v>트리글리콜 디클로라이드</v>
          </cell>
          <cell r="D1419" t="str">
            <v>4류 제3석유류(비수용성)</v>
          </cell>
          <cell r="E1419" t="str">
            <v>2000리터</v>
          </cell>
          <cell r="F1419">
            <v>2810</v>
          </cell>
        </row>
        <row r="1420">
          <cell r="B1420" t="str">
            <v>1122-82-3</v>
          </cell>
          <cell r="C1420" t="str">
            <v>이소티오시안산시클로헥실에스테르</v>
          </cell>
          <cell r="D1420" t="str">
            <v>4류 제3석유류(비수용성)</v>
          </cell>
          <cell r="E1420" t="str">
            <v>2000리터</v>
          </cell>
          <cell r="F1420">
            <v>3265</v>
          </cell>
        </row>
        <row r="1421">
          <cell r="B1421" t="str">
            <v>112-29-8</v>
          </cell>
          <cell r="C1421" t="str">
            <v>1-브로모데칸</v>
          </cell>
          <cell r="D1421" t="str">
            <v>4류 제3석유류(비수용성)</v>
          </cell>
          <cell r="E1421" t="str">
            <v>2000리터</v>
          </cell>
          <cell r="F1421" t="str">
            <v/>
          </cell>
        </row>
        <row r="1422">
          <cell r="B1422" t="str">
            <v>1123-00-8</v>
          </cell>
          <cell r="C1422" t="str">
            <v>시클로펜틸아세트산</v>
          </cell>
          <cell r="D1422" t="str">
            <v>4류 제3석유류(비수용성)</v>
          </cell>
          <cell r="E1422" t="str">
            <v>2000리터</v>
          </cell>
          <cell r="F1422" t="str">
            <v/>
          </cell>
        </row>
        <row r="1423">
          <cell r="B1423" t="str">
            <v>112-30-1</v>
          </cell>
          <cell r="C1423" t="str">
            <v>데실 알코올</v>
          </cell>
          <cell r="D1423" t="str">
            <v>4류 제3석유류(비수용성)</v>
          </cell>
          <cell r="E1423" t="str">
            <v>2000리터</v>
          </cell>
          <cell r="F1423">
            <v>3082</v>
          </cell>
        </row>
        <row r="1424">
          <cell r="B1424" t="str">
            <v>112-31-2</v>
          </cell>
          <cell r="C1424" t="str">
            <v>데실알데히드</v>
          </cell>
          <cell r="D1424" t="str">
            <v>4류 제3석유류(비수용성)</v>
          </cell>
          <cell r="E1424" t="str">
            <v>2000리터</v>
          </cell>
          <cell r="F1424">
            <v>3082</v>
          </cell>
        </row>
        <row r="1425">
          <cell r="B1425" t="str">
            <v>112-38-9</v>
          </cell>
          <cell r="C1425" t="str">
            <v>운데실렌산</v>
          </cell>
          <cell r="D1425" t="str">
            <v>4류 제3석유류(비수용성)</v>
          </cell>
          <cell r="E1425" t="str">
            <v>2000리터</v>
          </cell>
          <cell r="F1425" t="str">
            <v/>
          </cell>
        </row>
        <row r="1426">
          <cell r="B1426" t="str">
            <v>112-40-3</v>
          </cell>
          <cell r="C1426" t="str">
            <v>노르말도데칸</v>
          </cell>
          <cell r="D1426" t="str">
            <v>4류 제3석유류(비수용성)</v>
          </cell>
          <cell r="E1426" t="str">
            <v>2000리터</v>
          </cell>
          <cell r="F1426">
            <v>1993</v>
          </cell>
        </row>
        <row r="1427">
          <cell r="B1427" t="str">
            <v>112-41-4</v>
          </cell>
          <cell r="C1427" t="str">
            <v>도데센(1-)</v>
          </cell>
          <cell r="D1427" t="str">
            <v>4류 제3석유류(비수용성)</v>
          </cell>
          <cell r="E1427" t="str">
            <v>2000리터</v>
          </cell>
          <cell r="F1427" t="str">
            <v/>
          </cell>
        </row>
        <row r="1428">
          <cell r="B1428" t="str">
            <v>112-45-8</v>
          </cell>
          <cell r="C1428" t="str">
            <v>운데실렌알데히드</v>
          </cell>
          <cell r="D1428" t="str">
            <v>4류 제3석유류(비수용성)</v>
          </cell>
          <cell r="E1428" t="str">
            <v>2000리터</v>
          </cell>
          <cell r="F1428" t="str">
            <v/>
          </cell>
        </row>
        <row r="1429">
          <cell r="B1429" t="str">
            <v>1124-63-6</v>
          </cell>
          <cell r="C1429" t="str">
            <v>시클로헥실프로판올</v>
          </cell>
          <cell r="D1429" t="str">
            <v>4류 제3석유류(비수용성)</v>
          </cell>
          <cell r="E1429" t="str">
            <v>2000리터</v>
          </cell>
          <cell r="F1429" t="str">
            <v/>
          </cell>
        </row>
        <row r="1430">
          <cell r="B1430" t="str">
            <v>112-52-7</v>
          </cell>
          <cell r="C1430" t="str">
            <v>클로로도데칸</v>
          </cell>
          <cell r="D1430" t="str">
            <v>4류 제3석유류(비수용성)</v>
          </cell>
          <cell r="E1430" t="str">
            <v>2000리터</v>
          </cell>
          <cell r="F1430">
            <v>3082</v>
          </cell>
        </row>
        <row r="1431">
          <cell r="B1431" t="str">
            <v>112-53-8</v>
          </cell>
          <cell r="C1431" t="str">
            <v>라우릴 알코올</v>
          </cell>
          <cell r="D1431" t="str">
            <v>4류 제3석유류(비수용성)</v>
          </cell>
          <cell r="E1431" t="str">
            <v>2000리터</v>
          </cell>
          <cell r="F1431">
            <v>3077</v>
          </cell>
        </row>
        <row r="1432">
          <cell r="B1432" t="str">
            <v>112-55-0</v>
          </cell>
          <cell r="C1432" t="str">
            <v>n-도데실메르캅탄</v>
          </cell>
          <cell r="D1432" t="str">
            <v>4류 제3석유류(비수용성)</v>
          </cell>
          <cell r="E1432" t="str">
            <v>2000리터</v>
          </cell>
          <cell r="F1432">
            <v>3334</v>
          </cell>
        </row>
        <row r="1433">
          <cell r="B1433" t="str">
            <v>112-58-3</v>
          </cell>
          <cell r="C1433" t="str">
            <v>헥실(노르말)에테르</v>
          </cell>
          <cell r="D1433" t="str">
            <v>4류 제3석유류(비수용성)</v>
          </cell>
          <cell r="E1433" t="str">
            <v>2000리터</v>
          </cell>
          <cell r="F1433">
            <v>1993</v>
          </cell>
        </row>
        <row r="1434">
          <cell r="B1434" t="str">
            <v>112-63-0</v>
          </cell>
          <cell r="C1434" t="str">
            <v>메틸 일노르산</v>
          </cell>
          <cell r="D1434" t="str">
            <v>4류 제3석유류(비수용성)</v>
          </cell>
          <cell r="E1434" t="str">
            <v>2000리터</v>
          </cell>
          <cell r="F1434" t="str">
            <v/>
          </cell>
        </row>
        <row r="1435">
          <cell r="B1435" t="str">
            <v>1126-78-9</v>
          </cell>
          <cell r="C1435" t="str">
            <v>부틸아민(엔-노르말)</v>
          </cell>
          <cell r="D1435" t="str">
            <v>4류 제3석유류(비수용성)</v>
          </cell>
          <cell r="E1435" t="str">
            <v>2000리터</v>
          </cell>
          <cell r="F1435">
            <v>2738</v>
          </cell>
        </row>
        <row r="1436">
          <cell r="B1436" t="str">
            <v>1126-79-0</v>
          </cell>
          <cell r="C1436" t="str">
            <v>부틸페놀</v>
          </cell>
          <cell r="D1436" t="str">
            <v>4류 제3석유류(비수용성)</v>
          </cell>
          <cell r="E1436" t="str">
            <v>2000리터</v>
          </cell>
          <cell r="F1436">
            <v>1993</v>
          </cell>
        </row>
        <row r="1437">
          <cell r="B1437" t="str">
            <v>112-69-6</v>
          </cell>
          <cell r="C1437" t="str">
            <v>디메틸노르말헥사데실아민</v>
          </cell>
          <cell r="D1437" t="str">
            <v>4류 제3석유류(비수용성)</v>
          </cell>
          <cell r="E1437" t="str">
            <v>2000리터</v>
          </cell>
          <cell r="F1437">
            <v>2735</v>
          </cell>
        </row>
        <row r="1438">
          <cell r="B1438" t="str">
            <v>112-73-2</v>
          </cell>
          <cell r="C1438" t="str">
            <v>디에틸렌글리콜디노르말부틸에테르</v>
          </cell>
          <cell r="D1438" t="str">
            <v>4류 제3석유류(비수용성)</v>
          </cell>
          <cell r="E1438" t="str">
            <v>2000리터</v>
          </cell>
          <cell r="F1438" t="str">
            <v/>
          </cell>
        </row>
        <row r="1439">
          <cell r="B1439" t="str">
            <v>112-75-4</v>
          </cell>
          <cell r="C1439" t="str">
            <v>디메틸노르말테트라데실아민</v>
          </cell>
          <cell r="D1439" t="str">
            <v>4류 제3석유류(비수용성)</v>
          </cell>
          <cell r="E1439" t="str">
            <v>2000리터</v>
          </cell>
          <cell r="F1439">
            <v>2735</v>
          </cell>
        </row>
        <row r="1440">
          <cell r="B1440" t="str">
            <v>1128-08-1</v>
          </cell>
          <cell r="C1440" t="str">
            <v>디하이드로 쟈스몬</v>
          </cell>
          <cell r="D1440" t="str">
            <v>4류 제3석유류(비수용성)</v>
          </cell>
          <cell r="E1440" t="str">
            <v>2000리터</v>
          </cell>
          <cell r="F1440" t="str">
            <v/>
          </cell>
        </row>
        <row r="1441">
          <cell r="B1441" t="str">
            <v>112-82-3</v>
          </cell>
          <cell r="C1441" t="str">
            <v>1-브로모헥사데칸</v>
          </cell>
          <cell r="D1441" t="str">
            <v>4류 제3석유류(비수용성)</v>
          </cell>
          <cell r="E1441" t="str">
            <v>2000리터</v>
          </cell>
          <cell r="F1441" t="str">
            <v/>
          </cell>
        </row>
        <row r="1442">
          <cell r="B1442" t="str">
            <v>112-88-9</v>
          </cell>
          <cell r="C1442" t="str">
            <v>옥타데센(1-)</v>
          </cell>
          <cell r="D1442" t="str">
            <v>4류 제3석유류(비수용성)</v>
          </cell>
          <cell r="E1442" t="str">
            <v>2000리터</v>
          </cell>
          <cell r="F1442" t="str">
            <v/>
          </cell>
        </row>
        <row r="1443">
          <cell r="B1443" t="str">
            <v>114435-02-8</v>
          </cell>
          <cell r="C1443" t="str">
            <v>4-플루오로에틸렌카보네이트</v>
          </cell>
          <cell r="D1443" t="str">
            <v>4류 제3석유류(비수용성)</v>
          </cell>
          <cell r="E1443" t="str">
            <v>2000리터</v>
          </cell>
          <cell r="F1443" t="str">
            <v/>
          </cell>
        </row>
        <row r="1444">
          <cell r="B1444" t="str">
            <v>115-95-7</v>
          </cell>
          <cell r="C1444" t="str">
            <v>초산 리나릴</v>
          </cell>
          <cell r="D1444" t="str">
            <v>4류 제3석유류(비수용성)</v>
          </cell>
          <cell r="E1444" t="str">
            <v>2000리터</v>
          </cell>
          <cell r="F1444" t="str">
            <v/>
          </cell>
        </row>
        <row r="1445">
          <cell r="B1445" t="str">
            <v>116-02-9</v>
          </cell>
          <cell r="C1445" t="str">
            <v>트리메틸사이클로헥사놀-3,3,5</v>
          </cell>
          <cell r="D1445" t="str">
            <v>4류 제3석유류(비수용성)</v>
          </cell>
          <cell r="E1445" t="str">
            <v>2000리터</v>
          </cell>
          <cell r="F1445">
            <v>1993</v>
          </cell>
        </row>
        <row r="1446">
          <cell r="B1446" t="str">
            <v>116-53-0</v>
          </cell>
          <cell r="C1446" t="str">
            <v>2-메틸부틸산</v>
          </cell>
          <cell r="D1446" t="str">
            <v>4류 제3석유류(비수용성)</v>
          </cell>
          <cell r="E1446" t="str">
            <v>2000리터</v>
          </cell>
          <cell r="F1446" t="str">
            <v/>
          </cell>
        </row>
        <row r="1447">
          <cell r="B1447" t="str">
            <v>118-58-1</v>
          </cell>
          <cell r="C1447" t="str">
            <v>살리실산벤질</v>
          </cell>
          <cell r="D1447" t="str">
            <v>4류 제3석유류(비수용성)</v>
          </cell>
          <cell r="E1447" t="str">
            <v>2000리터</v>
          </cell>
          <cell r="F1447" t="str">
            <v/>
          </cell>
        </row>
        <row r="1448">
          <cell r="B1448" t="str">
            <v>118-69-4</v>
          </cell>
          <cell r="C1448" t="str">
            <v>2,6-디클로로톨루엔</v>
          </cell>
          <cell r="D1448" t="str">
            <v>4류 제3석유류(비수용성)</v>
          </cell>
          <cell r="E1448" t="str">
            <v>2000리터</v>
          </cell>
          <cell r="F1448" t="str">
            <v/>
          </cell>
        </row>
        <row r="1449">
          <cell r="B1449" t="str">
            <v>1187-58-2</v>
          </cell>
          <cell r="C1449" t="str">
            <v>메틸프로피온아미드</v>
          </cell>
          <cell r="D1449" t="str">
            <v>4류 제3석유류(비수용성)</v>
          </cell>
          <cell r="E1449" t="str">
            <v>2000리터</v>
          </cell>
          <cell r="F1449" t="str">
            <v/>
          </cell>
        </row>
        <row r="1450">
          <cell r="B1450" t="str">
            <v>1189-08-8</v>
          </cell>
          <cell r="C1450" t="str">
            <v>디메타크릴레이트 1,3-부틸렌글리콜</v>
          </cell>
          <cell r="D1450" t="str">
            <v>4류 제3석유류(비수용성)</v>
          </cell>
          <cell r="E1450" t="str">
            <v>2000리터</v>
          </cell>
          <cell r="F1450" t="str">
            <v/>
          </cell>
        </row>
        <row r="1451">
          <cell r="B1451" t="str">
            <v>1191-08-8</v>
          </cell>
          <cell r="C1451" t="str">
            <v>부탄디티올(1,4)</v>
          </cell>
          <cell r="D1451" t="str">
            <v>4류 제3석유류(비수용성)</v>
          </cell>
          <cell r="E1451" t="str">
            <v>2000리터</v>
          </cell>
          <cell r="F1451">
            <v>3334</v>
          </cell>
        </row>
        <row r="1452">
          <cell r="B1452" t="str">
            <v>1191-43-1</v>
          </cell>
          <cell r="C1452" t="str">
            <v>헥산디티올(1,-6)</v>
          </cell>
          <cell r="D1452" t="str">
            <v>4류 제3석유류(비수용성)</v>
          </cell>
          <cell r="E1452" t="str">
            <v>2000리터</v>
          </cell>
          <cell r="F1452">
            <v>3334</v>
          </cell>
        </row>
        <row r="1453">
          <cell r="B1453" t="str">
            <v>1192-58-1</v>
          </cell>
          <cell r="C1453" t="str">
            <v>메틸-2-피롤카복시알데히드</v>
          </cell>
          <cell r="D1453" t="str">
            <v>4류 제3석유류(비수용성)</v>
          </cell>
          <cell r="E1453" t="str">
            <v>2000리터</v>
          </cell>
          <cell r="F1453">
            <v>1993</v>
          </cell>
        </row>
        <row r="1454">
          <cell r="B1454" t="str">
            <v>119-36-8</v>
          </cell>
          <cell r="C1454" t="str">
            <v>살리실산메틸</v>
          </cell>
          <cell r="D1454" t="str">
            <v>4류 제3석유류(비수용성)</v>
          </cell>
          <cell r="E1454" t="str">
            <v>2000리터</v>
          </cell>
          <cell r="F1454" t="str">
            <v/>
          </cell>
        </row>
        <row r="1455">
          <cell r="B1455" t="str">
            <v>119-64-2</v>
          </cell>
          <cell r="C1455" t="str">
            <v>테트라하이드로나트탈린</v>
          </cell>
          <cell r="D1455" t="str">
            <v>4류 제3석유류(비수용성)</v>
          </cell>
          <cell r="E1455" t="str">
            <v>2000리터</v>
          </cell>
          <cell r="F1455">
            <v>2810</v>
          </cell>
        </row>
        <row r="1456">
          <cell r="B1456" t="str">
            <v>119-84-6</v>
          </cell>
          <cell r="C1456" t="str">
            <v>디하이드로코마린(3,4-)</v>
          </cell>
          <cell r="D1456" t="str">
            <v>4류 제3석유류(비수용성)</v>
          </cell>
          <cell r="E1456" t="str">
            <v>2000리터</v>
          </cell>
          <cell r="F1456" t="str">
            <v/>
          </cell>
        </row>
        <row r="1457">
          <cell r="B1457" t="str">
            <v>120-12-7</v>
          </cell>
          <cell r="C1457" t="str">
            <v>안트라센</v>
          </cell>
          <cell r="D1457" t="str">
            <v>4류 제3석유류(비수용성)</v>
          </cell>
          <cell r="E1457" t="str">
            <v>2000리터</v>
          </cell>
          <cell r="F1457" t="str">
            <v/>
          </cell>
        </row>
        <row r="1458">
          <cell r="B1458" t="str">
            <v>120-50-3</v>
          </cell>
          <cell r="C1458" t="str">
            <v>벤조산이소부틸에스테르</v>
          </cell>
          <cell r="D1458" t="str">
            <v>4류 제3석유류(비수용성)</v>
          </cell>
          <cell r="E1458" t="str">
            <v>2000리터</v>
          </cell>
          <cell r="F1458" t="str">
            <v/>
          </cell>
        </row>
        <row r="1459">
          <cell r="B1459" t="str">
            <v>120-51-4</v>
          </cell>
          <cell r="C1459" t="str">
            <v>안식향산벤질</v>
          </cell>
          <cell r="D1459" t="str">
            <v>4류 제3석유류(비수용성)</v>
          </cell>
          <cell r="E1459" t="str">
            <v>2000리터</v>
          </cell>
          <cell r="F1459">
            <v>2810</v>
          </cell>
        </row>
        <row r="1460">
          <cell r="B1460" t="str">
            <v>120-58-1</v>
          </cell>
          <cell r="C1460" t="str">
            <v>이소샤프롤</v>
          </cell>
          <cell r="D1460" t="str">
            <v>4류 제3석유류(비수용성)</v>
          </cell>
          <cell r="E1460" t="str">
            <v>2000리터</v>
          </cell>
          <cell r="F1460">
            <v>3082</v>
          </cell>
        </row>
        <row r="1461">
          <cell r="B1461" t="str">
            <v>120-75-2</v>
          </cell>
          <cell r="C1461" t="str">
            <v>메틸벤조티아졸</v>
          </cell>
          <cell r="D1461" t="str">
            <v>4류 제3석유류(비수용성)</v>
          </cell>
          <cell r="E1461" t="str">
            <v>2000리터</v>
          </cell>
          <cell r="F1461" t="str">
            <v/>
          </cell>
        </row>
        <row r="1462">
          <cell r="B1462" t="str">
            <v>121-69-7</v>
          </cell>
          <cell r="C1462" t="str">
            <v>N,N-디메틸아닐린</v>
          </cell>
          <cell r="D1462" t="str">
            <v>4류 제3석유류(비수용성)</v>
          </cell>
          <cell r="E1462" t="str">
            <v>2000리터</v>
          </cell>
          <cell r="F1462">
            <v>2253</v>
          </cell>
        </row>
        <row r="1463">
          <cell r="B1463" t="str">
            <v>121-72-2</v>
          </cell>
          <cell r="C1463" t="str">
            <v>디메틸-메타-톨루이딘</v>
          </cell>
          <cell r="D1463" t="str">
            <v>4류 제3석유류(비수용성)</v>
          </cell>
          <cell r="E1463" t="str">
            <v>2000리터</v>
          </cell>
          <cell r="F1463">
            <v>2810</v>
          </cell>
        </row>
        <row r="1464">
          <cell r="B1464" t="str">
            <v>121915-68-2</v>
          </cell>
          <cell r="C1464" t="str">
            <v>무수프탈산-아크릴산 2-하이드록시프로...</v>
          </cell>
          <cell r="D1464" t="str">
            <v>4류 제3석유류(비수용성)</v>
          </cell>
          <cell r="E1464" t="str">
            <v>2000리터</v>
          </cell>
          <cell r="F1464" t="str">
            <v/>
          </cell>
        </row>
        <row r="1465">
          <cell r="B1465" t="str">
            <v>122-01-0</v>
          </cell>
          <cell r="C1465" t="str">
            <v>p-클로로벤조일 클로라이드</v>
          </cell>
          <cell r="D1465" t="str">
            <v>4류 제3석유류(비수용성)</v>
          </cell>
          <cell r="E1465" t="str">
            <v>2000리터</v>
          </cell>
          <cell r="F1465">
            <v>3265</v>
          </cell>
        </row>
        <row r="1466">
          <cell r="B1466" t="str">
            <v>122-03-2</v>
          </cell>
          <cell r="C1466" t="str">
            <v>쿠민알데히드</v>
          </cell>
          <cell r="D1466" t="str">
            <v>4류 제3석유류(비수용성)</v>
          </cell>
          <cell r="E1466" t="str">
            <v>2000리터</v>
          </cell>
          <cell r="F1466" t="str">
            <v/>
          </cell>
        </row>
        <row r="1467">
          <cell r="B1467" t="str">
            <v>122-40-7</v>
          </cell>
          <cell r="C1467" t="str">
            <v>아밀신나믹알데히드</v>
          </cell>
          <cell r="D1467" t="str">
            <v>4류 제3석유류(비수용성)</v>
          </cell>
          <cell r="E1467" t="str">
            <v>2000리터</v>
          </cell>
          <cell r="F1467" t="str">
            <v/>
          </cell>
        </row>
        <row r="1468">
          <cell r="B1468" t="str">
            <v>122-60-1</v>
          </cell>
          <cell r="C1468" t="str">
            <v>페닐글리시딜에테르</v>
          </cell>
          <cell r="D1468" t="str">
            <v>4류 제3석유류(비수용성)</v>
          </cell>
          <cell r="E1468" t="str">
            <v>2000리터</v>
          </cell>
          <cell r="F1468" t="str">
            <v/>
          </cell>
        </row>
        <row r="1469">
          <cell r="B1469" t="str">
            <v>122-63-4</v>
          </cell>
          <cell r="C1469" t="str">
            <v>프로피온산 벤질</v>
          </cell>
          <cell r="D1469" t="str">
            <v>4류 제3석유류(비수용성)</v>
          </cell>
          <cell r="E1469" t="str">
            <v>2000리터</v>
          </cell>
          <cell r="F1469" t="str">
            <v/>
          </cell>
        </row>
        <row r="1470">
          <cell r="B1470" t="str">
            <v>122-72-5</v>
          </cell>
          <cell r="C1470" t="str">
            <v>아세트산3-페닐프로필에스테르</v>
          </cell>
          <cell r="D1470" t="str">
            <v>4류 제3석유류(비수용성)</v>
          </cell>
          <cell r="E1470" t="str">
            <v>2000리터</v>
          </cell>
          <cell r="F1470" t="str">
            <v/>
          </cell>
        </row>
        <row r="1471">
          <cell r="B1471" t="str">
            <v>122-78-1</v>
          </cell>
          <cell r="C1471" t="str">
            <v>페닐 아세트알데히드</v>
          </cell>
          <cell r="D1471" t="str">
            <v>4류 제3석유류(비수용성)</v>
          </cell>
          <cell r="E1471" t="str">
            <v>2000리터</v>
          </cell>
          <cell r="F1471" t="str">
            <v/>
          </cell>
        </row>
        <row r="1472">
          <cell r="B1472" t="str">
            <v>122-79-2</v>
          </cell>
          <cell r="C1472" t="str">
            <v>아세트산페닐에스테르</v>
          </cell>
          <cell r="D1472" t="str">
            <v>4류 제3석유류(비수용성)</v>
          </cell>
          <cell r="E1472" t="str">
            <v>2000리터</v>
          </cell>
          <cell r="F1472">
            <v>1993</v>
          </cell>
        </row>
        <row r="1473">
          <cell r="B1473" t="str">
            <v>122-98-5</v>
          </cell>
          <cell r="C1473" t="str">
            <v>2-아닐리노에탄올</v>
          </cell>
          <cell r="D1473" t="str">
            <v>4류 제3석유류(비수용성)</v>
          </cell>
          <cell r="E1473" t="str">
            <v>2000리터</v>
          </cell>
          <cell r="F1473">
            <v>2810</v>
          </cell>
        </row>
        <row r="1474">
          <cell r="B1474" t="str">
            <v>122-99-6</v>
          </cell>
          <cell r="C1474" t="str">
            <v>2-페녹시에탄올</v>
          </cell>
          <cell r="D1474" t="str">
            <v>4류 제3석유류(비수용성)</v>
          </cell>
          <cell r="E1474" t="str">
            <v>2000리터</v>
          </cell>
          <cell r="F1474" t="str">
            <v/>
          </cell>
        </row>
        <row r="1475">
          <cell r="B1475" t="str">
            <v>123-01-3</v>
          </cell>
          <cell r="C1475" t="str">
            <v>도데실벤젠</v>
          </cell>
          <cell r="D1475" t="str">
            <v>4류 제3석유류(비수용성)</v>
          </cell>
          <cell r="E1475" t="str">
            <v>2000리터</v>
          </cell>
          <cell r="F1475">
            <v>3082</v>
          </cell>
        </row>
        <row r="1476">
          <cell r="B1476" t="str">
            <v>123-02-4</v>
          </cell>
          <cell r="C1476" t="str">
            <v>트리데실벤젠</v>
          </cell>
          <cell r="D1476" t="str">
            <v>4류 제3석유류(비수용성)</v>
          </cell>
          <cell r="E1476" t="str">
            <v>2000리터</v>
          </cell>
          <cell r="F1476">
            <v>3082</v>
          </cell>
        </row>
        <row r="1477">
          <cell r="B1477" t="str">
            <v>123-11-5</v>
          </cell>
          <cell r="C1477" t="str">
            <v>아니스알데히드</v>
          </cell>
          <cell r="D1477" t="str">
            <v>4류 제3석유류(비수용성)</v>
          </cell>
          <cell r="E1477" t="str">
            <v>2000리터</v>
          </cell>
          <cell r="F1477" t="str">
            <v/>
          </cell>
        </row>
        <row r="1478">
          <cell r="B1478" t="str">
            <v>123-68-2</v>
          </cell>
          <cell r="C1478" t="str">
            <v>카프로산 알릴</v>
          </cell>
          <cell r="D1478" t="str">
            <v>4류 제3석유류(비수용성)</v>
          </cell>
          <cell r="E1478" t="str">
            <v>2000리터</v>
          </cell>
          <cell r="F1478" t="str">
            <v/>
          </cell>
        </row>
        <row r="1479">
          <cell r="B1479" t="str">
            <v>123-96-6</v>
          </cell>
          <cell r="C1479" t="str">
            <v>옥타놀-2</v>
          </cell>
          <cell r="D1479" t="str">
            <v>4류 제3석유류(비수용성)</v>
          </cell>
          <cell r="E1479" t="str">
            <v>2000리터</v>
          </cell>
          <cell r="F1479">
            <v>1993</v>
          </cell>
        </row>
        <row r="1480">
          <cell r="B1480" t="str">
            <v>124-06-1</v>
          </cell>
          <cell r="C1480" t="str">
            <v>미리스틸산에틸에스테르</v>
          </cell>
          <cell r="D1480" t="str">
            <v>4류 제3석유류(비수용성)</v>
          </cell>
          <cell r="E1480" t="str">
            <v>2000리터</v>
          </cell>
          <cell r="F1480" t="str">
            <v/>
          </cell>
        </row>
        <row r="1481">
          <cell r="B1481" t="str">
            <v>124-07-2</v>
          </cell>
          <cell r="C1481" t="str">
            <v>옥타노익에시드</v>
          </cell>
          <cell r="D1481" t="str">
            <v>4류 제3석유류(비수용성)</v>
          </cell>
          <cell r="E1481" t="str">
            <v>2000리터</v>
          </cell>
          <cell r="F1481">
            <v>3265</v>
          </cell>
        </row>
        <row r="1482">
          <cell r="B1482" t="str">
            <v>124-10-7</v>
          </cell>
          <cell r="C1482" t="str">
            <v>미리스틸산메틸에스테르</v>
          </cell>
          <cell r="D1482" t="str">
            <v>4류 제3석유류(비수용성)</v>
          </cell>
          <cell r="E1482" t="str">
            <v>2000리터</v>
          </cell>
          <cell r="F1482" t="str">
            <v/>
          </cell>
        </row>
        <row r="1483">
          <cell r="B1483" t="str">
            <v>124-12-9</v>
          </cell>
          <cell r="C1483" t="str">
            <v>옥탄니트릴(노르말)</v>
          </cell>
          <cell r="D1483" t="str">
            <v>4류 제3석유류(비수용성)</v>
          </cell>
          <cell r="E1483" t="str">
            <v>2000리터</v>
          </cell>
          <cell r="F1483">
            <v>1993</v>
          </cell>
        </row>
        <row r="1484">
          <cell r="B1484" t="str">
            <v>124-17-4</v>
          </cell>
          <cell r="C1484" t="str">
            <v>디에틸렌글리콜노르말부틸에테르</v>
          </cell>
          <cell r="D1484" t="str">
            <v>4류 제3석유류(비수용성)</v>
          </cell>
          <cell r="E1484" t="str">
            <v>2000리터</v>
          </cell>
          <cell r="F1484" t="str">
            <v/>
          </cell>
        </row>
        <row r="1485">
          <cell r="B1485" t="str">
            <v>124-19-6</v>
          </cell>
          <cell r="C1485" t="str">
            <v>n-노나날</v>
          </cell>
          <cell r="D1485" t="str">
            <v>4류 제3석유류(비수용성)</v>
          </cell>
          <cell r="E1485" t="str">
            <v>2000리터</v>
          </cell>
          <cell r="F1485" t="str">
            <v/>
          </cell>
        </row>
        <row r="1486">
          <cell r="B1486" t="str">
            <v>124-63-0</v>
          </cell>
          <cell r="C1486" t="str">
            <v>메탄술포닐클로라이드</v>
          </cell>
          <cell r="D1486" t="str">
            <v>4류 제3석유류(비수용성)</v>
          </cell>
          <cell r="E1486" t="str">
            <v>2000리터</v>
          </cell>
          <cell r="F1486">
            <v>3246</v>
          </cell>
        </row>
        <row r="1487">
          <cell r="B1487" t="str">
            <v>125-12-2</v>
          </cell>
          <cell r="C1487" t="str">
            <v>이소보닐아세테이트</v>
          </cell>
          <cell r="D1487" t="str">
            <v>4류 제3석유류(비수용성)</v>
          </cell>
          <cell r="E1487" t="str">
            <v>2000리터</v>
          </cell>
          <cell r="F1487">
            <v>1993</v>
          </cell>
        </row>
        <row r="1488">
          <cell r="B1488" t="str">
            <v>126-73-8</v>
          </cell>
          <cell r="C1488" t="str">
            <v>트리부틸인산염</v>
          </cell>
          <cell r="D1488" t="str">
            <v>4류 제3석유류(비수용성)</v>
          </cell>
          <cell r="E1488" t="str">
            <v>2000리터</v>
          </cell>
          <cell r="F1488" t="str">
            <v/>
          </cell>
        </row>
        <row r="1489">
          <cell r="B1489" t="str">
            <v>127-41-3</v>
          </cell>
          <cell r="C1489" t="str">
            <v>요논(알파)</v>
          </cell>
          <cell r="D1489" t="str">
            <v>4류 제3석유류(비수용성)</v>
          </cell>
          <cell r="E1489" t="str">
            <v>2000리터</v>
          </cell>
          <cell r="F1489" t="str">
            <v/>
          </cell>
        </row>
        <row r="1490">
          <cell r="B1490" t="str">
            <v>13019-22-2</v>
          </cell>
          <cell r="C1490" t="str">
            <v>데센(9-)-1-올</v>
          </cell>
          <cell r="D1490" t="str">
            <v>4류 제3석유류(비수용성)</v>
          </cell>
          <cell r="E1490" t="str">
            <v>2000리터</v>
          </cell>
          <cell r="F1490" t="str">
            <v/>
          </cell>
        </row>
        <row r="1491">
          <cell r="B1491" t="str">
            <v>13048-33-4</v>
          </cell>
          <cell r="C1491" t="str">
            <v>1,6-헥산디올 디아크릴레이트</v>
          </cell>
          <cell r="D1491" t="str">
            <v>4류 제3석유류(비수용성)</v>
          </cell>
          <cell r="E1491" t="str">
            <v>2000리터</v>
          </cell>
          <cell r="F1491" t="str">
            <v/>
          </cell>
        </row>
        <row r="1492">
          <cell r="B1492" t="str">
            <v>13078-80-3</v>
          </cell>
          <cell r="C1492" t="str">
            <v>2-(2-클로로페닐)에틸아민</v>
          </cell>
          <cell r="D1492" t="str">
            <v>4류 제3석유류(비수용성)</v>
          </cell>
          <cell r="E1492" t="str">
            <v>2000리터</v>
          </cell>
          <cell r="F1492">
            <v>2735</v>
          </cell>
        </row>
        <row r="1493">
          <cell r="B1493" t="str">
            <v>131-11-3</v>
          </cell>
          <cell r="C1493" t="str">
            <v>DMP</v>
          </cell>
          <cell r="D1493" t="str">
            <v>4류 제3석유류(비수용성)</v>
          </cell>
          <cell r="E1493" t="str">
            <v>2000리터</v>
          </cell>
          <cell r="F1493">
            <v>3082</v>
          </cell>
        </row>
        <row r="1494">
          <cell r="B1494" t="str">
            <v>131-17-9</v>
          </cell>
          <cell r="C1494" t="str">
            <v>프탈산디알릴모노머</v>
          </cell>
          <cell r="D1494" t="str">
            <v>4류 제3석유류(비수용성)</v>
          </cell>
          <cell r="E1494" t="str">
            <v>2000리터</v>
          </cell>
          <cell r="F1494">
            <v>3082</v>
          </cell>
        </row>
        <row r="1495">
          <cell r="B1495" t="str">
            <v>13122-18-4</v>
          </cell>
          <cell r="C1495" t="str">
            <v>3-(라우릴옥시)프로필아민</v>
          </cell>
          <cell r="D1495" t="str">
            <v>4류 제3석유류(비수용성)</v>
          </cell>
          <cell r="E1495" t="str">
            <v>2000리터</v>
          </cell>
          <cell r="F1495" t="str">
            <v/>
          </cell>
        </row>
        <row r="1496">
          <cell r="B1496" t="str">
            <v>13194-48-4</v>
          </cell>
          <cell r="C1496" t="str">
            <v>에토프로포스</v>
          </cell>
          <cell r="D1496" t="str">
            <v>4류 제3석유류(비수용성)</v>
          </cell>
          <cell r="E1496" t="str">
            <v>2000리터</v>
          </cell>
          <cell r="F1496">
            <v>2810</v>
          </cell>
        </row>
        <row r="1497">
          <cell r="B1497" t="str">
            <v>1321-94-4</v>
          </cell>
          <cell r="C1497" t="str">
            <v>메틸나프탈렌</v>
          </cell>
          <cell r="D1497" t="str">
            <v>4류 제3석유류(비수용성)</v>
          </cell>
          <cell r="E1497" t="str">
            <v>2000리터</v>
          </cell>
          <cell r="F1497">
            <v>3082</v>
          </cell>
        </row>
        <row r="1498">
          <cell r="B1498" t="str">
            <v>133-13-1</v>
          </cell>
          <cell r="C1498" t="str">
            <v>에틸말론산디에칠에스테르</v>
          </cell>
          <cell r="D1498" t="str">
            <v>4류 제3석유류(비수용성)</v>
          </cell>
          <cell r="E1498" t="str">
            <v>2000리터</v>
          </cell>
          <cell r="F1498">
            <v>1993</v>
          </cell>
        </row>
        <row r="1499">
          <cell r="B1499" t="str">
            <v>13325-10-5</v>
          </cell>
          <cell r="C1499" t="str">
            <v>4-아미노-1-부탄올</v>
          </cell>
          <cell r="D1499" t="str">
            <v>4류 제3석유류(비수용성)</v>
          </cell>
          <cell r="E1499" t="str">
            <v>2000리터</v>
          </cell>
          <cell r="F1499">
            <v>2735</v>
          </cell>
        </row>
        <row r="1500">
          <cell r="B1500" t="str">
            <v>1335-46-2</v>
          </cell>
          <cell r="C1500" t="str">
            <v>p-메틸 이오논</v>
          </cell>
          <cell r="D1500" t="str">
            <v>4류 제3석유류(비수용성)</v>
          </cell>
          <cell r="E1500" t="str">
            <v>2000리터</v>
          </cell>
          <cell r="F1500" t="str">
            <v/>
          </cell>
        </row>
        <row r="1501">
          <cell r="B1501" t="str">
            <v>1338-24-5</v>
          </cell>
          <cell r="C1501" t="str">
            <v>나프텐산</v>
          </cell>
          <cell r="D1501" t="str">
            <v>4류 제3석유류(비수용성)</v>
          </cell>
          <cell r="E1501" t="str">
            <v>2000리터</v>
          </cell>
          <cell r="F1501">
            <v>3082</v>
          </cell>
        </row>
        <row r="1502">
          <cell r="B1502" t="str">
            <v>134-20-3</v>
          </cell>
          <cell r="C1502" t="str">
            <v>안스라닐산메틸</v>
          </cell>
          <cell r="D1502" t="str">
            <v>4류 제3석유류(비수용성)</v>
          </cell>
          <cell r="E1502" t="str">
            <v>2000리터</v>
          </cell>
          <cell r="F1502" t="str">
            <v/>
          </cell>
        </row>
        <row r="1503">
          <cell r="B1503" t="str">
            <v>134-62-3</v>
          </cell>
          <cell r="C1503" t="str">
            <v>디에틸메타톨루아미드</v>
          </cell>
          <cell r="D1503" t="str">
            <v>4류 제3석유류(비수용성)</v>
          </cell>
          <cell r="E1503" t="str">
            <v>2000리터</v>
          </cell>
          <cell r="F1503" t="str">
            <v/>
          </cell>
        </row>
        <row r="1504">
          <cell r="B1504" t="str">
            <v>13532-18-8</v>
          </cell>
          <cell r="C1504" t="str">
            <v>메틸티오프로피온산메틸에스테르</v>
          </cell>
          <cell r="D1504" t="str">
            <v>4류 제3석유류(비수용성)</v>
          </cell>
          <cell r="E1504" t="str">
            <v>2000리터</v>
          </cell>
          <cell r="F1504">
            <v>3334</v>
          </cell>
        </row>
        <row r="1505">
          <cell r="B1505" t="str">
            <v>136-60-7</v>
          </cell>
          <cell r="C1505" t="str">
            <v>벤조산노르말부틸에스테르</v>
          </cell>
          <cell r="D1505" t="str">
            <v>4류 제3석유류(비수용성)</v>
          </cell>
          <cell r="E1505" t="str">
            <v>2000리터</v>
          </cell>
          <cell r="F1505" t="str">
            <v/>
          </cell>
        </row>
        <row r="1506">
          <cell r="B1506" t="str">
            <v>13679-70-4</v>
          </cell>
          <cell r="C1506" t="str">
            <v>메틸(5-)티오펜-2-알데히드</v>
          </cell>
          <cell r="D1506" t="str">
            <v>4류 제3석유류(비수용성)</v>
          </cell>
          <cell r="E1506" t="str">
            <v>2000리터</v>
          </cell>
          <cell r="F1506" t="str">
            <v/>
          </cell>
        </row>
        <row r="1507">
          <cell r="B1507" t="str">
            <v>137-07-5</v>
          </cell>
          <cell r="C1507" t="str">
            <v>2-아미노티오페놀</v>
          </cell>
          <cell r="D1507" t="str">
            <v>4류 제3석유류(비수용성)</v>
          </cell>
          <cell r="E1507" t="str">
            <v>2000리터</v>
          </cell>
          <cell r="F1507">
            <v>1760</v>
          </cell>
        </row>
        <row r="1508">
          <cell r="B1508" t="str">
            <v>13822-56-5</v>
          </cell>
          <cell r="C1508" t="str">
            <v>3-아미노프로필트리메톡시실란</v>
          </cell>
          <cell r="D1508" t="str">
            <v>4류 제3석유류(비수용성)</v>
          </cell>
          <cell r="E1508" t="str">
            <v>2000리터</v>
          </cell>
          <cell r="F1508" t="str">
            <v/>
          </cell>
        </row>
        <row r="1509">
          <cell r="B1509" t="str">
            <v>138-22-7</v>
          </cell>
          <cell r="C1509" t="str">
            <v>부틸락테이트</v>
          </cell>
          <cell r="D1509" t="str">
            <v>4류 제3석유류(비수용성)</v>
          </cell>
          <cell r="E1509" t="str">
            <v>2000리터</v>
          </cell>
          <cell r="F1509" t="str">
            <v/>
          </cell>
        </row>
        <row r="1510">
          <cell r="B1510" t="str">
            <v>13826-35-2</v>
          </cell>
          <cell r="C1510" t="str">
            <v>페녹시벤질(3-)알코올</v>
          </cell>
          <cell r="D1510" t="str">
            <v>4류 제3석유류(비수용성)</v>
          </cell>
          <cell r="E1510" t="str">
            <v>2000리터</v>
          </cell>
          <cell r="F1510" t="str">
            <v/>
          </cell>
        </row>
        <row r="1511">
          <cell r="B1511" t="str">
            <v>139-66-2</v>
          </cell>
          <cell r="C1511" t="str">
            <v>디페닐설파이드</v>
          </cell>
          <cell r="D1511" t="str">
            <v>4류 제3석유류(비수용성)</v>
          </cell>
          <cell r="E1511" t="str">
            <v>2000리터</v>
          </cell>
          <cell r="F1511">
            <v>3082</v>
          </cell>
        </row>
        <row r="1512">
          <cell r="B1512" t="str">
            <v>14002-80-3</v>
          </cell>
          <cell r="C1512" t="str">
            <v>하이드록시피바릴산메틸에스테르</v>
          </cell>
          <cell r="D1512" t="str">
            <v>4류 제3석유류(비수용성)</v>
          </cell>
          <cell r="E1512" t="str">
            <v>2000리터</v>
          </cell>
          <cell r="F1512" t="str">
            <v/>
          </cell>
        </row>
        <row r="1513">
          <cell r="B1513" t="str">
            <v>140-03-4</v>
          </cell>
          <cell r="C1513" t="str">
            <v>아세틸리시놀산메틸에스테르</v>
          </cell>
          <cell r="D1513" t="str">
            <v>4류 제3석유류(비수용성)</v>
          </cell>
          <cell r="E1513" t="str">
            <v>2000리터</v>
          </cell>
          <cell r="F1513" t="str">
            <v/>
          </cell>
        </row>
        <row r="1514">
          <cell r="B1514" t="str">
            <v>140-11-4</v>
          </cell>
          <cell r="C1514" t="str">
            <v>초산 벤질</v>
          </cell>
          <cell r="D1514" t="str">
            <v>4류 제3석유류(비수용성)</v>
          </cell>
          <cell r="E1514" t="str">
            <v>2000리터</v>
          </cell>
          <cell r="F1514" t="str">
            <v/>
          </cell>
        </row>
        <row r="1515">
          <cell r="B1515" t="str">
            <v>140-29-4</v>
          </cell>
          <cell r="C1515" t="str">
            <v>벤질시아나이드</v>
          </cell>
          <cell r="D1515" t="str">
            <v>4류 제3석유류(비수용성)</v>
          </cell>
          <cell r="E1515" t="str">
            <v>2000리터</v>
          </cell>
          <cell r="F1515">
            <v>2470</v>
          </cell>
        </row>
        <row r="1516">
          <cell r="B1516" t="str">
            <v>140-39-6</v>
          </cell>
          <cell r="C1516" t="str">
            <v>아세트산파라토릴에스테르</v>
          </cell>
          <cell r="D1516" t="str">
            <v>4류 제3석유류(비수용성)</v>
          </cell>
          <cell r="E1516" t="str">
            <v>2000리터</v>
          </cell>
          <cell r="F1516">
            <v>1993</v>
          </cell>
        </row>
        <row r="1517">
          <cell r="B1517" t="str">
            <v>140-67-0</v>
          </cell>
          <cell r="C1517" t="str">
            <v>4-알릴아니솔</v>
          </cell>
          <cell r="D1517" t="str">
            <v>4류 제3석유류(비수용성)</v>
          </cell>
          <cell r="E1517" t="str">
            <v>2000리터</v>
          </cell>
          <cell r="F1517">
            <v>1993</v>
          </cell>
        </row>
        <row r="1518">
          <cell r="B1518" t="str">
            <v>141-04-8</v>
          </cell>
          <cell r="C1518" t="str">
            <v>아디프산디이소부틸에스테르</v>
          </cell>
          <cell r="D1518" t="str">
            <v>4류 제3석유류(비수용성)</v>
          </cell>
          <cell r="E1518" t="str">
            <v>2000리터</v>
          </cell>
          <cell r="F1518" t="str">
            <v/>
          </cell>
        </row>
        <row r="1519">
          <cell r="B1519" t="str">
            <v>141-05-9</v>
          </cell>
          <cell r="C1519" t="str">
            <v>디에틸말산</v>
          </cell>
          <cell r="D1519" t="str">
            <v>4류 제3석유류(비수용성)</v>
          </cell>
          <cell r="E1519" t="str">
            <v>2000리터</v>
          </cell>
          <cell r="F1519">
            <v>1993</v>
          </cell>
        </row>
        <row r="1520">
          <cell r="B1520" t="str">
            <v>141-12-8</v>
          </cell>
          <cell r="C1520" t="str">
            <v>네릴아세테이트</v>
          </cell>
          <cell r="D1520" t="str">
            <v>4류 제3석유류(비수용성)</v>
          </cell>
          <cell r="E1520" t="str">
            <v>2000리터</v>
          </cell>
          <cell r="F1520" t="str">
            <v/>
          </cell>
        </row>
        <row r="1521">
          <cell r="B1521" t="str">
            <v>141-25-3</v>
          </cell>
          <cell r="C1521" t="str">
            <v>로디놀</v>
          </cell>
          <cell r="D1521" t="str">
            <v>4류 제3석유류(비수용성)</v>
          </cell>
          <cell r="E1521" t="str">
            <v>2000리터</v>
          </cell>
          <cell r="F1521" t="str">
            <v/>
          </cell>
        </row>
        <row r="1522">
          <cell r="B1522" t="str">
            <v>141-28-6</v>
          </cell>
          <cell r="C1522" t="str">
            <v>아디프산디에틸에스테르</v>
          </cell>
          <cell r="D1522" t="str">
            <v>4류 제3석유류(비수용성)</v>
          </cell>
          <cell r="E1522" t="str">
            <v>2000리터</v>
          </cell>
          <cell r="F1522" t="str">
            <v/>
          </cell>
        </row>
        <row r="1523">
          <cell r="B1523" t="str">
            <v>141-97-9</v>
          </cell>
          <cell r="C1523" t="str">
            <v>아세트초산에틸</v>
          </cell>
          <cell r="D1523" t="str">
            <v>4류 제3석유류(비수용성)</v>
          </cell>
          <cell r="E1523" t="str">
            <v>2000리터</v>
          </cell>
          <cell r="F1523">
            <v>1993</v>
          </cell>
        </row>
        <row r="1524">
          <cell r="B1524" t="str">
            <v>142-09-6</v>
          </cell>
          <cell r="C1524" t="str">
            <v>메타크릴산노르말헥실에스테르</v>
          </cell>
          <cell r="D1524" t="str">
            <v>4류 제3석유류(비수용성)</v>
          </cell>
          <cell r="E1524" t="str">
            <v>2000리터</v>
          </cell>
          <cell r="F1524">
            <v>1993</v>
          </cell>
        </row>
        <row r="1525">
          <cell r="B1525" t="str">
            <v>142-16-5</v>
          </cell>
          <cell r="C1525" t="str">
            <v>디 2-에틸헥실말레이트</v>
          </cell>
          <cell r="D1525" t="str">
            <v>4류 제3석유류(비수용성)</v>
          </cell>
          <cell r="E1525" t="str">
            <v>2000리터</v>
          </cell>
          <cell r="F1525" t="str">
            <v/>
          </cell>
        </row>
        <row r="1526">
          <cell r="B1526" t="str">
            <v>142-22-3</v>
          </cell>
          <cell r="C1526" t="str">
            <v>디에틸렌글리콜비스알릴카보네이트</v>
          </cell>
          <cell r="D1526" t="str">
            <v>4류 제3석유류(비수용성)</v>
          </cell>
          <cell r="E1526" t="str">
            <v>2000리터</v>
          </cell>
          <cell r="F1526" t="str">
            <v/>
          </cell>
        </row>
        <row r="1527">
          <cell r="B1527" t="str">
            <v>142-61-0</v>
          </cell>
          <cell r="C1527" t="str">
            <v>카프로일클로라이드</v>
          </cell>
          <cell r="D1527" t="str">
            <v>4류 제3석유류(비수용성)</v>
          </cell>
          <cell r="E1527" t="str">
            <v>2000리터</v>
          </cell>
          <cell r="F1527">
            <v>2920</v>
          </cell>
        </row>
        <row r="1528">
          <cell r="B1528" t="str">
            <v>142-62-1</v>
          </cell>
          <cell r="C1528" t="str">
            <v>n-카프론산</v>
          </cell>
          <cell r="D1528" t="str">
            <v>4류 제3석유류(비수용성)</v>
          </cell>
          <cell r="E1528" t="str">
            <v>2000리터</v>
          </cell>
          <cell r="F1528">
            <v>2829</v>
          </cell>
        </row>
        <row r="1529">
          <cell r="B1529" t="str">
            <v>142-90-5</v>
          </cell>
          <cell r="C1529" t="str">
            <v>메타크릴산 라우릴</v>
          </cell>
          <cell r="D1529" t="str">
            <v>4류 제3석유류(비수용성)</v>
          </cell>
          <cell r="E1529" t="str">
            <v>2000리터</v>
          </cell>
          <cell r="F1529">
            <v>3082</v>
          </cell>
        </row>
        <row r="1530">
          <cell r="B1530" t="str">
            <v>143-08-8</v>
          </cell>
          <cell r="C1530" t="str">
            <v>n-노난올</v>
          </cell>
          <cell r="D1530" t="str">
            <v>4류 제3석유류(비수용성)</v>
          </cell>
          <cell r="E1530" t="str">
            <v>2000리터</v>
          </cell>
          <cell r="F1530">
            <v>3082</v>
          </cell>
        </row>
        <row r="1531">
          <cell r="B1531" t="str">
            <v>143-10-2</v>
          </cell>
          <cell r="C1531" t="str">
            <v>1-데칸티올</v>
          </cell>
          <cell r="D1531" t="str">
            <v>4류 제3석유류(비수용성)</v>
          </cell>
          <cell r="E1531" t="str">
            <v>2000리터</v>
          </cell>
          <cell r="F1531" t="str">
            <v/>
          </cell>
        </row>
        <row r="1532">
          <cell r="B1532" t="str">
            <v>143-15-7</v>
          </cell>
          <cell r="C1532" t="str">
            <v>브롬화라우릴</v>
          </cell>
          <cell r="D1532" t="str">
            <v>4류 제3석유류(비수용성)</v>
          </cell>
          <cell r="E1532" t="str">
            <v>2000리터</v>
          </cell>
          <cell r="F1532" t="str">
            <v/>
          </cell>
        </row>
        <row r="1533">
          <cell r="B1533" t="str">
            <v>143-16-8</v>
          </cell>
          <cell r="C1533" t="str">
            <v>디노르말헥실아민</v>
          </cell>
          <cell r="D1533" t="str">
            <v>4류 제3석유류(비수용성)</v>
          </cell>
          <cell r="E1533" t="str">
            <v>2000리터</v>
          </cell>
          <cell r="F1533">
            <v>2922</v>
          </cell>
        </row>
        <row r="1534">
          <cell r="B1534" t="str">
            <v>14495-51-3</v>
          </cell>
          <cell r="C1534" t="str">
            <v>2-브로모-5-클로로톨루엔</v>
          </cell>
          <cell r="D1534" t="str">
            <v>4류 제3석유류(비수용성)</v>
          </cell>
          <cell r="E1534" t="str">
            <v>2000리터</v>
          </cell>
          <cell r="F1534" t="str">
            <v/>
          </cell>
        </row>
        <row r="1535">
          <cell r="B1535" t="str">
            <v>1453-58-3</v>
          </cell>
          <cell r="C1535" t="str">
            <v>메틸피라졸</v>
          </cell>
          <cell r="D1535" t="str">
            <v>4류 제3석유류(비수용성)</v>
          </cell>
          <cell r="E1535" t="str">
            <v>2000리터</v>
          </cell>
          <cell r="F1535">
            <v>1993</v>
          </cell>
        </row>
        <row r="1536">
          <cell r="B1536" t="str">
            <v>14618-78-1</v>
          </cell>
          <cell r="C1536" t="str">
            <v>4,4-디메톡시 부티로니트릴</v>
          </cell>
          <cell r="D1536" t="str">
            <v>4류 제3석유류(비수용성)</v>
          </cell>
          <cell r="E1536" t="str">
            <v>2000리터</v>
          </cell>
          <cell r="F1536">
            <v>1993</v>
          </cell>
        </row>
        <row r="1537">
          <cell r="B1537" t="str">
            <v>14633-54-6</v>
          </cell>
          <cell r="C1537" t="str">
            <v>시클로프로필페닐술파이드</v>
          </cell>
          <cell r="D1537" t="str">
            <v>4류 제3석유류(비수용성)</v>
          </cell>
          <cell r="E1537" t="str">
            <v>2000리터</v>
          </cell>
          <cell r="F1537">
            <v>2810</v>
          </cell>
        </row>
        <row r="1538">
          <cell r="B1538" t="str">
            <v>14660-52-7</v>
          </cell>
          <cell r="C1538" t="str">
            <v>5-브로모발레익산에틸에스테르</v>
          </cell>
          <cell r="D1538" t="str">
            <v>4류 제3석유류(비수용성)</v>
          </cell>
          <cell r="E1538" t="str">
            <v>2000리터</v>
          </cell>
          <cell r="F1538" t="str">
            <v/>
          </cell>
        </row>
        <row r="1539">
          <cell r="B1539" t="str">
            <v>14794-31-1</v>
          </cell>
          <cell r="C1539" t="str">
            <v>에틸숙신일클로라이드</v>
          </cell>
          <cell r="D1539" t="str">
            <v>4류 제3석유류(비수용성)</v>
          </cell>
          <cell r="E1539" t="str">
            <v>2000리터</v>
          </cell>
          <cell r="F1539">
            <v>3265</v>
          </cell>
        </row>
        <row r="1540">
          <cell r="B1540" t="str">
            <v>14802-03-0</v>
          </cell>
          <cell r="C1540" t="str">
            <v>2-에틸헥실 포스폰산 모노 2- 에틸...</v>
          </cell>
          <cell r="D1540" t="str">
            <v>4류 제3석유류(비수용성)</v>
          </cell>
          <cell r="E1540" t="str">
            <v>2000리터</v>
          </cell>
          <cell r="F1540" t="str">
            <v/>
          </cell>
        </row>
        <row r="1541">
          <cell r="B1541" t="str">
            <v>1493-27-2</v>
          </cell>
          <cell r="C1541" t="str">
            <v>O-플루오로니트로벤젠</v>
          </cell>
          <cell r="D1541" t="str">
            <v>4류 제3석유류(비수용성)</v>
          </cell>
          <cell r="E1541" t="str">
            <v>2000리터</v>
          </cell>
          <cell r="F1541" t="str">
            <v/>
          </cell>
        </row>
        <row r="1542">
          <cell r="B1542" t="str">
            <v>14970-87-7</v>
          </cell>
          <cell r="C1542" t="str">
            <v>트리글리콜 디메르캅탄</v>
          </cell>
          <cell r="D1542" t="str">
            <v>4류 제3석유류(비수용성)</v>
          </cell>
          <cell r="E1542" t="str">
            <v>2000리터</v>
          </cell>
          <cell r="F1542">
            <v>2810</v>
          </cell>
        </row>
        <row r="1543">
          <cell r="B1543" t="str">
            <v>1501-06-0</v>
          </cell>
          <cell r="C1543" t="str">
            <v>2-아세틸글루탈산 디에틸</v>
          </cell>
          <cell r="D1543" t="str">
            <v>4류 제3석유류(비수용성)</v>
          </cell>
          <cell r="E1543" t="str">
            <v>2000리터</v>
          </cell>
          <cell r="F1543" t="str">
            <v/>
          </cell>
        </row>
        <row r="1544">
          <cell r="B1544" t="str">
            <v>1501-82-2</v>
          </cell>
          <cell r="C1544" t="str">
            <v>시클로도데센</v>
          </cell>
          <cell r="D1544" t="str">
            <v>4류 제3석유류(비수용성)</v>
          </cell>
          <cell r="E1544" t="str">
            <v>2000리터</v>
          </cell>
          <cell r="F1544" t="str">
            <v/>
          </cell>
        </row>
        <row r="1545">
          <cell r="B1545" t="str">
            <v>15074-54-1</v>
          </cell>
          <cell r="C1545" t="str">
            <v>클로로페닐포스포로디클로리데이트(2-)</v>
          </cell>
          <cell r="D1545" t="str">
            <v>4류 제3석유류(비수용성)</v>
          </cell>
          <cell r="E1545" t="str">
            <v>2000리터</v>
          </cell>
          <cell r="F1545">
            <v>3265</v>
          </cell>
        </row>
        <row r="1546">
          <cell r="B1546" t="str">
            <v>150-84-5</v>
          </cell>
          <cell r="C1546" t="str">
            <v>초산 시트로넬릴</v>
          </cell>
          <cell r="D1546" t="str">
            <v>4류 제3석유류(비수용성)</v>
          </cell>
          <cell r="E1546" t="str">
            <v>2000리터</v>
          </cell>
          <cell r="F1546" t="str">
            <v/>
          </cell>
        </row>
        <row r="1547">
          <cell r="B1547" t="str">
            <v>151-10-0</v>
          </cell>
          <cell r="C1547" t="str">
            <v>디메톡시벤젠</v>
          </cell>
          <cell r="D1547" t="str">
            <v>4류 제3석유류(비수용성)</v>
          </cell>
          <cell r="E1547" t="str">
            <v>2000리터</v>
          </cell>
          <cell r="F1547">
            <v>1993</v>
          </cell>
        </row>
        <row r="1548">
          <cell r="B1548" t="str">
            <v>15625-89-5</v>
          </cell>
          <cell r="C1548" t="str">
            <v>트리메티올프로판 트리아크릴레이트</v>
          </cell>
          <cell r="D1548" t="str">
            <v>4류 제3석유류(비수용성)</v>
          </cell>
          <cell r="E1548" t="str">
            <v>2000리터</v>
          </cell>
          <cell r="F1548" t="str">
            <v/>
          </cell>
        </row>
        <row r="1549">
          <cell r="B1549" t="str">
            <v>156-43-4</v>
          </cell>
          <cell r="C1549" t="str">
            <v>p-펜네티딘</v>
          </cell>
          <cell r="D1549" t="str">
            <v>4류 제3석유류(비수용성)</v>
          </cell>
          <cell r="E1549" t="str">
            <v>2000리터</v>
          </cell>
          <cell r="F1549">
            <v>2311</v>
          </cell>
        </row>
        <row r="1550">
          <cell r="B1550" t="str">
            <v>156-87-6</v>
          </cell>
          <cell r="C1550" t="str">
            <v>3-아미노-1-프로파놀</v>
          </cell>
          <cell r="D1550" t="str">
            <v>4류 제3석유류(비수용성)</v>
          </cell>
          <cell r="E1550" t="str">
            <v>2000리터</v>
          </cell>
          <cell r="F1550">
            <v>2735</v>
          </cell>
        </row>
        <row r="1551">
          <cell r="B1551" t="str">
            <v>15707-24-1</v>
          </cell>
          <cell r="C1551" t="str">
            <v>2,3-디에틸피라진</v>
          </cell>
          <cell r="D1551" t="str">
            <v>4류 제3석유류(비수용성)</v>
          </cell>
          <cell r="E1551" t="str">
            <v>2000리터</v>
          </cell>
          <cell r="F1551">
            <v>3334</v>
          </cell>
        </row>
        <row r="1552">
          <cell r="B1552" t="str">
            <v>1575-74-2</v>
          </cell>
          <cell r="C1552" t="str">
            <v>메틸(2-)-4-펜테노일산</v>
          </cell>
          <cell r="D1552" t="str">
            <v>4류 제3석유류(비수용성)</v>
          </cell>
          <cell r="E1552" t="str">
            <v>2000리터</v>
          </cell>
          <cell r="F1552">
            <v>3265</v>
          </cell>
        </row>
        <row r="1553">
          <cell r="B1553" t="str">
            <v>15764-16-6</v>
          </cell>
          <cell r="C1553" t="str">
            <v>디메틸벤즈알데히드(2,4-)</v>
          </cell>
          <cell r="D1553" t="str">
            <v>4류 제3석유류(비수용성)</v>
          </cell>
          <cell r="E1553" t="str">
            <v>2000리터</v>
          </cell>
          <cell r="F1553">
            <v>1993</v>
          </cell>
        </row>
        <row r="1554">
          <cell r="B1554" t="str">
            <v>1592-00-3</v>
          </cell>
          <cell r="C1554" t="str">
            <v>2-브로모페닐이소시아네이트</v>
          </cell>
          <cell r="D1554" t="str">
            <v>4류 제3석유류(비수용성)</v>
          </cell>
          <cell r="E1554" t="str">
            <v>2000리터</v>
          </cell>
          <cell r="F1554">
            <v>2206</v>
          </cell>
        </row>
        <row r="1555">
          <cell r="B1555" t="str">
            <v>1605-53-4</v>
          </cell>
          <cell r="C1555" t="str">
            <v>디에칠페닐포스핀</v>
          </cell>
          <cell r="D1555" t="str">
            <v>4류 제3석유류(비수용성)</v>
          </cell>
          <cell r="E1555" t="str">
            <v>2000리터</v>
          </cell>
          <cell r="F1555">
            <v>1993</v>
          </cell>
        </row>
        <row r="1556">
          <cell r="B1556" t="str">
            <v>1622-32-8</v>
          </cell>
          <cell r="C1556" t="str">
            <v>염화 2-클로로에탄술포닐</v>
          </cell>
          <cell r="D1556" t="str">
            <v>4류 제3석유류(비수용성)</v>
          </cell>
          <cell r="E1556" t="str">
            <v>2000리터</v>
          </cell>
          <cell r="F1556" t="str">
            <v/>
          </cell>
        </row>
        <row r="1557">
          <cell r="B1557" t="str">
            <v>1632-76-4</v>
          </cell>
          <cell r="C1557" t="str">
            <v>메틸피리다진</v>
          </cell>
          <cell r="D1557" t="str">
            <v>4류 제3석유류(비수용성)</v>
          </cell>
          <cell r="E1557" t="str">
            <v>2000리터</v>
          </cell>
          <cell r="F1557">
            <v>1993</v>
          </cell>
        </row>
        <row r="1558">
          <cell r="B1558" t="str">
            <v>1640-39-7</v>
          </cell>
          <cell r="C1558" t="str">
            <v>트리메틸인돌레닌-2,3,3</v>
          </cell>
          <cell r="D1558" t="str">
            <v>4류 제3석유류(비수용성)</v>
          </cell>
          <cell r="E1558" t="str">
            <v>2000리터</v>
          </cell>
          <cell r="F1558">
            <v>1993</v>
          </cell>
        </row>
        <row r="1559">
          <cell r="B1559" t="str">
            <v>1656-63-9</v>
          </cell>
          <cell r="C1559" t="str">
            <v>트리라우릴트리피오포스파이트</v>
          </cell>
          <cell r="D1559" t="str">
            <v>4류 제3석유류(비수용성)</v>
          </cell>
          <cell r="E1559" t="str">
            <v>2000리터</v>
          </cell>
          <cell r="F1559" t="str">
            <v/>
          </cell>
        </row>
        <row r="1560">
          <cell r="B1560" t="str">
            <v>16669-59-3</v>
          </cell>
          <cell r="C1560" t="str">
            <v>N-이소부톡시메틸 아크릴아미드</v>
          </cell>
          <cell r="D1560" t="str">
            <v>4류 제3석유류(비수용성)</v>
          </cell>
          <cell r="E1560" t="str">
            <v>2000리터</v>
          </cell>
          <cell r="F1560" t="str">
            <v/>
          </cell>
        </row>
        <row r="1561">
          <cell r="B1561" t="str">
            <v>1670-46-8</v>
          </cell>
          <cell r="C1561" t="str">
            <v>2-아세틸시클로펜타논</v>
          </cell>
          <cell r="D1561" t="str">
            <v>4류 제3석유류(비수용성)</v>
          </cell>
          <cell r="E1561" t="str">
            <v>2000리터</v>
          </cell>
          <cell r="F1561">
            <v>1993</v>
          </cell>
        </row>
        <row r="1562">
          <cell r="B1562" t="str">
            <v>1679-47-6</v>
          </cell>
          <cell r="C1562" t="str">
            <v>메틸-브이-부틸로락톤</v>
          </cell>
          <cell r="D1562" t="str">
            <v>4류 제3석유류(비수용성)</v>
          </cell>
          <cell r="E1562" t="str">
            <v>2000리터</v>
          </cell>
          <cell r="F1562" t="str">
            <v/>
          </cell>
        </row>
        <row r="1563">
          <cell r="B1563" t="str">
            <v>1696-20-4</v>
          </cell>
          <cell r="C1563" t="str">
            <v>아세틸모르폴린</v>
          </cell>
          <cell r="D1563" t="str">
            <v>4류 제3석유류(비수용성)</v>
          </cell>
          <cell r="E1563" t="str">
            <v>2000리터</v>
          </cell>
          <cell r="F1563" t="str">
            <v/>
          </cell>
        </row>
        <row r="1564">
          <cell r="B1564" t="str">
            <v>17046-22-9</v>
          </cell>
          <cell r="C1564" t="str">
            <v>부틸이소시아네이토아세테이트</v>
          </cell>
          <cell r="D1564" t="str">
            <v>4류 제3석유류(비수용성)</v>
          </cell>
          <cell r="E1564" t="str">
            <v>2000리터</v>
          </cell>
          <cell r="F1564">
            <v>1693</v>
          </cell>
        </row>
        <row r="1565">
          <cell r="B1565" t="str">
            <v>1711-07-5</v>
          </cell>
          <cell r="C1565" t="str">
            <v>플로로(3-)벤조일클로라이드</v>
          </cell>
          <cell r="D1565" t="str">
            <v>4류 제3석유류(비수용성)</v>
          </cell>
          <cell r="E1565" t="str">
            <v>2000리터</v>
          </cell>
          <cell r="F1565">
            <v>3265</v>
          </cell>
        </row>
        <row r="1566">
          <cell r="B1566" t="str">
            <v>1711-09-7</v>
          </cell>
          <cell r="C1566" t="str">
            <v>3-브로모벤조일클로라이드</v>
          </cell>
          <cell r="D1566" t="str">
            <v>4류 제3석유류(비수용성)</v>
          </cell>
          <cell r="E1566" t="str">
            <v>2000리터</v>
          </cell>
          <cell r="F1566">
            <v>3265</v>
          </cell>
        </row>
        <row r="1567">
          <cell r="B1567" t="str">
            <v>17228-64-7</v>
          </cell>
          <cell r="C1567" t="str">
            <v>클로로(2-)-6-메독시피리딘</v>
          </cell>
          <cell r="D1567" t="str">
            <v>4류 제3석유류(비수용성)</v>
          </cell>
          <cell r="E1567" t="str">
            <v>2000리터</v>
          </cell>
          <cell r="F1567" t="str">
            <v/>
          </cell>
        </row>
        <row r="1568">
          <cell r="B1568" t="str">
            <v>1725-01-5</v>
          </cell>
          <cell r="C1568" t="str">
            <v>10-옥사헥사데카놀리드</v>
          </cell>
          <cell r="D1568" t="str">
            <v>4류 제3석유류(비수용성)</v>
          </cell>
          <cell r="E1568" t="str">
            <v>2000리터</v>
          </cell>
          <cell r="F1568" t="str">
            <v/>
          </cell>
        </row>
        <row r="1569">
          <cell r="B1569" t="str">
            <v>1731-84-6</v>
          </cell>
          <cell r="C1569" t="str">
            <v>펠라고닉산메틸에스테르</v>
          </cell>
          <cell r="D1569" t="str">
            <v>4류 제3석유류(비수용성)</v>
          </cell>
          <cell r="E1569" t="str">
            <v>2000리터</v>
          </cell>
          <cell r="F1569">
            <v>1993</v>
          </cell>
        </row>
        <row r="1570">
          <cell r="B1570" t="str">
            <v>1742-14-9</v>
          </cell>
          <cell r="C1570" t="str">
            <v>1,1-비스(3,4-디메틸페닐)에탄</v>
          </cell>
          <cell r="D1570" t="str">
            <v>4류 제3석유류(비수용성)</v>
          </cell>
          <cell r="E1570" t="str">
            <v>2000리터</v>
          </cell>
          <cell r="F1570" t="str">
            <v/>
          </cell>
        </row>
        <row r="1571">
          <cell r="B1571" t="str">
            <v>1745-81-9</v>
          </cell>
          <cell r="C1571" t="str">
            <v>2-알릴페놀</v>
          </cell>
          <cell r="D1571" t="str">
            <v>4류 제3석유류(비수용성)</v>
          </cell>
          <cell r="E1571" t="str">
            <v>2000리터</v>
          </cell>
          <cell r="F1571">
            <v>2923</v>
          </cell>
        </row>
        <row r="1572">
          <cell r="B1572" t="str">
            <v>1759-28-0</v>
          </cell>
          <cell r="C1572" t="str">
            <v>메틸(4-)-5-비닐티아졸</v>
          </cell>
          <cell r="D1572" t="str">
            <v>4류 제3석유류(비수용성)</v>
          </cell>
          <cell r="E1572" t="str">
            <v>2000리터</v>
          </cell>
          <cell r="F1572">
            <v>1993</v>
          </cell>
        </row>
        <row r="1573">
          <cell r="B1573" t="str">
            <v>1759-53-1</v>
          </cell>
          <cell r="C1573" t="str">
            <v>시클로프로판카복산에틸에스테르</v>
          </cell>
          <cell r="D1573" t="str">
            <v>4류 제3석유류(비수용성)</v>
          </cell>
          <cell r="E1573" t="str">
            <v>2000리터</v>
          </cell>
          <cell r="F1573">
            <v>3265</v>
          </cell>
        </row>
        <row r="1574">
          <cell r="B1574" t="str">
            <v>1765-40-8</v>
          </cell>
          <cell r="C1574" t="str">
            <v>펜타플로로벤질브로마이드</v>
          </cell>
          <cell r="D1574" t="str">
            <v>4류 제3석유류(비수용성)</v>
          </cell>
          <cell r="E1574" t="str">
            <v>2000리터</v>
          </cell>
          <cell r="F1574">
            <v>3265</v>
          </cell>
        </row>
        <row r="1575">
          <cell r="B1575" t="str">
            <v>177080-67-0</v>
          </cell>
          <cell r="C1575" t="str">
            <v>2-메틸-2-Adamantyl 메타아...</v>
          </cell>
          <cell r="D1575" t="str">
            <v>4류 제3석유류(비수용성)</v>
          </cell>
          <cell r="E1575" t="str">
            <v>2000리터</v>
          </cell>
          <cell r="F1575" t="str">
            <v/>
          </cell>
        </row>
        <row r="1576">
          <cell r="B1576" t="str">
            <v>17747-43-2</v>
          </cell>
          <cell r="C1576" t="str">
            <v>3-아세톡시피리딘</v>
          </cell>
          <cell r="D1576" t="str">
            <v>4류 제3석유류(비수용성)</v>
          </cell>
          <cell r="E1576" t="str">
            <v>2000리터</v>
          </cell>
          <cell r="F1576" t="str">
            <v/>
          </cell>
        </row>
        <row r="1577">
          <cell r="B1577" t="str">
            <v>17831-71-9</v>
          </cell>
          <cell r="C1577" t="str">
            <v>테트라에틸렌글리콜 디아크릴레이트</v>
          </cell>
          <cell r="D1577" t="str">
            <v>4류 제3석유류(비수용성)</v>
          </cell>
          <cell r="E1577" t="str">
            <v>2000리터</v>
          </cell>
          <cell r="F1577">
            <v>1760</v>
          </cell>
        </row>
        <row r="1578">
          <cell r="B1578" t="str">
            <v>1801-76-9</v>
          </cell>
          <cell r="C1578" t="str">
            <v>바나딜부톡사이드</v>
          </cell>
          <cell r="D1578" t="str">
            <v>4류 제3석유류(비수용성)</v>
          </cell>
          <cell r="E1578" t="str">
            <v>2000리터</v>
          </cell>
          <cell r="F1578" t="str">
            <v/>
          </cell>
        </row>
        <row r="1579">
          <cell r="B1579" t="str">
            <v>18031-40-8</v>
          </cell>
          <cell r="C1579" t="str">
            <v>퍼릴알데히드(1-)</v>
          </cell>
          <cell r="D1579" t="str">
            <v>4류 제3석유류(비수용성)</v>
          </cell>
          <cell r="E1579" t="str">
            <v>2000리터</v>
          </cell>
          <cell r="F1579" t="str">
            <v/>
          </cell>
        </row>
        <row r="1580">
          <cell r="B1580" t="str">
            <v>18162-84-0</v>
          </cell>
          <cell r="C1580" t="str">
            <v>디메틸노말옥틸클로로실란</v>
          </cell>
          <cell r="D1580" t="str">
            <v>4류 제3석유류(비수용성)</v>
          </cell>
          <cell r="E1580" t="str">
            <v>2000리터</v>
          </cell>
          <cell r="F1580">
            <v>2987</v>
          </cell>
        </row>
        <row r="1581">
          <cell r="B1581" t="str">
            <v>1817-47-6</v>
          </cell>
          <cell r="C1581" t="str">
            <v>니트로(4-)큐멘</v>
          </cell>
          <cell r="D1581" t="str">
            <v>4류 제3석유류(비수용성)</v>
          </cell>
          <cell r="E1581" t="str">
            <v>2000리터</v>
          </cell>
          <cell r="F1581" t="str">
            <v/>
          </cell>
        </row>
        <row r="1582">
          <cell r="B1582" t="str">
            <v>1833-51-8</v>
          </cell>
          <cell r="C1582" t="str">
            <v>클로로디메틸페니실란</v>
          </cell>
          <cell r="D1582" t="str">
            <v>4류 제3석유류(비수용성)</v>
          </cell>
          <cell r="E1582" t="str">
            <v>2000리터</v>
          </cell>
          <cell r="F1582">
            <v>1993</v>
          </cell>
        </row>
        <row r="1583">
          <cell r="B1583" t="str">
            <v>18409-17-1</v>
          </cell>
          <cell r="C1583" t="str">
            <v>옥텐(트란스-2-)-1-올</v>
          </cell>
          <cell r="D1583" t="str">
            <v>4류 제3석유류(비수용성)</v>
          </cell>
          <cell r="E1583" t="str">
            <v>2000리터</v>
          </cell>
          <cell r="F1583">
            <v>1993</v>
          </cell>
        </row>
        <row r="1584">
          <cell r="B1584" t="str">
            <v>18409-18-2</v>
          </cell>
          <cell r="C1584" t="str">
            <v>데센(트란스)-1-1올</v>
          </cell>
          <cell r="D1584" t="str">
            <v>4류 제3석유류(비수용성)</v>
          </cell>
          <cell r="E1584" t="str">
            <v>2000리터</v>
          </cell>
          <cell r="F1584" t="str">
            <v/>
          </cell>
        </row>
        <row r="1585">
          <cell r="B1585" t="str">
            <v>18479-58-8</v>
          </cell>
          <cell r="C1585" t="str">
            <v>디하이드로미르세놀</v>
          </cell>
          <cell r="D1585" t="str">
            <v>4류 제3석유류(비수용성)</v>
          </cell>
          <cell r="E1585" t="str">
            <v>2000리터</v>
          </cell>
          <cell r="F1585" t="str">
            <v/>
          </cell>
        </row>
        <row r="1586">
          <cell r="B1586" t="str">
            <v>1852-16-0</v>
          </cell>
          <cell r="C1586" t="str">
            <v>N-n-부톡시메틸 아크릴아미드</v>
          </cell>
          <cell r="D1586" t="str">
            <v>4류 제3석유류(비수용성)</v>
          </cell>
          <cell r="E1586" t="str">
            <v>2000리터</v>
          </cell>
          <cell r="F1586" t="str">
            <v/>
          </cell>
        </row>
        <row r="1587">
          <cell r="B1587" t="str">
            <v>1885-14-9</v>
          </cell>
          <cell r="C1587" t="str">
            <v>클로로탄산 페닐에스테르</v>
          </cell>
          <cell r="D1587" t="str">
            <v>4류 제3석유류(비수용성)</v>
          </cell>
          <cell r="E1587" t="str">
            <v>2000리터</v>
          </cell>
          <cell r="F1587">
            <v>2746</v>
          </cell>
        </row>
        <row r="1588">
          <cell r="B1588" t="str">
            <v>1888-91-1</v>
          </cell>
          <cell r="C1588" t="str">
            <v>아세틸카프로락탐</v>
          </cell>
          <cell r="D1588" t="str">
            <v>4류 제3석유류(비수용성)</v>
          </cell>
          <cell r="E1588" t="str">
            <v>2000리터</v>
          </cell>
          <cell r="F1588" t="str">
            <v/>
          </cell>
        </row>
        <row r="1589">
          <cell r="B1589" t="str">
            <v>19064-18-7</v>
          </cell>
          <cell r="C1589" t="str">
            <v>디플로로벤질알코올(2,6-)</v>
          </cell>
          <cell r="D1589" t="str">
            <v>4류 제3석유류(비수용성)</v>
          </cell>
          <cell r="E1589" t="str">
            <v>2000리터</v>
          </cell>
          <cell r="F1589">
            <v>1993</v>
          </cell>
        </row>
        <row r="1590">
          <cell r="B1590" t="str">
            <v>19398-61-9</v>
          </cell>
          <cell r="C1590" t="str">
            <v>디클로로톨루엔</v>
          </cell>
          <cell r="D1590" t="str">
            <v>4류 제3석유류(비수용성)</v>
          </cell>
          <cell r="E1590" t="str">
            <v>2000리터</v>
          </cell>
          <cell r="F1590">
            <v>1993</v>
          </cell>
        </row>
        <row r="1591">
          <cell r="B1591" t="str">
            <v>19594-40-2</v>
          </cell>
          <cell r="C1591" t="str">
            <v>메틸(2-)-4-운데칸온</v>
          </cell>
          <cell r="D1591" t="str">
            <v>4류 제3석유류(비수용성)</v>
          </cell>
          <cell r="E1591" t="str">
            <v>2000리터</v>
          </cell>
          <cell r="F1591" t="str">
            <v/>
          </cell>
        </row>
        <row r="1592">
          <cell r="B1592" t="str">
            <v>19653-33-9</v>
          </cell>
          <cell r="C1592" t="str">
            <v>에틸(1)피페르딘프로피오네이트</v>
          </cell>
          <cell r="D1592" t="str">
            <v>4류 제3석유류(비수용성)</v>
          </cell>
          <cell r="E1592" t="str">
            <v>2000리터</v>
          </cell>
          <cell r="F1592">
            <v>1993</v>
          </cell>
        </row>
        <row r="1593">
          <cell r="B1593" t="str">
            <v>1973-22-4</v>
          </cell>
          <cell r="C1593" t="str">
            <v>1-브로모-2-에틸벤젠</v>
          </cell>
          <cell r="D1593" t="str">
            <v>4류 제3석유류(비수용성)</v>
          </cell>
          <cell r="E1593" t="str">
            <v>2000리터</v>
          </cell>
          <cell r="F1593">
            <v>3082</v>
          </cell>
        </row>
        <row r="1594">
          <cell r="B1594" t="str">
            <v>1984-65-2</v>
          </cell>
          <cell r="C1594" t="str">
            <v>디클로로아니솔</v>
          </cell>
          <cell r="D1594" t="str">
            <v>4류 제3석유류(비수용성)</v>
          </cell>
          <cell r="E1594" t="str">
            <v>2000리터</v>
          </cell>
          <cell r="F1594">
            <v>1993</v>
          </cell>
        </row>
        <row r="1595">
          <cell r="B1595" t="str">
            <v>19847-12-2</v>
          </cell>
          <cell r="C1595" t="str">
            <v>2-시아노피라진</v>
          </cell>
          <cell r="D1595" t="str">
            <v>4류 제3석유류(비수용성)</v>
          </cell>
          <cell r="E1595" t="str">
            <v>2000리터</v>
          </cell>
          <cell r="F1595" t="str">
            <v/>
          </cell>
        </row>
        <row r="1596">
          <cell r="B1596" t="str">
            <v>20082-71-7</v>
          </cell>
          <cell r="C1596" t="str">
            <v>펜타플로로페닐디메틸클로로실란</v>
          </cell>
          <cell r="D1596" t="str">
            <v>4류 제3석유류(비수용성)</v>
          </cell>
          <cell r="E1596" t="str">
            <v>2000리터</v>
          </cell>
          <cell r="F1596">
            <v>2987</v>
          </cell>
        </row>
        <row r="1597">
          <cell r="B1597" t="str">
            <v>20125-84-2</v>
          </cell>
          <cell r="C1597" t="str">
            <v>옥텐(시스-3-)-1-올</v>
          </cell>
          <cell r="D1597" t="str">
            <v>4류 제3석유류(비수용성)</v>
          </cell>
          <cell r="E1597" t="str">
            <v>2000리터</v>
          </cell>
          <cell r="F1597">
            <v>1993</v>
          </cell>
        </row>
        <row r="1598">
          <cell r="B1598" t="str">
            <v>2016-57-1</v>
          </cell>
          <cell r="C1598" t="str">
            <v>1-아미노데칸</v>
          </cell>
          <cell r="D1598" t="str">
            <v>4류 제3석유류(비수용성)</v>
          </cell>
          <cell r="E1598" t="str">
            <v>2000리터</v>
          </cell>
          <cell r="F1598">
            <v>2922</v>
          </cell>
        </row>
        <row r="1599">
          <cell r="B1599" t="str">
            <v>2027-17-0</v>
          </cell>
          <cell r="C1599" t="str">
            <v>이소프로필나프탈렌</v>
          </cell>
          <cell r="D1599" t="str">
            <v>4류 제3석유류(비수용성)</v>
          </cell>
          <cell r="E1599" t="str">
            <v>2000리터</v>
          </cell>
          <cell r="F1599" t="str">
            <v/>
          </cell>
        </row>
        <row r="1600">
          <cell r="B1600" t="str">
            <v>2044-64-6</v>
          </cell>
          <cell r="C1600" t="str">
            <v>N,N-디메틸아세트 아세트아미드</v>
          </cell>
          <cell r="D1600" t="str">
            <v>4류 제3석유류(비수용성)</v>
          </cell>
          <cell r="E1600" t="str">
            <v>2000리터</v>
          </cell>
          <cell r="F1600" t="str">
            <v/>
          </cell>
        </row>
        <row r="1601">
          <cell r="B1601" t="str">
            <v>20451-53-0</v>
          </cell>
          <cell r="C1601" t="str">
            <v>페닐비닐술폭사이드</v>
          </cell>
          <cell r="D1601" t="str">
            <v>4류 제3석유류(비수용성)</v>
          </cell>
          <cell r="E1601" t="str">
            <v>2000리터</v>
          </cell>
          <cell r="F1601" t="str">
            <v/>
          </cell>
        </row>
        <row r="1602">
          <cell r="B1602" t="str">
            <v>2049-80-1</v>
          </cell>
          <cell r="C1602" t="str">
            <v>알릴말론산디에틸에스테르</v>
          </cell>
          <cell r="D1602" t="str">
            <v>4류 제3석유류(비수용성)</v>
          </cell>
          <cell r="E1602" t="str">
            <v>2000리터</v>
          </cell>
          <cell r="F1602">
            <v>1993</v>
          </cell>
        </row>
        <row r="1603">
          <cell r="B1603" t="str">
            <v>2050-60-4</v>
          </cell>
          <cell r="C1603" t="str">
            <v>옥산살디노르말부틸에스테러</v>
          </cell>
          <cell r="D1603" t="str">
            <v>4류 제3석유류(비수용성)</v>
          </cell>
          <cell r="E1603" t="str">
            <v>2000리터</v>
          </cell>
          <cell r="F1603" t="str">
            <v/>
          </cell>
        </row>
        <row r="1604">
          <cell r="B1604" t="str">
            <v>2051-18-5</v>
          </cell>
          <cell r="C1604" t="str">
            <v>이소프로필(4-)벤질클로라이드</v>
          </cell>
          <cell r="D1604" t="str">
            <v>4류 제3석유류(비수용성)</v>
          </cell>
          <cell r="E1604" t="str">
            <v>2000리터</v>
          </cell>
          <cell r="F1604">
            <v>1760</v>
          </cell>
        </row>
        <row r="1605">
          <cell r="B1605" t="str">
            <v>2052-15-5</v>
          </cell>
          <cell r="C1605" t="str">
            <v>르블르닉산노르말부틸에스테르</v>
          </cell>
          <cell r="D1605" t="str">
            <v>4류 제3석유류(비수용성)</v>
          </cell>
          <cell r="E1605" t="str">
            <v>2000리터</v>
          </cell>
          <cell r="F1605">
            <v>1993</v>
          </cell>
        </row>
        <row r="1606">
          <cell r="B1606" t="str">
            <v>20845-34-5</v>
          </cell>
          <cell r="C1606" t="str">
            <v>메틸(1-)-2-피페리딘메탄올</v>
          </cell>
          <cell r="D1606" t="str">
            <v>4류 제3석유류(비수용성)</v>
          </cell>
          <cell r="E1606" t="str">
            <v>2000리터</v>
          </cell>
          <cell r="F1606">
            <v>1993</v>
          </cell>
        </row>
        <row r="1607">
          <cell r="B1607" t="str">
            <v>20980-22-7</v>
          </cell>
          <cell r="C1607" t="str">
            <v>2-(1-피페라지닐)피리미딘</v>
          </cell>
          <cell r="D1607" t="str">
            <v>4류 제3석유류(비수용성)</v>
          </cell>
          <cell r="E1607" t="str">
            <v>2000리터</v>
          </cell>
          <cell r="F1607" t="str">
            <v/>
          </cell>
        </row>
        <row r="1608">
          <cell r="B1608" t="str">
            <v>2105-61-5</v>
          </cell>
          <cell r="C1608" t="str">
            <v>트리플르오르-1,2,3,-5니트로벤젠</v>
          </cell>
          <cell r="D1608" t="str">
            <v>4류 제3석유류(비수용성)</v>
          </cell>
          <cell r="E1608" t="str">
            <v>2000리터</v>
          </cell>
          <cell r="F1608">
            <v>2811</v>
          </cell>
        </row>
        <row r="1609">
          <cell r="B1609" t="str">
            <v>2105-94-4</v>
          </cell>
          <cell r="C1609" t="str">
            <v>4-브로모-2-플로로펜올</v>
          </cell>
          <cell r="D1609" t="str">
            <v>4류 제3석유류(비수용성)</v>
          </cell>
          <cell r="E1609" t="str">
            <v>2000리터</v>
          </cell>
          <cell r="F1609" t="str">
            <v/>
          </cell>
        </row>
        <row r="1610">
          <cell r="B1610" t="str">
            <v>2106-02-7</v>
          </cell>
          <cell r="C1610" t="str">
            <v>클로로(2-)-4-플로로아닐린</v>
          </cell>
          <cell r="D1610" t="str">
            <v>4류 제3석유류(비수용성)</v>
          </cell>
          <cell r="E1610" t="str">
            <v>2000리터</v>
          </cell>
          <cell r="F1610" t="str">
            <v/>
          </cell>
        </row>
        <row r="1611">
          <cell r="B1611" t="str">
            <v>2109-66-2</v>
          </cell>
          <cell r="C1611" t="str">
            <v>하이드록시프로필모르폴린</v>
          </cell>
          <cell r="D1611" t="str">
            <v>4류 제3석유류(비수용성)</v>
          </cell>
          <cell r="E1611" t="str">
            <v>2000리터</v>
          </cell>
          <cell r="F1611">
            <v>2810</v>
          </cell>
        </row>
        <row r="1612">
          <cell r="B1612" t="str">
            <v>2116-65-6</v>
          </cell>
          <cell r="C1612" t="str">
            <v>4-벤질피리딘</v>
          </cell>
          <cell r="D1612" t="str">
            <v>4류 제3석유류(비수용성)</v>
          </cell>
          <cell r="E1612" t="str">
            <v>2000리터</v>
          </cell>
          <cell r="F1612" t="str">
            <v/>
          </cell>
        </row>
        <row r="1613">
          <cell r="B1613" t="str">
            <v>2142-68-9</v>
          </cell>
          <cell r="C1613" t="str">
            <v>o-클로로아세트펜논</v>
          </cell>
          <cell r="D1613" t="str">
            <v>4류 제3석유류(비수용성)</v>
          </cell>
          <cell r="E1613" t="str">
            <v>2000리터</v>
          </cell>
          <cell r="F1613">
            <v>3416</v>
          </cell>
        </row>
        <row r="1614">
          <cell r="B1614" t="str">
            <v>2146-71-6</v>
          </cell>
          <cell r="C1614" t="str">
            <v>라우릴산비닐에스테르</v>
          </cell>
          <cell r="D1614" t="str">
            <v>4류 제3석유류(비수용성)</v>
          </cell>
          <cell r="E1614" t="str">
            <v>2000리터</v>
          </cell>
          <cell r="F1614" t="str">
            <v/>
          </cell>
        </row>
        <row r="1615">
          <cell r="B1615" t="str">
            <v>2156-97-0</v>
          </cell>
          <cell r="C1615" t="str">
            <v>아크릴산라우릴</v>
          </cell>
          <cell r="D1615" t="str">
            <v>4류 제3석유류(비수용성)</v>
          </cell>
          <cell r="E1615" t="str">
            <v>2000리터</v>
          </cell>
          <cell r="F1615">
            <v>3082</v>
          </cell>
        </row>
        <row r="1616">
          <cell r="B1616" t="str">
            <v>21615-34-9</v>
          </cell>
          <cell r="C1616" t="str">
            <v>아니소일클로라이드</v>
          </cell>
          <cell r="D1616" t="str">
            <v>4류 제3석유류(비수용성)</v>
          </cell>
          <cell r="E1616" t="str">
            <v>2000리터</v>
          </cell>
          <cell r="F1616">
            <v>1729</v>
          </cell>
        </row>
        <row r="1617">
          <cell r="B1617" t="str">
            <v>2162-98-3</v>
          </cell>
          <cell r="C1617" t="str">
            <v>디클로로데칸</v>
          </cell>
          <cell r="D1617" t="str">
            <v>4류 제3석유류(비수용성)</v>
          </cell>
          <cell r="E1617" t="str">
            <v>2000리터</v>
          </cell>
          <cell r="F1617">
            <v>3082</v>
          </cell>
        </row>
        <row r="1618">
          <cell r="B1618" t="str">
            <v>2162-99-4</v>
          </cell>
          <cell r="C1618" t="str">
            <v>1,8디클로로옥탄</v>
          </cell>
          <cell r="D1618" t="str">
            <v>4류 제3석유류(비수용성)</v>
          </cell>
          <cell r="E1618" t="str">
            <v>2000리터</v>
          </cell>
          <cell r="F1618" t="str">
            <v/>
          </cell>
        </row>
        <row r="1619">
          <cell r="B1619" t="str">
            <v>2163-00-0</v>
          </cell>
          <cell r="C1619" t="str">
            <v>1,6-디클로로헥산</v>
          </cell>
          <cell r="D1619" t="str">
            <v>4류 제3석유류(비수용성)</v>
          </cell>
          <cell r="E1619" t="str">
            <v>2000리터</v>
          </cell>
          <cell r="F1619">
            <v>3082</v>
          </cell>
        </row>
        <row r="1620">
          <cell r="B1620" t="str">
            <v>2186-92-7</v>
          </cell>
          <cell r="C1620" t="str">
            <v>파라-아니스알데히드디메틸아세탈</v>
          </cell>
          <cell r="D1620" t="str">
            <v>4류 제3석유류(비수용성)</v>
          </cell>
          <cell r="E1620" t="str">
            <v>2000리터</v>
          </cell>
          <cell r="F1620" t="str">
            <v/>
          </cell>
        </row>
        <row r="1621">
          <cell r="B1621" t="str">
            <v>21906-39-8</v>
          </cell>
          <cell r="C1621" t="str">
            <v>트리플로르메틸-3페닐아세톤</v>
          </cell>
          <cell r="D1621" t="str">
            <v>4류 제3석유류(비수용성)</v>
          </cell>
          <cell r="E1621" t="str">
            <v>2000리터</v>
          </cell>
          <cell r="F1621">
            <v>1993</v>
          </cell>
        </row>
        <row r="1622">
          <cell r="B1622" t="str">
            <v>2206-27-1</v>
          </cell>
          <cell r="C1622" t="str">
            <v>디메틸설폭사이드-디6</v>
          </cell>
          <cell r="D1622" t="str">
            <v>4류 제3석유류(비수용성)</v>
          </cell>
          <cell r="E1622" t="str">
            <v>2000리터</v>
          </cell>
          <cell r="F1622">
            <v>1993</v>
          </cell>
        </row>
        <row r="1623">
          <cell r="B1623" t="str">
            <v>22122-36-7</v>
          </cell>
          <cell r="C1623" t="str">
            <v>메틸(3-),-2-퓨라논</v>
          </cell>
          <cell r="D1623" t="str">
            <v>4류 제3석유류(비수용성)</v>
          </cell>
          <cell r="E1623" t="str">
            <v>2000리터</v>
          </cell>
          <cell r="F1623">
            <v>1993</v>
          </cell>
        </row>
        <row r="1624">
          <cell r="B1624" t="str">
            <v>22128-62-7</v>
          </cell>
          <cell r="C1624" t="str">
            <v>클로로포름산메틸에스테르</v>
          </cell>
          <cell r="D1624" t="str">
            <v>4류 제3석유류(비수용성)</v>
          </cell>
          <cell r="E1624" t="str">
            <v>2000리터</v>
          </cell>
          <cell r="F1624">
            <v>2745</v>
          </cell>
        </row>
        <row r="1625">
          <cell r="B1625" t="str">
            <v>2216-52-6</v>
          </cell>
          <cell r="C1625" t="str">
            <v>네오맨톨</v>
          </cell>
          <cell r="D1625" t="str">
            <v>4류 제3석유류(비수용성)</v>
          </cell>
          <cell r="E1625" t="str">
            <v>2000리터</v>
          </cell>
          <cell r="F1625">
            <v>1993</v>
          </cell>
        </row>
        <row r="1626">
          <cell r="B1626" t="str">
            <v>2223-82-7</v>
          </cell>
          <cell r="C1626" t="str">
            <v>네오펜틸글리콜 디아크릴레이트</v>
          </cell>
          <cell r="D1626" t="str">
            <v>4류 제3석유류(비수용성)</v>
          </cell>
          <cell r="E1626" t="str">
            <v>2000리터</v>
          </cell>
          <cell r="F1626">
            <v>2810</v>
          </cell>
        </row>
        <row r="1627">
          <cell r="B1627" t="str">
            <v>2235-46-3</v>
          </cell>
          <cell r="C1627" t="str">
            <v>디에틸아세토아세트아미드</v>
          </cell>
          <cell r="D1627" t="str">
            <v>4류 제3석유류(비수용성)</v>
          </cell>
          <cell r="E1627" t="str">
            <v>2000리터</v>
          </cell>
          <cell r="F1627" t="str">
            <v/>
          </cell>
        </row>
        <row r="1628">
          <cell r="B1628" t="str">
            <v>22374-89-6</v>
          </cell>
          <cell r="C1628" t="str">
            <v>3-아미노-1-페닐부탄</v>
          </cell>
          <cell r="D1628" t="str">
            <v>4류 제3석유류(비수용성)</v>
          </cell>
          <cell r="E1628" t="str">
            <v>2000리터</v>
          </cell>
          <cell r="F1628">
            <v>2735</v>
          </cell>
        </row>
        <row r="1629">
          <cell r="B1629" t="str">
            <v>2243-27-8</v>
          </cell>
          <cell r="C1629" t="str">
            <v>옥틸(노르말)시안니드</v>
          </cell>
          <cell r="D1629" t="str">
            <v>4류 제3석유류(비수용성)</v>
          </cell>
          <cell r="E1629" t="str">
            <v>2000리터</v>
          </cell>
          <cell r="F1629">
            <v>1993</v>
          </cell>
        </row>
        <row r="1630">
          <cell r="B1630" t="str">
            <v>2244-16-8</v>
          </cell>
          <cell r="C1630" t="str">
            <v>카르본(에스)</v>
          </cell>
          <cell r="D1630" t="str">
            <v>4류 제3석유류(비수용성)</v>
          </cell>
          <cell r="E1630" t="str">
            <v>2000리터</v>
          </cell>
          <cell r="F1630" t="str">
            <v/>
          </cell>
        </row>
        <row r="1631">
          <cell r="B1631" t="str">
            <v>22499-12-3</v>
          </cell>
          <cell r="C1631" t="str">
            <v>벤조인이소부틸에테르</v>
          </cell>
          <cell r="D1631" t="str">
            <v>4류 제3석유류(비수용성)</v>
          </cell>
          <cell r="E1631" t="str">
            <v>2000리터</v>
          </cell>
          <cell r="F1631" t="str">
            <v/>
          </cell>
        </row>
        <row r="1632">
          <cell r="B1632" t="str">
            <v>2308-18-1</v>
          </cell>
          <cell r="C1632" t="str">
            <v>아세토아세트산이소아밀에스테르</v>
          </cell>
          <cell r="D1632" t="str">
            <v>4류 제3석유류(비수용성)</v>
          </cell>
          <cell r="E1632" t="str">
            <v>2000리터</v>
          </cell>
          <cell r="F1632" t="str">
            <v/>
          </cell>
        </row>
        <row r="1633">
          <cell r="B1633" t="str">
            <v>2315-68-6</v>
          </cell>
          <cell r="C1633" t="str">
            <v>벤조산노르말프로필에스테르</v>
          </cell>
          <cell r="D1633" t="str">
            <v>4류 제3석유류(비수용성)</v>
          </cell>
          <cell r="E1633" t="str">
            <v>2000리터</v>
          </cell>
          <cell r="F1633" t="str">
            <v/>
          </cell>
        </row>
        <row r="1634">
          <cell r="B1634" t="str">
            <v>2357-52-0</v>
          </cell>
          <cell r="C1634" t="str">
            <v>4-브로모-2-플로로아니솔</v>
          </cell>
          <cell r="D1634" t="str">
            <v>4류 제3석유류(비수용성)</v>
          </cell>
          <cell r="E1634" t="str">
            <v>2000리터</v>
          </cell>
          <cell r="F1634" t="str">
            <v/>
          </cell>
        </row>
        <row r="1635">
          <cell r="B1635" t="str">
            <v>2370-63-0</v>
          </cell>
          <cell r="C1635" t="str">
            <v>메타크릴산-2-에톡시에틸에스테르</v>
          </cell>
          <cell r="D1635" t="str">
            <v>4류 제3석유류(비수용성)</v>
          </cell>
          <cell r="E1635" t="str">
            <v>2000리터</v>
          </cell>
          <cell r="F1635" t="str">
            <v/>
          </cell>
        </row>
        <row r="1636">
          <cell r="B1636" t="str">
            <v>2398-37-0</v>
          </cell>
          <cell r="C1636" t="str">
            <v>3-브로모아니졸</v>
          </cell>
          <cell r="D1636" t="str">
            <v>4류 제3석유류(비수용성)</v>
          </cell>
          <cell r="E1636" t="str">
            <v>2000리터</v>
          </cell>
          <cell r="F1636" t="str">
            <v/>
          </cell>
        </row>
        <row r="1637">
          <cell r="B1637" t="str">
            <v>2399-48-6</v>
          </cell>
          <cell r="C1637" t="str">
            <v>테트라하이드로푸르푸릴 아크릴레이트</v>
          </cell>
          <cell r="D1637" t="str">
            <v>4류 제3석유류(비수용성)</v>
          </cell>
          <cell r="E1637" t="str">
            <v>2000리터</v>
          </cell>
          <cell r="F1637" t="str">
            <v/>
          </cell>
        </row>
        <row r="1638">
          <cell r="B1638" t="str">
            <v>2404-44-6</v>
          </cell>
          <cell r="C1638" t="str">
            <v>에폭시데칸(1.2-)</v>
          </cell>
          <cell r="D1638" t="str">
            <v>4류 제3석유류(비수용성)</v>
          </cell>
          <cell r="E1638" t="str">
            <v>2000리터</v>
          </cell>
          <cell r="F1638" t="str">
            <v/>
          </cell>
        </row>
        <row r="1639">
          <cell r="B1639" t="str">
            <v>2417-90-5</v>
          </cell>
          <cell r="C1639" t="str">
            <v>3-브로모프로피오니트릴</v>
          </cell>
          <cell r="D1639" t="str">
            <v>4류 제3석유류(비수용성)</v>
          </cell>
          <cell r="E1639" t="str">
            <v>2000리터</v>
          </cell>
          <cell r="F1639">
            <v>3276</v>
          </cell>
        </row>
        <row r="1640">
          <cell r="B1640" t="str">
            <v>2425-54-9</v>
          </cell>
          <cell r="C1640" t="str">
            <v>클로로(1-)데트라데칸</v>
          </cell>
          <cell r="D1640" t="str">
            <v>4류 제3석유류(비수용성)</v>
          </cell>
          <cell r="E1640" t="str">
            <v>2000리터</v>
          </cell>
          <cell r="F1640">
            <v>3082</v>
          </cell>
        </row>
        <row r="1641">
          <cell r="B1641" t="str">
            <v>2425-74-3</v>
          </cell>
          <cell r="C1641" t="str">
            <v>부틸포름알데히드(엔-터셔리)</v>
          </cell>
          <cell r="D1641" t="str">
            <v>4류 제3석유류(비수용성)</v>
          </cell>
          <cell r="E1641" t="str">
            <v>2000리터</v>
          </cell>
          <cell r="F1641">
            <v>1993</v>
          </cell>
        </row>
        <row r="1642">
          <cell r="B1642" t="str">
            <v>2426-54-2</v>
          </cell>
          <cell r="C1642" t="str">
            <v>디아미노에틸아크릴레이트</v>
          </cell>
          <cell r="D1642" t="str">
            <v>4류 제3석유류(비수용성)</v>
          </cell>
          <cell r="E1642" t="str">
            <v>2000리터</v>
          </cell>
          <cell r="F1642">
            <v>2927</v>
          </cell>
        </row>
        <row r="1643">
          <cell r="B1643" t="str">
            <v>24295-03-2</v>
          </cell>
          <cell r="C1643" t="str">
            <v>2-아세틸티아졸</v>
          </cell>
          <cell r="D1643" t="str">
            <v>4류 제3석유류(비수용성)</v>
          </cell>
          <cell r="E1643" t="str">
            <v>2000리터</v>
          </cell>
          <cell r="F1643">
            <v>3334</v>
          </cell>
        </row>
        <row r="1644">
          <cell r="B1644" t="str">
            <v>24347-58-8</v>
          </cell>
          <cell r="C1644" t="str">
            <v>부탄디올((알,알r)-(1)-2,3-...</v>
          </cell>
          <cell r="D1644" t="str">
            <v>4류 제3석유류(비수용성)</v>
          </cell>
          <cell r="E1644" t="str">
            <v>2000리터</v>
          </cell>
          <cell r="F1644">
            <v>1993</v>
          </cell>
        </row>
        <row r="1645">
          <cell r="B1645" t="str">
            <v>2437-25-4</v>
          </cell>
          <cell r="C1645" t="str">
            <v>라우로니트릴</v>
          </cell>
          <cell r="D1645" t="str">
            <v>4류 제3석유류(비수용성)</v>
          </cell>
          <cell r="E1645" t="str">
            <v>2000리터</v>
          </cell>
          <cell r="F1645">
            <v>3276</v>
          </cell>
        </row>
        <row r="1646">
          <cell r="B1646" t="str">
            <v>24468-13-1</v>
          </cell>
          <cell r="C1646" t="str">
            <v>클로로탄산 2-에틸헥실에스테르</v>
          </cell>
          <cell r="D1646" t="str">
            <v>4류 제3석유류(비수용성)</v>
          </cell>
          <cell r="E1646" t="str">
            <v>2000리터</v>
          </cell>
          <cell r="F1646">
            <v>2748</v>
          </cell>
        </row>
        <row r="1647">
          <cell r="B1647" t="str">
            <v>24544-04-5</v>
          </cell>
          <cell r="C1647" t="str">
            <v>2,6-디이소프로필아닐린</v>
          </cell>
          <cell r="D1647" t="str">
            <v>4류 제3석유류(비수용성)</v>
          </cell>
          <cell r="E1647" t="str">
            <v>2000리터</v>
          </cell>
          <cell r="F1647" t="str">
            <v/>
          </cell>
        </row>
        <row r="1648">
          <cell r="B1648" t="str">
            <v>24549-06-2</v>
          </cell>
          <cell r="C1648" t="str">
            <v>메틸-6-에틸아닐린</v>
          </cell>
          <cell r="D1648" t="str">
            <v>4류 제3석유류(비수용성)</v>
          </cell>
          <cell r="E1648" t="str">
            <v>2000리터</v>
          </cell>
          <cell r="F1648">
            <v>1993</v>
          </cell>
        </row>
        <row r="1649">
          <cell r="B1649" t="str">
            <v>2455-24-5</v>
          </cell>
          <cell r="C1649" t="str">
            <v>메타크릴산 테트라하이드로푸르푸릴</v>
          </cell>
          <cell r="D1649" t="str">
            <v>4류 제3석유류(비수용성)</v>
          </cell>
          <cell r="E1649" t="str">
            <v>2000리터</v>
          </cell>
          <cell r="F1649">
            <v>1993</v>
          </cell>
        </row>
        <row r="1650">
          <cell r="B1650" t="str">
            <v>24599-58-4</v>
          </cell>
          <cell r="C1650" t="str">
            <v>디메톡시톨루엔</v>
          </cell>
          <cell r="D1650" t="str">
            <v>4류 제3석유류(비수용성)</v>
          </cell>
          <cell r="E1650" t="str">
            <v>2000리터</v>
          </cell>
          <cell r="F1650" t="str">
            <v/>
          </cell>
        </row>
        <row r="1651">
          <cell r="B1651" t="str">
            <v>24683-00-9</v>
          </cell>
          <cell r="C1651" t="str">
            <v>이소부틸-3-메독시피라진</v>
          </cell>
          <cell r="D1651" t="str">
            <v>4류 제3석유류(비수용성)</v>
          </cell>
          <cell r="E1651" t="str">
            <v>2000리터</v>
          </cell>
          <cell r="F1651">
            <v>1993</v>
          </cell>
        </row>
        <row r="1652">
          <cell r="B1652" t="str">
            <v>2473-01-0</v>
          </cell>
          <cell r="C1652" t="str">
            <v>클로로노난</v>
          </cell>
          <cell r="D1652" t="str">
            <v>4류 제3석유류(비수용성)</v>
          </cell>
          <cell r="E1652" t="str">
            <v>2000리터</v>
          </cell>
          <cell r="F1652" t="str">
            <v/>
          </cell>
        </row>
        <row r="1653">
          <cell r="B1653" t="str">
            <v>24851-98-7</v>
          </cell>
          <cell r="C1653" t="str">
            <v>디하이드로쟈스몬산메틸</v>
          </cell>
          <cell r="D1653" t="str">
            <v>4류 제3석유류(비수용성)</v>
          </cell>
          <cell r="E1653" t="str">
            <v>2000리터</v>
          </cell>
          <cell r="F1653" t="str">
            <v/>
          </cell>
        </row>
        <row r="1654">
          <cell r="B1654" t="str">
            <v>2495-25-2</v>
          </cell>
          <cell r="C1654" t="str">
            <v>메타크릴산 트리데실</v>
          </cell>
          <cell r="D1654" t="str">
            <v>4류 제3석유류(비수용성)</v>
          </cell>
          <cell r="E1654" t="str">
            <v>2000리터</v>
          </cell>
          <cell r="F1654" t="str">
            <v/>
          </cell>
        </row>
        <row r="1655">
          <cell r="B1655" t="str">
            <v>2495-37-6</v>
          </cell>
          <cell r="C1655" t="str">
            <v>메타크릴산 벤질</v>
          </cell>
          <cell r="D1655" t="str">
            <v>4류 제3석유류(비수용성)</v>
          </cell>
          <cell r="E1655" t="str">
            <v>2000리터</v>
          </cell>
          <cell r="F1655" t="str">
            <v/>
          </cell>
        </row>
        <row r="1656">
          <cell r="B1656" t="str">
            <v>25152-84-5</v>
          </cell>
          <cell r="C1656" t="str">
            <v>데카디엔알</v>
          </cell>
          <cell r="D1656" t="str">
            <v>4류 제3석유류(비수용성)</v>
          </cell>
          <cell r="E1656" t="str">
            <v>2000리터</v>
          </cell>
          <cell r="F1656" t="str">
            <v/>
          </cell>
        </row>
        <row r="1657">
          <cell r="B1657" t="str">
            <v>2524-03-0</v>
          </cell>
          <cell r="C1657" t="str">
            <v>디메틸티오린산클로라이드</v>
          </cell>
          <cell r="D1657" t="str">
            <v>4류 제3석유류(비수용성)</v>
          </cell>
          <cell r="E1657" t="str">
            <v>2000리터</v>
          </cell>
          <cell r="F1657">
            <v>2267</v>
          </cell>
        </row>
        <row r="1658">
          <cell r="B1658" t="str">
            <v>2524-52-9</v>
          </cell>
          <cell r="C1658" t="str">
            <v>피콜리닉산에틸에스테르</v>
          </cell>
          <cell r="D1658" t="str">
            <v>4류 제3석유류(비수용성)</v>
          </cell>
          <cell r="E1658" t="str">
            <v>2000리터</v>
          </cell>
          <cell r="F1658" t="str">
            <v/>
          </cell>
        </row>
        <row r="1659">
          <cell r="B1659" t="str">
            <v>2524-64-3</v>
          </cell>
          <cell r="C1659" t="str">
            <v>디펜닐포소릴클로라이드</v>
          </cell>
          <cell r="D1659" t="str">
            <v>4류 제3석유류(비수용성)</v>
          </cell>
          <cell r="E1659" t="str">
            <v>2000리터</v>
          </cell>
          <cell r="F1659">
            <v>3265</v>
          </cell>
        </row>
        <row r="1660">
          <cell r="B1660" t="str">
            <v>25265-77-4</v>
          </cell>
          <cell r="C1660" t="str">
            <v>2,2,4-트리메틸-1,3-펜탄디올 ...</v>
          </cell>
          <cell r="D1660" t="str">
            <v>4류 제3석유류(비수용성)</v>
          </cell>
          <cell r="E1660" t="str">
            <v>2000리터</v>
          </cell>
          <cell r="F1660" t="str">
            <v/>
          </cell>
        </row>
        <row r="1661">
          <cell r="B1661" t="str">
            <v>2530-87-2</v>
          </cell>
          <cell r="C1661" t="str">
            <v>클로르프로필-3트리메톡시실란</v>
          </cell>
          <cell r="D1661" t="str">
            <v>4류 제3석유류(비수용성)</v>
          </cell>
          <cell r="E1661" t="str">
            <v>2000리터</v>
          </cell>
          <cell r="F1661">
            <v>1993</v>
          </cell>
        </row>
        <row r="1662">
          <cell r="B1662" t="str">
            <v>25339-17-7</v>
          </cell>
          <cell r="C1662" t="str">
            <v>이소데실알코올</v>
          </cell>
          <cell r="D1662" t="str">
            <v>4류 제3석유류(비수용성)</v>
          </cell>
          <cell r="E1662" t="str">
            <v>2000리터</v>
          </cell>
          <cell r="F1662" t="str">
            <v/>
          </cell>
        </row>
        <row r="1663">
          <cell r="B1663" t="str">
            <v>25354-97-6</v>
          </cell>
          <cell r="C1663" t="str">
            <v>헥실데카논산</v>
          </cell>
          <cell r="D1663" t="str">
            <v>4류 제3석유류(비수용성)</v>
          </cell>
          <cell r="E1663" t="str">
            <v>2000리터</v>
          </cell>
          <cell r="F1663" t="str">
            <v/>
          </cell>
        </row>
        <row r="1664">
          <cell r="B1664" t="str">
            <v>25448-25-3</v>
          </cell>
          <cell r="C1664" t="str">
            <v>트리데실포스파이트</v>
          </cell>
          <cell r="D1664" t="str">
            <v>4류 제3석유류(비수용성)</v>
          </cell>
          <cell r="E1664" t="str">
            <v>2000리터</v>
          </cell>
          <cell r="F1664" t="str">
            <v/>
          </cell>
        </row>
        <row r="1665">
          <cell r="B1665" t="str">
            <v>25498-02-6</v>
          </cell>
          <cell r="C1665" t="str">
            <v>폴리메톡시실록산</v>
          </cell>
          <cell r="D1665" t="str">
            <v>4류 제3석유류(비수용성)</v>
          </cell>
          <cell r="E1665" t="str">
            <v>2000리터</v>
          </cell>
          <cell r="F1665" t="str">
            <v/>
          </cell>
        </row>
        <row r="1666">
          <cell r="B1666" t="str">
            <v>2550-26-7</v>
          </cell>
          <cell r="C1666" t="str">
            <v>벤질아세톤</v>
          </cell>
          <cell r="D1666" t="str">
            <v>4류 제3석유류(비수용성)</v>
          </cell>
          <cell r="E1666" t="str">
            <v>2000리터</v>
          </cell>
          <cell r="F1666" t="str">
            <v/>
          </cell>
        </row>
        <row r="1667">
          <cell r="B1667" t="str">
            <v>25524-95-2</v>
          </cell>
          <cell r="C1667" t="str">
            <v>쟈스민 락톤</v>
          </cell>
          <cell r="D1667" t="str">
            <v>4류 제3석유류(비수용성)</v>
          </cell>
          <cell r="E1667" t="str">
            <v>2000리터</v>
          </cell>
          <cell r="F1667" t="str">
            <v/>
          </cell>
        </row>
        <row r="1668">
          <cell r="B1668" t="str">
            <v>25560-00-3</v>
          </cell>
          <cell r="C1668" t="str">
            <v>1-(3-아미노프로필)-2-피페콜린</v>
          </cell>
          <cell r="D1668" t="str">
            <v>4류 제3석유류(비수용성)</v>
          </cell>
          <cell r="E1668" t="str">
            <v>2000리터</v>
          </cell>
          <cell r="F1668">
            <v>3267</v>
          </cell>
        </row>
        <row r="1669">
          <cell r="B1669" t="str">
            <v>25564-22-1</v>
          </cell>
          <cell r="C1669" t="str">
            <v>펜틸시클로펜텐-1-온</v>
          </cell>
          <cell r="D1669" t="str">
            <v>4류 제3석유류(비수용성)</v>
          </cell>
          <cell r="E1669" t="str">
            <v>2000리터</v>
          </cell>
          <cell r="F1669" t="str">
            <v/>
          </cell>
        </row>
        <row r="1670">
          <cell r="B1670" t="str">
            <v>2556-73-2</v>
          </cell>
          <cell r="C1670" t="str">
            <v>메틸-에타-카프로락탐</v>
          </cell>
          <cell r="D1670" t="str">
            <v>4류 제3석유류(비수용성)</v>
          </cell>
          <cell r="E1670" t="str">
            <v>2000리터</v>
          </cell>
          <cell r="F1670" t="str">
            <v/>
          </cell>
        </row>
        <row r="1671">
          <cell r="B1671" t="str">
            <v>25584-83-2</v>
          </cell>
          <cell r="C1671" t="str">
            <v>2-하이드록시프로필아크릴레이트</v>
          </cell>
          <cell r="D1671" t="str">
            <v>4류 제3석유류(비수용성)</v>
          </cell>
          <cell r="E1671" t="str">
            <v>2000리터</v>
          </cell>
          <cell r="F1671">
            <v>1760</v>
          </cell>
        </row>
        <row r="1672">
          <cell r="B1672" t="str">
            <v>2579-20-6</v>
          </cell>
          <cell r="C1672" t="str">
            <v>1,3-비스(아미노메틸)시클로헥산</v>
          </cell>
          <cell r="D1672" t="str">
            <v>4류 제3석유류(비수용성)</v>
          </cell>
          <cell r="E1672" t="str">
            <v>2000리터</v>
          </cell>
          <cell r="F1672">
            <v>2735</v>
          </cell>
        </row>
        <row r="1673">
          <cell r="B1673" t="str">
            <v>2591-86-8</v>
          </cell>
          <cell r="C1673" t="str">
            <v>포밀피페리딘</v>
          </cell>
          <cell r="D1673" t="str">
            <v>4류 제3석유류(비수용성)</v>
          </cell>
          <cell r="E1673" t="str">
            <v>2000리터</v>
          </cell>
          <cell r="F1673">
            <v>2810</v>
          </cell>
        </row>
        <row r="1674">
          <cell r="B1674" t="str">
            <v>26142-30-3</v>
          </cell>
          <cell r="C1674" t="str">
            <v>폴리프로필렌글리콜 디글리시딜에테르</v>
          </cell>
          <cell r="D1674" t="str">
            <v>4류 제3석유류(비수용성)</v>
          </cell>
          <cell r="E1674" t="str">
            <v>2000리터</v>
          </cell>
          <cell r="F1674" t="str">
            <v/>
          </cell>
        </row>
        <row r="1675">
          <cell r="B1675" t="str">
            <v>2623-23-6</v>
          </cell>
          <cell r="C1675" t="str">
            <v>ℓ-멘틸아세테이트</v>
          </cell>
          <cell r="D1675" t="str">
            <v>4류 제3석유류(비수용성)</v>
          </cell>
          <cell r="E1675" t="str">
            <v>2000리터</v>
          </cell>
          <cell r="F1675">
            <v>3272</v>
          </cell>
        </row>
        <row r="1676">
          <cell r="B1676" t="str">
            <v>2627-86-3</v>
          </cell>
          <cell r="C1676" t="str">
            <v>(에스)-(-)-알파-메틸벤질아민</v>
          </cell>
          <cell r="D1676" t="str">
            <v>4류 제3석유류(비수용성)</v>
          </cell>
          <cell r="E1676" t="str">
            <v>2000리터</v>
          </cell>
          <cell r="F1676">
            <v>2922</v>
          </cell>
        </row>
        <row r="1677">
          <cell r="B1677" t="str">
            <v>26386-88-9</v>
          </cell>
          <cell r="C1677" t="str">
            <v>디페닐포스포릴아지드</v>
          </cell>
          <cell r="D1677" t="str">
            <v>4류 제3석유류(비수용성)</v>
          </cell>
          <cell r="E1677" t="str">
            <v>2000리터</v>
          </cell>
          <cell r="F1677" t="str">
            <v/>
          </cell>
        </row>
        <row r="1678">
          <cell r="B1678" t="str">
            <v>26864-36-8</v>
          </cell>
          <cell r="C1678" t="str">
            <v>트리옥틸스티빈 트릴트리티오 트리아세테...</v>
          </cell>
          <cell r="D1678" t="str">
            <v>4류 제3석유류(비수용성)</v>
          </cell>
          <cell r="E1678" t="str">
            <v>2000리터</v>
          </cell>
          <cell r="F1678" t="str">
            <v/>
          </cell>
        </row>
        <row r="1679">
          <cell r="B1679" t="str">
            <v>2687-91-4</v>
          </cell>
          <cell r="C1679" t="str">
            <v>에틸(1-)-2-피롤요돈</v>
          </cell>
          <cell r="D1679" t="str">
            <v>4류 제3석유류(비수용성)</v>
          </cell>
          <cell r="E1679" t="str">
            <v>2000리터</v>
          </cell>
          <cell r="F1679">
            <v>1993</v>
          </cell>
        </row>
        <row r="1680">
          <cell r="B1680" t="str">
            <v>2700-30-3</v>
          </cell>
          <cell r="C1680" t="str">
            <v>디이소프로필포름아미드</v>
          </cell>
          <cell r="D1680" t="str">
            <v>4류 제3석유류(비수용성)</v>
          </cell>
          <cell r="E1680" t="str">
            <v>2000리터</v>
          </cell>
          <cell r="F1680" t="str">
            <v/>
          </cell>
        </row>
        <row r="1681">
          <cell r="B1681" t="str">
            <v>2705-87-5</v>
          </cell>
          <cell r="C1681" t="str">
            <v>사이클로헥실프로피온산 알릴</v>
          </cell>
          <cell r="D1681" t="str">
            <v>4류 제3석유류(비수용성)</v>
          </cell>
          <cell r="E1681" t="str">
            <v>2000리터</v>
          </cell>
          <cell r="F1681" t="str">
            <v/>
          </cell>
        </row>
        <row r="1682">
          <cell r="B1682" t="str">
            <v>27132-23-6</v>
          </cell>
          <cell r="C1682" t="str">
            <v>디에틸말론산디메틸에스테르</v>
          </cell>
          <cell r="D1682" t="str">
            <v>4류 제3석유류(비수용성)</v>
          </cell>
          <cell r="E1682" t="str">
            <v>2000리터</v>
          </cell>
          <cell r="F1682" t="str">
            <v/>
          </cell>
        </row>
        <row r="1683">
          <cell r="B1683" t="str">
            <v>271-95-4</v>
          </cell>
          <cell r="C1683" t="str">
            <v>1,2-벤지속사졸</v>
          </cell>
          <cell r="D1683" t="str">
            <v>4류 제3석유류(비수용성)</v>
          </cell>
          <cell r="E1683" t="str">
            <v>2000리터</v>
          </cell>
          <cell r="F1683" t="str">
            <v/>
          </cell>
        </row>
        <row r="1684">
          <cell r="B1684" t="str">
            <v>2724-58-5</v>
          </cell>
          <cell r="C1684" t="str">
            <v>이소스테아린산</v>
          </cell>
          <cell r="D1684" t="str">
            <v>4류 제3석유류(비수용성)</v>
          </cell>
          <cell r="E1684" t="str">
            <v>2000리터</v>
          </cell>
          <cell r="F1684" t="str">
            <v/>
          </cell>
        </row>
        <row r="1685">
          <cell r="B1685" t="str">
            <v>27458-92-0</v>
          </cell>
          <cell r="C1685" t="str">
            <v>이소트리데실알코올</v>
          </cell>
          <cell r="D1685" t="str">
            <v>4류 제3석유류(비수용성)</v>
          </cell>
          <cell r="E1685" t="str">
            <v>2000리터</v>
          </cell>
          <cell r="F1685" t="str">
            <v/>
          </cell>
        </row>
        <row r="1686">
          <cell r="B1686" t="str">
            <v>27554-26-3</v>
          </cell>
          <cell r="C1686" t="str">
            <v>디 이소옥틸 프탈레이트</v>
          </cell>
          <cell r="D1686" t="str">
            <v>4류 제3석유류(비수용성)</v>
          </cell>
          <cell r="E1686" t="str">
            <v>2000리터</v>
          </cell>
          <cell r="F1686" t="str">
            <v/>
          </cell>
        </row>
        <row r="1687">
          <cell r="B1687" t="str">
            <v>2759-28-6</v>
          </cell>
          <cell r="C1687" t="str">
            <v>벤질피페라진</v>
          </cell>
          <cell r="D1687" t="str">
            <v>4류 제3석유류(비수용성)</v>
          </cell>
          <cell r="E1687" t="str">
            <v>2000리터</v>
          </cell>
          <cell r="F1687">
            <v>3267</v>
          </cell>
        </row>
        <row r="1688">
          <cell r="B1688" t="str">
            <v>2768-07-2</v>
          </cell>
          <cell r="C1688" t="str">
            <v>아크릴산 3-메톡시부틸</v>
          </cell>
          <cell r="D1688" t="str">
            <v>4류 제3석유류(비수용성)</v>
          </cell>
          <cell r="E1688" t="str">
            <v>2000리터</v>
          </cell>
          <cell r="F1688" t="str">
            <v/>
          </cell>
        </row>
        <row r="1689">
          <cell r="B1689" t="str">
            <v>27813-02-1</v>
          </cell>
          <cell r="C1689" t="str">
            <v>메타크릴산-2-하이드록시에틸에스테르</v>
          </cell>
          <cell r="D1689" t="str">
            <v>4류 제3석유류(비수용성)</v>
          </cell>
          <cell r="E1689" t="str">
            <v>2000리터</v>
          </cell>
          <cell r="F1689" t="str">
            <v/>
          </cell>
        </row>
        <row r="1690">
          <cell r="B1690" t="str">
            <v>2785-89-9</v>
          </cell>
          <cell r="C1690" t="str">
            <v>메톡시-4-에틸페놀)</v>
          </cell>
          <cell r="D1690" t="str">
            <v>4류 제3석유류(비수용성)</v>
          </cell>
          <cell r="E1690" t="str">
            <v>2000리터</v>
          </cell>
          <cell r="F1690" t="str">
            <v/>
          </cell>
        </row>
        <row r="1691">
          <cell r="B1691" t="str">
            <v>28069-72-9</v>
          </cell>
          <cell r="C1691" t="str">
            <v>노난디엔(트란스,시스-2,6)-1-올</v>
          </cell>
          <cell r="D1691" t="str">
            <v>4류 제3석유류(비수용성)</v>
          </cell>
          <cell r="E1691" t="str">
            <v>2000리터</v>
          </cell>
          <cell r="F1691" t="str">
            <v/>
          </cell>
        </row>
        <row r="1692">
          <cell r="B1692" t="str">
            <v>28469-92-3</v>
          </cell>
          <cell r="C1692" t="str">
            <v>디클로로스티렌</v>
          </cell>
          <cell r="D1692" t="str">
            <v>4류 제3석유류(비수용성)</v>
          </cell>
          <cell r="E1692" t="str">
            <v>2000리터</v>
          </cell>
          <cell r="F1692" t="str">
            <v/>
          </cell>
        </row>
        <row r="1693">
          <cell r="B1693" t="str">
            <v>2855-13-2</v>
          </cell>
          <cell r="C1693" t="str">
            <v>아이소포론 디아민</v>
          </cell>
          <cell r="D1693" t="str">
            <v>4류 제3석유류(비수용성)</v>
          </cell>
          <cell r="E1693" t="str">
            <v>2000리터</v>
          </cell>
          <cell r="F1693">
            <v>2289</v>
          </cell>
        </row>
        <row r="1694">
          <cell r="B1694" t="str">
            <v>2855-19-8</v>
          </cell>
          <cell r="C1694" t="str">
            <v>도데센(1,2-)옥사이드</v>
          </cell>
          <cell r="D1694" t="str">
            <v>4류 제3석유류(비수용성)</v>
          </cell>
          <cell r="E1694" t="str">
            <v>2000리터</v>
          </cell>
          <cell r="F1694" t="str">
            <v/>
          </cell>
        </row>
        <row r="1695">
          <cell r="B1695" t="str">
            <v>28556-81-2</v>
          </cell>
          <cell r="C1695" t="str">
            <v>2,6-디메틸페닐이소시아네이트</v>
          </cell>
          <cell r="D1695" t="str">
            <v>4류 제3석유류(비수용성)</v>
          </cell>
          <cell r="E1695" t="str">
            <v>2000리터</v>
          </cell>
          <cell r="F1695">
            <v>2206</v>
          </cell>
        </row>
        <row r="1696">
          <cell r="B1696" t="str">
            <v>2859-78-1</v>
          </cell>
          <cell r="C1696" t="str">
            <v>4-브로모버레이트롤</v>
          </cell>
          <cell r="D1696" t="str">
            <v>4류 제3석유류(비수용성)</v>
          </cell>
          <cell r="E1696" t="str">
            <v>2000리터</v>
          </cell>
          <cell r="F1696" t="str">
            <v/>
          </cell>
        </row>
        <row r="1697">
          <cell r="B1697" t="str">
            <v>286-99-7</v>
          </cell>
          <cell r="C1697" t="str">
            <v>에폭시시클로로덴칸(1.2-)</v>
          </cell>
          <cell r="D1697" t="str">
            <v>4류 제3석유류(비수용성)</v>
          </cell>
          <cell r="E1697" t="str">
            <v>2000리터</v>
          </cell>
          <cell r="F1697" t="str">
            <v/>
          </cell>
        </row>
        <row r="1698">
          <cell r="B1698" t="str">
            <v>2905-60-4</v>
          </cell>
          <cell r="C1698" t="str">
            <v>2,3-디클로로벤조일 클로라이드</v>
          </cell>
          <cell r="D1698" t="str">
            <v>4류 제3석유류(비수용성)</v>
          </cell>
          <cell r="E1698" t="str">
            <v>2000리터</v>
          </cell>
          <cell r="F1698">
            <v>1760</v>
          </cell>
        </row>
        <row r="1699">
          <cell r="B1699" t="str">
            <v>2909-38-8</v>
          </cell>
          <cell r="C1699" t="str">
            <v>벤질1-클로로-3-이소시아네이트</v>
          </cell>
          <cell r="D1699" t="str">
            <v>4류 제3석유류(비수용성)</v>
          </cell>
          <cell r="E1699" t="str">
            <v>2000리터</v>
          </cell>
          <cell r="F1699">
            <v>2206</v>
          </cell>
        </row>
        <row r="1700">
          <cell r="B1700" t="str">
            <v>2935-44-6</v>
          </cell>
          <cell r="C1700" t="str">
            <v>헥산디올(2.5)</v>
          </cell>
          <cell r="D1700" t="str">
            <v>4류 제3석유류(비수용성)</v>
          </cell>
          <cell r="E1700" t="str">
            <v>2000리터</v>
          </cell>
          <cell r="F1700" t="str">
            <v/>
          </cell>
        </row>
        <row r="1701">
          <cell r="B1701" t="str">
            <v>2942-58-7</v>
          </cell>
          <cell r="C1701" t="str">
            <v>시아노인산디에틸에스테르</v>
          </cell>
          <cell r="D1701" t="str">
            <v>4류 제3석유류(비수용성)</v>
          </cell>
          <cell r="E1701" t="str">
            <v>2000리터</v>
          </cell>
          <cell r="F1701">
            <v>2922</v>
          </cell>
        </row>
        <row r="1702">
          <cell r="B1702" t="str">
            <v>29548-30-9</v>
          </cell>
          <cell r="C1702" t="str">
            <v>파네실아세트산</v>
          </cell>
          <cell r="D1702" t="str">
            <v>4류 제3석유류(비수용성)</v>
          </cell>
          <cell r="E1702" t="str">
            <v>2000리터</v>
          </cell>
          <cell r="F1702" t="str">
            <v/>
          </cell>
        </row>
        <row r="1703">
          <cell r="B1703" t="str">
            <v>29590-42-9</v>
          </cell>
          <cell r="C1703" t="str">
            <v>아크릴산이소옥틸</v>
          </cell>
          <cell r="D1703" t="str">
            <v>4류 제3석유류(비수용성)</v>
          </cell>
          <cell r="E1703" t="str">
            <v>2000리터</v>
          </cell>
          <cell r="F1703">
            <v>3082</v>
          </cell>
        </row>
        <row r="1704">
          <cell r="B1704" t="str">
            <v>2996-92-1</v>
          </cell>
          <cell r="C1704" t="str">
            <v>페닐트리케톡시실란</v>
          </cell>
          <cell r="D1704" t="str">
            <v>4류 제3석유류(비수용성)</v>
          </cell>
          <cell r="E1704" t="str">
            <v>2000리터</v>
          </cell>
          <cell r="F1704">
            <v>1993</v>
          </cell>
        </row>
        <row r="1705">
          <cell r="B1705" t="str">
            <v>3001-72-7</v>
          </cell>
          <cell r="C1705" t="str">
            <v>1,5-디아자비시클로[4.3.0]논-...</v>
          </cell>
          <cell r="D1705" t="str">
            <v>4류 제3석유류(비수용성)</v>
          </cell>
          <cell r="E1705" t="str">
            <v>2000리터</v>
          </cell>
          <cell r="F1705">
            <v>3267</v>
          </cell>
        </row>
        <row r="1706">
          <cell r="B1706" t="str">
            <v>30030-25-2</v>
          </cell>
          <cell r="C1706" t="str">
            <v>클로로메틸스티렌</v>
          </cell>
          <cell r="D1706" t="str">
            <v>4류 제3석유류(비수용성)</v>
          </cell>
          <cell r="E1706" t="str">
            <v>2000리터</v>
          </cell>
          <cell r="F1706">
            <v>3265</v>
          </cell>
        </row>
        <row r="1707">
          <cell r="B1707" t="str">
            <v>30145-51-8</v>
          </cell>
          <cell r="C1707" t="str">
            <v>네오펜틸글리콜 하이드록시 피바린산 에...</v>
          </cell>
          <cell r="D1707" t="str">
            <v>4류 제3석유류(비수용성)</v>
          </cell>
          <cell r="E1707" t="str">
            <v>2000리터</v>
          </cell>
          <cell r="F1707" t="str">
            <v/>
          </cell>
        </row>
        <row r="1708">
          <cell r="B1708" t="str">
            <v>3040-44-6</v>
          </cell>
          <cell r="C1708" t="str">
            <v>피페리딘에탄올</v>
          </cell>
          <cell r="D1708" t="str">
            <v>4류 제3석유류(비수용성)</v>
          </cell>
          <cell r="E1708" t="str">
            <v>2000리터</v>
          </cell>
          <cell r="F1708">
            <v>1993</v>
          </cell>
        </row>
        <row r="1709">
          <cell r="B1709" t="str">
            <v>30414-53-0</v>
          </cell>
          <cell r="C1709" t="str">
            <v>케토(3-)-노르말발레리산메틸에스테르</v>
          </cell>
          <cell r="D1709" t="str">
            <v>4류 제3석유류(비수용성)</v>
          </cell>
          <cell r="E1709" t="str">
            <v>2000리터</v>
          </cell>
          <cell r="F1709" t="str">
            <v/>
          </cell>
        </row>
        <row r="1710">
          <cell r="B1710" t="str">
            <v>30673-36-0</v>
          </cell>
          <cell r="C1710" t="str">
            <v>카프릴산부틸에스테르</v>
          </cell>
          <cell r="D1710" t="str">
            <v>4류 제3석유류(비수용성)</v>
          </cell>
          <cell r="E1710" t="str">
            <v>2000리터</v>
          </cell>
          <cell r="F1710" t="str">
            <v/>
          </cell>
        </row>
        <row r="1711">
          <cell r="B1711" t="str">
            <v>30727-14-1</v>
          </cell>
          <cell r="C1711" t="str">
            <v>에틸(1-)-3-피롤요돈올</v>
          </cell>
          <cell r="D1711" t="str">
            <v>4류 제3석유류(비수용성)</v>
          </cell>
          <cell r="E1711" t="str">
            <v>2000리터</v>
          </cell>
          <cell r="F1711" t="str">
            <v/>
          </cell>
        </row>
        <row r="1712">
          <cell r="B1712" t="str">
            <v>3074-71-3</v>
          </cell>
          <cell r="C1712" t="str">
            <v>디메틸헵탄2,3</v>
          </cell>
          <cell r="D1712" t="str">
            <v>4류 제3석유류(비수용성)</v>
          </cell>
          <cell r="E1712" t="str">
            <v>2000리터</v>
          </cell>
          <cell r="F1712">
            <v>1993</v>
          </cell>
        </row>
        <row r="1713">
          <cell r="B1713" t="str">
            <v>3088-41-3</v>
          </cell>
          <cell r="C1713" t="str">
            <v>시아노에틸피레리딘</v>
          </cell>
          <cell r="D1713" t="str">
            <v>4류 제3석유류(비수용성)</v>
          </cell>
          <cell r="E1713" t="str">
            <v>2000리터</v>
          </cell>
          <cell r="F1713" t="str">
            <v/>
          </cell>
        </row>
        <row r="1714">
          <cell r="B1714" t="str">
            <v>312-94-7</v>
          </cell>
          <cell r="C1714" t="str">
            <v>2-(트리플루오로메틸)벤조일 염화물</v>
          </cell>
          <cell r="D1714" t="str">
            <v>4류 제3석유류(비수용성)</v>
          </cell>
          <cell r="E1714" t="str">
            <v>2000리터</v>
          </cell>
          <cell r="F1714">
            <v>3265</v>
          </cell>
        </row>
        <row r="1715">
          <cell r="B1715" t="str">
            <v>3132-99-8</v>
          </cell>
          <cell r="C1715" t="str">
            <v>3-브로모밴즈알데히드</v>
          </cell>
          <cell r="D1715" t="str">
            <v>4류 제3석유류(비수용성)</v>
          </cell>
          <cell r="E1715" t="str">
            <v>2000리터</v>
          </cell>
          <cell r="F1715" t="str">
            <v/>
          </cell>
        </row>
        <row r="1716">
          <cell r="B1716" t="str">
            <v>31333-13-8</v>
          </cell>
          <cell r="C1716" t="str">
            <v>노닌(3-)-1-올</v>
          </cell>
          <cell r="D1716" t="str">
            <v>4류 제3석유류(비수용성)</v>
          </cell>
          <cell r="E1716" t="str">
            <v>2000리터</v>
          </cell>
          <cell r="F1716" t="str">
            <v/>
          </cell>
        </row>
        <row r="1717">
          <cell r="B1717" t="str">
            <v>3141-27-3</v>
          </cell>
          <cell r="C1717" t="str">
            <v>디브로모티오펜(2,5-)</v>
          </cell>
          <cell r="D1717" t="str">
            <v>4류 제3석유류(비수용성)</v>
          </cell>
          <cell r="E1717" t="str">
            <v>2000리터</v>
          </cell>
          <cell r="F1717" t="str">
            <v/>
          </cell>
        </row>
        <row r="1718">
          <cell r="B1718" t="str">
            <v>3143-02-0</v>
          </cell>
          <cell r="C1718" t="str">
            <v>메틸(3-)-3-옥세탄메탄올</v>
          </cell>
          <cell r="D1718" t="str">
            <v>4류 제3석유류(비수용성)</v>
          </cell>
          <cell r="E1718" t="str">
            <v>2000리터</v>
          </cell>
          <cell r="F1718" t="str">
            <v/>
          </cell>
        </row>
        <row r="1719">
          <cell r="B1719" t="str">
            <v>31502-14-4</v>
          </cell>
          <cell r="C1719" t="str">
            <v>노넨(트란스-2-)-1-올</v>
          </cell>
          <cell r="D1719" t="str">
            <v>4류 제3석유류(비수용성)</v>
          </cell>
          <cell r="E1719" t="str">
            <v>2000리터</v>
          </cell>
          <cell r="F1719" t="str">
            <v/>
          </cell>
        </row>
        <row r="1720">
          <cell r="B1720" t="str">
            <v>315-14-0</v>
          </cell>
          <cell r="C1720" t="str">
            <v>트리플르오르-1,2,3,-2니트로벤젠</v>
          </cell>
          <cell r="D1720" t="str">
            <v>4류 제3석유류(비수용성)</v>
          </cell>
          <cell r="E1720" t="str">
            <v>2000리터</v>
          </cell>
          <cell r="F1720" t="str">
            <v/>
          </cell>
        </row>
        <row r="1721">
          <cell r="B1721" t="str">
            <v>3153-36-4</v>
          </cell>
          <cell r="C1721" t="str">
            <v>클로로(4-)부탄산에틸에스테르</v>
          </cell>
          <cell r="D1721" t="str">
            <v>4류 제3석유류(비수용성)</v>
          </cell>
          <cell r="E1721" t="str">
            <v>2000리터</v>
          </cell>
          <cell r="F1721">
            <v>1993</v>
          </cell>
        </row>
        <row r="1722">
          <cell r="B1722" t="str">
            <v>3179-76-8</v>
          </cell>
          <cell r="C1722" t="str">
            <v>3-아미노프로필디에토시메틸실란</v>
          </cell>
          <cell r="D1722" t="str">
            <v>4류 제3석유류(비수용성)</v>
          </cell>
          <cell r="E1722" t="str">
            <v>2000리터</v>
          </cell>
          <cell r="F1722">
            <v>3267</v>
          </cell>
        </row>
        <row r="1723">
          <cell r="B1723" t="str">
            <v>31906-04-4</v>
          </cell>
          <cell r="C1723" t="str">
            <v>4(3)-(4-하이드록시-4-메틸펜틸...</v>
          </cell>
          <cell r="D1723" t="str">
            <v>4류 제3석유류(비수용성)</v>
          </cell>
          <cell r="E1723" t="str">
            <v>2000리터</v>
          </cell>
          <cell r="F1723" t="str">
            <v/>
          </cell>
        </row>
        <row r="1724">
          <cell r="B1724" t="str">
            <v>32002-24-7</v>
          </cell>
          <cell r="C1724" t="str">
            <v>3,3-디에톡시아크릴레이트</v>
          </cell>
          <cell r="D1724" t="str">
            <v>4류 제3석유류(비수용성)</v>
          </cell>
          <cell r="E1724" t="str">
            <v>2000리터</v>
          </cell>
          <cell r="F1724" t="str">
            <v/>
          </cell>
        </row>
        <row r="1725">
          <cell r="B1725" t="str">
            <v>32210-23-4</v>
          </cell>
          <cell r="C1725" t="str">
            <v>초산부틸사이클로헥실</v>
          </cell>
          <cell r="D1725" t="str">
            <v>4류 제3석유류(비수용성)</v>
          </cell>
          <cell r="E1725" t="str">
            <v>2000리터</v>
          </cell>
          <cell r="F1725" t="str">
            <v/>
          </cell>
        </row>
        <row r="1726">
          <cell r="B1726" t="str">
            <v>32360-05-7</v>
          </cell>
          <cell r="C1726" t="str">
            <v>메타크릴산 스테아릴</v>
          </cell>
          <cell r="D1726" t="str">
            <v>4류 제3석유류(비수용성)</v>
          </cell>
          <cell r="E1726" t="str">
            <v>2000리터</v>
          </cell>
          <cell r="F1726" t="str">
            <v/>
          </cell>
        </row>
        <row r="1727">
          <cell r="B1727" t="str">
            <v>326-62-5</v>
          </cell>
          <cell r="C1727" t="str">
            <v>플로로벤질시아나드</v>
          </cell>
          <cell r="D1727" t="str">
            <v>4류 제3석유류(비수용성)</v>
          </cell>
          <cell r="E1727" t="str">
            <v>2000리터</v>
          </cell>
          <cell r="F1727">
            <v>1993</v>
          </cell>
        </row>
        <row r="1728">
          <cell r="B1728" t="str">
            <v>32768-54-0</v>
          </cell>
          <cell r="C1728" t="str">
            <v>2,3-디클로로톨루엔</v>
          </cell>
          <cell r="D1728" t="str">
            <v>4류 제3석유류(비수용성)</v>
          </cell>
          <cell r="E1728" t="str">
            <v>2000리터</v>
          </cell>
          <cell r="F1728" t="str">
            <v/>
          </cell>
        </row>
        <row r="1729">
          <cell r="B1729" t="str">
            <v>32807-28-6</v>
          </cell>
          <cell r="C1729" t="str">
            <v>4-클로로아세트초산메틸</v>
          </cell>
          <cell r="D1729" t="str">
            <v>4류 제3석유류(비수용성)</v>
          </cell>
          <cell r="E1729" t="str">
            <v>2000리터</v>
          </cell>
          <cell r="F1729">
            <v>2810</v>
          </cell>
        </row>
        <row r="1730">
          <cell r="B1730" t="str">
            <v>328-73-4</v>
          </cell>
          <cell r="C1730" t="str">
            <v>3,5-비스(트리플로로르메틸)요드벤젠</v>
          </cell>
          <cell r="D1730" t="str">
            <v>4류 제3석유류(비수용성)</v>
          </cell>
          <cell r="E1730" t="str">
            <v>2000리터</v>
          </cell>
          <cell r="F1730" t="str">
            <v/>
          </cell>
        </row>
        <row r="1731">
          <cell r="B1731" t="str">
            <v>328-74-5</v>
          </cell>
          <cell r="C1731" t="str">
            <v>3,5-비스(트리플로오르메틸)아닐린</v>
          </cell>
          <cell r="D1731" t="str">
            <v>4류 제3석유류(비수용성)</v>
          </cell>
          <cell r="E1731" t="str">
            <v>2000리터</v>
          </cell>
          <cell r="F1731">
            <v>1993</v>
          </cell>
        </row>
        <row r="1732">
          <cell r="B1732" t="str">
            <v>328-75-6</v>
          </cell>
          <cell r="C1732" t="str">
            <v>3,5-비스(트리플로로르메틸)니트로벤...</v>
          </cell>
          <cell r="D1732" t="str">
            <v>4류 제3석유류(비수용성)</v>
          </cell>
          <cell r="E1732" t="str">
            <v>2000리터</v>
          </cell>
          <cell r="F1732" t="str">
            <v/>
          </cell>
        </row>
        <row r="1733">
          <cell r="B1733" t="str">
            <v>3290-92-4</v>
          </cell>
          <cell r="C1733" t="str">
            <v>트리메타크릴산 트리메틸올프로판</v>
          </cell>
          <cell r="D1733" t="str">
            <v>4류 제3석유류(비수용성)</v>
          </cell>
          <cell r="E1733" t="str">
            <v>2000리터</v>
          </cell>
          <cell r="F1733" t="str">
            <v/>
          </cell>
        </row>
        <row r="1734">
          <cell r="B1734" t="str">
            <v>329-15-7</v>
          </cell>
          <cell r="C1734" t="str">
            <v>트리플로르메틸-4벤조일클로라이드</v>
          </cell>
          <cell r="D1734" t="str">
            <v>4류 제3석유류(비수용성)</v>
          </cell>
          <cell r="E1734" t="str">
            <v>2000리터</v>
          </cell>
          <cell r="F1734">
            <v>3265</v>
          </cell>
        </row>
        <row r="1735">
          <cell r="B1735" t="str">
            <v>3302-10-1</v>
          </cell>
          <cell r="C1735" t="str">
            <v>이소노난산</v>
          </cell>
          <cell r="D1735" t="str">
            <v>4류 제3석유류(비수용성)</v>
          </cell>
          <cell r="E1735" t="str">
            <v>2000리터</v>
          </cell>
          <cell r="F1735" t="str">
            <v/>
          </cell>
        </row>
        <row r="1736">
          <cell r="B1736" t="str">
            <v>333-41-5</v>
          </cell>
          <cell r="C1736" t="str">
            <v>다이아지논</v>
          </cell>
          <cell r="D1736" t="str">
            <v>4류 제3석유류(비수용성)</v>
          </cell>
          <cell r="E1736" t="str">
            <v>2000리터</v>
          </cell>
          <cell r="F1736">
            <v>3018</v>
          </cell>
        </row>
        <row r="1737">
          <cell r="B1737" t="str">
            <v>33403-97-3</v>
          </cell>
          <cell r="C1737" t="str">
            <v>메틸-4-피리딘메틸아민</v>
          </cell>
          <cell r="D1737" t="str">
            <v>4류 제3석유류(비수용성)</v>
          </cell>
          <cell r="E1737" t="str">
            <v>2000리터</v>
          </cell>
          <cell r="F1737" t="str">
            <v/>
          </cell>
        </row>
        <row r="1738">
          <cell r="B1738" t="str">
            <v>3378-72-1</v>
          </cell>
          <cell r="C1738" t="str">
            <v>부틸벤질아민</v>
          </cell>
          <cell r="D1738" t="str">
            <v>4류 제3석유류(비수용성)</v>
          </cell>
          <cell r="E1738" t="str">
            <v>2000리터</v>
          </cell>
          <cell r="F1738">
            <v>1993</v>
          </cell>
        </row>
        <row r="1739">
          <cell r="B1739" t="str">
            <v>3395-91-3</v>
          </cell>
          <cell r="C1739" t="str">
            <v>3-브로모프로피온산메틸에스테르</v>
          </cell>
          <cell r="D1739" t="str">
            <v>4류 제3석유류(비수용성)</v>
          </cell>
          <cell r="E1739" t="str">
            <v>2000리터</v>
          </cell>
          <cell r="F1739">
            <v>1993</v>
          </cell>
        </row>
        <row r="1740">
          <cell r="B1740" t="str">
            <v>3400-45-1</v>
          </cell>
          <cell r="C1740" t="str">
            <v>시클로펜탄카르복실산</v>
          </cell>
          <cell r="D1740" t="str">
            <v>4류 제3석유류(비수용성)</v>
          </cell>
          <cell r="E1740" t="str">
            <v>2000리터</v>
          </cell>
          <cell r="F1740">
            <v>1993</v>
          </cell>
        </row>
        <row r="1741">
          <cell r="B1741" t="str">
            <v>3437-95-4</v>
          </cell>
          <cell r="C1741" t="str">
            <v>요오드티펜(2-)</v>
          </cell>
          <cell r="D1741" t="str">
            <v>4류 제3석유류(비수용성)</v>
          </cell>
          <cell r="E1741" t="str">
            <v>2000리터</v>
          </cell>
          <cell r="F1741">
            <v>1993</v>
          </cell>
        </row>
        <row r="1742">
          <cell r="B1742" t="str">
            <v>34413-35-9</v>
          </cell>
          <cell r="C1742" t="str">
            <v>테트라하이드로퀴녹살린</v>
          </cell>
          <cell r="D1742" t="str">
            <v>4류 제3석유류(비수용성)</v>
          </cell>
          <cell r="E1742" t="str">
            <v>2000리터</v>
          </cell>
          <cell r="F1742">
            <v>1993</v>
          </cell>
        </row>
        <row r="1743">
          <cell r="B1743" t="str">
            <v>3452-97-9</v>
          </cell>
          <cell r="C1743" t="str">
            <v>3,5,5-트리메틸-1-헥산올</v>
          </cell>
          <cell r="D1743" t="str">
            <v>4류 제3석유류(비수용성)</v>
          </cell>
          <cell r="E1743" t="str">
            <v>2000리터</v>
          </cell>
          <cell r="F1743">
            <v>1993</v>
          </cell>
        </row>
        <row r="1744">
          <cell r="B1744" t="str">
            <v>346-06-5</v>
          </cell>
          <cell r="C1744" t="str">
            <v>트리플로르메틸-2벤질알콜</v>
          </cell>
          <cell r="D1744" t="str">
            <v>4류 제3석유류(비수용성)</v>
          </cell>
          <cell r="E1744" t="str">
            <v>2000리터</v>
          </cell>
          <cell r="F1744">
            <v>1993</v>
          </cell>
        </row>
        <row r="1745">
          <cell r="B1745" t="str">
            <v>348-52-7</v>
          </cell>
          <cell r="C1745" t="str">
            <v>프로로요오드벤젠</v>
          </cell>
          <cell r="D1745" t="str">
            <v>4류 제3석유류(비수용성)</v>
          </cell>
          <cell r="E1745" t="str">
            <v>2000리터</v>
          </cell>
          <cell r="F1745">
            <v>1993</v>
          </cell>
        </row>
        <row r="1746">
          <cell r="B1746" t="str">
            <v>349-75-7</v>
          </cell>
          <cell r="C1746" t="str">
            <v>트리플로르메틸-3벤질알콜</v>
          </cell>
          <cell r="D1746" t="str">
            <v>4류 제3석유류(비수용성)</v>
          </cell>
          <cell r="E1746" t="str">
            <v>2000리터</v>
          </cell>
          <cell r="F1746">
            <v>1993</v>
          </cell>
        </row>
        <row r="1747">
          <cell r="B1747" t="str">
            <v>349-76-8</v>
          </cell>
          <cell r="C1747" t="str">
            <v>트리플로르메틸-3아세토페논</v>
          </cell>
          <cell r="D1747" t="str">
            <v>4류 제3석유류(비수용성)</v>
          </cell>
          <cell r="E1747" t="str">
            <v>2000리터</v>
          </cell>
          <cell r="F1747" t="str">
            <v/>
          </cell>
        </row>
        <row r="1748">
          <cell r="B1748" t="str">
            <v>350-03-8</v>
          </cell>
          <cell r="C1748" t="str">
            <v>3-아세틸피리딘</v>
          </cell>
          <cell r="D1748" t="str">
            <v>4류 제3석유류(비수용성)</v>
          </cell>
          <cell r="E1748" t="str">
            <v>2000리터</v>
          </cell>
          <cell r="F1748">
            <v>2810</v>
          </cell>
        </row>
        <row r="1749">
          <cell r="B1749" t="str">
            <v>350-46-9</v>
          </cell>
          <cell r="C1749" t="str">
            <v>p-플루오로미트로벤젠</v>
          </cell>
          <cell r="D1749" t="str">
            <v>4류 제3석유류(비수용성)</v>
          </cell>
          <cell r="E1749" t="str">
            <v>2000리터</v>
          </cell>
          <cell r="F1749">
            <v>2811</v>
          </cell>
        </row>
        <row r="1750">
          <cell r="B1750" t="str">
            <v>352-11-4</v>
          </cell>
          <cell r="C1750" t="str">
            <v>플로로벤질클로라이드</v>
          </cell>
          <cell r="D1750" t="str">
            <v>4류 제3석유류(비수용성)</v>
          </cell>
          <cell r="E1750" t="str">
            <v>2000리터</v>
          </cell>
          <cell r="F1750">
            <v>2920</v>
          </cell>
        </row>
        <row r="1751">
          <cell r="B1751" t="str">
            <v>35543-25-0</v>
          </cell>
          <cell r="C1751" t="str">
            <v>1-피롤리딘부탄에니트릴</v>
          </cell>
          <cell r="D1751" t="str">
            <v>4류 제3석유류(비수용성)</v>
          </cell>
          <cell r="E1751" t="str">
            <v>2000리터</v>
          </cell>
          <cell r="F1751" t="str">
            <v/>
          </cell>
        </row>
        <row r="1752">
          <cell r="B1752" t="str">
            <v>3554-74-3</v>
          </cell>
          <cell r="C1752" t="str">
            <v>하이드록시-1-메틸디페리딘</v>
          </cell>
          <cell r="D1752" t="str">
            <v>4류 제3석유류(비수용성)</v>
          </cell>
          <cell r="E1752" t="str">
            <v>2000리터</v>
          </cell>
          <cell r="F1752">
            <v>1993</v>
          </cell>
        </row>
        <row r="1753">
          <cell r="B1753" t="str">
            <v>35562-81-3</v>
          </cell>
          <cell r="C1753" t="str">
            <v>티오글리콜산 메톡시부틸</v>
          </cell>
          <cell r="D1753" t="str">
            <v>4류 제3석유류(비수용성)</v>
          </cell>
          <cell r="E1753" t="str">
            <v>2000리터</v>
          </cell>
          <cell r="F1753" t="str">
            <v/>
          </cell>
        </row>
        <row r="1754">
          <cell r="B1754" t="str">
            <v>3570-55-6</v>
          </cell>
          <cell r="C1754" t="str">
            <v>비스-(2-메르캅토에틸)설파이드</v>
          </cell>
          <cell r="D1754" t="str">
            <v>4류 제3석유류(비수용성)</v>
          </cell>
          <cell r="E1754" t="str">
            <v>2000리터</v>
          </cell>
          <cell r="F1754">
            <v>2810</v>
          </cell>
        </row>
        <row r="1755">
          <cell r="B1755" t="str">
            <v>3587-60-8</v>
          </cell>
          <cell r="C1755" t="str">
            <v>벤질클로로메틸에테르</v>
          </cell>
          <cell r="D1755" t="str">
            <v>4류 제3석유류(비수용성)</v>
          </cell>
          <cell r="E1755" t="str">
            <v>2000리터</v>
          </cell>
          <cell r="F1755">
            <v>2810</v>
          </cell>
        </row>
        <row r="1756">
          <cell r="B1756" t="str">
            <v>3612-20-2</v>
          </cell>
          <cell r="C1756" t="str">
            <v>1-벤질-4-피페리돈</v>
          </cell>
          <cell r="D1756" t="str">
            <v>4류 제3석유류(비수용성)</v>
          </cell>
          <cell r="E1756" t="str">
            <v>2000리터</v>
          </cell>
          <cell r="F1756" t="str">
            <v/>
          </cell>
        </row>
        <row r="1757">
          <cell r="B1757" t="str">
            <v>3622-84-2</v>
          </cell>
          <cell r="C1757" t="str">
            <v>부틸벤젠술폰아미드</v>
          </cell>
          <cell r="D1757" t="str">
            <v>4류 제3석유류(비수용성)</v>
          </cell>
          <cell r="E1757" t="str">
            <v>2000리터</v>
          </cell>
          <cell r="F1757" t="str">
            <v/>
          </cell>
        </row>
        <row r="1758">
          <cell r="B1758" t="str">
            <v>364-74-9</v>
          </cell>
          <cell r="C1758" t="str">
            <v>디플로로니트로벤젠(2,5-)</v>
          </cell>
          <cell r="D1758" t="str">
            <v>4류 제3석유류(비수용성)</v>
          </cell>
          <cell r="E1758" t="str">
            <v>2000리터</v>
          </cell>
          <cell r="F1758">
            <v>1993</v>
          </cell>
        </row>
        <row r="1759">
          <cell r="B1759" t="str">
            <v>3658-48-8</v>
          </cell>
          <cell r="C1759" t="str">
            <v>디-2-에틸헥실하이드로겐포스파이트</v>
          </cell>
          <cell r="D1759" t="str">
            <v>4류 제3석유류(비수용성)</v>
          </cell>
          <cell r="E1759" t="str">
            <v>2000리터</v>
          </cell>
          <cell r="F1759" t="str">
            <v/>
          </cell>
        </row>
        <row r="1760">
          <cell r="B1760" t="str">
            <v>368-77-4</v>
          </cell>
          <cell r="C1760" t="str">
            <v>트리플로르메틸-3벤조니트릴</v>
          </cell>
          <cell r="D1760" t="str">
            <v>4류 제3석유류(비수용성)</v>
          </cell>
          <cell r="E1760" t="str">
            <v>2000리터</v>
          </cell>
          <cell r="F1760" t="str">
            <v/>
          </cell>
        </row>
        <row r="1761">
          <cell r="B1761" t="str">
            <v>369-33-5</v>
          </cell>
          <cell r="C1761" t="str">
            <v>디플로르아세트페논(3',4'-)</v>
          </cell>
          <cell r="D1761" t="str">
            <v>4류 제3석유류(비수용성)</v>
          </cell>
          <cell r="E1761" t="str">
            <v>2000리터</v>
          </cell>
          <cell r="F1761">
            <v>1993</v>
          </cell>
        </row>
        <row r="1762">
          <cell r="B1762" t="str">
            <v>369-34-6</v>
          </cell>
          <cell r="C1762" t="str">
            <v>디플로로니트로벤젠(3,4-)</v>
          </cell>
          <cell r="D1762" t="str">
            <v>4류 제3석유류(비수용성)</v>
          </cell>
          <cell r="E1762" t="str">
            <v>2000리터</v>
          </cell>
          <cell r="F1762">
            <v>1993</v>
          </cell>
        </row>
        <row r="1763">
          <cell r="B1763" t="str">
            <v>371-40-4</v>
          </cell>
          <cell r="C1763" t="str">
            <v>플로로아닐린</v>
          </cell>
          <cell r="D1763" t="str">
            <v>4류 제3석유류(비수용성)</v>
          </cell>
          <cell r="E1763" t="str">
            <v>2000리터</v>
          </cell>
          <cell r="F1763">
            <v>2941</v>
          </cell>
        </row>
        <row r="1764">
          <cell r="B1764" t="str">
            <v>372-19-0</v>
          </cell>
          <cell r="C1764" t="str">
            <v>플로로아닐린</v>
          </cell>
          <cell r="D1764" t="str">
            <v>4류 제3석유류(비수용성)</v>
          </cell>
          <cell r="E1764" t="str">
            <v>2000리터</v>
          </cell>
          <cell r="F1764">
            <v>2941</v>
          </cell>
        </row>
        <row r="1765">
          <cell r="B1765" t="str">
            <v>3721-95-7</v>
          </cell>
          <cell r="C1765" t="str">
            <v>시클로부탄복실산</v>
          </cell>
          <cell r="D1765" t="str">
            <v>4류 제3석유류(비수용성)</v>
          </cell>
          <cell r="E1765" t="str">
            <v>2000리터</v>
          </cell>
          <cell r="F1765">
            <v>3334</v>
          </cell>
        </row>
        <row r="1766">
          <cell r="B1766" t="str">
            <v>3731-51-9</v>
          </cell>
          <cell r="C1766" t="str">
            <v>피콜리아민</v>
          </cell>
          <cell r="D1766" t="str">
            <v>4류 제3석유류(비수용성)</v>
          </cell>
          <cell r="E1766" t="str">
            <v>2000리터</v>
          </cell>
          <cell r="F1766">
            <v>2735</v>
          </cell>
        </row>
        <row r="1767">
          <cell r="B1767" t="str">
            <v>3731-52-0</v>
          </cell>
          <cell r="C1767" t="str">
            <v>피콜리아민</v>
          </cell>
          <cell r="D1767" t="str">
            <v>4류 제3석유류(비수용성)</v>
          </cell>
          <cell r="E1767" t="str">
            <v>2000리터</v>
          </cell>
          <cell r="F1767">
            <v>2735</v>
          </cell>
        </row>
        <row r="1768">
          <cell r="B1768" t="str">
            <v>3731-53-1</v>
          </cell>
          <cell r="C1768" t="str">
            <v>피콜리아민</v>
          </cell>
          <cell r="D1768" t="str">
            <v>4류 제3석유류(비수용성)</v>
          </cell>
          <cell r="E1768" t="str">
            <v>2000리터</v>
          </cell>
          <cell r="F1768">
            <v>2735</v>
          </cell>
        </row>
        <row r="1769">
          <cell r="B1769" t="str">
            <v>3748-13-8</v>
          </cell>
          <cell r="C1769" t="str">
            <v>디이소프로페닐벤젠</v>
          </cell>
          <cell r="D1769" t="str">
            <v>4류 제3석유류(비수용성)</v>
          </cell>
          <cell r="E1769" t="str">
            <v>2000리터</v>
          </cell>
          <cell r="F1769">
            <v>1993</v>
          </cell>
        </row>
        <row r="1770">
          <cell r="B1770" t="str">
            <v>37609-25-9</v>
          </cell>
          <cell r="C1770" t="str">
            <v>5-사이클로헥사데센-1-온</v>
          </cell>
          <cell r="D1770" t="str">
            <v>4류 제3석유류(비수용성)</v>
          </cell>
          <cell r="E1770" t="str">
            <v>2000리터</v>
          </cell>
          <cell r="F1770" t="str">
            <v/>
          </cell>
        </row>
        <row r="1771">
          <cell r="B1771" t="str">
            <v>37682-29-4</v>
          </cell>
          <cell r="C1771" t="str">
            <v>니트로(2-)페닐노르말옥틸에테르</v>
          </cell>
          <cell r="D1771" t="str">
            <v>4류 제3석유류(비수용성)</v>
          </cell>
          <cell r="E1771" t="str">
            <v>2000리터</v>
          </cell>
          <cell r="F1771" t="str">
            <v/>
          </cell>
        </row>
        <row r="1772">
          <cell r="B1772" t="str">
            <v>381-73-7</v>
          </cell>
          <cell r="C1772" t="str">
            <v>디플로르아세트산</v>
          </cell>
          <cell r="D1772" t="str">
            <v>4류 제3석유류(비수용성)</v>
          </cell>
          <cell r="E1772" t="str">
            <v>2000리터</v>
          </cell>
          <cell r="F1772">
            <v>3265</v>
          </cell>
        </row>
        <row r="1773">
          <cell r="B1773" t="str">
            <v>38205-60-6</v>
          </cell>
          <cell r="C1773" t="str">
            <v>2,4-디메틸-5-아세틸티아졸</v>
          </cell>
          <cell r="D1773" t="str">
            <v>4류 제3석유류(비수용성)</v>
          </cell>
          <cell r="E1773" t="str">
            <v>2000리터</v>
          </cell>
          <cell r="F1773" t="str">
            <v/>
          </cell>
        </row>
        <row r="1774">
          <cell r="B1774" t="str">
            <v>38460-95-6</v>
          </cell>
          <cell r="C1774" t="str">
            <v>운데세노일-10클로라이드</v>
          </cell>
          <cell r="D1774" t="str">
            <v>4류 제3석유류(비수용성)</v>
          </cell>
          <cell r="E1774" t="str">
            <v>2000리터</v>
          </cell>
          <cell r="F1774">
            <v>3265</v>
          </cell>
        </row>
        <row r="1775">
          <cell r="B1775" t="str">
            <v>3886-69-9</v>
          </cell>
          <cell r="C1775" t="str">
            <v>(R)-(+)-알파-메틸벤질아민</v>
          </cell>
          <cell r="D1775" t="str">
            <v>4류 제3석유류(비수용성)</v>
          </cell>
          <cell r="E1775" t="str">
            <v>2000리터</v>
          </cell>
          <cell r="F1775">
            <v>2735</v>
          </cell>
        </row>
        <row r="1776">
          <cell r="B1776" t="str">
            <v>394-47-8</v>
          </cell>
          <cell r="C1776" t="str">
            <v>o-플로오로벤조니트릴</v>
          </cell>
          <cell r="D1776" t="str">
            <v>4류 제3석유류(비수용성)</v>
          </cell>
          <cell r="E1776" t="str">
            <v>2000리터</v>
          </cell>
          <cell r="F1776" t="str">
            <v/>
          </cell>
        </row>
        <row r="1777">
          <cell r="B1777" t="str">
            <v>3972-65-4</v>
          </cell>
          <cell r="C1777" t="str">
            <v>1-브로모-4-터셔리-부틸벤젠</v>
          </cell>
          <cell r="D1777" t="str">
            <v>4류 제3석유류(비수용성)</v>
          </cell>
          <cell r="E1777" t="str">
            <v>2000리터</v>
          </cell>
          <cell r="F1777" t="str">
            <v/>
          </cell>
        </row>
        <row r="1778">
          <cell r="B1778" t="str">
            <v>399-75-7</v>
          </cell>
          <cell r="C1778" t="str">
            <v>프롤(5-)-2니트로벤조티아졸</v>
          </cell>
          <cell r="D1778" t="str">
            <v>4류 제3석유류(비수용성)</v>
          </cell>
          <cell r="E1778" t="str">
            <v>2000리터</v>
          </cell>
          <cell r="F1778">
            <v>1993</v>
          </cell>
        </row>
        <row r="1779">
          <cell r="B1779" t="str">
            <v>4001-61-0</v>
          </cell>
          <cell r="C1779" t="str">
            <v>2,5-디메틸티오페놀</v>
          </cell>
          <cell r="D1779" t="str">
            <v>4류 제3석유류(비수용성)</v>
          </cell>
          <cell r="E1779" t="str">
            <v>2000리터</v>
          </cell>
          <cell r="F1779" t="str">
            <v/>
          </cell>
        </row>
        <row r="1780">
          <cell r="B1780" t="str">
            <v>401-81-0</v>
          </cell>
          <cell r="C1780" t="str">
            <v>요오드벤조트리플로라이드(3-)</v>
          </cell>
          <cell r="D1780" t="str">
            <v>4류 제3석유류(비수용성)</v>
          </cell>
          <cell r="E1780" t="str">
            <v>2000리터</v>
          </cell>
          <cell r="F1780">
            <v>3265</v>
          </cell>
        </row>
        <row r="1781">
          <cell r="B1781" t="str">
            <v>402-67-5</v>
          </cell>
          <cell r="C1781" t="str">
            <v>플로로니트로벤젠</v>
          </cell>
          <cell r="D1781" t="str">
            <v>4류 제3석유류(비수용성)</v>
          </cell>
          <cell r="E1781" t="str">
            <v>2000리터</v>
          </cell>
          <cell r="F1781">
            <v>2810</v>
          </cell>
        </row>
        <row r="1782">
          <cell r="B1782" t="str">
            <v>40291-39-2</v>
          </cell>
          <cell r="C1782" t="str">
            <v>토릴아세트산(오르소)에틸에스테르</v>
          </cell>
          <cell r="D1782" t="str">
            <v>4류 제3석유류(비수용성)</v>
          </cell>
          <cell r="E1782" t="str">
            <v>2000리터</v>
          </cell>
          <cell r="F1782" t="str">
            <v/>
          </cell>
        </row>
        <row r="1783">
          <cell r="B1783" t="str">
            <v>403-42-9</v>
          </cell>
          <cell r="C1783" t="str">
            <v>플루오르아세트페논</v>
          </cell>
          <cell r="D1783" t="str">
            <v>4류 제3석유류(비수용성)</v>
          </cell>
          <cell r="E1783" t="str">
            <v>2000리터</v>
          </cell>
          <cell r="F1783">
            <v>1993</v>
          </cell>
        </row>
        <row r="1784">
          <cell r="B1784" t="str">
            <v>403-43-0</v>
          </cell>
          <cell r="C1784" t="str">
            <v>플로로(4-)벤조일클로라이드</v>
          </cell>
          <cell r="D1784" t="str">
            <v>4류 제3석유류(비수용성)</v>
          </cell>
          <cell r="E1784" t="str">
            <v>2000리터</v>
          </cell>
          <cell r="F1784">
            <v>3265</v>
          </cell>
        </row>
        <row r="1785">
          <cell r="B1785" t="str">
            <v>4098-71-9</v>
          </cell>
          <cell r="C1785" t="str">
            <v>이소포론디이소시이네이트</v>
          </cell>
          <cell r="D1785" t="str">
            <v>4류 제3석유류(비수용성)</v>
          </cell>
          <cell r="E1785" t="str">
            <v>2000리터</v>
          </cell>
          <cell r="F1785">
            <v>2290</v>
          </cell>
        </row>
        <row r="1786">
          <cell r="B1786" t="str">
            <v>41051-15-4</v>
          </cell>
          <cell r="C1786" t="str">
            <v>메톡시아세토아세트산메틸에스테르</v>
          </cell>
          <cell r="D1786" t="str">
            <v>4류 제3석유류(비수용성)</v>
          </cell>
          <cell r="E1786" t="str">
            <v>2000리터</v>
          </cell>
          <cell r="F1786">
            <v>1993</v>
          </cell>
        </row>
        <row r="1787">
          <cell r="B1787" t="str">
            <v>41492-05-1</v>
          </cell>
          <cell r="C1787" t="str">
            <v>1-브로모-4-부틸벤젠</v>
          </cell>
          <cell r="D1787" t="str">
            <v>4류 제3석유류(비수용성)</v>
          </cell>
          <cell r="E1787" t="str">
            <v>2000리터</v>
          </cell>
          <cell r="F1787" t="str">
            <v/>
          </cell>
        </row>
        <row r="1788">
          <cell r="B1788" t="str">
            <v>4152-90-3</v>
          </cell>
          <cell r="C1788" t="str">
            <v>클로로(3-)벤질아민</v>
          </cell>
          <cell r="D1788" t="str">
            <v>4류 제3석유류(비수용성)</v>
          </cell>
          <cell r="E1788" t="str">
            <v>2000리터</v>
          </cell>
          <cell r="F1788">
            <v>2735</v>
          </cell>
        </row>
        <row r="1789">
          <cell r="B1789" t="str">
            <v>4179-19-5</v>
          </cell>
          <cell r="C1789" t="str">
            <v>디메톡시톨루엔</v>
          </cell>
          <cell r="D1789" t="str">
            <v>4류 제3석유류(비수용성)</v>
          </cell>
          <cell r="E1789" t="str">
            <v>2000리터</v>
          </cell>
          <cell r="F1789" t="str">
            <v/>
          </cell>
        </row>
        <row r="1790">
          <cell r="B1790" t="str">
            <v>4180-23-8</v>
          </cell>
          <cell r="C1790" t="str">
            <v>트란스-아니솔</v>
          </cell>
          <cell r="D1790" t="str">
            <v>4류 제3석유류(비수용성)</v>
          </cell>
          <cell r="E1790" t="str">
            <v>2000리터</v>
          </cell>
          <cell r="F1790" t="str">
            <v/>
          </cell>
        </row>
        <row r="1791">
          <cell r="B1791" t="str">
            <v>4254-15-3</v>
          </cell>
          <cell r="C1791" t="str">
            <v>프로판디올(S-1,2)</v>
          </cell>
          <cell r="D1791" t="str">
            <v>4류 제3석유류(비수용성)</v>
          </cell>
          <cell r="E1791" t="str">
            <v>2000리터</v>
          </cell>
          <cell r="F1791" t="str">
            <v/>
          </cell>
        </row>
        <row r="1792">
          <cell r="B1792" t="str">
            <v>42978-66-5</v>
          </cell>
          <cell r="C1792" t="str">
            <v>트리프로필렌글리콜 디아크릴레이트</v>
          </cell>
          <cell r="D1792" t="str">
            <v>4류 제3석유류(비수용성)</v>
          </cell>
          <cell r="E1792" t="str">
            <v>2000리터</v>
          </cell>
          <cell r="F1792">
            <v>3082</v>
          </cell>
        </row>
        <row r="1793">
          <cell r="B1793" t="str">
            <v>437-81-0</v>
          </cell>
          <cell r="C1793" t="str">
            <v>디플르오르벤조알데히드(2,6-)</v>
          </cell>
          <cell r="D1793" t="str">
            <v>4류 제3석유류(비수용성)</v>
          </cell>
          <cell r="E1793" t="str">
            <v>2000리터</v>
          </cell>
          <cell r="F1793" t="str">
            <v/>
          </cell>
        </row>
        <row r="1794">
          <cell r="B1794" t="str">
            <v>4430-31-3</v>
          </cell>
          <cell r="C1794" t="str">
            <v>사이클로헥실 락톤</v>
          </cell>
          <cell r="D1794" t="str">
            <v>4류 제3석유류(비수용성)</v>
          </cell>
          <cell r="E1794" t="str">
            <v>2000리터</v>
          </cell>
          <cell r="F1794" t="str">
            <v/>
          </cell>
        </row>
        <row r="1795">
          <cell r="B1795" t="str">
            <v>444-29-1</v>
          </cell>
          <cell r="C1795" t="str">
            <v>요오드벤조트리플로라이드(2-)</v>
          </cell>
          <cell r="D1795" t="str">
            <v>4류 제3석유류(비수용성)</v>
          </cell>
          <cell r="E1795" t="str">
            <v>2000리터</v>
          </cell>
          <cell r="F1795">
            <v>3265</v>
          </cell>
        </row>
        <row r="1796">
          <cell r="B1796" t="str">
            <v>4455-26-9</v>
          </cell>
          <cell r="C1796" t="str">
            <v>메틸디노르말옥틸아민</v>
          </cell>
          <cell r="D1796" t="str">
            <v>4류 제3석유류(비수용성)</v>
          </cell>
          <cell r="E1796" t="str">
            <v>2000리터</v>
          </cell>
          <cell r="F1796" t="str">
            <v/>
          </cell>
        </row>
        <row r="1797">
          <cell r="B1797" t="str">
            <v>4461-39-6</v>
          </cell>
          <cell r="C1797" t="str">
            <v>2-하이드록시에틸아미노 프로필아민</v>
          </cell>
          <cell r="D1797" t="str">
            <v>4류 제3석유류(비수용성)</v>
          </cell>
          <cell r="E1797" t="str">
            <v>2000리터</v>
          </cell>
          <cell r="F1797">
            <v>2735</v>
          </cell>
        </row>
        <row r="1798">
          <cell r="B1798" t="str">
            <v>446-35-5</v>
          </cell>
          <cell r="C1798" t="str">
            <v>디플로로니트로벤젠(2,4-)</v>
          </cell>
          <cell r="D1798" t="str">
            <v>4류 제3석유류(비수용성)</v>
          </cell>
          <cell r="E1798" t="str">
            <v>2000리터</v>
          </cell>
          <cell r="F1798">
            <v>2810</v>
          </cell>
        </row>
        <row r="1799">
          <cell r="B1799" t="str">
            <v>446-48-0</v>
          </cell>
          <cell r="C1799" t="str">
            <v>플로로벤질브로마이드</v>
          </cell>
          <cell r="D1799" t="str">
            <v>4류 제3석유류(비수용성)</v>
          </cell>
          <cell r="E1799" t="str">
            <v>2000리터</v>
          </cell>
          <cell r="F1799">
            <v>3265</v>
          </cell>
        </row>
        <row r="1800">
          <cell r="B1800" t="str">
            <v>446-51-5</v>
          </cell>
          <cell r="C1800" t="str">
            <v>폴로르벤질(2-)알코올</v>
          </cell>
          <cell r="D1800" t="str">
            <v>4류 제3석유류(비수용성)</v>
          </cell>
          <cell r="E1800" t="str">
            <v>2000리터</v>
          </cell>
          <cell r="F1800">
            <v>1993</v>
          </cell>
        </row>
        <row r="1801">
          <cell r="B1801" t="str">
            <v>447-53-0</v>
          </cell>
          <cell r="C1801" t="str">
            <v>디하이드로나프탈렌</v>
          </cell>
          <cell r="D1801" t="str">
            <v>4류 제3석유류(비수용성)</v>
          </cell>
          <cell r="E1801" t="str">
            <v>2000리터</v>
          </cell>
          <cell r="F1801" t="str">
            <v/>
          </cell>
        </row>
        <row r="1802">
          <cell r="B1802" t="str">
            <v>447-60-9</v>
          </cell>
          <cell r="C1802" t="str">
            <v>트리플로르메틸-2벤조니트릴</v>
          </cell>
          <cell r="D1802" t="str">
            <v>4류 제3석유류(비수용성)</v>
          </cell>
          <cell r="E1802" t="str">
            <v>2000리터</v>
          </cell>
          <cell r="F1802">
            <v>3276</v>
          </cell>
        </row>
        <row r="1803">
          <cell r="B1803" t="str">
            <v>452-08-4</v>
          </cell>
          <cell r="C1803" t="str">
            <v>2-브로모-4-플로로아니솔</v>
          </cell>
          <cell r="D1803" t="str">
            <v>4류 제3석유류(비수용성)</v>
          </cell>
          <cell r="E1803" t="str">
            <v>2000리터</v>
          </cell>
          <cell r="F1803" t="str">
            <v/>
          </cell>
        </row>
        <row r="1804">
          <cell r="B1804" t="str">
            <v>4534-74-1</v>
          </cell>
          <cell r="C1804" t="str">
            <v>에틸시클로헥산올(4-)</v>
          </cell>
          <cell r="D1804" t="str">
            <v>4류 제3석유류(비수용성)</v>
          </cell>
          <cell r="E1804" t="str">
            <v>2000리터</v>
          </cell>
          <cell r="F1804" t="str">
            <v/>
          </cell>
        </row>
        <row r="1805">
          <cell r="B1805" t="str">
            <v>4536-23-6</v>
          </cell>
          <cell r="C1805" t="str">
            <v>메틸(2-)헥사논산</v>
          </cell>
          <cell r="D1805" t="str">
            <v>4류 제3석유류(비수용성)</v>
          </cell>
          <cell r="E1805" t="str">
            <v>2000리터</v>
          </cell>
          <cell r="F1805">
            <v>3265</v>
          </cell>
        </row>
        <row r="1806">
          <cell r="B1806" t="str">
            <v>455-14-1</v>
          </cell>
          <cell r="C1806" t="str">
            <v>4-아미노벤조트리플로라이드</v>
          </cell>
          <cell r="D1806" t="str">
            <v>4류 제3석유류(비수용성)</v>
          </cell>
          <cell r="E1806" t="str">
            <v>2000리터</v>
          </cell>
          <cell r="F1806">
            <v>2810</v>
          </cell>
        </row>
        <row r="1807">
          <cell r="B1807" t="str">
            <v>4553-62-2</v>
          </cell>
          <cell r="C1807" t="str">
            <v>메틸(2-)글루타로니트릴</v>
          </cell>
          <cell r="D1807" t="str">
            <v>4류 제3석유류(비수용성)</v>
          </cell>
          <cell r="E1807" t="str">
            <v>2000리터</v>
          </cell>
          <cell r="F1807" t="str">
            <v/>
          </cell>
        </row>
        <row r="1808">
          <cell r="B1808" t="str">
            <v>455-36-7</v>
          </cell>
          <cell r="C1808" t="str">
            <v>플루오르아세트페논</v>
          </cell>
          <cell r="D1808" t="str">
            <v>4류 제3석유류(비수용성)</v>
          </cell>
          <cell r="E1808" t="str">
            <v>2000리터</v>
          </cell>
          <cell r="F1808">
            <v>1993</v>
          </cell>
        </row>
        <row r="1809">
          <cell r="B1809" t="str">
            <v>4554-16-9</v>
          </cell>
          <cell r="C1809" t="str">
            <v>2,3-디브로모프로피오 니트릴</v>
          </cell>
          <cell r="D1809" t="str">
            <v>4류 제3석유류(비수용성)</v>
          </cell>
          <cell r="E1809" t="str">
            <v>2000리터</v>
          </cell>
          <cell r="F1809" t="str">
            <v/>
          </cell>
        </row>
        <row r="1810">
          <cell r="B1810" t="str">
            <v>456-19-9</v>
          </cell>
          <cell r="C1810" t="str">
            <v>플루오르벤잘4-)클로라이드</v>
          </cell>
          <cell r="D1810" t="str">
            <v>4류 제3석유류(비수용성)</v>
          </cell>
          <cell r="E1810" t="str">
            <v>2000리터</v>
          </cell>
          <cell r="F1810">
            <v>3265</v>
          </cell>
        </row>
        <row r="1811">
          <cell r="B1811" t="str">
            <v>459-22-3</v>
          </cell>
          <cell r="C1811" t="str">
            <v>플로로벤질클로라이드</v>
          </cell>
          <cell r="D1811" t="str">
            <v>4류 제3석유류(비수용성)</v>
          </cell>
          <cell r="E1811" t="str">
            <v>2000리터</v>
          </cell>
          <cell r="F1811">
            <v>3276</v>
          </cell>
        </row>
        <row r="1812">
          <cell r="B1812" t="str">
            <v>459-56-3</v>
          </cell>
          <cell r="C1812" t="str">
            <v>플로로벤질알콜</v>
          </cell>
          <cell r="D1812" t="str">
            <v>4류 제3석유류(비수용성)</v>
          </cell>
          <cell r="E1812" t="str">
            <v>2000리터</v>
          </cell>
          <cell r="F1812">
            <v>1993</v>
          </cell>
        </row>
        <row r="1813">
          <cell r="B1813" t="str">
            <v>4597-87-9</v>
          </cell>
          <cell r="C1813" t="str">
            <v>메틸-브이-부틸로락톤</v>
          </cell>
          <cell r="D1813" t="str">
            <v>4류 제3석유류(비수용성)</v>
          </cell>
          <cell r="E1813" t="str">
            <v>2000리터</v>
          </cell>
          <cell r="F1813">
            <v>1993</v>
          </cell>
        </row>
        <row r="1814">
          <cell r="B1814" t="str">
            <v>4602-84-0</v>
          </cell>
          <cell r="C1814" t="str">
            <v>파네솔</v>
          </cell>
          <cell r="D1814" t="str">
            <v>4류 제3석유류(비수용성)</v>
          </cell>
          <cell r="E1814" t="str">
            <v>2000리터</v>
          </cell>
          <cell r="F1814" t="str">
            <v/>
          </cell>
        </row>
        <row r="1815">
          <cell r="B1815" t="str">
            <v>461-82-5</v>
          </cell>
          <cell r="C1815" t="str">
            <v>트리메톡시-4아닐린</v>
          </cell>
          <cell r="D1815" t="str">
            <v>4류 제3석유류(비수용성)</v>
          </cell>
          <cell r="E1815" t="str">
            <v>2000리터</v>
          </cell>
          <cell r="F1815">
            <v>2941</v>
          </cell>
        </row>
        <row r="1816">
          <cell r="B1816" t="str">
            <v>4635-59-0</v>
          </cell>
          <cell r="C1816" t="str">
            <v>클로로부티릴(4-)클로라이드</v>
          </cell>
          <cell r="D1816" t="str">
            <v>4류 제3석유류(비수용성)</v>
          </cell>
          <cell r="E1816" t="str">
            <v>2000리터</v>
          </cell>
          <cell r="F1816">
            <v>3390</v>
          </cell>
        </row>
        <row r="1817">
          <cell r="B1817" t="str">
            <v>4659-45-4</v>
          </cell>
          <cell r="C1817" t="str">
            <v>2,6-디클로로벤조일 클로라이드</v>
          </cell>
          <cell r="D1817" t="str">
            <v>4류 제3석유류(비수용성)</v>
          </cell>
          <cell r="E1817" t="str">
            <v>2000리터</v>
          </cell>
          <cell r="F1817">
            <v>3265</v>
          </cell>
        </row>
        <row r="1818">
          <cell r="B1818" t="str">
            <v>4701-17-1</v>
          </cell>
          <cell r="C1818" t="str">
            <v>2-브로모티오펜5-카복시알데히드</v>
          </cell>
          <cell r="D1818" t="str">
            <v>4류 제3석유류(비수용성)</v>
          </cell>
          <cell r="E1818" t="str">
            <v>2000리터</v>
          </cell>
          <cell r="F1818" t="str">
            <v/>
          </cell>
        </row>
        <row r="1819">
          <cell r="B1819" t="str">
            <v>4704-31-8</v>
          </cell>
          <cell r="C1819" t="str">
            <v>카프릴산비닐에스테르</v>
          </cell>
          <cell r="D1819" t="str">
            <v>4류 제3석유류(비수용성)</v>
          </cell>
          <cell r="E1819" t="str">
            <v>2000리터</v>
          </cell>
          <cell r="F1819" t="str">
            <v/>
          </cell>
        </row>
        <row r="1820">
          <cell r="B1820" t="str">
            <v>4731-53-7</v>
          </cell>
          <cell r="C1820" t="str">
            <v>트리-n-옥틸포스핀</v>
          </cell>
          <cell r="D1820" t="str">
            <v>4류 제3석유류(비수용성)</v>
          </cell>
          <cell r="E1820" t="str">
            <v>2000리터</v>
          </cell>
          <cell r="F1820" t="str">
            <v/>
          </cell>
        </row>
        <row r="1821">
          <cell r="B1821" t="str">
            <v>4748-78-1</v>
          </cell>
          <cell r="C1821" t="str">
            <v>4-에틸벤즈알데히드</v>
          </cell>
          <cell r="D1821" t="str">
            <v>4류 제3석유류(비수용성)</v>
          </cell>
          <cell r="E1821" t="str">
            <v>2000리터</v>
          </cell>
          <cell r="F1821">
            <v>1993</v>
          </cell>
        </row>
        <row r="1822">
          <cell r="B1822" t="str">
            <v>48145-04-6</v>
          </cell>
          <cell r="C1822" t="str">
            <v>페녹시에틸아크릴레이트</v>
          </cell>
          <cell r="D1822" t="str">
            <v>4류 제3석유류(비수용성)</v>
          </cell>
          <cell r="E1822" t="str">
            <v>2000리터</v>
          </cell>
          <cell r="F1822" t="str">
            <v/>
          </cell>
        </row>
        <row r="1823">
          <cell r="B1823" t="str">
            <v>4860-03-1</v>
          </cell>
          <cell r="C1823" t="str">
            <v>클로로헥사데칸</v>
          </cell>
          <cell r="D1823" t="str">
            <v>4류 제3석유류(비수용성)</v>
          </cell>
          <cell r="E1823" t="str">
            <v>2000리터</v>
          </cell>
          <cell r="F1823">
            <v>3082</v>
          </cell>
        </row>
        <row r="1824">
          <cell r="B1824" t="str">
            <v>487-68-3</v>
          </cell>
          <cell r="C1824" t="str">
            <v>트리메틸벤즈알데히드-2,4,6</v>
          </cell>
          <cell r="D1824" t="str">
            <v>4류 제3석유류(비수용성)</v>
          </cell>
          <cell r="E1824" t="str">
            <v>2000리터</v>
          </cell>
          <cell r="F1824" t="str">
            <v/>
          </cell>
        </row>
        <row r="1825">
          <cell r="B1825" t="str">
            <v>488-10-8</v>
          </cell>
          <cell r="C1825" t="str">
            <v>시스쟈스몬</v>
          </cell>
          <cell r="D1825" t="str">
            <v>4류 제3석유류(비수용성)</v>
          </cell>
          <cell r="E1825" t="str">
            <v>2000리터</v>
          </cell>
          <cell r="F1825" t="str">
            <v/>
          </cell>
        </row>
        <row r="1826">
          <cell r="B1826" t="str">
            <v>495-40-9</v>
          </cell>
          <cell r="C1826" t="str">
            <v>페닐노르말프로필케톤</v>
          </cell>
          <cell r="D1826" t="str">
            <v>4류 제3석유류(비수용성)</v>
          </cell>
          <cell r="E1826" t="str">
            <v>2000리터</v>
          </cell>
          <cell r="F1826" t="str">
            <v/>
          </cell>
        </row>
        <row r="1827">
          <cell r="B1827" t="str">
            <v>496-15-1</v>
          </cell>
          <cell r="C1827" t="str">
            <v>인돌린</v>
          </cell>
          <cell r="D1827" t="str">
            <v>4류 제3석유류(비수용성)</v>
          </cell>
          <cell r="E1827" t="str">
            <v>2000리터</v>
          </cell>
          <cell r="F1827">
            <v>1993</v>
          </cell>
        </row>
        <row r="1828">
          <cell r="B1828" t="str">
            <v>496-77-5</v>
          </cell>
          <cell r="C1828" t="str">
            <v>부틸로락톤</v>
          </cell>
          <cell r="D1828" t="str">
            <v>4류 제3석유류(비수용성)</v>
          </cell>
          <cell r="E1828" t="str">
            <v>2000리터</v>
          </cell>
          <cell r="F1828" t="str">
            <v/>
          </cell>
        </row>
        <row r="1829">
          <cell r="B1829" t="str">
            <v>499-75-2</v>
          </cell>
          <cell r="C1829" t="str">
            <v>이소티몰</v>
          </cell>
          <cell r="D1829" t="str">
            <v>4류 제3석유류(비수용성)</v>
          </cell>
          <cell r="E1829" t="str">
            <v>2000리터</v>
          </cell>
          <cell r="F1829">
            <v>3265</v>
          </cell>
        </row>
        <row r="1830">
          <cell r="B1830" t="str">
            <v>5018-30-4</v>
          </cell>
          <cell r="C1830" t="str">
            <v>메톡시말론산디메틸에스테르</v>
          </cell>
          <cell r="D1830" t="str">
            <v>4류 제3석유류(비수용성)</v>
          </cell>
          <cell r="E1830" t="str">
            <v>2000리터</v>
          </cell>
          <cell r="F1830" t="str">
            <v/>
          </cell>
        </row>
        <row r="1831">
          <cell r="B1831" t="str">
            <v>502-44-3</v>
          </cell>
          <cell r="C1831" t="str">
            <v>카프로락톤</v>
          </cell>
          <cell r="D1831" t="str">
            <v>4류 제3석유류(비수용성)</v>
          </cell>
          <cell r="E1831" t="str">
            <v>2000리터</v>
          </cell>
          <cell r="F1831" t="str">
            <v/>
          </cell>
        </row>
        <row r="1832">
          <cell r="B1832" t="str">
            <v>50448-95-8</v>
          </cell>
          <cell r="C1832" t="str">
            <v>β-메르캅토프로피온산 2-에틸헥실</v>
          </cell>
          <cell r="D1832" t="str">
            <v>4류 제3석유류(비수용성)</v>
          </cell>
          <cell r="E1832" t="str">
            <v>2000리터</v>
          </cell>
          <cell r="F1832" t="str">
            <v/>
          </cell>
        </row>
        <row r="1833">
          <cell r="B1833" t="str">
            <v>504-63-2</v>
          </cell>
          <cell r="C1833" t="str">
            <v>1,3-프로판디올</v>
          </cell>
          <cell r="D1833" t="str">
            <v>4류 제3석유류(비수용성)</v>
          </cell>
          <cell r="E1833" t="str">
            <v>2000리터</v>
          </cell>
          <cell r="F1833" t="str">
            <v/>
          </cell>
        </row>
        <row r="1834">
          <cell r="B1834" t="str">
            <v>505-10-2</v>
          </cell>
          <cell r="C1834" t="str">
            <v>메티오놀</v>
          </cell>
          <cell r="D1834" t="str">
            <v>4류 제3석유류(비수용성)</v>
          </cell>
          <cell r="E1834" t="str">
            <v>2000리터</v>
          </cell>
          <cell r="F1834">
            <v>3334</v>
          </cell>
        </row>
        <row r="1835">
          <cell r="B1835" t="str">
            <v>506-96-7</v>
          </cell>
          <cell r="C1835" t="str">
            <v>아세틸브로마이드</v>
          </cell>
          <cell r="D1835" t="str">
            <v>4류 제3석유류(비수용성)</v>
          </cell>
          <cell r="E1835" t="str">
            <v>2000리터</v>
          </cell>
          <cell r="F1835">
            <v>1716</v>
          </cell>
        </row>
        <row r="1836">
          <cell r="B1836" t="str">
            <v>51-03-6</v>
          </cell>
          <cell r="C1836" t="str">
            <v>피페로닐부톡사이드</v>
          </cell>
          <cell r="D1836" t="str">
            <v>4류 제3석유류(비수용성)</v>
          </cell>
          <cell r="E1836" t="str">
            <v>2000리터</v>
          </cell>
          <cell r="F1836">
            <v>3082</v>
          </cell>
        </row>
        <row r="1837">
          <cell r="B1837" t="str">
            <v>512-56-1</v>
          </cell>
          <cell r="C1837" t="str">
            <v>트리 메틸 포스페이트</v>
          </cell>
          <cell r="D1837" t="str">
            <v>4류 제3석유류(비수용성)</v>
          </cell>
          <cell r="E1837" t="str">
            <v>2000리터</v>
          </cell>
          <cell r="F1837" t="str">
            <v/>
          </cell>
        </row>
        <row r="1838">
          <cell r="B1838" t="str">
            <v>513-31-5</v>
          </cell>
          <cell r="C1838" t="str">
            <v>디브로모프로펜(2.3-)</v>
          </cell>
          <cell r="D1838" t="str">
            <v>4류 제3석유류(비수용성)</v>
          </cell>
          <cell r="E1838" t="str">
            <v>2000리터</v>
          </cell>
          <cell r="F1838">
            <v>3334</v>
          </cell>
        </row>
        <row r="1839">
          <cell r="B1839" t="str">
            <v>51436-99-8</v>
          </cell>
          <cell r="C1839" t="str">
            <v>4-브로모-2-플루오로톨루엔</v>
          </cell>
          <cell r="D1839" t="str">
            <v>4류 제3석유류(비수용성)</v>
          </cell>
          <cell r="E1839" t="str">
            <v>2000리터</v>
          </cell>
          <cell r="F1839">
            <v>1993</v>
          </cell>
        </row>
        <row r="1840">
          <cell r="B1840" t="str">
            <v>51437-00-4</v>
          </cell>
          <cell r="C1840" t="str">
            <v>5-브로모-2-플로로톨루엔</v>
          </cell>
          <cell r="D1840" t="str">
            <v>4류 제3석유류(비수용성)</v>
          </cell>
          <cell r="E1840" t="str">
            <v>2000리터</v>
          </cell>
          <cell r="F1840" t="str">
            <v/>
          </cell>
        </row>
        <row r="1841">
          <cell r="B1841" t="str">
            <v>515-40-2</v>
          </cell>
          <cell r="C1841" t="str">
            <v>클로로-2-메틸-2-페닐프로판</v>
          </cell>
          <cell r="D1841" t="str">
            <v>4류 제3석유류(비수용성)</v>
          </cell>
          <cell r="E1841" t="str">
            <v>2000리터</v>
          </cell>
          <cell r="F1841" t="str">
            <v/>
          </cell>
        </row>
        <row r="1842">
          <cell r="B1842" t="str">
            <v>51566-62-2</v>
          </cell>
          <cell r="C1842" t="str">
            <v>시트로넬릴니트릴</v>
          </cell>
          <cell r="D1842" t="str">
            <v>4류 제3석유류(비수용성)</v>
          </cell>
          <cell r="E1842" t="str">
            <v>2000리터</v>
          </cell>
          <cell r="F1842" t="str">
            <v/>
          </cell>
        </row>
        <row r="1843">
          <cell r="B1843" t="str">
            <v>517-23-7</v>
          </cell>
          <cell r="C1843" t="str">
            <v>α-아세틸-γ-부틸올락톤</v>
          </cell>
          <cell r="D1843" t="str">
            <v>4류 제3석유류(비수용성)</v>
          </cell>
          <cell r="E1843" t="str">
            <v>2000리터</v>
          </cell>
          <cell r="F1843" t="str">
            <v/>
          </cell>
        </row>
        <row r="1844">
          <cell r="B1844" t="str">
            <v>51800-99-8</v>
          </cell>
          <cell r="C1844" t="str">
            <v>3-헵타플루오로부티릴-(+)-캠포르</v>
          </cell>
          <cell r="D1844" t="str">
            <v>4류 제3석유류(비수용성)</v>
          </cell>
          <cell r="E1844" t="str">
            <v>2000리터</v>
          </cell>
          <cell r="F1844">
            <v>1993</v>
          </cell>
        </row>
        <row r="1845">
          <cell r="B1845" t="str">
            <v>51952-49-9</v>
          </cell>
          <cell r="C1845" t="str">
            <v>아크릴산이소노닐</v>
          </cell>
          <cell r="D1845" t="str">
            <v>4류 제3석유류(비수용성)</v>
          </cell>
          <cell r="E1845" t="str">
            <v>2000리터</v>
          </cell>
          <cell r="F1845" t="str">
            <v/>
          </cell>
        </row>
        <row r="1846">
          <cell r="B1846" t="str">
            <v>5216-25-1</v>
          </cell>
          <cell r="C1846" t="str">
            <v>p-클로로벤조트리클로라이드</v>
          </cell>
          <cell r="D1846" t="str">
            <v>4류 제3석유류(비수용성)</v>
          </cell>
          <cell r="E1846" t="str">
            <v>2000리터</v>
          </cell>
          <cell r="F1846">
            <v>1760</v>
          </cell>
        </row>
        <row r="1847">
          <cell r="B1847" t="str">
            <v>52315-07-8</v>
          </cell>
          <cell r="C1847" t="str">
            <v>시페메트린</v>
          </cell>
          <cell r="D1847" t="str">
            <v>4류 제3석유류(비수용성)</v>
          </cell>
          <cell r="E1847" t="str">
            <v>2000리터</v>
          </cell>
          <cell r="F1847">
            <v>2810</v>
          </cell>
        </row>
        <row r="1848">
          <cell r="B1848" t="str">
            <v>52858-59-0</v>
          </cell>
          <cell r="C1848" t="str">
            <v>테트라하이드로-2H-pyran-2-y...</v>
          </cell>
          <cell r="D1848" t="str">
            <v>4류 제3석유류(비수용성)</v>
          </cell>
          <cell r="E1848" t="str">
            <v>2000리터</v>
          </cell>
          <cell r="F1848" t="str">
            <v/>
          </cell>
        </row>
        <row r="1849">
          <cell r="B1849" t="str">
            <v>5323-87-5</v>
          </cell>
          <cell r="C1849" t="str">
            <v>에폭시-2-시클로헥센-1-온</v>
          </cell>
          <cell r="D1849" t="str">
            <v>4류 제3석유류(비수용성)</v>
          </cell>
          <cell r="E1849" t="str">
            <v>2000리터</v>
          </cell>
          <cell r="F1849" t="str">
            <v/>
          </cell>
        </row>
        <row r="1850">
          <cell r="B1850" t="str">
            <v>5337-93-9</v>
          </cell>
          <cell r="C1850" t="str">
            <v>메틸프로피온페논</v>
          </cell>
          <cell r="D1850" t="str">
            <v>4류 제3석유류(비수용성)</v>
          </cell>
          <cell r="E1850" t="str">
            <v>2000리터</v>
          </cell>
          <cell r="F1850" t="str">
            <v/>
          </cell>
        </row>
        <row r="1851">
          <cell r="B1851" t="str">
            <v>536-90-3</v>
          </cell>
          <cell r="C1851" t="str">
            <v>엠-아니시딘</v>
          </cell>
          <cell r="D1851" t="str">
            <v>4류 제3석유류(비수용성)</v>
          </cell>
          <cell r="E1851" t="str">
            <v>2000리터</v>
          </cell>
          <cell r="F1851">
            <v>2431</v>
          </cell>
        </row>
        <row r="1852">
          <cell r="B1852" t="str">
            <v>5392-40-5</v>
          </cell>
          <cell r="C1852" t="str">
            <v>시트랄</v>
          </cell>
          <cell r="D1852" t="str">
            <v>4류 제3석유류(비수용성)</v>
          </cell>
          <cell r="E1852" t="str">
            <v>2000리터</v>
          </cell>
          <cell r="F1852" t="str">
            <v/>
          </cell>
        </row>
        <row r="1853">
          <cell r="B1853" t="str">
            <v>539-32-2</v>
          </cell>
          <cell r="C1853" t="str">
            <v>부틸피리딘(3-노르말-)</v>
          </cell>
          <cell r="D1853" t="str">
            <v>4류 제3석유류(비수용성)</v>
          </cell>
          <cell r="E1853" t="str">
            <v>2000리터</v>
          </cell>
          <cell r="F1853" t="str">
            <v/>
          </cell>
        </row>
        <row r="1854">
          <cell r="B1854" t="str">
            <v>5396-89-4</v>
          </cell>
          <cell r="C1854" t="str">
            <v>아세토아세트산벤질에스테르</v>
          </cell>
          <cell r="D1854" t="str">
            <v>4류 제3석유류(비수용성)</v>
          </cell>
          <cell r="E1854" t="str">
            <v>2000리터</v>
          </cell>
          <cell r="F1854" t="str">
            <v/>
          </cell>
        </row>
        <row r="1855">
          <cell r="B1855" t="str">
            <v>5397-31-9</v>
          </cell>
          <cell r="C1855" t="str">
            <v>3-(2-에틸헥실옥시)프로필아민</v>
          </cell>
          <cell r="D1855" t="str">
            <v>4류 제3석유류(비수용성)</v>
          </cell>
          <cell r="E1855" t="str">
            <v>2000리터</v>
          </cell>
          <cell r="F1855">
            <v>2922</v>
          </cell>
        </row>
        <row r="1856">
          <cell r="B1856" t="str">
            <v>539-74-2</v>
          </cell>
          <cell r="C1856" t="str">
            <v>3-브로모프로피온산에틸에스테르</v>
          </cell>
          <cell r="D1856" t="str">
            <v>4류 제3석유류(비수용성)</v>
          </cell>
          <cell r="E1856" t="str">
            <v>2000리터</v>
          </cell>
          <cell r="F1856" t="str">
            <v/>
          </cell>
        </row>
        <row r="1857">
          <cell r="B1857" t="str">
            <v>5400-88-4</v>
          </cell>
          <cell r="C1857" t="str">
            <v>부틸시클로헥실아민</v>
          </cell>
          <cell r="D1857" t="str">
            <v>4류 제3석유류(비수용성)</v>
          </cell>
          <cell r="E1857" t="str">
            <v>2000리터</v>
          </cell>
          <cell r="F1857" t="str">
            <v/>
          </cell>
        </row>
        <row r="1858">
          <cell r="B1858" t="str">
            <v>540-51-2</v>
          </cell>
          <cell r="C1858" t="str">
            <v>2-브로모에탄올</v>
          </cell>
          <cell r="D1858" t="str">
            <v>4류 제3석유류(비수용성)</v>
          </cell>
          <cell r="E1858" t="str">
            <v>2000리터</v>
          </cell>
          <cell r="F1858">
            <v>2922</v>
          </cell>
        </row>
        <row r="1859">
          <cell r="B1859" t="str">
            <v>541-02-6</v>
          </cell>
          <cell r="C1859" t="str">
            <v>데칼메틸시클로펜타실록산</v>
          </cell>
          <cell r="D1859" t="str">
            <v>4류 제3석유류(비수용성)</v>
          </cell>
          <cell r="E1859" t="str">
            <v>2000리터</v>
          </cell>
          <cell r="F1859">
            <v>1993</v>
          </cell>
        </row>
        <row r="1860">
          <cell r="B1860" t="str">
            <v>54-11-5</v>
          </cell>
          <cell r="C1860" t="str">
            <v>니코틴</v>
          </cell>
          <cell r="D1860" t="str">
            <v>4류 제3석유류(비수용성)</v>
          </cell>
          <cell r="E1860" t="str">
            <v>2000리터</v>
          </cell>
          <cell r="F1860">
            <v>1654</v>
          </cell>
        </row>
        <row r="1861">
          <cell r="B1861" t="str">
            <v>5413-60-5</v>
          </cell>
          <cell r="C1861" t="str">
            <v>초산 트리사이클로디세닐</v>
          </cell>
          <cell r="D1861" t="str">
            <v>4류 제3석유류(비수용성)</v>
          </cell>
          <cell r="E1861" t="str">
            <v>2000리터</v>
          </cell>
          <cell r="F1861" t="str">
            <v/>
          </cell>
        </row>
        <row r="1862">
          <cell r="B1862" t="str">
            <v>542-76-7</v>
          </cell>
          <cell r="C1862" t="str">
            <v>클로로(3-)피오니트릴</v>
          </cell>
          <cell r="D1862" t="str">
            <v>4류 제3석유류(비수용성)</v>
          </cell>
          <cell r="E1862" t="str">
            <v>2000리터</v>
          </cell>
          <cell r="F1862">
            <v>3276</v>
          </cell>
        </row>
        <row r="1863">
          <cell r="B1863" t="str">
            <v>54512-75-3</v>
          </cell>
          <cell r="C1863" t="str">
            <v>1-브로모-5-클로로펜탄</v>
          </cell>
          <cell r="D1863" t="str">
            <v>4류 제3석유류(비수용성)</v>
          </cell>
          <cell r="E1863" t="str">
            <v>2000리터</v>
          </cell>
          <cell r="F1863" t="str">
            <v/>
          </cell>
        </row>
        <row r="1864">
          <cell r="B1864" t="str">
            <v>5452-75-5</v>
          </cell>
          <cell r="C1864" t="str">
            <v>시클로헥실아세트산에틸에스테르</v>
          </cell>
          <cell r="D1864" t="str">
            <v>4류 제3석유류(비수용성)</v>
          </cell>
          <cell r="E1864" t="str">
            <v>2000리터</v>
          </cell>
          <cell r="F1864">
            <v>1993</v>
          </cell>
        </row>
        <row r="1865">
          <cell r="B1865" t="str">
            <v>546-68-9</v>
          </cell>
          <cell r="C1865" t="str">
            <v>테트라이소프로폭시티탄</v>
          </cell>
          <cell r="D1865" t="str">
            <v>4류 제3석유류(비수용성)</v>
          </cell>
          <cell r="E1865" t="str">
            <v>2000리터</v>
          </cell>
          <cell r="F1865" t="str">
            <v/>
          </cell>
        </row>
        <row r="1866">
          <cell r="B1866" t="str">
            <v>5469-26-1</v>
          </cell>
          <cell r="C1866" t="str">
            <v>1-브로모-3,3-디메틸-2-부타논</v>
          </cell>
          <cell r="D1866" t="str">
            <v>4류 제3석유류(비수용성)</v>
          </cell>
          <cell r="E1866" t="str">
            <v>2000리터</v>
          </cell>
          <cell r="F1866" t="str">
            <v/>
          </cell>
        </row>
        <row r="1867">
          <cell r="B1867" t="str">
            <v>547-65-9</v>
          </cell>
          <cell r="C1867" t="str">
            <v>메틸렌(알파)-브이-부틸로락톤</v>
          </cell>
          <cell r="D1867" t="str">
            <v>4류 제3석유류(비수용성)</v>
          </cell>
          <cell r="E1867" t="str">
            <v>2000리터</v>
          </cell>
          <cell r="F1867">
            <v>1993</v>
          </cell>
        </row>
        <row r="1868">
          <cell r="B1868" t="str">
            <v>54925-64-3</v>
          </cell>
          <cell r="C1868" t="str">
            <v>부틸디메틸실일이다졸</v>
          </cell>
          <cell r="D1868" t="str">
            <v>4류 제3석유류(비수용성)</v>
          </cell>
          <cell r="E1868" t="str">
            <v>2000리터</v>
          </cell>
          <cell r="F1868" t="str">
            <v/>
          </cell>
        </row>
        <row r="1869">
          <cell r="B1869" t="str">
            <v>54982-83-1</v>
          </cell>
          <cell r="C1869" t="str">
            <v>에틸렌도데칸디오에이트</v>
          </cell>
          <cell r="D1869" t="str">
            <v>4류 제3석유류(비수용성)</v>
          </cell>
          <cell r="E1869" t="str">
            <v>2000리터</v>
          </cell>
          <cell r="F1869" t="str">
            <v/>
          </cell>
        </row>
        <row r="1870">
          <cell r="B1870" t="str">
            <v>55107-14-7</v>
          </cell>
          <cell r="C1870" t="str">
            <v>피발로일아세트산메틸에스테르</v>
          </cell>
          <cell r="D1870" t="str">
            <v>4류 제3석유류(비수용성)</v>
          </cell>
          <cell r="E1870" t="str">
            <v>2000리터</v>
          </cell>
          <cell r="F1870" t="str">
            <v/>
          </cell>
        </row>
        <row r="1871">
          <cell r="B1871" t="str">
            <v>55117-15-2</v>
          </cell>
          <cell r="C1871" t="str">
            <v>2-클로로-6-플루오로벤질염화물</v>
          </cell>
          <cell r="D1871" t="str">
            <v>4류 제3석유류(비수용성)</v>
          </cell>
          <cell r="E1871" t="str">
            <v>2000리터</v>
          </cell>
          <cell r="F1871">
            <v>3265</v>
          </cell>
        </row>
        <row r="1872">
          <cell r="B1872" t="str">
            <v>552-45-4</v>
          </cell>
          <cell r="C1872" t="str">
            <v>클로로오르소크실렌</v>
          </cell>
          <cell r="D1872" t="str">
            <v>4류 제3석유류(비수용성)</v>
          </cell>
          <cell r="E1872" t="str">
            <v>2000리터</v>
          </cell>
          <cell r="F1872">
            <v>3265</v>
          </cell>
        </row>
        <row r="1873">
          <cell r="B1873" t="str">
            <v>5535-49-9</v>
          </cell>
          <cell r="C1873" t="str">
            <v>클로로에틸페닐슐파이드</v>
          </cell>
          <cell r="D1873" t="str">
            <v>4류 제3석유류(비수용성)</v>
          </cell>
          <cell r="E1873" t="str">
            <v>2000리터</v>
          </cell>
          <cell r="F1873">
            <v>2810</v>
          </cell>
        </row>
        <row r="1874">
          <cell r="B1874" t="str">
            <v>55-38-9</v>
          </cell>
          <cell r="C1874" t="str">
            <v>펜티온</v>
          </cell>
          <cell r="D1874" t="str">
            <v>4류 제3석유류(비수용성)</v>
          </cell>
          <cell r="E1874" t="str">
            <v>2000리터</v>
          </cell>
          <cell r="F1874">
            <v>2810</v>
          </cell>
        </row>
        <row r="1875">
          <cell r="B1875" t="str">
            <v>553-94-6</v>
          </cell>
          <cell r="C1875" t="str">
            <v>2-브로모-파라-크실렌</v>
          </cell>
          <cell r="D1875" t="str">
            <v>4류 제3석유류(비수용성)</v>
          </cell>
          <cell r="E1875" t="str">
            <v>2000리터</v>
          </cell>
          <cell r="F1875" t="str">
            <v/>
          </cell>
        </row>
        <row r="1876">
          <cell r="B1876" t="str">
            <v>556-96-7</v>
          </cell>
          <cell r="C1876" t="str">
            <v>5-브로모-메타-크실렌</v>
          </cell>
          <cell r="D1876" t="str">
            <v>4류 제3석유류(비수용성)</v>
          </cell>
          <cell r="E1876" t="str">
            <v>2000리터</v>
          </cell>
          <cell r="F1876">
            <v>1993</v>
          </cell>
        </row>
        <row r="1877">
          <cell r="B1877" t="str">
            <v>5578-42-7</v>
          </cell>
          <cell r="C1877" t="str">
            <v>디클로로시클로헥실메틸실란</v>
          </cell>
          <cell r="D1877" t="str">
            <v>4류 제3석유류(비수용성)</v>
          </cell>
          <cell r="E1877" t="str">
            <v>2000리터</v>
          </cell>
          <cell r="F1877">
            <v>2987</v>
          </cell>
        </row>
        <row r="1878">
          <cell r="B1878" t="str">
            <v>55-81-2</v>
          </cell>
          <cell r="C1878" t="str">
            <v>메톡시페닐에틸아민</v>
          </cell>
          <cell r="D1878" t="str">
            <v>4류 제3석유류(비수용성)</v>
          </cell>
          <cell r="E1878" t="str">
            <v>2000리터</v>
          </cell>
          <cell r="F1878">
            <v>2735</v>
          </cell>
        </row>
        <row r="1879">
          <cell r="B1879" t="str">
            <v>5587-61-1</v>
          </cell>
          <cell r="C1879" t="str">
            <v>모노메틸트리이소시아네이트실란</v>
          </cell>
          <cell r="D1879" t="str">
            <v>4류 제3석유류(비수용성)</v>
          </cell>
          <cell r="E1879" t="str">
            <v>2000리터</v>
          </cell>
          <cell r="F1879" t="str">
            <v/>
          </cell>
        </row>
        <row r="1880">
          <cell r="B1880" t="str">
            <v>56-35-9</v>
          </cell>
          <cell r="C1880" t="str">
            <v>비스(트리노르말부틸틴)옥사이드</v>
          </cell>
          <cell r="D1880" t="str">
            <v>4류 제3석유류(비수용성)</v>
          </cell>
          <cell r="E1880" t="str">
            <v>2000리터</v>
          </cell>
          <cell r="F1880">
            <v>2788</v>
          </cell>
        </row>
        <row r="1881">
          <cell r="B1881" t="str">
            <v>563-76-8</v>
          </cell>
          <cell r="C1881" t="str">
            <v>2-브로모프로피오닐브로마이드</v>
          </cell>
          <cell r="D1881" t="str">
            <v>4류 제3석유류(비수용성)</v>
          </cell>
          <cell r="E1881" t="str">
            <v>2000리터</v>
          </cell>
          <cell r="F1881">
            <v>3265</v>
          </cell>
        </row>
        <row r="1882">
          <cell r="B1882" t="str">
            <v>56456-47-4</v>
          </cell>
          <cell r="C1882" t="str">
            <v>2,4-디플루오로벤질알코올</v>
          </cell>
          <cell r="D1882" t="str">
            <v>4류 제3석유류(비수용성)</v>
          </cell>
          <cell r="E1882" t="str">
            <v>2000리터</v>
          </cell>
          <cell r="F1882">
            <v>1993</v>
          </cell>
        </row>
        <row r="1883">
          <cell r="B1883" t="str">
            <v>56539-66-3</v>
          </cell>
          <cell r="C1883" t="str">
            <v>3-메톡시-3-메틸-1-부탄올</v>
          </cell>
          <cell r="D1883" t="str">
            <v>4류 제3석유류(비수용성)</v>
          </cell>
          <cell r="E1883" t="str">
            <v>2000리터</v>
          </cell>
          <cell r="F1883" t="str">
            <v/>
          </cell>
        </row>
        <row r="1884">
          <cell r="B1884" t="str">
            <v>5655-61-8</v>
          </cell>
          <cell r="C1884" t="str">
            <v>보닐아세테이트</v>
          </cell>
          <cell r="D1884" t="str">
            <v>4류 제3석유류(비수용성)</v>
          </cell>
          <cell r="E1884" t="str">
            <v>2000리터</v>
          </cell>
          <cell r="F1884">
            <v>1993</v>
          </cell>
        </row>
        <row r="1885">
          <cell r="B1885" t="str">
            <v>56572-86-2</v>
          </cell>
          <cell r="C1885" t="str">
            <v>이소데실액시드포스페이트</v>
          </cell>
          <cell r="D1885" t="str">
            <v>4류 제3석유류(비수용성)</v>
          </cell>
          <cell r="E1885" t="str">
            <v>2000리터</v>
          </cell>
          <cell r="F1885">
            <v>1760</v>
          </cell>
        </row>
        <row r="1886">
          <cell r="B1886" t="str">
            <v>5683-33-0</v>
          </cell>
          <cell r="C1886" t="str">
            <v>디메틸아미노피리딘</v>
          </cell>
          <cell r="D1886" t="str">
            <v>4류 제3석유류(비수용성)</v>
          </cell>
          <cell r="E1886" t="str">
            <v>2000리터</v>
          </cell>
          <cell r="F1886">
            <v>1993</v>
          </cell>
        </row>
        <row r="1887">
          <cell r="B1887" t="str">
            <v>57074-37-0</v>
          </cell>
          <cell r="C1887" t="str">
            <v>데센(시스)-1-올</v>
          </cell>
          <cell r="D1887" t="str">
            <v>4류 제3석유류(비수용성)</v>
          </cell>
          <cell r="E1887" t="str">
            <v>2000리터</v>
          </cell>
          <cell r="F1887" t="str">
            <v/>
          </cell>
        </row>
        <row r="1888">
          <cell r="B1888" t="str">
            <v>571-58-4</v>
          </cell>
          <cell r="C1888" t="str">
            <v>1,4-디메틸나프탈렌</v>
          </cell>
          <cell r="D1888" t="str">
            <v>4류 제3석유류(비수용성)</v>
          </cell>
          <cell r="E1888" t="str">
            <v>2000리터</v>
          </cell>
          <cell r="F1888" t="str">
            <v/>
          </cell>
        </row>
        <row r="1889">
          <cell r="B1889" t="str">
            <v>575-41-7</v>
          </cell>
          <cell r="C1889" t="str">
            <v>1,3-디메틸나프탈렌</v>
          </cell>
          <cell r="D1889" t="str">
            <v>4류 제3석유류(비수용성)</v>
          </cell>
          <cell r="E1889" t="str">
            <v>2000리터</v>
          </cell>
          <cell r="F1889" t="str">
            <v/>
          </cell>
        </row>
        <row r="1890">
          <cell r="B1890" t="str">
            <v>57-57-8</v>
          </cell>
          <cell r="C1890" t="str">
            <v>베타-프로피오락톤</v>
          </cell>
          <cell r="D1890" t="str">
            <v>4류 제3석유류(비수용성)</v>
          </cell>
          <cell r="E1890" t="str">
            <v>2000리터</v>
          </cell>
          <cell r="F1890">
            <v>3382</v>
          </cell>
        </row>
        <row r="1891">
          <cell r="B1891" t="str">
            <v>57597-62-3</v>
          </cell>
          <cell r="C1891" t="str">
            <v>3,3-디메톡시프로피오니트릴</v>
          </cell>
          <cell r="D1891" t="str">
            <v>4류 제3석유류(비수용성)</v>
          </cell>
          <cell r="E1891" t="str">
            <v>2000리터</v>
          </cell>
          <cell r="F1891">
            <v>1993</v>
          </cell>
        </row>
        <row r="1892">
          <cell r="B1892" t="str">
            <v>576-22-7</v>
          </cell>
          <cell r="C1892" t="str">
            <v>2-브로모-메타-크실렌</v>
          </cell>
          <cell r="D1892" t="str">
            <v>4류 제3석유류(비수용성)</v>
          </cell>
          <cell r="E1892" t="str">
            <v>2000리터</v>
          </cell>
          <cell r="F1892" t="str">
            <v/>
          </cell>
        </row>
        <row r="1893">
          <cell r="B1893" t="str">
            <v>576-23-8</v>
          </cell>
          <cell r="C1893" t="str">
            <v>3-브로모-오르토-크실렌</v>
          </cell>
          <cell r="D1893" t="str">
            <v>4류 제3석유류(비수용성)</v>
          </cell>
          <cell r="E1893" t="str">
            <v>2000리터</v>
          </cell>
          <cell r="F1893">
            <v>1993</v>
          </cell>
        </row>
        <row r="1894">
          <cell r="B1894" t="str">
            <v>576-83-0</v>
          </cell>
          <cell r="C1894" t="str">
            <v>메시틸브로마이드</v>
          </cell>
          <cell r="D1894" t="str">
            <v>4류 제3석유류(비수용성)</v>
          </cell>
          <cell r="E1894" t="str">
            <v>2000리터</v>
          </cell>
          <cell r="F1894" t="str">
            <v/>
          </cell>
        </row>
        <row r="1895">
          <cell r="B1895" t="str">
            <v>577-16-2</v>
          </cell>
          <cell r="C1895" t="str">
            <v>메틸(2-)아세토페논</v>
          </cell>
          <cell r="D1895" t="str">
            <v>4류 제3석유류(비수용성)</v>
          </cell>
          <cell r="E1895" t="str">
            <v>2000리터</v>
          </cell>
          <cell r="F1895">
            <v>1993</v>
          </cell>
        </row>
        <row r="1896">
          <cell r="B1896" t="str">
            <v>578-54-1</v>
          </cell>
          <cell r="C1896" t="str">
            <v>에틸아닐린(2-)</v>
          </cell>
          <cell r="D1896" t="str">
            <v>4류 제3석유류(비수용성)</v>
          </cell>
          <cell r="E1896" t="str">
            <v>2000리터</v>
          </cell>
          <cell r="F1896">
            <v>2273</v>
          </cell>
        </row>
        <row r="1897">
          <cell r="B1897" t="str">
            <v>578-57-4</v>
          </cell>
          <cell r="C1897" t="str">
            <v>2-브로모아니졸</v>
          </cell>
          <cell r="D1897" t="str">
            <v>4류 제3석유류(비수용성)</v>
          </cell>
          <cell r="E1897" t="str">
            <v>2000리터</v>
          </cell>
          <cell r="F1897">
            <v>3082</v>
          </cell>
        </row>
        <row r="1898">
          <cell r="B1898" t="str">
            <v>579-66-8</v>
          </cell>
          <cell r="C1898" t="str">
            <v>디에틸아닐린</v>
          </cell>
          <cell r="D1898" t="str">
            <v>4류 제3석유류(비수용성)</v>
          </cell>
          <cell r="E1898" t="str">
            <v>2000리터</v>
          </cell>
          <cell r="F1898" t="str">
            <v/>
          </cell>
        </row>
        <row r="1899">
          <cell r="B1899" t="str">
            <v>5810-88-8</v>
          </cell>
          <cell r="C1899" t="str">
            <v>디(2-에틸헥실)디티오포스페이트</v>
          </cell>
          <cell r="D1899" t="str">
            <v>4류 제3석유류(비수용성)</v>
          </cell>
          <cell r="E1899" t="str">
            <v>2000리터</v>
          </cell>
          <cell r="F1899" t="str">
            <v/>
          </cell>
        </row>
        <row r="1900">
          <cell r="B1900" t="str">
            <v>5834-16-2</v>
          </cell>
          <cell r="C1900" t="str">
            <v>메틸(3-)티오펜-2-알데히드</v>
          </cell>
          <cell r="D1900" t="str">
            <v>4류 제3석유류(비수용성)</v>
          </cell>
          <cell r="E1900" t="str">
            <v>2000리터</v>
          </cell>
          <cell r="F1900">
            <v>1993</v>
          </cell>
        </row>
        <row r="1901">
          <cell r="B1901" t="str">
            <v>583-53-9</v>
          </cell>
          <cell r="C1901" t="str">
            <v>디브로모벤젠(1,2-)</v>
          </cell>
          <cell r="D1901" t="str">
            <v>4류 제3석유류(비수용성)</v>
          </cell>
          <cell r="E1901" t="str">
            <v>2000리터</v>
          </cell>
          <cell r="F1901" t="str">
            <v/>
          </cell>
        </row>
        <row r="1902">
          <cell r="B1902" t="str">
            <v>583-70-0</v>
          </cell>
          <cell r="C1902" t="str">
            <v>4-브로모-메타-크실렌</v>
          </cell>
          <cell r="D1902" t="str">
            <v>4류 제3석유류(비수용성)</v>
          </cell>
          <cell r="E1902" t="str">
            <v>2000리터</v>
          </cell>
          <cell r="F1902">
            <v>1993</v>
          </cell>
        </row>
        <row r="1903">
          <cell r="B1903" t="str">
            <v>583-71-1</v>
          </cell>
          <cell r="C1903" t="str">
            <v>4-브로모-올소-크실렌</v>
          </cell>
          <cell r="D1903" t="str">
            <v>4류 제3석유류(비수용성)</v>
          </cell>
          <cell r="E1903" t="str">
            <v>2000리터</v>
          </cell>
          <cell r="F1903">
            <v>1701</v>
          </cell>
        </row>
        <row r="1904">
          <cell r="B1904" t="str">
            <v>584-03-2</v>
          </cell>
          <cell r="C1904" t="str">
            <v>부탄디올(1,2)</v>
          </cell>
          <cell r="D1904" t="str">
            <v>4류 제3석유류(비수용성)</v>
          </cell>
          <cell r="E1904" t="str">
            <v>2000리터</v>
          </cell>
          <cell r="F1904">
            <v>1993</v>
          </cell>
        </row>
        <row r="1905">
          <cell r="B1905" t="str">
            <v>585-48-8</v>
          </cell>
          <cell r="C1905" t="str">
            <v>디삼차부틸피리딘</v>
          </cell>
          <cell r="D1905" t="str">
            <v>4류 제3석유류(비수용성)</v>
          </cell>
          <cell r="E1905" t="str">
            <v>2000리터</v>
          </cell>
          <cell r="F1905">
            <v>1993</v>
          </cell>
        </row>
        <row r="1906">
          <cell r="B1906" t="str">
            <v>5856-63-3</v>
          </cell>
          <cell r="C1906" t="str">
            <v>아미노-1-부탄올알-(-)-2</v>
          </cell>
          <cell r="D1906" t="str">
            <v>4류 제3석유류(비수용성)</v>
          </cell>
          <cell r="E1906" t="str">
            <v>2000리터</v>
          </cell>
          <cell r="F1906">
            <v>2735</v>
          </cell>
        </row>
        <row r="1907">
          <cell r="B1907" t="str">
            <v>585-71-7</v>
          </cell>
          <cell r="C1907" t="str">
            <v>1-브로모에틸벤젠</v>
          </cell>
          <cell r="D1907" t="str">
            <v>4류 제3석유류(비수용성)</v>
          </cell>
          <cell r="E1907" t="str">
            <v>2000리터</v>
          </cell>
          <cell r="F1907" t="str">
            <v/>
          </cell>
        </row>
        <row r="1908">
          <cell r="B1908" t="str">
            <v>585-74-0</v>
          </cell>
          <cell r="C1908" t="str">
            <v>메틸(3-)아세토페논</v>
          </cell>
          <cell r="D1908" t="str">
            <v>4류 제3석유류(비수용성)</v>
          </cell>
          <cell r="E1908" t="str">
            <v>2000리터</v>
          </cell>
          <cell r="F1908">
            <v>1993</v>
          </cell>
        </row>
        <row r="1909">
          <cell r="B1909" t="str">
            <v>587-02-0</v>
          </cell>
          <cell r="C1909" t="str">
            <v>에틸아닐린(3-)</v>
          </cell>
          <cell r="D1909" t="str">
            <v>4류 제3석유류(비수용성)</v>
          </cell>
          <cell r="E1909" t="str">
            <v>2000리터</v>
          </cell>
          <cell r="F1909">
            <v>2810</v>
          </cell>
        </row>
        <row r="1910">
          <cell r="B1910" t="str">
            <v>587-03-1</v>
          </cell>
          <cell r="C1910" t="str">
            <v>메틸(3-벤질)알코올</v>
          </cell>
          <cell r="D1910" t="str">
            <v>4류 제3석유류(비수용성)</v>
          </cell>
          <cell r="E1910" t="str">
            <v>2000리터</v>
          </cell>
          <cell r="F1910" t="str">
            <v/>
          </cell>
        </row>
        <row r="1911">
          <cell r="B1911" t="str">
            <v>587-04-2</v>
          </cell>
          <cell r="C1911" t="str">
            <v>3-클로로벤즈알데히드</v>
          </cell>
          <cell r="D1911" t="str">
            <v>4류 제3석유류(비수용성)</v>
          </cell>
          <cell r="E1911" t="str">
            <v>2000리터</v>
          </cell>
          <cell r="F1911">
            <v>1993</v>
          </cell>
        </row>
        <row r="1912">
          <cell r="B1912" t="str">
            <v>588-63-6</v>
          </cell>
          <cell r="C1912" t="str">
            <v>페녹시프로필(3-)브로마이드</v>
          </cell>
          <cell r="D1912" t="str">
            <v>4류 제3석유류(비수용성)</v>
          </cell>
          <cell r="E1912" t="str">
            <v>2000리터</v>
          </cell>
          <cell r="F1912" t="str">
            <v/>
          </cell>
        </row>
        <row r="1913">
          <cell r="B1913" t="str">
            <v>5888-33-5</v>
          </cell>
          <cell r="C1913" t="str">
            <v>아크릴산이소보닐</v>
          </cell>
          <cell r="D1913" t="str">
            <v>4류 제3석유류(비수용성)</v>
          </cell>
          <cell r="E1913" t="str">
            <v>2000리터</v>
          </cell>
          <cell r="F1913" t="str">
            <v/>
          </cell>
        </row>
        <row r="1914">
          <cell r="B1914" t="str">
            <v>588-93-2</v>
          </cell>
          <cell r="C1914" t="str">
            <v>1-브로모-4-프로필벤젠</v>
          </cell>
          <cell r="D1914" t="str">
            <v>4류 제3석유류(비수용성)</v>
          </cell>
          <cell r="E1914" t="str">
            <v>2000리터</v>
          </cell>
          <cell r="F1914" t="str">
            <v/>
          </cell>
        </row>
        <row r="1915">
          <cell r="B1915" t="str">
            <v>588-96-5</v>
          </cell>
          <cell r="C1915" t="str">
            <v>4-브로모페네톨</v>
          </cell>
          <cell r="D1915" t="str">
            <v>4류 제3석유류(비수용성)</v>
          </cell>
          <cell r="E1915" t="str">
            <v>2000리터</v>
          </cell>
          <cell r="F1915" t="str">
            <v/>
          </cell>
        </row>
        <row r="1916">
          <cell r="B1916" t="str">
            <v>589-09-3</v>
          </cell>
          <cell r="C1916" t="str">
            <v>알릴아닐린</v>
          </cell>
          <cell r="D1916" t="str">
            <v>4류 제3석유류(비수용성)</v>
          </cell>
          <cell r="E1916" t="str">
            <v>2000리터</v>
          </cell>
          <cell r="F1916">
            <v>1993</v>
          </cell>
        </row>
        <row r="1917">
          <cell r="B1917" t="str">
            <v>589-16-2</v>
          </cell>
          <cell r="C1917" t="str">
            <v>에틸아닐린(4-)</v>
          </cell>
          <cell r="D1917" t="str">
            <v>4류 제3석유류(비수용성)</v>
          </cell>
          <cell r="E1917" t="str">
            <v>2000리터</v>
          </cell>
          <cell r="F1917">
            <v>1993</v>
          </cell>
        </row>
        <row r="1918">
          <cell r="B1918" t="str">
            <v>589-75-3</v>
          </cell>
          <cell r="C1918" t="str">
            <v>카프릴산부틸에스테르</v>
          </cell>
          <cell r="D1918" t="str">
            <v>4류 제3석유류(비수용성)</v>
          </cell>
          <cell r="E1918" t="str">
            <v>2000리터</v>
          </cell>
          <cell r="F1918" t="str">
            <v/>
          </cell>
        </row>
        <row r="1919">
          <cell r="B1919" t="str">
            <v>58985-18-5</v>
          </cell>
          <cell r="C1919" t="str">
            <v>초산 디하이드로테르피닐</v>
          </cell>
          <cell r="D1919" t="str">
            <v>4류 제3석유류(비수용성)</v>
          </cell>
          <cell r="E1919" t="str">
            <v>2000리터</v>
          </cell>
          <cell r="F1919" t="str">
            <v/>
          </cell>
        </row>
        <row r="1920">
          <cell r="B1920" t="str">
            <v>589-91-3</v>
          </cell>
          <cell r="C1920" t="str">
            <v>4-메틸시클로헥산올</v>
          </cell>
          <cell r="D1920" t="str">
            <v>4류 제3석유류(비수용성)</v>
          </cell>
          <cell r="E1920" t="str">
            <v>2000리터</v>
          </cell>
          <cell r="F1920">
            <v>1993</v>
          </cell>
        </row>
        <row r="1921">
          <cell r="B1921" t="str">
            <v>5910-87-2</v>
          </cell>
          <cell r="C1921" t="str">
            <v>노나디에날</v>
          </cell>
          <cell r="D1921" t="str">
            <v>4류 제3석유류(비수용성)</v>
          </cell>
          <cell r="E1921" t="str">
            <v>2000리터</v>
          </cell>
          <cell r="F1921">
            <v>1993</v>
          </cell>
        </row>
        <row r="1922">
          <cell r="B1922" t="str">
            <v>591-31-1</v>
          </cell>
          <cell r="C1922" t="str">
            <v>엠-아니스알데히드</v>
          </cell>
          <cell r="D1922" t="str">
            <v>4류 제3석유류(비수용성)</v>
          </cell>
          <cell r="E1922" t="str">
            <v>2000리터</v>
          </cell>
          <cell r="F1922" t="str">
            <v/>
          </cell>
        </row>
        <row r="1923">
          <cell r="B1923" t="str">
            <v>591-50-4</v>
          </cell>
          <cell r="C1923" t="str">
            <v>아이오도벤젠</v>
          </cell>
          <cell r="D1923" t="str">
            <v>4류 제3석유류(비수용성)</v>
          </cell>
          <cell r="E1923" t="str">
            <v>2000리터</v>
          </cell>
          <cell r="F1923">
            <v>1993</v>
          </cell>
        </row>
        <row r="1924">
          <cell r="B1924" t="str">
            <v>592-20-1</v>
          </cell>
          <cell r="C1924" t="str">
            <v>아세톡시-2-프로판온</v>
          </cell>
          <cell r="D1924" t="str">
            <v>4류 제3석유류(비수용성)</v>
          </cell>
          <cell r="E1924" t="str">
            <v>2000리터</v>
          </cell>
          <cell r="F1924" t="str">
            <v/>
          </cell>
        </row>
        <row r="1925">
          <cell r="B1925" t="str">
            <v>594-44-5</v>
          </cell>
          <cell r="C1925" t="str">
            <v>에탄술포닐클로라이드</v>
          </cell>
          <cell r="D1925" t="str">
            <v>4류 제3석유류(비수용성)</v>
          </cell>
          <cell r="E1925" t="str">
            <v>2000리터</v>
          </cell>
          <cell r="F1925">
            <v>2927</v>
          </cell>
        </row>
        <row r="1926">
          <cell r="B1926" t="str">
            <v>5978-70-1</v>
          </cell>
          <cell r="C1926" t="str">
            <v>(R)-(−)-2-옥탄올</v>
          </cell>
          <cell r="D1926" t="str">
            <v>4류 제3석유류(비수용성)</v>
          </cell>
          <cell r="E1926" t="str">
            <v>2000리터</v>
          </cell>
          <cell r="F1926" t="str">
            <v/>
          </cell>
        </row>
        <row r="1927">
          <cell r="B1927" t="str">
            <v>598-72-1</v>
          </cell>
          <cell r="C1927" t="str">
            <v>α-브로모프로피온산</v>
          </cell>
          <cell r="D1927" t="str">
            <v>4류 제3석유류(비수용성)</v>
          </cell>
          <cell r="E1927" t="str">
            <v>2000리터</v>
          </cell>
          <cell r="F1927">
            <v>3265</v>
          </cell>
        </row>
        <row r="1928">
          <cell r="B1928" t="str">
            <v>598-78-7</v>
          </cell>
          <cell r="C1928" t="str">
            <v>모노클로로프로피온산</v>
          </cell>
          <cell r="D1928" t="str">
            <v>4류 제3석유류(비수용성)</v>
          </cell>
          <cell r="E1928" t="str">
            <v>2000리터</v>
          </cell>
          <cell r="F1928">
            <v>2511</v>
          </cell>
        </row>
        <row r="1929">
          <cell r="B1929" t="str">
            <v>60-12-8</v>
          </cell>
          <cell r="C1929" t="str">
            <v>β-페닐에틸알코올</v>
          </cell>
          <cell r="D1929" t="str">
            <v>4류 제3석유류(비수용성)</v>
          </cell>
          <cell r="E1929" t="str">
            <v>2000리터</v>
          </cell>
          <cell r="F1929" t="str">
            <v/>
          </cell>
        </row>
        <row r="1930">
          <cell r="B1930" t="str">
            <v>603-69-0</v>
          </cell>
          <cell r="C1930" t="str">
            <v>디아세토아세트산에일에스테르</v>
          </cell>
          <cell r="D1930" t="str">
            <v>4류 제3석유류(비수용성)</v>
          </cell>
          <cell r="E1930" t="str">
            <v>2000리터</v>
          </cell>
          <cell r="F1930">
            <v>1993</v>
          </cell>
        </row>
        <row r="1931">
          <cell r="B1931" t="str">
            <v>6065-82-3</v>
          </cell>
          <cell r="C1931" t="str">
            <v>디에톡시아세트에틸에스테르</v>
          </cell>
          <cell r="D1931" t="str">
            <v>4류 제3석유류(비수용성)</v>
          </cell>
          <cell r="E1931" t="str">
            <v>2000리터</v>
          </cell>
          <cell r="F1931">
            <v>1993</v>
          </cell>
        </row>
        <row r="1932">
          <cell r="B1932" t="str">
            <v>60827-45-4</v>
          </cell>
          <cell r="C1932" t="str">
            <v>클로로-1,2-프로판디올</v>
          </cell>
          <cell r="D1932" t="str">
            <v>4류 제3석유류(비수용성)</v>
          </cell>
          <cell r="E1932" t="str">
            <v>2000리터</v>
          </cell>
          <cell r="F1932">
            <v>2689</v>
          </cell>
        </row>
        <row r="1933">
          <cell r="B1933" t="str">
            <v>609-08-5</v>
          </cell>
          <cell r="C1933" t="str">
            <v>메틸말론산디에틸에스테르</v>
          </cell>
          <cell r="D1933" t="str">
            <v>4류 제3석유류(비수용성)</v>
          </cell>
          <cell r="E1933" t="str">
            <v>2000리터</v>
          </cell>
          <cell r="F1933">
            <v>1993</v>
          </cell>
        </row>
        <row r="1934">
          <cell r="B1934" t="str">
            <v>610-99-1</v>
          </cell>
          <cell r="C1934" t="str">
            <v>2′-하이드록시프로피오페논</v>
          </cell>
          <cell r="D1934" t="str">
            <v>4류 제3석유류(비수용성)</v>
          </cell>
          <cell r="E1934" t="str">
            <v>2000리터</v>
          </cell>
          <cell r="F1934" t="str">
            <v/>
          </cell>
        </row>
        <row r="1935">
          <cell r="B1935" t="str">
            <v>611-19-8</v>
          </cell>
          <cell r="C1935" t="str">
            <v>o-클로로벤질클로라이드</v>
          </cell>
          <cell r="D1935" t="str">
            <v>4류 제3석유류(비수용성)</v>
          </cell>
          <cell r="E1935" t="str">
            <v>2000리터</v>
          </cell>
          <cell r="F1935">
            <v>2235</v>
          </cell>
        </row>
        <row r="1936">
          <cell r="B1936" t="str">
            <v>611-32-5</v>
          </cell>
          <cell r="C1936" t="str">
            <v>메틸퀴놀린</v>
          </cell>
          <cell r="D1936" t="str">
            <v>4류 제3석유류(비수용성)</v>
          </cell>
          <cell r="E1936" t="str">
            <v>2000리터</v>
          </cell>
          <cell r="F1936" t="str">
            <v/>
          </cell>
        </row>
        <row r="1937">
          <cell r="B1937" t="str">
            <v>611-70-1</v>
          </cell>
          <cell r="C1937" t="str">
            <v>이소프로필페닐케톤</v>
          </cell>
          <cell r="D1937" t="str">
            <v>4류 제3석유류(비수용성)</v>
          </cell>
          <cell r="E1937" t="str">
            <v>2000리터</v>
          </cell>
          <cell r="F1937">
            <v>1993</v>
          </cell>
        </row>
        <row r="1938">
          <cell r="B1938" t="str">
            <v>6117-80-2</v>
          </cell>
          <cell r="C1938" t="str">
            <v>부텐(시스-2-)-1,4-디올</v>
          </cell>
          <cell r="D1938" t="str">
            <v>4류 제3석유류(비수용성)</v>
          </cell>
          <cell r="E1938" t="str">
            <v>2000리터</v>
          </cell>
          <cell r="F1938" t="str">
            <v/>
          </cell>
        </row>
        <row r="1939">
          <cell r="B1939" t="str">
            <v>612-16-8</v>
          </cell>
          <cell r="C1939" t="str">
            <v>메톡시벤질알콜</v>
          </cell>
          <cell r="D1939" t="str">
            <v>4류 제3석유류(비수용성)</v>
          </cell>
          <cell r="E1939" t="str">
            <v>2000리터</v>
          </cell>
          <cell r="F1939" t="str">
            <v/>
          </cell>
        </row>
        <row r="1940">
          <cell r="B1940" t="str">
            <v>61310-53-0</v>
          </cell>
          <cell r="C1940" t="str">
            <v>3-에톡시아크릴론니트릴</v>
          </cell>
          <cell r="D1940" t="str">
            <v>4류 제3석유류(비수용성)</v>
          </cell>
          <cell r="E1940" t="str">
            <v>2000리터</v>
          </cell>
          <cell r="F1940">
            <v>3334</v>
          </cell>
        </row>
        <row r="1941">
          <cell r="B1941" t="str">
            <v>613-69-4</v>
          </cell>
          <cell r="C1941" t="str">
            <v>에폭시벤즈알데히드(2-)</v>
          </cell>
          <cell r="D1941" t="str">
            <v>4류 제3석유류(비수용성)</v>
          </cell>
          <cell r="E1941" t="str">
            <v>2000리터</v>
          </cell>
          <cell r="F1941">
            <v>1993</v>
          </cell>
        </row>
        <row r="1942">
          <cell r="B1942" t="str">
            <v>614-18-6</v>
          </cell>
          <cell r="C1942" t="str">
            <v>니코틴산에틸에스테르</v>
          </cell>
          <cell r="D1942" t="str">
            <v>4류 제3석유류(비수용성)</v>
          </cell>
          <cell r="E1942" t="str">
            <v>2000리터</v>
          </cell>
          <cell r="F1942" t="str">
            <v/>
          </cell>
        </row>
        <row r="1943">
          <cell r="B1943" t="str">
            <v>614-69-7</v>
          </cell>
          <cell r="C1943" t="str">
            <v>이소티오시안산오르소토릴에스테르</v>
          </cell>
          <cell r="D1943" t="str">
            <v>4류 제3석유류(비수용성)</v>
          </cell>
          <cell r="E1943" t="str">
            <v>2000리터</v>
          </cell>
          <cell r="F1943">
            <v>2810</v>
          </cell>
        </row>
        <row r="1944">
          <cell r="B1944" t="str">
            <v>615-37-2</v>
          </cell>
          <cell r="C1944" t="str">
            <v>요오드톨루엔</v>
          </cell>
          <cell r="D1944" t="str">
            <v>4류 제3석유류(비수용성)</v>
          </cell>
          <cell r="E1944" t="str">
            <v>2000리터</v>
          </cell>
          <cell r="F1944">
            <v>1993</v>
          </cell>
        </row>
        <row r="1945">
          <cell r="B1945" t="str">
            <v>615-41-8</v>
          </cell>
          <cell r="C1945" t="str">
            <v>클로로(2-)요오드벤젠</v>
          </cell>
          <cell r="D1945" t="str">
            <v>4류 제3석유류(비수용성)</v>
          </cell>
          <cell r="E1945" t="str">
            <v>2000리터</v>
          </cell>
          <cell r="F1945" t="str">
            <v/>
          </cell>
        </row>
        <row r="1946">
          <cell r="B1946" t="str">
            <v>616-23-9</v>
          </cell>
          <cell r="C1946" t="str">
            <v>디클로로(2,3-)-1-프로판올</v>
          </cell>
          <cell r="D1946" t="str">
            <v>4류 제3석유류(비수용성)</v>
          </cell>
          <cell r="E1946" t="str">
            <v>2000리터</v>
          </cell>
          <cell r="F1946">
            <v>2810</v>
          </cell>
        </row>
        <row r="1947">
          <cell r="B1947" t="str">
            <v>616-47-7</v>
          </cell>
          <cell r="C1947" t="str">
            <v>메틸이미다졸</v>
          </cell>
          <cell r="D1947" t="str">
            <v>4류 제3석유류(비수용성)</v>
          </cell>
          <cell r="E1947" t="str">
            <v>2000리터</v>
          </cell>
          <cell r="F1947">
            <v>3267</v>
          </cell>
        </row>
        <row r="1948">
          <cell r="B1948" t="str">
            <v>6168-72-5</v>
          </cell>
          <cell r="C1948" t="str">
            <v>디엘-2-아미노-1-프로판올</v>
          </cell>
          <cell r="D1948" t="str">
            <v>4류 제3석유류(비수용성)</v>
          </cell>
          <cell r="E1948" t="str">
            <v>2000리터</v>
          </cell>
          <cell r="F1948">
            <v>2735</v>
          </cell>
        </row>
        <row r="1949">
          <cell r="B1949" t="str">
            <v>6169-06-8</v>
          </cell>
          <cell r="C1949" t="str">
            <v>옥탄올(s-2)</v>
          </cell>
          <cell r="D1949" t="str">
            <v>4류 제3석유류(비수용성)</v>
          </cell>
          <cell r="E1949" t="str">
            <v>2000리터</v>
          </cell>
          <cell r="F1949" t="str">
            <v/>
          </cell>
        </row>
        <row r="1950">
          <cell r="B1950" t="str">
            <v>61788-32-7</v>
          </cell>
          <cell r="C1950" t="str">
            <v>섬에스 900</v>
          </cell>
          <cell r="D1950" t="str">
            <v>4류 제3석유류(비수용성)</v>
          </cell>
          <cell r="E1950" t="str">
            <v>2000리터</v>
          </cell>
          <cell r="F1950" t="str">
            <v/>
          </cell>
        </row>
        <row r="1951">
          <cell r="B1951" t="str">
            <v>618-32-6</v>
          </cell>
          <cell r="C1951" t="str">
            <v>벤조일브로마이드</v>
          </cell>
          <cell r="D1951" t="str">
            <v>4류 제3석유류(비수용성)</v>
          </cell>
          <cell r="E1951" t="str">
            <v>2000리터</v>
          </cell>
          <cell r="F1951">
            <v>3265</v>
          </cell>
        </row>
        <row r="1952">
          <cell r="B1952" t="str">
            <v>618-40-6</v>
          </cell>
          <cell r="C1952" t="str">
            <v>메틸(1-)-1-페닐히드라진</v>
          </cell>
          <cell r="D1952" t="str">
            <v>4류 제3석유류(비수용성)</v>
          </cell>
          <cell r="E1952" t="str">
            <v>2000리터</v>
          </cell>
          <cell r="F1952" t="str">
            <v/>
          </cell>
        </row>
        <row r="1953">
          <cell r="B1953" t="str">
            <v>6193-47-1</v>
          </cell>
          <cell r="C1953" t="str">
            <v>시클로프로필-2-티에닐케톤</v>
          </cell>
          <cell r="D1953" t="str">
            <v>4류 제3석유류(비수용성)</v>
          </cell>
          <cell r="E1953" t="str">
            <v>2000리터</v>
          </cell>
          <cell r="F1953">
            <v>1993</v>
          </cell>
        </row>
        <row r="1954">
          <cell r="B1954" t="str">
            <v>620-02-0</v>
          </cell>
          <cell r="C1954" t="str">
            <v>메틸(5-)-2-퍼퓨랄</v>
          </cell>
          <cell r="D1954" t="str">
            <v>4류 제3석유류(비수용성)</v>
          </cell>
          <cell r="E1954" t="str">
            <v>2000리터</v>
          </cell>
          <cell r="F1954">
            <v>1993</v>
          </cell>
        </row>
        <row r="1955">
          <cell r="B1955" t="str">
            <v>620-13-3</v>
          </cell>
          <cell r="C1955" t="str">
            <v>알파-브로모-메타-크실렌</v>
          </cell>
          <cell r="D1955" t="str">
            <v>4류 제3석유류(비수용성)</v>
          </cell>
          <cell r="E1955" t="str">
            <v>2000리터</v>
          </cell>
          <cell r="F1955">
            <v>1701</v>
          </cell>
        </row>
        <row r="1956">
          <cell r="B1956" t="str">
            <v>620-19-9</v>
          </cell>
          <cell r="C1956" t="str">
            <v>클로로메타크실렌</v>
          </cell>
          <cell r="D1956" t="str">
            <v>4류 제3석유류(비수용성)</v>
          </cell>
          <cell r="E1956" t="str">
            <v>2000리터</v>
          </cell>
          <cell r="F1956">
            <v>3265</v>
          </cell>
        </row>
        <row r="1957">
          <cell r="B1957" t="str">
            <v>620-20-2</v>
          </cell>
          <cell r="C1957" t="str">
            <v>클로로(3-)벤질클로라이드</v>
          </cell>
          <cell r="D1957" t="str">
            <v>4류 제3석유류(비수용성)</v>
          </cell>
          <cell r="E1957" t="str">
            <v>2000리터</v>
          </cell>
          <cell r="F1957">
            <v>2235</v>
          </cell>
        </row>
        <row r="1958">
          <cell r="B1958" t="str">
            <v>621-30-7</v>
          </cell>
          <cell r="C1958" t="str">
            <v>이소티오시안산메타토릴에스테르</v>
          </cell>
          <cell r="D1958" t="str">
            <v>4류 제3석유류(비수용성)</v>
          </cell>
          <cell r="E1958" t="str">
            <v>2000리터</v>
          </cell>
          <cell r="F1958">
            <v>3334</v>
          </cell>
        </row>
        <row r="1959">
          <cell r="B1959" t="str">
            <v>621-56-7</v>
          </cell>
          <cell r="C1959" t="str">
            <v>디에틸아미노프로판디올</v>
          </cell>
          <cell r="D1959" t="str">
            <v>4류 제3석유류(비수용성)</v>
          </cell>
          <cell r="E1959" t="str">
            <v>2000리터</v>
          </cell>
          <cell r="F1959" t="str">
            <v/>
          </cell>
        </row>
        <row r="1960">
          <cell r="B1960" t="str">
            <v>621-76-1</v>
          </cell>
          <cell r="C1960" t="str">
            <v>오소 포름산-n-프로필</v>
          </cell>
          <cell r="D1960" t="str">
            <v>4류 제3석유류(비수용성)</v>
          </cell>
          <cell r="E1960" t="str">
            <v>2000리터</v>
          </cell>
          <cell r="F1960" t="str">
            <v/>
          </cell>
        </row>
        <row r="1961">
          <cell r="B1961" t="str">
            <v>621-87-4</v>
          </cell>
          <cell r="C1961" t="str">
            <v>페녹시아세톤</v>
          </cell>
          <cell r="D1961" t="str">
            <v>4류 제3석유류(비수용성)</v>
          </cell>
          <cell r="E1961" t="str">
            <v>2000리터</v>
          </cell>
          <cell r="F1961">
            <v>1993</v>
          </cell>
        </row>
        <row r="1962">
          <cell r="B1962" t="str">
            <v>622-08-2</v>
          </cell>
          <cell r="C1962" t="str">
            <v>에틸렌글리콜모노벤질에테르</v>
          </cell>
          <cell r="D1962" t="str">
            <v>4류 제3석유류(비수용성)</v>
          </cell>
          <cell r="E1962" t="str">
            <v>2000리터</v>
          </cell>
          <cell r="F1962" t="str">
            <v/>
          </cell>
        </row>
        <row r="1963">
          <cell r="B1963" t="str">
            <v>622-38-8</v>
          </cell>
          <cell r="C1963" t="str">
            <v>에틸페닐설파이드</v>
          </cell>
          <cell r="D1963" t="str">
            <v>4류 제3석유류(비수용성)</v>
          </cell>
          <cell r="E1963" t="str">
            <v>2000리터</v>
          </cell>
          <cell r="F1963">
            <v>3334</v>
          </cell>
        </row>
        <row r="1964">
          <cell r="B1964" t="str">
            <v>622-40-2</v>
          </cell>
          <cell r="C1964" t="str">
            <v>하이드록시에틸모르폴린</v>
          </cell>
          <cell r="D1964" t="str">
            <v>4류 제3석유류(비수용성)</v>
          </cell>
          <cell r="E1964" t="str">
            <v>2000리터</v>
          </cell>
          <cell r="F1964" t="str">
            <v/>
          </cell>
        </row>
        <row r="1965">
          <cell r="B1965" t="str">
            <v>623-13-2</v>
          </cell>
          <cell r="C1965" t="str">
            <v>메틸티오톨루엔</v>
          </cell>
          <cell r="D1965" t="str">
            <v>4류 제3석유류(비수용성)</v>
          </cell>
          <cell r="E1965" t="str">
            <v>2000리터</v>
          </cell>
          <cell r="F1965">
            <v>3334</v>
          </cell>
        </row>
        <row r="1966">
          <cell r="B1966" t="str">
            <v>623-57-4</v>
          </cell>
          <cell r="C1966" t="str">
            <v>디메틸아미노-1,2-프로판디올</v>
          </cell>
          <cell r="D1966" t="str">
            <v>4류 제3석유류(비수용성)</v>
          </cell>
          <cell r="E1966" t="str">
            <v>2000리터</v>
          </cell>
          <cell r="F1966">
            <v>3267</v>
          </cell>
        </row>
        <row r="1967">
          <cell r="B1967" t="str">
            <v>623-91-6</v>
          </cell>
          <cell r="C1967" t="str">
            <v>포름산디에틸에스테르</v>
          </cell>
          <cell r="D1967" t="str">
            <v>4류 제3석유류(비수용성)</v>
          </cell>
          <cell r="E1967" t="str">
            <v>2000리터</v>
          </cell>
          <cell r="F1967">
            <v>1993</v>
          </cell>
        </row>
        <row r="1968">
          <cell r="B1968" t="str">
            <v>623-93-8</v>
          </cell>
          <cell r="C1968" t="str">
            <v>5-노난올</v>
          </cell>
          <cell r="D1968" t="str">
            <v>4류 제3석유류(비수용성)</v>
          </cell>
          <cell r="E1968" t="str">
            <v>2000리터</v>
          </cell>
          <cell r="F1968" t="str">
            <v/>
          </cell>
        </row>
        <row r="1969">
          <cell r="B1969" t="str">
            <v>624-16-8</v>
          </cell>
          <cell r="C1969" t="str">
            <v>데카논(4-)</v>
          </cell>
          <cell r="D1969" t="str">
            <v>4류 제3석유류(비수용성)</v>
          </cell>
          <cell r="E1969" t="str">
            <v>2000리터</v>
          </cell>
          <cell r="F1969" t="str">
            <v/>
          </cell>
        </row>
        <row r="1970">
          <cell r="B1970" t="str">
            <v>624-45-3</v>
          </cell>
          <cell r="C1970" t="str">
            <v>르블르닉산메틸에스테르</v>
          </cell>
          <cell r="D1970" t="str">
            <v>4류 제3석유류(비수용성)</v>
          </cell>
          <cell r="E1970" t="str">
            <v>2000리터</v>
          </cell>
          <cell r="F1970" t="str">
            <v/>
          </cell>
        </row>
        <row r="1971">
          <cell r="B1971" t="str">
            <v>62-50-0</v>
          </cell>
          <cell r="C1971" t="str">
            <v>메탄술폰산에틸에스테르</v>
          </cell>
          <cell r="D1971" t="str">
            <v>4류 제3석유류(비수용성)</v>
          </cell>
          <cell r="E1971" t="str">
            <v>2000리터</v>
          </cell>
          <cell r="F1971" t="str">
            <v/>
          </cell>
        </row>
        <row r="1972">
          <cell r="B1972" t="str">
            <v>62-53-3</v>
          </cell>
          <cell r="C1972" t="str">
            <v>아닐린</v>
          </cell>
          <cell r="D1972" t="str">
            <v>4류 제3석유류(비수용성)</v>
          </cell>
          <cell r="E1972" t="str">
            <v>2000리터</v>
          </cell>
          <cell r="F1972">
            <v>1547</v>
          </cell>
        </row>
        <row r="1973">
          <cell r="B1973" t="str">
            <v>625-50-3</v>
          </cell>
          <cell r="C1973" t="str">
            <v>에틸아세트아미드</v>
          </cell>
          <cell r="D1973" t="str">
            <v>4류 제3석유류(비수용성)</v>
          </cell>
          <cell r="E1973" t="str">
            <v>2000리터</v>
          </cell>
          <cell r="F1973" t="str">
            <v/>
          </cell>
        </row>
        <row r="1974">
          <cell r="B1974" t="str">
            <v>625-69-4</v>
          </cell>
          <cell r="C1974" t="str">
            <v>펜탄디올(2,4-)</v>
          </cell>
          <cell r="D1974" t="str">
            <v>4류 제3석유류(비수용성)</v>
          </cell>
          <cell r="E1974" t="str">
            <v>2000리터</v>
          </cell>
          <cell r="F1974" t="str">
            <v/>
          </cell>
        </row>
        <row r="1975">
          <cell r="B1975" t="str">
            <v>6258-66-8</v>
          </cell>
          <cell r="C1975" t="str">
            <v>클로로(4-)벤질메르캅탄</v>
          </cell>
          <cell r="D1975" t="str">
            <v>4류 제3석유류(비수용성)</v>
          </cell>
          <cell r="E1975" t="str">
            <v>2000리터</v>
          </cell>
          <cell r="F1975">
            <v>3334</v>
          </cell>
        </row>
        <row r="1976">
          <cell r="B1976" t="str">
            <v>625-95-6</v>
          </cell>
          <cell r="C1976" t="str">
            <v>m-아이오도툴루엔</v>
          </cell>
          <cell r="D1976" t="str">
            <v>4류 제3석유류(비수용성)</v>
          </cell>
          <cell r="E1976" t="str">
            <v>2000리터</v>
          </cell>
          <cell r="F1976">
            <v>1993</v>
          </cell>
        </row>
        <row r="1977">
          <cell r="B1977" t="str">
            <v>625-99-0</v>
          </cell>
          <cell r="C1977" t="str">
            <v>클로로(3-)요오드벤젠</v>
          </cell>
          <cell r="D1977" t="str">
            <v>4류 제3석유류(비수용성)</v>
          </cell>
          <cell r="E1977" t="str">
            <v>2000리터</v>
          </cell>
          <cell r="F1977" t="str">
            <v/>
          </cell>
        </row>
        <row r="1978">
          <cell r="B1978" t="str">
            <v>626-62-0</v>
          </cell>
          <cell r="C1978" t="str">
            <v>요오드시클로헥산</v>
          </cell>
          <cell r="D1978" t="str">
            <v>4류 제3석유류(비수용성)</v>
          </cell>
          <cell r="E1978" t="str">
            <v>2000리터</v>
          </cell>
          <cell r="F1978" t="str">
            <v/>
          </cell>
        </row>
        <row r="1979">
          <cell r="B1979" t="str">
            <v>626-82-4</v>
          </cell>
          <cell r="C1979" t="str">
            <v>카프롤릭산부틸에스테르</v>
          </cell>
          <cell r="D1979" t="str">
            <v>4류 제3석유류(비수용성)</v>
          </cell>
          <cell r="E1979" t="str">
            <v>2000리터</v>
          </cell>
          <cell r="F1979" t="str">
            <v/>
          </cell>
        </row>
        <row r="1980">
          <cell r="B1980" t="str">
            <v>627-63-4</v>
          </cell>
          <cell r="C1980" t="str">
            <v>푸말산클로라이드</v>
          </cell>
          <cell r="D1980" t="str">
            <v>4류 제3석유류(비수용성)</v>
          </cell>
          <cell r="E1980" t="str">
            <v>2000리터</v>
          </cell>
          <cell r="F1980">
            <v>1780</v>
          </cell>
        </row>
        <row r="1981">
          <cell r="B1981" t="str">
            <v>628-20-6</v>
          </cell>
          <cell r="C1981" t="str">
            <v>클로로부틸로니트릴(4-)</v>
          </cell>
          <cell r="D1981" t="str">
            <v>4류 제3석유류(비수용성)</v>
          </cell>
          <cell r="E1981" t="str">
            <v>2000리터</v>
          </cell>
          <cell r="F1981">
            <v>3276</v>
          </cell>
        </row>
        <row r="1982">
          <cell r="B1982" t="str">
            <v>6294-17-3</v>
          </cell>
          <cell r="C1982" t="str">
            <v>1-브로모-6-클로로헥산</v>
          </cell>
          <cell r="D1982" t="str">
            <v>4류 제3석유류(비수용성)</v>
          </cell>
          <cell r="E1982" t="str">
            <v>2000리터</v>
          </cell>
          <cell r="F1982" t="str">
            <v/>
          </cell>
        </row>
        <row r="1983">
          <cell r="B1983" t="str">
            <v>6294-31-1</v>
          </cell>
          <cell r="C1983" t="str">
            <v>헥실술파이드</v>
          </cell>
          <cell r="D1983" t="str">
            <v>4류 제3석유류(비수용성)</v>
          </cell>
          <cell r="E1983" t="str">
            <v>2000리터</v>
          </cell>
          <cell r="F1983">
            <v>2810</v>
          </cell>
        </row>
        <row r="1984">
          <cell r="B1984" t="str">
            <v>629-45-8</v>
          </cell>
          <cell r="C1984" t="str">
            <v>부틸다이설파이드</v>
          </cell>
          <cell r="D1984" t="str">
            <v>4류 제3석유류(비수용성)</v>
          </cell>
          <cell r="E1984" t="str">
            <v>2000리터</v>
          </cell>
          <cell r="F1984">
            <v>3334</v>
          </cell>
        </row>
        <row r="1985">
          <cell r="B1985" t="str">
            <v>629-50-5</v>
          </cell>
          <cell r="C1985" t="str">
            <v>n-트리데칸</v>
          </cell>
          <cell r="D1985" t="str">
            <v>4류 제3석유류(비수용성)</v>
          </cell>
          <cell r="E1985" t="str">
            <v>2000리터</v>
          </cell>
          <cell r="F1985" t="str">
            <v/>
          </cell>
        </row>
        <row r="1986">
          <cell r="B1986" t="str">
            <v>629-59-4</v>
          </cell>
          <cell r="C1986" t="str">
            <v>n-테트라데칸</v>
          </cell>
          <cell r="D1986" t="str">
            <v>4류 제3석유류(비수용성)</v>
          </cell>
          <cell r="E1986" t="str">
            <v>2000리터</v>
          </cell>
          <cell r="F1986" t="str">
            <v/>
          </cell>
        </row>
        <row r="1987">
          <cell r="B1987" t="str">
            <v>629-62-9</v>
          </cell>
          <cell r="C1987" t="str">
            <v>펜타데칸(노르말)</v>
          </cell>
          <cell r="D1987" t="str">
            <v>4류 제3석유류(비수용성)</v>
          </cell>
          <cell r="E1987" t="str">
            <v>2000리터</v>
          </cell>
          <cell r="F1987" t="str">
            <v/>
          </cell>
        </row>
        <row r="1988">
          <cell r="B1988" t="str">
            <v>6309-51-9</v>
          </cell>
          <cell r="C1988" t="str">
            <v>라우릴산이소아밀에스테르</v>
          </cell>
          <cell r="D1988" t="str">
            <v>4류 제3석유류(비수용성)</v>
          </cell>
          <cell r="E1988" t="str">
            <v>2000리터</v>
          </cell>
          <cell r="F1988" t="str">
            <v/>
          </cell>
        </row>
        <row r="1989">
          <cell r="B1989" t="str">
            <v>63393-89-5</v>
          </cell>
          <cell r="C1989" t="str">
            <v>쿠마론 플라스틱</v>
          </cell>
          <cell r="D1989" t="str">
            <v>4류 제3석유류(비수용성)</v>
          </cell>
          <cell r="E1989" t="str">
            <v>2000리터</v>
          </cell>
          <cell r="F1989" t="str">
            <v/>
          </cell>
        </row>
        <row r="1990">
          <cell r="B1990" t="str">
            <v>6362-80-7</v>
          </cell>
          <cell r="C1990" t="str">
            <v>α-메틸스티렌 다이머</v>
          </cell>
          <cell r="D1990" t="str">
            <v>4류 제3석유류(비수용성)</v>
          </cell>
          <cell r="E1990" t="str">
            <v>2000리터</v>
          </cell>
          <cell r="F1990" t="str">
            <v/>
          </cell>
        </row>
        <row r="1991">
          <cell r="B1991" t="str">
            <v>638-07-3</v>
          </cell>
          <cell r="C1991" t="str">
            <v>4-클로로아세트 초산에틸</v>
          </cell>
          <cell r="D1991" t="str">
            <v>4류 제3석유류(비수용성)</v>
          </cell>
          <cell r="E1991" t="str">
            <v>2000리터</v>
          </cell>
          <cell r="F1991">
            <v>2922</v>
          </cell>
        </row>
        <row r="1992">
          <cell r="B1992" t="str">
            <v>64275-73-6</v>
          </cell>
          <cell r="C1992" t="str">
            <v>옥텐(시스-5-)-1-올</v>
          </cell>
          <cell r="D1992" t="str">
            <v>4류 제3석유류(비수용성)</v>
          </cell>
          <cell r="E1992" t="str">
            <v>2000리터</v>
          </cell>
          <cell r="F1992">
            <v>1993</v>
          </cell>
        </row>
        <row r="1993">
          <cell r="B1993" t="str">
            <v>643-28-7</v>
          </cell>
          <cell r="C1993" t="str">
            <v>이소프로필(2-)아닐린</v>
          </cell>
          <cell r="D1993" t="str">
            <v>4류 제3석유류(비수용성)</v>
          </cell>
          <cell r="E1993" t="str">
            <v>2000리터</v>
          </cell>
          <cell r="F1993" t="str">
            <v/>
          </cell>
        </row>
        <row r="1994">
          <cell r="B1994" t="str">
            <v>643-58-3</v>
          </cell>
          <cell r="C1994" t="str">
            <v>메틸(2-)비페닐</v>
          </cell>
          <cell r="D1994" t="str">
            <v>4류 제3석유류(비수용성)</v>
          </cell>
          <cell r="E1994" t="str">
            <v>2000리터</v>
          </cell>
          <cell r="F1994" t="str">
            <v/>
          </cell>
        </row>
        <row r="1995">
          <cell r="B1995" t="str">
            <v>64401-02-1</v>
          </cell>
          <cell r="C1995" t="str">
            <v>비스페놀 A 에톡시레이트 디아크릴레이...</v>
          </cell>
          <cell r="D1995" t="str">
            <v>4류 제3석유류(비수용성)</v>
          </cell>
          <cell r="E1995" t="str">
            <v>2000리터</v>
          </cell>
          <cell r="F1995" t="str">
            <v/>
          </cell>
        </row>
        <row r="1996">
          <cell r="B1996" t="str">
            <v>644-97-3</v>
          </cell>
          <cell r="C1996" t="str">
            <v>벤젠포스포너스디클로라이드</v>
          </cell>
          <cell r="D1996" t="str">
            <v>4류 제3석유류(비수용성)</v>
          </cell>
          <cell r="E1996" t="str">
            <v>2000리터</v>
          </cell>
          <cell r="F1996">
            <v>2845</v>
          </cell>
        </row>
        <row r="1997">
          <cell r="B1997" t="str">
            <v>646-07-1</v>
          </cell>
          <cell r="C1997" t="str">
            <v>이소카프로일산</v>
          </cell>
          <cell r="D1997" t="str">
            <v>4류 제3석유류(비수용성)</v>
          </cell>
          <cell r="E1997" t="str">
            <v>2000리터</v>
          </cell>
          <cell r="F1997">
            <v>2810</v>
          </cell>
        </row>
        <row r="1998">
          <cell r="B1998" t="str">
            <v>6485-40-1</v>
          </cell>
          <cell r="C1998" t="str">
            <v>ℓ-카르본</v>
          </cell>
          <cell r="D1998" t="str">
            <v>4류 제3석유류(비수용성)</v>
          </cell>
          <cell r="E1998" t="str">
            <v>2000리터</v>
          </cell>
          <cell r="F1998">
            <v>1993</v>
          </cell>
        </row>
        <row r="1999">
          <cell r="B1999" t="str">
            <v>66068-84-6</v>
          </cell>
          <cell r="C1999" t="str">
            <v>이소캠필 사이클로헥산올</v>
          </cell>
          <cell r="D1999" t="str">
            <v>4류 제3석유류(비수용성)</v>
          </cell>
          <cell r="E1999" t="str">
            <v>2000리터</v>
          </cell>
          <cell r="F1999" t="str">
            <v/>
          </cell>
        </row>
        <row r="2000">
          <cell r="B2000" t="str">
            <v>66-27-3</v>
          </cell>
          <cell r="C2000" t="str">
            <v>메탄술폰산메틸에스테르</v>
          </cell>
          <cell r="D2000" t="str">
            <v>4류 제3석유류(비수용성)</v>
          </cell>
          <cell r="E2000" t="str">
            <v>2000리터</v>
          </cell>
          <cell r="F2000">
            <v>2810</v>
          </cell>
        </row>
        <row r="2001">
          <cell r="B2001" t="str">
            <v>6630-33-7</v>
          </cell>
          <cell r="C2001" t="str">
            <v>2-브로모밴즈알데히드</v>
          </cell>
          <cell r="D2001" t="str">
            <v>4류 제3석유류(비수용성)</v>
          </cell>
          <cell r="E2001" t="str">
            <v>2000리터</v>
          </cell>
          <cell r="F2001" t="str">
            <v/>
          </cell>
        </row>
        <row r="2002">
          <cell r="B2002" t="str">
            <v>66-77-3</v>
          </cell>
          <cell r="C2002" t="str">
            <v>나프알데히드(-1)</v>
          </cell>
          <cell r="D2002" t="str">
            <v>4류 제3석유류(비수용성)</v>
          </cell>
          <cell r="E2002" t="str">
            <v>2000리터</v>
          </cell>
          <cell r="F2002">
            <v>3334</v>
          </cell>
        </row>
        <row r="2003">
          <cell r="B2003" t="str">
            <v>67004-64-2</v>
          </cell>
          <cell r="C2003" t="str">
            <v>하이드록시에틸-1-메틸피롤리딘</v>
          </cell>
          <cell r="D2003" t="str">
            <v>4류 제3석유류(비수용성)</v>
          </cell>
          <cell r="E2003" t="str">
            <v>2000리터</v>
          </cell>
          <cell r="F2003">
            <v>1993</v>
          </cell>
        </row>
        <row r="2004">
          <cell r="B2004" t="str">
            <v>6753-98-6</v>
          </cell>
          <cell r="C2004" t="str">
            <v>카르요필렌(알파)</v>
          </cell>
          <cell r="D2004" t="str">
            <v>4류 제3석유류(비수용성)</v>
          </cell>
          <cell r="E2004" t="str">
            <v>2000리터</v>
          </cell>
          <cell r="F2004">
            <v>1993</v>
          </cell>
        </row>
        <row r="2005">
          <cell r="B2005" t="str">
            <v>676-22-2</v>
          </cell>
          <cell r="C2005" t="str">
            <v>1,5,9-시클로도데카트리엔</v>
          </cell>
          <cell r="D2005" t="str">
            <v>4류 제3석유류(비수용성)</v>
          </cell>
          <cell r="E2005" t="str">
            <v>2000리터</v>
          </cell>
          <cell r="F2005">
            <v>2518</v>
          </cell>
        </row>
        <row r="2006">
          <cell r="B2006" t="str">
            <v>67707-75-9</v>
          </cell>
          <cell r="C2006" t="str">
            <v>에틸3,5,5-트리메틸헥사노에이트</v>
          </cell>
          <cell r="D2006" t="str">
            <v>4류 제3석유류(비수용성)</v>
          </cell>
          <cell r="E2006" t="str">
            <v>2000리터</v>
          </cell>
          <cell r="F2006" t="str">
            <v/>
          </cell>
        </row>
        <row r="2007">
          <cell r="B2007" t="str">
            <v>67774-74-7</v>
          </cell>
          <cell r="C2007" t="str">
            <v>직쇄형 알킬벤젠</v>
          </cell>
          <cell r="D2007" t="str">
            <v>4류 제3석유류(비수용성)</v>
          </cell>
          <cell r="E2007" t="str">
            <v>2000리터</v>
          </cell>
          <cell r="F2007" t="str">
            <v/>
          </cell>
        </row>
        <row r="2008">
          <cell r="B2008" t="str">
            <v>6789-88-4</v>
          </cell>
          <cell r="C2008" t="str">
            <v>벤조산노르말헥실에스테르</v>
          </cell>
          <cell r="D2008" t="str">
            <v>4류 제3석유류(비수용성)</v>
          </cell>
          <cell r="E2008" t="str">
            <v>2000리터</v>
          </cell>
          <cell r="F2008" t="str">
            <v/>
          </cell>
        </row>
        <row r="2009">
          <cell r="B2009" t="str">
            <v>680-31-9</v>
          </cell>
          <cell r="C2009" t="str">
            <v>헥사메틸포스포릭트리아미드</v>
          </cell>
          <cell r="D2009" t="str">
            <v>4류 제3석유류(비수용성)</v>
          </cell>
          <cell r="E2009" t="str">
            <v>2000리터</v>
          </cell>
          <cell r="F2009" t="str">
            <v/>
          </cell>
        </row>
        <row r="2010">
          <cell r="B2010" t="str">
            <v>682-09-7</v>
          </cell>
          <cell r="C2010" t="str">
            <v>트리메틸올프로판디알릴에테르</v>
          </cell>
          <cell r="D2010" t="str">
            <v>4류 제3석유류(비수용성)</v>
          </cell>
          <cell r="E2010" t="str">
            <v>2000리터</v>
          </cell>
          <cell r="F2010" t="str">
            <v/>
          </cell>
        </row>
        <row r="2011">
          <cell r="B2011" t="str">
            <v>68412-48-6</v>
          </cell>
          <cell r="C2011" t="str">
            <v>디페닐아민과 아세톤의 반응물</v>
          </cell>
          <cell r="D2011" t="str">
            <v>4류 제3석유류(비수용성)</v>
          </cell>
          <cell r="E2011" t="str">
            <v>2000리터</v>
          </cell>
          <cell r="F2011" t="str">
            <v/>
          </cell>
        </row>
        <row r="2012">
          <cell r="B2012" t="str">
            <v>6843-66-9</v>
          </cell>
          <cell r="C2012" t="str">
            <v>디메톡시디페닐실란</v>
          </cell>
          <cell r="D2012" t="str">
            <v>4류 제3석유류(비수용성)</v>
          </cell>
          <cell r="E2012" t="str">
            <v>2000리터</v>
          </cell>
          <cell r="F2012" t="str">
            <v/>
          </cell>
        </row>
        <row r="2013">
          <cell r="B2013" t="str">
            <v>6846-50-0</v>
          </cell>
          <cell r="C2013" t="str">
            <v>2,2,4-트리메틸-1,3-펜탄디올 ...</v>
          </cell>
          <cell r="D2013" t="str">
            <v>4류 제3석유류(비수용성)</v>
          </cell>
          <cell r="E2013" t="str">
            <v>2000리터</v>
          </cell>
          <cell r="F2013" t="str">
            <v/>
          </cell>
        </row>
        <row r="2014">
          <cell r="B2014" t="str">
            <v>6850-57-3</v>
          </cell>
          <cell r="C2014" t="str">
            <v>메톡시벤질아민</v>
          </cell>
          <cell r="D2014" t="str">
            <v>4류 제3석유류(비수용성)</v>
          </cell>
          <cell r="E2014" t="str">
            <v>2000리터</v>
          </cell>
          <cell r="F2014">
            <v>2735</v>
          </cell>
        </row>
        <row r="2015">
          <cell r="B2015" t="str">
            <v>685-87-0</v>
          </cell>
          <cell r="C2015" t="str">
            <v>브로모말론산디에틸에스테르</v>
          </cell>
          <cell r="D2015" t="str">
            <v>4류 제3석유류(비수용성)</v>
          </cell>
          <cell r="E2015" t="str">
            <v>2000리터</v>
          </cell>
          <cell r="F2015">
            <v>3265</v>
          </cell>
        </row>
        <row r="2016">
          <cell r="B2016" t="str">
            <v>685-91-6</v>
          </cell>
          <cell r="C2016" t="str">
            <v>디에틸아세트아미드</v>
          </cell>
          <cell r="D2016" t="str">
            <v>4류 제3석유류(비수용성)</v>
          </cell>
          <cell r="E2016" t="str">
            <v>2000리터</v>
          </cell>
          <cell r="F2016" t="str">
            <v/>
          </cell>
        </row>
        <row r="2017">
          <cell r="B2017" t="str">
            <v>688-84-6</v>
          </cell>
          <cell r="C2017" t="str">
            <v>메타크릴산-2-에틸헥실</v>
          </cell>
          <cell r="D2017" t="str">
            <v>4류 제3석유류(비수용성)</v>
          </cell>
          <cell r="E2017" t="str">
            <v>2000리터</v>
          </cell>
          <cell r="F2017">
            <v>3334</v>
          </cell>
        </row>
        <row r="2018">
          <cell r="B2018" t="str">
            <v>69045-84-7</v>
          </cell>
          <cell r="C2018" t="str">
            <v>2,3-디클로로-5-(트리플루오로메틸...</v>
          </cell>
          <cell r="D2018" t="str">
            <v>4류 제3석유류(비수용성)</v>
          </cell>
          <cell r="E2018" t="str">
            <v>2000리터</v>
          </cell>
          <cell r="F2018">
            <v>3082</v>
          </cell>
        </row>
        <row r="2019">
          <cell r="B2019" t="str">
            <v>6920-22-5</v>
          </cell>
          <cell r="C2019" t="str">
            <v>헥산디올(1,2)</v>
          </cell>
          <cell r="D2019" t="str">
            <v>4류 제3석유류(비수용성)</v>
          </cell>
          <cell r="E2019" t="str">
            <v>2000리터</v>
          </cell>
          <cell r="F2019" t="str">
            <v/>
          </cell>
        </row>
        <row r="2020">
          <cell r="B2020" t="str">
            <v>693-54-9</v>
          </cell>
          <cell r="C2020" t="str">
            <v>데카논(2-)</v>
          </cell>
          <cell r="D2020" t="str">
            <v>4류 제3석유류(비수용성)</v>
          </cell>
          <cell r="E2020" t="str">
            <v>2000리터</v>
          </cell>
          <cell r="F2020">
            <v>1993</v>
          </cell>
        </row>
        <row r="2021">
          <cell r="B2021" t="str">
            <v>693-80-1</v>
          </cell>
          <cell r="C2021" t="str">
            <v>아세트산올레일에스티르</v>
          </cell>
          <cell r="D2021" t="str">
            <v>4류 제3석유류(비수용성)</v>
          </cell>
          <cell r="E2021" t="str">
            <v>2000리터</v>
          </cell>
          <cell r="F2021" t="str">
            <v/>
          </cell>
        </row>
        <row r="2022">
          <cell r="B2022" t="str">
            <v>6938-94-9</v>
          </cell>
          <cell r="C2022" t="str">
            <v>아디프산디이소프로필에스테르</v>
          </cell>
          <cell r="D2022" t="str">
            <v>4류 제3석유류(비수용성)</v>
          </cell>
          <cell r="E2022" t="str">
            <v>2000리터</v>
          </cell>
          <cell r="F2022" t="str">
            <v/>
          </cell>
        </row>
        <row r="2023">
          <cell r="B2023" t="str">
            <v>6940-78-9</v>
          </cell>
          <cell r="C2023" t="str">
            <v>테트라메틸렌클로로브로마이드</v>
          </cell>
          <cell r="D2023" t="str">
            <v>4류 제3석유류(비수용성)</v>
          </cell>
          <cell r="E2023" t="str">
            <v>2000리터</v>
          </cell>
          <cell r="F2023">
            <v>1993</v>
          </cell>
        </row>
        <row r="2024">
          <cell r="B2024" t="str">
            <v>694-80-4</v>
          </cell>
          <cell r="C2024" t="str">
            <v>2-브로모클로로벤젠</v>
          </cell>
          <cell r="D2024" t="str">
            <v>4류 제3석유류(비수용성)</v>
          </cell>
          <cell r="E2024" t="str">
            <v>2000리터</v>
          </cell>
          <cell r="F2024" t="str">
            <v/>
          </cell>
        </row>
        <row r="2025">
          <cell r="B2025" t="str">
            <v>695-06-7</v>
          </cell>
          <cell r="C2025" t="str">
            <v>헥사노락톤(γ-)</v>
          </cell>
          <cell r="D2025" t="str">
            <v>4류 제3석유류(비수용성)</v>
          </cell>
          <cell r="E2025" t="str">
            <v>2000리터</v>
          </cell>
          <cell r="F2025" t="str">
            <v/>
          </cell>
        </row>
        <row r="2026">
          <cell r="B2026" t="str">
            <v>696-44-6</v>
          </cell>
          <cell r="C2026" t="str">
            <v>메틸메타톨루이딘</v>
          </cell>
          <cell r="D2026" t="str">
            <v>4류 제3석유류(비수용성)</v>
          </cell>
          <cell r="E2026" t="str">
            <v>2000리터</v>
          </cell>
          <cell r="F2026">
            <v>2810</v>
          </cell>
        </row>
        <row r="2027">
          <cell r="B2027" t="str">
            <v>696-71-9</v>
          </cell>
          <cell r="C2027" t="str">
            <v>시클로옥탄올</v>
          </cell>
          <cell r="D2027" t="str">
            <v>4류 제3석유류(비수용성)</v>
          </cell>
          <cell r="E2027" t="str">
            <v>2000리터</v>
          </cell>
          <cell r="F2027" t="str">
            <v/>
          </cell>
        </row>
        <row r="2028">
          <cell r="B2028" t="str">
            <v>701-99-5</v>
          </cell>
          <cell r="C2028" t="str">
            <v>페녹시아세틸클로라이드</v>
          </cell>
          <cell r="D2028" t="str">
            <v>4류 제3석유류(비수용성)</v>
          </cell>
          <cell r="E2028" t="str">
            <v>2000리터</v>
          </cell>
          <cell r="F2028">
            <v>3265</v>
          </cell>
        </row>
        <row r="2029">
          <cell r="B2029" t="str">
            <v>706-14-9</v>
          </cell>
          <cell r="C2029" t="str">
            <v>하이드록시카프릴산락통</v>
          </cell>
          <cell r="D2029" t="str">
            <v>4류 제3석유류(비수용성)</v>
          </cell>
          <cell r="E2029" t="str">
            <v>2000리터</v>
          </cell>
          <cell r="F2029" t="str">
            <v/>
          </cell>
        </row>
        <row r="2030">
          <cell r="B2030" t="str">
            <v>717-74-8</v>
          </cell>
          <cell r="C2030" t="str">
            <v>트리이소프로필벤젠-1,3,5</v>
          </cell>
          <cell r="D2030" t="str">
            <v>4류 제3석유류(비수용성)</v>
          </cell>
          <cell r="E2030" t="str">
            <v>2000리터</v>
          </cell>
          <cell r="F2030" t="str">
            <v/>
          </cell>
        </row>
        <row r="2031">
          <cell r="B2031" t="str">
            <v>7212-44-4</v>
          </cell>
          <cell r="C2031" t="str">
            <v>네롤리톨</v>
          </cell>
          <cell r="D2031" t="str">
            <v>4류 제3석유류(비수용성)</v>
          </cell>
          <cell r="E2031" t="str">
            <v>2000리터</v>
          </cell>
          <cell r="F2031" t="str">
            <v/>
          </cell>
        </row>
        <row r="2032">
          <cell r="B2032" t="str">
            <v>72207-80-8</v>
          </cell>
          <cell r="C2032" t="str">
            <v>폴리에틸렌글리콜 디글리시딜에테르</v>
          </cell>
          <cell r="D2032" t="str">
            <v>4류 제3석유류(비수용성)</v>
          </cell>
          <cell r="E2032" t="str">
            <v>2000리터</v>
          </cell>
          <cell r="F2032" t="str">
            <v/>
          </cell>
        </row>
        <row r="2033">
          <cell r="B2033" t="str">
            <v>72482-64-5</v>
          </cell>
          <cell r="C2033" t="str">
            <v>디플로로벤조일클로라이드</v>
          </cell>
          <cell r="D2033" t="str">
            <v>4류 제3석유류(비수용성)</v>
          </cell>
          <cell r="E2033" t="str">
            <v>2000리터</v>
          </cell>
          <cell r="F2033">
            <v>3265</v>
          </cell>
        </row>
        <row r="2034">
          <cell r="B2034" t="str">
            <v>7251-61-8</v>
          </cell>
          <cell r="C2034" t="str">
            <v>메틸퀴녹스알린</v>
          </cell>
          <cell r="D2034" t="str">
            <v>4류 제3석유류(비수용성)</v>
          </cell>
          <cell r="E2034" t="str">
            <v>2000리터</v>
          </cell>
          <cell r="F2034" t="str">
            <v/>
          </cell>
        </row>
        <row r="2035">
          <cell r="B2035" t="str">
            <v>7307-55-3</v>
          </cell>
          <cell r="C2035" t="str">
            <v>1-아미노운데칸</v>
          </cell>
          <cell r="D2035" t="str">
            <v>4류 제3석유류(비수용성)</v>
          </cell>
          <cell r="E2035" t="str">
            <v>2000리터</v>
          </cell>
          <cell r="F2035" t="str">
            <v/>
          </cell>
        </row>
        <row r="2036">
          <cell r="B2036" t="str">
            <v>7328-17-8</v>
          </cell>
          <cell r="C2036" t="str">
            <v>에톡시디에틸렌 글리콜아크릴레이트</v>
          </cell>
          <cell r="D2036" t="str">
            <v>4류 제3석유류(비수용성)</v>
          </cell>
          <cell r="E2036" t="str">
            <v>2000리터</v>
          </cell>
          <cell r="F2036" t="str">
            <v/>
          </cell>
        </row>
        <row r="2037">
          <cell r="B2037" t="str">
            <v>7452-59-7</v>
          </cell>
          <cell r="C2037" t="str">
            <v>포름산노르말옥틸에스테르</v>
          </cell>
          <cell r="D2037" t="str">
            <v>4류 제3석유류(비수용성)</v>
          </cell>
          <cell r="E2037" t="str">
            <v>2000리터</v>
          </cell>
          <cell r="F2037">
            <v>3277</v>
          </cell>
        </row>
        <row r="2038">
          <cell r="B2038" t="str">
            <v>7560-83-0</v>
          </cell>
          <cell r="C2038" t="str">
            <v>디클로로에틸메틸아민</v>
          </cell>
          <cell r="D2038" t="str">
            <v>4류 제3석유류(비수용성)</v>
          </cell>
          <cell r="E2038" t="str">
            <v>2000리터</v>
          </cell>
          <cell r="F2038">
            <v>2735</v>
          </cell>
        </row>
        <row r="2039">
          <cell r="B2039" t="str">
            <v>7564-64-9</v>
          </cell>
          <cell r="C2039" t="str">
            <v>메틸(3-)펜탄1,3,5트리올</v>
          </cell>
          <cell r="D2039" t="str">
            <v>4류 제3석유류(비수용성)</v>
          </cell>
          <cell r="E2039" t="str">
            <v>2000리터</v>
          </cell>
          <cell r="F2039" t="str">
            <v/>
          </cell>
        </row>
        <row r="2040">
          <cell r="B2040" t="str">
            <v>756-80-9</v>
          </cell>
          <cell r="C2040" t="str">
            <v>디알킬디티오인산</v>
          </cell>
          <cell r="D2040" t="str">
            <v>4류 제3석유류(비수용성)</v>
          </cell>
          <cell r="E2040" t="str">
            <v>2000리터</v>
          </cell>
          <cell r="F2040">
            <v>1760</v>
          </cell>
        </row>
        <row r="2041">
          <cell r="B2041" t="str">
            <v>759-65-9</v>
          </cell>
          <cell r="C2041" t="str">
            <v>메틸옥사아세트산디에틸에스테르</v>
          </cell>
          <cell r="D2041" t="str">
            <v>4류 제3석유류(비수용성)</v>
          </cell>
          <cell r="E2041" t="str">
            <v>2000리터</v>
          </cell>
          <cell r="F2041" t="str">
            <v/>
          </cell>
        </row>
        <row r="2042">
          <cell r="B2042" t="str">
            <v>761-65-9</v>
          </cell>
          <cell r="C2042" t="str">
            <v>디노르마부틸포름아미드</v>
          </cell>
          <cell r="D2042" t="str">
            <v>4류 제3석유류(비수용성)</v>
          </cell>
          <cell r="E2042" t="str">
            <v>2000리터</v>
          </cell>
          <cell r="F2042" t="str">
            <v/>
          </cell>
        </row>
        <row r="2043">
          <cell r="B2043" t="str">
            <v>762-21-0</v>
          </cell>
          <cell r="C2043" t="str">
            <v>아세틸렌카복실산디에틸에스테르</v>
          </cell>
          <cell r="D2043" t="str">
            <v>4류 제3석유류(비수용성)</v>
          </cell>
          <cell r="E2043" t="str">
            <v>2000리터</v>
          </cell>
          <cell r="F2043">
            <v>3265</v>
          </cell>
        </row>
        <row r="2044">
          <cell r="B2044" t="str">
            <v>762-42-5</v>
          </cell>
          <cell r="C2044" t="str">
            <v>아세틸렌카복실산디메틸에스테르</v>
          </cell>
          <cell r="D2044" t="str">
            <v>4류 제3석유류(비수용성)</v>
          </cell>
          <cell r="E2044" t="str">
            <v>2000리터</v>
          </cell>
          <cell r="F2044">
            <v>3265</v>
          </cell>
        </row>
        <row r="2045">
          <cell r="B2045" t="str">
            <v>764-85-2</v>
          </cell>
          <cell r="C2045" t="str">
            <v>펠라고닐클로라이드</v>
          </cell>
          <cell r="D2045" t="str">
            <v>4류 제3석유류(비수용성)</v>
          </cell>
          <cell r="E2045" t="str">
            <v>2000리터</v>
          </cell>
          <cell r="F2045">
            <v>3265</v>
          </cell>
        </row>
        <row r="2046">
          <cell r="B2046" t="str">
            <v>76497-39-7</v>
          </cell>
          <cell r="C2046" t="str">
            <v>(에스)-(-)-3-아세틸티오이소부틸...</v>
          </cell>
          <cell r="D2046" t="str">
            <v>4류 제3석유류(비수용성)</v>
          </cell>
          <cell r="E2046" t="str">
            <v>2000리터</v>
          </cell>
          <cell r="F2046">
            <v>3265</v>
          </cell>
        </row>
        <row r="2047">
          <cell r="B2047" t="str">
            <v>765-03-7</v>
          </cell>
          <cell r="C2047" t="str">
            <v>1-도데신</v>
          </cell>
          <cell r="D2047" t="str">
            <v>4류 제3석유류(비수용성)</v>
          </cell>
          <cell r="E2047" t="str">
            <v>2000리터</v>
          </cell>
          <cell r="F2047" t="str">
            <v/>
          </cell>
        </row>
        <row r="2048">
          <cell r="B2048" t="str">
            <v>7664-66-6</v>
          </cell>
          <cell r="C2048" t="str">
            <v>3-이소프로폭시아닐린</v>
          </cell>
          <cell r="D2048" t="str">
            <v>4류 제3석유류(비수용성)</v>
          </cell>
          <cell r="E2048" t="str">
            <v>2000리터</v>
          </cell>
          <cell r="F2048" t="str">
            <v/>
          </cell>
        </row>
        <row r="2049">
          <cell r="B2049" t="str">
            <v>766-80-3</v>
          </cell>
          <cell r="C2049" t="str">
            <v>클로로(3-)벤질브로마이드</v>
          </cell>
          <cell r="D2049" t="str">
            <v>4류 제3석유류(비수용성)</v>
          </cell>
          <cell r="E2049" t="str">
            <v>2000리터</v>
          </cell>
          <cell r="F2049">
            <v>3265</v>
          </cell>
        </row>
        <row r="2050">
          <cell r="B2050" t="str">
            <v>766-92-7</v>
          </cell>
          <cell r="C2050" t="str">
            <v>벤질메틸술파이드</v>
          </cell>
          <cell r="D2050" t="str">
            <v>4류 제3석유류(비수용성)</v>
          </cell>
          <cell r="E2050" t="str">
            <v>2000리터</v>
          </cell>
          <cell r="F2050">
            <v>3334</v>
          </cell>
        </row>
        <row r="2051">
          <cell r="B2051" t="str">
            <v>768-52-5</v>
          </cell>
          <cell r="C2051" t="str">
            <v>이소프로필아닐린</v>
          </cell>
          <cell r="D2051" t="str">
            <v>4류 제3석유류(비수용성)</v>
          </cell>
          <cell r="E2051" t="str">
            <v>2000리터</v>
          </cell>
          <cell r="F2051">
            <v>1993</v>
          </cell>
        </row>
        <row r="2052">
          <cell r="B2052" t="str">
            <v>769-78-8</v>
          </cell>
          <cell r="C2052" t="str">
            <v>벤조산비닐에스테르</v>
          </cell>
          <cell r="D2052" t="str">
            <v>4류 제3석유류(비수용성)</v>
          </cell>
          <cell r="E2052" t="str">
            <v>2000리터</v>
          </cell>
          <cell r="F2052">
            <v>1993</v>
          </cell>
        </row>
        <row r="2053">
          <cell r="B2053" t="str">
            <v>769-92-6</v>
          </cell>
          <cell r="C2053" t="str">
            <v>부틸아민(4-터셔리)</v>
          </cell>
          <cell r="D2053" t="str">
            <v>4류 제3석유류(비수용성)</v>
          </cell>
          <cell r="E2053" t="str">
            <v>2000리터</v>
          </cell>
          <cell r="F2053" t="str">
            <v/>
          </cell>
        </row>
        <row r="2054">
          <cell r="B2054" t="str">
            <v>770-35-4</v>
          </cell>
          <cell r="C2054" t="str">
            <v>페녹시(1-)-2-프로판올</v>
          </cell>
          <cell r="D2054" t="str">
            <v>4류 제3석유류(비수용성)</v>
          </cell>
          <cell r="E2054" t="str">
            <v>2000리터</v>
          </cell>
          <cell r="F2054" t="str">
            <v/>
          </cell>
        </row>
        <row r="2055">
          <cell r="B2055" t="str">
            <v>771-69-7</v>
          </cell>
          <cell r="C2055" t="str">
            <v>트리플르오르-1,2,3,-4니트로벤젠</v>
          </cell>
          <cell r="D2055" t="str">
            <v>4류 제3석유류(비수용성)</v>
          </cell>
          <cell r="E2055" t="str">
            <v>2000리터</v>
          </cell>
          <cell r="F2055" t="str">
            <v/>
          </cell>
        </row>
        <row r="2056">
          <cell r="B2056" t="str">
            <v>772-54-3</v>
          </cell>
          <cell r="C2056" t="str">
            <v>벤질디에틸아민</v>
          </cell>
          <cell r="D2056" t="str">
            <v>4류 제3석유류(비수용성)</v>
          </cell>
          <cell r="E2056" t="str">
            <v>2000리터</v>
          </cell>
          <cell r="F2056" t="str">
            <v/>
          </cell>
        </row>
        <row r="2057">
          <cell r="B2057" t="str">
            <v>77-25-8</v>
          </cell>
          <cell r="C2057" t="str">
            <v>디에틸말론산디에틸에스테르</v>
          </cell>
          <cell r="D2057" t="str">
            <v>4류 제3석유류(비수용성)</v>
          </cell>
          <cell r="E2057" t="str">
            <v>2000리터</v>
          </cell>
          <cell r="F2057" t="str">
            <v/>
          </cell>
        </row>
        <row r="2058">
          <cell r="B2058" t="str">
            <v>772-79-2</v>
          </cell>
          <cell r="C2058" t="str">
            <v>클로로페닐포스포로디클로리데이트(4-)</v>
          </cell>
          <cell r="D2058" t="str">
            <v>4류 제3석유류(비수용성)</v>
          </cell>
          <cell r="E2058" t="str">
            <v>2000리터</v>
          </cell>
          <cell r="F2058">
            <v>3265</v>
          </cell>
        </row>
        <row r="2059">
          <cell r="B2059" t="str">
            <v>7731-28-4</v>
          </cell>
          <cell r="C2059" t="str">
            <v>메틸시클로헥산올(시스-4-)</v>
          </cell>
          <cell r="D2059" t="str">
            <v>4류 제3석유류(비수용성)</v>
          </cell>
          <cell r="E2059" t="str">
            <v>2000리터</v>
          </cell>
          <cell r="F2059" t="str">
            <v/>
          </cell>
        </row>
        <row r="2060">
          <cell r="B2060" t="str">
            <v>7731-29-5</v>
          </cell>
          <cell r="C2060" t="str">
            <v>메틸시클로헥산올</v>
          </cell>
          <cell r="D2060" t="str">
            <v>4류 제3석유류(비수용성)</v>
          </cell>
          <cell r="E2060" t="str">
            <v>2000리터</v>
          </cell>
          <cell r="F2060" t="str">
            <v/>
          </cell>
        </row>
        <row r="2061">
          <cell r="B2061" t="str">
            <v>775-12-2</v>
          </cell>
          <cell r="C2061" t="str">
            <v>디펜닐실란</v>
          </cell>
          <cell r="D2061" t="str">
            <v>4류 제3석유류(비수용성)</v>
          </cell>
          <cell r="E2061" t="str">
            <v>2000리터</v>
          </cell>
          <cell r="F2061" t="str">
            <v/>
          </cell>
        </row>
        <row r="2062">
          <cell r="B2062" t="str">
            <v>7756-96-9</v>
          </cell>
          <cell r="C2062" t="str">
            <v>안스라니릭산노르말부틸에스테르</v>
          </cell>
          <cell r="D2062" t="str">
            <v>4류 제3석유류(비수용성)</v>
          </cell>
          <cell r="E2062" t="str">
            <v>2000리터</v>
          </cell>
          <cell r="F2062" t="str">
            <v/>
          </cell>
        </row>
        <row r="2063">
          <cell r="B2063" t="str">
            <v>776-76-1</v>
          </cell>
          <cell r="C2063" t="str">
            <v>디페닐메틸실란</v>
          </cell>
          <cell r="D2063" t="str">
            <v>4류 제3석유류(비수용성)</v>
          </cell>
          <cell r="E2063" t="str">
            <v>2000리터</v>
          </cell>
          <cell r="F2063" t="str">
            <v/>
          </cell>
        </row>
        <row r="2064">
          <cell r="B2064" t="str">
            <v>7774-44-9</v>
          </cell>
          <cell r="C2064" t="str">
            <v>이소발레릴산시클로헥실에스테르</v>
          </cell>
          <cell r="D2064" t="str">
            <v>4류 제3석유류(비수용성)</v>
          </cell>
          <cell r="E2064" t="str">
            <v>2000리터</v>
          </cell>
          <cell r="F2064">
            <v>1993</v>
          </cell>
        </row>
        <row r="2065">
          <cell r="B2065" t="str">
            <v>77-78-1</v>
          </cell>
          <cell r="C2065" t="str">
            <v>디메틸황산</v>
          </cell>
          <cell r="D2065" t="str">
            <v>4류 제3석유류(비수용성)</v>
          </cell>
          <cell r="E2065" t="str">
            <v>2000리터</v>
          </cell>
          <cell r="F2065">
            <v>1595</v>
          </cell>
        </row>
        <row r="2066">
          <cell r="B2066" t="str">
            <v>7779-75-1</v>
          </cell>
          <cell r="C2066" t="str">
            <v>아세토아세트산이소부틸에스테르</v>
          </cell>
          <cell r="D2066" t="str">
            <v>4류 제3석유류(비수용성)</v>
          </cell>
          <cell r="E2066" t="str">
            <v>2000리터</v>
          </cell>
          <cell r="F2066" t="str">
            <v/>
          </cell>
        </row>
        <row r="2067">
          <cell r="B2067" t="str">
            <v>77-83-8</v>
          </cell>
          <cell r="C2067" t="str">
            <v>메틸페닐글리시드산에틸</v>
          </cell>
          <cell r="D2067" t="str">
            <v>4류 제3석유류(비수용성)</v>
          </cell>
          <cell r="E2067" t="str">
            <v>2000리터</v>
          </cell>
          <cell r="F2067" t="str">
            <v/>
          </cell>
        </row>
        <row r="2068">
          <cell r="B2068" t="str">
            <v>77-89-4</v>
          </cell>
          <cell r="C2068" t="str">
            <v>아세틸구연산</v>
          </cell>
          <cell r="D2068" t="str">
            <v>4류 제3석유류(비수용성)</v>
          </cell>
          <cell r="E2068" t="str">
            <v>2000리터</v>
          </cell>
          <cell r="F2068" t="str">
            <v/>
          </cell>
        </row>
        <row r="2069">
          <cell r="B2069" t="str">
            <v>77-93-0</v>
          </cell>
          <cell r="C2069" t="str">
            <v>트리에틸시트레이트</v>
          </cell>
          <cell r="D2069" t="str">
            <v>4류 제3석유류(비수용성)</v>
          </cell>
          <cell r="E2069" t="str">
            <v>2000리터</v>
          </cell>
          <cell r="F2069" t="str">
            <v/>
          </cell>
        </row>
        <row r="2070">
          <cell r="B2070" t="str">
            <v>78-00-2</v>
          </cell>
          <cell r="C2070" t="str">
            <v>사에틸납</v>
          </cell>
          <cell r="D2070" t="str">
            <v>4류 제3석유류(비수용성)</v>
          </cell>
          <cell r="E2070" t="str">
            <v>2000리터</v>
          </cell>
          <cell r="F2070">
            <v>1649</v>
          </cell>
        </row>
        <row r="2071">
          <cell r="B2071" t="str">
            <v>78-59-1</v>
          </cell>
          <cell r="C2071" t="str">
            <v>이소포론</v>
          </cell>
          <cell r="D2071" t="str">
            <v>4류 제3석유류(비수용성)</v>
          </cell>
          <cell r="E2071" t="str">
            <v>2000리터</v>
          </cell>
          <cell r="F2071" t="str">
            <v/>
          </cell>
        </row>
        <row r="2072">
          <cell r="B2072" t="str">
            <v>78-69-3</v>
          </cell>
          <cell r="C2072" t="str">
            <v>테트라하이드로리나롤</v>
          </cell>
          <cell r="D2072" t="str">
            <v>4류 제3석유류(비수용성)</v>
          </cell>
          <cell r="E2072" t="str">
            <v>2000리터</v>
          </cell>
          <cell r="F2072" t="str">
            <v/>
          </cell>
        </row>
        <row r="2073">
          <cell r="B2073" t="str">
            <v>78-70-6</v>
          </cell>
          <cell r="C2073" t="str">
            <v>리나롤</v>
          </cell>
          <cell r="D2073" t="str">
            <v>4류 제3석유류(비수용성)</v>
          </cell>
          <cell r="E2073" t="str">
            <v>2000리터</v>
          </cell>
          <cell r="F2073" t="str">
            <v/>
          </cell>
        </row>
        <row r="2074">
          <cell r="B2074" t="str">
            <v>79-04-9</v>
          </cell>
          <cell r="C2074" t="str">
            <v>클로로아세틸 클로라이드</v>
          </cell>
          <cell r="D2074" t="str">
            <v>4류 제3석유류(비수용성)</v>
          </cell>
          <cell r="E2074" t="str">
            <v>2000리터</v>
          </cell>
          <cell r="F2074">
            <v>1752</v>
          </cell>
        </row>
        <row r="2075">
          <cell r="B2075" t="str">
            <v>79-43-6</v>
          </cell>
          <cell r="C2075" t="str">
            <v>디클로로아세틱에시드</v>
          </cell>
          <cell r="D2075" t="str">
            <v>4류 제3석유류(비수용성)</v>
          </cell>
          <cell r="E2075" t="str">
            <v>2000리터</v>
          </cell>
          <cell r="F2075">
            <v>1764</v>
          </cell>
        </row>
        <row r="2076">
          <cell r="B2076" t="str">
            <v>79-69-6</v>
          </cell>
          <cell r="C2076" t="str">
            <v>이론</v>
          </cell>
          <cell r="D2076" t="str">
            <v>4류 제3석유류(비수용성)</v>
          </cell>
          <cell r="E2076" t="str">
            <v>2000리터</v>
          </cell>
          <cell r="F2076" t="str">
            <v/>
          </cell>
        </row>
        <row r="2077">
          <cell r="B2077" t="str">
            <v>8000-41-7</v>
          </cell>
          <cell r="C2077" t="str">
            <v>테르피네올</v>
          </cell>
          <cell r="D2077" t="str">
            <v>4류 제3석유류(비수용성)</v>
          </cell>
          <cell r="E2077" t="str">
            <v>2000리터</v>
          </cell>
          <cell r="F2077" t="str">
            <v/>
          </cell>
        </row>
        <row r="2078">
          <cell r="B2078" t="str">
            <v>8001-58-9</v>
          </cell>
          <cell r="C2078" t="str">
            <v>크레오소트유</v>
          </cell>
          <cell r="D2078" t="str">
            <v>4류 제3석유류(비수용성)</v>
          </cell>
          <cell r="E2078" t="str">
            <v>2000리터</v>
          </cell>
          <cell r="F2078">
            <v>3082</v>
          </cell>
        </row>
        <row r="2079">
          <cell r="B2079" t="str">
            <v>8013-90-9</v>
          </cell>
          <cell r="C2079" t="str">
            <v>α-이오논</v>
          </cell>
          <cell r="D2079" t="str">
            <v>4류 제3석유류(비수용성)</v>
          </cell>
          <cell r="E2079" t="str">
            <v>2000리터</v>
          </cell>
          <cell r="F2079" t="str">
            <v/>
          </cell>
        </row>
        <row r="2080">
          <cell r="B2080" t="str">
            <v>8020-83-5</v>
          </cell>
          <cell r="C2080" t="str">
            <v>탈취 등유(비수용성)</v>
          </cell>
          <cell r="D2080" t="str">
            <v>4류 제3석유류(비수용성)</v>
          </cell>
          <cell r="E2080" t="str">
            <v>2000리터</v>
          </cell>
          <cell r="F2080">
            <v>1223</v>
          </cell>
        </row>
        <row r="2081">
          <cell r="B2081" t="str">
            <v>80-25-1</v>
          </cell>
          <cell r="C2081" t="str">
            <v>초산 디하이드로테르피닐</v>
          </cell>
          <cell r="D2081" t="str">
            <v>4류 제3석유류(비수용성)</v>
          </cell>
          <cell r="E2081" t="str">
            <v>2000리터</v>
          </cell>
          <cell r="F2081" t="str">
            <v/>
          </cell>
        </row>
        <row r="2082">
          <cell r="B2082" t="str">
            <v>80-26-2</v>
          </cell>
          <cell r="C2082" t="str">
            <v>초산테피닐</v>
          </cell>
          <cell r="D2082" t="str">
            <v>4류 제3석유류(비수용성)</v>
          </cell>
          <cell r="E2082" t="str">
            <v>2000리터</v>
          </cell>
          <cell r="F2082" t="str">
            <v/>
          </cell>
        </row>
        <row r="2083">
          <cell r="B2083" t="str">
            <v>80-54-6</v>
          </cell>
          <cell r="C2083" t="str">
            <v>p-t-부틸-α-메틸하이드로신나믹알데...</v>
          </cell>
          <cell r="D2083" t="str">
            <v>4류 제3석유류(비수용성)</v>
          </cell>
          <cell r="E2083" t="str">
            <v>2000리터</v>
          </cell>
          <cell r="F2083">
            <v>3082</v>
          </cell>
        </row>
        <row r="2084">
          <cell r="B2084" t="str">
            <v>80-58-0</v>
          </cell>
          <cell r="C2084" t="str">
            <v>α-브로모부틸산</v>
          </cell>
          <cell r="D2084" t="str">
            <v>4류 제3석유류(비수용성)</v>
          </cell>
          <cell r="E2084" t="str">
            <v>2000리터</v>
          </cell>
          <cell r="F2084" t="str">
            <v/>
          </cell>
        </row>
        <row r="2085">
          <cell r="B2085" t="str">
            <v>81172-89-6</v>
          </cell>
          <cell r="C2085" t="str">
            <v>테레프탈알데히드모노-(디에틸아세탈)</v>
          </cell>
          <cell r="D2085" t="str">
            <v>4류 제3석유류(비수용성)</v>
          </cell>
          <cell r="E2085" t="str">
            <v>2000리터</v>
          </cell>
          <cell r="F2085" t="str">
            <v/>
          </cell>
        </row>
        <row r="2086">
          <cell r="B2086" t="str">
            <v>81-20-9</v>
          </cell>
          <cell r="C2086" t="str">
            <v>디메틸니트로벤젠</v>
          </cell>
          <cell r="D2086" t="str">
            <v>4류 제3석유류(비수용성)</v>
          </cell>
          <cell r="E2086" t="str">
            <v>2000리터</v>
          </cell>
          <cell r="F2086">
            <v>1665</v>
          </cell>
        </row>
        <row r="2087">
          <cell r="B2087" t="str">
            <v>814-49-3</v>
          </cell>
          <cell r="C2087" t="str">
            <v>클로로인산디에틸에스테르</v>
          </cell>
          <cell r="D2087" t="str">
            <v>4류 제3석유류(비수용성)</v>
          </cell>
          <cell r="E2087" t="str">
            <v>2000리터</v>
          </cell>
          <cell r="F2087">
            <v>2927</v>
          </cell>
        </row>
        <row r="2088">
          <cell r="B2088" t="str">
            <v>821-10-3</v>
          </cell>
          <cell r="C2088" t="str">
            <v>디클로로(1,4-)-2-부틴</v>
          </cell>
          <cell r="D2088" t="str">
            <v>4류 제3석유류(비수용성)</v>
          </cell>
          <cell r="E2088" t="str">
            <v>2000리터</v>
          </cell>
          <cell r="F2088">
            <v>3334</v>
          </cell>
        </row>
        <row r="2089">
          <cell r="B2089" t="str">
            <v>82192-57-2</v>
          </cell>
          <cell r="C2089" t="str">
            <v>1-(트리이소프로필실릴)-프로핀</v>
          </cell>
          <cell r="D2089" t="str">
            <v>4류 제3석유류(비수용성)</v>
          </cell>
          <cell r="E2089" t="str">
            <v>2000리터</v>
          </cell>
          <cell r="F2089" t="str">
            <v/>
          </cell>
        </row>
        <row r="2090">
          <cell r="B2090" t="str">
            <v>822-06-0</v>
          </cell>
          <cell r="C2090" t="str">
            <v>헥사메틸렌디이소시아네이트</v>
          </cell>
          <cell r="D2090" t="str">
            <v>4류 제3석유류(비수용성)</v>
          </cell>
          <cell r="E2090" t="str">
            <v>2000리터</v>
          </cell>
          <cell r="F2090">
            <v>2281</v>
          </cell>
        </row>
        <row r="2091">
          <cell r="B2091" t="str">
            <v>823-22-3</v>
          </cell>
          <cell r="C2091" t="str">
            <v>2-헥사논</v>
          </cell>
          <cell r="D2091" t="str">
            <v>4류 제3석유류(비수용성)</v>
          </cell>
          <cell r="E2091" t="str">
            <v>2000리터</v>
          </cell>
          <cell r="F2091">
            <v>2282</v>
          </cell>
        </row>
        <row r="2092">
          <cell r="B2092" t="str">
            <v>824-72-6</v>
          </cell>
          <cell r="C2092" t="str">
            <v>페닐포스폰산 디클로라이드</v>
          </cell>
          <cell r="D2092" t="str">
            <v>4류 제3석유류(비수용성)</v>
          </cell>
          <cell r="E2092" t="str">
            <v>2000리터</v>
          </cell>
          <cell r="F2092">
            <v>3265</v>
          </cell>
        </row>
        <row r="2093">
          <cell r="B2093" t="str">
            <v>824-94-2</v>
          </cell>
          <cell r="C2093" t="str">
            <v>메톡시벤질클로라이드</v>
          </cell>
          <cell r="D2093" t="str">
            <v>4류 제3석유류(비수용성)</v>
          </cell>
          <cell r="E2093" t="str">
            <v>2000리터</v>
          </cell>
          <cell r="F2093">
            <v>3265</v>
          </cell>
        </row>
        <row r="2094">
          <cell r="B2094" t="str">
            <v>82560-54-1</v>
          </cell>
          <cell r="C2094" t="str">
            <v>벤프라캅</v>
          </cell>
          <cell r="D2094" t="str">
            <v>4류 제3석유류(비수용성)</v>
          </cell>
          <cell r="E2094" t="str">
            <v>2000리터</v>
          </cell>
          <cell r="F2094">
            <v>2810</v>
          </cell>
        </row>
        <row r="2095">
          <cell r="B2095" t="str">
            <v>827-52-1</v>
          </cell>
          <cell r="C2095" t="str">
            <v>페닐사이클로헥산</v>
          </cell>
          <cell r="D2095" t="str">
            <v>4류 제3석유류(비수용성)</v>
          </cell>
          <cell r="E2095" t="str">
            <v>2000리터</v>
          </cell>
          <cell r="F2095">
            <v>3082</v>
          </cell>
        </row>
        <row r="2096">
          <cell r="B2096" t="str">
            <v>832-53-1</v>
          </cell>
          <cell r="C2096" t="str">
            <v>펜타플로로벤젠슬포닐클로라이드</v>
          </cell>
          <cell r="D2096" t="str">
            <v>4류 제3석유류(비수용성)</v>
          </cell>
          <cell r="E2096" t="str">
            <v>2000리터</v>
          </cell>
          <cell r="F2096">
            <v>3265</v>
          </cell>
        </row>
        <row r="2097">
          <cell r="B2097" t="str">
            <v>83-41-0</v>
          </cell>
          <cell r="C2097" t="str">
            <v>디메틸니트로벤젠</v>
          </cell>
          <cell r="D2097" t="str">
            <v>4류 제3석유류(비수용성)</v>
          </cell>
          <cell r="E2097" t="str">
            <v>2000리터</v>
          </cell>
          <cell r="F2097">
            <v>3082</v>
          </cell>
        </row>
        <row r="2098">
          <cell r="B2098" t="str">
            <v>83803-80-9</v>
          </cell>
          <cell r="C2098" t="str">
            <v>파라-부틸벤즈알데히드디에틸아세탈</v>
          </cell>
          <cell r="D2098" t="str">
            <v>4류 제3석유류(비수용성)</v>
          </cell>
          <cell r="E2098" t="str">
            <v>2000리터</v>
          </cell>
          <cell r="F2098" t="str">
            <v/>
          </cell>
        </row>
        <row r="2099">
          <cell r="B2099" t="str">
            <v>84-66-2</v>
          </cell>
          <cell r="C2099" t="str">
            <v>디에틸 프탈레이트</v>
          </cell>
          <cell r="D2099" t="str">
            <v>4류 제3석유류(비수용성)</v>
          </cell>
          <cell r="E2099" t="str">
            <v>2000리터</v>
          </cell>
          <cell r="F2099">
            <v>3082</v>
          </cell>
        </row>
        <row r="2100">
          <cell r="B2100" t="str">
            <v>84-74-2</v>
          </cell>
          <cell r="C2100" t="str">
            <v>디부틸 프탈레이트</v>
          </cell>
          <cell r="D2100" t="str">
            <v>4류 제3석유류(비수용성)</v>
          </cell>
          <cell r="E2100" t="str">
            <v>2000리터</v>
          </cell>
          <cell r="F2100">
            <v>3082</v>
          </cell>
        </row>
        <row r="2101">
          <cell r="B2101" t="str">
            <v>85118-05-4</v>
          </cell>
          <cell r="C2101" t="str">
            <v>디플로로벤질(3,4-)알코올</v>
          </cell>
          <cell r="D2101" t="str">
            <v>4류 제3석유류(비수용성)</v>
          </cell>
          <cell r="E2101" t="str">
            <v>2000리터</v>
          </cell>
          <cell r="F2101" t="str">
            <v/>
          </cell>
        </row>
        <row r="2102">
          <cell r="B2102" t="str">
            <v>85-70-1</v>
          </cell>
          <cell r="C2102" t="str">
            <v>부틸프타릴 부틸글리콜레이트</v>
          </cell>
          <cell r="D2102" t="str">
            <v>4류 제3석유류(비수용성)</v>
          </cell>
          <cell r="E2102" t="str">
            <v>2000리터</v>
          </cell>
          <cell r="F2102" t="str">
            <v/>
          </cell>
        </row>
        <row r="2103">
          <cell r="B2103" t="str">
            <v>85721-25-1</v>
          </cell>
          <cell r="C2103" t="str">
            <v>에폭시(1,2-)-9-데센</v>
          </cell>
          <cell r="D2103" t="str">
            <v>4류 제3석유류(비수용성)</v>
          </cell>
          <cell r="E2103" t="str">
            <v>2000리터</v>
          </cell>
          <cell r="F2103" t="str">
            <v/>
          </cell>
        </row>
        <row r="2104">
          <cell r="B2104" t="str">
            <v>85-91-6</v>
          </cell>
          <cell r="C2104" t="str">
            <v>N-메틸엔트라닐산메틸</v>
          </cell>
          <cell r="D2104" t="str">
            <v>4류 제3석유류(비수용성)</v>
          </cell>
          <cell r="E2104" t="str">
            <v>2000리터</v>
          </cell>
          <cell r="F2104" t="str">
            <v/>
          </cell>
        </row>
        <row r="2105">
          <cell r="B2105" t="str">
            <v>86087-23-2</v>
          </cell>
          <cell r="C2105" t="str">
            <v>(S)-(+)-3-하이드록시 사하이드...</v>
          </cell>
          <cell r="D2105" t="str">
            <v>4류 제3석유류(비수용성)</v>
          </cell>
          <cell r="E2105" t="str">
            <v>2000리터</v>
          </cell>
          <cell r="F2105" t="str">
            <v/>
          </cell>
        </row>
        <row r="2106">
          <cell r="B2106" t="str">
            <v>867-13-0</v>
          </cell>
          <cell r="C2106" t="str">
            <v>디에틸포스포노아세트산에틸에스테르</v>
          </cell>
          <cell r="D2106" t="str">
            <v>4류 제3석유류(비수용성)</v>
          </cell>
          <cell r="E2106" t="str">
            <v>2000리터</v>
          </cell>
          <cell r="F2106">
            <v>3082</v>
          </cell>
        </row>
        <row r="2107">
          <cell r="B2107" t="str">
            <v>86-84-0</v>
          </cell>
          <cell r="C2107" t="str">
            <v>나프틸이소시아네이트</v>
          </cell>
          <cell r="D2107" t="str">
            <v>4류 제3석유류(비수용성)</v>
          </cell>
          <cell r="E2107" t="str">
            <v>2000리터</v>
          </cell>
          <cell r="F2107">
            <v>2206</v>
          </cell>
        </row>
        <row r="2108">
          <cell r="B2108" t="str">
            <v>87-13-8</v>
          </cell>
          <cell r="C2108" t="str">
            <v>에톡시메틸렌말론산 디에틸에스테르</v>
          </cell>
          <cell r="D2108" t="str">
            <v>4류 제3석유류(비수용성)</v>
          </cell>
          <cell r="E2108" t="str">
            <v>2000리터</v>
          </cell>
          <cell r="F2108" t="str">
            <v/>
          </cell>
        </row>
        <row r="2109">
          <cell r="B2109" t="str">
            <v>87-20-7</v>
          </cell>
          <cell r="C2109" t="str">
            <v>살리실산이소아밀</v>
          </cell>
          <cell r="D2109" t="str">
            <v>4류 제3석유류(비수용성)</v>
          </cell>
          <cell r="E2109" t="str">
            <v>2000리터</v>
          </cell>
          <cell r="F2109" t="str">
            <v/>
          </cell>
        </row>
        <row r="2110">
          <cell r="B2110" t="str">
            <v>872-10-6</v>
          </cell>
          <cell r="C2110" t="str">
            <v>아밀설파이드</v>
          </cell>
          <cell r="D2110" t="str">
            <v>4류 제3석유류(비수용성)</v>
          </cell>
          <cell r="E2110" t="str">
            <v>2000리터</v>
          </cell>
          <cell r="F2110" t="str">
            <v/>
          </cell>
        </row>
        <row r="2111">
          <cell r="B2111" t="str">
            <v>87-25-2</v>
          </cell>
          <cell r="C2111" t="str">
            <v>안스라니릭산에틸에스테르</v>
          </cell>
          <cell r="D2111" t="str">
            <v>4류 제3석유류(비수용성)</v>
          </cell>
          <cell r="E2111" t="str">
            <v>2000리터</v>
          </cell>
          <cell r="F2111" t="str">
            <v/>
          </cell>
        </row>
        <row r="2112">
          <cell r="B2112" t="str">
            <v>874-23-7</v>
          </cell>
          <cell r="C2112" t="str">
            <v>2-아세틸시클로헥산논</v>
          </cell>
          <cell r="D2112" t="str">
            <v>4류 제3석유류(비수용성)</v>
          </cell>
          <cell r="E2112" t="str">
            <v>2000리터</v>
          </cell>
          <cell r="F2112" t="str">
            <v/>
          </cell>
        </row>
        <row r="2113">
          <cell r="B2113" t="str">
            <v>87-44-5</v>
          </cell>
          <cell r="C2113" t="str">
            <v>카르요필렌(베타)</v>
          </cell>
          <cell r="D2113" t="str">
            <v>4류 제3석유류(비수용성)</v>
          </cell>
          <cell r="E2113" t="str">
            <v>2000리터</v>
          </cell>
          <cell r="F2113" t="str">
            <v/>
          </cell>
        </row>
        <row r="2114">
          <cell r="B2114" t="str">
            <v>87630-35-1</v>
          </cell>
          <cell r="C2114" t="str">
            <v>1-(트리이소프로필실릴)피롤</v>
          </cell>
          <cell r="D2114" t="str">
            <v>4류 제3석유류(비수용성)</v>
          </cell>
          <cell r="E2114" t="str">
            <v>2000리터</v>
          </cell>
          <cell r="F2114" t="str">
            <v/>
          </cell>
        </row>
        <row r="2115">
          <cell r="B2115" t="str">
            <v>877-65-6</v>
          </cell>
          <cell r="C2115" t="str">
            <v>부틸벤질알콜</v>
          </cell>
          <cell r="D2115" t="str">
            <v>4류 제3석유류(비수용성)</v>
          </cell>
          <cell r="E2115" t="str">
            <v>2000리터</v>
          </cell>
          <cell r="F2115" t="str">
            <v/>
          </cell>
        </row>
        <row r="2116">
          <cell r="B2116" t="str">
            <v>880-78-4</v>
          </cell>
          <cell r="C2116" t="str">
            <v>펜타플로로니트로벤젠</v>
          </cell>
          <cell r="D2116" t="str">
            <v>4류 제3석유류(비수용성)</v>
          </cell>
          <cell r="E2116" t="str">
            <v>2000리터</v>
          </cell>
          <cell r="F2116">
            <v>1993</v>
          </cell>
        </row>
        <row r="2117">
          <cell r="B2117" t="str">
            <v>88419-56-1</v>
          </cell>
          <cell r="C2117" t="str">
            <v>2,4,5-트리플로로벤조일클로라이드</v>
          </cell>
          <cell r="D2117" t="str">
            <v>4류 제3석유류(비수용성)</v>
          </cell>
          <cell r="E2117" t="str">
            <v>2000리터</v>
          </cell>
          <cell r="F2117">
            <v>3265</v>
          </cell>
        </row>
        <row r="2118">
          <cell r="B2118" t="str">
            <v>88-72-2</v>
          </cell>
          <cell r="C2118" t="str">
            <v>니트로톨루엔</v>
          </cell>
          <cell r="D2118" t="str">
            <v>4류 제3석유류(비수용성)</v>
          </cell>
          <cell r="E2118" t="str">
            <v>2000리터</v>
          </cell>
          <cell r="F2118">
            <v>1664</v>
          </cell>
        </row>
        <row r="2119">
          <cell r="B2119" t="str">
            <v>88-95-9</v>
          </cell>
          <cell r="C2119" t="str">
            <v>0-프탈산클로라이드</v>
          </cell>
          <cell r="D2119" t="str">
            <v>4류 제3석유류(비수용성)</v>
          </cell>
          <cell r="E2119" t="str">
            <v>2000리터</v>
          </cell>
          <cell r="F2119">
            <v>3265</v>
          </cell>
        </row>
        <row r="2120">
          <cell r="B2120" t="str">
            <v>89-74-7</v>
          </cell>
          <cell r="C2120" t="str">
            <v>디메틸아세토페논</v>
          </cell>
          <cell r="D2120" t="str">
            <v>4류 제3석유류(비수용성)</v>
          </cell>
          <cell r="E2120" t="str">
            <v>2000리터</v>
          </cell>
          <cell r="F2120" t="str">
            <v/>
          </cell>
        </row>
        <row r="2121">
          <cell r="B2121" t="str">
            <v>89-75-8</v>
          </cell>
          <cell r="C2121" t="str">
            <v>2,4-디클로로벤조일 클로라이드</v>
          </cell>
          <cell r="D2121" t="str">
            <v>4류 제3석유류(비수용성)</v>
          </cell>
          <cell r="E2121" t="str">
            <v>2000리터</v>
          </cell>
          <cell r="F2121">
            <v>1760</v>
          </cell>
        </row>
        <row r="2122">
          <cell r="B2122" t="str">
            <v>89-87-2</v>
          </cell>
          <cell r="C2122" t="str">
            <v>디메틸니트로벤젠</v>
          </cell>
          <cell r="D2122" t="str">
            <v>4류 제3석유류(비수용성)</v>
          </cell>
          <cell r="E2122" t="str">
            <v>2000리터</v>
          </cell>
          <cell r="F2122">
            <v>1665</v>
          </cell>
        </row>
        <row r="2123">
          <cell r="B2123" t="str">
            <v>89-92-9</v>
          </cell>
          <cell r="C2123" t="str">
            <v>브로모오르소크실렌</v>
          </cell>
          <cell r="D2123" t="str">
            <v>4류 제3석유류(비수용성)</v>
          </cell>
          <cell r="E2123" t="str">
            <v>2000리터</v>
          </cell>
          <cell r="F2123">
            <v>1701</v>
          </cell>
        </row>
        <row r="2124">
          <cell r="B2124" t="str">
            <v>89-93-0</v>
          </cell>
          <cell r="C2124" t="str">
            <v>이소프로페닐옥시트리메틸실란</v>
          </cell>
          <cell r="D2124" t="str">
            <v>4류 제3석유류(비수용성)</v>
          </cell>
          <cell r="E2124" t="str">
            <v>2000리터</v>
          </cell>
          <cell r="F2124">
            <v>2735</v>
          </cell>
        </row>
        <row r="2125">
          <cell r="B2125" t="str">
            <v>89-97-4</v>
          </cell>
          <cell r="C2125" t="str">
            <v>클로로(2-)벤질아민</v>
          </cell>
          <cell r="D2125" t="str">
            <v>4류 제3석유류(비수용성)</v>
          </cell>
          <cell r="E2125" t="str">
            <v>2000리터</v>
          </cell>
          <cell r="F2125">
            <v>2735</v>
          </cell>
        </row>
        <row r="2126">
          <cell r="B2126" t="str">
            <v>89-98-5</v>
          </cell>
          <cell r="C2126" t="str">
            <v>o-클로로벤즈알데히드</v>
          </cell>
          <cell r="D2126" t="str">
            <v>4류 제3석유류(비수용성)</v>
          </cell>
          <cell r="E2126" t="str">
            <v>2000리터</v>
          </cell>
          <cell r="F2126">
            <v>3265</v>
          </cell>
        </row>
        <row r="2127">
          <cell r="B2127" t="str">
            <v>90-02-8</v>
          </cell>
          <cell r="C2127" t="str">
            <v>살리실 알데히드</v>
          </cell>
          <cell r="D2127" t="str">
            <v>4류 제3석유류(비수용성)</v>
          </cell>
          <cell r="E2127" t="str">
            <v>2000리터</v>
          </cell>
          <cell r="F2127" t="str">
            <v/>
          </cell>
        </row>
        <row r="2128">
          <cell r="B2128" t="str">
            <v>9003-29-6</v>
          </cell>
          <cell r="C2128" t="str">
            <v>폴리부텐</v>
          </cell>
          <cell r="D2128" t="str">
            <v>4류 제3석유류(비수용성)</v>
          </cell>
          <cell r="E2128" t="str">
            <v>2000리터</v>
          </cell>
          <cell r="F2128" t="str">
            <v/>
          </cell>
        </row>
        <row r="2129">
          <cell r="B2129" t="str">
            <v>90-04-0</v>
          </cell>
          <cell r="C2129" t="str">
            <v>아니시딘</v>
          </cell>
          <cell r="D2129" t="str">
            <v>4류 제3석유류(비수용성)</v>
          </cell>
          <cell r="E2129" t="str">
            <v>2000리터</v>
          </cell>
          <cell r="F2129">
            <v>2431</v>
          </cell>
        </row>
        <row r="2130">
          <cell r="B2130" t="str">
            <v>90-13-1</v>
          </cell>
          <cell r="C2130" t="str">
            <v>1-클로로나프탈렌</v>
          </cell>
          <cell r="D2130" t="str">
            <v>4류 제3석유류(비수용성)</v>
          </cell>
          <cell r="E2130" t="str">
            <v>2000리터</v>
          </cell>
          <cell r="F2130" t="str">
            <v/>
          </cell>
        </row>
        <row r="2131">
          <cell r="B2131" t="str">
            <v>90-42-6</v>
          </cell>
          <cell r="C2131" t="str">
            <v>시클로헥실시클로헥사논</v>
          </cell>
          <cell r="D2131" t="str">
            <v>4류 제3석유류(비수용성)</v>
          </cell>
          <cell r="E2131" t="str">
            <v>2000리터</v>
          </cell>
          <cell r="F2131" t="str">
            <v/>
          </cell>
        </row>
        <row r="2132">
          <cell r="B2132" t="str">
            <v>90866-33-4</v>
          </cell>
          <cell r="C2132" t="str">
            <v>에틸(ㄲ)-(+)-4-클로로-3-하이...</v>
          </cell>
          <cell r="D2132" t="str">
            <v>4류 제3석유류(비수용성)</v>
          </cell>
          <cell r="E2132" t="str">
            <v>2000리터</v>
          </cell>
          <cell r="F2132" t="str">
            <v/>
          </cell>
        </row>
        <row r="2133">
          <cell r="B2133" t="str">
            <v>90-99-3</v>
          </cell>
          <cell r="C2133" t="str">
            <v>벤즈히드릴클로라이드</v>
          </cell>
          <cell r="D2133" t="str">
            <v>4류 제3석유류(비수용성)</v>
          </cell>
          <cell r="E2133" t="str">
            <v>2000리터</v>
          </cell>
          <cell r="F2133">
            <v>3265</v>
          </cell>
        </row>
        <row r="2134">
          <cell r="B2134" t="str">
            <v>91-16-7</v>
          </cell>
          <cell r="C2134" t="str">
            <v>1,2-디메톡시벤젠</v>
          </cell>
          <cell r="D2134" t="str">
            <v>4류 제3석유류(비수용성)</v>
          </cell>
          <cell r="E2134" t="str">
            <v>2000리터</v>
          </cell>
          <cell r="F2134" t="str">
            <v/>
          </cell>
        </row>
        <row r="2135">
          <cell r="B2135" t="str">
            <v>91-22-5</v>
          </cell>
          <cell r="C2135" t="str">
            <v>퀴놀린</v>
          </cell>
          <cell r="D2135" t="str">
            <v>4류 제3석유류(비수용성)</v>
          </cell>
          <cell r="E2135" t="str">
            <v>2000리터</v>
          </cell>
          <cell r="F2135">
            <v>2656</v>
          </cell>
        </row>
        <row r="2136">
          <cell r="B2136" t="str">
            <v>91-23-6</v>
          </cell>
          <cell r="C2136" t="str">
            <v>니트로아니솔</v>
          </cell>
          <cell r="D2136" t="str">
            <v>4류 제3석유류(비수용성)</v>
          </cell>
          <cell r="E2136" t="str">
            <v>2000리터</v>
          </cell>
          <cell r="F2136">
            <v>2730</v>
          </cell>
        </row>
        <row r="2137">
          <cell r="B2137" t="str">
            <v>91-63-4</v>
          </cell>
          <cell r="C2137" t="str">
            <v>퀴날딘</v>
          </cell>
          <cell r="D2137" t="str">
            <v>4류 제3석유류(비수용성)</v>
          </cell>
          <cell r="E2137" t="str">
            <v>2000리터</v>
          </cell>
          <cell r="F2137" t="str">
            <v/>
          </cell>
        </row>
        <row r="2138">
          <cell r="B2138" t="str">
            <v>91-66-7</v>
          </cell>
          <cell r="C2138" t="str">
            <v>N,N-디에틸아닐린</v>
          </cell>
          <cell r="D2138" t="str">
            <v>4류 제3석유류(비수용성)</v>
          </cell>
          <cell r="E2138" t="str">
            <v>2000리터</v>
          </cell>
          <cell r="F2138">
            <v>2432</v>
          </cell>
        </row>
        <row r="2139">
          <cell r="B2139" t="str">
            <v>919-30-2</v>
          </cell>
          <cell r="C2139" t="str">
            <v>3-아미노프로필트리에톡시실란</v>
          </cell>
          <cell r="D2139" t="str">
            <v>4류 제3석유류(비수용성)</v>
          </cell>
          <cell r="E2139" t="str">
            <v>2000리터</v>
          </cell>
          <cell r="F2139">
            <v>2735</v>
          </cell>
        </row>
        <row r="2140">
          <cell r="B2140" t="str">
            <v>923-26-2</v>
          </cell>
          <cell r="C2140" t="str">
            <v>메타크릴산 2-하이드록시프로필</v>
          </cell>
          <cell r="D2140" t="str">
            <v>4류 제3석유류(비수용성)</v>
          </cell>
          <cell r="E2140" t="str">
            <v>2000리터</v>
          </cell>
          <cell r="F2140" t="str">
            <v/>
          </cell>
        </row>
        <row r="2141">
          <cell r="B2141" t="str">
            <v>92-51-3</v>
          </cell>
          <cell r="C2141" t="str">
            <v>바이시클로헥실</v>
          </cell>
          <cell r="D2141" t="str">
            <v>4류 제3석유류(비수용성)</v>
          </cell>
          <cell r="E2141" t="str">
            <v>2000리터</v>
          </cell>
          <cell r="F2141">
            <v>1993</v>
          </cell>
        </row>
        <row r="2142">
          <cell r="B2142" t="str">
            <v>92-59-1</v>
          </cell>
          <cell r="C2142" t="str">
            <v>에틸벤젤아닐린</v>
          </cell>
          <cell r="D2142" t="str">
            <v>4류 제3석유류(비수용성)</v>
          </cell>
          <cell r="E2142" t="str">
            <v>2000리터</v>
          </cell>
          <cell r="F2142">
            <v>2274</v>
          </cell>
        </row>
        <row r="2143">
          <cell r="B2143" t="str">
            <v>927-68-4</v>
          </cell>
          <cell r="C2143" t="str">
            <v>아세트산2-브로모에틸에스테르</v>
          </cell>
          <cell r="D2143" t="str">
            <v>4류 제3석유류(비수용성)</v>
          </cell>
          <cell r="E2143" t="str">
            <v>2000리터</v>
          </cell>
          <cell r="F2143">
            <v>3334</v>
          </cell>
        </row>
        <row r="2144">
          <cell r="B2144" t="str">
            <v>929-59-9</v>
          </cell>
          <cell r="C2144" t="str">
            <v>1,2-비스(2-아미노에톡시)에탄</v>
          </cell>
          <cell r="D2144" t="str">
            <v>4류 제3석유류(비수용성)</v>
          </cell>
          <cell r="E2144" t="str">
            <v>2000리터</v>
          </cell>
          <cell r="F2144">
            <v>2735</v>
          </cell>
        </row>
        <row r="2145">
          <cell r="B2145" t="str">
            <v>93-28-7</v>
          </cell>
          <cell r="C2145" t="str">
            <v>초산오이게놀</v>
          </cell>
          <cell r="D2145" t="str">
            <v>4류 제3석유류(비수용성)</v>
          </cell>
          <cell r="E2145" t="str">
            <v>2000리터</v>
          </cell>
          <cell r="F2145" t="str">
            <v/>
          </cell>
        </row>
        <row r="2146">
          <cell r="B2146" t="str">
            <v>934-87-2</v>
          </cell>
          <cell r="C2146" t="str">
            <v>티오초산 S-페닐</v>
          </cell>
          <cell r="D2146" t="str">
            <v>4류 제3석유류(비수용성)</v>
          </cell>
          <cell r="E2146" t="str">
            <v>2000리터</v>
          </cell>
          <cell r="F2146" t="str">
            <v/>
          </cell>
        </row>
        <row r="2147">
          <cell r="B2147" t="str">
            <v>93-51-6</v>
          </cell>
          <cell r="C2147" t="str">
            <v>2-메톡시파라크레졸</v>
          </cell>
          <cell r="D2147" t="str">
            <v>4류 제3석유류(비수용성)</v>
          </cell>
          <cell r="E2147" t="str">
            <v>2000리터</v>
          </cell>
          <cell r="F2147" t="str">
            <v/>
          </cell>
        </row>
        <row r="2148">
          <cell r="B2148" t="str">
            <v>93-55-0</v>
          </cell>
          <cell r="C2148" t="str">
            <v>프로피오페논</v>
          </cell>
          <cell r="D2148" t="str">
            <v>4류 제3석유류(비수용성)</v>
          </cell>
          <cell r="E2148" t="str">
            <v>2000리터</v>
          </cell>
          <cell r="F2148" t="str">
            <v/>
          </cell>
        </row>
        <row r="2149">
          <cell r="B2149" t="str">
            <v>93-58-3</v>
          </cell>
          <cell r="C2149" t="str">
            <v>안식향산메틸</v>
          </cell>
          <cell r="D2149" t="str">
            <v>4류 제3석유류(비수용성)</v>
          </cell>
          <cell r="E2149" t="str">
            <v>2000리터</v>
          </cell>
          <cell r="F2149">
            <v>1993</v>
          </cell>
        </row>
        <row r="2150">
          <cell r="B2150" t="str">
            <v>93-61-8</v>
          </cell>
          <cell r="C2150" t="str">
            <v>메틸포름아닐리드</v>
          </cell>
          <cell r="D2150" t="str">
            <v>4류 제3석유류(비수용성)</v>
          </cell>
          <cell r="E2150" t="str">
            <v>2000리터</v>
          </cell>
          <cell r="F2150" t="str">
            <v/>
          </cell>
        </row>
        <row r="2151">
          <cell r="B2151" t="str">
            <v>93-89-0</v>
          </cell>
          <cell r="C2151" t="str">
            <v>벤조산에틸에스테르</v>
          </cell>
          <cell r="D2151" t="str">
            <v>4류 제3석유류(비수용성)</v>
          </cell>
          <cell r="E2151" t="str">
            <v>2000리터</v>
          </cell>
          <cell r="F2151">
            <v>1993</v>
          </cell>
        </row>
        <row r="2152">
          <cell r="B2152" t="str">
            <v>939-27-5</v>
          </cell>
          <cell r="C2152" t="str">
            <v>에틸나프탈렌(2-)</v>
          </cell>
          <cell r="D2152" t="str">
            <v>4류 제3석유류(비수용성)</v>
          </cell>
          <cell r="E2152" t="str">
            <v>2000리터</v>
          </cell>
          <cell r="F2152" t="str">
            <v/>
          </cell>
        </row>
        <row r="2153">
          <cell r="B2153" t="str">
            <v>94-02-0</v>
          </cell>
          <cell r="C2153" t="str">
            <v>벤조일아세트산에틸에스테르</v>
          </cell>
          <cell r="D2153" t="str">
            <v>4류 제3석유류(비수용성)</v>
          </cell>
          <cell r="E2153" t="str">
            <v>2000리터</v>
          </cell>
          <cell r="F2153" t="str">
            <v/>
          </cell>
        </row>
        <row r="2154">
          <cell r="B2154" t="str">
            <v>94124-39-7</v>
          </cell>
          <cell r="C2154" t="str">
            <v>부틸메톡시페닐실일브로마이드</v>
          </cell>
          <cell r="D2154" t="str">
            <v>4류 제3석유류(비수용성)</v>
          </cell>
          <cell r="E2154" t="str">
            <v>2000리터</v>
          </cell>
          <cell r="F2154">
            <v>3265</v>
          </cell>
        </row>
        <row r="2155">
          <cell r="B2155" t="str">
            <v>94-30-4</v>
          </cell>
          <cell r="C2155" t="str">
            <v>파라-아니실산에틸에스테르</v>
          </cell>
          <cell r="D2155" t="str">
            <v>4류 제3석유류(비수용성)</v>
          </cell>
          <cell r="E2155" t="str">
            <v>2000리터</v>
          </cell>
          <cell r="F2155" t="str">
            <v/>
          </cell>
        </row>
        <row r="2156">
          <cell r="B2156" t="str">
            <v>943-93-1</v>
          </cell>
          <cell r="C2156" t="str">
            <v>에폭시(9.10)-1,5-클로로데카디...</v>
          </cell>
          <cell r="D2156" t="str">
            <v>4류 제3석유류(비수용성)</v>
          </cell>
          <cell r="E2156" t="str">
            <v>2000리터</v>
          </cell>
          <cell r="F2156" t="str">
            <v/>
          </cell>
        </row>
        <row r="2157">
          <cell r="B2157" t="str">
            <v>94-46-2</v>
          </cell>
          <cell r="C2157" t="str">
            <v>벤조산이소아밀에스테르</v>
          </cell>
          <cell r="D2157" t="str">
            <v>4류 제3석유류(비수용성)</v>
          </cell>
          <cell r="E2157" t="str">
            <v>2000리터</v>
          </cell>
          <cell r="F2157" t="str">
            <v/>
          </cell>
        </row>
        <row r="2158">
          <cell r="B2158" t="str">
            <v>94-47-3</v>
          </cell>
          <cell r="C2158" t="str">
            <v>펜에틸 벤조에이트</v>
          </cell>
          <cell r="D2158" t="str">
            <v>4류 제3석유류(비수용성)</v>
          </cell>
          <cell r="E2158" t="str">
            <v>2000리터</v>
          </cell>
          <cell r="F2158" t="str">
            <v/>
          </cell>
        </row>
        <row r="2159">
          <cell r="B2159" t="str">
            <v>94-68-8</v>
          </cell>
          <cell r="C2159" t="str">
            <v>노르말-에틸오르소톨루이딘</v>
          </cell>
          <cell r="D2159" t="str">
            <v>4류 제3석유류(비수용성)</v>
          </cell>
          <cell r="E2159" t="str">
            <v>2000리터</v>
          </cell>
          <cell r="F2159">
            <v>2754</v>
          </cell>
        </row>
        <row r="2160">
          <cell r="B2160" t="str">
            <v>94-70-2</v>
          </cell>
          <cell r="C2160" t="str">
            <v>펜티딘(오르소)</v>
          </cell>
          <cell r="D2160" t="str">
            <v>4류 제3석유류(비수용성)</v>
          </cell>
          <cell r="E2160" t="str">
            <v>2000리터</v>
          </cell>
          <cell r="F2160" t="str">
            <v/>
          </cell>
        </row>
        <row r="2161">
          <cell r="B2161" t="str">
            <v>94-96-2</v>
          </cell>
          <cell r="C2161" t="str">
            <v>옥탄디올</v>
          </cell>
          <cell r="D2161" t="str">
            <v>4류 제3석유류(비수용성)</v>
          </cell>
          <cell r="E2161" t="str">
            <v>2000리터</v>
          </cell>
          <cell r="F2161" t="str">
            <v/>
          </cell>
        </row>
        <row r="2162">
          <cell r="B2162" t="str">
            <v>95-16-9</v>
          </cell>
          <cell r="C2162" t="str">
            <v>벤조티아졸</v>
          </cell>
          <cell r="D2162" t="str">
            <v>4류 제3석유류(비수용성)</v>
          </cell>
          <cell r="E2162" t="str">
            <v>2000리터</v>
          </cell>
          <cell r="F2162" t="str">
            <v/>
          </cell>
        </row>
        <row r="2163">
          <cell r="B2163" t="str">
            <v>95-21-6</v>
          </cell>
          <cell r="C2163" t="str">
            <v>메틸벤조옥사졸</v>
          </cell>
          <cell r="D2163" t="str">
            <v>4류 제3석유류(비수용성)</v>
          </cell>
          <cell r="E2163" t="str">
            <v>2000리터</v>
          </cell>
          <cell r="F2163" t="str">
            <v/>
          </cell>
        </row>
        <row r="2164">
          <cell r="B2164" t="str">
            <v>95-46-5</v>
          </cell>
          <cell r="C2164" t="str">
            <v>o-브로모톨루엔</v>
          </cell>
          <cell r="D2164" t="str">
            <v>4류 제3석유류(비수용성)</v>
          </cell>
          <cell r="E2164" t="str">
            <v>2000리터</v>
          </cell>
          <cell r="F2164">
            <v>1993</v>
          </cell>
        </row>
        <row r="2165">
          <cell r="B2165" t="str">
            <v>95-51-2</v>
          </cell>
          <cell r="C2165" t="str">
            <v>2-클로로아닐린</v>
          </cell>
          <cell r="D2165" t="str">
            <v>4류 제3석유류(비수용성)</v>
          </cell>
          <cell r="E2165" t="str">
            <v>2000리터</v>
          </cell>
          <cell r="F2165">
            <v>2019</v>
          </cell>
        </row>
        <row r="2166">
          <cell r="B2166" t="str">
            <v>95-53-4</v>
          </cell>
          <cell r="C2166" t="str">
            <v>O-톨루이딘</v>
          </cell>
          <cell r="D2166" t="str">
            <v>4류 제3석유류(비수용성)</v>
          </cell>
          <cell r="E2166" t="str">
            <v>2000리터</v>
          </cell>
          <cell r="F2166">
            <v>1708</v>
          </cell>
        </row>
        <row r="2167">
          <cell r="B2167" t="str">
            <v>95-68-1</v>
          </cell>
          <cell r="C2167" t="str">
            <v>자일리딘</v>
          </cell>
          <cell r="D2167" t="str">
            <v>4류 제3석유류(비수용성)</v>
          </cell>
          <cell r="E2167" t="str">
            <v>2000리터</v>
          </cell>
          <cell r="F2167">
            <v>1711</v>
          </cell>
        </row>
        <row r="2168">
          <cell r="B2168" t="str">
            <v>95-73-8</v>
          </cell>
          <cell r="C2168" t="str">
            <v>2,4-디클로로톨루엔</v>
          </cell>
          <cell r="D2168" t="str">
            <v>4류 제3석유류(비수용성)</v>
          </cell>
          <cell r="E2168" t="str">
            <v>2000리터</v>
          </cell>
          <cell r="F2168">
            <v>1993</v>
          </cell>
        </row>
        <row r="2169">
          <cell r="B2169" t="str">
            <v>95-74-9</v>
          </cell>
          <cell r="C2169" t="str">
            <v>4-아미노-2-클로로톨루엔</v>
          </cell>
          <cell r="D2169" t="str">
            <v>4류 제3석유류(비수용성)</v>
          </cell>
          <cell r="E2169" t="str">
            <v>2000리터</v>
          </cell>
          <cell r="F2169">
            <v>2239</v>
          </cell>
        </row>
        <row r="2170">
          <cell r="B2170" t="str">
            <v>95-75-0</v>
          </cell>
          <cell r="C2170" t="str">
            <v>3,4-디클로로톨루엔</v>
          </cell>
          <cell r="D2170" t="str">
            <v>4류 제3석유류(비수용성)</v>
          </cell>
          <cell r="E2170" t="str">
            <v>2000리터</v>
          </cell>
          <cell r="F2170">
            <v>1993</v>
          </cell>
        </row>
        <row r="2171">
          <cell r="B2171" t="str">
            <v>95-78-3</v>
          </cell>
          <cell r="C2171" t="str">
            <v>디메틸아닐린</v>
          </cell>
          <cell r="D2171" t="str">
            <v>4류 제3석유류(비수용성)</v>
          </cell>
          <cell r="E2171" t="str">
            <v>2000리터</v>
          </cell>
          <cell r="F2171">
            <v>1711</v>
          </cell>
        </row>
        <row r="2172">
          <cell r="B2172" t="str">
            <v>95-92-1</v>
          </cell>
          <cell r="C2172" t="str">
            <v>옥살산디에틸</v>
          </cell>
          <cell r="D2172" t="str">
            <v>4류 제3석유류(비수용성)</v>
          </cell>
          <cell r="E2172" t="str">
            <v>2000리터</v>
          </cell>
          <cell r="F2172">
            <v>2525</v>
          </cell>
        </row>
        <row r="2173">
          <cell r="B2173" t="str">
            <v>96-09-3</v>
          </cell>
          <cell r="C2173" t="str">
            <v>스티렌옥사이드</v>
          </cell>
          <cell r="D2173" t="str">
            <v>4류 제3석유류(비수용성)</v>
          </cell>
          <cell r="E2173" t="str">
            <v>2000리터</v>
          </cell>
          <cell r="F2173">
            <v>2810</v>
          </cell>
        </row>
        <row r="2174">
          <cell r="B2174" t="str">
            <v>96-12-8</v>
          </cell>
          <cell r="C2174" t="str">
            <v>1,2-디브로모-3-클로로프로판</v>
          </cell>
          <cell r="D2174" t="str">
            <v>4류 제3석유류(비수용성)</v>
          </cell>
          <cell r="E2174" t="str">
            <v>2000리터</v>
          </cell>
          <cell r="F2174">
            <v>2872</v>
          </cell>
        </row>
        <row r="2175">
          <cell r="B2175" t="str">
            <v>96-23-1</v>
          </cell>
          <cell r="C2175" t="str">
            <v>디클로로(1,3-)-2-프로판올</v>
          </cell>
          <cell r="D2175" t="str">
            <v>4류 제3석유류(비수용성)</v>
          </cell>
          <cell r="E2175" t="str">
            <v>2000리터</v>
          </cell>
          <cell r="F2175">
            <v>2750</v>
          </cell>
        </row>
        <row r="2176">
          <cell r="B2176" t="str">
            <v>96-49-1</v>
          </cell>
          <cell r="C2176" t="str">
            <v>에틸렌 카보네이트</v>
          </cell>
          <cell r="D2176" t="str">
            <v>4류 제3석유류(비수용성)</v>
          </cell>
          <cell r="E2176" t="str">
            <v>2000리터</v>
          </cell>
          <cell r="F2176" t="str">
            <v/>
          </cell>
        </row>
        <row r="2177">
          <cell r="B2177" t="str">
            <v>97-53-0</v>
          </cell>
          <cell r="C2177" t="str">
            <v>유게놀</v>
          </cell>
          <cell r="D2177" t="str">
            <v>4류 제3석유류(비수용성)</v>
          </cell>
          <cell r="E2177" t="str">
            <v>2000리터</v>
          </cell>
          <cell r="F2177" t="str">
            <v/>
          </cell>
        </row>
        <row r="2178">
          <cell r="B2178" t="str">
            <v>97-54-1</v>
          </cell>
          <cell r="C2178" t="str">
            <v>이소오이게놀</v>
          </cell>
          <cell r="D2178" t="str">
            <v>4류 제3석유류(비수용성)</v>
          </cell>
          <cell r="E2178" t="str">
            <v>2000리터</v>
          </cell>
          <cell r="F2178" t="str">
            <v/>
          </cell>
        </row>
        <row r="2179">
          <cell r="B2179" t="str">
            <v>97-61-0</v>
          </cell>
          <cell r="C2179" t="str">
            <v>2-메틸펜탄산</v>
          </cell>
          <cell r="D2179" t="str">
            <v>4류 제3석유류(비수용성)</v>
          </cell>
          <cell r="E2179" t="str">
            <v>2000리터</v>
          </cell>
          <cell r="F2179">
            <v>3265</v>
          </cell>
        </row>
        <row r="2180">
          <cell r="B2180" t="str">
            <v>97-90-5</v>
          </cell>
          <cell r="C2180" t="str">
            <v>디메타클릴레이트 에틸렌글리콜</v>
          </cell>
          <cell r="D2180" t="str">
            <v>4류 제3석유류(비수용성)</v>
          </cell>
          <cell r="E2180" t="str">
            <v>2000리터</v>
          </cell>
          <cell r="F2180">
            <v>3334</v>
          </cell>
        </row>
        <row r="2181">
          <cell r="B2181" t="str">
            <v>98-07-7</v>
          </cell>
          <cell r="C2181" t="str">
            <v>벤조트리클로라이드</v>
          </cell>
          <cell r="D2181" t="str">
            <v>4류 제3석유류(비수용성)</v>
          </cell>
          <cell r="E2181" t="str">
            <v>2000리터</v>
          </cell>
          <cell r="F2181">
            <v>2226</v>
          </cell>
        </row>
        <row r="2182">
          <cell r="B2182" t="str">
            <v>98-16-8</v>
          </cell>
          <cell r="C2182" t="str">
            <v>m-아미노벤조트리플루오라이드</v>
          </cell>
          <cell r="D2182" t="str">
            <v>4류 제3석유류(비수용성)</v>
          </cell>
          <cell r="E2182" t="str">
            <v>2000리터</v>
          </cell>
          <cell r="F2182">
            <v>2948</v>
          </cell>
        </row>
        <row r="2183">
          <cell r="B2183" t="str">
            <v>98-17-9</v>
          </cell>
          <cell r="C2183" t="str">
            <v>하이드록시벤조트리플로라이드</v>
          </cell>
          <cell r="D2183" t="str">
            <v>4류 제3석유류(비수용성)</v>
          </cell>
          <cell r="E2183" t="str">
            <v>2000리터</v>
          </cell>
          <cell r="F2183">
            <v>1993</v>
          </cell>
        </row>
        <row r="2184">
          <cell r="B2184" t="str">
            <v>98-73-7</v>
          </cell>
          <cell r="C2184" t="str">
            <v>4-터어트-부틸벤조익산</v>
          </cell>
          <cell r="D2184" t="str">
            <v>4류 제3석유류(비수용성)</v>
          </cell>
          <cell r="E2184" t="str">
            <v>2000리터</v>
          </cell>
          <cell r="F2184">
            <v>2811</v>
          </cell>
        </row>
        <row r="2185">
          <cell r="B2185" t="str">
            <v>98-86-2</v>
          </cell>
          <cell r="C2185" t="str">
            <v>아세토페논</v>
          </cell>
          <cell r="D2185" t="str">
            <v>4류 제3석유류(비수용성)</v>
          </cell>
          <cell r="E2185" t="str">
            <v>2000리터</v>
          </cell>
          <cell r="F2185">
            <v>3334</v>
          </cell>
        </row>
        <row r="2186">
          <cell r="B2186" t="str">
            <v>98-87-3</v>
          </cell>
          <cell r="C2186" t="str">
            <v>벤잘클로라이드</v>
          </cell>
          <cell r="D2186" t="str">
            <v>4류 제3석유류(비수용성)</v>
          </cell>
          <cell r="E2186" t="str">
            <v>2000리터</v>
          </cell>
          <cell r="F2186">
            <v>1886</v>
          </cell>
        </row>
        <row r="2187">
          <cell r="B2187" t="str">
            <v>98-88-4</v>
          </cell>
          <cell r="C2187" t="str">
            <v>염화벤조일</v>
          </cell>
          <cell r="D2187" t="str">
            <v>4류 제3석유류(비수용성)</v>
          </cell>
          <cell r="E2187" t="str">
            <v>2000리터</v>
          </cell>
          <cell r="F2187">
            <v>1736</v>
          </cell>
        </row>
        <row r="2188">
          <cell r="B2188" t="str">
            <v>98-91-9</v>
          </cell>
          <cell r="C2188" t="str">
            <v>티오안식향산</v>
          </cell>
          <cell r="D2188" t="str">
            <v>4류 제3석유류(비수용성)</v>
          </cell>
          <cell r="E2188" t="str">
            <v>2000리터</v>
          </cell>
          <cell r="F2188">
            <v>2810</v>
          </cell>
        </row>
        <row r="2189">
          <cell r="B2189" t="str">
            <v>98-95-3</v>
          </cell>
          <cell r="C2189" t="str">
            <v>니트로 벤젠</v>
          </cell>
          <cell r="D2189" t="str">
            <v>4류 제3석유류(비수용성)</v>
          </cell>
          <cell r="E2189" t="str">
            <v>2000리터</v>
          </cell>
          <cell r="F2189">
            <v>1662</v>
          </cell>
        </row>
        <row r="2190">
          <cell r="B2190" t="str">
            <v>99-02-5</v>
          </cell>
          <cell r="C2190" t="str">
            <v>클로로아세토페논(3-)</v>
          </cell>
          <cell r="D2190" t="str">
            <v>4류 제3석유류(비수용성)</v>
          </cell>
          <cell r="E2190" t="str">
            <v>2000리터</v>
          </cell>
          <cell r="F2190">
            <v>3416</v>
          </cell>
        </row>
        <row r="2191">
          <cell r="B2191" t="str">
            <v>99-08-1</v>
          </cell>
          <cell r="C2191" t="str">
            <v>메타니트로톨루엔</v>
          </cell>
          <cell r="D2191" t="str">
            <v>4류 제3석유류(비수용성)</v>
          </cell>
          <cell r="E2191" t="str">
            <v>2000리터</v>
          </cell>
          <cell r="F2191">
            <v>1664</v>
          </cell>
        </row>
        <row r="2192">
          <cell r="B2192" t="str">
            <v>99-62-7</v>
          </cell>
          <cell r="C2192" t="str">
            <v>디이소프로필벤젠(1,3-)</v>
          </cell>
          <cell r="D2192" t="str">
            <v>4류 제3석유류(비수용성)</v>
          </cell>
          <cell r="E2192" t="str">
            <v>2000리터</v>
          </cell>
          <cell r="F2192">
            <v>3082</v>
          </cell>
        </row>
        <row r="2193">
          <cell r="B2193" t="str">
            <v>998-40-3</v>
          </cell>
          <cell r="C2193" t="str">
            <v>트리-n-부틸포스핀</v>
          </cell>
          <cell r="D2193" t="str">
            <v>4류 제3석유류(비수용성)</v>
          </cell>
          <cell r="E2193" t="str">
            <v>2000리터</v>
          </cell>
          <cell r="F2193">
            <v>3254</v>
          </cell>
        </row>
        <row r="2194">
          <cell r="B2194" t="str">
            <v>99-88-7</v>
          </cell>
          <cell r="C2194" t="str">
            <v>이소프로필아닐린</v>
          </cell>
          <cell r="D2194" t="str">
            <v>4류 제3석유류(비수용성)</v>
          </cell>
          <cell r="E2194" t="str">
            <v>2000리터</v>
          </cell>
          <cell r="F2194">
            <v>1993</v>
          </cell>
        </row>
        <row r="2195">
          <cell r="B2195" t="str">
            <v>99-91-2</v>
          </cell>
          <cell r="C2195" t="str">
            <v>P-클로로아세트페논</v>
          </cell>
          <cell r="D2195" t="str">
            <v>4류 제3석유류(비수용성)</v>
          </cell>
          <cell r="E2195" t="str">
            <v>2000리터</v>
          </cell>
          <cell r="F2195">
            <v>1697</v>
          </cell>
        </row>
        <row r="2196">
          <cell r="B2196" t="str">
            <v>999-21-3</v>
          </cell>
          <cell r="C2196" t="str">
            <v>다이알릴말레이트모노머</v>
          </cell>
          <cell r="D2196" t="str">
            <v>4류 제3석유류(비수용성)</v>
          </cell>
          <cell r="E2196" t="str">
            <v>2000리터</v>
          </cell>
          <cell r="F2196">
            <v>2810</v>
          </cell>
        </row>
        <row r="2197">
          <cell r="B2197" t="str">
            <v>999-61-1</v>
          </cell>
          <cell r="C2197" t="str">
            <v>아크릴산2-하이드록시프로필에스테르</v>
          </cell>
          <cell r="D2197" t="str">
            <v>4류 제3석유류(비수용성)</v>
          </cell>
          <cell r="E2197" t="str">
            <v>2000리터</v>
          </cell>
          <cell r="F2197">
            <v>2922</v>
          </cell>
        </row>
        <row r="2198">
          <cell r="B2198" t="str">
            <v>99-97-8</v>
          </cell>
          <cell r="C2198" t="str">
            <v>N,N-디메틸-P-톨루이딘</v>
          </cell>
          <cell r="D2198" t="str">
            <v>4류 제3석유류(비수용성)</v>
          </cell>
          <cell r="E2198" t="str">
            <v>2000리터</v>
          </cell>
          <cell r="F2198">
            <v>1993</v>
          </cell>
        </row>
        <row r="2199">
          <cell r="B2199" t="str">
            <v>102-71-6</v>
          </cell>
          <cell r="C2199" t="str">
            <v>트리에탄올아민</v>
          </cell>
          <cell r="D2199" t="str">
            <v>4류 제3석유류(수용성)</v>
          </cell>
          <cell r="E2199" t="str">
            <v>4000리터</v>
          </cell>
          <cell r="F2199" t="str">
            <v/>
          </cell>
        </row>
        <row r="2200">
          <cell r="B2200" t="str">
            <v>103-76-4</v>
          </cell>
          <cell r="C2200" t="str">
            <v>(하이드록시에틸)피페라진</v>
          </cell>
          <cell r="D2200" t="str">
            <v>4류 제3석유류(수용성)</v>
          </cell>
          <cell r="E2200" t="str">
            <v>4000리터</v>
          </cell>
          <cell r="F2200" t="str">
            <v/>
          </cell>
        </row>
        <row r="2201">
          <cell r="B2201" t="str">
            <v>105-16-8</v>
          </cell>
          <cell r="C2201" t="str">
            <v>메타크릴산 디에틸아미노에틸</v>
          </cell>
          <cell r="D2201" t="str">
            <v>4류 제3석유류(수용성)</v>
          </cell>
          <cell r="E2201" t="str">
            <v>4000리터</v>
          </cell>
          <cell r="F2201" t="str">
            <v/>
          </cell>
        </row>
        <row r="2202">
          <cell r="B2202" t="str">
            <v>105-59-9</v>
          </cell>
          <cell r="C2202" t="str">
            <v>N-메틸디에탄올 아민</v>
          </cell>
          <cell r="D2202" t="str">
            <v>4류 제3석유류(수용성)</v>
          </cell>
          <cell r="E2202" t="str">
            <v>4000리터</v>
          </cell>
          <cell r="F2202" t="str">
            <v/>
          </cell>
        </row>
        <row r="2203">
          <cell r="B2203" t="str">
            <v>105-83-9</v>
          </cell>
          <cell r="C2203" t="str">
            <v>3-메틸-3,3'-이미노비스(프로필아...</v>
          </cell>
          <cell r="D2203" t="str">
            <v>4류 제3석유류(수용성)</v>
          </cell>
          <cell r="E2203" t="str">
            <v>4000리터</v>
          </cell>
          <cell r="F2203">
            <v>2810</v>
          </cell>
        </row>
        <row r="2204">
          <cell r="B2204" t="str">
            <v>106-69-4</v>
          </cell>
          <cell r="C2204" t="str">
            <v>1,2,6-헥산트리올</v>
          </cell>
          <cell r="D2204" t="str">
            <v>4류 제3석유류(수용성)</v>
          </cell>
          <cell r="E2204" t="str">
            <v>4000리터</v>
          </cell>
          <cell r="F2204" t="str">
            <v/>
          </cell>
        </row>
        <row r="2205">
          <cell r="B2205" t="str">
            <v>107-21-1</v>
          </cell>
          <cell r="C2205" t="str">
            <v>에틸렌글리콜</v>
          </cell>
          <cell r="D2205" t="str">
            <v>4류 제3석유류(수용성)</v>
          </cell>
          <cell r="E2205" t="str">
            <v>4000리터</v>
          </cell>
          <cell r="F2205">
            <v>3082</v>
          </cell>
        </row>
        <row r="2206">
          <cell r="B2206" t="str">
            <v>107-41-5</v>
          </cell>
          <cell r="C2206" t="str">
            <v>헥실렌글리콜</v>
          </cell>
          <cell r="D2206" t="str">
            <v>4류 제3석유류(수용성)</v>
          </cell>
          <cell r="E2206" t="str">
            <v>4000리터</v>
          </cell>
          <cell r="F2206" t="str">
            <v/>
          </cell>
        </row>
        <row r="2207">
          <cell r="B2207" t="str">
            <v>107-88-0</v>
          </cell>
          <cell r="C2207" t="str">
            <v>1,3-부탄디올</v>
          </cell>
          <cell r="D2207" t="str">
            <v>4류 제3석유류(수용성)</v>
          </cell>
          <cell r="E2207" t="str">
            <v>4000리터</v>
          </cell>
          <cell r="F2207" t="str">
            <v/>
          </cell>
        </row>
        <row r="2208">
          <cell r="B2208" t="str">
            <v>107-92-6</v>
          </cell>
          <cell r="C2208" t="str">
            <v>부틸산</v>
          </cell>
          <cell r="D2208" t="str">
            <v>4류 제3석유류(수용성)</v>
          </cell>
          <cell r="E2208" t="str">
            <v>4000리터</v>
          </cell>
          <cell r="F2208">
            <v>2820</v>
          </cell>
        </row>
        <row r="2209">
          <cell r="B2209" t="str">
            <v>107-96-0</v>
          </cell>
          <cell r="C2209" t="str">
            <v>3-메르캅토프로피온산</v>
          </cell>
          <cell r="D2209" t="str">
            <v>4류 제3석유류(수용성)</v>
          </cell>
          <cell r="E2209" t="str">
            <v>4000리터</v>
          </cell>
          <cell r="F2209">
            <v>2922</v>
          </cell>
        </row>
        <row r="2210">
          <cell r="B2210" t="str">
            <v>109-78-4</v>
          </cell>
          <cell r="C2210" t="str">
            <v>에틸렌시아노히드린</v>
          </cell>
          <cell r="D2210" t="str">
            <v>4류 제3석유류(수용성)</v>
          </cell>
          <cell r="E2210" t="str">
            <v>4000리터</v>
          </cell>
          <cell r="F2210" t="str">
            <v/>
          </cell>
        </row>
        <row r="2211">
          <cell r="B2211" t="str">
            <v>109-83-1</v>
          </cell>
          <cell r="C2211" t="str">
            <v>N-메틸에탄올아민</v>
          </cell>
          <cell r="D2211" t="str">
            <v>4류 제3석유류(수용성)</v>
          </cell>
          <cell r="E2211" t="str">
            <v>4000리터</v>
          </cell>
          <cell r="F2211">
            <v>2735</v>
          </cell>
        </row>
        <row r="2212">
          <cell r="B2212" t="str">
            <v>110-55-0</v>
          </cell>
          <cell r="C2212" t="str">
            <v>3-피리딘 메탄올</v>
          </cell>
          <cell r="D2212" t="str">
            <v>4류 제3석유류(수용성)</v>
          </cell>
          <cell r="E2212" t="str">
            <v>4000리터</v>
          </cell>
          <cell r="F2212" t="str">
            <v/>
          </cell>
        </row>
        <row r="2213">
          <cell r="B2213" t="str">
            <v>110-63-4</v>
          </cell>
          <cell r="C2213" t="str">
            <v>1,4-부탄디올</v>
          </cell>
          <cell r="D2213" t="str">
            <v>4류 제3석유류(수용성)</v>
          </cell>
          <cell r="E2213" t="str">
            <v>4000리터</v>
          </cell>
          <cell r="F2213" t="str">
            <v/>
          </cell>
        </row>
        <row r="2214">
          <cell r="B2214" t="str">
            <v>111-18-2</v>
          </cell>
          <cell r="C2214" t="str">
            <v>N,N,N',N'-테트라메틸-1,6-...</v>
          </cell>
          <cell r="D2214" t="str">
            <v>4류 제3석유류(수용성)</v>
          </cell>
          <cell r="E2214" t="str">
            <v>4000리터</v>
          </cell>
          <cell r="F2214">
            <v>2922</v>
          </cell>
        </row>
        <row r="2215">
          <cell r="B2215" t="str">
            <v>111-40-0</v>
          </cell>
          <cell r="C2215" t="str">
            <v>디에틸렌트리아민</v>
          </cell>
          <cell r="D2215" t="str">
            <v>4류 제3석유류(수용성)</v>
          </cell>
          <cell r="E2215" t="str">
            <v>4000리터</v>
          </cell>
          <cell r="F2215">
            <v>2079</v>
          </cell>
        </row>
        <row r="2216">
          <cell r="B2216" t="str">
            <v>111-41-1</v>
          </cell>
          <cell r="C2216" t="str">
            <v>N-(2-아미노에틸)에탄올아민</v>
          </cell>
          <cell r="D2216" t="str">
            <v>4류 제3석유류(수용성)</v>
          </cell>
          <cell r="E2216" t="str">
            <v>4000리터</v>
          </cell>
          <cell r="F2216">
            <v>2735</v>
          </cell>
        </row>
        <row r="2217">
          <cell r="B2217" t="str">
            <v>111-46-6</v>
          </cell>
          <cell r="C2217" t="str">
            <v>디에틸렌글리콜</v>
          </cell>
          <cell r="D2217" t="str">
            <v>4류 제3석유류(수용성)</v>
          </cell>
          <cell r="E2217" t="str">
            <v>4000리터</v>
          </cell>
          <cell r="F2217" t="str">
            <v/>
          </cell>
        </row>
        <row r="2218">
          <cell r="B2218" t="str">
            <v>111-48-8</v>
          </cell>
          <cell r="C2218" t="str">
            <v>티오디글리콜</v>
          </cell>
          <cell r="D2218" t="str">
            <v>4류 제3석유류(수용성)</v>
          </cell>
          <cell r="E2218" t="str">
            <v>4000리터</v>
          </cell>
          <cell r="F2218" t="str">
            <v/>
          </cell>
        </row>
        <row r="2219">
          <cell r="B2219" t="str">
            <v>111-90-0</v>
          </cell>
          <cell r="C2219" t="str">
            <v>에틸디글리콜</v>
          </cell>
          <cell r="D2219" t="str">
            <v>4류 제3석유류(수용성)</v>
          </cell>
          <cell r="E2219" t="str">
            <v>4000리터</v>
          </cell>
          <cell r="F2219" t="str">
            <v/>
          </cell>
        </row>
        <row r="2220">
          <cell r="B2220" t="str">
            <v>111-94-4</v>
          </cell>
          <cell r="C2220" t="str">
            <v>3-3' 이미노디프로피오니트릴</v>
          </cell>
          <cell r="D2220" t="str">
            <v>4류 제3석유류(수용성)</v>
          </cell>
          <cell r="E2220" t="str">
            <v>4000리터</v>
          </cell>
          <cell r="F2220" t="str">
            <v/>
          </cell>
        </row>
        <row r="2221">
          <cell r="B2221" t="str">
            <v>112-15-2</v>
          </cell>
          <cell r="C2221" t="str">
            <v>디에틸렌 글리콜 모노에틸 에테르 아세...</v>
          </cell>
          <cell r="D2221" t="str">
            <v>4류 제3석유류(수용성)</v>
          </cell>
          <cell r="E2221" t="str">
            <v>4000리터</v>
          </cell>
          <cell r="F2221" t="str">
            <v/>
          </cell>
        </row>
        <row r="2222">
          <cell r="B2222" t="str">
            <v>112-24-3</v>
          </cell>
          <cell r="C2222" t="str">
            <v>트리에틸렌테트라민</v>
          </cell>
          <cell r="D2222" t="str">
            <v>4류 제3석유류(수용성)</v>
          </cell>
          <cell r="E2222" t="str">
            <v>4000리터</v>
          </cell>
          <cell r="F2222">
            <v>2259</v>
          </cell>
        </row>
        <row r="2223">
          <cell r="B2223" t="str">
            <v>112-27-6</v>
          </cell>
          <cell r="C2223" t="str">
            <v>트리에틸렌글리콜</v>
          </cell>
          <cell r="D2223" t="str">
            <v>4류 제3석유류(수용성)</v>
          </cell>
          <cell r="E2223" t="str">
            <v>4000리터</v>
          </cell>
          <cell r="F2223" t="str">
            <v/>
          </cell>
        </row>
        <row r="2224">
          <cell r="B2224" t="str">
            <v>112-34-5</v>
          </cell>
          <cell r="C2224" t="str">
            <v>부틸글리콜</v>
          </cell>
          <cell r="D2224" t="str">
            <v>4류 제3석유류(수용성)</v>
          </cell>
          <cell r="E2224" t="str">
            <v>4000리터</v>
          </cell>
          <cell r="F2224" t="str">
            <v/>
          </cell>
        </row>
        <row r="2225">
          <cell r="B2225" t="str">
            <v>112-57-2</v>
          </cell>
          <cell r="C2225" t="str">
            <v>테트라에틸렌펜타민</v>
          </cell>
          <cell r="D2225" t="str">
            <v>4류 제3석유류(수용성)</v>
          </cell>
          <cell r="E2225" t="str">
            <v>4000리터</v>
          </cell>
          <cell r="F2225">
            <v>2320</v>
          </cell>
        </row>
        <row r="2226">
          <cell r="B2226" t="str">
            <v>112-59-4</v>
          </cell>
          <cell r="C2226" t="str">
            <v>디에틸렌글리콜모노노르말헥실에테르</v>
          </cell>
          <cell r="D2226" t="str">
            <v>4류 제3석유류(수용성)</v>
          </cell>
          <cell r="E2226" t="str">
            <v>4000리터</v>
          </cell>
          <cell r="F2226" t="str">
            <v/>
          </cell>
        </row>
        <row r="2227">
          <cell r="B2227" t="str">
            <v>112-80-1</v>
          </cell>
          <cell r="C2227" t="str">
            <v>올레인산</v>
          </cell>
          <cell r="D2227" t="str">
            <v>4류 제3석유류(수용성)</v>
          </cell>
          <cell r="E2227" t="str">
            <v>4000리터</v>
          </cell>
          <cell r="F2227" t="str">
            <v/>
          </cell>
        </row>
        <row r="2228">
          <cell r="B2228" t="str">
            <v>123-00-2</v>
          </cell>
          <cell r="C2228" t="str">
            <v>N-(3-아미노프로필)몰포린</v>
          </cell>
          <cell r="D2228" t="str">
            <v>4류 제3석유류(수용성)</v>
          </cell>
          <cell r="E2228" t="str">
            <v>4000리터</v>
          </cell>
          <cell r="F2228">
            <v>2735</v>
          </cell>
        </row>
        <row r="2229">
          <cell r="B2229" t="str">
            <v>123-39-7</v>
          </cell>
          <cell r="C2229" t="str">
            <v>노르말메틸포름아미드</v>
          </cell>
          <cell r="D2229" t="str">
            <v>4류 제3석유류(수용성)</v>
          </cell>
          <cell r="E2229" t="str">
            <v>4000리터</v>
          </cell>
          <cell r="F2229" t="str">
            <v/>
          </cell>
        </row>
        <row r="2230">
          <cell r="B2230" t="str">
            <v>127-17-3</v>
          </cell>
          <cell r="C2230" t="str">
            <v>피루브산</v>
          </cell>
          <cell r="D2230" t="str">
            <v>4류 제3석유류(수용성)</v>
          </cell>
          <cell r="E2230" t="str">
            <v>4000리터</v>
          </cell>
          <cell r="F2230">
            <v>3265</v>
          </cell>
        </row>
        <row r="2231">
          <cell r="B2231" t="str">
            <v>12789-45-6</v>
          </cell>
          <cell r="C2231" t="str">
            <v>메틸액시드포스페이트</v>
          </cell>
          <cell r="D2231" t="str">
            <v>4류 제3석유류(수용성)</v>
          </cell>
          <cell r="E2231" t="str">
            <v>4000리터</v>
          </cell>
          <cell r="F2231">
            <v>1760</v>
          </cell>
        </row>
        <row r="2232">
          <cell r="B2232" t="str">
            <v>137-00-8</v>
          </cell>
          <cell r="C2232" t="str">
            <v>4-메틸-5-(2`-하이드록시에틸)티...</v>
          </cell>
          <cell r="D2232" t="str">
            <v>4류 제3석유류(수용성)</v>
          </cell>
          <cell r="E2232" t="str">
            <v>4000리터</v>
          </cell>
          <cell r="F2232" t="str">
            <v/>
          </cell>
        </row>
        <row r="2233">
          <cell r="B2233" t="str">
            <v>140-31-8</v>
          </cell>
          <cell r="C2233" t="str">
            <v>1-(2-아미노에틸)피페라진</v>
          </cell>
          <cell r="D2233" t="str">
            <v>4류 제3석유류(수용성)</v>
          </cell>
          <cell r="E2233" t="str">
            <v>4000리터</v>
          </cell>
          <cell r="F2233">
            <v>2815</v>
          </cell>
        </row>
        <row r="2234">
          <cell r="B2234" t="str">
            <v>141-43-5</v>
          </cell>
          <cell r="C2234" t="str">
            <v>에탄올아민</v>
          </cell>
          <cell r="D2234" t="str">
            <v>4류 제3석유류(수용성)</v>
          </cell>
          <cell r="E2234" t="str">
            <v>4000리터</v>
          </cell>
          <cell r="F2234">
            <v>2491</v>
          </cell>
        </row>
        <row r="2235">
          <cell r="B2235" t="str">
            <v>16215-21-7</v>
          </cell>
          <cell r="C2235" t="str">
            <v>β-메르캅토프로피온산 3-메톡시부틸</v>
          </cell>
          <cell r="D2235" t="str">
            <v>4류 제3석유류(수용성)</v>
          </cell>
          <cell r="E2235" t="str">
            <v>4000리터</v>
          </cell>
          <cell r="F2235" t="str">
            <v/>
          </cell>
        </row>
        <row r="2236">
          <cell r="B2236" t="str">
            <v>2026-48-4</v>
          </cell>
          <cell r="C2236" t="str">
            <v>L-발리놀</v>
          </cell>
          <cell r="D2236" t="str">
            <v>4류 제3석유류(수용성)</v>
          </cell>
          <cell r="E2236" t="str">
            <v>4000리터</v>
          </cell>
          <cell r="F2236" t="str">
            <v/>
          </cell>
        </row>
        <row r="2237">
          <cell r="B2237" t="str">
            <v>2224-15-9</v>
          </cell>
          <cell r="C2237" t="str">
            <v>에틸렌글리콜디글리시틸에테르</v>
          </cell>
          <cell r="D2237" t="str">
            <v>4류 제3석유류(수용성)</v>
          </cell>
          <cell r="E2237" t="str">
            <v>4000리터</v>
          </cell>
          <cell r="F2237" t="str">
            <v/>
          </cell>
        </row>
        <row r="2238">
          <cell r="B2238" t="str">
            <v>2240-41-7</v>
          </cell>
          <cell r="C2238" t="str">
            <v>페닐포스폰산디메틸</v>
          </cell>
          <cell r="D2238" t="str">
            <v>4류 제3석유류(수용성)</v>
          </cell>
          <cell r="E2238" t="str">
            <v>4000리터</v>
          </cell>
          <cell r="F2238" t="str">
            <v/>
          </cell>
        </row>
        <row r="2239">
          <cell r="B2239" t="str">
            <v>22990-77-8</v>
          </cell>
          <cell r="C2239" t="str">
            <v>2-(아미노메틸)피페리딘</v>
          </cell>
          <cell r="D2239" t="str">
            <v>4류 제3석유류(수용성)</v>
          </cell>
          <cell r="E2239" t="str">
            <v>4000리터</v>
          </cell>
          <cell r="F2239">
            <v>2735</v>
          </cell>
        </row>
        <row r="2240">
          <cell r="B2240" t="str">
            <v>23356-96-9</v>
          </cell>
          <cell r="C2240" t="str">
            <v>L-프롤리놀</v>
          </cell>
          <cell r="D2240" t="str">
            <v>4류 제3석유류(수용성)</v>
          </cell>
          <cell r="E2240" t="str">
            <v>4000리터</v>
          </cell>
          <cell r="F2240" t="str">
            <v/>
          </cell>
        </row>
        <row r="2241">
          <cell r="B2241" t="str">
            <v>2478-10-6</v>
          </cell>
          <cell r="C2241" t="str">
            <v>아크릴산 4-하이드록시부틸</v>
          </cell>
          <cell r="D2241" t="str">
            <v>4류 제3석유류(수용성)</v>
          </cell>
          <cell r="E2241" t="str">
            <v>4000리터</v>
          </cell>
          <cell r="F2241" t="str">
            <v/>
          </cell>
        </row>
        <row r="2242">
          <cell r="B2242" t="str">
            <v>24800-44-0</v>
          </cell>
          <cell r="C2242" t="str">
            <v>트리프로필렌글리콜</v>
          </cell>
          <cell r="D2242" t="str">
            <v>4류 제3석유류(수용성)</v>
          </cell>
          <cell r="E2242" t="str">
            <v>4000리터</v>
          </cell>
          <cell r="F2242" t="str">
            <v/>
          </cell>
        </row>
        <row r="2243">
          <cell r="B2243" t="str">
            <v>25265-71-8</v>
          </cell>
          <cell r="C2243" t="str">
            <v>디프로필렌 글리콜</v>
          </cell>
          <cell r="D2243" t="str">
            <v>4류 제3석유류(수용성)</v>
          </cell>
          <cell r="E2243" t="str">
            <v>4000리터</v>
          </cell>
          <cell r="F2243" t="str">
            <v/>
          </cell>
        </row>
        <row r="2244">
          <cell r="B2244" t="str">
            <v>2568-33-4</v>
          </cell>
          <cell r="C2244" t="str">
            <v>이소프렌글리콜</v>
          </cell>
          <cell r="D2244" t="str">
            <v>4류 제3석유류(수용성)</v>
          </cell>
          <cell r="E2244" t="str">
            <v>4000리터</v>
          </cell>
          <cell r="F2244" t="str">
            <v/>
          </cell>
        </row>
        <row r="2245">
          <cell r="B2245" t="str">
            <v>35320-23-1</v>
          </cell>
          <cell r="C2245" t="str">
            <v>D-알라니놀</v>
          </cell>
          <cell r="D2245" t="str">
            <v>4류 제3석유류(수용성)</v>
          </cell>
          <cell r="E2245" t="str">
            <v>4000리터</v>
          </cell>
          <cell r="F2245" t="str">
            <v/>
          </cell>
        </row>
        <row r="2246">
          <cell r="B2246" t="str">
            <v>3644-11-9</v>
          </cell>
          <cell r="C2246" t="str">
            <v>N-메톡시메틸아크릴아미드</v>
          </cell>
          <cell r="D2246" t="str">
            <v>4류 제3석유류(수용성)</v>
          </cell>
          <cell r="E2246" t="str">
            <v>4000리터</v>
          </cell>
          <cell r="F2246">
            <v>2074</v>
          </cell>
        </row>
        <row r="2247">
          <cell r="B2247" t="str">
            <v>372-20-3</v>
          </cell>
          <cell r="C2247" t="str">
            <v>플로로페놀</v>
          </cell>
          <cell r="D2247" t="str">
            <v>4류 제3석유류(수용성)</v>
          </cell>
          <cell r="E2247" t="str">
            <v>4000리터</v>
          </cell>
          <cell r="F2247">
            <v>2810</v>
          </cell>
        </row>
        <row r="2248">
          <cell r="B2248" t="str">
            <v>3845-76-9</v>
          </cell>
          <cell r="C2248" t="str">
            <v>N-[3(디메틸아미노)프로필]아크릴아...</v>
          </cell>
          <cell r="D2248" t="str">
            <v>4류 제3석유류(수용성)</v>
          </cell>
          <cell r="E2248" t="str">
            <v>4000리터</v>
          </cell>
          <cell r="F2248" t="str">
            <v/>
          </cell>
        </row>
        <row r="2249">
          <cell r="B2249" t="str">
            <v>4067-16-7</v>
          </cell>
          <cell r="C2249" t="str">
            <v>펜타에틸렌헥사민</v>
          </cell>
          <cell r="D2249" t="str">
            <v>4류 제3석유류(수용성)</v>
          </cell>
          <cell r="E2249" t="str">
            <v>4000리터</v>
          </cell>
          <cell r="F2249">
            <v>2735</v>
          </cell>
        </row>
        <row r="2250">
          <cell r="B2250" t="str">
            <v>4276-09-9</v>
          </cell>
          <cell r="C2250" t="str">
            <v>D-발리놀</v>
          </cell>
          <cell r="D2250" t="str">
            <v>4류 제3석유류(수용성)</v>
          </cell>
          <cell r="E2250" t="str">
            <v>4000리터</v>
          </cell>
          <cell r="F2250" t="str">
            <v/>
          </cell>
        </row>
        <row r="2251">
          <cell r="B2251" t="str">
            <v>4457-71-0</v>
          </cell>
          <cell r="C2251" t="str">
            <v>3-메틸-1,5-펜탄디올</v>
          </cell>
          <cell r="D2251" t="str">
            <v>4류 제3석유류(수용성)</v>
          </cell>
          <cell r="E2251" t="str">
            <v>4000리터</v>
          </cell>
          <cell r="F2251" t="str">
            <v/>
          </cell>
        </row>
        <row r="2252">
          <cell r="B2252" t="str">
            <v>50-00-0</v>
          </cell>
          <cell r="C2252" t="str">
            <v>포름알데히드 수용액</v>
          </cell>
          <cell r="D2252" t="str">
            <v>4류 제3석유류(수용성)</v>
          </cell>
          <cell r="E2252" t="str">
            <v>4000리터</v>
          </cell>
          <cell r="F2252" t="str">
            <v/>
          </cell>
        </row>
        <row r="2253">
          <cell r="B2253" t="str">
            <v>5117-12-4</v>
          </cell>
          <cell r="C2253" t="str">
            <v>아크릴로일 몰포린</v>
          </cell>
          <cell r="D2253" t="str">
            <v>4류 제3석유류(수용성)</v>
          </cell>
          <cell r="E2253" t="str">
            <v>4000리터</v>
          </cell>
          <cell r="F2253" t="str">
            <v/>
          </cell>
        </row>
        <row r="2254">
          <cell r="B2254" t="str">
            <v>515-69-5</v>
          </cell>
          <cell r="C2254" t="str">
            <v>비사보롤</v>
          </cell>
          <cell r="D2254" t="str">
            <v>4류 제3석유류(수용성)</v>
          </cell>
          <cell r="E2254" t="str">
            <v>4000리터</v>
          </cell>
          <cell r="F2254" t="str">
            <v/>
          </cell>
        </row>
        <row r="2255">
          <cell r="B2255" t="str">
            <v>5205-93-6</v>
          </cell>
          <cell r="C2255" t="str">
            <v>N-[3(디메틸아미노)프로필]메타크릴...</v>
          </cell>
          <cell r="D2255" t="str">
            <v>4류 제3석유류(수용성)</v>
          </cell>
          <cell r="E2255" t="str">
            <v>4000리터</v>
          </cell>
          <cell r="F2255" t="str">
            <v/>
          </cell>
        </row>
        <row r="2256">
          <cell r="B2256" t="str">
            <v>556-52-5</v>
          </cell>
          <cell r="C2256" t="str">
            <v>글리시돌</v>
          </cell>
          <cell r="D2256" t="str">
            <v>4류 제3석유류(수용성)</v>
          </cell>
          <cell r="E2256" t="str">
            <v>4000리터</v>
          </cell>
          <cell r="F2256">
            <v>2810</v>
          </cell>
        </row>
        <row r="2257">
          <cell r="B2257" t="str">
            <v>56-18-8</v>
          </cell>
          <cell r="C2257" t="str">
            <v>3,3'-이미노비스(프로필아민)</v>
          </cell>
          <cell r="D2257" t="str">
            <v>4류 제3석유류(수용성)</v>
          </cell>
          <cell r="E2257" t="str">
            <v>4000리터</v>
          </cell>
          <cell r="F2257">
            <v>2269</v>
          </cell>
        </row>
        <row r="2258">
          <cell r="B2258" t="str">
            <v>56-81-5</v>
          </cell>
          <cell r="C2258" t="str">
            <v>글리세린</v>
          </cell>
          <cell r="D2258" t="str">
            <v>4류 제3석유류(수용성)</v>
          </cell>
          <cell r="E2258" t="str">
            <v>4000리터</v>
          </cell>
          <cell r="F2258" t="str">
            <v/>
          </cell>
        </row>
        <row r="2259">
          <cell r="B2259" t="str">
            <v>57-55-6</v>
          </cell>
          <cell r="C2259" t="str">
            <v>프로필렌 글리콜</v>
          </cell>
          <cell r="D2259" t="str">
            <v>4류 제3석유류(수용성)</v>
          </cell>
          <cell r="E2259" t="str">
            <v>4000리터</v>
          </cell>
          <cell r="F2259" t="str">
            <v/>
          </cell>
        </row>
        <row r="2260">
          <cell r="B2260" t="str">
            <v>586-98-1</v>
          </cell>
          <cell r="C2260" t="str">
            <v>2-피리딘 메탄올</v>
          </cell>
          <cell r="D2260" t="str">
            <v>4류 제3석유류(수용성)</v>
          </cell>
          <cell r="E2260" t="str">
            <v>4000리터</v>
          </cell>
          <cell r="F2260" t="str">
            <v/>
          </cell>
        </row>
        <row r="2261">
          <cell r="B2261" t="str">
            <v>60-24-2</v>
          </cell>
          <cell r="C2261" t="str">
            <v>2-메르캅토에탄올</v>
          </cell>
          <cell r="D2261" t="str">
            <v>4류 제3석유류(수용성)</v>
          </cell>
          <cell r="E2261" t="str">
            <v>4000리터</v>
          </cell>
          <cell r="F2261">
            <v>2966</v>
          </cell>
        </row>
        <row r="2262">
          <cell r="B2262" t="str">
            <v>620-17-7</v>
          </cell>
          <cell r="C2262" t="str">
            <v>에틸페놀(3-)</v>
          </cell>
          <cell r="D2262" t="str">
            <v>4류 제3석유류(수용성)</v>
          </cell>
          <cell r="E2262" t="str">
            <v>4000리터</v>
          </cell>
          <cell r="F2262">
            <v>3145</v>
          </cell>
        </row>
        <row r="2263">
          <cell r="B2263" t="str">
            <v>625-45-6</v>
          </cell>
          <cell r="C2263" t="str">
            <v>메톡시초산</v>
          </cell>
          <cell r="D2263" t="str">
            <v>4류 제3석유류(수용성)</v>
          </cell>
          <cell r="E2263" t="str">
            <v>4000리터</v>
          </cell>
          <cell r="F2263">
            <v>1760</v>
          </cell>
        </row>
        <row r="2264">
          <cell r="B2264" t="str">
            <v>627-30-5</v>
          </cell>
          <cell r="C2264" t="str">
            <v>3-클로로-1-프로판올</v>
          </cell>
          <cell r="D2264" t="str">
            <v>4류 제3석유류(수용성)</v>
          </cell>
          <cell r="E2264" t="str">
            <v>4000리터</v>
          </cell>
          <cell r="F2264">
            <v>2849</v>
          </cell>
        </row>
        <row r="2265">
          <cell r="B2265" t="str">
            <v>628-89-7</v>
          </cell>
          <cell r="C2265" t="str">
            <v>2-(2-클로로에톡시)에탄올</v>
          </cell>
          <cell r="D2265" t="str">
            <v>4류 제3석유류(수용성)</v>
          </cell>
          <cell r="E2265" t="str">
            <v>4000리터</v>
          </cell>
          <cell r="F2265" t="str">
            <v/>
          </cell>
        </row>
        <row r="2266">
          <cell r="B2266" t="str">
            <v>62961-64-2</v>
          </cell>
          <cell r="C2266" t="str">
            <v>(-)-D-주석산 디이소프로필</v>
          </cell>
          <cell r="D2266" t="str">
            <v>4류 제3석유류(수용성)</v>
          </cell>
          <cell r="E2266" t="str">
            <v>4000리터</v>
          </cell>
          <cell r="F2266" t="str">
            <v/>
          </cell>
        </row>
        <row r="2267">
          <cell r="B2267" t="str">
            <v>64-04-0</v>
          </cell>
          <cell r="C2267" t="str">
            <v>펜에틸아민</v>
          </cell>
          <cell r="D2267" t="str">
            <v>4류 제3석유류(수용성)</v>
          </cell>
          <cell r="E2267" t="str">
            <v>4000리터</v>
          </cell>
          <cell r="F2267">
            <v>2922</v>
          </cell>
        </row>
        <row r="2268">
          <cell r="B2268" t="str">
            <v>6674-22-2</v>
          </cell>
          <cell r="C2268" t="str">
            <v>1,8-디아자비사이클로[5.4.0]운...</v>
          </cell>
          <cell r="D2268" t="str">
            <v>4류 제3석유류(수용성)</v>
          </cell>
          <cell r="E2268" t="str">
            <v>4000리터</v>
          </cell>
          <cell r="F2268">
            <v>3267</v>
          </cell>
        </row>
        <row r="2269">
          <cell r="B2269" t="str">
            <v>67-68-5</v>
          </cell>
          <cell r="C2269" t="str">
            <v>디메틸설폭사이드</v>
          </cell>
          <cell r="D2269" t="str">
            <v>4류 제3석유류(수용성)</v>
          </cell>
          <cell r="E2269" t="str">
            <v>4000리터</v>
          </cell>
          <cell r="F2269">
            <v>1993</v>
          </cell>
        </row>
        <row r="2270">
          <cell r="B2270" t="str">
            <v>68-11-1</v>
          </cell>
          <cell r="C2270" t="str">
            <v>티오글리콜산</v>
          </cell>
          <cell r="D2270" t="str">
            <v>4류 제3석유류(수용성)</v>
          </cell>
          <cell r="E2270" t="str">
            <v>4000리터</v>
          </cell>
          <cell r="F2270">
            <v>1940</v>
          </cell>
        </row>
        <row r="2271">
          <cell r="B2271" t="str">
            <v>68832-13-3</v>
          </cell>
          <cell r="C2271" t="str">
            <v>D-프롤리놀</v>
          </cell>
          <cell r="D2271" t="str">
            <v>4류 제3석유류(수용성)</v>
          </cell>
          <cell r="E2271" t="str">
            <v>4000리터</v>
          </cell>
          <cell r="F2271" t="str">
            <v/>
          </cell>
        </row>
        <row r="2272">
          <cell r="B2272" t="str">
            <v>7209-38-3</v>
          </cell>
          <cell r="C2272" t="str">
            <v>비스(아미노프로필)피페라진</v>
          </cell>
          <cell r="D2272" t="str">
            <v>4류 제3석유류(수용성)</v>
          </cell>
          <cell r="E2272" t="str">
            <v>4000리터</v>
          </cell>
          <cell r="F2272">
            <v>2735</v>
          </cell>
        </row>
        <row r="2273">
          <cell r="B2273" t="str">
            <v>74563-64-7</v>
          </cell>
          <cell r="C2273" t="str">
            <v>피탄트리올</v>
          </cell>
          <cell r="D2273" t="str">
            <v>4류 제3석유류(수용성)</v>
          </cell>
          <cell r="E2273" t="str">
            <v>4000리터</v>
          </cell>
          <cell r="F2273" t="str">
            <v/>
          </cell>
        </row>
        <row r="2274">
          <cell r="B2274" t="str">
            <v>75-86-5</v>
          </cell>
          <cell r="C2274" t="str">
            <v>아세톤시아노히드린</v>
          </cell>
          <cell r="D2274" t="str">
            <v>4류 제3석유류(수용성)</v>
          </cell>
          <cell r="E2274" t="str">
            <v>4000리터</v>
          </cell>
          <cell r="F2274">
            <v>1541</v>
          </cell>
        </row>
        <row r="2275">
          <cell r="B2275" t="str">
            <v>762-04-9</v>
          </cell>
          <cell r="C2275" t="str">
            <v>디에틸포스파이트</v>
          </cell>
          <cell r="D2275" t="str">
            <v>4류 제3석유류(수용성)</v>
          </cell>
          <cell r="E2275" t="str">
            <v>4000리터</v>
          </cell>
          <cell r="F2275">
            <v>3334</v>
          </cell>
        </row>
        <row r="2276">
          <cell r="B2276" t="str">
            <v>7803-57-8</v>
          </cell>
          <cell r="C2276" t="str">
            <v>히드라진모노하이드레이트</v>
          </cell>
          <cell r="D2276" t="str">
            <v>4류 제3석유류(수용성)</v>
          </cell>
          <cell r="E2276" t="str">
            <v>4000리터</v>
          </cell>
          <cell r="F2276">
            <v>2030</v>
          </cell>
        </row>
        <row r="2277">
          <cell r="B2277" t="str">
            <v>78-40-0</v>
          </cell>
          <cell r="C2277" t="str">
            <v>트리에틸인산염</v>
          </cell>
          <cell r="D2277" t="str">
            <v>4류 제3석유류(수용성)</v>
          </cell>
          <cell r="E2277" t="str">
            <v>4000리터</v>
          </cell>
          <cell r="F2277" t="str">
            <v/>
          </cell>
        </row>
        <row r="2278">
          <cell r="B2278" t="str">
            <v>78-96-6</v>
          </cell>
          <cell r="C2278" t="str">
            <v>이소프로판올아민</v>
          </cell>
          <cell r="D2278" t="str">
            <v>4류 제3석유류(수용성)</v>
          </cell>
          <cell r="E2278" t="str">
            <v>4000리터</v>
          </cell>
          <cell r="F2278">
            <v>2735</v>
          </cell>
        </row>
        <row r="2279">
          <cell r="B2279" t="str">
            <v>79-41-4</v>
          </cell>
          <cell r="C2279" t="str">
            <v>메타크릴산</v>
          </cell>
          <cell r="D2279" t="str">
            <v>4류 제3석유류(수용성)</v>
          </cell>
          <cell r="E2279" t="str">
            <v>4000리터</v>
          </cell>
          <cell r="F2279">
            <v>2531</v>
          </cell>
        </row>
        <row r="2280">
          <cell r="B2280" t="str">
            <v>80-73-9</v>
          </cell>
          <cell r="C2280" t="str">
            <v>1,3-디메틸-2-이미다졸리디논</v>
          </cell>
          <cell r="D2280" t="str">
            <v>4류 제3석유류(수용성)</v>
          </cell>
          <cell r="E2280" t="str">
            <v>4000리터</v>
          </cell>
          <cell r="F2280">
            <v>2810</v>
          </cell>
        </row>
        <row r="2281">
          <cell r="B2281" t="str">
            <v>818-61-1</v>
          </cell>
          <cell r="C2281" t="str">
            <v>아크릴산2-히드록시에틸에스테르</v>
          </cell>
          <cell r="D2281" t="str">
            <v>4류 제3석유류(수용성)</v>
          </cell>
          <cell r="E2281" t="str">
            <v>4000리터</v>
          </cell>
          <cell r="F2281">
            <v>2922</v>
          </cell>
        </row>
        <row r="2282">
          <cell r="B2282" t="str">
            <v>828-27-3</v>
          </cell>
          <cell r="C2282" t="str">
            <v>트리메톡시-4페놀</v>
          </cell>
          <cell r="D2282" t="str">
            <v>4류 제3석유류(수용성)</v>
          </cell>
          <cell r="E2282" t="str">
            <v>4000리터</v>
          </cell>
          <cell r="F2282" t="str">
            <v/>
          </cell>
        </row>
        <row r="2283">
          <cell r="B2283" t="str">
            <v>868-77-9</v>
          </cell>
          <cell r="C2283" t="str">
            <v>메타크릴산-2-하이드록시에틸</v>
          </cell>
          <cell r="D2283" t="str">
            <v>4류 제3석유류(수용성)</v>
          </cell>
          <cell r="E2283" t="str">
            <v>4000리터</v>
          </cell>
          <cell r="F2283" t="str">
            <v/>
          </cell>
        </row>
        <row r="2284">
          <cell r="B2284" t="str">
            <v>872-50-4</v>
          </cell>
          <cell r="C2284" t="str">
            <v>N-메틸-2-피롤리돈</v>
          </cell>
          <cell r="D2284" t="str">
            <v>4류 제3석유류(수용성)</v>
          </cell>
          <cell r="E2284" t="str">
            <v>4000리터</v>
          </cell>
          <cell r="F2284" t="str">
            <v/>
          </cell>
        </row>
        <row r="2285">
          <cell r="B2285" t="str">
            <v>88-69-7</v>
          </cell>
          <cell r="C2285" t="str">
            <v>이소프로필페놀</v>
          </cell>
          <cell r="D2285" t="str">
            <v>4류 제3석유류(수용성)</v>
          </cell>
          <cell r="E2285" t="str">
            <v>4000리터</v>
          </cell>
          <cell r="F2285">
            <v>3145</v>
          </cell>
        </row>
        <row r="2286">
          <cell r="B2286" t="str">
            <v>90-00-6</v>
          </cell>
          <cell r="C2286" t="str">
            <v>에틸페놀(2-)</v>
          </cell>
          <cell r="D2286" t="str">
            <v>4류 제3석유류(수용성)</v>
          </cell>
          <cell r="E2286" t="str">
            <v>4000리터</v>
          </cell>
          <cell r="F2286">
            <v>3145</v>
          </cell>
        </row>
        <row r="2287">
          <cell r="B2287" t="str">
            <v>90-72-2</v>
          </cell>
          <cell r="C2287" t="str">
            <v>2,4,6-트리스(디메틸아미노메틸)페...</v>
          </cell>
          <cell r="D2287" t="str">
            <v>4류 제3석유류(수용성)</v>
          </cell>
          <cell r="E2287" t="str">
            <v>4000리터</v>
          </cell>
          <cell r="F2287">
            <v>2735</v>
          </cell>
        </row>
        <row r="2288">
          <cell r="B2288" t="str">
            <v>96-24-2</v>
          </cell>
          <cell r="C2288" t="str">
            <v>글리세롤 α-모노클로로히드린</v>
          </cell>
          <cell r="D2288" t="str">
            <v>4류 제3석유류(수용성)</v>
          </cell>
          <cell r="E2288" t="str">
            <v>4000리터</v>
          </cell>
          <cell r="F2288">
            <v>2689</v>
          </cell>
        </row>
        <row r="2289">
          <cell r="B2289" t="str">
            <v>96-27-5</v>
          </cell>
          <cell r="C2289" t="str">
            <v>1-티오클리세롤</v>
          </cell>
          <cell r="D2289" t="str">
            <v>4류 제3석유류(수용성)</v>
          </cell>
          <cell r="E2289" t="str">
            <v>4000리터</v>
          </cell>
          <cell r="F2289" t="str">
            <v/>
          </cell>
        </row>
        <row r="2290">
          <cell r="B2290" t="str">
            <v>96-48-0</v>
          </cell>
          <cell r="C2290" t="str">
            <v>γ-부틸올락톤</v>
          </cell>
          <cell r="D2290" t="str">
            <v>4류 제3석유류(수용성)</v>
          </cell>
          <cell r="E2290" t="str">
            <v>4000리터</v>
          </cell>
          <cell r="F2290" t="str">
            <v/>
          </cell>
        </row>
        <row r="2291">
          <cell r="B2291" t="str">
            <v>98-00-0</v>
          </cell>
          <cell r="C2291" t="str">
            <v>푸르푸릴알코올</v>
          </cell>
          <cell r="D2291" t="str">
            <v>4류 제3석유류(수용성)</v>
          </cell>
          <cell r="E2291" t="str">
            <v>4000리터</v>
          </cell>
          <cell r="F2291" t="str">
            <v/>
          </cell>
        </row>
        <row r="2292">
          <cell r="B2292" t="str">
            <v>101-02-0</v>
          </cell>
          <cell r="C2292" t="str">
            <v>트리페닐 포스파이트</v>
          </cell>
          <cell r="D2292" t="str">
            <v>4류 제4석유류</v>
          </cell>
          <cell r="E2292" t="str">
            <v>6000리터</v>
          </cell>
          <cell r="F2292">
            <v>3077</v>
          </cell>
        </row>
        <row r="2293">
          <cell r="B2293" t="str">
            <v>101-68-8</v>
          </cell>
          <cell r="C2293" t="str">
            <v>4,4′-메틸렌 비스(페닐 이소시아네...</v>
          </cell>
          <cell r="D2293" t="str">
            <v>4류 제4석유류</v>
          </cell>
          <cell r="E2293" t="str">
            <v>6000리터</v>
          </cell>
          <cell r="F2293">
            <v>2811</v>
          </cell>
        </row>
        <row r="2294">
          <cell r="B2294" t="str">
            <v>103-23-1</v>
          </cell>
          <cell r="C2294" t="str">
            <v>DOA</v>
          </cell>
          <cell r="D2294" t="str">
            <v>4류 제4석유류</v>
          </cell>
          <cell r="E2294" t="str">
            <v>6000리터</v>
          </cell>
          <cell r="F2294" t="str">
            <v/>
          </cell>
        </row>
        <row r="2295">
          <cell r="B2295" t="str">
            <v>103-24-2</v>
          </cell>
          <cell r="C2295" t="str">
            <v>DOZ</v>
          </cell>
          <cell r="D2295" t="str">
            <v>4류 제4석유류</v>
          </cell>
          <cell r="E2295" t="str">
            <v>6000리터</v>
          </cell>
          <cell r="F2295" t="str">
            <v/>
          </cell>
        </row>
        <row r="2296">
          <cell r="B2296" t="str">
            <v>105-95-3</v>
          </cell>
          <cell r="C2296" t="str">
            <v>에틸렌브라실레이트</v>
          </cell>
          <cell r="D2296" t="str">
            <v>4류 제4석유류</v>
          </cell>
          <cell r="E2296" t="str">
            <v>6000리터</v>
          </cell>
          <cell r="F2296" t="str">
            <v/>
          </cell>
        </row>
        <row r="2297">
          <cell r="B2297" t="str">
            <v>1077-56-1</v>
          </cell>
          <cell r="C2297" t="str">
            <v>N-에틸 o/p-톨루엔술폰아미드</v>
          </cell>
          <cell r="D2297" t="str">
            <v>4류 제4석유류</v>
          </cell>
          <cell r="E2297" t="str">
            <v>6000리터</v>
          </cell>
          <cell r="F2297" t="str">
            <v/>
          </cell>
        </row>
        <row r="2298">
          <cell r="B2298" t="str">
            <v>111-01-3</v>
          </cell>
          <cell r="C2298" t="str">
            <v>스쿠알렌</v>
          </cell>
          <cell r="D2298" t="str">
            <v>4류 제4석유류</v>
          </cell>
          <cell r="E2298" t="str">
            <v>6000리터</v>
          </cell>
          <cell r="F2298" t="str">
            <v/>
          </cell>
        </row>
        <row r="2299">
          <cell r="B2299" t="str">
            <v>112-96-9</v>
          </cell>
          <cell r="C2299" t="str">
            <v>옥타데실이소시아네이트</v>
          </cell>
          <cell r="D2299" t="str">
            <v>4류 제4석유류</v>
          </cell>
          <cell r="E2299" t="str">
            <v>6000리터</v>
          </cell>
          <cell r="F2299">
            <v>2206</v>
          </cell>
        </row>
        <row r="2300">
          <cell r="B2300" t="str">
            <v>115-88-8</v>
          </cell>
          <cell r="C2300" t="str">
            <v>옥틸디페닐 인산염</v>
          </cell>
          <cell r="D2300" t="str">
            <v>4류 제4석유류</v>
          </cell>
          <cell r="E2300" t="str">
            <v>6000리터</v>
          </cell>
          <cell r="F2300" t="str">
            <v/>
          </cell>
        </row>
        <row r="2301">
          <cell r="B2301" t="str">
            <v>115-96-8</v>
          </cell>
          <cell r="C2301" t="str">
            <v>트리(크로로에틸)인산염</v>
          </cell>
          <cell r="D2301" t="str">
            <v>4류 제4석유류</v>
          </cell>
          <cell r="E2301" t="str">
            <v>6000리터</v>
          </cell>
          <cell r="F2301" t="str">
            <v/>
          </cell>
        </row>
        <row r="2302">
          <cell r="B2302" t="str">
            <v>117-81-7</v>
          </cell>
          <cell r="C2302" t="str">
            <v>DOP</v>
          </cell>
          <cell r="D2302" t="str">
            <v>4류 제4석유류</v>
          </cell>
          <cell r="E2302" t="str">
            <v>6000리터</v>
          </cell>
          <cell r="F2302" t="str">
            <v/>
          </cell>
        </row>
        <row r="2303">
          <cell r="B2303" t="str">
            <v>122-62-3</v>
          </cell>
          <cell r="C2303" t="str">
            <v>디옥틸 세바케이트</v>
          </cell>
          <cell r="D2303" t="str">
            <v>4류 제4석유류</v>
          </cell>
          <cell r="E2303" t="str">
            <v>6000리터</v>
          </cell>
          <cell r="F2303" t="str">
            <v/>
          </cell>
        </row>
        <row r="2304">
          <cell r="B2304" t="str">
            <v>13003-12-8</v>
          </cell>
          <cell r="C2304" t="str">
            <v>4,4`-부틸리덴비스(3-메틸-6-t...</v>
          </cell>
          <cell r="D2304" t="str">
            <v>4류 제4석유류</v>
          </cell>
          <cell r="E2304" t="str">
            <v>6000리터</v>
          </cell>
          <cell r="F2304" t="str">
            <v/>
          </cell>
        </row>
        <row r="2305">
          <cell r="B2305" t="str">
            <v>1330-78-5</v>
          </cell>
          <cell r="C2305" t="str">
            <v>인산트리크레질</v>
          </cell>
          <cell r="D2305" t="str">
            <v>4류 제4석유류</v>
          </cell>
          <cell r="E2305" t="str">
            <v>6000리터</v>
          </cell>
          <cell r="F2305">
            <v>2574</v>
          </cell>
        </row>
        <row r="2306">
          <cell r="B2306" t="str">
            <v>1338-39-2</v>
          </cell>
          <cell r="C2306" t="str">
            <v>솔비탄 지방산 에스테르</v>
          </cell>
          <cell r="D2306" t="str">
            <v>4류 제4석유류</v>
          </cell>
          <cell r="E2306" t="str">
            <v>6000리터</v>
          </cell>
          <cell r="F2306" t="str">
            <v/>
          </cell>
        </row>
        <row r="2307">
          <cell r="B2307" t="str">
            <v>13674-84-5</v>
          </cell>
          <cell r="C2307" t="str">
            <v>TCPP</v>
          </cell>
          <cell r="D2307" t="str">
            <v>4류 제4석유류</v>
          </cell>
          <cell r="E2307" t="str">
            <v>6000리터</v>
          </cell>
          <cell r="F2307" t="str">
            <v/>
          </cell>
        </row>
        <row r="2308">
          <cell r="B2308" t="str">
            <v>141-17-3</v>
          </cell>
          <cell r="C2308" t="str">
            <v>비스(부틸 디글리콜)아디페이트</v>
          </cell>
          <cell r="D2308" t="str">
            <v>4류 제4석유류</v>
          </cell>
          <cell r="E2308" t="str">
            <v>6000리터</v>
          </cell>
          <cell r="F2308" t="str">
            <v/>
          </cell>
        </row>
        <row r="2309">
          <cell r="B2309" t="str">
            <v>146177-82-4</v>
          </cell>
          <cell r="C2309" t="str">
            <v>수산기 말단 액상 폴리올레핀</v>
          </cell>
          <cell r="D2309" t="str">
            <v>4류 제4석유류</v>
          </cell>
          <cell r="E2309" t="str">
            <v>6000리터</v>
          </cell>
          <cell r="F2309" t="str">
            <v/>
          </cell>
        </row>
        <row r="2310">
          <cell r="B2310" t="str">
            <v>25322-68-3</v>
          </cell>
          <cell r="C2310" t="str">
            <v>폴리에틸렌글리콜 400</v>
          </cell>
          <cell r="D2310" t="str">
            <v>4류 제4석유류</v>
          </cell>
          <cell r="E2310" t="str">
            <v>6000리터</v>
          </cell>
          <cell r="F2310" t="str">
            <v/>
          </cell>
        </row>
        <row r="2311">
          <cell r="B2311" t="str">
            <v>2550-98-5</v>
          </cell>
          <cell r="C2311" t="str">
            <v>페닐디이소데실 포스파이트</v>
          </cell>
          <cell r="D2311" t="str">
            <v>4류 제4석유류</v>
          </cell>
          <cell r="E2311" t="str">
            <v>6000리터</v>
          </cell>
          <cell r="F2311" t="str">
            <v/>
          </cell>
        </row>
        <row r="2312">
          <cell r="B2312" t="str">
            <v>26444-49-5</v>
          </cell>
          <cell r="C2312" t="str">
            <v>크레질 디페닐 포스페이트</v>
          </cell>
          <cell r="D2312" t="str">
            <v>4류 제4석유류</v>
          </cell>
          <cell r="E2312" t="str">
            <v>6000리터</v>
          </cell>
          <cell r="F2312" t="str">
            <v/>
          </cell>
        </row>
        <row r="2313">
          <cell r="B2313" t="str">
            <v>26523-78-4</v>
          </cell>
          <cell r="C2313" t="str">
            <v>트리스(노닐페닐)포스파이트</v>
          </cell>
          <cell r="D2313" t="str">
            <v>4류 제4석유류</v>
          </cell>
          <cell r="E2313" t="str">
            <v>6000리터</v>
          </cell>
          <cell r="F2313" t="str">
            <v/>
          </cell>
        </row>
        <row r="2314">
          <cell r="B2314" t="str">
            <v>26544-23-0</v>
          </cell>
          <cell r="C2314" t="str">
            <v>디페닐 이소데실 포스파이트</v>
          </cell>
          <cell r="D2314" t="str">
            <v>4류 제4석유류</v>
          </cell>
          <cell r="E2314" t="str">
            <v>6000리터</v>
          </cell>
          <cell r="F2314" t="str">
            <v/>
          </cell>
        </row>
        <row r="2315">
          <cell r="B2315" t="str">
            <v>26761-40-0</v>
          </cell>
          <cell r="C2315" t="str">
            <v>디이소도데실 프탈레이트</v>
          </cell>
          <cell r="D2315" t="str">
            <v>4류 제4석유류</v>
          </cell>
          <cell r="E2315" t="str">
            <v>6000리터</v>
          </cell>
          <cell r="F2315" t="str">
            <v/>
          </cell>
        </row>
        <row r="2316">
          <cell r="B2316" t="str">
            <v>26967-76-0</v>
          </cell>
          <cell r="C2316" t="str">
            <v>인산트리스(이소프로필페닐)</v>
          </cell>
          <cell r="D2316" t="str">
            <v>4류 제4석유류</v>
          </cell>
          <cell r="E2316" t="str">
            <v>6000리터</v>
          </cell>
          <cell r="F2316">
            <v>3007</v>
          </cell>
        </row>
        <row r="2317">
          <cell r="B2317" t="str">
            <v>27178-16-1</v>
          </cell>
          <cell r="C2317" t="str">
            <v>DIDA</v>
          </cell>
          <cell r="D2317" t="str">
            <v>4류 제4석유류</v>
          </cell>
          <cell r="E2317" t="str">
            <v>6000리터</v>
          </cell>
          <cell r="F2317" t="str">
            <v/>
          </cell>
        </row>
        <row r="2318">
          <cell r="B2318" t="str">
            <v>28553-12-0</v>
          </cell>
          <cell r="C2318" t="str">
            <v>프탈산디이소노닐</v>
          </cell>
          <cell r="D2318" t="str">
            <v>4류 제4석유류</v>
          </cell>
          <cell r="E2318" t="str">
            <v>6000리터</v>
          </cell>
          <cell r="F2318" t="str">
            <v/>
          </cell>
        </row>
        <row r="2319">
          <cell r="B2319" t="str">
            <v>298-07-7</v>
          </cell>
          <cell r="C2319" t="str">
            <v>디-2-에틸헥실인산염</v>
          </cell>
          <cell r="D2319" t="str">
            <v>4류 제4석유류</v>
          </cell>
          <cell r="E2319" t="str">
            <v>6000리터</v>
          </cell>
          <cell r="F2319">
            <v>1902</v>
          </cell>
        </row>
        <row r="2320">
          <cell r="B2320" t="str">
            <v>3232-62-0</v>
          </cell>
          <cell r="C2320" t="str">
            <v>디알릴클로렌데이트</v>
          </cell>
          <cell r="D2320" t="str">
            <v>4류 제4석유류</v>
          </cell>
          <cell r="E2320" t="str">
            <v>6000리터</v>
          </cell>
          <cell r="F2320" t="str">
            <v/>
          </cell>
        </row>
        <row r="2321">
          <cell r="B2321" t="str">
            <v>33007-83-9</v>
          </cell>
          <cell r="C2321" t="str">
            <v>트리메틸롤프로판트리스(β-티오프로피오...</v>
          </cell>
          <cell r="D2321" t="str">
            <v>4류 제4석유류</v>
          </cell>
          <cell r="E2321" t="str">
            <v>6000리터</v>
          </cell>
          <cell r="F2321" t="str">
            <v/>
          </cell>
        </row>
        <row r="2322">
          <cell r="B2322" t="str">
            <v>3524-68-3</v>
          </cell>
          <cell r="C2322" t="str">
            <v>펜타에리스리톨 트리아크릴레이트</v>
          </cell>
          <cell r="D2322" t="str">
            <v>4류 제4석유류</v>
          </cell>
          <cell r="E2322" t="str">
            <v>6000리터</v>
          </cell>
          <cell r="F2322" t="str">
            <v/>
          </cell>
        </row>
        <row r="2323">
          <cell r="B2323" t="str">
            <v>3806-34-6</v>
          </cell>
          <cell r="C2323" t="str">
            <v>사이클릭 네오펜탄테트라일비스(옥타데실...</v>
          </cell>
          <cell r="D2323" t="str">
            <v>4류 제4석유류</v>
          </cell>
          <cell r="E2323" t="str">
            <v>6000리터</v>
          </cell>
          <cell r="F2323" t="str">
            <v/>
          </cell>
        </row>
        <row r="2324">
          <cell r="B2324" t="str">
            <v>53461-82-8</v>
          </cell>
          <cell r="C2324" t="str">
            <v>함할로겐 축합 인산에스테르</v>
          </cell>
          <cell r="D2324" t="str">
            <v>4류 제4석유류</v>
          </cell>
          <cell r="E2324" t="str">
            <v>6000리터</v>
          </cell>
          <cell r="F2324" t="str">
            <v/>
          </cell>
        </row>
        <row r="2325">
          <cell r="B2325" t="str">
            <v>54771-30-1</v>
          </cell>
          <cell r="C2325" t="str">
            <v>트리스(모노 및 혹은 디노닐페닐)포스...</v>
          </cell>
          <cell r="D2325" t="str">
            <v>4류 제4석유류</v>
          </cell>
          <cell r="E2325" t="str">
            <v>6000리터</v>
          </cell>
          <cell r="F2325" t="str">
            <v/>
          </cell>
        </row>
        <row r="2326">
          <cell r="B2326" t="str">
            <v>57583-54-7</v>
          </cell>
          <cell r="C2326" t="str">
            <v>1,3-페닐렌비스(디페닐인사염)</v>
          </cell>
          <cell r="D2326" t="str">
            <v>4류 제4석유류</v>
          </cell>
          <cell r="E2326" t="str">
            <v>6000리터</v>
          </cell>
          <cell r="F2326">
            <v>3082</v>
          </cell>
        </row>
        <row r="2327">
          <cell r="B2327" t="str">
            <v>6145-73-9</v>
          </cell>
          <cell r="C2327" t="str">
            <v>트리스(2-클로로이소프로필) 인산</v>
          </cell>
          <cell r="D2327" t="str">
            <v>4류 제4석유류</v>
          </cell>
          <cell r="E2327" t="str">
            <v>6000리터</v>
          </cell>
          <cell r="F2327" t="str">
            <v/>
          </cell>
        </row>
        <row r="2328">
          <cell r="B2328" t="str">
            <v>64423-52-5</v>
          </cell>
          <cell r="C2328" t="str">
            <v>트리벤질페놀</v>
          </cell>
          <cell r="D2328" t="str">
            <v>4류 제4석유류</v>
          </cell>
          <cell r="E2328" t="str">
            <v>6000리터</v>
          </cell>
          <cell r="F2328" t="str">
            <v/>
          </cell>
        </row>
        <row r="2329">
          <cell r="B2329" t="str">
            <v>68515-48-0</v>
          </cell>
          <cell r="C2329" t="str">
            <v>프탈산디이소노닐에스테르</v>
          </cell>
          <cell r="D2329" t="str">
            <v>4류 제4석유류</v>
          </cell>
          <cell r="E2329" t="str">
            <v>6000리터</v>
          </cell>
          <cell r="F2329" t="str">
            <v/>
          </cell>
        </row>
        <row r="2330">
          <cell r="B2330" t="str">
            <v>75-75-2</v>
          </cell>
          <cell r="C2330" t="str">
            <v>메탄술폰산</v>
          </cell>
          <cell r="D2330" t="str">
            <v>4류 제4석유류</v>
          </cell>
          <cell r="E2330" t="str">
            <v>6000리터</v>
          </cell>
          <cell r="F2330">
            <v>2922</v>
          </cell>
        </row>
        <row r="2331">
          <cell r="B2331" t="str">
            <v>77-58-7</v>
          </cell>
          <cell r="C2331" t="str">
            <v>디-n-부틸틴디라우레이트</v>
          </cell>
          <cell r="D2331" t="str">
            <v>4류 제4석유류</v>
          </cell>
          <cell r="E2331" t="str">
            <v>6000리터</v>
          </cell>
          <cell r="F2331">
            <v>2922</v>
          </cell>
        </row>
        <row r="2332">
          <cell r="B2332" t="str">
            <v>77-90-7</v>
          </cell>
          <cell r="C2332" t="str">
            <v>아세틸구연산트리부틸</v>
          </cell>
          <cell r="D2332" t="str">
            <v>4류 제4석유류</v>
          </cell>
          <cell r="E2332" t="str">
            <v>6000리터</v>
          </cell>
          <cell r="F2332" t="str">
            <v/>
          </cell>
        </row>
        <row r="2333">
          <cell r="B2333" t="str">
            <v>78-42-2</v>
          </cell>
          <cell r="C2333" t="str">
            <v>트리옥틸 인산염</v>
          </cell>
          <cell r="D2333" t="str">
            <v>4류 제4석유류</v>
          </cell>
          <cell r="E2333" t="str">
            <v>6000리터</v>
          </cell>
          <cell r="F2333" t="str">
            <v/>
          </cell>
        </row>
        <row r="2334">
          <cell r="B2334" t="str">
            <v>78-43-3</v>
          </cell>
          <cell r="C2334" t="str">
            <v>트리스디클로로프로필포스페이트</v>
          </cell>
          <cell r="D2334" t="str">
            <v>4류 제4석유류</v>
          </cell>
          <cell r="E2334" t="str">
            <v>6000리터</v>
          </cell>
          <cell r="F2334" t="str">
            <v/>
          </cell>
        </row>
        <row r="2335">
          <cell r="B2335" t="str">
            <v>78-51-3</v>
          </cell>
          <cell r="C2335" t="str">
            <v>트리부톡시에틸포스페이트</v>
          </cell>
          <cell r="D2335" t="str">
            <v>4류 제4석유류</v>
          </cell>
          <cell r="E2335" t="str">
            <v>6000리터</v>
          </cell>
          <cell r="F2335" t="str">
            <v/>
          </cell>
        </row>
        <row r="2336">
          <cell r="B2336" t="str">
            <v>8012-95-1</v>
          </cell>
          <cell r="C2336" t="str">
            <v>미네랄오일</v>
          </cell>
          <cell r="D2336" t="str">
            <v>4류 제4석유류</v>
          </cell>
          <cell r="E2336" t="str">
            <v>6000리터</v>
          </cell>
          <cell r="F2336" t="str">
            <v/>
          </cell>
        </row>
        <row r="2337">
          <cell r="B2337" t="str">
            <v>85-68-7</v>
          </cell>
          <cell r="C2337" t="str">
            <v>BBP</v>
          </cell>
          <cell r="D2337" t="str">
            <v>4류 제4석유류</v>
          </cell>
          <cell r="E2337" t="str">
            <v>6000리터</v>
          </cell>
          <cell r="F2337">
            <v>3082</v>
          </cell>
        </row>
        <row r="2338">
          <cell r="B2338" t="str">
            <v>9036-19-5</v>
          </cell>
          <cell r="C2338" t="str">
            <v>옥틸페녹시폴리(에톡시에탄올)</v>
          </cell>
          <cell r="D2338" t="str">
            <v>4류 제4석유류</v>
          </cell>
          <cell r="E2338" t="str">
            <v>6000리터</v>
          </cell>
          <cell r="F2338" t="str">
            <v/>
          </cell>
        </row>
        <row r="2339">
          <cell r="B2339" t="str">
            <v>96915-50-3</v>
          </cell>
          <cell r="C2339" t="str">
            <v>카프로락톤 변성 테트라하이드로푸르푸릴...</v>
          </cell>
          <cell r="D2339" t="str">
            <v>4류 제4석유류</v>
          </cell>
          <cell r="E2339" t="str">
            <v>6000리터</v>
          </cell>
          <cell r="F2339" t="str">
            <v/>
          </cell>
        </row>
        <row r="2340">
          <cell r="B2340" t="str">
            <v>109-66-0</v>
          </cell>
          <cell r="C2340" t="str">
            <v>노르말펜탄</v>
          </cell>
          <cell r="D2340" t="str">
            <v>4류 특수인화물</v>
          </cell>
          <cell r="E2340" t="str">
            <v>50리터</v>
          </cell>
          <cell r="F2340">
            <v>1265</v>
          </cell>
        </row>
        <row r="2341">
          <cell r="B2341" t="str">
            <v>109-67-1</v>
          </cell>
          <cell r="C2341" t="str">
            <v>1-펜텐</v>
          </cell>
          <cell r="D2341" t="str">
            <v>4류 특수인화물</v>
          </cell>
          <cell r="E2341" t="str">
            <v>50리터</v>
          </cell>
          <cell r="F2341">
            <v>1108</v>
          </cell>
        </row>
        <row r="2342">
          <cell r="B2342" t="str">
            <v>109-68-2</v>
          </cell>
          <cell r="C2342" t="str">
            <v>2-펜텐</v>
          </cell>
          <cell r="D2342" t="str">
            <v>4류 특수인화물</v>
          </cell>
          <cell r="E2342" t="str">
            <v>50리터</v>
          </cell>
          <cell r="F2342">
            <v>3295</v>
          </cell>
        </row>
        <row r="2343">
          <cell r="B2343" t="str">
            <v>109-92-2</v>
          </cell>
          <cell r="C2343" t="str">
            <v>에틸비닐에테르</v>
          </cell>
          <cell r="D2343" t="str">
            <v>4류 특수인화물</v>
          </cell>
          <cell r="E2343" t="str">
            <v>50리터</v>
          </cell>
          <cell r="F2343">
            <v>1302</v>
          </cell>
        </row>
        <row r="2344">
          <cell r="B2344" t="str">
            <v>503-17-3</v>
          </cell>
          <cell r="C2344" t="str">
            <v>2-부틴</v>
          </cell>
          <cell r="D2344" t="str">
            <v>4류 특수인화물</v>
          </cell>
          <cell r="E2344" t="str">
            <v>50리터</v>
          </cell>
          <cell r="F2344">
            <v>1144</v>
          </cell>
        </row>
        <row r="2345">
          <cell r="B2345" t="str">
            <v>513-35-9</v>
          </cell>
          <cell r="C2345" t="str">
            <v>아밀렌</v>
          </cell>
          <cell r="D2345" t="str">
            <v>4류 특수인화물</v>
          </cell>
          <cell r="E2345" t="str">
            <v>50리터</v>
          </cell>
          <cell r="F2345">
            <v>2460</v>
          </cell>
        </row>
        <row r="2346">
          <cell r="B2346" t="str">
            <v>557-98-2</v>
          </cell>
          <cell r="C2346" t="str">
            <v>클로로(2-)-1-프로펜</v>
          </cell>
          <cell r="D2346" t="str">
            <v>4류 특수인화물</v>
          </cell>
          <cell r="E2346" t="str">
            <v>50리터</v>
          </cell>
          <cell r="F2346">
            <v>2456</v>
          </cell>
        </row>
        <row r="2347">
          <cell r="B2347" t="str">
            <v>563-46-2</v>
          </cell>
          <cell r="C2347" t="str">
            <v>메틸(2-)-1-부텐</v>
          </cell>
          <cell r="D2347" t="str">
            <v>4류 특수인화물</v>
          </cell>
          <cell r="E2347" t="str">
            <v>50리터</v>
          </cell>
          <cell r="F2347">
            <v>2459</v>
          </cell>
        </row>
        <row r="2348">
          <cell r="B2348" t="str">
            <v>591-93-5</v>
          </cell>
          <cell r="C2348" t="str">
            <v>1,4-펜타디엔</v>
          </cell>
          <cell r="D2348" t="str">
            <v>4류 특수인화물</v>
          </cell>
          <cell r="E2348" t="str">
            <v>50리터</v>
          </cell>
          <cell r="F2348">
            <v>3295</v>
          </cell>
        </row>
        <row r="2349">
          <cell r="B2349" t="str">
            <v>598-56-1</v>
          </cell>
          <cell r="C2349" t="str">
            <v>디메틸에틸아민</v>
          </cell>
          <cell r="D2349" t="str">
            <v>4류 특수인화물</v>
          </cell>
          <cell r="E2349" t="str">
            <v>50리터</v>
          </cell>
          <cell r="F2349">
            <v>2733</v>
          </cell>
        </row>
        <row r="2350">
          <cell r="B2350" t="str">
            <v>60-29-7</v>
          </cell>
          <cell r="C2350" t="str">
            <v>디에틸에테르</v>
          </cell>
          <cell r="D2350" t="str">
            <v>4류 특수인화물</v>
          </cell>
          <cell r="E2350" t="str">
            <v>50리터</v>
          </cell>
          <cell r="F2350">
            <v>1155</v>
          </cell>
        </row>
        <row r="2351">
          <cell r="B2351" t="str">
            <v>74-96-4</v>
          </cell>
          <cell r="C2351" t="str">
            <v>에틸브로마이드</v>
          </cell>
          <cell r="D2351" t="str">
            <v>4류 특수인화물</v>
          </cell>
          <cell r="E2351" t="str">
            <v>50리터</v>
          </cell>
          <cell r="F2351">
            <v>1891</v>
          </cell>
        </row>
        <row r="2352">
          <cell r="B2352" t="str">
            <v>75-04-7</v>
          </cell>
          <cell r="C2352" t="str">
            <v>에틸아민</v>
          </cell>
          <cell r="D2352" t="str">
            <v>4류 특수인화물</v>
          </cell>
          <cell r="E2352" t="str">
            <v>50리터</v>
          </cell>
          <cell r="F2352">
            <v>1036</v>
          </cell>
        </row>
        <row r="2353">
          <cell r="B2353" t="str">
            <v>75-07-0</v>
          </cell>
          <cell r="C2353" t="str">
            <v>아세트알데히드</v>
          </cell>
          <cell r="D2353" t="str">
            <v>4류 특수인화물</v>
          </cell>
          <cell r="E2353" t="str">
            <v>50리터</v>
          </cell>
          <cell r="F2353">
            <v>1089</v>
          </cell>
        </row>
        <row r="2354">
          <cell r="B2354" t="str">
            <v>75-08-1</v>
          </cell>
          <cell r="C2354" t="str">
            <v>에틸메르캅탄</v>
          </cell>
          <cell r="D2354" t="str">
            <v>4류 특수인화물</v>
          </cell>
          <cell r="E2354" t="str">
            <v>50리터</v>
          </cell>
          <cell r="F2354">
            <v>2363</v>
          </cell>
        </row>
        <row r="2355">
          <cell r="B2355" t="str">
            <v>75-15-0</v>
          </cell>
          <cell r="C2355" t="str">
            <v>이황화탄소</v>
          </cell>
          <cell r="D2355" t="str">
            <v>4류 특수인화물</v>
          </cell>
          <cell r="E2355" t="str">
            <v>50리터</v>
          </cell>
          <cell r="F2355">
            <v>1131</v>
          </cell>
        </row>
        <row r="2356">
          <cell r="B2356" t="str">
            <v>75-18-3</v>
          </cell>
          <cell r="C2356" t="str">
            <v>황화디메틸</v>
          </cell>
          <cell r="D2356" t="str">
            <v>4류 특수인화물</v>
          </cell>
          <cell r="E2356" t="str">
            <v>50리터</v>
          </cell>
          <cell r="F2356">
            <v>1164</v>
          </cell>
        </row>
        <row r="2357">
          <cell r="B2357" t="str">
            <v>75-29-6</v>
          </cell>
          <cell r="C2357" t="str">
            <v>클로로프로판(2-)</v>
          </cell>
          <cell r="D2357" t="str">
            <v>4류 특수인화물</v>
          </cell>
          <cell r="E2357" t="str">
            <v>50리터</v>
          </cell>
          <cell r="F2357">
            <v>2356</v>
          </cell>
        </row>
        <row r="2358">
          <cell r="B2358" t="str">
            <v>75-31-0</v>
          </cell>
          <cell r="C2358" t="str">
            <v>이소프로필아민</v>
          </cell>
          <cell r="D2358" t="str">
            <v>4류 특수인화물</v>
          </cell>
          <cell r="E2358" t="str">
            <v>50리터</v>
          </cell>
          <cell r="F2358">
            <v>1221</v>
          </cell>
        </row>
        <row r="2359">
          <cell r="B2359" t="str">
            <v>75-35-4</v>
          </cell>
          <cell r="C2359" t="str">
            <v>1,1-디클로로에틸렌</v>
          </cell>
          <cell r="D2359" t="str">
            <v>4류 특수인화물</v>
          </cell>
          <cell r="E2359" t="str">
            <v>50리터</v>
          </cell>
          <cell r="F2359">
            <v>1303</v>
          </cell>
        </row>
        <row r="2360">
          <cell r="B2360" t="str">
            <v>75-56-9</v>
          </cell>
          <cell r="C2360" t="str">
            <v>산화프로필렌</v>
          </cell>
          <cell r="D2360" t="str">
            <v>4류 특수인화물</v>
          </cell>
          <cell r="E2360" t="str">
            <v>50리터</v>
          </cell>
          <cell r="F2360">
            <v>1280</v>
          </cell>
        </row>
        <row r="2361">
          <cell r="B2361" t="str">
            <v>75-76-3</v>
          </cell>
          <cell r="C2361" t="str">
            <v>사메틸 실란</v>
          </cell>
          <cell r="D2361" t="str">
            <v>4류 특수인화물</v>
          </cell>
          <cell r="E2361" t="str">
            <v>50리터</v>
          </cell>
          <cell r="F2361">
            <v>2749</v>
          </cell>
        </row>
        <row r="2362">
          <cell r="B2362" t="str">
            <v>78-78-4</v>
          </cell>
          <cell r="C2362" t="str">
            <v>이소펜탄</v>
          </cell>
          <cell r="D2362" t="str">
            <v>4류 특수인화물</v>
          </cell>
          <cell r="E2362" t="str">
            <v>50리터</v>
          </cell>
          <cell r="F2362">
            <v>1265</v>
          </cell>
        </row>
        <row r="2363">
          <cell r="B2363" t="str">
            <v>78-79-5</v>
          </cell>
          <cell r="C2363" t="str">
            <v>2-메틸-1,3-부타디엔</v>
          </cell>
          <cell r="D2363" t="str">
            <v>4류 특수인화물</v>
          </cell>
          <cell r="E2363" t="str">
            <v>50리터</v>
          </cell>
          <cell r="F2363">
            <v>1218</v>
          </cell>
        </row>
        <row r="2364">
          <cell r="B2364" t="str">
            <v>917-92-0</v>
          </cell>
          <cell r="C2364" t="str">
            <v>3,3-디메틸-1-부틴</v>
          </cell>
          <cell r="D2364" t="str">
            <v>4류 특수인화물</v>
          </cell>
          <cell r="E2364" t="str">
            <v>50리터</v>
          </cell>
          <cell r="F2364">
            <v>3295</v>
          </cell>
        </row>
        <row r="2365">
          <cell r="B2365" t="str">
            <v>26628-22-8</v>
          </cell>
          <cell r="C2365" t="str">
            <v>아지화나트륨</v>
          </cell>
          <cell r="D2365" t="str">
            <v>5류 금속의 아지화합물</v>
          </cell>
          <cell r="E2365" t="str">
            <v>200킬로그램</v>
          </cell>
          <cell r="F2365" t="str">
            <v/>
          </cell>
        </row>
        <row r="2366">
          <cell r="B2366" t="str">
            <v>101-25-7</v>
          </cell>
          <cell r="C2366" t="str">
            <v>N,N'-디니트로소펜타메틸렌 테트라민</v>
          </cell>
          <cell r="D2366" t="str">
            <v>5류 니트로소화합물</v>
          </cell>
          <cell r="E2366" t="str">
            <v>200킬로그램</v>
          </cell>
          <cell r="F2366">
            <v>3224</v>
          </cell>
        </row>
        <row r="2367">
          <cell r="B2367" t="str">
            <v>15305-07-4</v>
          </cell>
          <cell r="C2367" t="str">
            <v>N-니트로소페닐하이드록실아민알루미늄염</v>
          </cell>
          <cell r="D2367" t="str">
            <v>5류 니트로소화합물</v>
          </cell>
          <cell r="E2367" t="str">
            <v>200킬로그램</v>
          </cell>
          <cell r="F2367" t="str">
            <v/>
          </cell>
        </row>
        <row r="2368">
          <cell r="B2368" t="str">
            <v>100-02-7</v>
          </cell>
          <cell r="C2368" t="str">
            <v>p-니트로페놀</v>
          </cell>
          <cell r="D2368" t="str">
            <v>5류 니트로화합물</v>
          </cell>
          <cell r="E2368" t="str">
            <v>200킬로그램</v>
          </cell>
          <cell r="F2368">
            <v>1663</v>
          </cell>
        </row>
        <row r="2369">
          <cell r="B2369" t="str">
            <v>100-25-4</v>
          </cell>
          <cell r="C2369" t="str">
            <v>파라-디니트로 벤젠</v>
          </cell>
          <cell r="D2369" t="str">
            <v>5류 니트로화합물</v>
          </cell>
          <cell r="E2369" t="str">
            <v>200킬로그램</v>
          </cell>
          <cell r="F2369">
            <v>1597</v>
          </cell>
        </row>
        <row r="2370">
          <cell r="B2370" t="str">
            <v>118-96-7</v>
          </cell>
          <cell r="C2370" t="str">
            <v>2,4,6-트리니트로 톨루엔</v>
          </cell>
          <cell r="D2370" t="str">
            <v>5류 니트로화합물</v>
          </cell>
          <cell r="E2370" t="str">
            <v>200킬로그램</v>
          </cell>
          <cell r="F2370" t="str">
            <v/>
          </cell>
        </row>
        <row r="2371">
          <cell r="B2371" t="str">
            <v>121-82-4</v>
          </cell>
          <cell r="C2371" t="str">
            <v>트리메틸렌 트리니트로아민</v>
          </cell>
          <cell r="D2371" t="str">
            <v>5류 니트로화합물</v>
          </cell>
          <cell r="E2371" t="str">
            <v>200킬로그램</v>
          </cell>
          <cell r="F2371" t="str">
            <v/>
          </cell>
        </row>
        <row r="2372">
          <cell r="B2372" t="str">
            <v>122-14-5</v>
          </cell>
          <cell r="C2372" t="str">
            <v>페니트로티온</v>
          </cell>
          <cell r="D2372" t="str">
            <v>5류 니트로화합물</v>
          </cell>
          <cell r="E2372" t="str">
            <v>200킬로그램</v>
          </cell>
          <cell r="F2372">
            <v>2810</v>
          </cell>
        </row>
        <row r="2373">
          <cell r="B2373" t="str">
            <v>1635-61-6</v>
          </cell>
          <cell r="C2373" t="str">
            <v>5-클로로-2-니트로아닐린</v>
          </cell>
          <cell r="D2373" t="str">
            <v>5류 니트로화합물</v>
          </cell>
          <cell r="E2373" t="str">
            <v>200킬로그램</v>
          </cell>
          <cell r="F2373">
            <v>2237</v>
          </cell>
        </row>
        <row r="2374">
          <cell r="B2374" t="str">
            <v>25321-14-6</v>
          </cell>
          <cell r="C2374" t="str">
            <v>2,4-디니트로톨루엔</v>
          </cell>
          <cell r="D2374" t="str">
            <v>5류 니트로화합물</v>
          </cell>
          <cell r="E2374" t="str">
            <v>200킬로그램</v>
          </cell>
          <cell r="F2374">
            <v>1600</v>
          </cell>
        </row>
        <row r="2375">
          <cell r="B2375" t="str">
            <v>479-45-8</v>
          </cell>
          <cell r="C2375" t="str">
            <v>테트릴</v>
          </cell>
          <cell r="D2375" t="str">
            <v>5류 니트로화합물</v>
          </cell>
          <cell r="E2375" t="str">
            <v>200킬로그램</v>
          </cell>
          <cell r="F2375" t="str">
            <v/>
          </cell>
        </row>
        <row r="2376">
          <cell r="B2376" t="str">
            <v>509-14-8</v>
          </cell>
          <cell r="C2376" t="str">
            <v>테트라 니트로메탄</v>
          </cell>
          <cell r="D2376" t="str">
            <v>5류 니트로화합물</v>
          </cell>
          <cell r="E2376" t="str">
            <v>200킬로그램</v>
          </cell>
          <cell r="F2376">
            <v>1510</v>
          </cell>
        </row>
        <row r="2377">
          <cell r="B2377" t="str">
            <v>51-28-5</v>
          </cell>
          <cell r="C2377" t="str">
            <v>2,4-디니트로페놀</v>
          </cell>
          <cell r="D2377" t="str">
            <v>5류 니트로화합물</v>
          </cell>
          <cell r="E2377" t="str">
            <v>200킬로그램</v>
          </cell>
          <cell r="F2377">
            <v>1320</v>
          </cell>
        </row>
        <row r="2378">
          <cell r="B2378" t="str">
            <v>528-29-0</v>
          </cell>
          <cell r="C2378" t="str">
            <v>디니트로 벤젠</v>
          </cell>
          <cell r="D2378" t="str">
            <v>5류 니트로화합물</v>
          </cell>
          <cell r="E2378" t="str">
            <v>200킬로그램</v>
          </cell>
          <cell r="F2378">
            <v>3443</v>
          </cell>
        </row>
        <row r="2379">
          <cell r="B2379" t="str">
            <v>534-52-1</v>
          </cell>
          <cell r="C2379" t="str">
            <v>2-메틸-4,6-디니트로페놀</v>
          </cell>
          <cell r="D2379" t="str">
            <v>5류 니트로화합물</v>
          </cell>
          <cell r="E2379" t="str">
            <v>200킬로그램</v>
          </cell>
          <cell r="F2379">
            <v>1598</v>
          </cell>
        </row>
        <row r="2380">
          <cell r="B2380" t="str">
            <v>609-93-8</v>
          </cell>
          <cell r="C2380" t="str">
            <v>4-메틸-2,6-디니트로페놀</v>
          </cell>
          <cell r="D2380" t="str">
            <v>5류 니트로화합물</v>
          </cell>
          <cell r="E2380" t="str">
            <v>200킬로그램</v>
          </cell>
          <cell r="F2380">
            <v>2811</v>
          </cell>
        </row>
        <row r="2381">
          <cell r="B2381" t="str">
            <v>75-52-5</v>
          </cell>
          <cell r="C2381" t="str">
            <v>니트로메탄</v>
          </cell>
          <cell r="D2381" t="str">
            <v>5류 니트로화합물</v>
          </cell>
          <cell r="E2381" t="str">
            <v>200킬로그램</v>
          </cell>
          <cell r="F2381">
            <v>1261</v>
          </cell>
        </row>
        <row r="2382">
          <cell r="B2382" t="str">
            <v>79-24-3</v>
          </cell>
          <cell r="C2382" t="str">
            <v>니트로에탄</v>
          </cell>
          <cell r="D2382" t="str">
            <v>5류 니트로화합물</v>
          </cell>
          <cell r="E2382" t="str">
            <v>200킬로그램</v>
          </cell>
          <cell r="F2382">
            <v>2842</v>
          </cell>
        </row>
        <row r="2383">
          <cell r="B2383" t="str">
            <v>824-78-2</v>
          </cell>
          <cell r="C2383" t="str">
            <v>4-니트로페놀소다염(2수화물)</v>
          </cell>
          <cell r="D2383" t="str">
            <v>5류 니트로화합물</v>
          </cell>
          <cell r="E2383" t="str">
            <v>200킬로그램</v>
          </cell>
          <cell r="F2383" t="str">
            <v/>
          </cell>
        </row>
        <row r="2384">
          <cell r="B2384" t="str">
            <v>88-85-7</v>
          </cell>
          <cell r="C2384" t="str">
            <v>디노세브</v>
          </cell>
          <cell r="D2384" t="str">
            <v>5류 니트로화합물</v>
          </cell>
          <cell r="E2384" t="str">
            <v>200킬로그램</v>
          </cell>
          <cell r="F2384">
            <v>2810</v>
          </cell>
        </row>
        <row r="2385">
          <cell r="B2385" t="str">
            <v>88-89-1</v>
          </cell>
          <cell r="C2385" t="str">
            <v>피크린산</v>
          </cell>
          <cell r="D2385" t="str">
            <v>5류 니트로화합물</v>
          </cell>
          <cell r="E2385" t="str">
            <v>200킬로그램</v>
          </cell>
          <cell r="F2385">
            <v>1344</v>
          </cell>
        </row>
        <row r="2386">
          <cell r="B2386" t="str">
            <v>97-00-7</v>
          </cell>
          <cell r="C2386" t="str">
            <v>1-클로로-2.4-디니트로벤젠</v>
          </cell>
          <cell r="D2386" t="str">
            <v>5류 니트로화합물</v>
          </cell>
          <cell r="E2386" t="str">
            <v>200킬로그램</v>
          </cell>
          <cell r="F2386">
            <v>1577</v>
          </cell>
        </row>
        <row r="2387">
          <cell r="B2387" t="str">
            <v>97-02-9</v>
          </cell>
          <cell r="C2387" t="str">
            <v>2,4-디니트로아닐린</v>
          </cell>
          <cell r="D2387" t="str">
            <v>5류 니트로화합물</v>
          </cell>
          <cell r="E2387" t="str">
            <v>200킬로그램</v>
          </cell>
          <cell r="F2387">
            <v>1596</v>
          </cell>
        </row>
        <row r="2388">
          <cell r="B2388" t="str">
            <v>99-35-4</v>
          </cell>
          <cell r="C2388" t="str">
            <v>1.3.5-트리니트로벤젠</v>
          </cell>
          <cell r="D2388" t="str">
            <v>5류 니트로화합물</v>
          </cell>
          <cell r="E2388" t="str">
            <v>200킬로그램</v>
          </cell>
          <cell r="F2388">
            <v>1354</v>
          </cell>
        </row>
        <row r="2389">
          <cell r="B2389" t="str">
            <v>136-35-6</v>
          </cell>
          <cell r="C2389" t="str">
            <v>1,3-디페닐트리아진</v>
          </cell>
          <cell r="D2389" t="str">
            <v>5류 디아조화합물</v>
          </cell>
          <cell r="E2389" t="str">
            <v>200킬로그램</v>
          </cell>
          <cell r="F2389" t="str">
            <v/>
          </cell>
        </row>
        <row r="2390">
          <cell r="B2390" t="str">
            <v>123-77-3</v>
          </cell>
          <cell r="C2390" t="str">
            <v>아조디카본아마이드</v>
          </cell>
          <cell r="D2390" t="str">
            <v>5류 아조화합물</v>
          </cell>
          <cell r="E2390" t="str">
            <v>200킬로그램</v>
          </cell>
          <cell r="F2390">
            <v>3242</v>
          </cell>
        </row>
        <row r="2391">
          <cell r="B2391" t="str">
            <v>13472-08-7</v>
          </cell>
          <cell r="C2391" t="str">
            <v>2,2'아조디-2-메틸부티로니트릴</v>
          </cell>
          <cell r="D2391" t="str">
            <v>5류 아조화합물</v>
          </cell>
          <cell r="E2391" t="str">
            <v>200킬로그램</v>
          </cell>
          <cell r="F2391">
            <v>3236</v>
          </cell>
        </row>
        <row r="2392">
          <cell r="B2392" t="str">
            <v>15545-97-8</v>
          </cell>
          <cell r="C2392" t="str">
            <v>2,2'-아조비스-(4-메톡시-2,4...</v>
          </cell>
          <cell r="D2392" t="str">
            <v>5류 아조화합물</v>
          </cell>
          <cell r="E2392" t="str">
            <v>200킬로그램</v>
          </cell>
          <cell r="F2392">
            <v>3236</v>
          </cell>
        </row>
        <row r="2393">
          <cell r="B2393" t="str">
            <v>2094-98-6</v>
          </cell>
          <cell r="C2393" t="str">
            <v>1,1'-아조비스-(시클로헥산-1-카...</v>
          </cell>
          <cell r="D2393" t="str">
            <v>5류 아조화합물</v>
          </cell>
          <cell r="E2393" t="str">
            <v>200킬로그램</v>
          </cell>
          <cell r="F2393">
            <v>3226</v>
          </cell>
        </row>
        <row r="2394">
          <cell r="B2394" t="str">
            <v>2589-57-3</v>
          </cell>
          <cell r="C2394" t="str">
            <v>2,2'-아조비스이소부틸산디메틸</v>
          </cell>
          <cell r="D2394" t="str">
            <v>5류 아조화합물</v>
          </cell>
          <cell r="E2394" t="str">
            <v>200킬로그램</v>
          </cell>
          <cell r="F2394">
            <v>3224</v>
          </cell>
        </row>
        <row r="2395">
          <cell r="B2395" t="str">
            <v>2592-95-2</v>
          </cell>
          <cell r="C2395" t="str">
            <v>1-하이드록시벤조트리아졸 일수화물</v>
          </cell>
          <cell r="D2395" t="str">
            <v>5류 아조화합물</v>
          </cell>
          <cell r="E2395" t="str">
            <v>200킬로그램</v>
          </cell>
          <cell r="F2395">
            <v>1325</v>
          </cell>
        </row>
        <row r="2396">
          <cell r="B2396" t="str">
            <v>2783-98-4</v>
          </cell>
          <cell r="C2396" t="str">
            <v>5,5`-비-1H-테트라졸</v>
          </cell>
          <cell r="D2396" t="str">
            <v>5류 아조화합물</v>
          </cell>
          <cell r="E2396" t="str">
            <v>200킬로그램</v>
          </cell>
          <cell r="F2396" t="str">
            <v/>
          </cell>
        </row>
        <row r="2397">
          <cell r="B2397" t="str">
            <v>2997-92-4</v>
          </cell>
          <cell r="C2397" t="str">
            <v>2,2'-아조비스-(2-아미노프로판)...</v>
          </cell>
          <cell r="D2397" t="str">
            <v>5류 아조화합물</v>
          </cell>
          <cell r="E2397" t="str">
            <v>200킬로그램</v>
          </cell>
          <cell r="F2397">
            <v>3226</v>
          </cell>
        </row>
        <row r="2398">
          <cell r="B2398" t="str">
            <v>4076-36-2</v>
          </cell>
          <cell r="C2398" t="str">
            <v>5-메틸-1H-테트라졸</v>
          </cell>
          <cell r="D2398" t="str">
            <v>5류 아조화합물</v>
          </cell>
          <cell r="E2398" t="str">
            <v>200킬로그램</v>
          </cell>
          <cell r="F2398" t="str">
            <v/>
          </cell>
        </row>
        <row r="2399">
          <cell r="B2399" t="str">
            <v>4419-11-8</v>
          </cell>
          <cell r="C2399" t="str">
            <v>2,2' 아조디2,4-디메틸-4-메톡...</v>
          </cell>
          <cell r="D2399" t="str">
            <v>5류 아조화합물</v>
          </cell>
          <cell r="E2399" t="str">
            <v>200킬로그램</v>
          </cell>
          <cell r="F2399">
            <v>3236</v>
          </cell>
        </row>
        <row r="2400">
          <cell r="B2400" t="str">
            <v>78-67-1</v>
          </cell>
          <cell r="C2400" t="str">
            <v>아조비스이소부티로니트릴</v>
          </cell>
          <cell r="D2400" t="str">
            <v>5류 아조화합물</v>
          </cell>
          <cell r="E2400" t="str">
            <v>200킬로그램</v>
          </cell>
          <cell r="F2400">
            <v>3234</v>
          </cell>
        </row>
        <row r="2401">
          <cell r="B2401" t="str">
            <v>105-64-6</v>
          </cell>
          <cell r="C2401" t="str">
            <v>디이소프로필 퍼옥시디카보네이트</v>
          </cell>
          <cell r="D2401" t="str">
            <v>5류 유기과산화물</v>
          </cell>
          <cell r="E2401" t="str">
            <v>10킬로그램</v>
          </cell>
          <cell r="F2401">
            <v>3112</v>
          </cell>
        </row>
        <row r="2402">
          <cell r="B2402" t="str">
            <v>105-74-8</v>
          </cell>
          <cell r="C2402" t="str">
            <v>라우로일 퍼옥사이드</v>
          </cell>
          <cell r="D2402" t="str">
            <v>5류 유기과산화물</v>
          </cell>
          <cell r="E2402" t="str">
            <v>10킬로그램</v>
          </cell>
          <cell r="F2402">
            <v>3106</v>
          </cell>
        </row>
        <row r="2403">
          <cell r="B2403" t="str">
            <v>1068-27-5</v>
          </cell>
          <cell r="C2403" t="str">
            <v>2.5 디메틸-2.5디(t-부틸퍼옥시...</v>
          </cell>
          <cell r="D2403" t="str">
            <v>5류 유기과산화물</v>
          </cell>
          <cell r="E2403" t="str">
            <v>10킬로그램</v>
          </cell>
          <cell r="F2403">
            <v>3101</v>
          </cell>
        </row>
        <row r="2404">
          <cell r="B2404" t="str">
            <v>107-71-1</v>
          </cell>
          <cell r="C2404" t="str">
            <v>T-부틸 퍼옥시디에틸 아세테이트</v>
          </cell>
          <cell r="D2404" t="str">
            <v>5류 유기과산화물</v>
          </cell>
          <cell r="E2404" t="str">
            <v>10킬로그램</v>
          </cell>
          <cell r="F2404">
            <v>3103</v>
          </cell>
        </row>
        <row r="2405">
          <cell r="B2405" t="str">
            <v>109-13-7</v>
          </cell>
          <cell r="C2405" t="str">
            <v>t-부틸 퍼옥시이소부티레이트</v>
          </cell>
          <cell r="D2405" t="str">
            <v>5류 유기과산화물</v>
          </cell>
          <cell r="E2405" t="str">
            <v>10킬로그램</v>
          </cell>
          <cell r="F2405">
            <v>3111</v>
          </cell>
        </row>
        <row r="2406">
          <cell r="B2406" t="str">
            <v>110-05-4</v>
          </cell>
          <cell r="C2406" t="str">
            <v>제3차디부틸퍼옥사이드</v>
          </cell>
          <cell r="D2406" t="str">
            <v>5류 유기과산화물</v>
          </cell>
          <cell r="E2406" t="str">
            <v>10킬로그램</v>
          </cell>
          <cell r="F2406">
            <v>3107</v>
          </cell>
        </row>
        <row r="2407">
          <cell r="B2407" t="str">
            <v>12262-58-7</v>
          </cell>
          <cell r="C2407" t="str">
            <v>사이클로헥사논 퍼옥사이드</v>
          </cell>
          <cell r="D2407" t="str">
            <v>5류 유기과산화물</v>
          </cell>
          <cell r="E2407" t="str">
            <v>10킬로그램</v>
          </cell>
          <cell r="F2407">
            <v>3104</v>
          </cell>
        </row>
        <row r="2408">
          <cell r="B2408" t="str">
            <v>123-23-9</v>
          </cell>
          <cell r="C2408" t="str">
            <v>숙신산 퍼옥사이드</v>
          </cell>
          <cell r="D2408" t="str">
            <v>5류 유기과산화물</v>
          </cell>
          <cell r="E2408" t="str">
            <v>10킬로그램</v>
          </cell>
          <cell r="F2408">
            <v>3116</v>
          </cell>
        </row>
        <row r="2409">
          <cell r="B2409" t="str">
            <v>124-43-6</v>
          </cell>
          <cell r="C2409" t="str">
            <v>과산화 요소</v>
          </cell>
          <cell r="D2409" t="str">
            <v>5류 유기과산화물</v>
          </cell>
          <cell r="E2409" t="str">
            <v>10킬로그램</v>
          </cell>
          <cell r="F2409">
            <v>1511</v>
          </cell>
        </row>
        <row r="2410">
          <cell r="B2410" t="str">
            <v>1338-23-4</v>
          </cell>
          <cell r="C2410" t="str">
            <v>메틸에틸케톤 퍼옥사이드</v>
          </cell>
          <cell r="D2410" t="str">
            <v>5류 유기과산화물</v>
          </cell>
          <cell r="E2410" t="str">
            <v>10킬로그램</v>
          </cell>
          <cell r="F2410">
            <v>3105</v>
          </cell>
        </row>
        <row r="2411">
          <cell r="B2411" t="str">
            <v>15520-11-3</v>
          </cell>
          <cell r="C2411" t="str">
            <v>비스(4-t-부틸씨클로헥실) 퍼옥시디...</v>
          </cell>
          <cell r="D2411" t="str">
            <v>5류 유기과산화물</v>
          </cell>
          <cell r="E2411" t="str">
            <v>10킬로그램</v>
          </cell>
          <cell r="F2411">
            <v>3114</v>
          </cell>
        </row>
        <row r="2412">
          <cell r="B2412" t="str">
            <v>16066-38-9</v>
          </cell>
          <cell r="C2412" t="str">
            <v>디-n-프로필 퍼옥시디카보네이트</v>
          </cell>
          <cell r="D2412" t="str">
            <v>5류 유기과산화물</v>
          </cell>
          <cell r="E2412" t="str">
            <v>10킬로그램</v>
          </cell>
          <cell r="F2412">
            <v>3113</v>
          </cell>
        </row>
        <row r="2413">
          <cell r="B2413" t="str">
            <v>16111-62-9</v>
          </cell>
          <cell r="C2413" t="str">
            <v>비스-(2-에틸헥실)퍼옥시디카보네이트</v>
          </cell>
          <cell r="D2413" t="str">
            <v>5류 유기과산화물</v>
          </cell>
          <cell r="E2413" t="str">
            <v>10킬로그램</v>
          </cell>
          <cell r="F2413">
            <v>3113</v>
          </cell>
        </row>
        <row r="2414">
          <cell r="B2414" t="str">
            <v>19910-65-7</v>
          </cell>
          <cell r="C2414" t="str">
            <v>디-sec- 부틸퍼옥시디카보네이트</v>
          </cell>
          <cell r="D2414" t="str">
            <v>5류 유기과산화물</v>
          </cell>
          <cell r="E2414" t="str">
            <v>10킬로그램</v>
          </cell>
          <cell r="F2414">
            <v>3113</v>
          </cell>
        </row>
        <row r="2415">
          <cell r="B2415" t="str">
            <v>2123-88-8</v>
          </cell>
          <cell r="C2415" t="str">
            <v>t-부틸퍼옥시라우네이트</v>
          </cell>
          <cell r="D2415" t="str">
            <v>5류 유기과산화물</v>
          </cell>
          <cell r="E2415" t="str">
            <v>10킬로그램</v>
          </cell>
          <cell r="F2415">
            <v>3113</v>
          </cell>
        </row>
        <row r="2416">
          <cell r="B2416" t="str">
            <v>2167-23-9</v>
          </cell>
          <cell r="C2416" t="str">
            <v>2.2-비스(t-부틸퍼옥시)부탄</v>
          </cell>
          <cell r="D2416" t="str">
            <v>5류 유기과산화물</v>
          </cell>
          <cell r="E2416" t="str">
            <v>10킬로그램</v>
          </cell>
          <cell r="F2416">
            <v>3103</v>
          </cell>
        </row>
        <row r="2417">
          <cell r="B2417" t="str">
            <v>25155-25-3</v>
          </cell>
          <cell r="C2417" t="str">
            <v>1,4(또는 1,3)-비스[(t-부틸...</v>
          </cell>
          <cell r="D2417" t="str">
            <v>5류 유기과산화물</v>
          </cell>
          <cell r="E2417" t="str">
            <v>10킬로그램</v>
          </cell>
          <cell r="F2417">
            <v>3106</v>
          </cell>
        </row>
        <row r="2418">
          <cell r="B2418" t="str">
            <v>2618-77-1</v>
          </cell>
          <cell r="C2418" t="str">
            <v>2.5-디메틸-2.5-비스(벤조일퍼옥...</v>
          </cell>
          <cell r="D2418" t="str">
            <v>5류 유기과산화물</v>
          </cell>
          <cell r="E2418" t="str">
            <v>10킬로그램</v>
          </cell>
          <cell r="F2418">
            <v>3102</v>
          </cell>
        </row>
        <row r="2419">
          <cell r="B2419" t="str">
            <v>26748-41-4</v>
          </cell>
          <cell r="C2419" t="str">
            <v>t-부틸 퍼옥시네오데카노에이트</v>
          </cell>
          <cell r="D2419" t="str">
            <v>5류 유기과산화물</v>
          </cell>
          <cell r="E2419" t="str">
            <v>10킬로그램</v>
          </cell>
          <cell r="F2419">
            <v>3115</v>
          </cell>
        </row>
        <row r="2420">
          <cell r="B2420" t="str">
            <v>26762-93-6</v>
          </cell>
          <cell r="C2420" t="str">
            <v>디이소프로필벤젠 하이드로퍼옥사이드</v>
          </cell>
          <cell r="D2420" t="str">
            <v>5류 유기과산화물</v>
          </cell>
          <cell r="E2420" t="str">
            <v>10킬로그램</v>
          </cell>
          <cell r="F2420">
            <v>3109</v>
          </cell>
        </row>
        <row r="2421">
          <cell r="B2421" t="str">
            <v>28056-59-9</v>
          </cell>
          <cell r="C2421" t="str">
            <v>메틸이소부틸케톤퍼옥사이드</v>
          </cell>
          <cell r="D2421" t="str">
            <v>5류 유기과산화물</v>
          </cell>
          <cell r="E2421" t="str">
            <v>10킬로그램</v>
          </cell>
          <cell r="F2421">
            <v>3105</v>
          </cell>
        </row>
        <row r="2422">
          <cell r="B2422" t="str">
            <v>29730-06-1</v>
          </cell>
          <cell r="C2422" t="str">
            <v>메틸 사이클로헥사논 퍼옥사이드</v>
          </cell>
          <cell r="D2422" t="str">
            <v>5류 유기과산화물</v>
          </cell>
          <cell r="E2422" t="str">
            <v>10킬로그램</v>
          </cell>
          <cell r="F2422">
            <v>3115</v>
          </cell>
        </row>
        <row r="2423">
          <cell r="B2423" t="str">
            <v>3006-82-4</v>
          </cell>
          <cell r="C2423" t="str">
            <v>t-부틸퍼옥시옥토에이트</v>
          </cell>
          <cell r="D2423" t="str">
            <v>5류 유기과산화물</v>
          </cell>
          <cell r="E2423" t="str">
            <v>10킬로그램</v>
          </cell>
          <cell r="F2423">
            <v>3113</v>
          </cell>
        </row>
        <row r="2424">
          <cell r="B2424" t="str">
            <v>3437-84-1</v>
          </cell>
          <cell r="C2424" t="str">
            <v>이소부티릴 퍼옥사이드</v>
          </cell>
          <cell r="D2424" t="str">
            <v>5류 유기과산화물</v>
          </cell>
          <cell r="E2424" t="str">
            <v>10킬로그램</v>
          </cell>
          <cell r="F2424">
            <v>3111</v>
          </cell>
        </row>
        <row r="2425">
          <cell r="B2425" t="str">
            <v>3457-61-2</v>
          </cell>
          <cell r="C2425" t="str">
            <v>t-부틸-알파-쿠밀퍼옥사이트</v>
          </cell>
          <cell r="D2425" t="str">
            <v>5류 유기과산화물</v>
          </cell>
          <cell r="E2425" t="str">
            <v>10킬로그램</v>
          </cell>
          <cell r="F2425">
            <v>3105</v>
          </cell>
        </row>
        <row r="2426">
          <cell r="B2426" t="str">
            <v>3851-87-4</v>
          </cell>
          <cell r="C2426" t="str">
            <v>비스(3.5.5-트리메틸헥사노일) 퍼...</v>
          </cell>
          <cell r="D2426" t="str">
            <v>5류 유기과산화물</v>
          </cell>
          <cell r="E2426" t="str">
            <v>10킬로그램</v>
          </cell>
          <cell r="F2426">
            <v>3115</v>
          </cell>
        </row>
        <row r="2427">
          <cell r="B2427" t="str">
            <v>52238-68-3</v>
          </cell>
          <cell r="C2427" t="str">
            <v>비스(3-메톡시부틸)퍼옥시디카보네이트</v>
          </cell>
          <cell r="D2427" t="str">
            <v>5류 유기과산화물</v>
          </cell>
          <cell r="E2427" t="str">
            <v>10킬로그램</v>
          </cell>
          <cell r="F2427">
            <v>3115</v>
          </cell>
        </row>
        <row r="2428">
          <cell r="B2428" t="str">
            <v>52373-74-7</v>
          </cell>
          <cell r="C2428" t="str">
            <v>비스(2-에톡시에틸)퍼옥시디카보네이트</v>
          </cell>
          <cell r="D2428" t="str">
            <v>5류 유기과산화물</v>
          </cell>
          <cell r="E2428" t="str">
            <v>10킬로그램</v>
          </cell>
          <cell r="F2428">
            <v>3115</v>
          </cell>
        </row>
        <row r="2429">
          <cell r="B2429" t="str">
            <v>5809-08-5</v>
          </cell>
          <cell r="C2429" t="str">
            <v>1.1.3.3-테트라메틸부틸 하이드로...</v>
          </cell>
          <cell r="D2429" t="str">
            <v>5류 유기과산화물</v>
          </cell>
          <cell r="E2429" t="str">
            <v>10킬로그램</v>
          </cell>
          <cell r="F2429">
            <v>3105</v>
          </cell>
        </row>
        <row r="2430">
          <cell r="B2430" t="str">
            <v>614-45-9</v>
          </cell>
          <cell r="C2430" t="str">
            <v>t-부틸 퍼옥시벤조에이트</v>
          </cell>
          <cell r="D2430" t="str">
            <v>5류 유기과산화물</v>
          </cell>
          <cell r="E2430" t="str">
            <v>10킬로그램</v>
          </cell>
          <cell r="F2430">
            <v>3103</v>
          </cell>
        </row>
        <row r="2431">
          <cell r="B2431" t="str">
            <v>65201-77-6</v>
          </cell>
          <cell r="C2431" t="str">
            <v>테트라부틸암모늄 (메타)퍼아이오데이트</v>
          </cell>
          <cell r="D2431" t="str">
            <v>5류 유기과산화물</v>
          </cell>
          <cell r="E2431" t="str">
            <v>10킬로그램</v>
          </cell>
          <cell r="F2431">
            <v>1479</v>
          </cell>
        </row>
        <row r="2432">
          <cell r="B2432" t="str">
            <v>6731-36-8</v>
          </cell>
          <cell r="C2432" t="str">
            <v>1,1-비스(t-부틸퍼옥시)-3,3,...</v>
          </cell>
          <cell r="D2432" t="str">
            <v>5류 유기과산화물</v>
          </cell>
          <cell r="E2432" t="str">
            <v>10킬로그램</v>
          </cell>
          <cell r="F2432">
            <v>3101</v>
          </cell>
        </row>
        <row r="2433">
          <cell r="B2433" t="str">
            <v>75-91-2</v>
          </cell>
          <cell r="C2433" t="str">
            <v>3차부틸 하이드로 퍼옥사이드</v>
          </cell>
          <cell r="D2433" t="str">
            <v>5류 유기과산화물</v>
          </cell>
          <cell r="E2433" t="str">
            <v>10킬로그램</v>
          </cell>
          <cell r="F2433">
            <v>3105</v>
          </cell>
        </row>
        <row r="2434">
          <cell r="B2434" t="str">
            <v>78-63-7</v>
          </cell>
          <cell r="C2434" t="str">
            <v>2.5-디메틸-2.5-디-티-부틸퍼옥...</v>
          </cell>
          <cell r="D2434" t="str">
            <v>5류 유기과산화물</v>
          </cell>
          <cell r="E2434" t="str">
            <v>10킬로그램</v>
          </cell>
          <cell r="F2434">
            <v>3105</v>
          </cell>
        </row>
        <row r="2435">
          <cell r="B2435" t="str">
            <v>79-21-0</v>
          </cell>
          <cell r="C2435" t="str">
            <v>과산화 초산</v>
          </cell>
          <cell r="D2435" t="str">
            <v>5류 유기과산화물</v>
          </cell>
          <cell r="E2435" t="str">
            <v>10킬로그램</v>
          </cell>
          <cell r="F2435">
            <v>3105</v>
          </cell>
        </row>
        <row r="2436">
          <cell r="B2436" t="str">
            <v>80-15-9</v>
          </cell>
          <cell r="C2436" t="str">
            <v>큐멘하이드로퍼옥사이드</v>
          </cell>
          <cell r="D2436" t="str">
            <v>5류 유기과산화물</v>
          </cell>
          <cell r="E2436" t="str">
            <v>10킬로그램</v>
          </cell>
          <cell r="F2436">
            <v>3109</v>
          </cell>
        </row>
        <row r="2437">
          <cell r="B2437" t="str">
            <v>80-43-3</v>
          </cell>
          <cell r="C2437" t="str">
            <v>디큐밀 퍼옥사이드</v>
          </cell>
          <cell r="D2437" t="str">
            <v>5류 유기과산화물</v>
          </cell>
          <cell r="E2437" t="str">
            <v>10킬로그램</v>
          </cell>
          <cell r="F2437">
            <v>3110</v>
          </cell>
        </row>
        <row r="2438">
          <cell r="B2438" t="str">
            <v>927-07-1</v>
          </cell>
          <cell r="C2438" t="str">
            <v>t-부틸 퍼옥시피발레이트</v>
          </cell>
          <cell r="D2438" t="str">
            <v>5류 유기과산화물</v>
          </cell>
          <cell r="E2438" t="str">
            <v>10킬로그램</v>
          </cell>
          <cell r="F2438">
            <v>3113</v>
          </cell>
        </row>
        <row r="2439">
          <cell r="B2439" t="str">
            <v>937-14-4</v>
          </cell>
          <cell r="C2439" t="str">
            <v>3-클로로과안신향산</v>
          </cell>
          <cell r="D2439" t="str">
            <v>5류 유기과산화물</v>
          </cell>
          <cell r="E2439" t="str">
            <v>10킬로그램</v>
          </cell>
          <cell r="F2439">
            <v>3106</v>
          </cell>
        </row>
        <row r="2440">
          <cell r="B2440" t="str">
            <v>94-36-0</v>
          </cell>
          <cell r="C2440" t="str">
            <v>벤조일 퍼옥사이드</v>
          </cell>
          <cell r="D2440" t="str">
            <v>5류 유기과산화물</v>
          </cell>
          <cell r="E2440" t="str">
            <v>10킬로그램</v>
          </cell>
          <cell r="F2440">
            <v>3106</v>
          </cell>
        </row>
        <row r="2441">
          <cell r="B2441" t="str">
            <v>995-33-5</v>
          </cell>
          <cell r="C2441" t="str">
            <v>n-부틸-4.4-비스(t-부틸퍼옥시)...</v>
          </cell>
          <cell r="D2441" t="str">
            <v>5류 유기과산화물</v>
          </cell>
          <cell r="E2441" t="str">
            <v>10킬로그램</v>
          </cell>
          <cell r="F2441">
            <v>3103</v>
          </cell>
        </row>
        <row r="2442">
          <cell r="B2442" t="str">
            <v>55-63-0</v>
          </cell>
          <cell r="C2442" t="str">
            <v>니트로 글리세린</v>
          </cell>
          <cell r="D2442" t="str">
            <v>5류 질산에스테르류</v>
          </cell>
          <cell r="E2442" t="str">
            <v>10킬로그램</v>
          </cell>
          <cell r="F2442" t="str">
            <v/>
          </cell>
        </row>
        <row r="2443">
          <cell r="B2443" t="str">
            <v>628-96-6</v>
          </cell>
          <cell r="C2443" t="str">
            <v>니트로 글리콜</v>
          </cell>
          <cell r="D2443" t="str">
            <v>5류 질산에스테르류</v>
          </cell>
          <cell r="E2443" t="str">
            <v>10킬로그램</v>
          </cell>
          <cell r="F2443" t="str">
            <v/>
          </cell>
        </row>
        <row r="2444">
          <cell r="B2444" t="str">
            <v>8050-88-2</v>
          </cell>
          <cell r="C2444" t="str">
            <v>셀롤로이드</v>
          </cell>
          <cell r="D2444" t="str">
            <v>5류 질산에스테르류</v>
          </cell>
          <cell r="E2444" t="str">
            <v>10킬로그램</v>
          </cell>
          <cell r="F2444">
            <v>2000</v>
          </cell>
        </row>
        <row r="2445">
          <cell r="B2445" t="str">
            <v>9004-70-0</v>
          </cell>
          <cell r="C2445" t="str">
            <v>니트로 셀롤로스</v>
          </cell>
          <cell r="D2445" t="str">
            <v>5류 질산에스테르류</v>
          </cell>
          <cell r="E2445" t="str">
            <v>10킬로그램</v>
          </cell>
          <cell r="F2445" t="str">
            <v/>
          </cell>
        </row>
        <row r="2446">
          <cell r="B2446" t="str">
            <v>10034-93-2</v>
          </cell>
          <cell r="C2446" t="str">
            <v>황산히드라진</v>
          </cell>
          <cell r="D2446" t="str">
            <v>5류 히드라진 유도체</v>
          </cell>
          <cell r="E2446" t="str">
            <v>200킬로그램</v>
          </cell>
          <cell r="F2446">
            <v>2923</v>
          </cell>
        </row>
        <row r="2447">
          <cell r="B2447" t="str">
            <v>108-26-9</v>
          </cell>
          <cell r="C2447" t="str">
            <v>3-메틸-5-피라졸론</v>
          </cell>
          <cell r="D2447" t="str">
            <v>5류 히드라진 유도체</v>
          </cell>
          <cell r="E2447" t="str">
            <v>200킬로그램</v>
          </cell>
          <cell r="F2447" t="str">
            <v/>
          </cell>
        </row>
        <row r="2448">
          <cell r="B2448" t="str">
            <v>119-26-6</v>
          </cell>
          <cell r="C2448" t="str">
            <v>2,4-디니트로페닐히드라진</v>
          </cell>
          <cell r="D2448" t="str">
            <v>5류 히드라진 유도체</v>
          </cell>
          <cell r="E2448" t="str">
            <v>200킬로그램</v>
          </cell>
          <cell r="F2448">
            <v>1325</v>
          </cell>
        </row>
        <row r="2449">
          <cell r="B2449" t="str">
            <v>1576-35-8</v>
          </cell>
          <cell r="C2449" t="str">
            <v>p-톨루엔설포닐히드라지드</v>
          </cell>
          <cell r="D2449" t="str">
            <v>5류 히드라진 유도체</v>
          </cell>
          <cell r="E2449" t="str">
            <v>200킬로그램</v>
          </cell>
          <cell r="F2449">
            <v>3226</v>
          </cell>
        </row>
        <row r="2450">
          <cell r="B2450" t="str">
            <v>2231-57-4</v>
          </cell>
          <cell r="C2450" t="str">
            <v>티오카보히드라지드</v>
          </cell>
          <cell r="D2450" t="str">
            <v>5류 히드라진 유도체</v>
          </cell>
          <cell r="E2450" t="str">
            <v>200킬로그램</v>
          </cell>
          <cell r="F2450">
            <v>2811</v>
          </cell>
        </row>
        <row r="2451">
          <cell r="B2451" t="str">
            <v>2644-70-4</v>
          </cell>
          <cell r="C2451" t="str">
            <v>염산히드라진</v>
          </cell>
          <cell r="D2451" t="str">
            <v>5류 히드라진 유도체</v>
          </cell>
          <cell r="E2451" t="str">
            <v>200킬로그램</v>
          </cell>
          <cell r="F2451">
            <v>3288</v>
          </cell>
        </row>
        <row r="2452">
          <cell r="B2452" t="str">
            <v>60-34-4</v>
          </cell>
          <cell r="C2452" t="str">
            <v>메틸히드리진</v>
          </cell>
          <cell r="D2452" t="str">
            <v>5류 히드라진 유도체</v>
          </cell>
          <cell r="E2452" t="str">
            <v>200킬로그램</v>
          </cell>
          <cell r="F2452">
            <v>1244</v>
          </cell>
        </row>
        <row r="2453">
          <cell r="B2453" t="str">
            <v>79-19-6</v>
          </cell>
          <cell r="C2453" t="str">
            <v>티오세미카바지트</v>
          </cell>
          <cell r="D2453" t="str">
            <v>5류 히드라진 유도체</v>
          </cell>
          <cell r="E2453" t="str">
            <v>200킬로그램</v>
          </cell>
          <cell r="F2453" t="str">
            <v/>
          </cell>
        </row>
        <row r="2454">
          <cell r="B2454" t="str">
            <v>80-51-3</v>
          </cell>
          <cell r="C2454" t="str">
            <v>p,p'-옥시비스(벤젠설포닐히드라지드...</v>
          </cell>
          <cell r="D2454" t="str">
            <v>5류 히드라진 유도체</v>
          </cell>
          <cell r="E2454" t="str">
            <v>200킬로그램</v>
          </cell>
          <cell r="F2454">
            <v>3226</v>
          </cell>
        </row>
        <row r="2455">
          <cell r="B2455" t="str">
            <v>10039-54-0</v>
          </cell>
          <cell r="C2455" t="str">
            <v>황산 히드록실아민</v>
          </cell>
          <cell r="D2455" t="str">
            <v>5류 히드록실아민염류</v>
          </cell>
          <cell r="E2455" t="str">
            <v>100킬로그램</v>
          </cell>
          <cell r="F2455">
            <v>2865</v>
          </cell>
        </row>
        <row r="2456">
          <cell r="B2456" t="str">
            <v>5470-11-1</v>
          </cell>
          <cell r="C2456" t="str">
            <v>염산 히드록실아민</v>
          </cell>
          <cell r="D2456" t="str">
            <v>5류 히드록실아민염류</v>
          </cell>
          <cell r="E2456" t="str">
            <v>100킬로그램</v>
          </cell>
          <cell r="F2456">
            <v>3260</v>
          </cell>
        </row>
        <row r="2457">
          <cell r="B2457" t="str">
            <v>7803-49-8</v>
          </cell>
          <cell r="C2457" t="str">
            <v>히드록실아민</v>
          </cell>
          <cell r="D2457" t="str">
            <v>5류 히드록실아민염류</v>
          </cell>
          <cell r="E2457" t="str">
            <v>100킬로그램</v>
          </cell>
          <cell r="F2457">
            <v>3082</v>
          </cell>
        </row>
        <row r="2458">
          <cell r="B2458" t="str">
            <v>7722-84-1</v>
          </cell>
          <cell r="C2458" t="str">
            <v>과산화 수소</v>
          </cell>
          <cell r="D2458" t="str">
            <v>6류 과산화수소</v>
          </cell>
          <cell r="E2458" t="str">
            <v>300킬로그램</v>
          </cell>
          <cell r="F2458">
            <v>2014</v>
          </cell>
        </row>
        <row r="2459">
          <cell r="B2459" t="str">
            <v>7601-90-3</v>
          </cell>
          <cell r="C2459" t="str">
            <v>과염소산</v>
          </cell>
          <cell r="D2459" t="str">
            <v>6류 과염소산</v>
          </cell>
          <cell r="E2459" t="str">
            <v>300킬로그램</v>
          </cell>
          <cell r="F2459">
            <v>1873</v>
          </cell>
        </row>
        <row r="2460">
          <cell r="B2460" t="str">
            <v>7697-37-2</v>
          </cell>
          <cell r="C2460" t="str">
            <v>질산</v>
          </cell>
          <cell r="D2460" t="str">
            <v>6류 질산</v>
          </cell>
          <cell r="E2460" t="str">
            <v>300킬로그램</v>
          </cell>
          <cell r="F2460">
            <v>2031</v>
          </cell>
        </row>
      </sheetData>
      <sheetData sheetId="48" refreshError="1">
        <row r="1">
          <cell r="B1" t="str">
            <v>CAS No</v>
          </cell>
          <cell r="C1" t="str">
            <v>화학물질명</v>
          </cell>
          <cell r="D1" t="str">
            <v>일반명</v>
          </cell>
        </row>
        <row r="2">
          <cell r="B2" t="str">
            <v>10034-85-2</v>
          </cell>
          <cell r="C2" t="str">
            <v>Hydrogen iodide</v>
          </cell>
          <cell r="D2" t="str">
            <v>요오드화수소</v>
          </cell>
        </row>
        <row r="3">
          <cell r="B3" t="str">
            <v>10035-10-6</v>
          </cell>
          <cell r="C3" t="str">
            <v>Hydrogen bromide</v>
          </cell>
          <cell r="D3" t="str">
            <v>브롬화수소</v>
          </cell>
        </row>
        <row r="4">
          <cell r="B4" t="str">
            <v>107-02-8</v>
          </cell>
          <cell r="C4" t="str">
            <v>Acrolein</v>
          </cell>
          <cell r="D4" t="str">
            <v>아크릴알데히드</v>
          </cell>
        </row>
        <row r="5">
          <cell r="B5" t="str">
            <v>107-13-1</v>
          </cell>
          <cell r="C5" t="str">
            <v>Acrylonitrile</v>
          </cell>
          <cell r="D5" t="str">
            <v>아크릴로니트릴</v>
          </cell>
        </row>
        <row r="6">
          <cell r="B6" t="str">
            <v>124-40-3</v>
          </cell>
          <cell r="C6" t="str">
            <v>Dimethylamine</v>
          </cell>
          <cell r="D6" t="str">
            <v>디메틸아민</v>
          </cell>
        </row>
        <row r="7">
          <cell r="B7" t="str">
            <v>126-99-8</v>
          </cell>
          <cell r="C7" t="str">
            <v>Chloroprene</v>
          </cell>
          <cell r="D7" t="str">
            <v>염화프렌</v>
          </cell>
        </row>
        <row r="8">
          <cell r="B8" t="str">
            <v>1590-87-0</v>
          </cell>
          <cell r="C8" t="str">
            <v>Disilane</v>
          </cell>
          <cell r="D8" t="str">
            <v>디실란</v>
          </cell>
        </row>
        <row r="9">
          <cell r="B9" t="str">
            <v>19287-45-7</v>
          </cell>
          <cell r="C9" t="str">
            <v>Diborane</v>
          </cell>
          <cell r="D9" t="str">
            <v>디보레인</v>
          </cell>
        </row>
        <row r="10">
          <cell r="B10" t="str">
            <v>505-60-2</v>
          </cell>
          <cell r="C10" t="str">
            <v>Mustard gas, Bis(2-chloroethyl) sulfide</v>
          </cell>
          <cell r="D10" t="str">
            <v>겨자가스</v>
          </cell>
        </row>
        <row r="11">
          <cell r="B11" t="str">
            <v>630-08-0</v>
          </cell>
          <cell r="C11" t="str">
            <v>Carbon monoxide</v>
          </cell>
          <cell r="D11" t="str">
            <v>일산화탄소</v>
          </cell>
        </row>
        <row r="12">
          <cell r="B12" t="str">
            <v>71-43-2</v>
          </cell>
          <cell r="C12" t="str">
            <v>Benzene</v>
          </cell>
          <cell r="D12" t="str">
            <v>벤젠</v>
          </cell>
        </row>
        <row r="13">
          <cell r="B13" t="str">
            <v>74-83-9</v>
          </cell>
          <cell r="C13" t="str">
            <v>Bromomethane</v>
          </cell>
          <cell r="D13" t="str">
            <v>브롬화메탄</v>
          </cell>
        </row>
        <row r="14">
          <cell r="B14" t="str">
            <v>74-87-3</v>
          </cell>
          <cell r="C14" t="str">
            <v>Chloromethane</v>
          </cell>
          <cell r="D14" t="str">
            <v>염화메탄</v>
          </cell>
        </row>
        <row r="15">
          <cell r="B15" t="str">
            <v>74-89-5</v>
          </cell>
          <cell r="C15" t="str">
            <v>Momomethylamine</v>
          </cell>
          <cell r="D15" t="str">
            <v>모노메틸아민</v>
          </cell>
        </row>
        <row r="16">
          <cell r="B16" t="str">
            <v>74-90-8</v>
          </cell>
          <cell r="C16" t="str">
            <v>Hydrogen cyanide</v>
          </cell>
          <cell r="D16" t="str">
            <v>시안화수소</v>
          </cell>
        </row>
        <row r="17">
          <cell r="B17" t="str">
            <v>7446-09-5</v>
          </cell>
          <cell r="C17" t="str">
            <v>Sulfur dioxide</v>
          </cell>
          <cell r="D17" t="str">
            <v>아황산가스</v>
          </cell>
        </row>
        <row r="18">
          <cell r="B18" t="str">
            <v>75-15-0</v>
          </cell>
          <cell r="C18" t="str">
            <v>Carbon bisulfide</v>
          </cell>
          <cell r="D18" t="str">
            <v>이황화탄소</v>
          </cell>
        </row>
        <row r="19">
          <cell r="B19" t="str">
            <v>75-21-8</v>
          </cell>
          <cell r="C19" t="str">
            <v>Ethylene oxide</v>
          </cell>
          <cell r="D19" t="str">
            <v>산화에틸렌</v>
          </cell>
        </row>
        <row r="20">
          <cell r="B20" t="str">
            <v>75-44-5</v>
          </cell>
          <cell r="C20" t="str">
            <v>Phosgen</v>
          </cell>
          <cell r="D20" t="str">
            <v>포스켄</v>
          </cell>
        </row>
        <row r="21">
          <cell r="B21" t="str">
            <v>75-50-3</v>
          </cell>
          <cell r="C21" t="str">
            <v>Trimethylamine</v>
          </cell>
          <cell r="D21" t="str">
            <v>트리메틸아민</v>
          </cell>
        </row>
        <row r="22">
          <cell r="B22" t="str">
            <v>7647-01-0</v>
          </cell>
          <cell r="C22" t="str">
            <v>Hydrogen chloride</v>
          </cell>
          <cell r="D22" t="str">
            <v>염화수소</v>
          </cell>
        </row>
        <row r="23">
          <cell r="B23" t="str">
            <v>7664-39-3</v>
          </cell>
          <cell r="C23" t="str">
            <v>hydrogen fluoride</v>
          </cell>
          <cell r="D23" t="str">
            <v>불화수소</v>
          </cell>
        </row>
        <row r="24">
          <cell r="B24" t="str">
            <v>7664-41-7</v>
          </cell>
          <cell r="C24" t="str">
            <v>Ammonia</v>
          </cell>
          <cell r="D24" t="str">
            <v>암모니아</v>
          </cell>
        </row>
        <row r="25">
          <cell r="B25" t="str">
            <v>7782-41-4</v>
          </cell>
          <cell r="C25" t="str">
            <v>Fluorine</v>
          </cell>
          <cell r="D25" t="str">
            <v>불소</v>
          </cell>
        </row>
        <row r="26">
          <cell r="B26" t="str">
            <v>7782-50-5</v>
          </cell>
          <cell r="C26" t="str">
            <v>Chorine</v>
          </cell>
          <cell r="D26" t="str">
            <v>염소</v>
          </cell>
        </row>
        <row r="27">
          <cell r="B27" t="str">
            <v>7782-65-2</v>
          </cell>
          <cell r="C27" t="str">
            <v>Germane</v>
          </cell>
          <cell r="D27" t="str">
            <v>모노게르만</v>
          </cell>
        </row>
        <row r="28">
          <cell r="B28" t="str">
            <v>7783-06-4</v>
          </cell>
          <cell r="C28" t="str">
            <v>Hydrogen sulfide</v>
          </cell>
          <cell r="D28" t="str">
            <v>황화수소</v>
          </cell>
        </row>
        <row r="29">
          <cell r="B29" t="str">
            <v>7783-07-5</v>
          </cell>
          <cell r="C29" t="str">
            <v>Selenium hydride</v>
          </cell>
          <cell r="D29" t="str">
            <v>세렌화수소</v>
          </cell>
        </row>
        <row r="30">
          <cell r="B30" t="str">
            <v>7784-42-1</v>
          </cell>
          <cell r="C30" t="str">
            <v>Arsenic hydride</v>
          </cell>
          <cell r="D30" t="str">
            <v>알진</v>
          </cell>
        </row>
        <row r="31">
          <cell r="B31" t="str">
            <v>7803-51-2</v>
          </cell>
          <cell r="C31" t="str">
            <v>Phosphine</v>
          </cell>
          <cell r="D31" t="str">
            <v>포스핀</v>
          </cell>
        </row>
        <row r="32">
          <cell r="B32" t="str">
            <v>7803-62-5</v>
          </cell>
          <cell r="C32" t="str">
            <v>Silane</v>
          </cell>
          <cell r="D32" t="str">
            <v>모노실란</v>
          </cell>
        </row>
      </sheetData>
      <sheetData sheetId="49" refreshError="1">
        <row r="1">
          <cell r="B1" t="str">
            <v>CAS No</v>
          </cell>
          <cell r="C1" t="str">
            <v>화학물질명</v>
          </cell>
          <cell r="D1" t="str">
            <v>일반명</v>
          </cell>
        </row>
        <row r="2">
          <cell r="B2" t="str">
            <v>100-41-4</v>
          </cell>
          <cell r="C2" t="str">
            <v>Ehtylbenzene</v>
          </cell>
          <cell r="D2" t="str">
            <v>에틸벤젠</v>
          </cell>
        </row>
        <row r="3">
          <cell r="B3" t="str">
            <v>106-97-8</v>
          </cell>
          <cell r="C3" t="str">
            <v>butane</v>
          </cell>
          <cell r="D3" t="str">
            <v>부탄</v>
          </cell>
        </row>
        <row r="4">
          <cell r="B4" t="str">
            <v>106-98-9</v>
          </cell>
          <cell r="C4" t="str">
            <v>1-butylene</v>
          </cell>
          <cell r="D4" t="str">
            <v>부틸렌</v>
          </cell>
        </row>
        <row r="5">
          <cell r="B5" t="str">
            <v>106-99-0</v>
          </cell>
          <cell r="C5" t="str">
            <v>1,3-butadiene</v>
          </cell>
          <cell r="D5" t="str">
            <v>부타디엔</v>
          </cell>
        </row>
        <row r="6">
          <cell r="B6" t="str">
            <v>107-01-7</v>
          </cell>
          <cell r="C6" t="str">
            <v>beta-butylene</v>
          </cell>
          <cell r="D6" t="str">
            <v>부틸렌</v>
          </cell>
        </row>
        <row r="7">
          <cell r="B7" t="str">
            <v>107-02-8</v>
          </cell>
          <cell r="C7" t="str">
            <v>Acrolein</v>
          </cell>
          <cell r="D7" t="str">
            <v>아크릴알데히드</v>
          </cell>
        </row>
        <row r="8">
          <cell r="B8" t="str">
            <v>107-13-1</v>
          </cell>
          <cell r="C8" t="str">
            <v>Acrylonitrile</v>
          </cell>
          <cell r="D8" t="str">
            <v>아크릴로니트릴</v>
          </cell>
        </row>
        <row r="9">
          <cell r="B9" t="str">
            <v>115-07-1</v>
          </cell>
          <cell r="C9" t="str">
            <v>Propylene</v>
          </cell>
          <cell r="D9" t="str">
            <v>프로필렌</v>
          </cell>
        </row>
        <row r="10">
          <cell r="B10" t="str">
            <v>115-10-6</v>
          </cell>
          <cell r="C10" t="str">
            <v>Methyl ether</v>
          </cell>
          <cell r="D10" t="str">
            <v>메틸에테르</v>
          </cell>
        </row>
        <row r="11">
          <cell r="B11" t="str">
            <v>115-11-7</v>
          </cell>
          <cell r="C11" t="str">
            <v>isobutene</v>
          </cell>
          <cell r="D11" t="str">
            <v>부틸렌</v>
          </cell>
        </row>
        <row r="12">
          <cell r="B12" t="str">
            <v>124-40-3</v>
          </cell>
          <cell r="C12" t="str">
            <v>Dimethylamine</v>
          </cell>
          <cell r="D12" t="str">
            <v>디메틸아민</v>
          </cell>
        </row>
        <row r="13">
          <cell r="B13" t="str">
            <v>1333-74-0</v>
          </cell>
          <cell r="C13" t="str">
            <v>hydrogen gas</v>
          </cell>
          <cell r="D13" t="str">
            <v>수소</v>
          </cell>
        </row>
        <row r="14">
          <cell r="B14" t="str">
            <v>25167-67-3</v>
          </cell>
          <cell r="C14" t="str">
            <v>Butylene</v>
          </cell>
          <cell r="D14" t="str">
            <v>부틸렌</v>
          </cell>
        </row>
        <row r="15">
          <cell r="B15" t="str">
            <v>590-18-1</v>
          </cell>
          <cell r="C15" t="str">
            <v>(Z)-2-butene</v>
          </cell>
          <cell r="D15" t="str">
            <v>부틸렌</v>
          </cell>
        </row>
        <row r="16">
          <cell r="B16" t="str">
            <v>624-64-6</v>
          </cell>
          <cell r="C16" t="str">
            <v>('E)-2-butene</v>
          </cell>
          <cell r="D16" t="str">
            <v>부틸렌</v>
          </cell>
        </row>
        <row r="17">
          <cell r="B17" t="str">
            <v>630-08-0</v>
          </cell>
          <cell r="C17" t="str">
            <v>Carbon monoxide</v>
          </cell>
          <cell r="D17" t="str">
            <v>일산화탄소</v>
          </cell>
        </row>
        <row r="18">
          <cell r="B18" t="str">
            <v>71-43-2</v>
          </cell>
          <cell r="C18" t="str">
            <v>Benzene</v>
          </cell>
          <cell r="D18" t="str">
            <v>벤젠</v>
          </cell>
        </row>
        <row r="19">
          <cell r="B19" t="str">
            <v>74-82-8</v>
          </cell>
          <cell r="C19" t="str">
            <v>Methane</v>
          </cell>
          <cell r="D19" t="str">
            <v>메탄</v>
          </cell>
        </row>
        <row r="20">
          <cell r="B20" t="str">
            <v>74-83-9</v>
          </cell>
          <cell r="C20" t="str">
            <v>Bromomethane</v>
          </cell>
          <cell r="D20" t="str">
            <v>브롬화메탄</v>
          </cell>
        </row>
        <row r="21">
          <cell r="B21" t="str">
            <v>74-84-0</v>
          </cell>
          <cell r="C21" t="str">
            <v>Ethane</v>
          </cell>
          <cell r="D21" t="str">
            <v>에탄</v>
          </cell>
        </row>
        <row r="22">
          <cell r="B22" t="str">
            <v>74-85-1</v>
          </cell>
          <cell r="C22" t="str">
            <v>ethylene</v>
          </cell>
          <cell r="D22" t="str">
            <v>에틸렌</v>
          </cell>
        </row>
        <row r="23">
          <cell r="B23" t="str">
            <v>74-86-2</v>
          </cell>
          <cell r="C23" t="str">
            <v>Acetylene</v>
          </cell>
          <cell r="D23" t="str">
            <v>아세틸렌</v>
          </cell>
        </row>
        <row r="24">
          <cell r="B24" t="str">
            <v>74-87-3</v>
          </cell>
          <cell r="C24" t="str">
            <v>Chloromethane</v>
          </cell>
          <cell r="D24" t="str">
            <v>염화메탄</v>
          </cell>
        </row>
        <row r="25">
          <cell r="B25" t="str">
            <v>74-89-5</v>
          </cell>
          <cell r="C25" t="str">
            <v>Momomethylamine</v>
          </cell>
          <cell r="D25" t="str">
            <v>모노메틸아민</v>
          </cell>
        </row>
        <row r="26">
          <cell r="B26" t="str">
            <v>74-90-8</v>
          </cell>
          <cell r="C26" t="str">
            <v>Hydrogen cyanide</v>
          </cell>
          <cell r="D26" t="str">
            <v>시안화수소</v>
          </cell>
        </row>
        <row r="27">
          <cell r="B27" t="str">
            <v>74-98-6</v>
          </cell>
          <cell r="C27" t="str">
            <v>Propane</v>
          </cell>
          <cell r="D27" t="str">
            <v>프로판</v>
          </cell>
        </row>
        <row r="28">
          <cell r="B28" t="str">
            <v>75-00-3</v>
          </cell>
          <cell r="C28" t="str">
            <v>Chloroethane</v>
          </cell>
          <cell r="D28" t="str">
            <v>염화에탄</v>
          </cell>
        </row>
        <row r="29">
          <cell r="B29" t="str">
            <v>75-01-4</v>
          </cell>
          <cell r="C29" t="str">
            <v>Vinyl chloride</v>
          </cell>
          <cell r="D29" t="str">
            <v>염화비닐</v>
          </cell>
        </row>
        <row r="30">
          <cell r="B30" t="str">
            <v>75-04-7</v>
          </cell>
          <cell r="C30" t="str">
            <v>Ethylamine</v>
          </cell>
          <cell r="D30" t="str">
            <v>에틸아민</v>
          </cell>
        </row>
        <row r="31">
          <cell r="B31" t="str">
            <v>75-07-0</v>
          </cell>
          <cell r="C31" t="str">
            <v>Acetaldehyde</v>
          </cell>
          <cell r="D31" t="str">
            <v>아세트알데히드</v>
          </cell>
        </row>
        <row r="32">
          <cell r="B32" t="str">
            <v>75-15-0</v>
          </cell>
          <cell r="C32" t="str">
            <v>Carbon bisulfide</v>
          </cell>
          <cell r="D32" t="str">
            <v>이황화탄소</v>
          </cell>
        </row>
        <row r="33">
          <cell r="B33" t="str">
            <v>75-19-4</v>
          </cell>
          <cell r="C33" t="str">
            <v>Cyclopropane</v>
          </cell>
          <cell r="D33" t="str">
            <v>시클로프로판</v>
          </cell>
        </row>
        <row r="34">
          <cell r="B34" t="str">
            <v>75-21-8</v>
          </cell>
          <cell r="C34" t="str">
            <v>Ethylene oxide</v>
          </cell>
          <cell r="D34" t="str">
            <v>산화에틸렌</v>
          </cell>
        </row>
        <row r="35">
          <cell r="B35" t="str">
            <v>75-50-3</v>
          </cell>
          <cell r="C35" t="str">
            <v>Trimethylamine</v>
          </cell>
          <cell r="D35" t="str">
            <v>트리메틸아민</v>
          </cell>
        </row>
        <row r="36">
          <cell r="B36" t="str">
            <v>75-56-9</v>
          </cell>
          <cell r="C36" t="str">
            <v>1,2-epoxypropane</v>
          </cell>
          <cell r="D36" t="str">
            <v>산화프로필렌</v>
          </cell>
        </row>
        <row r="37">
          <cell r="B37" t="str">
            <v>7664-41-7</v>
          </cell>
          <cell r="C37" t="str">
            <v>Ammonia</v>
          </cell>
          <cell r="D37" t="str">
            <v>암모니아</v>
          </cell>
        </row>
        <row r="38">
          <cell r="B38" t="str">
            <v>7783-06-4</v>
          </cell>
          <cell r="C38" t="str">
            <v>Hydrogen sulfide</v>
          </cell>
          <cell r="D38" t="str">
            <v>황화수소</v>
          </cell>
        </row>
      </sheetData>
      <sheetData sheetId="50" refreshError="1">
        <row r="1">
          <cell r="B1" t="str">
            <v>CAS No</v>
          </cell>
          <cell r="C1" t="str">
            <v>화학물질명</v>
          </cell>
          <cell r="D1" t="str">
            <v>일반명</v>
          </cell>
        </row>
        <row r="2">
          <cell r="B2" t="str">
            <v>1590-87-0</v>
          </cell>
          <cell r="C2" t="str">
            <v>Disilane</v>
          </cell>
          <cell r="D2" t="str">
            <v>디실란</v>
          </cell>
        </row>
        <row r="3">
          <cell r="B3" t="str">
            <v>19287-45-7</v>
          </cell>
          <cell r="C3" t="str">
            <v>Diborane</v>
          </cell>
          <cell r="D3" t="str">
            <v>디보레인</v>
          </cell>
        </row>
        <row r="4">
          <cell r="B4" t="str">
            <v>7782-65-2</v>
          </cell>
          <cell r="C4" t="str">
            <v>Germane</v>
          </cell>
          <cell r="D4" t="str">
            <v>모노게르만</v>
          </cell>
        </row>
        <row r="5">
          <cell r="B5" t="str">
            <v>7783-07-5</v>
          </cell>
          <cell r="C5" t="str">
            <v>Selenium hydride</v>
          </cell>
          <cell r="D5" t="str">
            <v>세렌화수소</v>
          </cell>
        </row>
        <row r="6">
          <cell r="B6" t="str">
            <v>7784-42-1</v>
          </cell>
          <cell r="C6" t="str">
            <v>Arsenic hydride</v>
          </cell>
          <cell r="D6" t="str">
            <v>알진</v>
          </cell>
        </row>
        <row r="7">
          <cell r="B7" t="str">
            <v>7803-51-2</v>
          </cell>
          <cell r="C7" t="str">
            <v>Phosphine</v>
          </cell>
          <cell r="D7" t="str">
            <v>포스핀</v>
          </cell>
        </row>
        <row r="8">
          <cell r="B8" t="str">
            <v>7803-62-5</v>
          </cell>
          <cell r="C8" t="str">
            <v>Silane</v>
          </cell>
          <cell r="D8" t="str">
            <v>모노실란</v>
          </cell>
        </row>
      </sheetData>
      <sheetData sheetId="51" refreshError="1">
        <row r="1">
          <cell r="B1" t="str">
            <v>CAS No</v>
          </cell>
          <cell r="C1" t="str">
            <v>화학물질명</v>
          </cell>
          <cell r="D1" t="str">
            <v>일반명</v>
          </cell>
        </row>
        <row r="2">
          <cell r="B2" t="str">
            <v>1590-87-0</v>
          </cell>
          <cell r="C2" t="str">
            <v>Disilane</v>
          </cell>
          <cell r="D2" t="str">
            <v>디실란</v>
          </cell>
        </row>
        <row r="3">
          <cell r="B3" t="str">
            <v>7637-07-2</v>
          </cell>
          <cell r="C3" t="str">
            <v>Boron trifluoride</v>
          </cell>
          <cell r="D3" t="str">
            <v>삼불화붕소</v>
          </cell>
        </row>
        <row r="4">
          <cell r="B4" t="str">
            <v>7647-19-0</v>
          </cell>
          <cell r="C4" t="str">
            <v>Phosphorus pentafluoride</v>
          </cell>
          <cell r="D4" t="str">
            <v>오불화인</v>
          </cell>
        </row>
        <row r="5">
          <cell r="B5" t="str">
            <v>7782-65-2</v>
          </cell>
          <cell r="C5" t="str">
            <v>Germane</v>
          </cell>
          <cell r="D5" t="str">
            <v>게르만</v>
          </cell>
        </row>
        <row r="6">
          <cell r="B6" t="str">
            <v>7783-07-5</v>
          </cell>
          <cell r="C6" t="str">
            <v>Selenium hydride</v>
          </cell>
          <cell r="D6" t="str">
            <v>셀렌화수소</v>
          </cell>
        </row>
        <row r="7">
          <cell r="B7" t="str">
            <v>7783-54-2</v>
          </cell>
          <cell r="C7" t="str">
            <v>Nitrogen trifluoride</v>
          </cell>
          <cell r="D7" t="str">
            <v>삼불화질소</v>
          </cell>
        </row>
        <row r="8">
          <cell r="B8" t="str">
            <v>7783-55-3</v>
          </cell>
          <cell r="C8" t="str">
            <v>Phosphorus trifluoride</v>
          </cell>
          <cell r="D8" t="str">
            <v>삼불화인</v>
          </cell>
        </row>
        <row r="9">
          <cell r="B9" t="str">
            <v>7783-60-0</v>
          </cell>
          <cell r="C9" t="str">
            <v>Sulfur tetrafluoride</v>
          </cell>
          <cell r="D9" t="str">
            <v>사불화유황</v>
          </cell>
        </row>
        <row r="10">
          <cell r="B10" t="str">
            <v>7783-61-1</v>
          </cell>
          <cell r="C10" t="str">
            <v>Silicon tetrafluoride</v>
          </cell>
          <cell r="D10" t="str">
            <v>사불화규소</v>
          </cell>
        </row>
        <row r="11">
          <cell r="B11" t="str">
            <v>7784-36-3</v>
          </cell>
          <cell r="C11" t="str">
            <v>Arsenic pentafluoride</v>
          </cell>
          <cell r="D11" t="str">
            <v>오불화비소</v>
          </cell>
        </row>
        <row r="12">
          <cell r="B12" t="str">
            <v>7803-51-2</v>
          </cell>
          <cell r="C12" t="str">
            <v>Phosphine</v>
          </cell>
          <cell r="D12" t="str">
            <v>포스핀</v>
          </cell>
        </row>
      </sheetData>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표1" displayName="표1" ref="A1:CD77" totalsRowShown="0" headerRowDxfId="97" dataDxfId="95" headerRowBorderDxfId="96" tableBorderDxfId="94" totalsRowBorderDxfId="93">
  <tableColumns count="82">
    <tableColumn id="1" xr3:uid="{00000000-0010-0000-0000-000001000000}" name="NewSerials" dataDxfId="92"/>
    <tableColumn id="2" xr3:uid="{00000000-0010-0000-0000-000002000000}" name="NewNo." dataDxfId="91"/>
    <tableColumn id="5" xr3:uid="{00000000-0010-0000-0000-000005000000}" name="사업장명" dataDxfId="90"/>
    <tableColumn id="6" xr3:uid="{00000000-0010-0000-0000-000006000000}" name="자재코드" dataDxfId="89"/>
    <tableColumn id="7" xr3:uid="{00000000-0010-0000-0000-000007000000}" name="자재명" dataDxfId="88"/>
    <tableColumn id="8" xr3:uid="{00000000-0010-0000-0000-000008000000}" name="내자/외자" dataDxfId="87"/>
    <tableColumn id="9" xr3:uid="{00000000-0010-0000-0000-000009000000}" name="현재 취급 유무 _x000a_(O/X 선택)" dataDxfId="86"/>
    <tableColumn id="10" xr3:uid="{00000000-0010-0000-0000-00000A000000}" name="공정명" dataDxfId="85"/>
    <tableColumn id="11" xr3:uid="{00000000-0010-0000-0000-00000B000000}" name="사용부서명" dataDxfId="84"/>
    <tableColumn id="12" xr3:uid="{00000000-0010-0000-0000-00000C000000}" name="제조업체명" dataDxfId="83"/>
    <tableColumn id="13" xr3:uid="{00000000-0010-0000-0000-00000D000000}" name="공급업체명" dataDxfId="82"/>
    <tableColumn id="14" xr3:uid="{00000000-0010-0000-0000-00000E000000}" name="공급업체코드" dataDxfId="81"/>
    <tableColumn id="15" xr3:uid="{00000000-0010-0000-0000-00000F000000}" name="자재용도" dataDxfId="80"/>
    <tableColumn id="16" xr3:uid="{00000000-0010-0000-0000-000010000000}" name="자재용도(세부)" dataDxfId="79"/>
    <tableColumn id="17" xr3:uid="{00000000-0010-0000-0000-000011000000}" name="자재구분" dataDxfId="78"/>
    <tableColumn id="18" xr3:uid="{00000000-0010-0000-0000-000012000000}" name="성상" dataDxfId="77"/>
    <tableColumn id="19" xr3:uid="{00000000-0010-0000-0000-000013000000}" name="국내 구매량(kg)_x000a_2022" dataDxfId="76" dataCellStyle="쉼표 [0]"/>
    <tableColumn id="20" xr3:uid="{00000000-0010-0000-0000-000014000000}" name="국내 구매량(kg)_x000a_2022 계획" dataDxfId="75" dataCellStyle="쉼표 [0]"/>
    <tableColumn id="21" xr3:uid="{00000000-0010-0000-0000-000015000000}" name="수입량(kg) _x000a_2022" dataDxfId="74"/>
    <tableColumn id="22" xr3:uid="{00000000-0010-0000-0000-000016000000}" name="수입량(kg) _x000a_2022 계획" dataDxfId="73" dataCellStyle="쉼표 [0]"/>
    <tableColumn id="24" xr3:uid="{00000000-0010-0000-0000-000018000000}" name="사용량(kg) _x000a_2023 계획" dataDxfId="72" dataCellStyle="쉼표 [0]"/>
    <tableColumn id="23" xr3:uid="{00000000-0010-0000-0000-000017000000}" name="사용량(kg)" dataDxfId="71" dataCellStyle="쉼표 [0]"/>
    <tableColumn id="25" xr3:uid="{00000000-0010-0000-0000-000019000000}" name="(*자동생성)MSDS 명_x000a_(사용부서_자재명_제조업체명)" dataDxfId="70">
      <calculatedColumnFormula>표1[[#This Row],[자재코드]]&amp;"_"&amp;표1[[#This Row],[자재명]]&amp;"_"&amp;표1[[#This Row],[공급업체명]]</calculatedColumnFormula>
    </tableColumn>
    <tableColumn id="26" xr3:uid="{00000000-0010-0000-0000-00001A000000}" name="구성성분 명" dataDxfId="69"/>
    <tableColumn id="27" xr3:uid="{00000000-0010-0000-0000-00001B000000}" name="함량(wt%)_x000a_평균값" dataDxfId="68"/>
    <tableColumn id="28" xr3:uid="{00000000-0010-0000-0000-00001C000000}" name="함량 최소값_x000a_(수치)" dataDxfId="67"/>
    <tableColumn id="29" xr3:uid="{00000000-0010-0000-0000-00001D000000}" name="함량 최대값_x000a_(수치)" dataDxfId="66"/>
    <tableColumn id="30" xr3:uid="{00000000-0010-0000-0000-00001E000000}" name="함량(W%)" dataDxfId="65"/>
    <tableColumn id="31" xr3:uid="{00000000-0010-0000-0000-00001F000000}" name="성분용도 " dataDxfId="64"/>
    <tableColumn id="32" xr3:uid="{00000000-0010-0000-0000-000020000000}" name="대외비여부" dataDxfId="63"/>
    <tableColumn id="33" xr3:uid="{00000000-0010-0000-0000-000021000000}" name="MSDS여부" dataDxfId="62"/>
    <tableColumn id="34" xr3:uid="{00000000-0010-0000-0000-000022000000}" name="GHS여부" dataDxfId="61"/>
    <tableColumn id="35" xr3:uid="{00000000-0010-0000-0000-000023000000}" name="비고" dataDxfId="60"/>
    <tableColumn id="36" xr3:uid="{00000000-0010-0000-0000-000024000000}" name="CAS No." dataDxfId="59"/>
    <tableColumn id="37" xr3:uid="{00000000-0010-0000-0000-000025000000}" name="물질량(kg)" dataDxfId="58" dataCellStyle="쉼표 [0]">
      <calculatedColumnFormula>IFERROR(표1[[#This Row],[사용량(kg)]]*표1[[#This Row],[함량(W%)]]/100,"")</calculatedColumnFormula>
    </tableColumn>
    <tableColumn id="38" xr3:uid="{00000000-0010-0000-0000-000026000000}" name="EC No." dataDxfId="57"/>
    <tableColumn id="39" xr3:uid="{00000000-0010-0000-0000-000027000000}" name="UN No." dataDxfId="56"/>
    <tableColumn id="40" xr3:uid="{00000000-0010-0000-0000-000028000000}" name="물질명" dataDxfId="55"/>
    <tableColumn id="3" xr3:uid="{00000000-0010-0000-0000-000003000000}" name="MSDS 내 CAS No._x000a_(수화물)" dataDxfId="54"/>
    <tableColumn id="41" xr3:uid="{00000000-0010-0000-0000-000029000000}" name="신규물질" dataDxfId="53"/>
    <tableColumn id="42" xr3:uid="{00000000-0010-0000-0000-00002A000000}" name="등록대상기존화학물질" dataDxfId="52"/>
    <tableColumn id="43" xr3:uid="{00000000-0010-0000-0000-00002B000000}" name="기존화학물질번호" dataDxfId="51"/>
    <tableColumn id="44" xr3:uid="{00000000-0010-0000-0000-00002C000000}" name="유독물질 고시번호" dataDxfId="50"/>
    <tableColumn id="45" xr3:uid="{00000000-0010-0000-0000-00002D000000}" name="제품_유독물질" dataDxfId="49">
      <calculatedColumnFormula>IFERROR(IF(표1[[#This Row],[함량(W%)]]&gt;=VLOOKUP(표1[[#This Row],[CAS No.]],[1]규제DB_유해법_유독물!B:F,5,FALSE),"유독물질 제품",""),"")</calculatedColumnFormula>
    </tableColumn>
    <tableColumn id="46" xr3:uid="{00000000-0010-0000-0000-00002E000000}" name="금지물질 고시번호" dataDxfId="48">
      <calculatedColumnFormula>IFERROR(VLOOKUP(표1[[#This Row],[CAS No.]],[1]규제DB_유해법_금지물질!B:G,3,FALSE),"")</calculatedColumnFormula>
    </tableColumn>
    <tableColumn id="47" xr3:uid="{00000000-0010-0000-0000-00002F000000}" name="제품_금지물질" dataDxfId="47">
      <calculatedColumnFormula>IFERROR(VLOOKUP(표1[[#This Row],[CAS No.]],[1]규제DB_유해법_금지물질!B:G,4,FALSE)&amp;" 인지 확인하세요","")</calculatedColumnFormula>
    </tableColumn>
    <tableColumn id="48" xr3:uid="{00000000-0010-0000-0000-000030000000}" name="제한물질 고시번호" dataDxfId="46">
      <calculatedColumnFormula>IFERROR(VLOOKUP(표1[[#This Row],[CAS No.]],[1]규제DB_유해법_제한물질!B:G,3,FALSE),"")</calculatedColumnFormula>
    </tableColumn>
    <tableColumn id="49" xr3:uid="{00000000-0010-0000-0000-000031000000}" name="제품_제한물질" dataDxfId="45">
      <calculatedColumnFormula>IFERROR(IF(표1[[#This Row],[함량(W%)]]&gt;=VLOOKUP(표1[[#This Row],[CAS No.]],[1]규제DB_유해법_제한물질!$B:$G,5,FALSE),"제한 제품",""),"")</calculatedColumnFormula>
    </tableColumn>
    <tableColumn id="52" xr3:uid="{00000000-0010-0000-0000-000034000000}" name="사고대비물질명" dataDxfId="44">
      <calculatedColumnFormula>IFERROR(VLOOKUP(표1[[#This Row],[CAS No.]],[1]규제DB_유해법_사고대비물질!B:J,2,FALSE),"")</calculatedColumnFormula>
    </tableColumn>
    <tableColumn id="53" xr3:uid="{00000000-0010-0000-0000-000035000000}" name="제품 사고대비물질" dataDxfId="43">
      <calculatedColumnFormula>IFERROR(IF(표1[[#This Row],[함량(W%)]]&gt;=VLOOKUP(표1[[#This Row],[CAS No.]],[1]규제DB_유해법_사고대비물질!$B:$J,4,FALSE),"사고대비물질 제품",""),"")</calculatedColumnFormula>
    </tableColumn>
    <tableColumn id="54" xr3:uid="{00000000-0010-0000-0000-000036000000}" name="사고대비물질 저장(kg)" dataDxfId="42">
      <calculatedColumnFormula>IFERROR(VLOOKUP(표1[[#This Row],[CAS No.]],[1]규제DB_유해법_사고대비물질!$B:$J,5,FALSE),"")</calculatedColumnFormula>
    </tableColumn>
    <tableColumn id="55" xr3:uid="{00000000-0010-0000-0000-000037000000}" name="사고대비물질 취급량 기준(kg/yr)" dataDxfId="41">
      <calculatedColumnFormula>IFERROR(VLOOKUP(표1[[#This Row],[CAS No.]],[1]규제DB_유해법_사고대비물질!$B:$J,6,FALSE),"")</calculatedColumnFormula>
    </tableColumn>
    <tableColumn id="56" xr3:uid="{00000000-0010-0000-0000-000038000000}" name="사고대비물질_호흡보호구" dataDxfId="40" dataCellStyle="쉼표 [0]">
      <calculatedColumnFormula>IFERROR(IF(표1[[#This Row],[함량(W%)]]&gt;=VLOOKUP(표1[[#This Row],[CAS No.]],[1]규제DB_유해법_사고대비물질!$B:$J,4,FALSE),VLOOKUP(표1[[#This Row],[CAS No.]],[1]규제DB_유해법_사고대비물질!$B$2:$J$70,7,FALSE),""),"")</calculatedColumnFormula>
    </tableColumn>
    <tableColumn id="57" xr3:uid="{00000000-0010-0000-0000-000039000000}" name="사고대비물질_보호복" dataDxfId="39" dataCellStyle="쉼표 [0]">
      <calculatedColumnFormula>IFERROR(IF(표1[[#This Row],[함량(W%)]]&gt;=VLOOKUP(표1[[#This Row],[CAS No.]],[1]규제DB_유해법_사고대비물질!$B:$J,4,FALSE),VLOOKUP(표1[[#This Row],[CAS No.]],[1]규제DB_유해법_사고대비물질!$B$2:$J$70,8,FALSE),""),"")</calculatedColumnFormula>
    </tableColumn>
    <tableColumn id="58" xr3:uid="{00000000-0010-0000-0000-00003A000000}" name="사고대비물질_보호장갑" dataDxfId="38" dataCellStyle="쉼표 [0]">
      <calculatedColumnFormula>IFERROR(IF(표1[[#This Row],[함량(W%)]]&gt;=VLOOKUP(표1[[#This Row],[CAS No.]],[1]규제DB_유해법_사고대비물질!$B:$J,4,FALSE),VLOOKUP(표1[[#This Row],[CAS No.]],[1]규제DB_유해법_사고대비물질!$B$2:$J$70,9,FALSE),""),"")</calculatedColumnFormula>
    </tableColumn>
    <tableColumn id="59" xr3:uid="{00000000-0010-0000-0000-00003B000000}" name="배출량조사 I(1ton)" dataDxfId="37" dataCellStyle="쉼표 [0]">
      <calculatedColumnFormula>IFERROR(IF(표1[[#This Row],[함량(W%)]]&gt;=VLOOKUP(표1[[#This Row],[CAS No.]],'[1]규제DB_유해법_배출량조사 I'!$B:$D,3,FALSE),IF(VLOOKUP(표1[[#This Row],[CAS No.]],[1]기초자료!$A:$C,3,FALSE)&gt;=1000,"배출량조사 I 물질",""),""),"")</calculatedColumnFormula>
    </tableColumn>
    <tableColumn id="60" xr3:uid="{00000000-0010-0000-0000-00003C000000}" name="배출량조사 II(10ton)" dataDxfId="36" dataCellStyle="쉼표 [0]">
      <calculatedColumnFormula>IFERROR(IF(표1[[#This Row],[함량(W%)]]&gt;=VLOOKUP(표1[[#This Row],[CAS No.]],'[1]규제DB_유해법_배출량조사 II'!B:D,3,FALSE),IF(VLOOKUP(표1[[#This Row],[CAS No.]],[1]기초자료!$A:$C,3,FALSE)&gt;=10000,"배출량조사 II 물질",""),""),"")</calculatedColumnFormula>
    </tableColumn>
    <tableColumn id="61" xr3:uid="{00000000-0010-0000-0000-00003D000000}" name="산안법_금지물질" dataDxfId="35">
      <calculatedColumnFormula>IFERROR(IF(표1[[#This Row],[함량(W%)]]&gt;=VLOOKUP(표1[[#This Row],[CAS No.]],[1]규제DB_산안법_금지물질!$B:$E,4,FALSE), VLOOKUP(표1[[#This Row],[CAS No.]],[1]규제DB_산안법_금지물질!$B:$E,2,FALSE)&amp;" : "&amp;VLOOKUP(표1[[#This Row],[CAS No.]],[1]규제DB_산안법_금지물질!$B:$E,3,FALSE)&amp;" 인지 확인하세요",""),"")</calculatedColumnFormula>
    </tableColumn>
    <tableColumn id="62" xr3:uid="{00000000-0010-0000-0000-00003E000000}" name="산안법_허가물질 제품" dataDxfId="34">
      <calculatedColumnFormula>IFERROR(IF(표1[[#This Row],[함량(W%)]]&gt;=VLOOKUP(표1[[#This Row],[CAS No.]],[1]규제DB_산안법_허가물질!$B:$E,4,FALSE), "제품 허가물질",""),"")</calculatedColumnFormula>
    </tableColumn>
    <tableColumn id="63" xr3:uid="{00000000-0010-0000-0000-00003F000000}" name="산안법_특별관리물질 제품" dataDxfId="33">
      <calculatedColumnFormula>IFERROR(IF(표1[[#This Row],[함량(W%)]]&gt;=VLOOKUP(표1[[#This Row],[CAS No.]], [1]규제DB_산안법_특별관리물질!$B:$E,4,FALSE), "제품 특별관리물질",""),"")</calculatedColumnFormula>
    </tableColumn>
    <tableColumn id="64" xr3:uid="{00000000-0010-0000-0000-000040000000}" name="산안법_관리대상유해물질 제품" dataDxfId="32">
      <calculatedColumnFormula>IFERROR(IF(표1[[#This Row],[함량(W%)]]&gt;=VLOOKUP(표1[[#This Row],[CAS No.]], [1]규제DB_산안법_관리대상유해물질!$B:$E,4,FALSE), "제품 관리대상유해물질",""),"")</calculatedColumnFormula>
    </tableColumn>
    <tableColumn id="65" xr3:uid="{00000000-0010-0000-0000-000041000000}" name="산안법_허용기준이하물질 제품" dataDxfId="31">
      <calculatedColumnFormula>IFERROR(IF(표1[[#This Row],[CAS No.]]=VLOOKUP(표1[[#This Row],[CAS No.]], [1]규제DB_산안법_허용기준이하물질!$B:$D,1,FALSE),"제품 허용기준이하물질",""),"")</calculatedColumnFormula>
    </tableColumn>
    <tableColumn id="66" xr3:uid="{00000000-0010-0000-0000-000042000000}" name="산안법_허용기준이하물질 농도(TWA_mg/m3)" dataDxfId="30">
      <calculatedColumnFormula>IFERROR(VLOOKUP(표1[[#This Row],[CAS No.]], [1]규제DB_산안법_허용기준이하물질!$B:$D,3,FALSE),"")</calculatedColumnFormula>
    </tableColumn>
    <tableColumn id="67" xr3:uid="{00000000-0010-0000-0000-000043000000}" name="산안법_노출기준설정물질 제품" dataDxfId="29"/>
    <tableColumn id="68" xr3:uid="{00000000-0010-0000-0000-000044000000}" name="산안법_노출기준설정물질(TWA_ppm)" dataDxfId="28">
      <calculatedColumnFormula>IFERROR(VLOOKUP(표1[[#This Row],[CAS No.]], [1]규제DB_산안법_노출기준설정물질!$B:$K,3,FALSE),"")</calculatedColumnFormula>
    </tableColumn>
    <tableColumn id="69" xr3:uid="{00000000-0010-0000-0000-000045000000}" name="산안법_노출기준설정물질(TWA_mg/m3)" dataDxfId="27">
      <calculatedColumnFormula>IFERROR(VLOOKUP(표1[[#This Row],[CAS No.]], [1]규제DB_산안법_노출기준설정물질!$B:$K,4,FALSE),"")</calculatedColumnFormula>
    </tableColumn>
    <tableColumn id="70" xr3:uid="{00000000-0010-0000-0000-000046000000}" name="산안법_노출기준설정물질(STEL_ppm)" dataDxfId="26">
      <calculatedColumnFormula>IFERROR(VLOOKUP(표1[[#This Row],[CAS No.]], [1]규제DB_산안법_노출기준설정물질!$B:$K,5,FALSE),"")</calculatedColumnFormula>
    </tableColumn>
    <tableColumn id="71" xr3:uid="{00000000-0010-0000-0000-000047000000}" name="산안법_노출기준설정물질(STEL_mg/m3)" dataDxfId="25">
      <calculatedColumnFormula>IFERROR(VLOOKUP(표1[[#This Row],[CAS No.]], [1]규제DB_산안법_노출기준설정물질!$B:$K,7,FALSE),"")</calculatedColumnFormula>
    </tableColumn>
    <tableColumn id="72" xr3:uid="{00000000-0010-0000-0000-000048000000}" name="산안법_노출기준설정물질(Ceiling_ppm)" dataDxfId="24">
      <calculatedColumnFormula>IFERROR(VLOOKUP(표1[[#This Row],[CAS No.]], [1]규제DB_산안법_노출기준설정물질!$B:$K,8,FALSE),"")</calculatedColumnFormula>
    </tableColumn>
    <tableColumn id="73" xr3:uid="{00000000-0010-0000-0000-000049000000}" name="산안법_노출기준설정물질(Ceiling_mg/m3)" dataDxfId="23">
      <calculatedColumnFormula>IFERROR(VLOOKUP(표1[[#This Row],[CAS No.]], [1]규제DB_산안법_노출기준설정물질!$B:$K,9,FALSE),"")</calculatedColumnFormula>
    </tableColumn>
    <tableColumn id="74" xr3:uid="{00000000-0010-0000-0000-00004A000000}" name="산안법_노출기준설정물질(skin notation)" dataDxfId="22">
      <calculatedColumnFormula>IFERROR(VLOOKUP(표1[[#This Row],[CAS No.]], [1]규제DB_산안법_노출기준설정물질!$B:$K,10,FALSE),"")</calculatedColumnFormula>
    </tableColumn>
    <tableColumn id="75" xr3:uid="{00000000-0010-0000-0000-00004B000000}" name="산안법_작업환경측정대상유해인자" dataDxfId="21">
      <calculatedColumnFormula>IFERROR(IF(표1[[#This Row],[함량(W%)]]&gt;=VLOOKUP(표1[[#This Row],[CAS No.]], [1]규제DB_산안법_작업환경측정대상유해인자!$B:$F,5,FALSE), "제품 작업환경측정대상유해인자",""),"")</calculatedColumnFormula>
    </tableColumn>
    <tableColumn id="76" xr3:uid="{00000000-0010-0000-0000-00004C000000}" name="산안법_특수건강진단대상유해인자" dataDxfId="20">
      <calculatedColumnFormula>IFERROR(IF(표1[[#This Row],[CAS No.]]=VLOOKUP(표1[[#This Row],[CAS No.]], [1]규제DB_산안법_특수건강진단대상유해인자!$B:$C,1,FALSE), "제품 특수건강진단대상유해인자",""),"")</calculatedColumnFormula>
    </tableColumn>
    <tableColumn id="77" xr3:uid="{00000000-0010-0000-0000-00004D000000}" name="고용노동부고시_발암성물질" dataDxfId="19">
      <calculatedColumnFormula>IFERROR(IF(VLOOKUP(표1[[#This Row],[CAS No.]],[1]규제DB_고용노동부고시_CMR!$B:$J,3,FALSE)="구분1A", IF(표1[[#This Row],[함량(W%)]]&gt;=VLOOKUP(표1[[#This Row],[CAS No.]],[1]규제DB_고용노동부고시_CMR!$B:$J,4,FALSE),"제품 발암성물질",""), IF(VLOOKUP(표1[[#This Row],[CAS No.]],[1]규제DB_고용노동부고시_CMR!$B:$J,3,FALSE)="구분1B", IF(표1[[#This Row],[함량(W%)]]&gt;=VLOOKUP(표1[[#This Row],[CAS No.]],[1]규제DB_고용노동부고시_CMR!$B:$J,4,FALSE),"제품 발암성물질",""), IF(VLOOKUP(표1[[#This Row],[CAS No.]],[1]규제DB_고용노동부고시_CMR!$B:$J,3,FALSE)="구분2", IF(표1[[#This Row],[함량(W%)]]&gt;=VLOOKUP(표1[[#This Row],[CAS No.]],[1]규제DB_고용노동부고시_CMR!$B:$J,4,FALSE),"제품 발암성물질",""),""))),"")</calculatedColumnFormula>
    </tableColumn>
    <tableColumn id="78" xr3:uid="{00000000-0010-0000-0000-00004E000000}" name="고용노동부고시_생식세포변이원성물질" dataDxfId="18">
      <calculatedColumnFormula>IFERROR(IF(VLOOKUP(표1[[#This Row],[CAS No.]],[1]규제DB_고용노동부고시_CMR!$B:$J,5,FALSE)="구분1A", IF(표1[[#This Row],[함량(W%)]]&gt;=VLOOKUP(표1[[#This Row],[CAS No.]],[1]규제DB_고용노동부고시_CMR!$B:$J,6,FALSE),"제품 생식세포변이원성물질",""), IF(VLOOKUP(표1[[#This Row],[CAS No.]],[1]규제DB_고용노동부고시_CMR!$B:$J,5,FALSE)="구분1B", IF(표1[[#This Row],[함량(W%)]]&gt;=VLOOKUP(표1[[#This Row],[CAS No.]],[1]규제DB_고용노동부고시_CMR!$B:$J,6,FALSE),"제품 생식세포변이원성물질",""), IF(VLOOKUP(표1[[#This Row],[CAS No.]],[1]규제DB_고용노동부고시_CMR!$B:$J,5,FALSE)="구분2", IF(표1[[#This Row],[함량(W%)]]&gt;=VLOOKUP(표1[[#This Row],[CAS No.]],[1]규제DB_고용노동부고시_CMR!$B:$J,6,FALSE),"제품 생식세포변이원성물질",""),""))),"")</calculatedColumnFormula>
    </tableColumn>
    <tableColumn id="79" xr3:uid="{00000000-0010-0000-0000-00004F000000}" name="고용노동부고시_생식독성물질" dataDxfId="17">
      <calculatedColumnFormula>IFERROR(IF(VLOOKUP(표1[[#This Row],[CAS No.]],[1]규제DB_고용노동부고시_CMR!$B:$J,7,FALSE)="구분1A", IF(표1[[#This Row],[함량(W%)]]&gt;=VLOOKUP(표1[[#This Row],[CAS No.]],[1]규제DB_고용노동부고시_CMR!$B:$J,8,FALSE),"제품 생식독성물질",""), IF(VLOOKUP(표1[[#This Row],[CAS No.]],[1]규제DB_고용노동부고시_CMR!$B:$J,7,FALSE)="구분1B", IF(표1[[#This Row],[함량(W%)]]&gt;=VLOOKUP(표1[[#This Row],[CAS No.]],[1]규제DB_고용노동부고시_CMR!$B:$J,8,FALSE),"제품 생식독성물질",""), IF(VLOOKUP(표1[[#This Row],[CAS No.]],[1]규제DB_고용노동부고시_CMR!$B:$J,7,FALSE)="구분2", IF(표1[[#This Row],[함량(W%)]]&gt;=VLOOKUP(표1[[#This Row],[CAS No.]],[1]규제DB_고용노동부고시_CMR!$B:$J,8,FALSE),"제품 생식독성물질",""),""))),"")</calculatedColumnFormula>
    </tableColumn>
    <tableColumn id="80" xr3:uid="{00000000-0010-0000-0000-000050000000}" name="위험물안전관리법_위험물분류" dataDxfId="16">
      <calculatedColumnFormula>IFERROR(VLOOKUP(표1[[#This Row],[CAS No.]],[1]규제DB_위험물안전관리법_위험물!$B:$F,3,FALSE),"")</calculatedColumnFormula>
    </tableColumn>
    <tableColumn id="81" xr3:uid="{00000000-0010-0000-0000-000051000000}" name="고압가스안전관리법_독성가스" dataDxfId="15">
      <calculatedColumnFormula>IFERROR(IF(표1[[#This Row],[CAS No.]]=VLOOKUP(표1[[#This Row],[CAS No.]],[1]규제DB_고압법_독성가스!$B:$D,1,FALSE),"독성가스",""),"")</calculatedColumnFormula>
    </tableColumn>
    <tableColumn id="82" xr3:uid="{00000000-0010-0000-0000-000052000000}" name="고압가스안전관리법_가연성가스" dataDxfId="14">
      <calculatedColumnFormula>IFERROR(IF(표1[[#This Row],[CAS No.]]=VLOOKUP(표1[[#This Row],[CAS No.]],[1]규제DB_고압법_가연성가스!$B:$D,1,FALSE),"가연성가스",""),"")</calculatedColumnFormula>
    </tableColumn>
    <tableColumn id="83" xr3:uid="{00000000-0010-0000-0000-000053000000}" name="고압가스안전관리법_특수고압가스" dataDxfId="13">
      <calculatedColumnFormula>IFERROR(IF(표1[[#This Row],[CAS No.]]=VLOOKUP(표1[[#This Row],[CAS No.]],[1]규제DB_고압법_특수고압가스!$B:$D,1,FALSE),"특수고압가스",""),"")</calculatedColumnFormula>
    </tableColumn>
    <tableColumn id="84" xr3:uid="{00000000-0010-0000-0000-000054000000}" name="고압가스안전관리법_특정고압가스" dataDxfId="12">
      <calculatedColumnFormula>IFERROR(IF(표1[[#This Row],[CAS No.]]=VLOOKUP(표1[[#This Row],[CAS No.]],[1]규제DB_고압법_특정고압가스!$B:$D,1,FALSE),"특정고압가스",""),"")</calculatedColumnFormula>
    </tableColumn>
    <tableColumn id="85" xr3:uid="{00000000-0010-0000-0000-000055000000}" name="화관법_개별화학물질_취급기준(별표1)" dataDxfId="11">
      <calculatedColumnFormula>IFERROR(IF(표1[[#This Row],[함량(W%)]]&gt;=VLOOKUP(표1[[#This Row],[CAS No.]],[1]규제DB_화관법_개별취급기준!$B:$G,5,FALSE),VLOOKUP(표1[[#This Row],[CAS No.]],[1]규제DB_화관법_개별취급기준!$B:$G,6,FALSE),""),"")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0070C0"/>
  </sheetPr>
  <dimension ref="A1:CD77"/>
  <sheetViews>
    <sheetView showGridLines="0" tabSelected="1" view="pageBreakPreview" zoomScale="85" zoomScaleNormal="70" zoomScaleSheetLayoutView="85" workbookViewId="0">
      <pane xSplit="11" ySplit="1" topLeftCell="U2" activePane="bottomRight" state="frozen"/>
      <selection pane="topRight" activeCell="L1" sqref="L1"/>
      <selection pane="bottomLeft" activeCell="A2" sqref="A2"/>
      <selection pane="bottomRight" activeCell="J39" sqref="J39"/>
    </sheetView>
  </sheetViews>
  <sheetFormatPr defaultColWidth="10.5" defaultRowHeight="23.25" customHeight="1"/>
  <cols>
    <col min="1" max="1" width="9.625" style="19" bestFit="1" customWidth="1"/>
    <col min="2" max="2" width="7.375" style="19" bestFit="1" customWidth="1"/>
    <col min="3" max="3" width="14.375" style="24" bestFit="1" customWidth="1"/>
    <col min="4" max="4" width="19.125" style="19" customWidth="1"/>
    <col min="5" max="5" width="30.625" style="19" customWidth="1"/>
    <col min="6" max="6" width="8.125" style="19" bestFit="1" customWidth="1"/>
    <col min="7" max="7" width="8" style="19" bestFit="1" customWidth="1"/>
    <col min="8" max="8" width="8.125" style="19" customWidth="1"/>
    <col min="9" max="9" width="11.125" style="19" customWidth="1"/>
    <col min="10" max="10" width="18.25" style="19" customWidth="1"/>
    <col min="11" max="11" width="20.25" style="19" customWidth="1"/>
    <col min="12" max="12" width="10.5" style="19" bestFit="1" customWidth="1"/>
    <col min="13" max="13" width="9" style="19" bestFit="1" customWidth="1"/>
    <col min="14" max="14" width="29.25" style="19" customWidth="1"/>
    <col min="15" max="15" width="7.5" style="19" bestFit="1" customWidth="1"/>
    <col min="16" max="16" width="8.5" style="19" bestFit="1" customWidth="1"/>
    <col min="17" max="18" width="17.125" style="19" bestFit="1" customWidth="1"/>
    <col min="19" max="19" width="13.375" style="19" bestFit="1" customWidth="1"/>
    <col min="20" max="20" width="13.375" style="25" bestFit="1" customWidth="1"/>
    <col min="21" max="21" width="13.375" bestFit="1" customWidth="1"/>
    <col min="22" max="22" width="8.75" style="25" customWidth="1"/>
    <col min="23" max="23" width="40.75" style="26" customWidth="1"/>
    <col min="24" max="24" width="35" style="25" customWidth="1"/>
    <col min="25" max="25" width="12.75" style="25" bestFit="1" customWidth="1"/>
    <col min="26" max="26" width="11.625" style="25" customWidth="1"/>
    <col min="27" max="28" width="11.625" style="19" customWidth="1"/>
    <col min="29" max="29" width="8.375" style="19" customWidth="1"/>
    <col min="30" max="30" width="7.5" style="19" customWidth="1"/>
    <col min="31" max="31" width="9" style="19" customWidth="1"/>
    <col min="32" max="32" width="8.875" style="19" customWidth="1"/>
    <col min="33" max="33" width="11.625" style="27" customWidth="1"/>
    <col min="34" max="34" width="11.375" style="19" bestFit="1" customWidth="1"/>
    <col min="35" max="35" width="13.375" style="19" bestFit="1" customWidth="1"/>
    <col min="36" max="36" width="10.5" style="19" customWidth="1"/>
    <col min="37" max="37" width="8.875" style="28" bestFit="1" customWidth="1"/>
    <col min="38" max="38" width="64" style="19" customWidth="1"/>
    <col min="39" max="39" width="25.375" style="19" customWidth="1"/>
    <col min="40" max="40" width="20.625" style="19" customWidth="1"/>
    <col min="41" max="41" width="11.875" style="19" customWidth="1"/>
    <col min="42" max="42" width="20" style="29" bestFit="1" customWidth="1"/>
    <col min="43" max="43" width="22.875" style="29" bestFit="1" customWidth="1"/>
    <col min="44" max="44" width="14.375" style="19" bestFit="1" customWidth="1"/>
    <col min="45" max="45" width="11.25" style="19" bestFit="1" customWidth="1"/>
    <col min="46" max="46" width="14.375" style="19" bestFit="1" customWidth="1"/>
    <col min="47" max="47" width="34.5" style="19" bestFit="1" customWidth="1"/>
    <col min="48" max="48" width="14.375" style="19" bestFit="1" customWidth="1"/>
    <col min="49" max="49" width="11.25" style="19" bestFit="1" customWidth="1"/>
    <col min="50" max="50" width="15.375" style="19" bestFit="1" customWidth="1"/>
    <col min="51" max="51" width="14.375" style="19" bestFit="1" customWidth="1"/>
    <col min="52" max="52" width="18.125" style="19" bestFit="1" customWidth="1"/>
    <col min="53" max="53" width="26" style="19" bestFit="1" customWidth="1"/>
    <col min="54" max="54" width="30.25" style="19" bestFit="1" customWidth="1"/>
    <col min="55" max="55" width="23" style="25" bestFit="1" customWidth="1"/>
    <col min="56" max="56" width="18.5" style="25" bestFit="1" customWidth="1"/>
    <col min="57" max="57" width="14.75" style="25" bestFit="1" customWidth="1"/>
    <col min="58" max="58" width="16.25" style="25" bestFit="1" customWidth="1"/>
    <col min="59" max="59" width="39.375" style="25" bestFit="1" customWidth="1"/>
    <col min="60" max="60" width="16.75" style="19" bestFit="1" customWidth="1"/>
    <col min="61" max="61" width="20.125" style="19" bestFit="1" customWidth="1"/>
    <col min="62" max="63" width="23.5" style="19" bestFit="1" customWidth="1"/>
    <col min="64" max="64" width="34.875" style="19" bestFit="1" customWidth="1"/>
    <col min="65" max="65" width="23.5" style="19" bestFit="1" customWidth="1"/>
    <col min="66" max="66" width="28.875" style="19" bestFit="1" customWidth="1"/>
    <col min="67" max="67" width="30.875" style="19" bestFit="1" customWidth="1"/>
    <col min="68" max="68" width="28.75" style="19" bestFit="1" customWidth="1"/>
    <col min="69" max="69" width="30.75" style="19" bestFit="1" customWidth="1"/>
    <col min="70" max="70" width="30.5" style="19" bestFit="1" customWidth="1"/>
    <col min="71" max="71" width="32.625" style="19" bestFit="1" customWidth="1"/>
    <col min="72" max="72" width="31.125" style="19" bestFit="1" customWidth="1"/>
    <col min="73" max="74" width="26.25" style="19" bestFit="1" customWidth="1"/>
    <col min="75" max="75" width="21.25" style="19" bestFit="1" customWidth="1"/>
    <col min="76" max="76" width="29.5" style="19" bestFit="1" customWidth="1"/>
    <col min="77" max="77" width="22.875" style="19" bestFit="1" customWidth="1"/>
    <col min="78" max="78" width="43.125" style="19" bestFit="1" customWidth="1"/>
    <col min="79" max="79" width="22.875" style="19" customWidth="1"/>
    <col min="80" max="80" width="24.5" style="19" bestFit="1" customWidth="1"/>
    <col min="81" max="82" width="26.25" style="19" bestFit="1" customWidth="1"/>
    <col min="83" max="83" width="38.75" style="19" customWidth="1"/>
    <col min="84" max="84" width="33" style="19" bestFit="1" customWidth="1"/>
    <col min="85" max="16384" width="10.5" style="19"/>
  </cols>
  <sheetData>
    <row r="1" spans="1:82" s="1" customFormat="1" ht="36">
      <c r="A1" s="32" t="s">
        <v>0</v>
      </c>
      <c r="B1" s="33" t="s">
        <v>1</v>
      </c>
      <c r="C1" s="34" t="s">
        <v>2</v>
      </c>
      <c r="D1" s="35" t="s">
        <v>3</v>
      </c>
      <c r="E1" s="33" t="s">
        <v>4</v>
      </c>
      <c r="F1" s="33" t="s">
        <v>5</v>
      </c>
      <c r="G1" s="36" t="s">
        <v>6</v>
      </c>
      <c r="H1" s="37" t="s">
        <v>7</v>
      </c>
      <c r="I1" s="36" t="s">
        <v>8</v>
      </c>
      <c r="J1" s="37" t="s">
        <v>9</v>
      </c>
      <c r="K1" s="37" t="s">
        <v>10</v>
      </c>
      <c r="L1" s="37" t="s">
        <v>11</v>
      </c>
      <c r="M1" s="36" t="s">
        <v>12</v>
      </c>
      <c r="N1" s="37" t="s">
        <v>13</v>
      </c>
      <c r="O1" s="36" t="s">
        <v>14</v>
      </c>
      <c r="P1" s="36" t="s">
        <v>15</v>
      </c>
      <c r="Q1" s="38" t="s">
        <v>126</v>
      </c>
      <c r="R1" s="38" t="s">
        <v>127</v>
      </c>
      <c r="S1" s="38" t="s">
        <v>170</v>
      </c>
      <c r="T1" s="38" t="s">
        <v>171</v>
      </c>
      <c r="U1" s="38" t="s">
        <v>214</v>
      </c>
      <c r="V1" s="39" t="s">
        <v>16</v>
      </c>
      <c r="W1" s="36" t="s">
        <v>17</v>
      </c>
      <c r="X1" s="40" t="s">
        <v>18</v>
      </c>
      <c r="Y1" s="36" t="s">
        <v>19</v>
      </c>
      <c r="Z1" s="36" t="s">
        <v>20</v>
      </c>
      <c r="AA1" s="36" t="s">
        <v>21</v>
      </c>
      <c r="AB1" s="41" t="s">
        <v>22</v>
      </c>
      <c r="AC1" s="36" t="s">
        <v>23</v>
      </c>
      <c r="AD1" s="36" t="s">
        <v>24</v>
      </c>
      <c r="AE1" s="42" t="s">
        <v>25</v>
      </c>
      <c r="AF1" s="42" t="s">
        <v>26</v>
      </c>
      <c r="AG1" s="42" t="s">
        <v>27</v>
      </c>
      <c r="AH1" s="36" t="s">
        <v>28</v>
      </c>
      <c r="AI1" s="43" t="s">
        <v>29</v>
      </c>
      <c r="AJ1" s="44" t="s">
        <v>30</v>
      </c>
      <c r="AK1" s="44" t="s">
        <v>31</v>
      </c>
      <c r="AL1" s="44" t="s">
        <v>32</v>
      </c>
      <c r="AM1" s="44" t="s">
        <v>33</v>
      </c>
      <c r="AN1" s="42" t="s">
        <v>34</v>
      </c>
      <c r="AO1" s="41" t="s">
        <v>35</v>
      </c>
      <c r="AP1" s="42" t="s">
        <v>36</v>
      </c>
      <c r="AQ1" s="42" t="s">
        <v>37</v>
      </c>
      <c r="AR1" s="42" t="s">
        <v>38</v>
      </c>
      <c r="AS1" s="42" t="s">
        <v>39</v>
      </c>
      <c r="AT1" s="45" t="s">
        <v>40</v>
      </c>
      <c r="AU1" s="42" t="s">
        <v>41</v>
      </c>
      <c r="AV1" s="42" t="s">
        <v>42</v>
      </c>
      <c r="AW1" s="42" t="s">
        <v>43</v>
      </c>
      <c r="AX1" s="42" t="s">
        <v>44</v>
      </c>
      <c r="AY1" s="46" t="s">
        <v>45</v>
      </c>
      <c r="AZ1" s="46" t="s">
        <v>46</v>
      </c>
      <c r="BA1" s="46" t="s">
        <v>47</v>
      </c>
      <c r="BB1" s="46" t="s">
        <v>48</v>
      </c>
      <c r="BC1" s="46" t="s">
        <v>49</v>
      </c>
      <c r="BD1" s="42" t="s">
        <v>50</v>
      </c>
      <c r="BE1" s="42" t="s">
        <v>51</v>
      </c>
      <c r="BF1" s="47" t="s">
        <v>52</v>
      </c>
      <c r="BG1" s="47" t="s">
        <v>53</v>
      </c>
      <c r="BH1" s="47" t="s">
        <v>54</v>
      </c>
      <c r="BI1" s="47" t="s">
        <v>55</v>
      </c>
      <c r="BJ1" s="47" t="s">
        <v>56</v>
      </c>
      <c r="BK1" s="47" t="s">
        <v>57</v>
      </c>
      <c r="BL1" s="47" t="s">
        <v>58</v>
      </c>
      <c r="BM1" s="47" t="s">
        <v>59</v>
      </c>
      <c r="BN1" s="47" t="s">
        <v>60</v>
      </c>
      <c r="BO1" s="47" t="s">
        <v>61</v>
      </c>
      <c r="BP1" s="47" t="s">
        <v>62</v>
      </c>
      <c r="BQ1" s="47" t="s">
        <v>63</v>
      </c>
      <c r="BR1" s="47" t="s">
        <v>64</v>
      </c>
      <c r="BS1" s="47" t="s">
        <v>65</v>
      </c>
      <c r="BT1" s="47" t="s">
        <v>66</v>
      </c>
      <c r="BU1" s="47" t="s">
        <v>67</v>
      </c>
      <c r="BV1" s="47" t="s">
        <v>68</v>
      </c>
      <c r="BW1" s="47" t="s">
        <v>69</v>
      </c>
      <c r="BX1" s="47" t="s">
        <v>70</v>
      </c>
      <c r="BY1" s="44" t="s">
        <v>71</v>
      </c>
      <c r="BZ1" s="48" t="s">
        <v>72</v>
      </c>
      <c r="CA1" s="48" t="s">
        <v>73</v>
      </c>
      <c r="CB1" s="48" t="s">
        <v>74</v>
      </c>
      <c r="CC1" s="48" t="s">
        <v>75</v>
      </c>
      <c r="CD1" s="49" t="s">
        <v>76</v>
      </c>
    </row>
    <row r="2" spans="1:82" ht="27.95" customHeight="1">
      <c r="A2" s="13">
        <v>1</v>
      </c>
      <c r="B2" s="2"/>
      <c r="C2" s="3" t="s">
        <v>103</v>
      </c>
      <c r="D2" s="4"/>
      <c r="E2" s="50" t="s">
        <v>104</v>
      </c>
      <c r="F2" s="3" t="s">
        <v>77</v>
      </c>
      <c r="G2" s="5" t="s">
        <v>78</v>
      </c>
      <c r="H2" s="3" t="s">
        <v>79</v>
      </c>
      <c r="I2" s="50" t="s">
        <v>102</v>
      </c>
      <c r="J2" s="3" t="s">
        <v>176</v>
      </c>
      <c r="K2" s="3" t="s">
        <v>176</v>
      </c>
      <c r="L2" s="3"/>
      <c r="M2" s="5" t="s">
        <v>80</v>
      </c>
      <c r="N2" s="5" t="s">
        <v>179</v>
      </c>
      <c r="O2" s="53" t="s">
        <v>81</v>
      </c>
      <c r="P2" s="55" t="s">
        <v>98</v>
      </c>
      <c r="Q2" s="54">
        <v>200</v>
      </c>
      <c r="R2" s="6">
        <v>200</v>
      </c>
      <c r="S2" s="7"/>
      <c r="T2" s="7"/>
      <c r="U2" s="6">
        <v>200</v>
      </c>
      <c r="V2" s="6">
        <v>200</v>
      </c>
      <c r="W2" s="8" t="str">
        <f>표1[[#This Row],[자재코드]]&amp;"_"&amp;표1[[#This Row],[자재명]]&amp;"_"&amp;표1[[#This Row],[공급업체명]]</f>
        <v>_ho 402_㈜화승인더스트리</v>
      </c>
      <c r="X2" s="51" t="s">
        <v>128</v>
      </c>
      <c r="Y2" s="2"/>
      <c r="Z2" s="2"/>
      <c r="AA2" s="2"/>
      <c r="AB2" s="50">
        <v>0.9</v>
      </c>
      <c r="AC2" s="9" t="s">
        <v>177</v>
      </c>
      <c r="AD2" s="9" t="s">
        <v>83</v>
      </c>
      <c r="AE2" s="10" t="s">
        <v>84</v>
      </c>
      <c r="AF2" s="10" t="s">
        <v>84</v>
      </c>
      <c r="AG2" s="11"/>
      <c r="AH2" s="50" t="s">
        <v>180</v>
      </c>
      <c r="AI2" s="12">
        <f>IFERROR(표1[[#This Row],[사용량(kg)]]*표1[[#This Row],[함량(W%)]]/100,"")</f>
        <v>1.8</v>
      </c>
      <c r="AJ2" s="13"/>
      <c r="AK2" s="13"/>
      <c r="AL2" s="14"/>
      <c r="AM2" s="15"/>
      <c r="AN2" s="13"/>
      <c r="AO2" s="13"/>
      <c r="AP2" s="13"/>
      <c r="AQ2" s="13"/>
      <c r="AR2" s="13" t="str">
        <f>IFERROR(IF(표1[[#This Row],[함량(W%)]]&gt;=VLOOKUP(표1[[#This Row],[CAS No.]],[1]규제DB_유해법_유독물!B:F,5,FALSE),"유독물질 제품",""),"")</f>
        <v/>
      </c>
      <c r="AS2" s="13" t="str">
        <f>IFERROR(VLOOKUP(표1[[#This Row],[CAS No.]],[1]규제DB_유해법_금지물질!B:G,3,FALSE),"")</f>
        <v/>
      </c>
      <c r="AT2" s="13" t="str">
        <f>IFERROR(VLOOKUP(표1[[#This Row],[CAS No.]],[1]규제DB_유해법_금지물질!B:G,4,FALSE)&amp;" 인지 확인하세요","")</f>
        <v/>
      </c>
      <c r="AU2" s="13" t="str">
        <f>IFERROR(VLOOKUP(표1[[#This Row],[CAS No.]],[1]규제DB_유해법_제한물질!B:G,3,FALSE),"")</f>
        <v/>
      </c>
      <c r="AV2" s="13" t="str">
        <f>IFERROR(IF(표1[[#This Row],[함량(W%)]]&gt;=VLOOKUP(표1[[#This Row],[CAS No.]],[1]규제DB_유해법_제한물질!$B:$G,5,FALSE),"제한 제품",""),"")</f>
        <v/>
      </c>
      <c r="AW2" s="13"/>
      <c r="AX2" s="13"/>
      <c r="AY2" s="16"/>
      <c r="AZ2" s="16"/>
      <c r="BA2" s="17" t="str">
        <f>IFERROR(IF(표1[[#This Row],[함량(W%)]]&gt;=VLOOKUP(표1[[#This Row],[CAS No.]],[1]규제DB_유해법_사고대비물질!$B:$J,4,FALSE),VLOOKUP(표1[[#This Row],[CAS No.]],[1]규제DB_유해법_사고대비물질!$B$2:$J$70,7,FALSE),""),"")</f>
        <v/>
      </c>
      <c r="BB2" s="17" t="str">
        <f>IFERROR(IF(표1[[#This Row],[함량(W%)]]&gt;=VLOOKUP(표1[[#This Row],[CAS No.]],[1]규제DB_유해법_사고대비물질!$B:$J,4,FALSE),VLOOKUP(표1[[#This Row],[CAS No.]],[1]규제DB_유해법_사고대비물질!$B$2:$J$70,8,FALSE),""),"")</f>
        <v/>
      </c>
      <c r="BC2" s="17" t="str">
        <f>IFERROR(IF(표1[[#This Row],[함량(W%)]]&gt;=VLOOKUP(표1[[#This Row],[CAS No.]],[1]규제DB_유해법_사고대비물질!$B:$J,4,FALSE),VLOOKUP(표1[[#This Row],[CAS No.]],[1]규제DB_유해법_사고대비물질!$B$2:$J$70,9,FALSE),""),"")</f>
        <v/>
      </c>
      <c r="BD2" s="18" t="str">
        <f>IFERROR(IF(표1[[#This Row],[함량(W%)]]&gt;=VLOOKUP(표1[[#This Row],[CAS No.]],'[1]규제DB_유해법_배출량조사 I'!$B:$D,3,FALSE),IF(VLOOKUP(표1[[#This Row],[CAS No.]],[1]기초자료!$A:$C,3,FALSE)&gt;=1000,"배출량조사 I 물질",""),""),"")</f>
        <v/>
      </c>
      <c r="BE2" s="18" t="str">
        <f>IFERROR(IF(표1[[#This Row],[함량(W%)]]&gt;=VLOOKUP(표1[[#This Row],[CAS No.]],'[1]규제DB_유해법_배출량조사 II'!B:D,3,FALSE),IF(VLOOKUP(표1[[#This Row],[CAS No.]],[1]기초자료!$A:$C,3,FALSE)&gt;=10000,"배출량조사 II 물질",""),""),"")</f>
        <v/>
      </c>
      <c r="BF2" s="13" t="str">
        <f>IFERROR(IF(표1[[#This Row],[함량(W%)]]&gt;=VLOOKUP(표1[[#This Row],[CAS No.]],[1]규제DB_산안법_금지물질!$B:$E,4,FALSE), VLOOKUP(표1[[#This Row],[CAS No.]],[1]규제DB_산안법_금지물질!$B:$E,2,FALSE)&amp;" : "&amp;VLOOKUP(표1[[#This Row],[CAS No.]],[1]규제DB_산안법_금지물질!$B:$E,3,FALSE)&amp;" 인지 확인하세요",""),"")</f>
        <v/>
      </c>
      <c r="BG2" s="13" t="str">
        <f>IFERROR(IF(표1[[#This Row],[함량(W%)]]&gt;=VLOOKUP(표1[[#This Row],[CAS No.]],[1]규제DB_산안법_허가물질!$B:$E,4,FALSE), "제품 허가물질",""),"")</f>
        <v/>
      </c>
      <c r="BH2" s="13" t="str">
        <f>IFERROR(IF(표1[[#This Row],[함량(W%)]]&gt;=VLOOKUP(표1[[#This Row],[CAS No.]], [1]규제DB_산안법_특별관리물질!$B:$E,4,FALSE), "제품 특별관리물질",""),"")</f>
        <v/>
      </c>
      <c r="BI2" s="13" t="str">
        <f>IFERROR(IF(표1[[#This Row],[함량(W%)]]&gt;=VLOOKUP(표1[[#This Row],[CAS No.]], [1]규제DB_산안법_관리대상유해물질!$B:$E,4,FALSE), "제품 관리대상유해물질",""),"")</f>
        <v/>
      </c>
      <c r="BJ2" s="13" t="str">
        <f>IFERROR(IF(표1[[#This Row],[CAS No.]]=VLOOKUP(표1[[#This Row],[CAS No.]], [1]규제DB_산안법_허용기준이하물질!$B:$D,1,FALSE),"제품 허용기준이하물질",""),"")</f>
        <v/>
      </c>
      <c r="BK2" s="13" t="str">
        <f>IFERROR(VLOOKUP(표1[[#This Row],[CAS No.]], [1]규제DB_산안법_허용기준이하물질!$B:$D,3,FALSE),"")</f>
        <v/>
      </c>
      <c r="BL2" s="13"/>
      <c r="BM2" s="13"/>
      <c r="BN2" s="13"/>
      <c r="BO2" s="13"/>
      <c r="BP2" s="13"/>
      <c r="BQ2" s="13" t="str">
        <f>IFERROR(VLOOKUP(표1[[#This Row],[CAS No.]], [1]규제DB_산안법_노출기준설정물질!$B:$K,8,FALSE),"")</f>
        <v/>
      </c>
      <c r="BR2" s="13" t="str">
        <f>IFERROR(VLOOKUP(표1[[#This Row],[CAS No.]], [1]규제DB_산안법_노출기준설정물질!$B:$K,9,FALSE),"")</f>
        <v/>
      </c>
      <c r="BS2" s="13" t="str">
        <f>IFERROR(VLOOKUP(표1[[#This Row],[CAS No.]], [1]규제DB_산안법_노출기준설정물질!$B:$K,10,FALSE),"")</f>
        <v/>
      </c>
      <c r="BT2" s="13"/>
      <c r="BU2" s="13"/>
      <c r="BV2" s="13" t="str">
        <f>IFERROR(IF(VLOOKUP(표1[[#This Row],[CAS No.]],[1]규제DB_고용노동부고시_CMR!$B:$J,3,FALSE)="구분1A", IF(표1[[#This Row],[함량(W%)]]&gt;=VLOOKUP(표1[[#This Row],[CAS No.]],[1]규제DB_고용노동부고시_CMR!$B:$J,4,FALSE),"제품 발암성물질",""), IF(VLOOKUP(표1[[#This Row],[CAS No.]],[1]규제DB_고용노동부고시_CMR!$B:$J,3,FALSE)="구분1B", IF(표1[[#This Row],[함량(W%)]]&gt;=VLOOKUP(표1[[#This Row],[CAS No.]],[1]규제DB_고용노동부고시_CMR!$B:$J,4,FALSE),"제품 발암성물질",""), IF(VLOOKUP(표1[[#This Row],[CAS No.]],[1]규제DB_고용노동부고시_CMR!$B:$J,3,FALSE)="구분2", IF(표1[[#This Row],[함량(W%)]]&gt;=VLOOKUP(표1[[#This Row],[CAS No.]],[1]규제DB_고용노동부고시_CMR!$B:$J,4,FALSE),"제품 발암성물질",""),""))),"")</f>
        <v/>
      </c>
      <c r="BW2" s="13" t="str">
        <f>IFERROR(IF(VLOOKUP(표1[[#This Row],[CAS No.]],[1]규제DB_고용노동부고시_CMR!$B:$J,5,FALSE)="구분1A", IF(표1[[#This Row],[함량(W%)]]&gt;=VLOOKUP(표1[[#This Row],[CAS No.]],[1]규제DB_고용노동부고시_CMR!$B:$J,6,FALSE),"제품 생식세포변이원성물질",""), IF(VLOOKUP(표1[[#This Row],[CAS No.]],[1]규제DB_고용노동부고시_CMR!$B:$J,5,FALSE)="구분1B", IF(표1[[#This Row],[함량(W%)]]&gt;=VLOOKUP(표1[[#This Row],[CAS No.]],[1]규제DB_고용노동부고시_CMR!$B:$J,6,FALSE),"제품 생식세포변이원성물질",""), IF(VLOOKUP(표1[[#This Row],[CAS No.]],[1]규제DB_고용노동부고시_CMR!$B:$J,5,FALSE)="구분2", IF(표1[[#This Row],[함량(W%)]]&gt;=VLOOKUP(표1[[#This Row],[CAS No.]],[1]규제DB_고용노동부고시_CMR!$B:$J,6,FALSE),"제품 생식세포변이원성물질",""),""))),"")</f>
        <v/>
      </c>
      <c r="BX2" s="13" t="str">
        <f>IFERROR(IF(VLOOKUP(표1[[#This Row],[CAS No.]],[1]규제DB_고용노동부고시_CMR!$B:$J,7,FALSE)="구분1A", IF(표1[[#This Row],[함량(W%)]]&gt;=VLOOKUP(표1[[#This Row],[CAS No.]],[1]규제DB_고용노동부고시_CMR!$B:$J,8,FALSE),"제품 생식독성물질",""), IF(VLOOKUP(표1[[#This Row],[CAS No.]],[1]규제DB_고용노동부고시_CMR!$B:$J,7,FALSE)="구분1B", IF(표1[[#This Row],[함량(W%)]]&gt;=VLOOKUP(표1[[#This Row],[CAS No.]],[1]규제DB_고용노동부고시_CMR!$B:$J,8,FALSE),"제품 생식독성물질",""), IF(VLOOKUP(표1[[#This Row],[CAS No.]],[1]규제DB_고용노동부고시_CMR!$B:$J,7,FALSE)="구분2", IF(표1[[#This Row],[함량(W%)]]&gt;=VLOOKUP(표1[[#This Row],[CAS No.]],[1]규제DB_고용노동부고시_CMR!$B:$J,8,FALSE),"제품 생식독성물질",""),""))),"")</f>
        <v/>
      </c>
      <c r="BY2" s="13" t="str">
        <f>IFERROR(VLOOKUP(표1[[#This Row],[CAS No.]],[1]규제DB_위험물안전관리법_위험물!$B:$F,3,FALSE),"")</f>
        <v/>
      </c>
      <c r="BZ2" s="13" t="str">
        <f>IFERROR(IF(표1[[#This Row],[CAS No.]]=VLOOKUP(표1[[#This Row],[CAS No.]],[1]규제DB_고압법_독성가스!$B:$D,1,FALSE),"독성가스",""),"")</f>
        <v/>
      </c>
      <c r="CA2" s="13" t="str">
        <f>IFERROR(IF(표1[[#This Row],[CAS No.]]=VLOOKUP(표1[[#This Row],[CAS No.]],[1]규제DB_고압법_가연성가스!$B:$D,1,FALSE),"가연성가스",""),"")</f>
        <v/>
      </c>
      <c r="CB2" s="13" t="str">
        <f>IFERROR(IF(표1[[#This Row],[CAS No.]]=VLOOKUP(표1[[#This Row],[CAS No.]],[1]규제DB_고압법_특수고압가스!$B:$D,1,FALSE),"특수고압가스",""),"")</f>
        <v/>
      </c>
      <c r="CC2" s="13" t="str">
        <f>IFERROR(IF(표1[[#This Row],[CAS No.]]=VLOOKUP(표1[[#This Row],[CAS No.]],[1]규제DB_고압법_특정고압가스!$B:$D,1,FALSE),"특정고압가스",""),"")</f>
        <v/>
      </c>
      <c r="CD2" s="13" t="str">
        <f>IFERROR(IF(표1[[#This Row],[함량(W%)]]&gt;=VLOOKUP(표1[[#This Row],[CAS No.]],[1]규제DB_화관법_개별취급기준!$B:$G,5,FALSE),VLOOKUP(표1[[#This Row],[CAS No.]],[1]규제DB_화관법_개별취급기준!$B:$G,6,FALSE),""),"")</f>
        <v/>
      </c>
    </row>
    <row r="3" spans="1:82" ht="27.95" customHeight="1">
      <c r="A3" s="13">
        <v>2</v>
      </c>
      <c r="B3" s="2"/>
      <c r="C3" s="3" t="s">
        <v>103</v>
      </c>
      <c r="D3" s="4"/>
      <c r="E3" s="50" t="s">
        <v>104</v>
      </c>
      <c r="F3" s="3" t="s">
        <v>77</v>
      </c>
      <c r="G3" s="5" t="s">
        <v>78</v>
      </c>
      <c r="H3" s="3" t="s">
        <v>79</v>
      </c>
      <c r="I3" s="50" t="s">
        <v>102</v>
      </c>
      <c r="J3" s="3" t="s">
        <v>176</v>
      </c>
      <c r="K3" s="3" t="s">
        <v>176</v>
      </c>
      <c r="L3" s="3"/>
      <c r="M3" s="5" t="s">
        <v>80</v>
      </c>
      <c r="N3" s="5" t="s">
        <v>179</v>
      </c>
      <c r="O3" s="53" t="s">
        <v>81</v>
      </c>
      <c r="P3" s="55" t="s">
        <v>98</v>
      </c>
      <c r="Q3" s="54">
        <v>200</v>
      </c>
      <c r="R3" s="6">
        <v>200</v>
      </c>
      <c r="S3" s="17"/>
      <c r="T3" s="17"/>
      <c r="U3" s="6">
        <v>200</v>
      </c>
      <c r="V3" s="6">
        <v>200</v>
      </c>
      <c r="W3" s="8" t="str">
        <f>표1[[#This Row],[자재코드]]&amp;"_"&amp;표1[[#This Row],[자재명]]&amp;"_"&amp;표1[[#This Row],[공급업체명]]</f>
        <v>_ho 402_㈜화승인더스트리</v>
      </c>
      <c r="X3" s="51" t="s">
        <v>129</v>
      </c>
      <c r="Y3" s="13"/>
      <c r="Z3" s="13"/>
      <c r="AA3" s="13"/>
      <c r="AB3" s="50">
        <v>9</v>
      </c>
      <c r="AC3" s="20" t="s">
        <v>177</v>
      </c>
      <c r="AD3" s="9" t="s">
        <v>83</v>
      </c>
      <c r="AE3" s="10" t="s">
        <v>84</v>
      </c>
      <c r="AF3" s="10" t="s">
        <v>84</v>
      </c>
      <c r="AG3" s="11"/>
      <c r="AH3" s="50" t="s">
        <v>181</v>
      </c>
      <c r="AI3" s="12">
        <f>IFERROR(표1[[#This Row],[사용량(kg)]]*표1[[#This Row],[함량(W%)]]/100,"")</f>
        <v>18</v>
      </c>
      <c r="AJ3" s="13"/>
      <c r="AK3" s="13"/>
      <c r="AL3" s="14"/>
      <c r="AM3" s="15"/>
      <c r="AN3" s="13"/>
      <c r="AO3" s="13"/>
      <c r="AP3" s="13"/>
      <c r="AQ3" s="13"/>
      <c r="AR3" s="13" t="str">
        <f>IFERROR(IF(표1[[#This Row],[함량(W%)]]&gt;=VLOOKUP(표1[[#This Row],[CAS No.]],[1]규제DB_유해법_유독물!B:F,5,FALSE),"유독물질 제품",""),"")</f>
        <v/>
      </c>
      <c r="AS3" s="13" t="str">
        <f>IFERROR(VLOOKUP(표1[[#This Row],[CAS No.]],[1]규제DB_유해법_금지물질!B:G,3,FALSE),"")</f>
        <v/>
      </c>
      <c r="AT3" s="13" t="str">
        <f>IFERROR(VLOOKUP(표1[[#This Row],[CAS No.]],[1]규제DB_유해법_금지물질!B:G,4,FALSE)&amp;" 인지 확인하세요","")</f>
        <v/>
      </c>
      <c r="AU3" s="13" t="str">
        <f>IFERROR(VLOOKUP(표1[[#This Row],[CAS No.]],[1]규제DB_유해법_제한물질!B:G,3,FALSE),"")</f>
        <v/>
      </c>
      <c r="AV3" s="13" t="str">
        <f>IFERROR(IF(표1[[#This Row],[함량(W%)]]&gt;=VLOOKUP(표1[[#This Row],[CAS No.]],[1]규제DB_유해법_제한물질!$B:$G,5,FALSE),"제한 제품",""),"")</f>
        <v/>
      </c>
      <c r="AW3" s="13"/>
      <c r="AX3" s="13"/>
      <c r="AY3" s="16"/>
      <c r="AZ3" s="16"/>
      <c r="BA3" s="17" t="str">
        <f>IFERROR(IF(표1[[#This Row],[함량(W%)]]&gt;=VLOOKUP(표1[[#This Row],[CAS No.]],[1]규제DB_유해법_사고대비물질!$B:$J,4,FALSE),VLOOKUP(표1[[#This Row],[CAS No.]],[1]규제DB_유해법_사고대비물질!$B$2:$J$70,7,FALSE),""),"")</f>
        <v/>
      </c>
      <c r="BB3" s="17" t="str">
        <f>IFERROR(IF(표1[[#This Row],[함량(W%)]]&gt;=VLOOKUP(표1[[#This Row],[CAS No.]],[1]규제DB_유해법_사고대비물질!$B:$J,4,FALSE),VLOOKUP(표1[[#This Row],[CAS No.]],[1]규제DB_유해법_사고대비물질!$B$2:$J$70,8,FALSE),""),"")</f>
        <v/>
      </c>
      <c r="BC3" s="17" t="str">
        <f>IFERROR(IF(표1[[#This Row],[함량(W%)]]&gt;=VLOOKUP(표1[[#This Row],[CAS No.]],[1]규제DB_유해법_사고대비물질!$B:$J,4,FALSE),VLOOKUP(표1[[#This Row],[CAS No.]],[1]규제DB_유해법_사고대비물질!$B$2:$J$70,9,FALSE),""),"")</f>
        <v/>
      </c>
      <c r="BD3" s="18" t="str">
        <f>IFERROR(IF(표1[[#This Row],[함량(W%)]]&gt;=VLOOKUP(표1[[#This Row],[CAS No.]],'[1]규제DB_유해법_배출량조사 I'!$B:$D,3,FALSE),IF(VLOOKUP(표1[[#This Row],[CAS No.]],[1]기초자료!$A:$C,3,FALSE)&gt;=1000,"배출량조사 I 물질",""),""),"")</f>
        <v/>
      </c>
      <c r="BE3" s="18" t="str">
        <f>IFERROR(IF(표1[[#This Row],[함량(W%)]]&gt;=VLOOKUP(표1[[#This Row],[CAS No.]],'[1]규제DB_유해법_배출량조사 II'!B:D,3,FALSE),IF(VLOOKUP(표1[[#This Row],[CAS No.]],[1]기초자료!$A:$C,3,FALSE)&gt;=10000,"배출량조사 II 물질",""),""),"")</f>
        <v/>
      </c>
      <c r="BF3" s="13" t="str">
        <f>IFERROR(IF(표1[[#This Row],[함량(W%)]]&gt;=VLOOKUP(표1[[#This Row],[CAS No.]],[1]규제DB_산안법_금지물질!$B:$E,4,FALSE), VLOOKUP(표1[[#This Row],[CAS No.]],[1]규제DB_산안법_금지물질!$B:$E,2,FALSE)&amp;" : "&amp;VLOOKUP(표1[[#This Row],[CAS No.]],[1]규제DB_산안법_금지물질!$B:$E,3,FALSE)&amp;" 인지 확인하세요",""),"")</f>
        <v/>
      </c>
      <c r="BG3" s="13" t="str">
        <f>IFERROR(IF(표1[[#This Row],[함량(W%)]]&gt;=VLOOKUP(표1[[#This Row],[CAS No.]],[1]규제DB_산안법_허가물질!$B:$E,4,FALSE), "제품 허가물질",""),"")</f>
        <v/>
      </c>
      <c r="BH3" s="13" t="str">
        <f>IFERROR(IF(표1[[#This Row],[함량(W%)]]&gt;=VLOOKUP(표1[[#This Row],[CAS No.]], [1]규제DB_산안법_특별관리물질!$B:$E,4,FALSE), "제품 특별관리물질",""),"")</f>
        <v/>
      </c>
      <c r="BI3" s="13" t="str">
        <f>IFERROR(IF(표1[[#This Row],[함량(W%)]]&gt;=VLOOKUP(표1[[#This Row],[CAS No.]], [1]규제DB_산안법_관리대상유해물질!$B:$E,4,FALSE), "제품 관리대상유해물질",""),"")</f>
        <v/>
      </c>
      <c r="BJ3" s="13" t="str">
        <f>IFERROR(IF(표1[[#This Row],[CAS No.]]=VLOOKUP(표1[[#This Row],[CAS No.]], [1]규제DB_산안법_허용기준이하물질!$B:$D,1,FALSE),"제품 허용기준이하물질",""),"")</f>
        <v/>
      </c>
      <c r="BK3" s="13" t="str">
        <f>IFERROR(VLOOKUP(표1[[#This Row],[CAS No.]], [1]규제DB_산안법_허용기준이하물질!$B:$D,3,FALSE),"")</f>
        <v/>
      </c>
      <c r="BL3" s="13"/>
      <c r="BM3" s="13"/>
      <c r="BN3" s="13"/>
      <c r="BO3" s="13"/>
      <c r="BP3" s="13"/>
      <c r="BQ3" s="13" t="str">
        <f>IFERROR(VLOOKUP(표1[[#This Row],[CAS No.]], [1]규제DB_산안법_노출기준설정물질!$B:$K,8,FALSE),"")</f>
        <v/>
      </c>
      <c r="BR3" s="13" t="str">
        <f>IFERROR(VLOOKUP(표1[[#This Row],[CAS No.]], [1]규제DB_산안법_노출기준설정물질!$B:$K,9,FALSE),"")</f>
        <v/>
      </c>
      <c r="BS3" s="13" t="str">
        <f>IFERROR(VLOOKUP(표1[[#This Row],[CAS No.]], [1]규제DB_산안법_노출기준설정물질!$B:$K,10,FALSE),"")</f>
        <v/>
      </c>
      <c r="BT3" s="13"/>
      <c r="BU3" s="13"/>
      <c r="BV3" s="13" t="str">
        <f>IFERROR(IF(VLOOKUP(표1[[#This Row],[CAS No.]],[1]규제DB_고용노동부고시_CMR!$B:$J,3,FALSE)="구분1A", IF(표1[[#This Row],[함량(W%)]]&gt;=VLOOKUP(표1[[#This Row],[CAS No.]],[1]규제DB_고용노동부고시_CMR!$B:$J,4,FALSE),"제품 발암성물질",""), IF(VLOOKUP(표1[[#This Row],[CAS No.]],[1]규제DB_고용노동부고시_CMR!$B:$J,3,FALSE)="구분1B", IF(표1[[#This Row],[함량(W%)]]&gt;=VLOOKUP(표1[[#This Row],[CAS No.]],[1]규제DB_고용노동부고시_CMR!$B:$J,4,FALSE),"제품 발암성물질",""), IF(VLOOKUP(표1[[#This Row],[CAS No.]],[1]규제DB_고용노동부고시_CMR!$B:$J,3,FALSE)="구분2", IF(표1[[#This Row],[함량(W%)]]&gt;=VLOOKUP(표1[[#This Row],[CAS No.]],[1]규제DB_고용노동부고시_CMR!$B:$J,4,FALSE),"제품 발암성물질",""),""))),"")</f>
        <v/>
      </c>
      <c r="BW3" s="13" t="str">
        <f>IFERROR(IF(VLOOKUP(표1[[#This Row],[CAS No.]],[1]규제DB_고용노동부고시_CMR!$B:$J,5,FALSE)="구분1A", IF(표1[[#This Row],[함량(W%)]]&gt;=VLOOKUP(표1[[#This Row],[CAS No.]],[1]규제DB_고용노동부고시_CMR!$B:$J,6,FALSE),"제품 생식세포변이원성물질",""), IF(VLOOKUP(표1[[#This Row],[CAS No.]],[1]규제DB_고용노동부고시_CMR!$B:$J,5,FALSE)="구분1B", IF(표1[[#This Row],[함량(W%)]]&gt;=VLOOKUP(표1[[#This Row],[CAS No.]],[1]규제DB_고용노동부고시_CMR!$B:$J,6,FALSE),"제품 생식세포변이원성물질",""), IF(VLOOKUP(표1[[#This Row],[CAS No.]],[1]규제DB_고용노동부고시_CMR!$B:$J,5,FALSE)="구분2", IF(표1[[#This Row],[함량(W%)]]&gt;=VLOOKUP(표1[[#This Row],[CAS No.]],[1]규제DB_고용노동부고시_CMR!$B:$J,6,FALSE),"제품 생식세포변이원성물질",""),""))),"")</f>
        <v/>
      </c>
      <c r="BX3" s="13" t="str">
        <f>IFERROR(IF(VLOOKUP(표1[[#This Row],[CAS No.]],[1]규제DB_고용노동부고시_CMR!$B:$J,7,FALSE)="구분1A", IF(표1[[#This Row],[함량(W%)]]&gt;=VLOOKUP(표1[[#This Row],[CAS No.]],[1]규제DB_고용노동부고시_CMR!$B:$J,8,FALSE),"제품 생식독성물질",""), IF(VLOOKUP(표1[[#This Row],[CAS No.]],[1]규제DB_고용노동부고시_CMR!$B:$J,7,FALSE)="구분1B", IF(표1[[#This Row],[함량(W%)]]&gt;=VLOOKUP(표1[[#This Row],[CAS No.]],[1]규제DB_고용노동부고시_CMR!$B:$J,8,FALSE),"제품 생식독성물질",""), IF(VLOOKUP(표1[[#This Row],[CAS No.]],[1]규제DB_고용노동부고시_CMR!$B:$J,7,FALSE)="구분2", IF(표1[[#This Row],[함량(W%)]]&gt;=VLOOKUP(표1[[#This Row],[CAS No.]],[1]규제DB_고용노동부고시_CMR!$B:$J,8,FALSE),"제품 생식독성물질",""),""))),"")</f>
        <v/>
      </c>
      <c r="BY3" s="13" t="str">
        <f>IFERROR(VLOOKUP(표1[[#This Row],[CAS No.]],[1]규제DB_위험물안전관리법_위험물!$B:$F,3,FALSE),"")</f>
        <v/>
      </c>
      <c r="BZ3" s="13" t="str">
        <f>IFERROR(IF(표1[[#This Row],[CAS No.]]=VLOOKUP(표1[[#This Row],[CAS No.]],[1]규제DB_고압법_독성가스!$B:$D,1,FALSE),"독성가스",""),"")</f>
        <v/>
      </c>
      <c r="CA3" s="13" t="str">
        <f>IFERROR(IF(표1[[#This Row],[CAS No.]]=VLOOKUP(표1[[#This Row],[CAS No.]],[1]규제DB_고압법_가연성가스!$B:$D,1,FALSE),"가연성가스",""),"")</f>
        <v/>
      </c>
      <c r="CB3" s="13" t="str">
        <f>IFERROR(IF(표1[[#This Row],[CAS No.]]=VLOOKUP(표1[[#This Row],[CAS No.]],[1]규제DB_고압법_특수고압가스!$B:$D,1,FALSE),"특수고압가스",""),"")</f>
        <v/>
      </c>
      <c r="CC3" s="13" t="str">
        <f>IFERROR(IF(표1[[#This Row],[CAS No.]]=VLOOKUP(표1[[#This Row],[CAS No.]],[1]규제DB_고압법_특정고압가스!$B:$D,1,FALSE),"특정고압가스",""),"")</f>
        <v/>
      </c>
      <c r="CD3" s="13" t="str">
        <f>IFERROR(IF(표1[[#This Row],[함량(W%)]]&gt;=VLOOKUP(표1[[#This Row],[CAS No.]],[1]규제DB_화관법_개별취급기준!$B:$G,5,FALSE),VLOOKUP(표1[[#This Row],[CAS No.]],[1]규제DB_화관법_개별취급기준!$B:$G,6,FALSE),""),"")</f>
        <v/>
      </c>
    </row>
    <row r="4" spans="1:82" ht="36.75" customHeight="1">
      <c r="A4" s="13">
        <v>3</v>
      </c>
      <c r="B4" s="2"/>
      <c r="C4" s="3" t="s">
        <v>103</v>
      </c>
      <c r="D4" s="4"/>
      <c r="E4" s="50" t="s">
        <v>104</v>
      </c>
      <c r="F4" s="3" t="s">
        <v>77</v>
      </c>
      <c r="G4" s="5" t="s">
        <v>78</v>
      </c>
      <c r="H4" s="3" t="s">
        <v>79</v>
      </c>
      <c r="I4" s="50" t="s">
        <v>102</v>
      </c>
      <c r="J4" s="3" t="s">
        <v>176</v>
      </c>
      <c r="K4" s="3" t="s">
        <v>176</v>
      </c>
      <c r="L4" s="3"/>
      <c r="M4" s="5" t="s">
        <v>80</v>
      </c>
      <c r="N4" s="5" t="s">
        <v>179</v>
      </c>
      <c r="O4" s="53" t="s">
        <v>81</v>
      </c>
      <c r="P4" s="55" t="s">
        <v>98</v>
      </c>
      <c r="Q4" s="54">
        <v>200</v>
      </c>
      <c r="R4" s="6">
        <v>200</v>
      </c>
      <c r="S4" s="7"/>
      <c r="T4" s="7"/>
      <c r="U4" s="6">
        <v>200</v>
      </c>
      <c r="V4" s="6">
        <v>200</v>
      </c>
      <c r="W4" s="8" t="str">
        <f>표1[[#This Row],[자재코드]]&amp;"_"&amp;표1[[#This Row],[자재명]]&amp;"_"&amp;표1[[#This Row],[공급업체명]]</f>
        <v>_ho 402_㈜화승인더스트리</v>
      </c>
      <c r="X4" s="51" t="s">
        <v>130</v>
      </c>
      <c r="Y4" s="13"/>
      <c r="Z4" s="13"/>
      <c r="AA4" s="13"/>
      <c r="AB4" s="50">
        <v>10</v>
      </c>
      <c r="AC4" s="9" t="s">
        <v>177</v>
      </c>
      <c r="AD4" s="9" t="s">
        <v>83</v>
      </c>
      <c r="AE4" s="10" t="s">
        <v>84</v>
      </c>
      <c r="AF4" s="10" t="s">
        <v>84</v>
      </c>
      <c r="AG4" s="11"/>
      <c r="AH4" s="50" t="s">
        <v>182</v>
      </c>
      <c r="AI4" s="12">
        <f>IFERROR(표1[[#This Row],[사용량(kg)]]*표1[[#This Row],[함량(W%)]]/100,"")</f>
        <v>20</v>
      </c>
      <c r="AJ4" s="13"/>
      <c r="AK4" s="13"/>
      <c r="AL4" s="14"/>
      <c r="AM4" s="15"/>
      <c r="AN4" s="13"/>
      <c r="AO4" s="13"/>
      <c r="AP4" s="13"/>
      <c r="AQ4" s="13"/>
      <c r="AR4" s="13" t="str">
        <f>IFERROR(IF(표1[[#This Row],[함량(W%)]]&gt;=VLOOKUP(표1[[#This Row],[CAS No.]],[1]규제DB_유해법_유독물!B:F,5,FALSE),"유독물질 제품",""),"")</f>
        <v/>
      </c>
      <c r="AS4" s="13" t="str">
        <f>IFERROR(VLOOKUP(표1[[#This Row],[CAS No.]],[1]규제DB_유해법_금지물질!B:G,3,FALSE),"")</f>
        <v/>
      </c>
      <c r="AT4" s="13" t="str">
        <f>IFERROR(VLOOKUP(표1[[#This Row],[CAS No.]],[1]규제DB_유해법_금지물질!B:G,4,FALSE)&amp;" 인지 확인하세요","")</f>
        <v/>
      </c>
      <c r="AU4" s="13" t="str">
        <f>IFERROR(VLOOKUP(표1[[#This Row],[CAS No.]],[1]규제DB_유해법_제한물질!B:G,3,FALSE),"")</f>
        <v/>
      </c>
      <c r="AV4" s="13" t="str">
        <f>IFERROR(IF(표1[[#This Row],[함량(W%)]]&gt;=VLOOKUP(표1[[#This Row],[CAS No.]],[1]규제DB_유해법_제한물질!$B:$G,5,FALSE),"제한 제품",""),"")</f>
        <v/>
      </c>
      <c r="AW4" s="13"/>
      <c r="AX4" s="13"/>
      <c r="AY4" s="16"/>
      <c r="AZ4" s="16"/>
      <c r="BA4" s="17" t="str">
        <f>IFERROR(IF(표1[[#This Row],[함량(W%)]]&gt;=VLOOKUP(표1[[#This Row],[CAS No.]],[1]규제DB_유해법_사고대비물질!$B:$J,4,FALSE),VLOOKUP(표1[[#This Row],[CAS No.]],[1]규제DB_유해법_사고대비물질!$B$2:$J$70,7,FALSE),""),"")</f>
        <v/>
      </c>
      <c r="BB4" s="17" t="str">
        <f>IFERROR(IF(표1[[#This Row],[함량(W%)]]&gt;=VLOOKUP(표1[[#This Row],[CAS No.]],[1]규제DB_유해법_사고대비물질!$B:$J,4,FALSE),VLOOKUP(표1[[#This Row],[CAS No.]],[1]규제DB_유해법_사고대비물질!$B$2:$J$70,8,FALSE),""),"")</f>
        <v/>
      </c>
      <c r="BC4" s="17" t="str">
        <f>IFERROR(IF(표1[[#This Row],[함량(W%)]]&gt;=VLOOKUP(표1[[#This Row],[CAS No.]],[1]규제DB_유해법_사고대비물질!$B:$J,4,FALSE),VLOOKUP(표1[[#This Row],[CAS No.]],[1]규제DB_유해법_사고대비물질!$B$2:$J$70,9,FALSE),""),"")</f>
        <v/>
      </c>
      <c r="BD4" s="18" t="str">
        <f>IFERROR(IF(표1[[#This Row],[함량(W%)]]&gt;=VLOOKUP(표1[[#This Row],[CAS No.]],'[1]규제DB_유해법_배출량조사 I'!$B:$D,3,FALSE),IF(VLOOKUP(표1[[#This Row],[CAS No.]],[1]기초자료!$A:$C,3,FALSE)&gt;=1000,"배출량조사 I 물질",""),""),"")</f>
        <v/>
      </c>
      <c r="BE4" s="18" t="str">
        <f>IFERROR(IF(표1[[#This Row],[함량(W%)]]&gt;=VLOOKUP(표1[[#This Row],[CAS No.]],'[1]규제DB_유해법_배출량조사 II'!B:D,3,FALSE),IF(VLOOKUP(표1[[#This Row],[CAS No.]],[1]기초자료!$A:$C,3,FALSE)&gt;=10000,"배출량조사 II 물질",""),""),"")</f>
        <v/>
      </c>
      <c r="BF4" s="13" t="str">
        <f>IFERROR(IF(표1[[#This Row],[함량(W%)]]&gt;=VLOOKUP(표1[[#This Row],[CAS No.]],[1]규제DB_산안법_금지물질!$B:$E,4,FALSE), VLOOKUP(표1[[#This Row],[CAS No.]],[1]규제DB_산안법_금지물질!$B:$E,2,FALSE)&amp;" : "&amp;VLOOKUP(표1[[#This Row],[CAS No.]],[1]규제DB_산안법_금지물질!$B:$E,3,FALSE)&amp;" 인지 확인하세요",""),"")</f>
        <v/>
      </c>
      <c r="BG4" s="13" t="str">
        <f>IFERROR(IF(표1[[#This Row],[함량(W%)]]&gt;=VLOOKUP(표1[[#This Row],[CAS No.]],[1]규제DB_산안법_허가물질!$B:$E,4,FALSE), "제품 허가물질",""),"")</f>
        <v/>
      </c>
      <c r="BH4" s="13" t="str">
        <f>IFERROR(IF(표1[[#This Row],[함량(W%)]]&gt;=VLOOKUP(표1[[#This Row],[CAS No.]], [1]규제DB_산안법_특별관리물질!$B:$E,4,FALSE), "제품 특별관리물질",""),"")</f>
        <v/>
      </c>
      <c r="BI4" s="13" t="str">
        <f>IFERROR(IF(표1[[#This Row],[함량(W%)]]&gt;=VLOOKUP(표1[[#This Row],[CAS No.]], [1]규제DB_산안법_관리대상유해물질!$B:$E,4,FALSE), "제품 관리대상유해물질",""),"")</f>
        <v/>
      </c>
      <c r="BJ4" s="13" t="str">
        <f>IFERROR(IF(표1[[#This Row],[CAS No.]]=VLOOKUP(표1[[#This Row],[CAS No.]], [1]규제DB_산안법_허용기준이하물질!$B:$D,1,FALSE),"제품 허용기준이하물질",""),"")</f>
        <v/>
      </c>
      <c r="BK4" s="13" t="str">
        <f>IFERROR(VLOOKUP(표1[[#This Row],[CAS No.]], [1]규제DB_산안법_허용기준이하물질!$B:$D,3,FALSE),"")</f>
        <v/>
      </c>
      <c r="BL4" s="13"/>
      <c r="BM4" s="13"/>
      <c r="BN4" s="13"/>
      <c r="BO4" s="13"/>
      <c r="BP4" s="13"/>
      <c r="BQ4" s="13" t="str">
        <f>IFERROR(VLOOKUP(표1[[#This Row],[CAS No.]], [1]규제DB_산안법_노출기준설정물질!$B:$K,8,FALSE),"")</f>
        <v/>
      </c>
      <c r="BR4" s="13" t="str">
        <f>IFERROR(VLOOKUP(표1[[#This Row],[CAS No.]], [1]규제DB_산안법_노출기준설정물질!$B:$K,9,FALSE),"")</f>
        <v/>
      </c>
      <c r="BS4" s="13" t="str">
        <f>IFERROR(VLOOKUP(표1[[#This Row],[CAS No.]], [1]규제DB_산안법_노출기준설정물질!$B:$K,10,FALSE),"")</f>
        <v/>
      </c>
      <c r="BT4" s="13"/>
      <c r="BU4" s="13"/>
      <c r="BV4" s="13" t="str">
        <f>IFERROR(IF(VLOOKUP(표1[[#This Row],[CAS No.]],[1]규제DB_고용노동부고시_CMR!$B:$J,3,FALSE)="구분1A", IF(표1[[#This Row],[함량(W%)]]&gt;=VLOOKUP(표1[[#This Row],[CAS No.]],[1]규제DB_고용노동부고시_CMR!$B:$J,4,FALSE),"제품 발암성물질",""), IF(VLOOKUP(표1[[#This Row],[CAS No.]],[1]규제DB_고용노동부고시_CMR!$B:$J,3,FALSE)="구분1B", IF(표1[[#This Row],[함량(W%)]]&gt;=VLOOKUP(표1[[#This Row],[CAS No.]],[1]규제DB_고용노동부고시_CMR!$B:$J,4,FALSE),"제품 발암성물질",""), IF(VLOOKUP(표1[[#This Row],[CAS No.]],[1]규제DB_고용노동부고시_CMR!$B:$J,3,FALSE)="구분2", IF(표1[[#This Row],[함량(W%)]]&gt;=VLOOKUP(표1[[#This Row],[CAS No.]],[1]규제DB_고용노동부고시_CMR!$B:$J,4,FALSE),"제품 발암성물질",""),""))),"")</f>
        <v/>
      </c>
      <c r="BW4" s="13" t="str">
        <f>IFERROR(IF(VLOOKUP(표1[[#This Row],[CAS No.]],[1]규제DB_고용노동부고시_CMR!$B:$J,5,FALSE)="구분1A", IF(표1[[#This Row],[함량(W%)]]&gt;=VLOOKUP(표1[[#This Row],[CAS No.]],[1]규제DB_고용노동부고시_CMR!$B:$J,6,FALSE),"제품 생식세포변이원성물질",""), IF(VLOOKUP(표1[[#This Row],[CAS No.]],[1]규제DB_고용노동부고시_CMR!$B:$J,5,FALSE)="구분1B", IF(표1[[#This Row],[함량(W%)]]&gt;=VLOOKUP(표1[[#This Row],[CAS No.]],[1]규제DB_고용노동부고시_CMR!$B:$J,6,FALSE),"제품 생식세포변이원성물질",""), IF(VLOOKUP(표1[[#This Row],[CAS No.]],[1]규제DB_고용노동부고시_CMR!$B:$J,5,FALSE)="구분2", IF(표1[[#This Row],[함량(W%)]]&gt;=VLOOKUP(표1[[#This Row],[CAS No.]],[1]규제DB_고용노동부고시_CMR!$B:$J,6,FALSE),"제품 생식세포변이원성물질",""),""))),"")</f>
        <v/>
      </c>
      <c r="BX4" s="13" t="str">
        <f>IFERROR(IF(VLOOKUP(표1[[#This Row],[CAS No.]],[1]규제DB_고용노동부고시_CMR!$B:$J,7,FALSE)="구분1A", IF(표1[[#This Row],[함량(W%)]]&gt;=VLOOKUP(표1[[#This Row],[CAS No.]],[1]규제DB_고용노동부고시_CMR!$B:$J,8,FALSE),"제품 생식독성물질",""), IF(VLOOKUP(표1[[#This Row],[CAS No.]],[1]규제DB_고용노동부고시_CMR!$B:$J,7,FALSE)="구분1B", IF(표1[[#This Row],[함량(W%)]]&gt;=VLOOKUP(표1[[#This Row],[CAS No.]],[1]규제DB_고용노동부고시_CMR!$B:$J,8,FALSE),"제품 생식독성물질",""), IF(VLOOKUP(표1[[#This Row],[CAS No.]],[1]규제DB_고용노동부고시_CMR!$B:$J,7,FALSE)="구분2", IF(표1[[#This Row],[함량(W%)]]&gt;=VLOOKUP(표1[[#This Row],[CAS No.]],[1]규제DB_고용노동부고시_CMR!$B:$J,8,FALSE),"제품 생식독성물질",""),""))),"")</f>
        <v/>
      </c>
      <c r="BY4" s="13" t="str">
        <f>IFERROR(VLOOKUP(표1[[#This Row],[CAS No.]],[1]규제DB_위험물안전관리법_위험물!$B:$F,3,FALSE),"")</f>
        <v/>
      </c>
      <c r="BZ4" s="13" t="str">
        <f>IFERROR(IF(표1[[#This Row],[CAS No.]]=VLOOKUP(표1[[#This Row],[CAS No.]],[1]규제DB_고압법_독성가스!$B:$D,1,FALSE),"독성가스",""),"")</f>
        <v/>
      </c>
      <c r="CA4" s="13" t="str">
        <f>IFERROR(IF(표1[[#This Row],[CAS No.]]=VLOOKUP(표1[[#This Row],[CAS No.]],[1]규제DB_고압법_가연성가스!$B:$D,1,FALSE),"가연성가스",""),"")</f>
        <v/>
      </c>
      <c r="CB4" s="13" t="str">
        <f>IFERROR(IF(표1[[#This Row],[CAS No.]]=VLOOKUP(표1[[#This Row],[CAS No.]],[1]규제DB_고압법_특수고압가스!$B:$D,1,FALSE),"특수고압가스",""),"")</f>
        <v/>
      </c>
      <c r="CC4" s="13" t="str">
        <f>IFERROR(IF(표1[[#This Row],[CAS No.]]=VLOOKUP(표1[[#This Row],[CAS No.]],[1]규제DB_고압법_특정고압가스!$B:$D,1,FALSE),"특정고압가스",""),"")</f>
        <v/>
      </c>
      <c r="CD4" s="13" t="str">
        <f>IFERROR(IF(표1[[#This Row],[함량(W%)]]&gt;=VLOOKUP(표1[[#This Row],[CAS No.]],[1]규제DB_화관법_개별취급기준!$B:$G,5,FALSE),VLOOKUP(표1[[#This Row],[CAS No.]],[1]규제DB_화관법_개별취급기준!$B:$G,6,FALSE),""),"")</f>
        <v/>
      </c>
    </row>
    <row r="5" spans="1:82" ht="27.95" customHeight="1">
      <c r="A5" s="13">
        <v>4</v>
      </c>
      <c r="B5" s="2"/>
      <c r="C5" s="3" t="s">
        <v>103</v>
      </c>
      <c r="D5" s="4"/>
      <c r="E5" s="50" t="s">
        <v>105</v>
      </c>
      <c r="F5" s="3" t="s">
        <v>77</v>
      </c>
      <c r="G5" s="5" t="s">
        <v>78</v>
      </c>
      <c r="H5" s="3" t="s">
        <v>79</v>
      </c>
      <c r="I5" s="50" t="s">
        <v>102</v>
      </c>
      <c r="J5" s="3" t="s">
        <v>176</v>
      </c>
      <c r="K5" s="3" t="s">
        <v>176</v>
      </c>
      <c r="L5" s="3"/>
      <c r="M5" s="5" t="s">
        <v>80</v>
      </c>
      <c r="N5" s="5" t="s">
        <v>179</v>
      </c>
      <c r="O5" s="53" t="s">
        <v>81</v>
      </c>
      <c r="P5" s="55" t="s">
        <v>98</v>
      </c>
      <c r="Q5" s="54">
        <v>200</v>
      </c>
      <c r="R5" s="6">
        <v>200</v>
      </c>
      <c r="S5" s="17"/>
      <c r="T5" s="17"/>
      <c r="U5" s="6">
        <v>200</v>
      </c>
      <c r="V5" s="6">
        <v>200</v>
      </c>
      <c r="W5" s="8" t="str">
        <f>표1[[#This Row],[자재코드]]&amp;"_"&amp;표1[[#This Row],[자재명]]&amp;"_"&amp;표1[[#This Row],[공급업체명]]</f>
        <v>_ho402_㈜화승인더스트리</v>
      </c>
      <c r="X5" s="51" t="s">
        <v>131</v>
      </c>
      <c r="Y5" s="13"/>
      <c r="Z5" s="13"/>
      <c r="AA5" s="13"/>
      <c r="AB5" s="50">
        <v>79</v>
      </c>
      <c r="AC5" s="20" t="s">
        <v>177</v>
      </c>
      <c r="AD5" s="9" t="s">
        <v>83</v>
      </c>
      <c r="AE5" s="10" t="s">
        <v>84</v>
      </c>
      <c r="AF5" s="10" t="s">
        <v>84</v>
      </c>
      <c r="AG5" s="11"/>
      <c r="AH5" s="50" t="s">
        <v>183</v>
      </c>
      <c r="AI5" s="12">
        <f>IFERROR(표1[[#This Row],[사용량(kg)]]*표1[[#This Row],[함량(W%)]]/100,"")</f>
        <v>158</v>
      </c>
      <c r="AJ5" s="13"/>
      <c r="AK5" s="13"/>
      <c r="AL5" s="14"/>
      <c r="AM5" s="15"/>
      <c r="AN5" s="13"/>
      <c r="AO5" s="13"/>
      <c r="AP5" s="13"/>
      <c r="AQ5" s="13"/>
      <c r="AR5" s="13" t="str">
        <f>IFERROR(IF(표1[[#This Row],[함량(W%)]]&gt;=VLOOKUP(표1[[#This Row],[CAS No.]],[1]규제DB_유해법_유독물!B:F,5,FALSE),"유독물질 제품",""),"")</f>
        <v/>
      </c>
      <c r="AS5" s="13" t="str">
        <f>IFERROR(VLOOKUP(표1[[#This Row],[CAS No.]],[1]규제DB_유해법_금지물질!B:G,3,FALSE),"")</f>
        <v/>
      </c>
      <c r="AT5" s="13" t="str">
        <f>IFERROR(VLOOKUP(표1[[#This Row],[CAS No.]],[1]규제DB_유해법_금지물질!B:G,4,FALSE)&amp;" 인지 확인하세요","")</f>
        <v/>
      </c>
      <c r="AU5" s="13" t="str">
        <f>IFERROR(VLOOKUP(표1[[#This Row],[CAS No.]],[1]규제DB_유해법_제한물질!B:G,3,FALSE),"")</f>
        <v/>
      </c>
      <c r="AV5" s="13" t="str">
        <f>IFERROR(IF(표1[[#This Row],[함량(W%)]]&gt;=VLOOKUP(표1[[#This Row],[CAS No.]],[1]규제DB_유해법_제한물질!$B:$G,5,FALSE),"제한 제품",""),"")</f>
        <v/>
      </c>
      <c r="AW5" s="13"/>
      <c r="AX5" s="13"/>
      <c r="AY5" s="16"/>
      <c r="AZ5" s="16"/>
      <c r="BA5" s="17" t="str">
        <f>IFERROR(IF(표1[[#This Row],[함량(W%)]]&gt;=VLOOKUP(표1[[#This Row],[CAS No.]],[1]규제DB_유해법_사고대비물질!$B:$J,4,FALSE),VLOOKUP(표1[[#This Row],[CAS No.]],[1]규제DB_유해법_사고대비물질!$B$2:$J$70,7,FALSE),""),"")</f>
        <v/>
      </c>
      <c r="BB5" s="17" t="str">
        <f>IFERROR(IF(표1[[#This Row],[함량(W%)]]&gt;=VLOOKUP(표1[[#This Row],[CAS No.]],[1]규제DB_유해법_사고대비물질!$B:$J,4,FALSE),VLOOKUP(표1[[#This Row],[CAS No.]],[1]규제DB_유해법_사고대비물질!$B$2:$J$70,8,FALSE),""),"")</f>
        <v/>
      </c>
      <c r="BC5" s="17" t="str">
        <f>IFERROR(IF(표1[[#This Row],[함량(W%)]]&gt;=VLOOKUP(표1[[#This Row],[CAS No.]],[1]규제DB_유해법_사고대비물질!$B:$J,4,FALSE),VLOOKUP(표1[[#This Row],[CAS No.]],[1]규제DB_유해법_사고대비물질!$B$2:$J$70,9,FALSE),""),"")</f>
        <v/>
      </c>
      <c r="BD5" s="18" t="str">
        <f>IFERROR(IF(표1[[#This Row],[함량(W%)]]&gt;=VLOOKUP(표1[[#This Row],[CAS No.]],'[1]규제DB_유해법_배출량조사 I'!$B:$D,3,FALSE),IF(VLOOKUP(표1[[#This Row],[CAS No.]],[1]기초자료!$A:$C,3,FALSE)&gt;=1000,"배출량조사 I 물질",""),""),"")</f>
        <v/>
      </c>
      <c r="BE5" s="18" t="str">
        <f>IFERROR(IF(표1[[#This Row],[함량(W%)]]&gt;=VLOOKUP(표1[[#This Row],[CAS No.]],'[1]규제DB_유해법_배출량조사 II'!B:D,3,FALSE),IF(VLOOKUP(표1[[#This Row],[CAS No.]],[1]기초자료!$A:$C,3,FALSE)&gt;=10000,"배출량조사 II 물질",""),""),"")</f>
        <v/>
      </c>
      <c r="BF5" s="13" t="str">
        <f>IFERROR(IF(표1[[#This Row],[함량(W%)]]&gt;=VLOOKUP(표1[[#This Row],[CAS No.]],[1]규제DB_산안법_금지물질!$B:$E,4,FALSE), VLOOKUP(표1[[#This Row],[CAS No.]],[1]규제DB_산안법_금지물질!$B:$E,2,FALSE)&amp;" : "&amp;VLOOKUP(표1[[#This Row],[CAS No.]],[1]규제DB_산안법_금지물질!$B:$E,3,FALSE)&amp;" 인지 확인하세요",""),"")</f>
        <v/>
      </c>
      <c r="BG5" s="13" t="str">
        <f>IFERROR(IF(표1[[#This Row],[함량(W%)]]&gt;=VLOOKUP(표1[[#This Row],[CAS No.]],[1]규제DB_산안법_허가물질!$B:$E,4,FALSE), "제품 허가물질",""),"")</f>
        <v/>
      </c>
      <c r="BH5" s="13" t="str">
        <f>IFERROR(IF(표1[[#This Row],[함량(W%)]]&gt;=VLOOKUP(표1[[#This Row],[CAS No.]], [1]규제DB_산안법_특별관리물질!$B:$E,4,FALSE), "제품 특별관리물질",""),"")</f>
        <v/>
      </c>
      <c r="BI5" s="13" t="str">
        <f>IFERROR(IF(표1[[#This Row],[함량(W%)]]&gt;=VLOOKUP(표1[[#This Row],[CAS No.]], [1]규제DB_산안법_관리대상유해물질!$B:$E,4,FALSE), "제품 관리대상유해물질",""),"")</f>
        <v/>
      </c>
      <c r="BJ5" s="13" t="str">
        <f>IFERROR(IF(표1[[#This Row],[CAS No.]]=VLOOKUP(표1[[#This Row],[CAS No.]], [1]규제DB_산안법_허용기준이하물질!$B:$D,1,FALSE),"제품 허용기준이하물질",""),"")</f>
        <v/>
      </c>
      <c r="BK5" s="13" t="str">
        <f>IFERROR(VLOOKUP(표1[[#This Row],[CAS No.]], [1]규제DB_산안법_허용기준이하물질!$B:$D,3,FALSE),"")</f>
        <v/>
      </c>
      <c r="BL5" s="13"/>
      <c r="BM5" s="13"/>
      <c r="BN5" s="13"/>
      <c r="BO5" s="13"/>
      <c r="BP5" s="13"/>
      <c r="BQ5" s="13" t="str">
        <f>IFERROR(VLOOKUP(표1[[#This Row],[CAS No.]], [1]규제DB_산안법_노출기준설정물질!$B:$K,8,FALSE),"")</f>
        <v/>
      </c>
      <c r="BR5" s="13" t="str">
        <f>IFERROR(VLOOKUP(표1[[#This Row],[CAS No.]], [1]규제DB_산안법_노출기준설정물질!$B:$K,9,FALSE),"")</f>
        <v/>
      </c>
      <c r="BS5" s="13" t="str">
        <f>IFERROR(VLOOKUP(표1[[#This Row],[CAS No.]], [1]규제DB_산안법_노출기준설정물질!$B:$K,10,FALSE),"")</f>
        <v/>
      </c>
      <c r="BT5" s="13"/>
      <c r="BU5" s="13"/>
      <c r="BV5" s="13" t="str">
        <f>IFERROR(IF(VLOOKUP(표1[[#This Row],[CAS No.]],[1]규제DB_고용노동부고시_CMR!$B:$J,3,FALSE)="구분1A", IF(표1[[#This Row],[함량(W%)]]&gt;=VLOOKUP(표1[[#This Row],[CAS No.]],[1]규제DB_고용노동부고시_CMR!$B:$J,4,FALSE),"제품 발암성물질",""), IF(VLOOKUP(표1[[#This Row],[CAS No.]],[1]규제DB_고용노동부고시_CMR!$B:$J,3,FALSE)="구분1B", IF(표1[[#This Row],[함량(W%)]]&gt;=VLOOKUP(표1[[#This Row],[CAS No.]],[1]규제DB_고용노동부고시_CMR!$B:$J,4,FALSE),"제품 발암성물질",""), IF(VLOOKUP(표1[[#This Row],[CAS No.]],[1]규제DB_고용노동부고시_CMR!$B:$J,3,FALSE)="구분2", IF(표1[[#This Row],[함량(W%)]]&gt;=VLOOKUP(표1[[#This Row],[CAS No.]],[1]규제DB_고용노동부고시_CMR!$B:$J,4,FALSE),"제품 발암성물질",""),""))),"")</f>
        <v/>
      </c>
      <c r="BW5" s="13" t="str">
        <f>IFERROR(IF(VLOOKUP(표1[[#This Row],[CAS No.]],[1]규제DB_고용노동부고시_CMR!$B:$J,5,FALSE)="구분1A", IF(표1[[#This Row],[함량(W%)]]&gt;=VLOOKUP(표1[[#This Row],[CAS No.]],[1]규제DB_고용노동부고시_CMR!$B:$J,6,FALSE),"제품 생식세포변이원성물질",""), IF(VLOOKUP(표1[[#This Row],[CAS No.]],[1]규제DB_고용노동부고시_CMR!$B:$J,5,FALSE)="구분1B", IF(표1[[#This Row],[함량(W%)]]&gt;=VLOOKUP(표1[[#This Row],[CAS No.]],[1]규제DB_고용노동부고시_CMR!$B:$J,6,FALSE),"제품 생식세포변이원성물질",""), IF(VLOOKUP(표1[[#This Row],[CAS No.]],[1]규제DB_고용노동부고시_CMR!$B:$J,5,FALSE)="구분2", IF(표1[[#This Row],[함량(W%)]]&gt;=VLOOKUP(표1[[#This Row],[CAS No.]],[1]규제DB_고용노동부고시_CMR!$B:$J,6,FALSE),"제품 생식세포변이원성물질",""),""))),"")</f>
        <v/>
      </c>
      <c r="BX5" s="13" t="str">
        <f>IFERROR(IF(VLOOKUP(표1[[#This Row],[CAS No.]],[1]규제DB_고용노동부고시_CMR!$B:$J,7,FALSE)="구분1A", IF(표1[[#This Row],[함량(W%)]]&gt;=VLOOKUP(표1[[#This Row],[CAS No.]],[1]규제DB_고용노동부고시_CMR!$B:$J,8,FALSE),"제품 생식독성물질",""), IF(VLOOKUP(표1[[#This Row],[CAS No.]],[1]규제DB_고용노동부고시_CMR!$B:$J,7,FALSE)="구분1B", IF(표1[[#This Row],[함량(W%)]]&gt;=VLOOKUP(표1[[#This Row],[CAS No.]],[1]규제DB_고용노동부고시_CMR!$B:$J,8,FALSE),"제품 생식독성물질",""), IF(VLOOKUP(표1[[#This Row],[CAS No.]],[1]규제DB_고용노동부고시_CMR!$B:$J,7,FALSE)="구분2", IF(표1[[#This Row],[함량(W%)]]&gt;=VLOOKUP(표1[[#This Row],[CAS No.]],[1]규제DB_고용노동부고시_CMR!$B:$J,8,FALSE),"제품 생식독성물질",""),""))),"")</f>
        <v/>
      </c>
      <c r="BY5" s="13" t="str">
        <f>IFERROR(VLOOKUP(표1[[#This Row],[CAS No.]],[1]규제DB_위험물안전관리법_위험물!$B:$F,3,FALSE),"")</f>
        <v/>
      </c>
      <c r="BZ5" s="13" t="str">
        <f>IFERROR(IF(표1[[#This Row],[CAS No.]]=VLOOKUP(표1[[#This Row],[CAS No.]],[1]규제DB_고압법_독성가스!$B:$D,1,FALSE),"독성가스",""),"")</f>
        <v/>
      </c>
      <c r="CA5" s="13" t="str">
        <f>IFERROR(IF(표1[[#This Row],[CAS No.]]=VLOOKUP(표1[[#This Row],[CAS No.]],[1]규제DB_고압법_가연성가스!$B:$D,1,FALSE),"가연성가스",""),"")</f>
        <v/>
      </c>
      <c r="CB5" s="13" t="str">
        <f>IFERROR(IF(표1[[#This Row],[CAS No.]]=VLOOKUP(표1[[#This Row],[CAS No.]],[1]규제DB_고압법_특수고압가스!$B:$D,1,FALSE),"특수고압가스",""),"")</f>
        <v/>
      </c>
      <c r="CC5" s="13" t="str">
        <f>IFERROR(IF(표1[[#This Row],[CAS No.]]=VLOOKUP(표1[[#This Row],[CAS No.]],[1]규제DB_고압법_특정고압가스!$B:$D,1,FALSE),"특정고압가스",""),"")</f>
        <v/>
      </c>
      <c r="CD5" s="13" t="str">
        <f>IFERROR(IF(표1[[#This Row],[함량(W%)]]&gt;=VLOOKUP(표1[[#This Row],[CAS No.]],[1]규제DB_화관법_개별취급기준!$B:$G,5,FALSE),VLOOKUP(표1[[#This Row],[CAS No.]],[1]규제DB_화관법_개별취급기준!$B:$G,6,FALSE),""),"")</f>
        <v/>
      </c>
    </row>
    <row r="6" spans="1:82" ht="27.95" customHeight="1">
      <c r="A6" s="13">
        <v>5</v>
      </c>
      <c r="B6" s="2"/>
      <c r="C6" s="3" t="s">
        <v>103</v>
      </c>
      <c r="D6" s="4"/>
      <c r="E6" s="50" t="s">
        <v>106</v>
      </c>
      <c r="F6" s="3" t="s">
        <v>77</v>
      </c>
      <c r="G6" s="5" t="s">
        <v>78</v>
      </c>
      <c r="H6" s="3" t="s">
        <v>79</v>
      </c>
      <c r="I6" s="50" t="s">
        <v>102</v>
      </c>
      <c r="J6" s="3" t="s">
        <v>176</v>
      </c>
      <c r="K6" s="3" t="s">
        <v>176</v>
      </c>
      <c r="L6" s="3"/>
      <c r="M6" s="5" t="s">
        <v>80</v>
      </c>
      <c r="N6" s="5" t="s">
        <v>179</v>
      </c>
      <c r="O6" s="53" t="s">
        <v>81</v>
      </c>
      <c r="P6" s="55" t="s">
        <v>98</v>
      </c>
      <c r="Q6" s="54">
        <v>2800</v>
      </c>
      <c r="R6" s="6">
        <v>2800</v>
      </c>
      <c r="S6" s="7"/>
      <c r="T6" s="7"/>
      <c r="U6" s="6">
        <v>2800</v>
      </c>
      <c r="V6" s="6">
        <v>2800</v>
      </c>
      <c r="W6" s="8" t="str">
        <f>표1[[#This Row],[자재코드]]&amp;"_"&amp;표1[[#This Row],[자재명]]&amp;"_"&amp;표1[[#This Row],[공급업체명]]</f>
        <v>_hb-302_㈜화승인더스트리</v>
      </c>
      <c r="X6" s="51" t="s">
        <v>128</v>
      </c>
      <c r="Y6" s="30"/>
      <c r="Z6" s="30"/>
      <c r="AA6" s="30"/>
      <c r="AB6" s="50">
        <v>0.9</v>
      </c>
      <c r="AC6" s="20" t="s">
        <v>177</v>
      </c>
      <c r="AD6" s="9" t="s">
        <v>83</v>
      </c>
      <c r="AE6" s="10" t="s">
        <v>84</v>
      </c>
      <c r="AF6" s="10" t="s">
        <v>84</v>
      </c>
      <c r="AG6" s="11"/>
      <c r="AH6" s="50" t="s">
        <v>180</v>
      </c>
      <c r="AI6" s="12">
        <f>IFERROR(표1[[#This Row],[사용량(kg)]]*표1[[#This Row],[함량(W%)]]/100,"")</f>
        <v>25.2</v>
      </c>
      <c r="AJ6" s="13"/>
      <c r="AK6" s="13"/>
      <c r="AL6" s="14"/>
      <c r="AM6" s="15"/>
      <c r="AN6" s="13"/>
      <c r="AO6" s="13"/>
      <c r="AP6" s="13"/>
      <c r="AQ6" s="13"/>
      <c r="AR6" s="13" t="str">
        <f>IFERROR(IF(표1[[#This Row],[함량(W%)]]&gt;=VLOOKUP(표1[[#This Row],[CAS No.]],[1]규제DB_유해법_유독물!B:F,5,FALSE),"유독물질 제품",""),"")</f>
        <v/>
      </c>
      <c r="AS6" s="13" t="str">
        <f>IFERROR(VLOOKUP(표1[[#This Row],[CAS No.]],[1]규제DB_유해법_금지물질!B:G,3,FALSE),"")</f>
        <v/>
      </c>
      <c r="AT6" s="13" t="str">
        <f>IFERROR(VLOOKUP(표1[[#This Row],[CAS No.]],[1]규제DB_유해법_금지물질!B:G,4,FALSE)&amp;" 인지 확인하세요","")</f>
        <v/>
      </c>
      <c r="AU6" s="13" t="str">
        <f>IFERROR(VLOOKUP(표1[[#This Row],[CAS No.]],[1]규제DB_유해법_제한물질!B:G,3,FALSE),"")</f>
        <v/>
      </c>
      <c r="AV6" s="13" t="str">
        <f>IFERROR(IF(표1[[#This Row],[함량(W%)]]&gt;=VLOOKUP(표1[[#This Row],[CAS No.]],[1]규제DB_유해법_제한물질!$B:$G,5,FALSE),"제한 제품",""),"")</f>
        <v/>
      </c>
      <c r="AW6" s="13"/>
      <c r="AX6" s="13"/>
      <c r="AY6" s="16"/>
      <c r="AZ6" s="16"/>
      <c r="BA6" s="17" t="str">
        <f>IFERROR(IF(표1[[#This Row],[함량(W%)]]&gt;=VLOOKUP(표1[[#This Row],[CAS No.]],[1]규제DB_유해법_사고대비물질!$B:$J,4,FALSE),VLOOKUP(표1[[#This Row],[CAS No.]],[1]규제DB_유해법_사고대비물질!$B$2:$J$70,7,FALSE),""),"")</f>
        <v/>
      </c>
      <c r="BB6" s="17" t="str">
        <f>IFERROR(IF(표1[[#This Row],[함량(W%)]]&gt;=VLOOKUP(표1[[#This Row],[CAS No.]],[1]규제DB_유해법_사고대비물질!$B:$J,4,FALSE),VLOOKUP(표1[[#This Row],[CAS No.]],[1]규제DB_유해법_사고대비물질!$B$2:$J$70,8,FALSE),""),"")</f>
        <v/>
      </c>
      <c r="BC6" s="17" t="str">
        <f>IFERROR(IF(표1[[#This Row],[함량(W%)]]&gt;=VLOOKUP(표1[[#This Row],[CAS No.]],[1]규제DB_유해법_사고대비물질!$B:$J,4,FALSE),VLOOKUP(표1[[#This Row],[CAS No.]],[1]규제DB_유해법_사고대비물질!$B$2:$J$70,9,FALSE),""),"")</f>
        <v/>
      </c>
      <c r="BD6" s="18" t="str">
        <f>IFERROR(IF(표1[[#This Row],[함량(W%)]]&gt;=VLOOKUP(표1[[#This Row],[CAS No.]],'[1]규제DB_유해법_배출량조사 I'!$B:$D,3,FALSE),IF(VLOOKUP(표1[[#This Row],[CAS No.]],[1]기초자료!$A:$C,3,FALSE)&gt;=1000,"배출량조사 I 물질",""),""),"")</f>
        <v/>
      </c>
      <c r="BE6" s="18" t="str">
        <f>IFERROR(IF(표1[[#This Row],[함량(W%)]]&gt;=VLOOKUP(표1[[#This Row],[CAS No.]],'[1]규제DB_유해법_배출량조사 II'!B:D,3,FALSE),IF(VLOOKUP(표1[[#This Row],[CAS No.]],[1]기초자료!$A:$C,3,FALSE)&gt;=10000,"배출량조사 II 물질",""),""),"")</f>
        <v/>
      </c>
      <c r="BF6" s="13" t="str">
        <f>IFERROR(IF(표1[[#This Row],[함량(W%)]]&gt;=VLOOKUP(표1[[#This Row],[CAS No.]],[1]규제DB_산안법_금지물질!$B:$E,4,FALSE), VLOOKUP(표1[[#This Row],[CAS No.]],[1]규제DB_산안법_금지물질!$B:$E,2,FALSE)&amp;" : "&amp;VLOOKUP(표1[[#This Row],[CAS No.]],[1]규제DB_산안법_금지물질!$B:$E,3,FALSE)&amp;" 인지 확인하세요",""),"")</f>
        <v/>
      </c>
      <c r="BG6" s="13" t="str">
        <f>IFERROR(IF(표1[[#This Row],[함량(W%)]]&gt;=VLOOKUP(표1[[#This Row],[CAS No.]],[1]규제DB_산안법_허가물질!$B:$E,4,FALSE), "제품 허가물질",""),"")</f>
        <v/>
      </c>
      <c r="BH6" s="13" t="str">
        <f>IFERROR(IF(표1[[#This Row],[함량(W%)]]&gt;=VLOOKUP(표1[[#This Row],[CAS No.]], [1]규제DB_산안법_특별관리물질!$B:$E,4,FALSE), "제품 특별관리물질",""),"")</f>
        <v/>
      </c>
      <c r="BI6" s="13" t="str">
        <f>IFERROR(IF(표1[[#This Row],[함량(W%)]]&gt;=VLOOKUP(표1[[#This Row],[CAS No.]], [1]규제DB_산안법_관리대상유해물질!$B:$E,4,FALSE), "제품 관리대상유해물질",""),"")</f>
        <v/>
      </c>
      <c r="BJ6" s="13" t="str">
        <f>IFERROR(IF(표1[[#This Row],[CAS No.]]=VLOOKUP(표1[[#This Row],[CAS No.]], [1]규제DB_산안법_허용기준이하물질!$B:$D,1,FALSE),"제품 허용기준이하물질",""),"")</f>
        <v/>
      </c>
      <c r="BK6" s="13" t="str">
        <f>IFERROR(VLOOKUP(표1[[#This Row],[CAS No.]], [1]규제DB_산안법_허용기준이하물질!$B:$D,3,FALSE),"")</f>
        <v/>
      </c>
      <c r="BL6" s="13"/>
      <c r="BM6" s="13"/>
      <c r="BN6" s="13"/>
      <c r="BO6" s="13"/>
      <c r="BP6" s="13"/>
      <c r="BQ6" s="13" t="str">
        <f>IFERROR(VLOOKUP(표1[[#This Row],[CAS No.]], [1]규제DB_산안법_노출기준설정물질!$B:$K,8,FALSE),"")</f>
        <v/>
      </c>
      <c r="BR6" s="13" t="str">
        <f>IFERROR(VLOOKUP(표1[[#This Row],[CAS No.]], [1]규제DB_산안법_노출기준설정물질!$B:$K,9,FALSE),"")</f>
        <v/>
      </c>
      <c r="BS6" s="13" t="str">
        <f>IFERROR(VLOOKUP(표1[[#This Row],[CAS No.]], [1]규제DB_산안법_노출기준설정물질!$B:$K,10,FALSE),"")</f>
        <v/>
      </c>
      <c r="BT6" s="13"/>
      <c r="BU6" s="13"/>
      <c r="BV6" s="13" t="str">
        <f>IFERROR(IF(VLOOKUP(표1[[#This Row],[CAS No.]],[1]규제DB_고용노동부고시_CMR!$B:$J,3,FALSE)="구분1A", IF(표1[[#This Row],[함량(W%)]]&gt;=VLOOKUP(표1[[#This Row],[CAS No.]],[1]규제DB_고용노동부고시_CMR!$B:$J,4,FALSE),"제품 발암성물질",""), IF(VLOOKUP(표1[[#This Row],[CAS No.]],[1]규제DB_고용노동부고시_CMR!$B:$J,3,FALSE)="구분1B", IF(표1[[#This Row],[함량(W%)]]&gt;=VLOOKUP(표1[[#This Row],[CAS No.]],[1]규제DB_고용노동부고시_CMR!$B:$J,4,FALSE),"제품 발암성물질",""), IF(VLOOKUP(표1[[#This Row],[CAS No.]],[1]규제DB_고용노동부고시_CMR!$B:$J,3,FALSE)="구분2", IF(표1[[#This Row],[함량(W%)]]&gt;=VLOOKUP(표1[[#This Row],[CAS No.]],[1]규제DB_고용노동부고시_CMR!$B:$J,4,FALSE),"제품 발암성물질",""),""))),"")</f>
        <v/>
      </c>
      <c r="BW6" s="13" t="str">
        <f>IFERROR(IF(VLOOKUP(표1[[#This Row],[CAS No.]],[1]규제DB_고용노동부고시_CMR!$B:$J,5,FALSE)="구분1A", IF(표1[[#This Row],[함량(W%)]]&gt;=VLOOKUP(표1[[#This Row],[CAS No.]],[1]규제DB_고용노동부고시_CMR!$B:$J,6,FALSE),"제품 생식세포변이원성물질",""), IF(VLOOKUP(표1[[#This Row],[CAS No.]],[1]규제DB_고용노동부고시_CMR!$B:$J,5,FALSE)="구분1B", IF(표1[[#This Row],[함량(W%)]]&gt;=VLOOKUP(표1[[#This Row],[CAS No.]],[1]규제DB_고용노동부고시_CMR!$B:$J,6,FALSE),"제품 생식세포변이원성물질",""), IF(VLOOKUP(표1[[#This Row],[CAS No.]],[1]규제DB_고용노동부고시_CMR!$B:$J,5,FALSE)="구분2", IF(표1[[#This Row],[함량(W%)]]&gt;=VLOOKUP(표1[[#This Row],[CAS No.]],[1]규제DB_고용노동부고시_CMR!$B:$J,6,FALSE),"제품 생식세포변이원성물질",""),""))),"")</f>
        <v/>
      </c>
      <c r="BX6" s="13" t="str">
        <f>IFERROR(IF(VLOOKUP(표1[[#This Row],[CAS No.]],[1]규제DB_고용노동부고시_CMR!$B:$J,7,FALSE)="구분1A", IF(표1[[#This Row],[함량(W%)]]&gt;=VLOOKUP(표1[[#This Row],[CAS No.]],[1]규제DB_고용노동부고시_CMR!$B:$J,8,FALSE),"제품 생식독성물질",""), IF(VLOOKUP(표1[[#This Row],[CAS No.]],[1]규제DB_고용노동부고시_CMR!$B:$J,7,FALSE)="구분1B", IF(표1[[#This Row],[함량(W%)]]&gt;=VLOOKUP(표1[[#This Row],[CAS No.]],[1]규제DB_고용노동부고시_CMR!$B:$J,8,FALSE),"제품 생식독성물질",""), IF(VLOOKUP(표1[[#This Row],[CAS No.]],[1]규제DB_고용노동부고시_CMR!$B:$J,7,FALSE)="구분2", IF(표1[[#This Row],[함량(W%)]]&gt;=VLOOKUP(표1[[#This Row],[CAS No.]],[1]규제DB_고용노동부고시_CMR!$B:$J,8,FALSE),"제품 생식독성물질",""),""))),"")</f>
        <v/>
      </c>
      <c r="BY6" s="13" t="str">
        <f>IFERROR(VLOOKUP(표1[[#This Row],[CAS No.]],[1]규제DB_위험물안전관리법_위험물!$B:$F,3,FALSE),"")</f>
        <v/>
      </c>
      <c r="BZ6" s="13" t="str">
        <f>IFERROR(IF(표1[[#This Row],[CAS No.]]=VLOOKUP(표1[[#This Row],[CAS No.]],[1]규제DB_고압법_독성가스!$B:$D,1,FALSE),"독성가스",""),"")</f>
        <v/>
      </c>
      <c r="CA6" s="13" t="str">
        <f>IFERROR(IF(표1[[#This Row],[CAS No.]]=VLOOKUP(표1[[#This Row],[CAS No.]],[1]규제DB_고압법_가연성가스!$B:$D,1,FALSE),"가연성가스",""),"")</f>
        <v/>
      </c>
      <c r="CB6" s="13" t="str">
        <f>IFERROR(IF(표1[[#This Row],[CAS No.]]=VLOOKUP(표1[[#This Row],[CAS No.]],[1]규제DB_고압법_특수고압가스!$B:$D,1,FALSE),"특수고압가스",""),"")</f>
        <v/>
      </c>
      <c r="CC6" s="13" t="str">
        <f>IFERROR(IF(표1[[#This Row],[CAS No.]]=VLOOKUP(표1[[#This Row],[CAS No.]],[1]규제DB_고압법_특정고압가스!$B:$D,1,FALSE),"특정고압가스",""),"")</f>
        <v/>
      </c>
      <c r="CD6" s="13" t="str">
        <f>IFERROR(IF(표1[[#This Row],[함량(W%)]]&gt;=VLOOKUP(표1[[#This Row],[CAS No.]],[1]규제DB_화관법_개별취급기준!$B:$G,5,FALSE),VLOOKUP(표1[[#This Row],[CAS No.]],[1]규제DB_화관법_개별취급기준!$B:$G,6,FALSE),""),"")</f>
        <v/>
      </c>
    </row>
    <row r="7" spans="1:82" ht="27.95" customHeight="1">
      <c r="A7" s="13">
        <v>6</v>
      </c>
      <c r="B7" s="2"/>
      <c r="C7" s="3" t="s">
        <v>103</v>
      </c>
      <c r="D7" s="4"/>
      <c r="E7" s="50" t="s">
        <v>107</v>
      </c>
      <c r="F7" s="3" t="s">
        <v>77</v>
      </c>
      <c r="G7" s="5" t="s">
        <v>78</v>
      </c>
      <c r="H7" s="3" t="s">
        <v>79</v>
      </c>
      <c r="I7" s="50" t="s">
        <v>102</v>
      </c>
      <c r="J7" s="3" t="s">
        <v>176</v>
      </c>
      <c r="K7" s="3" t="s">
        <v>176</v>
      </c>
      <c r="L7" s="3"/>
      <c r="M7" s="5" t="s">
        <v>80</v>
      </c>
      <c r="N7" s="5" t="s">
        <v>179</v>
      </c>
      <c r="O7" s="53" t="s">
        <v>81</v>
      </c>
      <c r="P7" s="55" t="s">
        <v>98</v>
      </c>
      <c r="Q7" s="54">
        <v>2800</v>
      </c>
      <c r="R7" s="6">
        <v>2800</v>
      </c>
      <c r="S7" s="7"/>
      <c r="T7" s="7"/>
      <c r="U7" s="6">
        <v>2800</v>
      </c>
      <c r="V7" s="6">
        <v>2800</v>
      </c>
      <c r="W7" s="8" t="str">
        <f>표1[[#This Row],[자재코드]]&amp;"_"&amp;표1[[#This Row],[자재명]]&amp;"_"&amp;표1[[#This Row],[공급업체명]]</f>
        <v>_hb 302_㈜화승인더스트리</v>
      </c>
      <c r="X7" s="51" t="s">
        <v>131</v>
      </c>
      <c r="Y7" s="2"/>
      <c r="Z7" s="2"/>
      <c r="AA7" s="2"/>
      <c r="AB7" s="50">
        <v>99</v>
      </c>
      <c r="AC7" s="9" t="s">
        <v>177</v>
      </c>
      <c r="AD7" s="9" t="s">
        <v>83</v>
      </c>
      <c r="AE7" s="10" t="s">
        <v>84</v>
      </c>
      <c r="AF7" s="10" t="s">
        <v>84</v>
      </c>
      <c r="AG7" s="11"/>
      <c r="AH7" s="50" t="s">
        <v>164</v>
      </c>
      <c r="AI7" s="12">
        <f>IFERROR(표1[[#This Row],[사용량(kg)]]*표1[[#This Row],[함량(W%)]]/100,"")</f>
        <v>2772</v>
      </c>
      <c r="AJ7" s="13"/>
      <c r="AK7" s="13"/>
      <c r="AL7" s="14"/>
      <c r="AM7" s="15"/>
      <c r="AN7" s="13"/>
      <c r="AO7" s="13"/>
      <c r="AP7" s="13"/>
      <c r="AQ7" s="13"/>
      <c r="AR7" s="13" t="str">
        <f>IFERROR(IF(표1[[#This Row],[함량(W%)]]&gt;=VLOOKUP(표1[[#This Row],[CAS No.]],[1]규제DB_유해법_유독물!B:F,5,FALSE),"유독물질 제품",""),"")</f>
        <v/>
      </c>
      <c r="AS7" s="13" t="str">
        <f>IFERROR(VLOOKUP(표1[[#This Row],[CAS No.]],[1]규제DB_유해법_금지물질!B:G,3,FALSE),"")</f>
        <v/>
      </c>
      <c r="AT7" s="13" t="str">
        <f>IFERROR(VLOOKUP(표1[[#This Row],[CAS No.]],[1]규제DB_유해법_금지물질!B:G,4,FALSE)&amp;" 인지 확인하세요","")</f>
        <v/>
      </c>
      <c r="AU7" s="13" t="str">
        <f>IFERROR(VLOOKUP(표1[[#This Row],[CAS No.]],[1]규제DB_유해법_제한물질!B:G,3,FALSE),"")</f>
        <v/>
      </c>
      <c r="AV7" s="13" t="str">
        <f>IFERROR(IF(표1[[#This Row],[함량(W%)]]&gt;=VLOOKUP(표1[[#This Row],[CAS No.]],[1]규제DB_유해법_제한물질!$B:$G,5,FALSE),"제한 제품",""),"")</f>
        <v/>
      </c>
      <c r="AW7" s="13"/>
      <c r="AX7" s="13"/>
      <c r="AY7" s="16"/>
      <c r="AZ7" s="16"/>
      <c r="BA7" s="17" t="str">
        <f>IFERROR(IF(표1[[#This Row],[함량(W%)]]&gt;=VLOOKUP(표1[[#This Row],[CAS No.]],[1]규제DB_유해법_사고대비물질!$B:$J,4,FALSE),VLOOKUP(표1[[#This Row],[CAS No.]],[1]규제DB_유해법_사고대비물질!$B$2:$J$70,7,FALSE),""),"")</f>
        <v/>
      </c>
      <c r="BB7" s="17" t="str">
        <f>IFERROR(IF(표1[[#This Row],[함량(W%)]]&gt;=VLOOKUP(표1[[#This Row],[CAS No.]],[1]규제DB_유해법_사고대비물질!$B:$J,4,FALSE),VLOOKUP(표1[[#This Row],[CAS No.]],[1]규제DB_유해법_사고대비물질!$B$2:$J$70,8,FALSE),""),"")</f>
        <v/>
      </c>
      <c r="BC7" s="17" t="str">
        <f>IFERROR(IF(표1[[#This Row],[함량(W%)]]&gt;=VLOOKUP(표1[[#This Row],[CAS No.]],[1]규제DB_유해법_사고대비물질!$B:$J,4,FALSE),VLOOKUP(표1[[#This Row],[CAS No.]],[1]규제DB_유해법_사고대비물질!$B$2:$J$70,9,FALSE),""),"")</f>
        <v/>
      </c>
      <c r="BD7" s="18" t="str">
        <f>IFERROR(IF(표1[[#This Row],[함량(W%)]]&gt;=VLOOKUP(표1[[#This Row],[CAS No.]],'[1]규제DB_유해법_배출량조사 I'!$B:$D,3,FALSE),IF(VLOOKUP(표1[[#This Row],[CAS No.]],[1]기초자료!$A:$C,3,FALSE)&gt;=1000,"배출량조사 I 물질",""),""),"")</f>
        <v/>
      </c>
      <c r="BE7" s="18" t="str">
        <f>IFERROR(IF(표1[[#This Row],[함량(W%)]]&gt;=VLOOKUP(표1[[#This Row],[CAS No.]],'[1]규제DB_유해법_배출량조사 II'!B:D,3,FALSE),IF(VLOOKUP(표1[[#This Row],[CAS No.]],[1]기초자료!$A:$C,3,FALSE)&gt;=10000,"배출량조사 II 물질",""),""),"")</f>
        <v/>
      </c>
      <c r="BF7" s="13" t="str">
        <f>IFERROR(IF(표1[[#This Row],[함량(W%)]]&gt;=VLOOKUP(표1[[#This Row],[CAS No.]],[1]규제DB_산안법_금지물질!$B:$E,4,FALSE), VLOOKUP(표1[[#This Row],[CAS No.]],[1]규제DB_산안법_금지물질!$B:$E,2,FALSE)&amp;" : "&amp;VLOOKUP(표1[[#This Row],[CAS No.]],[1]규제DB_산안법_금지물질!$B:$E,3,FALSE)&amp;" 인지 확인하세요",""),"")</f>
        <v/>
      </c>
      <c r="BG7" s="13" t="str">
        <f>IFERROR(IF(표1[[#This Row],[함량(W%)]]&gt;=VLOOKUP(표1[[#This Row],[CAS No.]],[1]규제DB_산안법_허가물질!$B:$E,4,FALSE), "제품 허가물질",""),"")</f>
        <v/>
      </c>
      <c r="BH7" s="13" t="str">
        <f>IFERROR(IF(표1[[#This Row],[함량(W%)]]&gt;=VLOOKUP(표1[[#This Row],[CAS No.]], [1]규제DB_산안법_특별관리물질!$B:$E,4,FALSE), "제품 특별관리물질",""),"")</f>
        <v/>
      </c>
      <c r="BI7" s="13"/>
      <c r="BJ7" s="13" t="str">
        <f>IFERROR(IF(표1[[#This Row],[CAS No.]]=VLOOKUP(표1[[#This Row],[CAS No.]], [1]규제DB_산안법_허용기준이하물질!$B:$D,1,FALSE),"제품 허용기준이하물질",""),"")</f>
        <v/>
      </c>
      <c r="BK7" s="13" t="str">
        <f>IFERROR(VLOOKUP(표1[[#This Row],[CAS No.]], [1]규제DB_산안법_허용기준이하물질!$B:$D,3,FALSE),"")</f>
        <v/>
      </c>
      <c r="BL7" s="13"/>
      <c r="BM7" s="13"/>
      <c r="BN7" s="13"/>
      <c r="BO7" s="13"/>
      <c r="BP7" s="13"/>
      <c r="BQ7" s="13" t="str">
        <f>IFERROR(VLOOKUP(표1[[#This Row],[CAS No.]], [1]규제DB_산안법_노출기준설정물질!$B:$K,8,FALSE),"")</f>
        <v/>
      </c>
      <c r="BR7" s="13" t="str">
        <f>IFERROR(VLOOKUP(표1[[#This Row],[CAS No.]], [1]규제DB_산안법_노출기준설정물질!$B:$K,9,FALSE),"")</f>
        <v/>
      </c>
      <c r="BS7" s="13" t="str">
        <f>IFERROR(VLOOKUP(표1[[#This Row],[CAS No.]], [1]규제DB_산안법_노출기준설정물질!$B:$K,10,FALSE),"")</f>
        <v/>
      </c>
      <c r="BT7" s="13"/>
      <c r="BU7" s="13"/>
      <c r="BV7" s="13" t="str">
        <f>IFERROR(IF(VLOOKUP(표1[[#This Row],[CAS No.]],[1]규제DB_고용노동부고시_CMR!$B:$J,3,FALSE)="구분1A", IF(표1[[#This Row],[함량(W%)]]&gt;=VLOOKUP(표1[[#This Row],[CAS No.]],[1]규제DB_고용노동부고시_CMR!$B:$J,4,FALSE),"제품 발암성물질",""), IF(VLOOKUP(표1[[#This Row],[CAS No.]],[1]규제DB_고용노동부고시_CMR!$B:$J,3,FALSE)="구분1B", IF(표1[[#This Row],[함량(W%)]]&gt;=VLOOKUP(표1[[#This Row],[CAS No.]],[1]규제DB_고용노동부고시_CMR!$B:$J,4,FALSE),"제품 발암성물질",""), IF(VLOOKUP(표1[[#This Row],[CAS No.]],[1]규제DB_고용노동부고시_CMR!$B:$J,3,FALSE)="구분2", IF(표1[[#This Row],[함량(W%)]]&gt;=VLOOKUP(표1[[#This Row],[CAS No.]],[1]규제DB_고용노동부고시_CMR!$B:$J,4,FALSE),"제품 발암성물질",""),""))),"")</f>
        <v/>
      </c>
      <c r="BW7" s="13" t="str">
        <f>IFERROR(IF(VLOOKUP(표1[[#This Row],[CAS No.]],[1]규제DB_고용노동부고시_CMR!$B:$J,5,FALSE)="구분1A", IF(표1[[#This Row],[함량(W%)]]&gt;=VLOOKUP(표1[[#This Row],[CAS No.]],[1]규제DB_고용노동부고시_CMR!$B:$J,6,FALSE),"제품 생식세포변이원성물질",""), IF(VLOOKUP(표1[[#This Row],[CAS No.]],[1]규제DB_고용노동부고시_CMR!$B:$J,5,FALSE)="구분1B", IF(표1[[#This Row],[함량(W%)]]&gt;=VLOOKUP(표1[[#This Row],[CAS No.]],[1]규제DB_고용노동부고시_CMR!$B:$J,6,FALSE),"제품 생식세포변이원성물질",""), IF(VLOOKUP(표1[[#This Row],[CAS No.]],[1]규제DB_고용노동부고시_CMR!$B:$J,5,FALSE)="구분2", IF(표1[[#This Row],[함량(W%)]]&gt;=VLOOKUP(표1[[#This Row],[CAS No.]],[1]규제DB_고용노동부고시_CMR!$B:$J,6,FALSE),"제품 생식세포변이원성물질",""),""))),"")</f>
        <v/>
      </c>
      <c r="BX7" s="13" t="str">
        <f>IFERROR(IF(VLOOKUP(표1[[#This Row],[CAS No.]],[1]규제DB_고용노동부고시_CMR!$B:$J,7,FALSE)="구분1A", IF(표1[[#This Row],[함량(W%)]]&gt;=VLOOKUP(표1[[#This Row],[CAS No.]],[1]규제DB_고용노동부고시_CMR!$B:$J,8,FALSE),"제품 생식독성물질",""), IF(VLOOKUP(표1[[#This Row],[CAS No.]],[1]규제DB_고용노동부고시_CMR!$B:$J,7,FALSE)="구분1B", IF(표1[[#This Row],[함량(W%)]]&gt;=VLOOKUP(표1[[#This Row],[CAS No.]],[1]규제DB_고용노동부고시_CMR!$B:$J,8,FALSE),"제품 생식독성물질",""), IF(VLOOKUP(표1[[#This Row],[CAS No.]],[1]규제DB_고용노동부고시_CMR!$B:$J,7,FALSE)="구분2", IF(표1[[#This Row],[함량(W%)]]&gt;=VLOOKUP(표1[[#This Row],[CAS No.]],[1]규제DB_고용노동부고시_CMR!$B:$J,8,FALSE),"제품 생식독성물질",""),""))),"")</f>
        <v/>
      </c>
      <c r="BY7" s="13" t="str">
        <f>IFERROR(VLOOKUP(표1[[#This Row],[CAS No.]],[1]규제DB_위험물안전관리법_위험물!$B:$F,3,FALSE),"")</f>
        <v/>
      </c>
      <c r="BZ7" s="13" t="str">
        <f>IFERROR(IF(표1[[#This Row],[CAS No.]]=VLOOKUP(표1[[#This Row],[CAS No.]],[1]규제DB_고압법_독성가스!$B:$D,1,FALSE),"독성가스",""),"")</f>
        <v/>
      </c>
      <c r="CA7" s="13" t="str">
        <f>IFERROR(IF(표1[[#This Row],[CAS No.]]=VLOOKUP(표1[[#This Row],[CAS No.]],[1]규제DB_고압법_가연성가스!$B:$D,1,FALSE),"가연성가스",""),"")</f>
        <v/>
      </c>
      <c r="CB7" s="13" t="str">
        <f>IFERROR(IF(표1[[#This Row],[CAS No.]]=VLOOKUP(표1[[#This Row],[CAS No.]],[1]규제DB_고압법_특수고압가스!$B:$D,1,FALSE),"특수고압가스",""),"")</f>
        <v/>
      </c>
      <c r="CC7" s="13" t="str">
        <f>IFERROR(IF(표1[[#This Row],[CAS No.]]=VLOOKUP(표1[[#This Row],[CAS No.]],[1]규제DB_고압법_특정고압가스!$B:$D,1,FALSE),"특정고압가스",""),"")</f>
        <v/>
      </c>
      <c r="CD7" s="13" t="str">
        <f>IFERROR(IF(표1[[#This Row],[함량(W%)]]&gt;=VLOOKUP(표1[[#This Row],[CAS No.]],[1]규제DB_화관법_개별취급기준!$B:$G,5,FALSE),VLOOKUP(표1[[#This Row],[CAS No.]],[1]규제DB_화관법_개별취급기준!$B:$G,6,FALSE),""),"")</f>
        <v/>
      </c>
    </row>
    <row r="8" spans="1:82" ht="27.95" customHeight="1">
      <c r="A8" s="13">
        <v>7</v>
      </c>
      <c r="B8" s="2"/>
      <c r="C8" s="3" t="s">
        <v>103</v>
      </c>
      <c r="D8" s="4"/>
      <c r="E8" s="50" t="s">
        <v>108</v>
      </c>
      <c r="F8" s="3" t="s">
        <v>77</v>
      </c>
      <c r="G8" s="5" t="s">
        <v>78</v>
      </c>
      <c r="H8" s="3" t="s">
        <v>79</v>
      </c>
      <c r="I8" s="50" t="s">
        <v>102</v>
      </c>
      <c r="J8" s="3" t="s">
        <v>178</v>
      </c>
      <c r="K8" s="3" t="s">
        <v>178</v>
      </c>
      <c r="L8" s="3"/>
      <c r="M8" s="5" t="s">
        <v>80</v>
      </c>
      <c r="N8" s="5" t="s">
        <v>179</v>
      </c>
      <c r="O8" s="53" t="s">
        <v>81</v>
      </c>
      <c r="P8" s="55" t="s">
        <v>95</v>
      </c>
      <c r="Q8" s="54">
        <v>2800</v>
      </c>
      <c r="R8" s="6">
        <v>2800</v>
      </c>
      <c r="S8" s="7"/>
      <c r="T8" s="7"/>
      <c r="U8" s="6">
        <v>2800</v>
      </c>
      <c r="V8" s="6">
        <v>2800</v>
      </c>
      <c r="W8" s="8" t="str">
        <f>표1[[#This Row],[자재코드]]&amp;"_"&amp;표1[[#This Row],[자재명]]&amp;"_"&amp;표1[[#This Row],[공급업체명]]</f>
        <v>_soocoat av-208mf_㈜수케미칼</v>
      </c>
      <c r="X8" s="51" t="s">
        <v>132</v>
      </c>
      <c r="Y8" s="13"/>
      <c r="Z8" s="13"/>
      <c r="AA8" s="13"/>
      <c r="AB8" s="50">
        <v>0.09</v>
      </c>
      <c r="AC8" s="20" t="s">
        <v>177</v>
      </c>
      <c r="AD8" s="9" t="s">
        <v>83</v>
      </c>
      <c r="AE8" s="10" t="s">
        <v>84</v>
      </c>
      <c r="AF8" s="10" t="s">
        <v>84</v>
      </c>
      <c r="AG8" s="11"/>
      <c r="AH8" s="50" t="s">
        <v>165</v>
      </c>
      <c r="AI8" s="12">
        <f>IFERROR(표1[[#This Row],[사용량(kg)]]*표1[[#This Row],[함량(W%)]]/100,"")</f>
        <v>2.52</v>
      </c>
      <c r="AJ8" s="13"/>
      <c r="AK8" s="13"/>
      <c r="AL8" s="14"/>
      <c r="AM8" s="15"/>
      <c r="AN8" s="13"/>
      <c r="AO8" s="13"/>
      <c r="AP8" s="13"/>
      <c r="AQ8" s="13"/>
      <c r="AR8" s="13" t="str">
        <f>IFERROR(IF(표1[[#This Row],[함량(W%)]]&gt;=VLOOKUP(표1[[#This Row],[CAS No.]],[1]규제DB_유해법_유독물!B:F,5,FALSE),"유독물질 제품",""),"")</f>
        <v/>
      </c>
      <c r="AS8" s="13" t="str">
        <f>IFERROR(VLOOKUP(표1[[#This Row],[CAS No.]],[1]규제DB_유해법_금지물질!B:G,3,FALSE),"")</f>
        <v/>
      </c>
      <c r="AT8" s="13" t="str">
        <f>IFERROR(VLOOKUP(표1[[#This Row],[CAS No.]],[1]규제DB_유해법_금지물질!B:G,4,FALSE)&amp;" 인지 확인하세요","")</f>
        <v/>
      </c>
      <c r="AU8" s="13" t="str">
        <f>IFERROR(VLOOKUP(표1[[#This Row],[CAS No.]],[1]규제DB_유해법_제한물질!B:G,3,FALSE),"")</f>
        <v/>
      </c>
      <c r="AV8" s="13" t="str">
        <f>IFERROR(IF(표1[[#This Row],[함량(W%)]]&gt;=VLOOKUP(표1[[#This Row],[CAS No.]],[1]규제DB_유해법_제한물질!$B:$G,5,FALSE),"제한 제품",""),"")</f>
        <v/>
      </c>
      <c r="AW8" s="13"/>
      <c r="AX8" s="13"/>
      <c r="AY8" s="16"/>
      <c r="AZ8" s="16"/>
      <c r="BA8" s="17" t="str">
        <f>IFERROR(IF(표1[[#This Row],[함량(W%)]]&gt;=VLOOKUP(표1[[#This Row],[CAS No.]],[1]규제DB_유해법_사고대비물질!$B:$J,4,FALSE),VLOOKUP(표1[[#This Row],[CAS No.]],[1]규제DB_유해법_사고대비물질!$B$2:$J$70,7,FALSE),""),"")</f>
        <v/>
      </c>
      <c r="BB8" s="17" t="str">
        <f>IFERROR(IF(표1[[#This Row],[함량(W%)]]&gt;=VLOOKUP(표1[[#This Row],[CAS No.]],[1]규제DB_유해법_사고대비물질!$B:$J,4,FALSE),VLOOKUP(표1[[#This Row],[CAS No.]],[1]규제DB_유해법_사고대비물질!$B$2:$J$70,8,FALSE),""),"")</f>
        <v/>
      </c>
      <c r="BC8" s="17" t="str">
        <f>IFERROR(IF(표1[[#This Row],[함량(W%)]]&gt;=VLOOKUP(표1[[#This Row],[CAS No.]],[1]규제DB_유해법_사고대비물질!$B:$J,4,FALSE),VLOOKUP(표1[[#This Row],[CAS No.]],[1]규제DB_유해법_사고대비물질!$B$2:$J$70,9,FALSE),""),"")</f>
        <v/>
      </c>
      <c r="BD8" s="18" t="str">
        <f>IFERROR(IF(표1[[#This Row],[함량(W%)]]&gt;=VLOOKUP(표1[[#This Row],[CAS No.]],'[1]규제DB_유해법_배출량조사 I'!$B:$D,3,FALSE),IF(VLOOKUP(표1[[#This Row],[CAS No.]],[1]기초자료!$A:$C,3,FALSE)&gt;=1000,"배출량조사 I 물질",""),""),"")</f>
        <v/>
      </c>
      <c r="BE8" s="18"/>
      <c r="BF8" s="13" t="str">
        <f>IFERROR(IF(표1[[#This Row],[함량(W%)]]&gt;=VLOOKUP(표1[[#This Row],[CAS No.]],[1]규제DB_산안법_금지물질!$B:$E,4,FALSE), VLOOKUP(표1[[#This Row],[CAS No.]],[1]규제DB_산안법_금지물질!$B:$E,2,FALSE)&amp;" : "&amp;VLOOKUP(표1[[#This Row],[CAS No.]],[1]규제DB_산안법_금지물질!$B:$E,3,FALSE)&amp;" 인지 확인하세요",""),"")</f>
        <v/>
      </c>
      <c r="BG8" s="13" t="str">
        <f>IFERROR(IF(표1[[#This Row],[함량(W%)]]&gt;=VLOOKUP(표1[[#This Row],[CAS No.]],[1]규제DB_산안법_허가물질!$B:$E,4,FALSE), "제품 허가물질",""),"")</f>
        <v/>
      </c>
      <c r="BH8" s="13" t="str">
        <f>IFERROR(IF(표1[[#This Row],[함량(W%)]]&gt;=VLOOKUP(표1[[#This Row],[CAS No.]], [1]규제DB_산안법_특별관리물질!$B:$E,4,FALSE), "제품 특별관리물질",""),"")</f>
        <v/>
      </c>
      <c r="BI8" s="13"/>
      <c r="BJ8" s="13" t="str">
        <f>IFERROR(IF(표1[[#This Row],[CAS No.]]=VLOOKUP(표1[[#This Row],[CAS No.]], [1]규제DB_산안법_허용기준이하물질!$B:$D,1,FALSE),"제품 허용기준이하물질",""),"")</f>
        <v/>
      </c>
      <c r="BK8" s="13" t="str">
        <f>IFERROR(VLOOKUP(표1[[#This Row],[CAS No.]], [1]규제DB_산안법_허용기준이하물질!$B:$D,3,FALSE),"")</f>
        <v/>
      </c>
      <c r="BL8" s="13"/>
      <c r="BM8" s="13"/>
      <c r="BN8" s="13"/>
      <c r="BO8" s="13"/>
      <c r="BP8" s="13"/>
      <c r="BQ8" s="13" t="str">
        <f>IFERROR(VLOOKUP(표1[[#This Row],[CAS No.]], [1]규제DB_산안법_노출기준설정물질!$B:$K,8,FALSE),"")</f>
        <v/>
      </c>
      <c r="BR8" s="13" t="str">
        <f>IFERROR(VLOOKUP(표1[[#This Row],[CAS No.]], [1]규제DB_산안법_노출기준설정물질!$B:$K,9,FALSE),"")</f>
        <v/>
      </c>
      <c r="BS8" s="13" t="str">
        <f>IFERROR(VLOOKUP(표1[[#This Row],[CAS No.]], [1]규제DB_산안법_노출기준설정물질!$B:$K,10,FALSE),"")</f>
        <v/>
      </c>
      <c r="BT8" s="13"/>
      <c r="BU8" s="13"/>
      <c r="BV8" s="13" t="str">
        <f>IFERROR(IF(VLOOKUP(표1[[#This Row],[CAS No.]],[1]규제DB_고용노동부고시_CMR!$B:$J,3,FALSE)="구분1A", IF(표1[[#This Row],[함량(W%)]]&gt;=VLOOKUP(표1[[#This Row],[CAS No.]],[1]규제DB_고용노동부고시_CMR!$B:$J,4,FALSE),"제품 발암성물질",""), IF(VLOOKUP(표1[[#This Row],[CAS No.]],[1]규제DB_고용노동부고시_CMR!$B:$J,3,FALSE)="구분1B", IF(표1[[#This Row],[함량(W%)]]&gt;=VLOOKUP(표1[[#This Row],[CAS No.]],[1]규제DB_고용노동부고시_CMR!$B:$J,4,FALSE),"제품 발암성물질",""), IF(VLOOKUP(표1[[#This Row],[CAS No.]],[1]규제DB_고용노동부고시_CMR!$B:$J,3,FALSE)="구분2", IF(표1[[#This Row],[함량(W%)]]&gt;=VLOOKUP(표1[[#This Row],[CAS No.]],[1]규제DB_고용노동부고시_CMR!$B:$J,4,FALSE),"제품 발암성물질",""),""))),"")</f>
        <v/>
      </c>
      <c r="BW8" s="13" t="str">
        <f>IFERROR(IF(VLOOKUP(표1[[#This Row],[CAS No.]],[1]규제DB_고용노동부고시_CMR!$B:$J,5,FALSE)="구분1A", IF(표1[[#This Row],[함량(W%)]]&gt;=VLOOKUP(표1[[#This Row],[CAS No.]],[1]규제DB_고용노동부고시_CMR!$B:$J,6,FALSE),"제품 생식세포변이원성물질",""), IF(VLOOKUP(표1[[#This Row],[CAS No.]],[1]규제DB_고용노동부고시_CMR!$B:$J,5,FALSE)="구분1B", IF(표1[[#This Row],[함량(W%)]]&gt;=VLOOKUP(표1[[#This Row],[CAS No.]],[1]규제DB_고용노동부고시_CMR!$B:$J,6,FALSE),"제품 생식세포변이원성물질",""), IF(VLOOKUP(표1[[#This Row],[CAS No.]],[1]규제DB_고용노동부고시_CMR!$B:$J,5,FALSE)="구분2", IF(표1[[#This Row],[함량(W%)]]&gt;=VLOOKUP(표1[[#This Row],[CAS No.]],[1]규제DB_고용노동부고시_CMR!$B:$J,6,FALSE),"제품 생식세포변이원성물질",""),""))),"")</f>
        <v/>
      </c>
      <c r="BX8" s="13" t="str">
        <f>IFERROR(IF(VLOOKUP(표1[[#This Row],[CAS No.]],[1]규제DB_고용노동부고시_CMR!$B:$J,7,FALSE)="구분1A", IF(표1[[#This Row],[함량(W%)]]&gt;=VLOOKUP(표1[[#This Row],[CAS No.]],[1]규제DB_고용노동부고시_CMR!$B:$J,8,FALSE),"제품 생식독성물질",""), IF(VLOOKUP(표1[[#This Row],[CAS No.]],[1]규제DB_고용노동부고시_CMR!$B:$J,7,FALSE)="구분1B", IF(표1[[#This Row],[함량(W%)]]&gt;=VLOOKUP(표1[[#This Row],[CAS No.]],[1]규제DB_고용노동부고시_CMR!$B:$J,8,FALSE),"제품 생식독성물질",""), IF(VLOOKUP(표1[[#This Row],[CAS No.]],[1]규제DB_고용노동부고시_CMR!$B:$J,7,FALSE)="구분2", IF(표1[[#This Row],[함량(W%)]]&gt;=VLOOKUP(표1[[#This Row],[CAS No.]],[1]규제DB_고용노동부고시_CMR!$B:$J,8,FALSE),"제품 생식독성물질",""),""))),"")</f>
        <v/>
      </c>
      <c r="BY8" s="13" t="str">
        <f>IFERROR(VLOOKUP(표1[[#This Row],[CAS No.]],[1]규제DB_위험물안전관리법_위험물!$B:$F,3,FALSE),"")</f>
        <v/>
      </c>
      <c r="BZ8" s="13"/>
      <c r="CA8" s="13"/>
      <c r="CB8" s="13" t="str">
        <f>IFERROR(IF(표1[[#This Row],[CAS No.]]=VLOOKUP(표1[[#This Row],[CAS No.]],[1]규제DB_고압법_특수고압가스!$B:$D,1,FALSE),"특수고압가스",""),"")</f>
        <v/>
      </c>
      <c r="CC8" s="13" t="str">
        <f>IFERROR(IF(표1[[#This Row],[CAS No.]]=VLOOKUP(표1[[#This Row],[CAS No.]],[1]규제DB_고압법_특정고압가스!$B:$D,1,FALSE),"특정고압가스",""),"")</f>
        <v/>
      </c>
      <c r="CD8" s="13" t="str">
        <f>IFERROR(IF(표1[[#This Row],[함량(W%)]]&gt;=VLOOKUP(표1[[#This Row],[CAS No.]],[1]규제DB_화관법_개별취급기준!$B:$G,5,FALSE),VLOOKUP(표1[[#This Row],[CAS No.]],[1]규제DB_화관법_개별취급기준!$B:$G,6,FALSE),""),"")</f>
        <v/>
      </c>
    </row>
    <row r="9" spans="1:82" ht="27.95" customHeight="1">
      <c r="A9" s="13">
        <v>8</v>
      </c>
      <c r="B9" s="2"/>
      <c r="C9" s="3" t="s">
        <v>103</v>
      </c>
      <c r="D9" s="4"/>
      <c r="E9" s="50" t="s">
        <v>108</v>
      </c>
      <c r="F9" s="3" t="s">
        <v>77</v>
      </c>
      <c r="G9" s="5" t="s">
        <v>78</v>
      </c>
      <c r="H9" s="3" t="s">
        <v>79</v>
      </c>
      <c r="I9" s="50" t="s">
        <v>102</v>
      </c>
      <c r="J9" s="3" t="s">
        <v>178</v>
      </c>
      <c r="K9" s="3" t="s">
        <v>178</v>
      </c>
      <c r="L9" s="3"/>
      <c r="M9" s="5" t="s">
        <v>80</v>
      </c>
      <c r="N9" s="5" t="s">
        <v>179</v>
      </c>
      <c r="O9" s="53" t="s">
        <v>81</v>
      </c>
      <c r="P9" s="55" t="s">
        <v>95</v>
      </c>
      <c r="Q9" s="54">
        <v>2800</v>
      </c>
      <c r="R9" s="6">
        <v>2800</v>
      </c>
      <c r="S9" s="7"/>
      <c r="T9" s="7"/>
      <c r="U9" s="6">
        <v>2800</v>
      </c>
      <c r="V9" s="6">
        <v>2800</v>
      </c>
      <c r="W9" s="8" t="str">
        <f>표1[[#This Row],[자재코드]]&amp;"_"&amp;표1[[#This Row],[자재명]]&amp;"_"&amp;표1[[#This Row],[공급업체명]]</f>
        <v>_soocoat av-208mf_㈜수케미칼</v>
      </c>
      <c r="X9" s="51" t="s">
        <v>133</v>
      </c>
      <c r="Y9" s="13"/>
      <c r="Z9" s="13"/>
      <c r="AA9" s="13"/>
      <c r="AB9" s="50">
        <v>50</v>
      </c>
      <c r="AC9" s="9" t="s">
        <v>177</v>
      </c>
      <c r="AD9" s="9" t="s">
        <v>83</v>
      </c>
      <c r="AE9" s="10" t="s">
        <v>84</v>
      </c>
      <c r="AF9" s="10" t="s">
        <v>84</v>
      </c>
      <c r="AG9" s="11"/>
      <c r="AH9" s="50" t="s">
        <v>96</v>
      </c>
      <c r="AI9" s="12">
        <f>IFERROR(표1[[#This Row],[사용량(kg)]]*표1[[#This Row],[함량(W%)]]/100,"")</f>
        <v>1400</v>
      </c>
      <c r="AJ9" s="13"/>
      <c r="AK9" s="13"/>
      <c r="AL9" s="14"/>
      <c r="AM9" s="15"/>
      <c r="AN9" s="13"/>
      <c r="AO9" s="13"/>
      <c r="AP9" s="13"/>
      <c r="AQ9" s="13"/>
      <c r="AR9" s="13" t="str">
        <f>IFERROR(IF(표1[[#This Row],[함량(W%)]]&gt;=VLOOKUP(표1[[#This Row],[CAS No.]],[1]규제DB_유해법_유독물!B:F,5,FALSE),"유독물질 제품",""),"")</f>
        <v/>
      </c>
      <c r="AS9" s="13" t="str">
        <f>IFERROR(VLOOKUP(표1[[#This Row],[CAS No.]],[1]규제DB_유해법_금지물질!B:G,3,FALSE),"")</f>
        <v/>
      </c>
      <c r="AT9" s="13" t="str">
        <f>IFERROR(VLOOKUP(표1[[#This Row],[CAS No.]],[1]규제DB_유해법_금지물질!B:G,4,FALSE)&amp;" 인지 확인하세요","")</f>
        <v/>
      </c>
      <c r="AU9" s="13" t="str">
        <f>IFERROR(VLOOKUP(표1[[#This Row],[CAS No.]],[1]규제DB_유해법_제한물질!B:G,3,FALSE),"")</f>
        <v/>
      </c>
      <c r="AV9" s="13" t="str">
        <f>IFERROR(IF(표1[[#This Row],[함량(W%)]]&gt;=VLOOKUP(표1[[#This Row],[CAS No.]],[1]규제DB_유해법_제한물질!$B:$G,5,FALSE),"제한 제품",""),"")</f>
        <v/>
      </c>
      <c r="AW9" s="13"/>
      <c r="AX9" s="13"/>
      <c r="AY9" s="16"/>
      <c r="AZ9" s="16"/>
      <c r="BA9" s="17" t="str">
        <f>IFERROR(IF(표1[[#This Row],[함량(W%)]]&gt;=VLOOKUP(표1[[#This Row],[CAS No.]],[1]규제DB_유해법_사고대비물질!$B:$J,4,FALSE),VLOOKUP(표1[[#This Row],[CAS No.]],[1]규제DB_유해법_사고대비물질!$B$2:$J$70,7,FALSE),""),"")</f>
        <v/>
      </c>
      <c r="BB9" s="17" t="str">
        <f>IFERROR(IF(표1[[#This Row],[함량(W%)]]&gt;=VLOOKUP(표1[[#This Row],[CAS No.]],[1]규제DB_유해법_사고대비물질!$B:$J,4,FALSE),VLOOKUP(표1[[#This Row],[CAS No.]],[1]규제DB_유해법_사고대비물질!$B$2:$J$70,8,FALSE),""),"")</f>
        <v/>
      </c>
      <c r="BC9" s="17" t="str">
        <f>IFERROR(IF(표1[[#This Row],[함량(W%)]]&gt;=VLOOKUP(표1[[#This Row],[CAS No.]],[1]규제DB_유해법_사고대비물질!$B:$J,4,FALSE),VLOOKUP(표1[[#This Row],[CAS No.]],[1]규제DB_유해법_사고대비물질!$B$2:$J$70,9,FALSE),""),"")</f>
        <v/>
      </c>
      <c r="BD9" s="18" t="str">
        <f>IFERROR(IF(표1[[#This Row],[함량(W%)]]&gt;=VLOOKUP(표1[[#This Row],[CAS No.]],'[1]규제DB_유해법_배출량조사 I'!$B:$D,3,FALSE),IF(VLOOKUP(표1[[#This Row],[CAS No.]],[1]기초자료!$A:$C,3,FALSE)&gt;=1000,"배출량조사 I 물질",""),""),"")</f>
        <v/>
      </c>
      <c r="BE9" s="18"/>
      <c r="BF9" s="13" t="str">
        <f>IFERROR(IF(표1[[#This Row],[함량(W%)]]&gt;=VLOOKUP(표1[[#This Row],[CAS No.]],[1]규제DB_산안법_금지물질!$B:$E,4,FALSE), VLOOKUP(표1[[#This Row],[CAS No.]],[1]규제DB_산안법_금지물질!$B:$E,2,FALSE)&amp;" : "&amp;VLOOKUP(표1[[#This Row],[CAS No.]],[1]규제DB_산안법_금지물질!$B:$E,3,FALSE)&amp;" 인지 확인하세요",""),"")</f>
        <v/>
      </c>
      <c r="BG9" s="13" t="str">
        <f>IFERROR(IF(표1[[#This Row],[함량(W%)]]&gt;=VLOOKUP(표1[[#This Row],[CAS No.]],[1]규제DB_산안법_허가물질!$B:$E,4,FALSE), "제품 허가물질",""),"")</f>
        <v/>
      </c>
      <c r="BH9" s="13" t="str">
        <f>IFERROR(IF(표1[[#This Row],[함량(W%)]]&gt;=VLOOKUP(표1[[#This Row],[CAS No.]], [1]규제DB_산안법_특별관리물질!$B:$E,4,FALSE), "제품 특별관리물질",""),"")</f>
        <v/>
      </c>
      <c r="BI9" s="13"/>
      <c r="BJ9" s="13" t="str">
        <f>IFERROR(IF(표1[[#This Row],[CAS No.]]=VLOOKUP(표1[[#This Row],[CAS No.]], [1]규제DB_산안법_허용기준이하물질!$B:$D,1,FALSE),"제품 허용기준이하물질",""),"")</f>
        <v/>
      </c>
      <c r="BK9" s="13" t="str">
        <f>IFERROR(VLOOKUP(표1[[#This Row],[CAS No.]], [1]규제DB_산안법_허용기준이하물질!$B:$D,3,FALSE),"")</f>
        <v/>
      </c>
      <c r="BL9" s="13"/>
      <c r="BM9" s="13"/>
      <c r="BN9" s="13"/>
      <c r="BO9" s="13"/>
      <c r="BP9" s="13"/>
      <c r="BQ9" s="13" t="str">
        <f>IFERROR(VLOOKUP(표1[[#This Row],[CAS No.]], [1]규제DB_산안법_노출기준설정물질!$B:$K,8,FALSE),"")</f>
        <v/>
      </c>
      <c r="BR9" s="13" t="str">
        <f>IFERROR(VLOOKUP(표1[[#This Row],[CAS No.]], [1]규제DB_산안법_노출기준설정물질!$B:$K,9,FALSE),"")</f>
        <v/>
      </c>
      <c r="BS9" s="13" t="str">
        <f>IFERROR(VLOOKUP(표1[[#This Row],[CAS No.]], [1]규제DB_산안법_노출기준설정물질!$B:$K,10,FALSE),"")</f>
        <v/>
      </c>
      <c r="BT9" s="13"/>
      <c r="BU9" s="13"/>
      <c r="BV9" s="13" t="str">
        <f>IFERROR(IF(VLOOKUP(표1[[#This Row],[CAS No.]],[1]규제DB_고용노동부고시_CMR!$B:$J,3,FALSE)="구분1A", IF(표1[[#This Row],[함량(W%)]]&gt;=VLOOKUP(표1[[#This Row],[CAS No.]],[1]규제DB_고용노동부고시_CMR!$B:$J,4,FALSE),"제품 발암성물질",""), IF(VLOOKUP(표1[[#This Row],[CAS No.]],[1]규제DB_고용노동부고시_CMR!$B:$J,3,FALSE)="구분1B", IF(표1[[#This Row],[함량(W%)]]&gt;=VLOOKUP(표1[[#This Row],[CAS No.]],[1]규제DB_고용노동부고시_CMR!$B:$J,4,FALSE),"제품 발암성물질",""), IF(VLOOKUP(표1[[#This Row],[CAS No.]],[1]규제DB_고용노동부고시_CMR!$B:$J,3,FALSE)="구분2", IF(표1[[#This Row],[함량(W%)]]&gt;=VLOOKUP(표1[[#This Row],[CAS No.]],[1]규제DB_고용노동부고시_CMR!$B:$J,4,FALSE),"제품 발암성물질",""),""))),"")</f>
        <v/>
      </c>
      <c r="BW9" s="13" t="str">
        <f>IFERROR(IF(VLOOKUP(표1[[#This Row],[CAS No.]],[1]규제DB_고용노동부고시_CMR!$B:$J,5,FALSE)="구분1A", IF(표1[[#This Row],[함량(W%)]]&gt;=VLOOKUP(표1[[#This Row],[CAS No.]],[1]규제DB_고용노동부고시_CMR!$B:$J,6,FALSE),"제품 생식세포변이원성물질",""), IF(VLOOKUP(표1[[#This Row],[CAS No.]],[1]규제DB_고용노동부고시_CMR!$B:$J,5,FALSE)="구분1B", IF(표1[[#This Row],[함량(W%)]]&gt;=VLOOKUP(표1[[#This Row],[CAS No.]],[1]규제DB_고용노동부고시_CMR!$B:$J,6,FALSE),"제품 생식세포변이원성물질",""), IF(VLOOKUP(표1[[#This Row],[CAS No.]],[1]규제DB_고용노동부고시_CMR!$B:$J,5,FALSE)="구분2", IF(표1[[#This Row],[함량(W%)]]&gt;=VLOOKUP(표1[[#This Row],[CAS No.]],[1]규제DB_고용노동부고시_CMR!$B:$J,6,FALSE),"제품 생식세포변이원성물질",""),""))),"")</f>
        <v/>
      </c>
      <c r="BX9" s="13" t="str">
        <f>IFERROR(IF(VLOOKUP(표1[[#This Row],[CAS No.]],[1]규제DB_고용노동부고시_CMR!$B:$J,7,FALSE)="구분1A", IF(표1[[#This Row],[함량(W%)]]&gt;=VLOOKUP(표1[[#This Row],[CAS No.]],[1]규제DB_고용노동부고시_CMR!$B:$J,8,FALSE),"제품 생식독성물질",""), IF(VLOOKUP(표1[[#This Row],[CAS No.]],[1]규제DB_고용노동부고시_CMR!$B:$J,7,FALSE)="구분1B", IF(표1[[#This Row],[함량(W%)]]&gt;=VLOOKUP(표1[[#This Row],[CAS No.]],[1]규제DB_고용노동부고시_CMR!$B:$J,8,FALSE),"제품 생식독성물질",""), IF(VLOOKUP(표1[[#This Row],[CAS No.]],[1]규제DB_고용노동부고시_CMR!$B:$J,7,FALSE)="구분2", IF(표1[[#This Row],[함량(W%)]]&gt;=VLOOKUP(표1[[#This Row],[CAS No.]],[1]규제DB_고용노동부고시_CMR!$B:$J,8,FALSE),"제품 생식독성물질",""),""))),"")</f>
        <v/>
      </c>
      <c r="BY9" s="13" t="str">
        <f>IFERROR(VLOOKUP(표1[[#This Row],[CAS No.]],[1]규제DB_위험물안전관리법_위험물!$B:$F,3,FALSE),"")</f>
        <v/>
      </c>
      <c r="BZ9" s="13" t="str">
        <f>IFERROR(IF(표1[[#This Row],[CAS No.]]=VLOOKUP(표1[[#This Row],[CAS No.]],[1]규제DB_고압법_독성가스!$B:$D,1,FALSE),"독성가스",""),"")</f>
        <v/>
      </c>
      <c r="CA9" s="13" t="str">
        <f>IFERROR(IF(표1[[#This Row],[CAS No.]]=VLOOKUP(표1[[#This Row],[CAS No.]],[1]규제DB_고압법_가연성가스!$B:$D,1,FALSE),"가연성가스",""),"")</f>
        <v/>
      </c>
      <c r="CB9" s="13" t="str">
        <f>IFERROR(IF(표1[[#This Row],[CAS No.]]=VLOOKUP(표1[[#This Row],[CAS No.]],[1]규제DB_고압법_특수고압가스!$B:$D,1,FALSE),"특수고압가스",""),"")</f>
        <v/>
      </c>
      <c r="CC9" s="13" t="str">
        <f>IFERROR(IF(표1[[#This Row],[CAS No.]]=VLOOKUP(표1[[#This Row],[CAS No.]],[1]규제DB_고압법_특정고압가스!$B:$D,1,FALSE),"특정고압가스",""),"")</f>
        <v/>
      </c>
      <c r="CD9" s="13" t="str">
        <f>IFERROR(IF(표1[[#This Row],[함량(W%)]]&gt;=VLOOKUP(표1[[#This Row],[CAS No.]],[1]규제DB_화관법_개별취급기준!$B:$G,5,FALSE),VLOOKUP(표1[[#This Row],[CAS No.]],[1]규제DB_화관법_개별취급기준!$B:$G,6,FALSE),""),"")</f>
        <v/>
      </c>
    </row>
    <row r="10" spans="1:82" ht="27.95" customHeight="1">
      <c r="A10" s="13">
        <v>9</v>
      </c>
      <c r="B10" s="2"/>
      <c r="C10" s="3" t="s">
        <v>103</v>
      </c>
      <c r="D10" s="4"/>
      <c r="E10" s="50" t="s">
        <v>108</v>
      </c>
      <c r="F10" s="3" t="s">
        <v>77</v>
      </c>
      <c r="G10" s="5" t="s">
        <v>78</v>
      </c>
      <c r="H10" s="3" t="s">
        <v>79</v>
      </c>
      <c r="I10" s="50" t="s">
        <v>102</v>
      </c>
      <c r="J10" s="3" t="s">
        <v>178</v>
      </c>
      <c r="K10" s="3" t="s">
        <v>178</v>
      </c>
      <c r="L10" s="3"/>
      <c r="M10" s="5" t="s">
        <v>80</v>
      </c>
      <c r="N10" s="5" t="s">
        <v>179</v>
      </c>
      <c r="O10" s="53" t="s">
        <v>81</v>
      </c>
      <c r="P10" s="55" t="s">
        <v>95</v>
      </c>
      <c r="Q10" s="54">
        <v>2800</v>
      </c>
      <c r="R10" s="6">
        <v>2800</v>
      </c>
      <c r="S10" s="7"/>
      <c r="T10" s="7"/>
      <c r="U10" s="6">
        <v>2800</v>
      </c>
      <c r="V10" s="6">
        <v>2800</v>
      </c>
      <c r="W10" s="8" t="str">
        <f>표1[[#This Row],[자재코드]]&amp;"_"&amp;표1[[#This Row],[자재명]]&amp;"_"&amp;표1[[#This Row],[공급업체명]]</f>
        <v>_soocoat av-208mf_㈜수케미칼</v>
      </c>
      <c r="X10" s="51" t="s">
        <v>134</v>
      </c>
      <c r="Y10" s="2"/>
      <c r="Z10" s="2"/>
      <c r="AA10" s="2"/>
      <c r="AB10" s="50">
        <v>1.6</v>
      </c>
      <c r="AC10" s="20" t="s">
        <v>177</v>
      </c>
      <c r="AD10" s="9" t="s">
        <v>83</v>
      </c>
      <c r="AE10" s="10" t="s">
        <v>84</v>
      </c>
      <c r="AF10" s="10" t="s">
        <v>84</v>
      </c>
      <c r="AG10" s="11"/>
      <c r="AH10" s="50" t="s">
        <v>97</v>
      </c>
      <c r="AI10" s="12">
        <f>IFERROR(표1[[#This Row],[사용량(kg)]]*표1[[#This Row],[함량(W%)]]/100,"")</f>
        <v>44.8</v>
      </c>
      <c r="AJ10" s="13"/>
      <c r="AK10" s="13"/>
      <c r="AL10" s="14"/>
      <c r="AM10" s="15"/>
      <c r="AN10" s="13"/>
      <c r="AO10" s="13"/>
      <c r="AP10" s="13"/>
      <c r="AQ10" s="13"/>
      <c r="AR10" s="13" t="str">
        <f>IFERROR(IF(표1[[#This Row],[함량(W%)]]&gt;=VLOOKUP(표1[[#This Row],[CAS No.]],[1]규제DB_유해법_유독물!B:F,5,FALSE),"유독물질 제품",""),"")</f>
        <v/>
      </c>
      <c r="AS10" s="13" t="str">
        <f>IFERROR(VLOOKUP(표1[[#This Row],[CAS No.]],[1]규제DB_유해법_금지물질!B:G,3,FALSE),"")</f>
        <v/>
      </c>
      <c r="AT10" s="13" t="str">
        <f>IFERROR(VLOOKUP(표1[[#This Row],[CAS No.]],[1]규제DB_유해법_금지물질!B:G,4,FALSE)&amp;" 인지 확인하세요","")</f>
        <v/>
      </c>
      <c r="AU10" s="13" t="str">
        <f>IFERROR(VLOOKUP(표1[[#This Row],[CAS No.]],[1]규제DB_유해법_제한물질!B:G,3,FALSE),"")</f>
        <v/>
      </c>
      <c r="AV10" s="13" t="str">
        <f>IFERROR(IF(표1[[#This Row],[함량(W%)]]&gt;=VLOOKUP(표1[[#This Row],[CAS No.]],[1]규제DB_유해법_제한물질!$B:$G,5,FALSE),"제한 제품",""),"")</f>
        <v/>
      </c>
      <c r="AW10" s="13"/>
      <c r="AX10" s="13"/>
      <c r="AY10" s="16"/>
      <c r="AZ10" s="16"/>
      <c r="BA10" s="17" t="str">
        <f>IFERROR(IF(표1[[#This Row],[함량(W%)]]&gt;=VLOOKUP(표1[[#This Row],[CAS No.]],[1]규제DB_유해법_사고대비물질!$B:$J,4,FALSE),VLOOKUP(표1[[#This Row],[CAS No.]],[1]규제DB_유해법_사고대비물질!$B$2:$J$70,7,FALSE),""),"")</f>
        <v/>
      </c>
      <c r="BB10" s="17" t="str">
        <f>IFERROR(IF(표1[[#This Row],[함량(W%)]]&gt;=VLOOKUP(표1[[#This Row],[CAS No.]],[1]규제DB_유해법_사고대비물질!$B:$J,4,FALSE),VLOOKUP(표1[[#This Row],[CAS No.]],[1]규제DB_유해법_사고대비물질!$B$2:$J$70,8,FALSE),""),"")</f>
        <v/>
      </c>
      <c r="BC10" s="17" t="str">
        <f>IFERROR(IF(표1[[#This Row],[함량(W%)]]&gt;=VLOOKUP(표1[[#This Row],[CAS No.]],[1]규제DB_유해법_사고대비물질!$B:$J,4,FALSE),VLOOKUP(표1[[#This Row],[CAS No.]],[1]규제DB_유해법_사고대비물질!$B$2:$J$70,9,FALSE),""),"")</f>
        <v/>
      </c>
      <c r="BD10" s="18" t="str">
        <f>IFERROR(IF(표1[[#This Row],[함량(W%)]]&gt;=VLOOKUP(표1[[#This Row],[CAS No.]],'[1]규제DB_유해법_배출량조사 I'!$B:$D,3,FALSE),IF(VLOOKUP(표1[[#This Row],[CAS No.]],[1]기초자료!$A:$C,3,FALSE)&gt;=1000,"배출량조사 I 물질",""),""),"")</f>
        <v/>
      </c>
      <c r="BE10" s="18"/>
      <c r="BF10" s="13" t="str">
        <f>IFERROR(IF(표1[[#This Row],[함량(W%)]]&gt;=VLOOKUP(표1[[#This Row],[CAS No.]],[1]규제DB_산안법_금지물질!$B:$E,4,FALSE), VLOOKUP(표1[[#This Row],[CAS No.]],[1]규제DB_산안법_금지물질!$B:$E,2,FALSE)&amp;" : "&amp;VLOOKUP(표1[[#This Row],[CAS No.]],[1]규제DB_산안법_금지물질!$B:$E,3,FALSE)&amp;" 인지 확인하세요",""),"")</f>
        <v/>
      </c>
      <c r="BG10" s="13" t="str">
        <f>IFERROR(IF(표1[[#This Row],[함량(W%)]]&gt;=VLOOKUP(표1[[#This Row],[CAS No.]],[1]규제DB_산안법_허가물질!$B:$E,4,FALSE), "제품 허가물질",""),"")</f>
        <v/>
      </c>
      <c r="BH10" s="13" t="str">
        <f>IFERROR(IF(표1[[#This Row],[함량(W%)]]&gt;=VLOOKUP(표1[[#This Row],[CAS No.]], [1]규제DB_산안법_특별관리물질!$B:$E,4,FALSE), "제품 특별관리물질",""),"")</f>
        <v/>
      </c>
      <c r="BI10" s="13"/>
      <c r="BJ10" s="13" t="str">
        <f>IFERROR(IF(표1[[#This Row],[CAS No.]]=VLOOKUP(표1[[#This Row],[CAS No.]], [1]규제DB_산안법_허용기준이하물질!$B:$D,1,FALSE),"제품 허용기준이하물질",""),"")</f>
        <v/>
      </c>
      <c r="BK10" s="13" t="str">
        <f>IFERROR(VLOOKUP(표1[[#This Row],[CAS No.]], [1]규제DB_산안법_허용기준이하물질!$B:$D,3,FALSE),"")</f>
        <v/>
      </c>
      <c r="BL10" s="13"/>
      <c r="BM10" s="13"/>
      <c r="BN10" s="13"/>
      <c r="BO10" s="13"/>
      <c r="BP10" s="13"/>
      <c r="BQ10" s="13" t="str">
        <f>IFERROR(VLOOKUP(표1[[#This Row],[CAS No.]], [1]규제DB_산안법_노출기준설정물질!$B:$K,8,FALSE),"")</f>
        <v/>
      </c>
      <c r="BR10" s="13" t="str">
        <f>IFERROR(VLOOKUP(표1[[#This Row],[CAS No.]], [1]규제DB_산안법_노출기준설정물질!$B:$K,9,FALSE),"")</f>
        <v/>
      </c>
      <c r="BS10" s="13" t="str">
        <f>IFERROR(VLOOKUP(표1[[#This Row],[CAS No.]], [1]규제DB_산안법_노출기준설정물질!$B:$K,10,FALSE),"")</f>
        <v/>
      </c>
      <c r="BT10" s="13"/>
      <c r="BU10" s="13"/>
      <c r="BV10" s="13" t="str">
        <f>IFERROR(IF(VLOOKUP(표1[[#This Row],[CAS No.]],[1]규제DB_고용노동부고시_CMR!$B:$J,3,FALSE)="구분1A", IF(표1[[#This Row],[함량(W%)]]&gt;=VLOOKUP(표1[[#This Row],[CAS No.]],[1]규제DB_고용노동부고시_CMR!$B:$J,4,FALSE),"제품 발암성물질",""), IF(VLOOKUP(표1[[#This Row],[CAS No.]],[1]규제DB_고용노동부고시_CMR!$B:$J,3,FALSE)="구분1B", IF(표1[[#This Row],[함량(W%)]]&gt;=VLOOKUP(표1[[#This Row],[CAS No.]],[1]규제DB_고용노동부고시_CMR!$B:$J,4,FALSE),"제품 발암성물질",""), IF(VLOOKUP(표1[[#This Row],[CAS No.]],[1]규제DB_고용노동부고시_CMR!$B:$J,3,FALSE)="구분2", IF(표1[[#This Row],[함량(W%)]]&gt;=VLOOKUP(표1[[#This Row],[CAS No.]],[1]규제DB_고용노동부고시_CMR!$B:$J,4,FALSE),"제품 발암성물질",""),""))),"")</f>
        <v/>
      </c>
      <c r="BW10" s="13" t="str">
        <f>IFERROR(IF(VLOOKUP(표1[[#This Row],[CAS No.]],[1]규제DB_고용노동부고시_CMR!$B:$J,5,FALSE)="구분1A", IF(표1[[#This Row],[함량(W%)]]&gt;=VLOOKUP(표1[[#This Row],[CAS No.]],[1]규제DB_고용노동부고시_CMR!$B:$J,6,FALSE),"제품 생식세포변이원성물질",""), IF(VLOOKUP(표1[[#This Row],[CAS No.]],[1]규제DB_고용노동부고시_CMR!$B:$J,5,FALSE)="구분1B", IF(표1[[#This Row],[함량(W%)]]&gt;=VLOOKUP(표1[[#This Row],[CAS No.]],[1]규제DB_고용노동부고시_CMR!$B:$J,6,FALSE),"제품 생식세포변이원성물질",""), IF(VLOOKUP(표1[[#This Row],[CAS No.]],[1]규제DB_고용노동부고시_CMR!$B:$J,5,FALSE)="구분2", IF(표1[[#This Row],[함량(W%)]]&gt;=VLOOKUP(표1[[#This Row],[CAS No.]],[1]규제DB_고용노동부고시_CMR!$B:$J,6,FALSE),"제품 생식세포변이원성물질",""),""))),"")</f>
        <v/>
      </c>
      <c r="BX10" s="13" t="str">
        <f>IFERROR(IF(VLOOKUP(표1[[#This Row],[CAS No.]],[1]규제DB_고용노동부고시_CMR!$B:$J,7,FALSE)="구분1A", IF(표1[[#This Row],[함량(W%)]]&gt;=VLOOKUP(표1[[#This Row],[CAS No.]],[1]규제DB_고용노동부고시_CMR!$B:$J,8,FALSE),"제품 생식독성물질",""), IF(VLOOKUP(표1[[#This Row],[CAS No.]],[1]규제DB_고용노동부고시_CMR!$B:$J,7,FALSE)="구분1B", IF(표1[[#This Row],[함량(W%)]]&gt;=VLOOKUP(표1[[#This Row],[CAS No.]],[1]규제DB_고용노동부고시_CMR!$B:$J,8,FALSE),"제품 생식독성물질",""), IF(VLOOKUP(표1[[#This Row],[CAS No.]],[1]규제DB_고용노동부고시_CMR!$B:$J,7,FALSE)="구분2", IF(표1[[#This Row],[함량(W%)]]&gt;=VLOOKUP(표1[[#This Row],[CAS No.]],[1]규제DB_고용노동부고시_CMR!$B:$J,8,FALSE),"제품 생식독성물질",""),""))),"")</f>
        <v/>
      </c>
      <c r="BY10" s="13"/>
      <c r="BZ10" s="13" t="str">
        <f>IFERROR(IF(표1[[#This Row],[CAS No.]]=VLOOKUP(표1[[#This Row],[CAS No.]],[1]규제DB_고압법_독성가스!$B:$D,1,FALSE),"독성가스",""),"")</f>
        <v/>
      </c>
      <c r="CA10" s="13" t="str">
        <f>IFERROR(IF(표1[[#This Row],[CAS No.]]=VLOOKUP(표1[[#This Row],[CAS No.]],[1]규제DB_고압법_가연성가스!$B:$D,1,FALSE),"가연성가스",""),"")</f>
        <v/>
      </c>
      <c r="CB10" s="13" t="str">
        <f>IFERROR(IF(표1[[#This Row],[CAS No.]]=VLOOKUP(표1[[#This Row],[CAS No.]],[1]규제DB_고압법_특수고압가스!$B:$D,1,FALSE),"특수고압가스",""),"")</f>
        <v/>
      </c>
      <c r="CC10" s="13" t="str">
        <f>IFERROR(IF(표1[[#This Row],[CAS No.]]=VLOOKUP(표1[[#This Row],[CAS No.]],[1]규제DB_고압법_특정고압가스!$B:$D,1,FALSE),"특정고압가스",""),"")</f>
        <v/>
      </c>
      <c r="CD10" s="13" t="str">
        <f>IFERROR(IF(표1[[#This Row],[함량(W%)]]&gt;=VLOOKUP(표1[[#This Row],[CAS No.]],[1]규제DB_화관법_개별취급기준!$B:$G,5,FALSE),VLOOKUP(표1[[#This Row],[CAS No.]],[1]규제DB_화관법_개별취급기준!$B:$G,6,FALSE),""),"")</f>
        <v/>
      </c>
    </row>
    <row r="11" spans="1:82" ht="27.95" customHeight="1">
      <c r="A11" s="13">
        <v>10</v>
      </c>
      <c r="B11" s="2"/>
      <c r="C11" s="3" t="s">
        <v>103</v>
      </c>
      <c r="D11" s="4"/>
      <c r="E11" s="50" t="s">
        <v>109</v>
      </c>
      <c r="F11" s="3" t="s">
        <v>77</v>
      </c>
      <c r="G11" s="5" t="s">
        <v>78</v>
      </c>
      <c r="H11" s="3" t="s">
        <v>168</v>
      </c>
      <c r="I11" s="50" t="s">
        <v>125</v>
      </c>
      <c r="J11" s="3" t="s">
        <v>167</v>
      </c>
      <c r="K11" s="3" t="s">
        <v>167</v>
      </c>
      <c r="L11" s="3"/>
      <c r="M11" s="5" t="s">
        <v>80</v>
      </c>
      <c r="N11" s="5" t="s">
        <v>169</v>
      </c>
      <c r="O11" s="53" t="s">
        <v>81</v>
      </c>
      <c r="P11" s="55" t="s">
        <v>98</v>
      </c>
      <c r="Q11" s="54">
        <v>200</v>
      </c>
      <c r="R11" s="6">
        <v>200</v>
      </c>
      <c r="S11" s="7"/>
      <c r="T11" s="7"/>
      <c r="U11" s="6">
        <v>200</v>
      </c>
      <c r="V11" s="6">
        <v>200</v>
      </c>
      <c r="W11" s="8" t="str">
        <f>표1[[#This Row],[자재코드]]&amp;"_"&amp;표1[[#This Row],[자재명]]&amp;"_"&amp;표1[[#This Row],[공급업체명]]</f>
        <v>_dh-237_대현화학</v>
      </c>
      <c r="X11" s="51" t="s">
        <v>135</v>
      </c>
      <c r="Y11" s="2"/>
      <c r="Z11" s="2"/>
      <c r="AA11" s="2"/>
      <c r="AB11" s="50">
        <v>5</v>
      </c>
      <c r="AC11" s="21" t="s">
        <v>87</v>
      </c>
      <c r="AD11" s="9" t="s">
        <v>83</v>
      </c>
      <c r="AE11" s="10" t="s">
        <v>84</v>
      </c>
      <c r="AF11" s="10" t="s">
        <v>84</v>
      </c>
      <c r="AG11" s="11"/>
      <c r="AH11" s="50" t="s">
        <v>184</v>
      </c>
      <c r="AI11" s="12">
        <f>IFERROR(표1[[#This Row],[사용량(kg)]]*표1[[#This Row],[함량(W%)]]/100,"")</f>
        <v>10</v>
      </c>
      <c r="AJ11" s="13"/>
      <c r="AK11" s="13"/>
      <c r="AL11" s="14"/>
      <c r="AM11" s="15"/>
      <c r="AN11" s="13"/>
      <c r="AO11" s="13"/>
      <c r="AP11" s="13"/>
      <c r="AQ11" s="13"/>
      <c r="AR11" s="13" t="str">
        <f>IFERROR(IF(표1[[#This Row],[함량(W%)]]&gt;=VLOOKUP(표1[[#This Row],[CAS No.]],[1]규제DB_유해법_유독물!B:F,5,FALSE),"유독물질 제품",""),"")</f>
        <v/>
      </c>
      <c r="AS11" s="13" t="str">
        <f>IFERROR(VLOOKUP(표1[[#This Row],[CAS No.]],[1]규제DB_유해법_금지물질!B:G,3,FALSE),"")</f>
        <v/>
      </c>
      <c r="AT11" s="13" t="str">
        <f>IFERROR(VLOOKUP(표1[[#This Row],[CAS No.]],[1]규제DB_유해법_금지물질!B:G,4,FALSE)&amp;" 인지 확인하세요","")</f>
        <v/>
      </c>
      <c r="AU11" s="13" t="str">
        <f>IFERROR(VLOOKUP(표1[[#This Row],[CAS No.]],[1]규제DB_유해법_제한물질!B:G,3,FALSE),"")</f>
        <v/>
      </c>
      <c r="AV11" s="13" t="str">
        <f>IFERROR(IF(표1[[#This Row],[함량(W%)]]&gt;=VLOOKUP(표1[[#This Row],[CAS No.]],[1]규제DB_유해법_제한물질!$B:$G,5,FALSE),"제한 제품",""),"")</f>
        <v/>
      </c>
      <c r="AW11" s="13"/>
      <c r="AX11" s="13"/>
      <c r="AY11" s="16"/>
      <c r="AZ11" s="16"/>
      <c r="BA11" s="17" t="str">
        <f>IFERROR(IF(표1[[#This Row],[함량(W%)]]&gt;=VLOOKUP(표1[[#This Row],[CAS No.]],[1]규제DB_유해법_사고대비물질!$B:$J,4,FALSE),VLOOKUP(표1[[#This Row],[CAS No.]],[1]규제DB_유해법_사고대비물질!$B$2:$J$70,7,FALSE),""),"")</f>
        <v/>
      </c>
      <c r="BB11" s="17" t="str">
        <f>IFERROR(IF(표1[[#This Row],[함량(W%)]]&gt;=VLOOKUP(표1[[#This Row],[CAS No.]],[1]규제DB_유해법_사고대비물질!$B:$J,4,FALSE),VLOOKUP(표1[[#This Row],[CAS No.]],[1]규제DB_유해법_사고대비물질!$B$2:$J$70,8,FALSE),""),"")</f>
        <v/>
      </c>
      <c r="BC11" s="17" t="str">
        <f>IFERROR(IF(표1[[#This Row],[함량(W%)]]&gt;=VLOOKUP(표1[[#This Row],[CAS No.]],[1]규제DB_유해법_사고대비물질!$B:$J,4,FALSE),VLOOKUP(표1[[#This Row],[CAS No.]],[1]규제DB_유해법_사고대비물질!$B$2:$J$70,9,FALSE),""),"")</f>
        <v/>
      </c>
      <c r="BD11" s="18" t="str">
        <f>IFERROR(IF(표1[[#This Row],[함량(W%)]]&gt;=VLOOKUP(표1[[#This Row],[CAS No.]],'[1]규제DB_유해법_배출량조사 I'!$B:$D,3,FALSE),IF(VLOOKUP(표1[[#This Row],[CAS No.]],[1]기초자료!$A:$C,3,FALSE)&gt;=1000,"배출량조사 I 물질",""),""),"")</f>
        <v/>
      </c>
      <c r="BE11" s="18"/>
      <c r="BF11" s="13" t="str">
        <f>IFERROR(IF(표1[[#This Row],[함량(W%)]]&gt;=VLOOKUP(표1[[#This Row],[CAS No.]],[1]규제DB_산안법_금지물질!$B:$E,4,FALSE), VLOOKUP(표1[[#This Row],[CAS No.]],[1]규제DB_산안법_금지물질!$B:$E,2,FALSE)&amp;" : "&amp;VLOOKUP(표1[[#This Row],[CAS No.]],[1]규제DB_산안법_금지물질!$B:$E,3,FALSE)&amp;" 인지 확인하세요",""),"")</f>
        <v/>
      </c>
      <c r="BG11" s="13" t="str">
        <f>IFERROR(IF(표1[[#This Row],[함량(W%)]]&gt;=VLOOKUP(표1[[#This Row],[CAS No.]],[1]규제DB_산안법_허가물질!$B:$E,4,FALSE), "제품 허가물질",""),"")</f>
        <v/>
      </c>
      <c r="BH11" s="13" t="str">
        <f>IFERROR(IF(표1[[#This Row],[함량(W%)]]&gt;=VLOOKUP(표1[[#This Row],[CAS No.]], [1]규제DB_산안법_특별관리물질!$B:$E,4,FALSE), "제품 특별관리물질",""),"")</f>
        <v/>
      </c>
      <c r="BI11" s="13"/>
      <c r="BJ11" s="13" t="str">
        <f>IFERROR(IF(표1[[#This Row],[CAS No.]]=VLOOKUP(표1[[#This Row],[CAS No.]], [1]규제DB_산안법_허용기준이하물질!$B:$D,1,FALSE),"제품 허용기준이하물질",""),"")</f>
        <v/>
      </c>
      <c r="BK11" s="13" t="str">
        <f>IFERROR(VLOOKUP(표1[[#This Row],[CAS No.]], [1]규제DB_산안법_허용기준이하물질!$B:$D,3,FALSE),"")</f>
        <v/>
      </c>
      <c r="BL11" s="13"/>
      <c r="BM11" s="13"/>
      <c r="BN11" s="13"/>
      <c r="BO11" s="13"/>
      <c r="BP11" s="13"/>
      <c r="BQ11" s="13" t="str">
        <f>IFERROR(VLOOKUP(표1[[#This Row],[CAS No.]], [1]규제DB_산안법_노출기준설정물질!$B:$K,8,FALSE),"")</f>
        <v/>
      </c>
      <c r="BR11" s="13" t="str">
        <f>IFERROR(VLOOKUP(표1[[#This Row],[CAS No.]], [1]규제DB_산안법_노출기준설정물질!$B:$K,9,FALSE),"")</f>
        <v/>
      </c>
      <c r="BS11" s="13" t="str">
        <f>IFERROR(VLOOKUP(표1[[#This Row],[CAS No.]], [1]규제DB_산안법_노출기준설정물질!$B:$K,10,FALSE),"")</f>
        <v/>
      </c>
      <c r="BT11" s="13"/>
      <c r="BU11" s="13"/>
      <c r="BV11" s="13" t="str">
        <f>IFERROR(IF(VLOOKUP(표1[[#This Row],[CAS No.]],[1]규제DB_고용노동부고시_CMR!$B:$J,3,FALSE)="구분1A", IF(표1[[#This Row],[함량(W%)]]&gt;=VLOOKUP(표1[[#This Row],[CAS No.]],[1]규제DB_고용노동부고시_CMR!$B:$J,4,FALSE),"제품 발암성물질",""), IF(VLOOKUP(표1[[#This Row],[CAS No.]],[1]규제DB_고용노동부고시_CMR!$B:$J,3,FALSE)="구분1B", IF(표1[[#This Row],[함량(W%)]]&gt;=VLOOKUP(표1[[#This Row],[CAS No.]],[1]규제DB_고용노동부고시_CMR!$B:$J,4,FALSE),"제품 발암성물질",""), IF(VLOOKUP(표1[[#This Row],[CAS No.]],[1]규제DB_고용노동부고시_CMR!$B:$J,3,FALSE)="구분2", IF(표1[[#This Row],[함량(W%)]]&gt;=VLOOKUP(표1[[#This Row],[CAS No.]],[1]규제DB_고용노동부고시_CMR!$B:$J,4,FALSE),"제품 발암성물질",""),""))),"")</f>
        <v/>
      </c>
      <c r="BW11" s="13" t="str">
        <f>IFERROR(IF(VLOOKUP(표1[[#This Row],[CAS No.]],[1]규제DB_고용노동부고시_CMR!$B:$J,5,FALSE)="구분1A", IF(표1[[#This Row],[함량(W%)]]&gt;=VLOOKUP(표1[[#This Row],[CAS No.]],[1]규제DB_고용노동부고시_CMR!$B:$J,6,FALSE),"제품 생식세포변이원성물질",""), IF(VLOOKUP(표1[[#This Row],[CAS No.]],[1]규제DB_고용노동부고시_CMR!$B:$J,5,FALSE)="구분1B", IF(표1[[#This Row],[함량(W%)]]&gt;=VLOOKUP(표1[[#This Row],[CAS No.]],[1]규제DB_고용노동부고시_CMR!$B:$J,6,FALSE),"제품 생식세포변이원성물질",""), IF(VLOOKUP(표1[[#This Row],[CAS No.]],[1]규제DB_고용노동부고시_CMR!$B:$J,5,FALSE)="구분2", IF(표1[[#This Row],[함량(W%)]]&gt;=VLOOKUP(표1[[#This Row],[CAS No.]],[1]규제DB_고용노동부고시_CMR!$B:$J,6,FALSE),"제품 생식세포변이원성물질",""),""))),"")</f>
        <v/>
      </c>
      <c r="BX11" s="13"/>
      <c r="BY11" s="13"/>
      <c r="BZ11" s="13" t="str">
        <f>IFERROR(IF(표1[[#This Row],[CAS No.]]=VLOOKUP(표1[[#This Row],[CAS No.]],[1]규제DB_고압법_독성가스!$B:$D,1,FALSE),"독성가스",""),"")</f>
        <v/>
      </c>
      <c r="CA11" s="13" t="str">
        <f>IFERROR(IF(표1[[#This Row],[CAS No.]]=VLOOKUP(표1[[#This Row],[CAS No.]],[1]규제DB_고압법_가연성가스!$B:$D,1,FALSE),"가연성가스",""),"")</f>
        <v/>
      </c>
      <c r="CB11" s="13" t="str">
        <f>IFERROR(IF(표1[[#This Row],[CAS No.]]=VLOOKUP(표1[[#This Row],[CAS No.]],[1]규제DB_고압법_특수고압가스!$B:$D,1,FALSE),"특수고압가스",""),"")</f>
        <v/>
      </c>
      <c r="CC11" s="13" t="str">
        <f>IFERROR(IF(표1[[#This Row],[CAS No.]]=VLOOKUP(표1[[#This Row],[CAS No.]],[1]규제DB_고압법_특정고압가스!$B:$D,1,FALSE),"특정고압가스",""),"")</f>
        <v/>
      </c>
      <c r="CD11" s="13" t="str">
        <f>IFERROR(IF(표1[[#This Row],[함량(W%)]]&gt;=VLOOKUP(표1[[#This Row],[CAS No.]],[1]규제DB_화관법_개별취급기준!$B:$G,5,FALSE),VLOOKUP(표1[[#This Row],[CAS No.]],[1]규제DB_화관법_개별취급기준!$B:$G,6,FALSE),""),"")</f>
        <v/>
      </c>
    </row>
    <row r="12" spans="1:82" ht="27.95" customHeight="1">
      <c r="A12" s="13">
        <v>11</v>
      </c>
      <c r="B12" s="2"/>
      <c r="C12" s="3" t="s">
        <v>103</v>
      </c>
      <c r="D12" s="4"/>
      <c r="E12" s="50" t="s">
        <v>109</v>
      </c>
      <c r="F12" s="3" t="s">
        <v>77</v>
      </c>
      <c r="G12" s="5" t="s">
        <v>78</v>
      </c>
      <c r="H12" s="3" t="s">
        <v>168</v>
      </c>
      <c r="I12" s="50" t="s">
        <v>125</v>
      </c>
      <c r="J12" s="3" t="s">
        <v>167</v>
      </c>
      <c r="K12" s="3" t="s">
        <v>167</v>
      </c>
      <c r="L12" s="3"/>
      <c r="M12" s="5" t="s">
        <v>80</v>
      </c>
      <c r="N12" s="5" t="s">
        <v>169</v>
      </c>
      <c r="O12" s="53" t="s">
        <v>81</v>
      </c>
      <c r="P12" s="55" t="s">
        <v>98</v>
      </c>
      <c r="Q12" s="54">
        <v>200</v>
      </c>
      <c r="R12" s="6">
        <v>200</v>
      </c>
      <c r="S12" s="7"/>
      <c r="T12" s="7"/>
      <c r="U12" s="6">
        <v>200</v>
      </c>
      <c r="V12" s="6">
        <v>200</v>
      </c>
      <c r="W12" s="8" t="str">
        <f>표1[[#This Row],[자재코드]]&amp;"_"&amp;표1[[#This Row],[자재명]]&amp;"_"&amp;표1[[#This Row],[공급업체명]]</f>
        <v>_dh-237_대현화학</v>
      </c>
      <c r="X12" s="51" t="s">
        <v>136</v>
      </c>
      <c r="Y12" s="2"/>
      <c r="Z12" s="2"/>
      <c r="AA12" s="2"/>
      <c r="AB12" s="50">
        <v>5</v>
      </c>
      <c r="AC12" s="21" t="s">
        <v>87</v>
      </c>
      <c r="AD12" s="9" t="s">
        <v>83</v>
      </c>
      <c r="AE12" s="10" t="s">
        <v>84</v>
      </c>
      <c r="AF12" s="10" t="s">
        <v>84</v>
      </c>
      <c r="AG12" s="11"/>
      <c r="AH12" s="50" t="s">
        <v>185</v>
      </c>
      <c r="AI12" s="12">
        <f>IFERROR(표1[[#This Row],[사용량(kg)]]*표1[[#This Row],[함량(W%)]]/100,"")</f>
        <v>10</v>
      </c>
      <c r="AJ12" s="13"/>
      <c r="AK12" s="13"/>
      <c r="AL12" s="14"/>
      <c r="AM12" s="15"/>
      <c r="AN12" s="13"/>
      <c r="AO12" s="13"/>
      <c r="AP12" s="13"/>
      <c r="AQ12" s="13"/>
      <c r="AR12" s="13" t="str">
        <f>IFERROR(IF(표1[[#This Row],[함량(W%)]]&gt;=VLOOKUP(표1[[#This Row],[CAS No.]],[1]규제DB_유해법_유독물!B:F,5,FALSE),"유독물질 제품",""),"")</f>
        <v/>
      </c>
      <c r="AS12" s="13" t="str">
        <f>IFERROR(VLOOKUP(표1[[#This Row],[CAS No.]],[1]규제DB_유해법_금지물질!B:G,3,FALSE),"")</f>
        <v/>
      </c>
      <c r="AT12" s="13" t="str">
        <f>IFERROR(VLOOKUP(표1[[#This Row],[CAS No.]],[1]규제DB_유해법_금지물질!B:G,4,FALSE)&amp;" 인지 확인하세요","")</f>
        <v/>
      </c>
      <c r="AU12" s="13" t="str">
        <f>IFERROR(VLOOKUP(표1[[#This Row],[CAS No.]],[1]규제DB_유해법_제한물질!B:G,3,FALSE),"")</f>
        <v/>
      </c>
      <c r="AV12" s="13" t="str">
        <f>IFERROR(IF(표1[[#This Row],[함량(W%)]]&gt;=VLOOKUP(표1[[#This Row],[CAS No.]],[1]규제DB_유해법_제한물질!$B:$G,5,FALSE),"제한 제품",""),"")</f>
        <v/>
      </c>
      <c r="AW12" s="13"/>
      <c r="AX12" s="13"/>
      <c r="AY12" s="16"/>
      <c r="AZ12" s="16"/>
      <c r="BA12" s="17" t="str">
        <f>IFERROR(IF(표1[[#This Row],[함량(W%)]]&gt;=VLOOKUP(표1[[#This Row],[CAS No.]],[1]규제DB_유해법_사고대비물질!$B:$J,4,FALSE),VLOOKUP(표1[[#This Row],[CAS No.]],[1]규제DB_유해법_사고대비물질!$B$2:$J$70,7,FALSE),""),"")</f>
        <v/>
      </c>
      <c r="BB12" s="17" t="str">
        <f>IFERROR(IF(표1[[#This Row],[함량(W%)]]&gt;=VLOOKUP(표1[[#This Row],[CAS No.]],[1]규제DB_유해법_사고대비물질!$B:$J,4,FALSE),VLOOKUP(표1[[#This Row],[CAS No.]],[1]규제DB_유해법_사고대비물질!$B$2:$J$70,8,FALSE),""),"")</f>
        <v/>
      </c>
      <c r="BC12" s="17" t="str">
        <f>IFERROR(IF(표1[[#This Row],[함량(W%)]]&gt;=VLOOKUP(표1[[#This Row],[CAS No.]],[1]규제DB_유해법_사고대비물질!$B:$J,4,FALSE),VLOOKUP(표1[[#This Row],[CAS No.]],[1]규제DB_유해법_사고대비물질!$B$2:$J$70,9,FALSE),""),"")</f>
        <v/>
      </c>
      <c r="BD12" s="18" t="str">
        <f>IFERROR(IF(표1[[#This Row],[함량(W%)]]&gt;=VLOOKUP(표1[[#This Row],[CAS No.]],'[1]규제DB_유해법_배출량조사 I'!$B:$D,3,FALSE),IF(VLOOKUP(표1[[#This Row],[CAS No.]],[1]기초자료!$A:$C,3,FALSE)&gt;=1000,"배출량조사 I 물질",""),""),"")</f>
        <v/>
      </c>
      <c r="BE12" s="18"/>
      <c r="BF12" s="13" t="str">
        <f>IFERROR(IF(표1[[#This Row],[함량(W%)]]&gt;=VLOOKUP(표1[[#This Row],[CAS No.]],[1]규제DB_산안법_금지물질!$B:$E,4,FALSE), VLOOKUP(표1[[#This Row],[CAS No.]],[1]규제DB_산안법_금지물질!$B:$E,2,FALSE)&amp;" : "&amp;VLOOKUP(표1[[#This Row],[CAS No.]],[1]규제DB_산안법_금지물질!$B:$E,3,FALSE)&amp;" 인지 확인하세요",""),"")</f>
        <v/>
      </c>
      <c r="BG12" s="13" t="str">
        <f>IFERROR(IF(표1[[#This Row],[함량(W%)]]&gt;=VLOOKUP(표1[[#This Row],[CAS No.]],[1]규제DB_산안법_허가물질!$B:$E,4,FALSE), "제품 허가물질",""),"")</f>
        <v/>
      </c>
      <c r="BH12" s="13" t="str">
        <f>IFERROR(IF(표1[[#This Row],[함량(W%)]]&gt;=VLOOKUP(표1[[#This Row],[CAS No.]], [1]규제DB_산안법_특별관리물질!$B:$E,4,FALSE), "제품 특별관리물질",""),"")</f>
        <v/>
      </c>
      <c r="BI12" s="13"/>
      <c r="BJ12" s="13" t="str">
        <f>IFERROR(IF(표1[[#This Row],[CAS No.]]=VLOOKUP(표1[[#This Row],[CAS No.]], [1]규제DB_산안법_허용기준이하물질!$B:$D,1,FALSE),"제품 허용기준이하물질",""),"")</f>
        <v/>
      </c>
      <c r="BK12" s="13" t="str">
        <f>IFERROR(VLOOKUP(표1[[#This Row],[CAS No.]], [1]규제DB_산안법_허용기준이하물질!$B:$D,3,FALSE),"")</f>
        <v/>
      </c>
      <c r="BL12" s="13"/>
      <c r="BM12" s="13"/>
      <c r="BN12" s="13"/>
      <c r="BO12" s="13"/>
      <c r="BP12" s="13"/>
      <c r="BQ12" s="13" t="str">
        <f>IFERROR(VLOOKUP(표1[[#This Row],[CAS No.]], [1]규제DB_산안법_노출기준설정물질!$B:$K,8,FALSE),"")</f>
        <v/>
      </c>
      <c r="BR12" s="13" t="str">
        <f>IFERROR(VLOOKUP(표1[[#This Row],[CAS No.]], [1]규제DB_산안법_노출기준설정물질!$B:$K,9,FALSE),"")</f>
        <v/>
      </c>
      <c r="BS12" s="13" t="str">
        <f>IFERROR(VLOOKUP(표1[[#This Row],[CAS No.]], [1]규제DB_산안법_노출기준설정물질!$B:$K,10,FALSE),"")</f>
        <v/>
      </c>
      <c r="BT12" s="13"/>
      <c r="BU12" s="13"/>
      <c r="BV12" s="13" t="str">
        <f>IFERROR(IF(VLOOKUP(표1[[#This Row],[CAS No.]],[1]규제DB_고용노동부고시_CMR!$B:$J,3,FALSE)="구분1A", IF(표1[[#This Row],[함량(W%)]]&gt;=VLOOKUP(표1[[#This Row],[CAS No.]],[1]규제DB_고용노동부고시_CMR!$B:$J,4,FALSE),"제품 발암성물질",""), IF(VLOOKUP(표1[[#This Row],[CAS No.]],[1]규제DB_고용노동부고시_CMR!$B:$J,3,FALSE)="구분1B", IF(표1[[#This Row],[함량(W%)]]&gt;=VLOOKUP(표1[[#This Row],[CAS No.]],[1]규제DB_고용노동부고시_CMR!$B:$J,4,FALSE),"제품 발암성물질",""), IF(VLOOKUP(표1[[#This Row],[CAS No.]],[1]규제DB_고용노동부고시_CMR!$B:$J,3,FALSE)="구분2", IF(표1[[#This Row],[함량(W%)]]&gt;=VLOOKUP(표1[[#This Row],[CAS No.]],[1]규제DB_고용노동부고시_CMR!$B:$J,4,FALSE),"제품 발암성물질",""),""))),"")</f>
        <v/>
      </c>
      <c r="BW12" s="13" t="str">
        <f>IFERROR(IF(VLOOKUP(표1[[#This Row],[CAS No.]],[1]규제DB_고용노동부고시_CMR!$B:$J,5,FALSE)="구분1A", IF(표1[[#This Row],[함량(W%)]]&gt;=VLOOKUP(표1[[#This Row],[CAS No.]],[1]규제DB_고용노동부고시_CMR!$B:$J,6,FALSE),"제품 생식세포변이원성물질",""), IF(VLOOKUP(표1[[#This Row],[CAS No.]],[1]규제DB_고용노동부고시_CMR!$B:$J,5,FALSE)="구분1B", IF(표1[[#This Row],[함량(W%)]]&gt;=VLOOKUP(표1[[#This Row],[CAS No.]],[1]규제DB_고용노동부고시_CMR!$B:$J,6,FALSE),"제품 생식세포변이원성물질",""), IF(VLOOKUP(표1[[#This Row],[CAS No.]],[1]규제DB_고용노동부고시_CMR!$B:$J,5,FALSE)="구분2", IF(표1[[#This Row],[함량(W%)]]&gt;=VLOOKUP(표1[[#This Row],[CAS No.]],[1]규제DB_고용노동부고시_CMR!$B:$J,6,FALSE),"제품 생식세포변이원성물질",""),""))),"")</f>
        <v/>
      </c>
      <c r="BX12" s="13"/>
      <c r="BY12" s="13"/>
      <c r="BZ12" s="13" t="str">
        <f>IFERROR(IF(표1[[#This Row],[CAS No.]]=VLOOKUP(표1[[#This Row],[CAS No.]],[1]규제DB_고압법_독성가스!$B:$D,1,FALSE),"독성가스",""),"")</f>
        <v/>
      </c>
      <c r="CA12" s="13" t="str">
        <f>IFERROR(IF(표1[[#This Row],[CAS No.]]=VLOOKUP(표1[[#This Row],[CAS No.]],[1]규제DB_고압법_가연성가스!$B:$D,1,FALSE),"가연성가스",""),"")</f>
        <v/>
      </c>
      <c r="CB12" s="13" t="str">
        <f>IFERROR(IF(표1[[#This Row],[CAS No.]]=VLOOKUP(표1[[#This Row],[CAS No.]],[1]규제DB_고압법_특수고압가스!$B:$D,1,FALSE),"특수고압가스",""),"")</f>
        <v/>
      </c>
      <c r="CC12" s="13" t="str">
        <f>IFERROR(IF(표1[[#This Row],[CAS No.]]=VLOOKUP(표1[[#This Row],[CAS No.]],[1]규제DB_고압법_특정고압가스!$B:$D,1,FALSE),"특정고압가스",""),"")</f>
        <v/>
      </c>
      <c r="CD12" s="13" t="str">
        <f>IFERROR(IF(표1[[#This Row],[함량(W%)]]&gt;=VLOOKUP(표1[[#This Row],[CAS No.]],[1]규제DB_화관법_개별취급기준!$B:$G,5,FALSE),VLOOKUP(표1[[#This Row],[CAS No.]],[1]규제DB_화관법_개별취급기준!$B:$G,6,FALSE),""),"")</f>
        <v/>
      </c>
    </row>
    <row r="13" spans="1:82" ht="27.95" customHeight="1">
      <c r="A13" s="13">
        <v>12</v>
      </c>
      <c r="B13" s="2"/>
      <c r="C13" s="3" t="s">
        <v>103</v>
      </c>
      <c r="D13" s="4"/>
      <c r="E13" s="50" t="s">
        <v>109</v>
      </c>
      <c r="F13" s="3" t="s">
        <v>77</v>
      </c>
      <c r="G13" s="5" t="s">
        <v>78</v>
      </c>
      <c r="H13" s="3" t="s">
        <v>168</v>
      </c>
      <c r="I13" s="50" t="s">
        <v>125</v>
      </c>
      <c r="J13" s="3" t="s">
        <v>167</v>
      </c>
      <c r="K13" s="3" t="s">
        <v>167</v>
      </c>
      <c r="L13" s="3"/>
      <c r="M13" s="5" t="s">
        <v>80</v>
      </c>
      <c r="N13" s="5" t="s">
        <v>169</v>
      </c>
      <c r="O13" s="53" t="s">
        <v>81</v>
      </c>
      <c r="P13" s="55" t="s">
        <v>95</v>
      </c>
      <c r="Q13" s="54">
        <v>200</v>
      </c>
      <c r="R13" s="6">
        <v>200</v>
      </c>
      <c r="S13" s="7"/>
      <c r="T13" s="7"/>
      <c r="U13" s="6">
        <v>200</v>
      </c>
      <c r="V13" s="6">
        <v>200</v>
      </c>
      <c r="W13" s="8" t="str">
        <f>표1[[#This Row],[자재코드]]&amp;"_"&amp;표1[[#This Row],[자재명]]&amp;"_"&amp;표1[[#This Row],[공급업체명]]</f>
        <v>_dh-237_대현화학</v>
      </c>
      <c r="X13" s="51" t="s">
        <v>133</v>
      </c>
      <c r="Y13" s="2"/>
      <c r="Z13" s="2"/>
      <c r="AA13" s="2"/>
      <c r="AB13" s="50">
        <v>30</v>
      </c>
      <c r="AC13" s="21" t="s">
        <v>87</v>
      </c>
      <c r="AD13" s="9" t="s">
        <v>83</v>
      </c>
      <c r="AE13" s="10" t="s">
        <v>84</v>
      </c>
      <c r="AF13" s="10" t="s">
        <v>84</v>
      </c>
      <c r="AG13" s="11"/>
      <c r="AH13" s="50" t="s">
        <v>186</v>
      </c>
      <c r="AI13" s="12">
        <f>IFERROR(표1[[#This Row],[사용량(kg)]]*표1[[#This Row],[함량(W%)]]/100,"")</f>
        <v>60</v>
      </c>
      <c r="AJ13" s="13"/>
      <c r="AK13" s="13"/>
      <c r="AL13" s="14"/>
      <c r="AM13" s="15"/>
      <c r="AN13" s="13"/>
      <c r="AO13" s="13"/>
      <c r="AP13" s="13"/>
      <c r="AQ13" s="13"/>
      <c r="AR13" s="13" t="str">
        <f>IFERROR(IF(표1[[#This Row],[함량(W%)]]&gt;=VLOOKUP(표1[[#This Row],[CAS No.]],[1]규제DB_유해법_유독물!B:F,5,FALSE),"유독물질 제품",""),"")</f>
        <v/>
      </c>
      <c r="AS13" s="13" t="str">
        <f>IFERROR(VLOOKUP(표1[[#This Row],[CAS No.]],[1]규제DB_유해법_금지물질!B:G,3,FALSE),"")</f>
        <v/>
      </c>
      <c r="AT13" s="13" t="str">
        <f>IFERROR(VLOOKUP(표1[[#This Row],[CAS No.]],[1]규제DB_유해법_금지물질!B:G,4,FALSE)&amp;" 인지 확인하세요","")</f>
        <v/>
      </c>
      <c r="AU13" s="13" t="str">
        <f>IFERROR(VLOOKUP(표1[[#This Row],[CAS No.]],[1]규제DB_유해법_제한물질!B:G,3,FALSE),"")</f>
        <v/>
      </c>
      <c r="AV13" s="13" t="str">
        <f>IFERROR(IF(표1[[#This Row],[함량(W%)]]&gt;=VLOOKUP(표1[[#This Row],[CAS No.]],[1]규제DB_유해법_제한물질!$B:$G,5,FALSE),"제한 제품",""),"")</f>
        <v/>
      </c>
      <c r="AW13" s="13"/>
      <c r="AX13" s="13"/>
      <c r="AY13" s="16"/>
      <c r="AZ13" s="16"/>
      <c r="BA13" s="17" t="str">
        <f>IFERROR(IF(표1[[#This Row],[함량(W%)]]&gt;=VLOOKUP(표1[[#This Row],[CAS No.]],[1]규제DB_유해법_사고대비물질!$B:$J,4,FALSE),VLOOKUP(표1[[#This Row],[CAS No.]],[1]규제DB_유해법_사고대비물질!$B$2:$J$70,7,FALSE),""),"")</f>
        <v/>
      </c>
      <c r="BB13" s="17" t="str">
        <f>IFERROR(IF(표1[[#This Row],[함량(W%)]]&gt;=VLOOKUP(표1[[#This Row],[CAS No.]],[1]규제DB_유해법_사고대비물질!$B:$J,4,FALSE),VLOOKUP(표1[[#This Row],[CAS No.]],[1]규제DB_유해법_사고대비물질!$B$2:$J$70,8,FALSE),""),"")</f>
        <v/>
      </c>
      <c r="BC13" s="17" t="str">
        <f>IFERROR(IF(표1[[#This Row],[함량(W%)]]&gt;=VLOOKUP(표1[[#This Row],[CAS No.]],[1]규제DB_유해법_사고대비물질!$B:$J,4,FALSE),VLOOKUP(표1[[#This Row],[CAS No.]],[1]규제DB_유해법_사고대비물질!$B$2:$J$70,9,FALSE),""),"")</f>
        <v/>
      </c>
      <c r="BD13" s="18" t="str">
        <f>IFERROR(IF(표1[[#This Row],[함량(W%)]]&gt;=VLOOKUP(표1[[#This Row],[CAS No.]],'[1]규제DB_유해법_배출량조사 I'!$B:$D,3,FALSE),IF(VLOOKUP(표1[[#This Row],[CAS No.]],[1]기초자료!$A:$C,3,FALSE)&gt;=1000,"배출량조사 I 물질",""),""),"")</f>
        <v/>
      </c>
      <c r="BE13" s="18"/>
      <c r="BF13" s="13" t="str">
        <f>IFERROR(IF(표1[[#This Row],[함량(W%)]]&gt;=VLOOKUP(표1[[#This Row],[CAS No.]],[1]규제DB_산안법_금지물질!$B:$E,4,FALSE), VLOOKUP(표1[[#This Row],[CAS No.]],[1]규제DB_산안법_금지물질!$B:$E,2,FALSE)&amp;" : "&amp;VLOOKUP(표1[[#This Row],[CAS No.]],[1]규제DB_산안법_금지물질!$B:$E,3,FALSE)&amp;" 인지 확인하세요",""),"")</f>
        <v/>
      </c>
      <c r="BG13" s="13" t="str">
        <f>IFERROR(IF(표1[[#This Row],[함량(W%)]]&gt;=VLOOKUP(표1[[#This Row],[CAS No.]],[1]규제DB_산안법_허가물질!$B:$E,4,FALSE), "제품 허가물질",""),"")</f>
        <v/>
      </c>
      <c r="BH13" s="13" t="str">
        <f>IFERROR(IF(표1[[#This Row],[함량(W%)]]&gt;=VLOOKUP(표1[[#This Row],[CAS No.]], [1]규제DB_산안법_특별관리물질!$B:$E,4,FALSE), "제품 특별관리물질",""),"")</f>
        <v/>
      </c>
      <c r="BI13" s="13"/>
      <c r="BJ13" s="13" t="str">
        <f>IFERROR(IF(표1[[#This Row],[CAS No.]]=VLOOKUP(표1[[#This Row],[CAS No.]], [1]규제DB_산안법_허용기준이하물질!$B:$D,1,FALSE),"제품 허용기준이하물질",""),"")</f>
        <v/>
      </c>
      <c r="BK13" s="13" t="str">
        <f>IFERROR(VLOOKUP(표1[[#This Row],[CAS No.]], [1]규제DB_산안법_허용기준이하물질!$B:$D,3,FALSE),"")</f>
        <v/>
      </c>
      <c r="BL13" s="13"/>
      <c r="BM13" s="13"/>
      <c r="BN13" s="13"/>
      <c r="BO13" s="13"/>
      <c r="BP13" s="13"/>
      <c r="BQ13" s="13" t="str">
        <f>IFERROR(VLOOKUP(표1[[#This Row],[CAS No.]], [1]규제DB_산안법_노출기준설정물질!$B:$K,8,FALSE),"")</f>
        <v/>
      </c>
      <c r="BR13" s="13" t="str">
        <f>IFERROR(VLOOKUP(표1[[#This Row],[CAS No.]], [1]규제DB_산안법_노출기준설정물질!$B:$K,9,FALSE),"")</f>
        <v/>
      </c>
      <c r="BS13" s="13" t="str">
        <f>IFERROR(VLOOKUP(표1[[#This Row],[CAS No.]], [1]규제DB_산안법_노출기준설정물질!$B:$K,10,FALSE),"")</f>
        <v/>
      </c>
      <c r="BT13" s="13"/>
      <c r="BU13" s="13"/>
      <c r="BV13" s="13" t="str">
        <f>IFERROR(IF(VLOOKUP(표1[[#This Row],[CAS No.]],[1]규제DB_고용노동부고시_CMR!$B:$J,3,FALSE)="구분1A", IF(표1[[#This Row],[함량(W%)]]&gt;=VLOOKUP(표1[[#This Row],[CAS No.]],[1]규제DB_고용노동부고시_CMR!$B:$J,4,FALSE),"제품 발암성물질",""), IF(VLOOKUP(표1[[#This Row],[CAS No.]],[1]규제DB_고용노동부고시_CMR!$B:$J,3,FALSE)="구분1B", IF(표1[[#This Row],[함량(W%)]]&gt;=VLOOKUP(표1[[#This Row],[CAS No.]],[1]규제DB_고용노동부고시_CMR!$B:$J,4,FALSE),"제품 발암성물질",""), IF(VLOOKUP(표1[[#This Row],[CAS No.]],[1]규제DB_고용노동부고시_CMR!$B:$J,3,FALSE)="구분2", IF(표1[[#This Row],[함량(W%)]]&gt;=VLOOKUP(표1[[#This Row],[CAS No.]],[1]규제DB_고용노동부고시_CMR!$B:$J,4,FALSE),"제품 발암성물질",""),""))),"")</f>
        <v/>
      </c>
      <c r="BW13" s="13" t="str">
        <f>IFERROR(IF(VLOOKUP(표1[[#This Row],[CAS No.]],[1]규제DB_고용노동부고시_CMR!$B:$J,5,FALSE)="구분1A", IF(표1[[#This Row],[함량(W%)]]&gt;=VLOOKUP(표1[[#This Row],[CAS No.]],[1]규제DB_고용노동부고시_CMR!$B:$J,6,FALSE),"제품 생식세포변이원성물질",""), IF(VLOOKUP(표1[[#This Row],[CAS No.]],[1]규제DB_고용노동부고시_CMR!$B:$J,5,FALSE)="구분1B", IF(표1[[#This Row],[함량(W%)]]&gt;=VLOOKUP(표1[[#This Row],[CAS No.]],[1]규제DB_고용노동부고시_CMR!$B:$J,6,FALSE),"제품 생식세포변이원성물질",""), IF(VLOOKUP(표1[[#This Row],[CAS No.]],[1]규제DB_고용노동부고시_CMR!$B:$J,5,FALSE)="구분2", IF(표1[[#This Row],[함량(W%)]]&gt;=VLOOKUP(표1[[#This Row],[CAS No.]],[1]규제DB_고용노동부고시_CMR!$B:$J,6,FALSE),"제품 생식세포변이원성물질",""),""))),"")</f>
        <v/>
      </c>
      <c r="BX13" s="13"/>
      <c r="BY13" s="13"/>
      <c r="BZ13" s="13" t="str">
        <f>IFERROR(IF(표1[[#This Row],[CAS No.]]=VLOOKUP(표1[[#This Row],[CAS No.]],[1]규제DB_고압법_독성가스!$B:$D,1,FALSE),"독성가스",""),"")</f>
        <v/>
      </c>
      <c r="CA13" s="13" t="str">
        <f>IFERROR(IF(표1[[#This Row],[CAS No.]]=VLOOKUP(표1[[#This Row],[CAS No.]],[1]규제DB_고압법_가연성가스!$B:$D,1,FALSE),"가연성가스",""),"")</f>
        <v/>
      </c>
      <c r="CB13" s="13" t="str">
        <f>IFERROR(IF(표1[[#This Row],[CAS No.]]=VLOOKUP(표1[[#This Row],[CAS No.]],[1]규제DB_고압법_특수고압가스!$B:$D,1,FALSE),"특수고압가스",""),"")</f>
        <v/>
      </c>
      <c r="CC13" s="13" t="str">
        <f>IFERROR(IF(표1[[#This Row],[CAS No.]]=VLOOKUP(표1[[#This Row],[CAS No.]],[1]규제DB_고압법_특정고압가스!$B:$D,1,FALSE),"특정고압가스",""),"")</f>
        <v/>
      </c>
      <c r="CD13" s="13" t="str">
        <f>IFERROR(IF(표1[[#This Row],[함량(W%)]]&gt;=VLOOKUP(표1[[#This Row],[CAS No.]],[1]규제DB_화관법_개별취급기준!$B:$G,5,FALSE),VLOOKUP(표1[[#This Row],[CAS No.]],[1]규제DB_화관법_개별취급기준!$B:$G,6,FALSE),""),"")</f>
        <v/>
      </c>
    </row>
    <row r="14" spans="1:82" ht="27.95" customHeight="1">
      <c r="A14" s="13">
        <v>13</v>
      </c>
      <c r="B14" s="2"/>
      <c r="C14" s="3" t="s">
        <v>103</v>
      </c>
      <c r="D14" s="4"/>
      <c r="E14" s="50" t="s">
        <v>109</v>
      </c>
      <c r="F14" s="3" t="s">
        <v>77</v>
      </c>
      <c r="G14" s="5" t="s">
        <v>78</v>
      </c>
      <c r="H14" s="3" t="s">
        <v>168</v>
      </c>
      <c r="I14" s="50" t="s">
        <v>125</v>
      </c>
      <c r="J14" s="3" t="s">
        <v>167</v>
      </c>
      <c r="K14" s="3" t="s">
        <v>167</v>
      </c>
      <c r="L14" s="3"/>
      <c r="M14" s="5" t="s">
        <v>80</v>
      </c>
      <c r="N14" s="5" t="s">
        <v>169</v>
      </c>
      <c r="O14" s="53" t="s">
        <v>81</v>
      </c>
      <c r="P14" s="55" t="s">
        <v>98</v>
      </c>
      <c r="Q14" s="54">
        <v>200</v>
      </c>
      <c r="R14" s="6">
        <v>200</v>
      </c>
      <c r="S14" s="7"/>
      <c r="T14" s="7"/>
      <c r="U14" s="6">
        <v>200</v>
      </c>
      <c r="V14" s="6">
        <v>200</v>
      </c>
      <c r="W14" s="8" t="str">
        <f>표1[[#This Row],[자재코드]]&amp;"_"&amp;표1[[#This Row],[자재명]]&amp;"_"&amp;표1[[#This Row],[공급업체명]]</f>
        <v>_dh-237_대현화학</v>
      </c>
      <c r="X14" s="51" t="s">
        <v>137</v>
      </c>
      <c r="Y14" s="2"/>
      <c r="Z14" s="2"/>
      <c r="AA14" s="2"/>
      <c r="AB14" s="50">
        <v>10</v>
      </c>
      <c r="AC14" s="21" t="s">
        <v>87</v>
      </c>
      <c r="AD14" s="9" t="s">
        <v>83</v>
      </c>
      <c r="AE14" s="10" t="s">
        <v>84</v>
      </c>
      <c r="AF14" s="10" t="s">
        <v>84</v>
      </c>
      <c r="AG14" s="11"/>
      <c r="AH14" s="50" t="s">
        <v>187</v>
      </c>
      <c r="AI14" s="12">
        <f>IFERROR(표1[[#This Row],[사용량(kg)]]*표1[[#This Row],[함량(W%)]]/100,"")</f>
        <v>20</v>
      </c>
      <c r="AJ14" s="13"/>
      <c r="AK14" s="13"/>
      <c r="AL14" s="14"/>
      <c r="AM14" s="15"/>
      <c r="AN14" s="13"/>
      <c r="AO14" s="13"/>
      <c r="AP14" s="13"/>
      <c r="AQ14" s="13"/>
      <c r="AR14" s="13" t="str">
        <f>IFERROR(IF(표1[[#This Row],[함량(W%)]]&gt;=VLOOKUP(표1[[#This Row],[CAS No.]],[1]규제DB_유해법_유독물!B:F,5,FALSE),"유독물질 제품",""),"")</f>
        <v/>
      </c>
      <c r="AS14" s="13" t="str">
        <f>IFERROR(VLOOKUP(표1[[#This Row],[CAS No.]],[1]규제DB_유해법_금지물질!B:G,3,FALSE),"")</f>
        <v/>
      </c>
      <c r="AT14" s="13" t="str">
        <f>IFERROR(VLOOKUP(표1[[#This Row],[CAS No.]],[1]규제DB_유해법_금지물질!B:G,4,FALSE)&amp;" 인지 확인하세요","")</f>
        <v/>
      </c>
      <c r="AU14" s="13" t="str">
        <f>IFERROR(VLOOKUP(표1[[#This Row],[CAS No.]],[1]규제DB_유해법_제한물질!B:G,3,FALSE),"")</f>
        <v/>
      </c>
      <c r="AV14" s="13" t="str">
        <f>IFERROR(IF(표1[[#This Row],[함량(W%)]]&gt;=VLOOKUP(표1[[#This Row],[CAS No.]],[1]규제DB_유해법_제한물질!$B:$G,5,FALSE),"제한 제품",""),"")</f>
        <v/>
      </c>
      <c r="AW14" s="13"/>
      <c r="AX14" s="13"/>
      <c r="AY14" s="16"/>
      <c r="AZ14" s="16"/>
      <c r="BA14" s="17" t="str">
        <f>IFERROR(IF(표1[[#This Row],[함량(W%)]]&gt;=VLOOKUP(표1[[#This Row],[CAS No.]],[1]규제DB_유해법_사고대비물질!$B:$J,4,FALSE),VLOOKUP(표1[[#This Row],[CAS No.]],[1]규제DB_유해법_사고대비물질!$B$2:$J$70,7,FALSE),""),"")</f>
        <v/>
      </c>
      <c r="BB14" s="17" t="str">
        <f>IFERROR(IF(표1[[#This Row],[함량(W%)]]&gt;=VLOOKUP(표1[[#This Row],[CAS No.]],[1]규제DB_유해법_사고대비물질!$B:$J,4,FALSE),VLOOKUP(표1[[#This Row],[CAS No.]],[1]규제DB_유해법_사고대비물질!$B$2:$J$70,8,FALSE),""),"")</f>
        <v/>
      </c>
      <c r="BC14" s="17" t="str">
        <f>IFERROR(IF(표1[[#This Row],[함량(W%)]]&gt;=VLOOKUP(표1[[#This Row],[CAS No.]],[1]규제DB_유해법_사고대비물질!$B:$J,4,FALSE),VLOOKUP(표1[[#This Row],[CAS No.]],[1]규제DB_유해법_사고대비물질!$B$2:$J$70,9,FALSE),""),"")</f>
        <v/>
      </c>
      <c r="BD14" s="18" t="str">
        <f>IFERROR(IF(표1[[#This Row],[함량(W%)]]&gt;=VLOOKUP(표1[[#This Row],[CAS No.]],'[1]규제DB_유해법_배출량조사 I'!$B:$D,3,FALSE),IF(VLOOKUP(표1[[#This Row],[CAS No.]],[1]기초자료!$A:$C,3,FALSE)&gt;=1000,"배출량조사 I 물질",""),""),"")</f>
        <v/>
      </c>
      <c r="BE14" s="18"/>
      <c r="BF14" s="13" t="str">
        <f>IFERROR(IF(표1[[#This Row],[함량(W%)]]&gt;=VLOOKUP(표1[[#This Row],[CAS No.]],[1]규제DB_산안법_금지물질!$B:$E,4,FALSE), VLOOKUP(표1[[#This Row],[CAS No.]],[1]규제DB_산안법_금지물질!$B:$E,2,FALSE)&amp;" : "&amp;VLOOKUP(표1[[#This Row],[CAS No.]],[1]규제DB_산안법_금지물질!$B:$E,3,FALSE)&amp;" 인지 확인하세요",""),"")</f>
        <v/>
      </c>
      <c r="BG14" s="13" t="str">
        <f>IFERROR(IF(표1[[#This Row],[함량(W%)]]&gt;=VLOOKUP(표1[[#This Row],[CAS No.]],[1]규제DB_산안법_허가물질!$B:$E,4,FALSE), "제품 허가물질",""),"")</f>
        <v/>
      </c>
      <c r="BH14" s="13" t="str">
        <f>IFERROR(IF(표1[[#This Row],[함량(W%)]]&gt;=VLOOKUP(표1[[#This Row],[CAS No.]], [1]규제DB_산안법_특별관리물질!$B:$E,4,FALSE), "제품 특별관리물질",""),"")</f>
        <v/>
      </c>
      <c r="BI14" s="13"/>
      <c r="BJ14" s="13" t="str">
        <f>IFERROR(IF(표1[[#This Row],[CAS No.]]=VLOOKUP(표1[[#This Row],[CAS No.]], [1]규제DB_산안법_허용기준이하물질!$B:$D,1,FALSE),"제품 허용기준이하물질",""),"")</f>
        <v/>
      </c>
      <c r="BK14" s="13" t="str">
        <f>IFERROR(VLOOKUP(표1[[#This Row],[CAS No.]], [1]규제DB_산안법_허용기준이하물질!$B:$D,3,FALSE),"")</f>
        <v/>
      </c>
      <c r="BL14" s="13"/>
      <c r="BM14" s="13"/>
      <c r="BN14" s="13"/>
      <c r="BO14" s="13"/>
      <c r="BP14" s="13"/>
      <c r="BQ14" s="13" t="str">
        <f>IFERROR(VLOOKUP(표1[[#This Row],[CAS No.]], [1]규제DB_산안법_노출기준설정물질!$B:$K,8,FALSE),"")</f>
        <v/>
      </c>
      <c r="BR14" s="13" t="str">
        <f>IFERROR(VLOOKUP(표1[[#This Row],[CAS No.]], [1]규제DB_산안법_노출기준설정물질!$B:$K,9,FALSE),"")</f>
        <v/>
      </c>
      <c r="BS14" s="13" t="str">
        <f>IFERROR(VLOOKUP(표1[[#This Row],[CAS No.]], [1]규제DB_산안법_노출기준설정물질!$B:$K,10,FALSE),"")</f>
        <v/>
      </c>
      <c r="BT14" s="13"/>
      <c r="BU14" s="13"/>
      <c r="BV14" s="13" t="str">
        <f>IFERROR(IF(VLOOKUP(표1[[#This Row],[CAS No.]],[1]규제DB_고용노동부고시_CMR!$B:$J,3,FALSE)="구분1A", IF(표1[[#This Row],[함량(W%)]]&gt;=VLOOKUP(표1[[#This Row],[CAS No.]],[1]규제DB_고용노동부고시_CMR!$B:$J,4,FALSE),"제품 발암성물질",""), IF(VLOOKUP(표1[[#This Row],[CAS No.]],[1]규제DB_고용노동부고시_CMR!$B:$J,3,FALSE)="구분1B", IF(표1[[#This Row],[함량(W%)]]&gt;=VLOOKUP(표1[[#This Row],[CAS No.]],[1]규제DB_고용노동부고시_CMR!$B:$J,4,FALSE),"제품 발암성물질",""), IF(VLOOKUP(표1[[#This Row],[CAS No.]],[1]규제DB_고용노동부고시_CMR!$B:$J,3,FALSE)="구분2", IF(표1[[#This Row],[함량(W%)]]&gt;=VLOOKUP(표1[[#This Row],[CAS No.]],[1]규제DB_고용노동부고시_CMR!$B:$J,4,FALSE),"제품 발암성물질",""),""))),"")</f>
        <v/>
      </c>
      <c r="BW14" s="13" t="str">
        <f>IFERROR(IF(VLOOKUP(표1[[#This Row],[CAS No.]],[1]규제DB_고용노동부고시_CMR!$B:$J,5,FALSE)="구분1A", IF(표1[[#This Row],[함량(W%)]]&gt;=VLOOKUP(표1[[#This Row],[CAS No.]],[1]규제DB_고용노동부고시_CMR!$B:$J,6,FALSE),"제품 생식세포변이원성물질",""), IF(VLOOKUP(표1[[#This Row],[CAS No.]],[1]규제DB_고용노동부고시_CMR!$B:$J,5,FALSE)="구분1B", IF(표1[[#This Row],[함량(W%)]]&gt;=VLOOKUP(표1[[#This Row],[CAS No.]],[1]규제DB_고용노동부고시_CMR!$B:$J,6,FALSE),"제품 생식세포변이원성물질",""), IF(VLOOKUP(표1[[#This Row],[CAS No.]],[1]규제DB_고용노동부고시_CMR!$B:$J,5,FALSE)="구분2", IF(표1[[#This Row],[함량(W%)]]&gt;=VLOOKUP(표1[[#This Row],[CAS No.]],[1]규제DB_고용노동부고시_CMR!$B:$J,6,FALSE),"제품 생식세포변이원성물질",""),""))),"")</f>
        <v/>
      </c>
      <c r="BX14" s="13"/>
      <c r="BY14" s="13"/>
      <c r="BZ14" s="13" t="str">
        <f>IFERROR(IF(표1[[#This Row],[CAS No.]]=VLOOKUP(표1[[#This Row],[CAS No.]],[1]규제DB_고압법_독성가스!$B:$D,1,FALSE),"독성가스",""),"")</f>
        <v/>
      </c>
      <c r="CA14" s="13" t="str">
        <f>IFERROR(IF(표1[[#This Row],[CAS No.]]=VLOOKUP(표1[[#This Row],[CAS No.]],[1]규제DB_고압법_가연성가스!$B:$D,1,FALSE),"가연성가스",""),"")</f>
        <v/>
      </c>
      <c r="CB14" s="13" t="str">
        <f>IFERROR(IF(표1[[#This Row],[CAS No.]]=VLOOKUP(표1[[#This Row],[CAS No.]],[1]규제DB_고압법_특수고압가스!$B:$D,1,FALSE),"특수고압가스",""),"")</f>
        <v/>
      </c>
      <c r="CC14" s="13" t="str">
        <f>IFERROR(IF(표1[[#This Row],[CAS No.]]=VLOOKUP(표1[[#This Row],[CAS No.]],[1]규제DB_고압법_특정고압가스!$B:$D,1,FALSE),"특정고압가스",""),"")</f>
        <v/>
      </c>
      <c r="CD14" s="13" t="str">
        <f>IFERROR(IF(표1[[#This Row],[함량(W%)]]&gt;=VLOOKUP(표1[[#This Row],[CAS No.]],[1]규제DB_화관법_개별취급기준!$B:$G,5,FALSE),VLOOKUP(표1[[#This Row],[CAS No.]],[1]규제DB_화관법_개별취급기준!$B:$G,6,FALSE),""),"")</f>
        <v/>
      </c>
    </row>
    <row r="15" spans="1:82" ht="27.95" customHeight="1">
      <c r="A15" s="13">
        <v>14</v>
      </c>
      <c r="B15" s="2"/>
      <c r="C15" s="3" t="s">
        <v>103</v>
      </c>
      <c r="D15" s="4"/>
      <c r="E15" s="50" t="s">
        <v>109</v>
      </c>
      <c r="F15" s="3" t="s">
        <v>77</v>
      </c>
      <c r="G15" s="5" t="s">
        <v>78</v>
      </c>
      <c r="H15" s="3" t="s">
        <v>168</v>
      </c>
      <c r="I15" s="50" t="s">
        <v>125</v>
      </c>
      <c r="J15" s="3" t="s">
        <v>167</v>
      </c>
      <c r="K15" s="3" t="s">
        <v>167</v>
      </c>
      <c r="L15" s="3"/>
      <c r="M15" s="5" t="s">
        <v>80</v>
      </c>
      <c r="N15" s="5" t="s">
        <v>169</v>
      </c>
      <c r="O15" s="53" t="s">
        <v>81</v>
      </c>
      <c r="P15" s="55" t="s">
        <v>98</v>
      </c>
      <c r="Q15" s="54">
        <v>200</v>
      </c>
      <c r="R15" s="6">
        <v>200</v>
      </c>
      <c r="S15" s="7"/>
      <c r="T15" s="7"/>
      <c r="U15" s="6">
        <v>200</v>
      </c>
      <c r="V15" s="6">
        <v>200</v>
      </c>
      <c r="W15" s="8" t="str">
        <f>표1[[#This Row],[자재코드]]&amp;"_"&amp;표1[[#This Row],[자재명]]&amp;"_"&amp;표1[[#This Row],[공급업체명]]</f>
        <v>_dh-237_대현화학</v>
      </c>
      <c r="X15" s="51" t="s">
        <v>138</v>
      </c>
      <c r="Y15" s="2"/>
      <c r="Z15" s="2"/>
      <c r="AA15" s="2"/>
      <c r="AB15" s="50">
        <v>10</v>
      </c>
      <c r="AC15" s="21" t="s">
        <v>87</v>
      </c>
      <c r="AD15" s="9" t="s">
        <v>83</v>
      </c>
      <c r="AE15" s="10" t="s">
        <v>84</v>
      </c>
      <c r="AF15" s="10" t="s">
        <v>84</v>
      </c>
      <c r="AG15" s="11"/>
      <c r="AH15" s="50" t="s">
        <v>188</v>
      </c>
      <c r="AI15" s="12">
        <f>IFERROR(표1[[#This Row],[사용량(kg)]]*표1[[#This Row],[함량(W%)]]/100,"")</f>
        <v>20</v>
      </c>
      <c r="AJ15" s="13"/>
      <c r="AK15" s="13"/>
      <c r="AL15" s="14"/>
      <c r="AM15" s="15"/>
      <c r="AN15" s="13"/>
      <c r="AO15" s="13"/>
      <c r="AP15" s="13"/>
      <c r="AQ15" s="13"/>
      <c r="AR15" s="13" t="str">
        <f>IFERROR(IF(표1[[#This Row],[함량(W%)]]&gt;=VLOOKUP(표1[[#This Row],[CAS No.]],[1]규제DB_유해법_유독물!B:F,5,FALSE),"유독물질 제품",""),"")</f>
        <v/>
      </c>
      <c r="AS15" s="13" t="str">
        <f>IFERROR(VLOOKUP(표1[[#This Row],[CAS No.]],[1]규제DB_유해법_금지물질!B:G,3,FALSE),"")</f>
        <v/>
      </c>
      <c r="AT15" s="13" t="str">
        <f>IFERROR(VLOOKUP(표1[[#This Row],[CAS No.]],[1]규제DB_유해법_금지물질!B:G,4,FALSE)&amp;" 인지 확인하세요","")</f>
        <v/>
      </c>
      <c r="AU15" s="13" t="str">
        <f>IFERROR(VLOOKUP(표1[[#This Row],[CAS No.]],[1]규제DB_유해법_제한물질!B:G,3,FALSE),"")</f>
        <v/>
      </c>
      <c r="AV15" s="13" t="str">
        <f>IFERROR(IF(표1[[#This Row],[함량(W%)]]&gt;=VLOOKUP(표1[[#This Row],[CAS No.]],[1]규제DB_유해법_제한물질!$B:$G,5,FALSE),"제한 제품",""),"")</f>
        <v/>
      </c>
      <c r="AW15" s="13"/>
      <c r="AX15" s="13"/>
      <c r="AY15" s="16"/>
      <c r="AZ15" s="16"/>
      <c r="BA15" s="17" t="str">
        <f>IFERROR(IF(표1[[#This Row],[함량(W%)]]&gt;=VLOOKUP(표1[[#This Row],[CAS No.]],[1]규제DB_유해법_사고대비물질!$B:$J,4,FALSE),VLOOKUP(표1[[#This Row],[CAS No.]],[1]규제DB_유해법_사고대비물질!$B$2:$J$70,7,FALSE),""),"")</f>
        <v/>
      </c>
      <c r="BB15" s="17" t="str">
        <f>IFERROR(IF(표1[[#This Row],[함량(W%)]]&gt;=VLOOKUP(표1[[#This Row],[CAS No.]],[1]규제DB_유해법_사고대비물질!$B:$J,4,FALSE),VLOOKUP(표1[[#This Row],[CAS No.]],[1]규제DB_유해법_사고대비물질!$B$2:$J$70,8,FALSE),""),"")</f>
        <v/>
      </c>
      <c r="BC15" s="17" t="str">
        <f>IFERROR(IF(표1[[#This Row],[함량(W%)]]&gt;=VLOOKUP(표1[[#This Row],[CAS No.]],[1]규제DB_유해법_사고대비물질!$B:$J,4,FALSE),VLOOKUP(표1[[#This Row],[CAS No.]],[1]규제DB_유해법_사고대비물질!$B$2:$J$70,9,FALSE),""),"")</f>
        <v/>
      </c>
      <c r="BD15" s="18" t="str">
        <f>IFERROR(IF(표1[[#This Row],[함량(W%)]]&gt;=VLOOKUP(표1[[#This Row],[CAS No.]],'[1]규제DB_유해법_배출량조사 I'!$B:$D,3,FALSE),IF(VLOOKUP(표1[[#This Row],[CAS No.]],[1]기초자료!$A:$C,3,FALSE)&gt;=1000,"배출량조사 I 물질",""),""),"")</f>
        <v/>
      </c>
      <c r="BE15" s="18"/>
      <c r="BF15" s="13" t="str">
        <f>IFERROR(IF(표1[[#This Row],[함량(W%)]]&gt;=VLOOKUP(표1[[#This Row],[CAS No.]],[1]규제DB_산안법_금지물질!$B:$E,4,FALSE), VLOOKUP(표1[[#This Row],[CAS No.]],[1]규제DB_산안법_금지물질!$B:$E,2,FALSE)&amp;" : "&amp;VLOOKUP(표1[[#This Row],[CAS No.]],[1]규제DB_산안법_금지물질!$B:$E,3,FALSE)&amp;" 인지 확인하세요",""),"")</f>
        <v/>
      </c>
      <c r="BG15" s="13" t="str">
        <f>IFERROR(IF(표1[[#This Row],[함량(W%)]]&gt;=VLOOKUP(표1[[#This Row],[CAS No.]],[1]규제DB_산안법_허가물질!$B:$E,4,FALSE), "제품 허가물질",""),"")</f>
        <v/>
      </c>
      <c r="BH15" s="13" t="str">
        <f>IFERROR(IF(표1[[#This Row],[함량(W%)]]&gt;=VLOOKUP(표1[[#This Row],[CAS No.]], [1]규제DB_산안법_특별관리물질!$B:$E,4,FALSE), "제품 특별관리물질",""),"")</f>
        <v/>
      </c>
      <c r="BI15" s="13"/>
      <c r="BJ15" s="13" t="str">
        <f>IFERROR(IF(표1[[#This Row],[CAS No.]]=VLOOKUP(표1[[#This Row],[CAS No.]], [1]규제DB_산안법_허용기준이하물질!$B:$D,1,FALSE),"제품 허용기준이하물질",""),"")</f>
        <v/>
      </c>
      <c r="BK15" s="13" t="str">
        <f>IFERROR(VLOOKUP(표1[[#This Row],[CAS No.]], [1]규제DB_산안법_허용기준이하물질!$B:$D,3,FALSE),"")</f>
        <v/>
      </c>
      <c r="BL15" s="13"/>
      <c r="BM15" s="13"/>
      <c r="BN15" s="13"/>
      <c r="BO15" s="13"/>
      <c r="BP15" s="13"/>
      <c r="BQ15" s="13" t="str">
        <f>IFERROR(VLOOKUP(표1[[#This Row],[CAS No.]], [1]규제DB_산안법_노출기준설정물질!$B:$K,8,FALSE),"")</f>
        <v/>
      </c>
      <c r="BR15" s="13" t="str">
        <f>IFERROR(VLOOKUP(표1[[#This Row],[CAS No.]], [1]규제DB_산안법_노출기준설정물질!$B:$K,9,FALSE),"")</f>
        <v/>
      </c>
      <c r="BS15" s="13" t="str">
        <f>IFERROR(VLOOKUP(표1[[#This Row],[CAS No.]], [1]규제DB_산안법_노출기준설정물질!$B:$K,10,FALSE),"")</f>
        <v/>
      </c>
      <c r="BT15" s="13"/>
      <c r="BU15" s="13"/>
      <c r="BV15" s="13" t="str">
        <f>IFERROR(IF(VLOOKUP(표1[[#This Row],[CAS No.]],[1]규제DB_고용노동부고시_CMR!$B:$J,3,FALSE)="구분1A", IF(표1[[#This Row],[함량(W%)]]&gt;=VLOOKUP(표1[[#This Row],[CAS No.]],[1]규제DB_고용노동부고시_CMR!$B:$J,4,FALSE),"제품 발암성물질",""), IF(VLOOKUP(표1[[#This Row],[CAS No.]],[1]규제DB_고용노동부고시_CMR!$B:$J,3,FALSE)="구분1B", IF(표1[[#This Row],[함량(W%)]]&gt;=VLOOKUP(표1[[#This Row],[CAS No.]],[1]규제DB_고용노동부고시_CMR!$B:$J,4,FALSE),"제품 발암성물질",""), IF(VLOOKUP(표1[[#This Row],[CAS No.]],[1]규제DB_고용노동부고시_CMR!$B:$J,3,FALSE)="구분2", IF(표1[[#This Row],[함량(W%)]]&gt;=VLOOKUP(표1[[#This Row],[CAS No.]],[1]규제DB_고용노동부고시_CMR!$B:$J,4,FALSE),"제품 발암성물질",""),""))),"")</f>
        <v/>
      </c>
      <c r="BW15" s="13" t="str">
        <f>IFERROR(IF(VLOOKUP(표1[[#This Row],[CAS No.]],[1]규제DB_고용노동부고시_CMR!$B:$J,5,FALSE)="구분1A", IF(표1[[#This Row],[함량(W%)]]&gt;=VLOOKUP(표1[[#This Row],[CAS No.]],[1]규제DB_고용노동부고시_CMR!$B:$J,6,FALSE),"제품 생식세포변이원성물질",""), IF(VLOOKUP(표1[[#This Row],[CAS No.]],[1]규제DB_고용노동부고시_CMR!$B:$J,5,FALSE)="구분1B", IF(표1[[#This Row],[함량(W%)]]&gt;=VLOOKUP(표1[[#This Row],[CAS No.]],[1]규제DB_고용노동부고시_CMR!$B:$J,6,FALSE),"제품 생식세포변이원성물질",""), IF(VLOOKUP(표1[[#This Row],[CAS No.]],[1]규제DB_고용노동부고시_CMR!$B:$J,5,FALSE)="구분2", IF(표1[[#This Row],[함량(W%)]]&gt;=VLOOKUP(표1[[#This Row],[CAS No.]],[1]규제DB_고용노동부고시_CMR!$B:$J,6,FALSE),"제품 생식세포변이원성물질",""),""))),"")</f>
        <v/>
      </c>
      <c r="BX15" s="13"/>
      <c r="BY15" s="13"/>
      <c r="BZ15" s="13" t="str">
        <f>IFERROR(IF(표1[[#This Row],[CAS No.]]=VLOOKUP(표1[[#This Row],[CAS No.]],[1]규제DB_고압법_독성가스!$B:$D,1,FALSE),"독성가스",""),"")</f>
        <v/>
      </c>
      <c r="CA15" s="13" t="str">
        <f>IFERROR(IF(표1[[#This Row],[CAS No.]]=VLOOKUP(표1[[#This Row],[CAS No.]],[1]규제DB_고압법_가연성가스!$B:$D,1,FALSE),"가연성가스",""),"")</f>
        <v/>
      </c>
      <c r="CB15" s="13" t="str">
        <f>IFERROR(IF(표1[[#This Row],[CAS No.]]=VLOOKUP(표1[[#This Row],[CAS No.]],[1]규제DB_고압법_특수고압가스!$B:$D,1,FALSE),"특수고압가스",""),"")</f>
        <v/>
      </c>
      <c r="CC15" s="13" t="str">
        <f>IFERROR(IF(표1[[#This Row],[CAS No.]]=VLOOKUP(표1[[#This Row],[CAS No.]],[1]규제DB_고압법_특정고압가스!$B:$D,1,FALSE),"특정고압가스",""),"")</f>
        <v/>
      </c>
      <c r="CD15" s="13" t="str">
        <f>IFERROR(IF(표1[[#This Row],[함량(W%)]]&gt;=VLOOKUP(표1[[#This Row],[CAS No.]],[1]규제DB_화관법_개별취급기준!$B:$G,5,FALSE),VLOOKUP(표1[[#This Row],[CAS No.]],[1]규제DB_화관법_개별취급기준!$B:$G,6,FALSE),""),"")</f>
        <v/>
      </c>
    </row>
    <row r="16" spans="1:82" ht="27.95" customHeight="1">
      <c r="A16" s="13">
        <v>15</v>
      </c>
      <c r="B16" s="2"/>
      <c r="C16" s="3" t="s">
        <v>103</v>
      </c>
      <c r="D16" s="4"/>
      <c r="E16" s="50" t="s">
        <v>109</v>
      </c>
      <c r="F16" s="3" t="s">
        <v>77</v>
      </c>
      <c r="G16" s="5" t="s">
        <v>78</v>
      </c>
      <c r="H16" s="3" t="s">
        <v>168</v>
      </c>
      <c r="I16" s="50" t="s">
        <v>125</v>
      </c>
      <c r="J16" s="3" t="s">
        <v>167</v>
      </c>
      <c r="K16" s="3" t="s">
        <v>167</v>
      </c>
      <c r="L16" s="3"/>
      <c r="M16" s="5" t="s">
        <v>80</v>
      </c>
      <c r="N16" s="5" t="s">
        <v>169</v>
      </c>
      <c r="O16" s="53" t="s">
        <v>81</v>
      </c>
      <c r="P16" s="55" t="s">
        <v>98</v>
      </c>
      <c r="Q16" s="54">
        <v>200</v>
      </c>
      <c r="R16" s="6">
        <v>200</v>
      </c>
      <c r="S16" s="7"/>
      <c r="T16" s="7"/>
      <c r="U16" s="6">
        <v>200</v>
      </c>
      <c r="V16" s="6">
        <v>200</v>
      </c>
      <c r="W16" s="8" t="str">
        <f>표1[[#This Row],[자재코드]]&amp;"_"&amp;표1[[#This Row],[자재명]]&amp;"_"&amp;표1[[#This Row],[공급업체명]]</f>
        <v>_dh-237_대현화학</v>
      </c>
      <c r="X16" s="51" t="s">
        <v>139</v>
      </c>
      <c r="Y16" s="2"/>
      <c r="Z16" s="2"/>
      <c r="AA16" s="2"/>
      <c r="AB16" s="50">
        <v>30</v>
      </c>
      <c r="AC16" s="21" t="s">
        <v>87</v>
      </c>
      <c r="AD16" s="9" t="s">
        <v>83</v>
      </c>
      <c r="AE16" s="10" t="s">
        <v>84</v>
      </c>
      <c r="AF16" s="10" t="s">
        <v>84</v>
      </c>
      <c r="AG16" s="11"/>
      <c r="AH16" s="50" t="s">
        <v>100</v>
      </c>
      <c r="AI16" s="12">
        <f>IFERROR(표1[[#This Row],[사용량(kg)]]*표1[[#This Row],[함량(W%)]]/100,"")</f>
        <v>60</v>
      </c>
      <c r="AJ16" s="13"/>
      <c r="AK16" s="13"/>
      <c r="AL16" s="14"/>
      <c r="AM16" s="15"/>
      <c r="AN16" s="13"/>
      <c r="AO16" s="13"/>
      <c r="AP16" s="13"/>
      <c r="AQ16" s="13"/>
      <c r="AR16" s="13" t="str">
        <f>IFERROR(IF(표1[[#This Row],[함량(W%)]]&gt;=VLOOKUP(표1[[#This Row],[CAS No.]],[1]규제DB_유해법_유독물!B:F,5,FALSE),"유독물질 제품",""),"")</f>
        <v/>
      </c>
      <c r="AS16" s="13" t="str">
        <f>IFERROR(VLOOKUP(표1[[#This Row],[CAS No.]],[1]규제DB_유해법_금지물질!B:G,3,FALSE),"")</f>
        <v/>
      </c>
      <c r="AT16" s="13" t="str">
        <f>IFERROR(VLOOKUP(표1[[#This Row],[CAS No.]],[1]규제DB_유해법_금지물질!B:G,4,FALSE)&amp;" 인지 확인하세요","")</f>
        <v/>
      </c>
      <c r="AU16" s="13" t="str">
        <f>IFERROR(VLOOKUP(표1[[#This Row],[CAS No.]],[1]규제DB_유해법_제한물질!B:G,3,FALSE),"")</f>
        <v/>
      </c>
      <c r="AV16" s="13" t="str">
        <f>IFERROR(IF(표1[[#This Row],[함량(W%)]]&gt;=VLOOKUP(표1[[#This Row],[CAS No.]],[1]규제DB_유해법_제한물질!$B:$G,5,FALSE),"제한 제품",""),"")</f>
        <v/>
      </c>
      <c r="AW16" s="13"/>
      <c r="AX16" s="13"/>
      <c r="AY16" s="16"/>
      <c r="AZ16" s="16"/>
      <c r="BA16" s="17" t="str">
        <f>IFERROR(IF(표1[[#This Row],[함량(W%)]]&gt;=VLOOKUP(표1[[#This Row],[CAS No.]],[1]규제DB_유해법_사고대비물질!$B:$J,4,FALSE),VLOOKUP(표1[[#This Row],[CAS No.]],[1]규제DB_유해법_사고대비물질!$B$2:$J$70,7,FALSE),""),"")</f>
        <v/>
      </c>
      <c r="BB16" s="17" t="str">
        <f>IFERROR(IF(표1[[#This Row],[함량(W%)]]&gt;=VLOOKUP(표1[[#This Row],[CAS No.]],[1]규제DB_유해법_사고대비물질!$B:$J,4,FALSE),VLOOKUP(표1[[#This Row],[CAS No.]],[1]규제DB_유해법_사고대비물질!$B$2:$J$70,8,FALSE),""),"")</f>
        <v/>
      </c>
      <c r="BC16" s="17" t="str">
        <f>IFERROR(IF(표1[[#This Row],[함량(W%)]]&gt;=VLOOKUP(표1[[#This Row],[CAS No.]],[1]규제DB_유해법_사고대비물질!$B:$J,4,FALSE),VLOOKUP(표1[[#This Row],[CAS No.]],[1]규제DB_유해법_사고대비물질!$B$2:$J$70,9,FALSE),""),"")</f>
        <v/>
      </c>
      <c r="BD16" s="18" t="str">
        <f>IFERROR(IF(표1[[#This Row],[함량(W%)]]&gt;=VLOOKUP(표1[[#This Row],[CAS No.]],'[1]규제DB_유해법_배출량조사 I'!$B:$D,3,FALSE),IF(VLOOKUP(표1[[#This Row],[CAS No.]],[1]기초자료!$A:$C,3,FALSE)&gt;=1000,"배출량조사 I 물질",""),""),"")</f>
        <v/>
      </c>
      <c r="BE16" s="18"/>
      <c r="BF16" s="13" t="str">
        <f>IFERROR(IF(표1[[#This Row],[함량(W%)]]&gt;=VLOOKUP(표1[[#This Row],[CAS No.]],[1]규제DB_산안법_금지물질!$B:$E,4,FALSE), VLOOKUP(표1[[#This Row],[CAS No.]],[1]규제DB_산안법_금지물질!$B:$E,2,FALSE)&amp;" : "&amp;VLOOKUP(표1[[#This Row],[CAS No.]],[1]규제DB_산안법_금지물질!$B:$E,3,FALSE)&amp;" 인지 확인하세요",""),"")</f>
        <v/>
      </c>
      <c r="BG16" s="13" t="str">
        <f>IFERROR(IF(표1[[#This Row],[함량(W%)]]&gt;=VLOOKUP(표1[[#This Row],[CAS No.]],[1]규제DB_산안법_허가물질!$B:$E,4,FALSE), "제품 허가물질",""),"")</f>
        <v/>
      </c>
      <c r="BH16" s="13" t="str">
        <f>IFERROR(IF(표1[[#This Row],[함량(W%)]]&gt;=VLOOKUP(표1[[#This Row],[CAS No.]], [1]규제DB_산안법_특별관리물질!$B:$E,4,FALSE), "제품 특별관리물질",""),"")</f>
        <v/>
      </c>
      <c r="BI16" s="13"/>
      <c r="BJ16" s="13" t="str">
        <f>IFERROR(IF(표1[[#This Row],[CAS No.]]=VLOOKUP(표1[[#This Row],[CAS No.]], [1]규제DB_산안법_허용기준이하물질!$B:$D,1,FALSE),"제품 허용기준이하물질",""),"")</f>
        <v/>
      </c>
      <c r="BK16" s="13" t="str">
        <f>IFERROR(VLOOKUP(표1[[#This Row],[CAS No.]], [1]규제DB_산안법_허용기준이하물질!$B:$D,3,FALSE),"")</f>
        <v/>
      </c>
      <c r="BL16" s="13"/>
      <c r="BM16" s="13"/>
      <c r="BN16" s="13"/>
      <c r="BO16" s="13"/>
      <c r="BP16" s="13"/>
      <c r="BQ16" s="13" t="str">
        <f>IFERROR(VLOOKUP(표1[[#This Row],[CAS No.]], [1]규제DB_산안법_노출기준설정물질!$B:$K,8,FALSE),"")</f>
        <v/>
      </c>
      <c r="BR16" s="13" t="str">
        <f>IFERROR(VLOOKUP(표1[[#This Row],[CAS No.]], [1]규제DB_산안법_노출기준설정물질!$B:$K,9,FALSE),"")</f>
        <v/>
      </c>
      <c r="BS16" s="13" t="str">
        <f>IFERROR(VLOOKUP(표1[[#This Row],[CAS No.]], [1]규제DB_산안법_노출기준설정물질!$B:$K,10,FALSE),"")</f>
        <v/>
      </c>
      <c r="BT16" s="13"/>
      <c r="BU16" s="13"/>
      <c r="BV16" s="13" t="str">
        <f>IFERROR(IF(VLOOKUP(표1[[#This Row],[CAS No.]],[1]규제DB_고용노동부고시_CMR!$B:$J,3,FALSE)="구분1A", IF(표1[[#This Row],[함량(W%)]]&gt;=VLOOKUP(표1[[#This Row],[CAS No.]],[1]규제DB_고용노동부고시_CMR!$B:$J,4,FALSE),"제품 발암성물질",""), IF(VLOOKUP(표1[[#This Row],[CAS No.]],[1]규제DB_고용노동부고시_CMR!$B:$J,3,FALSE)="구분1B", IF(표1[[#This Row],[함량(W%)]]&gt;=VLOOKUP(표1[[#This Row],[CAS No.]],[1]규제DB_고용노동부고시_CMR!$B:$J,4,FALSE),"제품 발암성물질",""), IF(VLOOKUP(표1[[#This Row],[CAS No.]],[1]규제DB_고용노동부고시_CMR!$B:$J,3,FALSE)="구분2", IF(표1[[#This Row],[함량(W%)]]&gt;=VLOOKUP(표1[[#This Row],[CAS No.]],[1]규제DB_고용노동부고시_CMR!$B:$J,4,FALSE),"제품 발암성물질",""),""))),"")</f>
        <v/>
      </c>
      <c r="BW16" s="13" t="str">
        <f>IFERROR(IF(VLOOKUP(표1[[#This Row],[CAS No.]],[1]규제DB_고용노동부고시_CMR!$B:$J,5,FALSE)="구분1A", IF(표1[[#This Row],[함량(W%)]]&gt;=VLOOKUP(표1[[#This Row],[CAS No.]],[1]규제DB_고용노동부고시_CMR!$B:$J,6,FALSE),"제품 생식세포변이원성물질",""), IF(VLOOKUP(표1[[#This Row],[CAS No.]],[1]규제DB_고용노동부고시_CMR!$B:$J,5,FALSE)="구분1B", IF(표1[[#This Row],[함량(W%)]]&gt;=VLOOKUP(표1[[#This Row],[CAS No.]],[1]규제DB_고용노동부고시_CMR!$B:$J,6,FALSE),"제품 생식세포변이원성물질",""), IF(VLOOKUP(표1[[#This Row],[CAS No.]],[1]규제DB_고용노동부고시_CMR!$B:$J,5,FALSE)="구분2", IF(표1[[#This Row],[함량(W%)]]&gt;=VLOOKUP(표1[[#This Row],[CAS No.]],[1]규제DB_고용노동부고시_CMR!$B:$J,6,FALSE),"제품 생식세포변이원성물질",""),""))),"")</f>
        <v/>
      </c>
      <c r="BX16" s="13"/>
      <c r="BY16" s="13"/>
      <c r="BZ16" s="13" t="str">
        <f>IFERROR(IF(표1[[#This Row],[CAS No.]]=VLOOKUP(표1[[#This Row],[CAS No.]],[1]규제DB_고압법_독성가스!$B:$D,1,FALSE),"독성가스",""),"")</f>
        <v/>
      </c>
      <c r="CA16" s="13" t="str">
        <f>IFERROR(IF(표1[[#This Row],[CAS No.]]=VLOOKUP(표1[[#This Row],[CAS No.]],[1]규제DB_고압법_가연성가스!$B:$D,1,FALSE),"가연성가스",""),"")</f>
        <v/>
      </c>
      <c r="CB16" s="13" t="str">
        <f>IFERROR(IF(표1[[#This Row],[CAS No.]]=VLOOKUP(표1[[#This Row],[CAS No.]],[1]규제DB_고압법_특수고압가스!$B:$D,1,FALSE),"특수고압가스",""),"")</f>
        <v/>
      </c>
      <c r="CC16" s="13" t="str">
        <f>IFERROR(IF(표1[[#This Row],[CAS No.]]=VLOOKUP(표1[[#This Row],[CAS No.]],[1]규제DB_고압법_특정고압가스!$B:$D,1,FALSE),"특정고압가스",""),"")</f>
        <v/>
      </c>
      <c r="CD16" s="13" t="str">
        <f>IFERROR(IF(표1[[#This Row],[함량(W%)]]&gt;=VLOOKUP(표1[[#This Row],[CAS No.]],[1]규제DB_화관법_개별취급기준!$B:$G,5,FALSE),VLOOKUP(표1[[#This Row],[CAS No.]],[1]규제DB_화관법_개별취급기준!$B:$G,6,FALSE),""),"")</f>
        <v/>
      </c>
    </row>
    <row r="17" spans="1:82" ht="27.95" customHeight="1">
      <c r="A17" s="13">
        <v>16</v>
      </c>
      <c r="B17" s="2"/>
      <c r="C17" s="3" t="s">
        <v>103</v>
      </c>
      <c r="D17" s="4"/>
      <c r="E17" s="50" t="s">
        <v>109</v>
      </c>
      <c r="F17" s="3" t="s">
        <v>77</v>
      </c>
      <c r="G17" s="5" t="s">
        <v>78</v>
      </c>
      <c r="H17" s="3" t="s">
        <v>168</v>
      </c>
      <c r="I17" s="50" t="s">
        <v>125</v>
      </c>
      <c r="J17" s="3" t="s">
        <v>167</v>
      </c>
      <c r="K17" s="3" t="s">
        <v>167</v>
      </c>
      <c r="L17" s="3"/>
      <c r="M17" s="5" t="s">
        <v>80</v>
      </c>
      <c r="N17" s="5" t="s">
        <v>169</v>
      </c>
      <c r="O17" s="53" t="s">
        <v>81</v>
      </c>
      <c r="P17" s="55" t="s">
        <v>95</v>
      </c>
      <c r="Q17" s="54">
        <v>200</v>
      </c>
      <c r="R17" s="6">
        <v>200</v>
      </c>
      <c r="S17" s="7"/>
      <c r="T17" s="7"/>
      <c r="U17" s="6">
        <v>200</v>
      </c>
      <c r="V17" s="6">
        <v>200</v>
      </c>
      <c r="W17" s="8" t="str">
        <f>표1[[#This Row],[자재코드]]&amp;"_"&amp;표1[[#This Row],[자재명]]&amp;"_"&amp;표1[[#This Row],[공급업체명]]</f>
        <v>_dh-237_대현화학</v>
      </c>
      <c r="X17" s="51" t="s">
        <v>140</v>
      </c>
      <c r="Y17" s="2"/>
      <c r="Z17" s="2"/>
      <c r="AA17" s="2"/>
      <c r="AB17" s="50">
        <v>10</v>
      </c>
      <c r="AC17" s="21" t="s">
        <v>87</v>
      </c>
      <c r="AD17" s="9" t="s">
        <v>83</v>
      </c>
      <c r="AE17" s="22" t="s">
        <v>84</v>
      </c>
      <c r="AF17" s="22" t="s">
        <v>84</v>
      </c>
      <c r="AG17" s="23"/>
      <c r="AH17" s="50" t="s">
        <v>101</v>
      </c>
      <c r="AI17" s="12">
        <f>IFERROR(표1[[#This Row],[사용량(kg)]]*표1[[#This Row],[함량(W%)]]/100,"")</f>
        <v>20</v>
      </c>
      <c r="AJ17" s="13"/>
      <c r="AK17" s="13"/>
      <c r="AL17" s="14"/>
      <c r="AM17" s="15"/>
      <c r="AN17" s="13"/>
      <c r="AO17" s="13"/>
      <c r="AP17" s="13"/>
      <c r="AQ17" s="13"/>
      <c r="AR17" s="13" t="str">
        <f>IFERROR(IF(표1[[#This Row],[함량(W%)]]&gt;=VLOOKUP(표1[[#This Row],[CAS No.]],[1]규제DB_유해법_유독물!B:F,5,FALSE),"유독물질 제품",""),"")</f>
        <v/>
      </c>
      <c r="AS17" s="13" t="str">
        <f>IFERROR(VLOOKUP(표1[[#This Row],[CAS No.]],[1]규제DB_유해법_금지물질!B:G,3,FALSE),"")</f>
        <v/>
      </c>
      <c r="AT17" s="13" t="str">
        <f>IFERROR(VLOOKUP(표1[[#This Row],[CAS No.]],[1]규제DB_유해법_금지물질!B:G,4,FALSE)&amp;" 인지 확인하세요","")</f>
        <v/>
      </c>
      <c r="AU17" s="13" t="str">
        <f>IFERROR(VLOOKUP(표1[[#This Row],[CAS No.]],[1]규제DB_유해법_제한물질!B:G,3,FALSE),"")</f>
        <v/>
      </c>
      <c r="AV17" s="13" t="str">
        <f>IFERROR(IF(표1[[#This Row],[함량(W%)]]&gt;=VLOOKUP(표1[[#This Row],[CAS No.]],[1]규제DB_유해법_제한물질!$B:$G,5,FALSE),"제한 제품",""),"")</f>
        <v/>
      </c>
      <c r="AW17" s="13"/>
      <c r="AX17" s="13"/>
      <c r="AY17" s="16"/>
      <c r="AZ17" s="16"/>
      <c r="BA17" s="17" t="str">
        <f>IFERROR(IF(표1[[#This Row],[함량(W%)]]&gt;=VLOOKUP(표1[[#This Row],[CAS No.]],[1]규제DB_유해법_사고대비물질!$B:$J,4,FALSE),VLOOKUP(표1[[#This Row],[CAS No.]],[1]규제DB_유해법_사고대비물질!$B$2:$J$70,7,FALSE),""),"")</f>
        <v/>
      </c>
      <c r="BB17" s="17" t="str">
        <f>IFERROR(IF(표1[[#This Row],[함량(W%)]]&gt;=VLOOKUP(표1[[#This Row],[CAS No.]],[1]규제DB_유해법_사고대비물질!$B:$J,4,FALSE),VLOOKUP(표1[[#This Row],[CAS No.]],[1]규제DB_유해법_사고대비물질!$B$2:$J$70,8,FALSE),""),"")</f>
        <v/>
      </c>
      <c r="BC17" s="17" t="str">
        <f>IFERROR(IF(표1[[#This Row],[함량(W%)]]&gt;=VLOOKUP(표1[[#This Row],[CAS No.]],[1]규제DB_유해법_사고대비물질!$B:$J,4,FALSE),VLOOKUP(표1[[#This Row],[CAS No.]],[1]규제DB_유해법_사고대비물질!$B$2:$J$70,9,FALSE),""),"")</f>
        <v/>
      </c>
      <c r="BD17" s="18" t="str">
        <f>IFERROR(IF(표1[[#This Row],[함량(W%)]]&gt;=VLOOKUP(표1[[#This Row],[CAS No.]],'[1]규제DB_유해법_배출량조사 I'!$B:$D,3,FALSE),IF(VLOOKUP(표1[[#This Row],[CAS No.]],[1]기초자료!$A:$C,3,FALSE)&gt;=1000,"배출량조사 I 물질",""),""),"")</f>
        <v/>
      </c>
      <c r="BE17" s="18"/>
      <c r="BF17" s="13" t="str">
        <f>IFERROR(IF(표1[[#This Row],[함량(W%)]]&gt;=VLOOKUP(표1[[#This Row],[CAS No.]],[1]규제DB_산안법_금지물질!$B:$E,4,FALSE), VLOOKUP(표1[[#This Row],[CAS No.]],[1]규제DB_산안법_금지물질!$B:$E,2,FALSE)&amp;" : "&amp;VLOOKUP(표1[[#This Row],[CAS No.]],[1]규제DB_산안법_금지물질!$B:$E,3,FALSE)&amp;" 인지 확인하세요",""),"")</f>
        <v/>
      </c>
      <c r="BG17" s="13" t="str">
        <f>IFERROR(IF(표1[[#This Row],[함량(W%)]]&gt;=VLOOKUP(표1[[#This Row],[CAS No.]],[1]규제DB_산안법_허가물질!$B:$E,4,FALSE), "제품 허가물질",""),"")</f>
        <v/>
      </c>
      <c r="BH17" s="13" t="str">
        <f>IFERROR(IF(표1[[#This Row],[함량(W%)]]&gt;=VLOOKUP(표1[[#This Row],[CAS No.]], [1]규제DB_산안법_특별관리물질!$B:$E,4,FALSE), "제품 특별관리물질",""),"")</f>
        <v/>
      </c>
      <c r="BI17" s="13"/>
      <c r="BJ17" s="13" t="str">
        <f>IFERROR(IF(표1[[#This Row],[CAS No.]]=VLOOKUP(표1[[#This Row],[CAS No.]], [1]규제DB_산안법_허용기준이하물질!$B:$D,1,FALSE),"제품 허용기준이하물질",""),"")</f>
        <v/>
      </c>
      <c r="BK17" s="13" t="str">
        <f>IFERROR(VLOOKUP(표1[[#This Row],[CAS No.]], [1]규제DB_산안법_허용기준이하물질!$B:$D,3,FALSE),"")</f>
        <v/>
      </c>
      <c r="BL17" s="13"/>
      <c r="BM17" s="13"/>
      <c r="BN17" s="13"/>
      <c r="BO17" s="13"/>
      <c r="BP17" s="13"/>
      <c r="BQ17" s="13" t="str">
        <f>IFERROR(VLOOKUP(표1[[#This Row],[CAS No.]], [1]규제DB_산안법_노출기준설정물질!$B:$K,8,FALSE),"")</f>
        <v/>
      </c>
      <c r="BR17" s="13" t="str">
        <f>IFERROR(VLOOKUP(표1[[#This Row],[CAS No.]], [1]규제DB_산안법_노출기준설정물질!$B:$K,9,FALSE),"")</f>
        <v/>
      </c>
      <c r="BS17" s="13" t="str">
        <f>IFERROR(VLOOKUP(표1[[#This Row],[CAS No.]], [1]규제DB_산안법_노출기준설정물질!$B:$K,10,FALSE),"")</f>
        <v/>
      </c>
      <c r="BT17" s="13"/>
      <c r="BU17" s="13"/>
      <c r="BV17" s="13" t="str">
        <f>IFERROR(IF(VLOOKUP(표1[[#This Row],[CAS No.]],[1]규제DB_고용노동부고시_CMR!$B:$J,3,FALSE)="구분1A", IF(표1[[#This Row],[함량(W%)]]&gt;=VLOOKUP(표1[[#This Row],[CAS No.]],[1]규제DB_고용노동부고시_CMR!$B:$J,4,FALSE),"제품 발암성물질",""), IF(VLOOKUP(표1[[#This Row],[CAS No.]],[1]규제DB_고용노동부고시_CMR!$B:$J,3,FALSE)="구분1B", IF(표1[[#This Row],[함량(W%)]]&gt;=VLOOKUP(표1[[#This Row],[CAS No.]],[1]규제DB_고용노동부고시_CMR!$B:$J,4,FALSE),"제품 발암성물질",""), IF(VLOOKUP(표1[[#This Row],[CAS No.]],[1]규제DB_고용노동부고시_CMR!$B:$J,3,FALSE)="구분2", IF(표1[[#This Row],[함량(W%)]]&gt;=VLOOKUP(표1[[#This Row],[CAS No.]],[1]규제DB_고용노동부고시_CMR!$B:$J,4,FALSE),"제품 발암성물질",""),""))),"")</f>
        <v/>
      </c>
      <c r="BW17" s="13" t="str">
        <f>IFERROR(IF(VLOOKUP(표1[[#This Row],[CAS No.]],[1]규제DB_고용노동부고시_CMR!$B:$J,5,FALSE)="구분1A", IF(표1[[#This Row],[함량(W%)]]&gt;=VLOOKUP(표1[[#This Row],[CAS No.]],[1]규제DB_고용노동부고시_CMR!$B:$J,6,FALSE),"제품 생식세포변이원성물질",""), IF(VLOOKUP(표1[[#This Row],[CAS No.]],[1]규제DB_고용노동부고시_CMR!$B:$J,5,FALSE)="구분1B", IF(표1[[#This Row],[함량(W%)]]&gt;=VLOOKUP(표1[[#This Row],[CAS No.]],[1]규제DB_고용노동부고시_CMR!$B:$J,6,FALSE),"제품 생식세포변이원성물질",""), IF(VLOOKUP(표1[[#This Row],[CAS No.]],[1]규제DB_고용노동부고시_CMR!$B:$J,5,FALSE)="구분2", IF(표1[[#This Row],[함량(W%)]]&gt;=VLOOKUP(표1[[#This Row],[CAS No.]],[1]규제DB_고용노동부고시_CMR!$B:$J,6,FALSE),"제품 생식세포변이원성물질",""),""))),"")</f>
        <v/>
      </c>
      <c r="BX17" s="13"/>
      <c r="BY17" s="13"/>
      <c r="BZ17" s="13" t="str">
        <f>IFERROR(IF(표1[[#This Row],[CAS No.]]=VLOOKUP(표1[[#This Row],[CAS No.]],[1]규제DB_고압법_독성가스!$B:$D,1,FALSE),"독성가스",""),"")</f>
        <v/>
      </c>
      <c r="CA17" s="13" t="str">
        <f>IFERROR(IF(표1[[#This Row],[CAS No.]]=VLOOKUP(표1[[#This Row],[CAS No.]],[1]규제DB_고압법_가연성가스!$B:$D,1,FALSE),"가연성가스",""),"")</f>
        <v/>
      </c>
      <c r="CB17" s="13" t="str">
        <f>IFERROR(IF(표1[[#This Row],[CAS No.]]=VLOOKUP(표1[[#This Row],[CAS No.]],[1]규제DB_고압법_특수고압가스!$B:$D,1,FALSE),"특수고압가스",""),"")</f>
        <v/>
      </c>
      <c r="CC17" s="13" t="str">
        <f>IFERROR(IF(표1[[#This Row],[CAS No.]]=VLOOKUP(표1[[#This Row],[CAS No.]],[1]규제DB_고압법_특정고압가스!$B:$D,1,FALSE),"특정고압가스",""),"")</f>
        <v/>
      </c>
      <c r="CD17" s="13" t="str">
        <f>IFERROR(IF(표1[[#This Row],[함량(W%)]]&gt;=VLOOKUP(표1[[#This Row],[CAS No.]],[1]규제DB_화관법_개별취급기준!$B:$G,5,FALSE),VLOOKUP(표1[[#This Row],[CAS No.]],[1]규제DB_화관법_개별취급기준!$B:$G,6,FALSE),""),"")</f>
        <v/>
      </c>
    </row>
    <row r="18" spans="1:82" ht="41.25" customHeight="1">
      <c r="A18" s="13">
        <v>17</v>
      </c>
      <c r="B18" s="2"/>
      <c r="C18" s="3" t="s">
        <v>103</v>
      </c>
      <c r="D18" s="4"/>
      <c r="E18" s="50" t="s">
        <v>110</v>
      </c>
      <c r="F18" s="3" t="s">
        <v>77</v>
      </c>
      <c r="G18" s="5" t="s">
        <v>78</v>
      </c>
      <c r="H18" s="3" t="s">
        <v>79</v>
      </c>
      <c r="I18" s="50" t="s">
        <v>102</v>
      </c>
      <c r="J18" s="3" t="s">
        <v>172</v>
      </c>
      <c r="K18" s="3" t="s">
        <v>172</v>
      </c>
      <c r="L18" s="3"/>
      <c r="M18" s="5" t="s">
        <v>80</v>
      </c>
      <c r="N18" s="5" t="s">
        <v>179</v>
      </c>
      <c r="O18" s="53" t="s">
        <v>81</v>
      </c>
      <c r="P18" s="55" t="s">
        <v>95</v>
      </c>
      <c r="Q18" s="54">
        <v>2</v>
      </c>
      <c r="R18" s="6">
        <v>2</v>
      </c>
      <c r="S18" s="7"/>
      <c r="T18" s="7"/>
      <c r="U18" s="6">
        <v>2</v>
      </c>
      <c r="V18" s="6">
        <v>2</v>
      </c>
      <c r="W18" s="8" t="str">
        <f>표1[[#This Row],[자재코드]]&amp;"_"&amp;표1[[#This Row],[자재명]]&amp;"_"&amp;표1[[#This Row],[공급업체명]]</f>
        <v>_kaizen power plus plate cleaner_대우피앤씨</v>
      </c>
      <c r="X18" s="51" t="s">
        <v>141</v>
      </c>
      <c r="Y18" s="2"/>
      <c r="Z18" s="2"/>
      <c r="AA18" s="2"/>
      <c r="AB18" s="50">
        <v>10</v>
      </c>
      <c r="AC18" s="21" t="s">
        <v>174</v>
      </c>
      <c r="AD18" s="9" t="s">
        <v>83</v>
      </c>
      <c r="AE18" s="10" t="s">
        <v>84</v>
      </c>
      <c r="AF18" s="10" t="s">
        <v>84</v>
      </c>
      <c r="AG18" s="11"/>
      <c r="AH18" s="50" t="s">
        <v>99</v>
      </c>
      <c r="AI18" s="12">
        <f>IFERROR(표1[[#This Row],[사용량(kg)]]*표1[[#This Row],[함량(W%)]]/100,"")</f>
        <v>0.2</v>
      </c>
      <c r="AJ18" s="13"/>
      <c r="AK18" s="13"/>
      <c r="AL18" s="14"/>
      <c r="AM18" s="15"/>
      <c r="AN18" s="13"/>
      <c r="AO18" s="13"/>
      <c r="AP18" s="13"/>
      <c r="AQ18" s="13"/>
      <c r="AR18" s="13" t="str">
        <f>IFERROR(IF(표1[[#This Row],[함량(W%)]]&gt;=VLOOKUP(표1[[#This Row],[CAS No.]],[1]규제DB_유해법_유독물!B:F,5,FALSE),"유독물질 제품",""),"")</f>
        <v/>
      </c>
      <c r="AS18" s="13" t="str">
        <f>IFERROR(VLOOKUP(표1[[#This Row],[CAS No.]],[1]규제DB_유해법_금지물질!B:G,3,FALSE),"")</f>
        <v/>
      </c>
      <c r="AT18" s="13" t="str">
        <f>IFERROR(VLOOKUP(표1[[#This Row],[CAS No.]],[1]규제DB_유해법_금지물질!B:G,4,FALSE)&amp;" 인지 확인하세요","")</f>
        <v/>
      </c>
      <c r="AU18" s="13" t="str">
        <f>IFERROR(VLOOKUP(표1[[#This Row],[CAS No.]],[1]규제DB_유해법_제한물질!B:G,3,FALSE),"")</f>
        <v/>
      </c>
      <c r="AV18" s="13" t="str">
        <f>IFERROR(IF(표1[[#This Row],[함량(W%)]]&gt;=VLOOKUP(표1[[#This Row],[CAS No.]],[1]규제DB_유해법_제한물질!$B:$G,5,FALSE),"제한 제품",""),"")</f>
        <v/>
      </c>
      <c r="AW18" s="13"/>
      <c r="AX18" s="13"/>
      <c r="AY18" s="16"/>
      <c r="AZ18" s="16"/>
      <c r="BA18" s="17" t="str">
        <f>IFERROR(IF(표1[[#This Row],[함량(W%)]]&gt;=VLOOKUP(표1[[#This Row],[CAS No.]],[1]규제DB_유해법_사고대비물질!$B:$J,4,FALSE),VLOOKUP(표1[[#This Row],[CAS No.]],[1]규제DB_유해법_사고대비물질!$B$2:$J$70,7,FALSE),""),"")</f>
        <v/>
      </c>
      <c r="BB18" s="17" t="str">
        <f>IFERROR(IF(표1[[#This Row],[함량(W%)]]&gt;=VLOOKUP(표1[[#This Row],[CAS No.]],[1]규제DB_유해법_사고대비물질!$B:$J,4,FALSE),VLOOKUP(표1[[#This Row],[CAS No.]],[1]규제DB_유해법_사고대비물질!$B$2:$J$70,8,FALSE),""),"")</f>
        <v/>
      </c>
      <c r="BC18" s="17" t="str">
        <f>IFERROR(IF(표1[[#This Row],[함량(W%)]]&gt;=VLOOKUP(표1[[#This Row],[CAS No.]],[1]규제DB_유해법_사고대비물질!$B:$J,4,FALSE),VLOOKUP(표1[[#This Row],[CAS No.]],[1]규제DB_유해법_사고대비물질!$B$2:$J$70,9,FALSE),""),"")</f>
        <v/>
      </c>
      <c r="BD18" s="18" t="str">
        <f>IFERROR(IF(표1[[#This Row],[함량(W%)]]&gt;=VLOOKUP(표1[[#This Row],[CAS No.]],'[1]규제DB_유해법_배출량조사 I'!$B:$D,3,FALSE),IF(VLOOKUP(표1[[#This Row],[CAS No.]],[1]기초자료!$A:$C,3,FALSE)&gt;=1000,"배출량조사 I 물질",""),""),"")</f>
        <v/>
      </c>
      <c r="BE18" s="18"/>
      <c r="BF18" s="13" t="str">
        <f>IFERROR(IF(표1[[#This Row],[함량(W%)]]&gt;=VLOOKUP(표1[[#This Row],[CAS No.]],[1]규제DB_산안법_금지물질!$B:$E,4,FALSE), VLOOKUP(표1[[#This Row],[CAS No.]],[1]규제DB_산안법_금지물질!$B:$E,2,FALSE)&amp;" : "&amp;VLOOKUP(표1[[#This Row],[CAS No.]],[1]규제DB_산안법_금지물질!$B:$E,3,FALSE)&amp;" 인지 확인하세요",""),"")</f>
        <v/>
      </c>
      <c r="BG18" s="13" t="str">
        <f>IFERROR(IF(표1[[#This Row],[함량(W%)]]&gt;=VLOOKUP(표1[[#This Row],[CAS No.]],[1]규제DB_산안법_허가물질!$B:$E,4,FALSE), "제품 허가물질",""),"")</f>
        <v/>
      </c>
      <c r="BH18" s="13" t="str">
        <f>IFERROR(IF(표1[[#This Row],[함량(W%)]]&gt;=VLOOKUP(표1[[#This Row],[CAS No.]], [1]규제DB_산안법_특별관리물질!$B:$E,4,FALSE), "제품 특별관리물질",""),"")</f>
        <v/>
      </c>
      <c r="BI18" s="13"/>
      <c r="BJ18" s="13" t="str">
        <f>IFERROR(IF(표1[[#This Row],[CAS No.]]=VLOOKUP(표1[[#This Row],[CAS No.]], [1]규제DB_산안법_허용기준이하물질!$B:$D,1,FALSE),"제품 허용기준이하물질",""),"")</f>
        <v/>
      </c>
      <c r="BK18" s="13" t="str">
        <f>IFERROR(VLOOKUP(표1[[#This Row],[CAS No.]], [1]규제DB_산안법_허용기준이하물질!$B:$D,3,FALSE),"")</f>
        <v/>
      </c>
      <c r="BL18" s="13"/>
      <c r="BM18" s="13"/>
      <c r="BN18" s="13"/>
      <c r="BO18" s="13"/>
      <c r="BP18" s="13"/>
      <c r="BQ18" s="13" t="str">
        <f>IFERROR(VLOOKUP(표1[[#This Row],[CAS No.]], [1]규제DB_산안법_노출기준설정물질!$B:$K,8,FALSE),"")</f>
        <v/>
      </c>
      <c r="BR18" s="13" t="str">
        <f>IFERROR(VLOOKUP(표1[[#This Row],[CAS No.]], [1]규제DB_산안법_노출기준설정물질!$B:$K,9,FALSE),"")</f>
        <v/>
      </c>
      <c r="BS18" s="13" t="str">
        <f>IFERROR(VLOOKUP(표1[[#This Row],[CAS No.]], [1]규제DB_산안법_노출기준설정물질!$B:$K,10,FALSE),"")</f>
        <v/>
      </c>
      <c r="BT18" s="13"/>
      <c r="BU18" s="13"/>
      <c r="BV18" s="13" t="str">
        <f>IFERROR(IF(VLOOKUP(표1[[#This Row],[CAS No.]],[1]규제DB_고용노동부고시_CMR!$B:$J,3,FALSE)="구분1A", IF(표1[[#This Row],[함량(W%)]]&gt;=VLOOKUP(표1[[#This Row],[CAS No.]],[1]규제DB_고용노동부고시_CMR!$B:$J,4,FALSE),"제품 발암성물질",""), IF(VLOOKUP(표1[[#This Row],[CAS No.]],[1]규제DB_고용노동부고시_CMR!$B:$J,3,FALSE)="구분1B", IF(표1[[#This Row],[함량(W%)]]&gt;=VLOOKUP(표1[[#This Row],[CAS No.]],[1]규제DB_고용노동부고시_CMR!$B:$J,4,FALSE),"제품 발암성물질",""), IF(VLOOKUP(표1[[#This Row],[CAS No.]],[1]규제DB_고용노동부고시_CMR!$B:$J,3,FALSE)="구분2", IF(표1[[#This Row],[함량(W%)]]&gt;=VLOOKUP(표1[[#This Row],[CAS No.]],[1]규제DB_고용노동부고시_CMR!$B:$J,4,FALSE),"제품 발암성물질",""),""))),"")</f>
        <v/>
      </c>
      <c r="BW18" s="13" t="str">
        <f>IFERROR(IF(VLOOKUP(표1[[#This Row],[CAS No.]],[1]규제DB_고용노동부고시_CMR!$B:$J,5,FALSE)="구분1A", IF(표1[[#This Row],[함량(W%)]]&gt;=VLOOKUP(표1[[#This Row],[CAS No.]],[1]규제DB_고용노동부고시_CMR!$B:$J,6,FALSE),"제품 생식세포변이원성물질",""), IF(VLOOKUP(표1[[#This Row],[CAS No.]],[1]규제DB_고용노동부고시_CMR!$B:$J,5,FALSE)="구분1B", IF(표1[[#This Row],[함량(W%)]]&gt;=VLOOKUP(표1[[#This Row],[CAS No.]],[1]규제DB_고용노동부고시_CMR!$B:$J,6,FALSE),"제품 생식세포변이원성물질",""), IF(VLOOKUP(표1[[#This Row],[CAS No.]],[1]규제DB_고용노동부고시_CMR!$B:$J,5,FALSE)="구분2", IF(표1[[#This Row],[함량(W%)]]&gt;=VLOOKUP(표1[[#This Row],[CAS No.]],[1]규제DB_고용노동부고시_CMR!$B:$J,6,FALSE),"제품 생식세포변이원성물질",""),""))),"")</f>
        <v/>
      </c>
      <c r="BX18" s="13"/>
      <c r="BY18" s="13"/>
      <c r="BZ18" s="13" t="str">
        <f>IFERROR(IF(표1[[#This Row],[CAS No.]]=VLOOKUP(표1[[#This Row],[CAS No.]],[1]규제DB_고압법_독성가스!$B:$D,1,FALSE),"독성가스",""),"")</f>
        <v/>
      </c>
      <c r="CA18" s="13" t="str">
        <f>IFERROR(IF(표1[[#This Row],[CAS No.]]=VLOOKUP(표1[[#This Row],[CAS No.]],[1]규제DB_고압법_가연성가스!$B:$D,1,FALSE),"가연성가스",""),"")</f>
        <v/>
      </c>
      <c r="CB18" s="13" t="str">
        <f>IFERROR(IF(표1[[#This Row],[CAS No.]]=VLOOKUP(표1[[#This Row],[CAS No.]],[1]규제DB_고압법_특수고압가스!$B:$D,1,FALSE),"특수고압가스",""),"")</f>
        <v/>
      </c>
      <c r="CC18" s="13" t="str">
        <f>IFERROR(IF(표1[[#This Row],[CAS No.]]=VLOOKUP(표1[[#This Row],[CAS No.]],[1]규제DB_고압법_특정고압가스!$B:$D,1,FALSE),"특정고압가스",""),"")</f>
        <v/>
      </c>
      <c r="CD18" s="13" t="str">
        <f>IFERROR(IF(표1[[#This Row],[함량(W%)]]&gt;=VLOOKUP(표1[[#This Row],[CAS No.]],[1]규제DB_화관법_개별취급기준!$B:$G,5,FALSE),VLOOKUP(표1[[#This Row],[CAS No.]],[1]규제DB_화관법_개별취급기준!$B:$G,6,FALSE),""),"")</f>
        <v/>
      </c>
    </row>
    <row r="19" spans="1:82" ht="27.95" customHeight="1">
      <c r="A19" s="13">
        <v>18</v>
      </c>
      <c r="B19" s="2"/>
      <c r="C19" s="3" t="s">
        <v>103</v>
      </c>
      <c r="D19" s="4"/>
      <c r="E19" s="50" t="s">
        <v>111</v>
      </c>
      <c r="F19" s="3" t="s">
        <v>77</v>
      </c>
      <c r="G19" s="5" t="s">
        <v>78</v>
      </c>
      <c r="H19" s="3" t="s">
        <v>79</v>
      </c>
      <c r="I19" s="50" t="s">
        <v>102</v>
      </c>
      <c r="J19" s="3" t="s">
        <v>175</v>
      </c>
      <c r="K19" s="3" t="s">
        <v>175</v>
      </c>
      <c r="L19" s="3"/>
      <c r="M19" s="5" t="s">
        <v>80</v>
      </c>
      <c r="N19" s="5" t="s">
        <v>173</v>
      </c>
      <c r="O19" s="53" t="s">
        <v>81</v>
      </c>
      <c r="P19" s="55" t="s">
        <v>98</v>
      </c>
      <c r="Q19" s="54">
        <v>2</v>
      </c>
      <c r="R19" s="6">
        <v>2</v>
      </c>
      <c r="S19" s="17"/>
      <c r="T19" s="17"/>
      <c r="U19" s="6">
        <v>2</v>
      </c>
      <c r="V19" s="6">
        <v>2</v>
      </c>
      <c r="W19" s="8" t="str">
        <f>표1[[#This Row],[자재코드]]&amp;"_"&amp;표1[[#This Row],[자재명]]&amp;"_"&amp;표1[[#This Row],[공급업체명]]</f>
        <v>_SPRAY POWDER FOR ANTI SET-OFF_삼신케미칼</v>
      </c>
      <c r="X19" s="51" t="s">
        <v>142</v>
      </c>
      <c r="Y19" s="13"/>
      <c r="Z19" s="13"/>
      <c r="AA19" s="13"/>
      <c r="AB19" s="50">
        <v>99</v>
      </c>
      <c r="AC19" s="20" t="s">
        <v>174</v>
      </c>
      <c r="AD19" s="9" t="s">
        <v>83</v>
      </c>
      <c r="AE19" s="10" t="s">
        <v>84</v>
      </c>
      <c r="AF19" s="10" t="s">
        <v>84</v>
      </c>
      <c r="AG19" s="11"/>
      <c r="AH19" s="50" t="s">
        <v>189</v>
      </c>
      <c r="AI19" s="12">
        <f>IFERROR(표1[[#This Row],[사용량(kg)]]*표1[[#This Row],[함량(W%)]]/100,"")</f>
        <v>1.98</v>
      </c>
      <c r="AJ19" s="13"/>
      <c r="AK19" s="13"/>
      <c r="AL19" s="14"/>
      <c r="AM19" s="15"/>
      <c r="AN19" s="13"/>
      <c r="AO19" s="13"/>
      <c r="AP19" s="13"/>
      <c r="AQ19" s="13"/>
      <c r="AR19" s="13" t="str">
        <f>IFERROR(IF(표1[[#This Row],[함량(W%)]]&gt;=VLOOKUP(표1[[#This Row],[CAS No.]],[1]규제DB_유해법_유독물!B:F,5,FALSE),"유독물질 제품",""),"")</f>
        <v/>
      </c>
      <c r="AS19" s="13" t="str">
        <f>IFERROR(VLOOKUP(표1[[#This Row],[CAS No.]],[1]규제DB_유해법_금지물질!B:G,3,FALSE),"")</f>
        <v/>
      </c>
      <c r="AT19" s="13" t="str">
        <f>IFERROR(VLOOKUP(표1[[#This Row],[CAS No.]],[1]규제DB_유해법_금지물질!B:G,4,FALSE)&amp;" 인지 확인하세요","")</f>
        <v/>
      </c>
      <c r="AU19" s="13" t="str">
        <f>IFERROR(VLOOKUP(표1[[#This Row],[CAS No.]],[1]규제DB_유해법_제한물질!B:G,3,FALSE),"")</f>
        <v/>
      </c>
      <c r="AV19" s="13" t="str">
        <f>IFERROR(IF(표1[[#This Row],[함량(W%)]]&gt;=VLOOKUP(표1[[#This Row],[CAS No.]],[1]규제DB_유해법_제한물질!$B:$G,5,FALSE),"제한 제품",""),"")</f>
        <v/>
      </c>
      <c r="AW19" s="13"/>
      <c r="AX19" s="13"/>
      <c r="AY19" s="16"/>
      <c r="AZ19" s="16"/>
      <c r="BA19" s="17" t="str">
        <f>IFERROR(IF(표1[[#This Row],[함량(W%)]]&gt;=VLOOKUP(표1[[#This Row],[CAS No.]],[1]규제DB_유해법_사고대비물질!$B:$J,4,FALSE),VLOOKUP(표1[[#This Row],[CAS No.]],[1]규제DB_유해법_사고대비물질!$B$2:$J$70,7,FALSE),""),"")</f>
        <v/>
      </c>
      <c r="BB19" s="17" t="str">
        <f>IFERROR(IF(표1[[#This Row],[함량(W%)]]&gt;=VLOOKUP(표1[[#This Row],[CAS No.]],[1]규제DB_유해법_사고대비물질!$B:$J,4,FALSE),VLOOKUP(표1[[#This Row],[CAS No.]],[1]규제DB_유해법_사고대비물질!$B$2:$J$70,8,FALSE),""),"")</f>
        <v/>
      </c>
      <c r="BC19" s="17" t="str">
        <f>IFERROR(IF(표1[[#This Row],[함량(W%)]]&gt;=VLOOKUP(표1[[#This Row],[CAS No.]],[1]규제DB_유해법_사고대비물질!$B:$J,4,FALSE),VLOOKUP(표1[[#This Row],[CAS No.]],[1]규제DB_유해법_사고대비물질!$B$2:$J$70,9,FALSE),""),"")</f>
        <v/>
      </c>
      <c r="BD19" s="18" t="str">
        <f>IFERROR(IF(표1[[#This Row],[함량(W%)]]&gt;=VLOOKUP(표1[[#This Row],[CAS No.]],'[1]규제DB_유해법_배출량조사 I'!$B:$D,3,FALSE),IF(VLOOKUP(표1[[#This Row],[CAS No.]],[1]기초자료!$A:$C,3,FALSE)&gt;=1000,"배출량조사 I 물질",""),""),"")</f>
        <v/>
      </c>
      <c r="BE19" s="18"/>
      <c r="BF19" s="13" t="str">
        <f>IFERROR(IF(표1[[#This Row],[함량(W%)]]&gt;=VLOOKUP(표1[[#This Row],[CAS No.]],[1]규제DB_산안법_금지물질!$B:$E,4,FALSE), VLOOKUP(표1[[#This Row],[CAS No.]],[1]규제DB_산안법_금지물질!$B:$E,2,FALSE)&amp;" : "&amp;VLOOKUP(표1[[#This Row],[CAS No.]],[1]규제DB_산안법_금지물질!$B:$E,3,FALSE)&amp;" 인지 확인하세요",""),"")</f>
        <v/>
      </c>
      <c r="BG19" s="13" t="str">
        <f>IFERROR(IF(표1[[#This Row],[함량(W%)]]&gt;=VLOOKUP(표1[[#This Row],[CAS No.]],[1]규제DB_산안법_허가물질!$B:$E,4,FALSE), "제품 허가물질",""),"")</f>
        <v/>
      </c>
      <c r="BH19" s="13" t="str">
        <f>IFERROR(IF(표1[[#This Row],[함량(W%)]]&gt;=VLOOKUP(표1[[#This Row],[CAS No.]], [1]규제DB_산안법_특별관리물질!$B:$E,4,FALSE), "제품 특별관리물질",""),"")</f>
        <v/>
      </c>
      <c r="BI19" s="13"/>
      <c r="BJ19" s="13" t="str">
        <f>IFERROR(IF(표1[[#This Row],[CAS No.]]=VLOOKUP(표1[[#This Row],[CAS No.]], [1]규제DB_산안법_허용기준이하물질!$B:$D,1,FALSE),"제품 허용기준이하물질",""),"")</f>
        <v/>
      </c>
      <c r="BK19" s="13" t="str">
        <f>IFERROR(VLOOKUP(표1[[#This Row],[CAS No.]], [1]규제DB_산안법_허용기준이하물질!$B:$D,3,FALSE),"")</f>
        <v/>
      </c>
      <c r="BL19" s="13"/>
      <c r="BM19" s="13"/>
      <c r="BN19" s="13"/>
      <c r="BO19" s="13"/>
      <c r="BP19" s="13"/>
      <c r="BQ19" s="13" t="str">
        <f>IFERROR(VLOOKUP(표1[[#This Row],[CAS No.]], [1]규제DB_산안법_노출기준설정물질!$B:$K,8,FALSE),"")</f>
        <v/>
      </c>
      <c r="BR19" s="13" t="str">
        <f>IFERROR(VLOOKUP(표1[[#This Row],[CAS No.]], [1]규제DB_산안법_노출기준설정물질!$B:$K,9,FALSE),"")</f>
        <v/>
      </c>
      <c r="BS19" s="13" t="str">
        <f>IFERROR(VLOOKUP(표1[[#This Row],[CAS No.]], [1]규제DB_산안법_노출기준설정물질!$B:$K,10,FALSE),"")</f>
        <v/>
      </c>
      <c r="BT19" s="13"/>
      <c r="BU19" s="13"/>
      <c r="BV19" s="13" t="str">
        <f>IFERROR(IF(VLOOKUP(표1[[#This Row],[CAS No.]],[1]규제DB_고용노동부고시_CMR!$B:$J,3,FALSE)="구분1A", IF(표1[[#This Row],[함량(W%)]]&gt;=VLOOKUP(표1[[#This Row],[CAS No.]],[1]규제DB_고용노동부고시_CMR!$B:$J,4,FALSE),"제품 발암성물질",""), IF(VLOOKUP(표1[[#This Row],[CAS No.]],[1]규제DB_고용노동부고시_CMR!$B:$J,3,FALSE)="구분1B", IF(표1[[#This Row],[함량(W%)]]&gt;=VLOOKUP(표1[[#This Row],[CAS No.]],[1]규제DB_고용노동부고시_CMR!$B:$J,4,FALSE),"제품 발암성물질",""), IF(VLOOKUP(표1[[#This Row],[CAS No.]],[1]규제DB_고용노동부고시_CMR!$B:$J,3,FALSE)="구분2", IF(표1[[#This Row],[함량(W%)]]&gt;=VLOOKUP(표1[[#This Row],[CAS No.]],[1]규제DB_고용노동부고시_CMR!$B:$J,4,FALSE),"제품 발암성물질",""),""))),"")</f>
        <v/>
      </c>
      <c r="BW19" s="13" t="str">
        <f>IFERROR(IF(VLOOKUP(표1[[#This Row],[CAS No.]],[1]규제DB_고용노동부고시_CMR!$B:$J,5,FALSE)="구분1A", IF(표1[[#This Row],[함량(W%)]]&gt;=VLOOKUP(표1[[#This Row],[CAS No.]],[1]규제DB_고용노동부고시_CMR!$B:$J,6,FALSE),"제품 생식세포변이원성물질",""), IF(VLOOKUP(표1[[#This Row],[CAS No.]],[1]규제DB_고용노동부고시_CMR!$B:$J,5,FALSE)="구분1B", IF(표1[[#This Row],[함량(W%)]]&gt;=VLOOKUP(표1[[#This Row],[CAS No.]],[1]규제DB_고용노동부고시_CMR!$B:$J,6,FALSE),"제품 생식세포변이원성물질",""), IF(VLOOKUP(표1[[#This Row],[CAS No.]],[1]규제DB_고용노동부고시_CMR!$B:$J,5,FALSE)="구분2", IF(표1[[#This Row],[함량(W%)]]&gt;=VLOOKUP(표1[[#This Row],[CAS No.]],[1]규제DB_고용노동부고시_CMR!$B:$J,6,FALSE),"제품 생식세포변이원성물질",""),""))),"")</f>
        <v/>
      </c>
      <c r="BX19" s="13"/>
      <c r="BY19" s="13"/>
      <c r="BZ19" s="13" t="str">
        <f>IFERROR(IF(표1[[#This Row],[CAS No.]]=VLOOKUP(표1[[#This Row],[CAS No.]],[1]규제DB_고압법_독성가스!$B:$D,1,FALSE),"독성가스",""),"")</f>
        <v/>
      </c>
      <c r="CA19" s="13" t="str">
        <f>IFERROR(IF(표1[[#This Row],[CAS No.]]=VLOOKUP(표1[[#This Row],[CAS No.]],[1]규제DB_고압법_가연성가스!$B:$D,1,FALSE),"가연성가스",""),"")</f>
        <v/>
      </c>
      <c r="CB19" s="13" t="str">
        <f>IFERROR(IF(표1[[#This Row],[CAS No.]]=VLOOKUP(표1[[#This Row],[CAS No.]],[1]규제DB_고압법_특수고압가스!$B:$D,1,FALSE),"특수고압가스",""),"")</f>
        <v/>
      </c>
      <c r="CC19" s="13" t="str">
        <f>IFERROR(IF(표1[[#This Row],[CAS No.]]=VLOOKUP(표1[[#This Row],[CAS No.]],[1]규제DB_고압법_특정고압가스!$B:$D,1,FALSE),"특정고압가스",""),"")</f>
        <v/>
      </c>
      <c r="CD19" s="13" t="str">
        <f>IFERROR(IF(표1[[#This Row],[함량(W%)]]&gt;=VLOOKUP(표1[[#This Row],[CAS No.]],[1]규제DB_화관법_개별취급기준!$B:$G,5,FALSE),VLOOKUP(표1[[#This Row],[CAS No.]],[1]규제DB_화관법_개별취급기준!$B:$G,6,FALSE),""),"")</f>
        <v/>
      </c>
    </row>
    <row r="20" spans="1:82" ht="27.95" customHeight="1">
      <c r="A20" s="13">
        <v>19</v>
      </c>
      <c r="B20" s="2"/>
      <c r="C20" s="3" t="s">
        <v>103</v>
      </c>
      <c r="D20" s="4"/>
      <c r="E20" s="50" t="s">
        <v>112</v>
      </c>
      <c r="F20" s="3" t="s">
        <v>77</v>
      </c>
      <c r="G20" s="5" t="s">
        <v>78</v>
      </c>
      <c r="H20" s="3" t="s">
        <v>79</v>
      </c>
      <c r="I20" s="50" t="s">
        <v>102</v>
      </c>
      <c r="J20" s="3" t="s">
        <v>166</v>
      </c>
      <c r="K20" s="3" t="s">
        <v>166</v>
      </c>
      <c r="L20" s="3"/>
      <c r="M20" s="5" t="s">
        <v>80</v>
      </c>
      <c r="N20" s="5" t="s">
        <v>179</v>
      </c>
      <c r="O20" s="53" t="s">
        <v>81</v>
      </c>
      <c r="P20" s="55" t="s">
        <v>98</v>
      </c>
      <c r="Q20" s="54">
        <v>18</v>
      </c>
      <c r="R20" s="6">
        <v>18</v>
      </c>
      <c r="S20" s="17"/>
      <c r="T20" s="17"/>
      <c r="U20" s="6">
        <v>18</v>
      </c>
      <c r="V20" s="6">
        <v>18</v>
      </c>
      <c r="W20" s="8" t="str">
        <f>표1[[#This Row],[자재코드]]&amp;"_"&amp;표1[[#This Row],[자재명]]&amp;"_"&amp;표1[[#This Row],[공급업체명]]</f>
        <v>_NEW BEST ONE SW-QS_한국특수잉크공업</v>
      </c>
      <c r="X20" s="51" t="s">
        <v>143</v>
      </c>
      <c r="Y20" s="13"/>
      <c r="Z20" s="13"/>
      <c r="AA20" s="13"/>
      <c r="AB20" s="50">
        <v>4</v>
      </c>
      <c r="AC20" s="20" t="s">
        <v>86</v>
      </c>
      <c r="AD20" s="9" t="s">
        <v>83</v>
      </c>
      <c r="AE20" s="10" t="s">
        <v>84</v>
      </c>
      <c r="AF20" s="10" t="s">
        <v>84</v>
      </c>
      <c r="AG20" s="11"/>
      <c r="AH20" s="50" t="s">
        <v>190</v>
      </c>
      <c r="AI20" s="12">
        <f>IFERROR(표1[[#This Row],[사용량(kg)]]*표1[[#This Row],[함량(W%)]]/100,"")</f>
        <v>0.72</v>
      </c>
      <c r="AJ20" s="13"/>
      <c r="AK20" s="13"/>
      <c r="AL20" s="14"/>
      <c r="AM20" s="15"/>
      <c r="AN20" s="13"/>
      <c r="AO20" s="13"/>
      <c r="AP20" s="13"/>
      <c r="AQ20" s="13"/>
      <c r="AR20" s="13" t="str">
        <f>IFERROR(IF(표1[[#This Row],[함량(W%)]]&gt;=VLOOKUP(표1[[#This Row],[CAS No.]],[1]규제DB_유해법_유독물!B:F,5,FALSE),"유독물질 제품",""),"")</f>
        <v/>
      </c>
      <c r="AS20" s="13" t="str">
        <f>IFERROR(VLOOKUP(표1[[#This Row],[CAS No.]],[1]규제DB_유해법_금지물질!B:G,3,FALSE),"")</f>
        <v/>
      </c>
      <c r="AT20" s="13" t="str">
        <f>IFERROR(VLOOKUP(표1[[#This Row],[CAS No.]],[1]규제DB_유해법_금지물질!B:G,4,FALSE)&amp;" 인지 확인하세요","")</f>
        <v/>
      </c>
      <c r="AU20" s="13" t="str">
        <f>IFERROR(VLOOKUP(표1[[#This Row],[CAS No.]],[1]규제DB_유해법_제한물질!B:G,3,FALSE),"")</f>
        <v/>
      </c>
      <c r="AV20" s="13" t="str">
        <f>IFERROR(IF(표1[[#This Row],[함량(W%)]]&gt;=VLOOKUP(표1[[#This Row],[CAS No.]],[1]규제DB_유해법_제한물질!$B:$G,5,FALSE),"제한 제품",""),"")</f>
        <v/>
      </c>
      <c r="AW20" s="13"/>
      <c r="AX20" s="13"/>
      <c r="AY20" s="16"/>
      <c r="AZ20" s="16"/>
      <c r="BA20" s="17" t="str">
        <f>IFERROR(IF(표1[[#This Row],[함량(W%)]]&gt;=VLOOKUP(표1[[#This Row],[CAS No.]],[1]규제DB_유해법_사고대비물질!$B:$J,4,FALSE),VLOOKUP(표1[[#This Row],[CAS No.]],[1]규제DB_유해법_사고대비물질!$B$2:$J$70,7,FALSE),""),"")</f>
        <v/>
      </c>
      <c r="BB20" s="17" t="str">
        <f>IFERROR(IF(표1[[#This Row],[함량(W%)]]&gt;=VLOOKUP(표1[[#This Row],[CAS No.]],[1]규제DB_유해법_사고대비물질!$B:$J,4,FALSE),VLOOKUP(표1[[#This Row],[CAS No.]],[1]규제DB_유해법_사고대비물질!$B$2:$J$70,8,FALSE),""),"")</f>
        <v/>
      </c>
      <c r="BC20" s="17" t="str">
        <f>IFERROR(IF(표1[[#This Row],[함량(W%)]]&gt;=VLOOKUP(표1[[#This Row],[CAS No.]],[1]규제DB_유해법_사고대비물질!$B:$J,4,FALSE),VLOOKUP(표1[[#This Row],[CAS No.]],[1]규제DB_유해법_사고대비물질!$B$2:$J$70,9,FALSE),""),"")</f>
        <v/>
      </c>
      <c r="BD20" s="18" t="str">
        <f>IFERROR(IF(표1[[#This Row],[함량(W%)]]&gt;=VLOOKUP(표1[[#This Row],[CAS No.]],'[1]규제DB_유해법_배출량조사 I'!$B:$D,3,FALSE),IF(VLOOKUP(표1[[#This Row],[CAS No.]],[1]기초자료!$A:$C,3,FALSE)&gt;=1000,"배출량조사 I 물질",""),""),"")</f>
        <v/>
      </c>
      <c r="BE20" s="18"/>
      <c r="BF20" s="13" t="str">
        <f>IFERROR(IF(표1[[#This Row],[함량(W%)]]&gt;=VLOOKUP(표1[[#This Row],[CAS No.]],[1]규제DB_산안법_금지물질!$B:$E,4,FALSE), VLOOKUP(표1[[#This Row],[CAS No.]],[1]규제DB_산안법_금지물질!$B:$E,2,FALSE)&amp;" : "&amp;VLOOKUP(표1[[#This Row],[CAS No.]],[1]규제DB_산안법_금지물질!$B:$E,3,FALSE)&amp;" 인지 확인하세요",""),"")</f>
        <v/>
      </c>
      <c r="BG20" s="13" t="str">
        <f>IFERROR(IF(표1[[#This Row],[함량(W%)]]&gt;=VLOOKUP(표1[[#This Row],[CAS No.]],[1]규제DB_산안법_허가물질!$B:$E,4,FALSE), "제품 허가물질",""),"")</f>
        <v/>
      </c>
      <c r="BH20" s="13" t="str">
        <f>IFERROR(IF(표1[[#This Row],[함량(W%)]]&gt;=VLOOKUP(표1[[#This Row],[CAS No.]], [1]규제DB_산안법_특별관리물질!$B:$E,4,FALSE), "제품 특별관리물질",""),"")</f>
        <v/>
      </c>
      <c r="BI20" s="13"/>
      <c r="BJ20" s="13" t="str">
        <f>IFERROR(IF(표1[[#This Row],[CAS No.]]=VLOOKUP(표1[[#This Row],[CAS No.]], [1]규제DB_산안법_허용기준이하물질!$B:$D,1,FALSE),"제품 허용기준이하물질",""),"")</f>
        <v/>
      </c>
      <c r="BK20" s="13" t="str">
        <f>IFERROR(VLOOKUP(표1[[#This Row],[CAS No.]], [1]규제DB_산안법_허용기준이하물질!$B:$D,3,FALSE),"")</f>
        <v/>
      </c>
      <c r="BL20" s="13"/>
      <c r="BM20" s="13"/>
      <c r="BN20" s="13"/>
      <c r="BO20" s="13"/>
      <c r="BP20" s="13"/>
      <c r="BQ20" s="13" t="str">
        <f>IFERROR(VLOOKUP(표1[[#This Row],[CAS No.]], [1]규제DB_산안법_노출기준설정물질!$B:$K,8,FALSE),"")</f>
        <v/>
      </c>
      <c r="BR20" s="13" t="str">
        <f>IFERROR(VLOOKUP(표1[[#This Row],[CAS No.]], [1]규제DB_산안법_노출기준설정물질!$B:$K,9,FALSE),"")</f>
        <v/>
      </c>
      <c r="BS20" s="13" t="str">
        <f>IFERROR(VLOOKUP(표1[[#This Row],[CAS No.]], [1]규제DB_산안법_노출기준설정물질!$B:$K,10,FALSE),"")</f>
        <v/>
      </c>
      <c r="BT20" s="13"/>
      <c r="BU20" s="13"/>
      <c r="BV20" s="13"/>
      <c r="BW20" s="13" t="str">
        <f>IFERROR(IF(VLOOKUP(표1[[#This Row],[CAS No.]],[1]규제DB_고용노동부고시_CMR!$B:$J,5,FALSE)="구분1A", IF(표1[[#This Row],[함량(W%)]]&gt;=VLOOKUP(표1[[#This Row],[CAS No.]],[1]규제DB_고용노동부고시_CMR!$B:$J,6,FALSE),"제품 생식세포변이원성물질",""), IF(VLOOKUP(표1[[#This Row],[CAS No.]],[1]규제DB_고용노동부고시_CMR!$B:$J,5,FALSE)="구분1B", IF(표1[[#This Row],[함량(W%)]]&gt;=VLOOKUP(표1[[#This Row],[CAS No.]],[1]규제DB_고용노동부고시_CMR!$B:$J,6,FALSE),"제품 생식세포변이원성물질",""), IF(VLOOKUP(표1[[#This Row],[CAS No.]],[1]규제DB_고용노동부고시_CMR!$B:$J,5,FALSE)="구분2", IF(표1[[#This Row],[함량(W%)]]&gt;=VLOOKUP(표1[[#This Row],[CAS No.]],[1]규제DB_고용노동부고시_CMR!$B:$J,6,FALSE),"제품 생식세포변이원성물질",""),""))),"")</f>
        <v/>
      </c>
      <c r="BX20" s="13"/>
      <c r="BY20" s="13"/>
      <c r="BZ20" s="13" t="str">
        <f>IFERROR(IF(표1[[#This Row],[CAS No.]]=VLOOKUP(표1[[#This Row],[CAS No.]],[1]규제DB_고압법_독성가스!$B:$D,1,FALSE),"독성가스",""),"")</f>
        <v/>
      </c>
      <c r="CA20" s="13" t="str">
        <f>IFERROR(IF(표1[[#This Row],[CAS No.]]=VLOOKUP(표1[[#This Row],[CAS No.]],[1]규제DB_고압법_가연성가스!$B:$D,1,FALSE),"가연성가스",""),"")</f>
        <v/>
      </c>
      <c r="CB20" s="13" t="str">
        <f>IFERROR(IF(표1[[#This Row],[CAS No.]]=VLOOKUP(표1[[#This Row],[CAS No.]],[1]규제DB_고압법_특수고압가스!$B:$D,1,FALSE),"특수고압가스",""),"")</f>
        <v/>
      </c>
      <c r="CC20" s="13" t="str">
        <f>IFERROR(IF(표1[[#This Row],[CAS No.]]=VLOOKUP(표1[[#This Row],[CAS No.]],[1]규제DB_고압법_특정고압가스!$B:$D,1,FALSE),"특정고압가스",""),"")</f>
        <v/>
      </c>
      <c r="CD20" s="13" t="str">
        <f>IFERROR(IF(표1[[#This Row],[함량(W%)]]&gt;=VLOOKUP(표1[[#This Row],[CAS No.]],[1]규제DB_화관법_개별취급기준!$B:$G,5,FALSE),VLOOKUP(표1[[#This Row],[CAS No.]],[1]규제DB_화관법_개별취급기준!$B:$G,6,FALSE),""),"")</f>
        <v/>
      </c>
    </row>
    <row r="21" spans="1:82" ht="27.95" customHeight="1">
      <c r="A21" s="13">
        <v>20</v>
      </c>
      <c r="B21" s="2"/>
      <c r="C21" s="3" t="s">
        <v>103</v>
      </c>
      <c r="D21" s="4"/>
      <c r="E21" s="50" t="s">
        <v>112</v>
      </c>
      <c r="F21" s="3" t="s">
        <v>77</v>
      </c>
      <c r="G21" s="5" t="s">
        <v>78</v>
      </c>
      <c r="H21" s="3" t="s">
        <v>79</v>
      </c>
      <c r="I21" s="50" t="s">
        <v>102</v>
      </c>
      <c r="J21" s="3" t="s">
        <v>166</v>
      </c>
      <c r="K21" s="3" t="s">
        <v>166</v>
      </c>
      <c r="L21" s="3"/>
      <c r="M21" s="5" t="s">
        <v>80</v>
      </c>
      <c r="N21" s="5" t="s">
        <v>179</v>
      </c>
      <c r="O21" s="53" t="s">
        <v>81</v>
      </c>
      <c r="P21" s="55" t="s">
        <v>98</v>
      </c>
      <c r="Q21" s="54">
        <v>18</v>
      </c>
      <c r="R21" s="6">
        <v>18</v>
      </c>
      <c r="S21" s="17"/>
      <c r="T21" s="17"/>
      <c r="U21" s="6">
        <v>18</v>
      </c>
      <c r="V21" s="6">
        <v>18</v>
      </c>
      <c r="W21" s="8" t="str">
        <f>표1[[#This Row],[자재코드]]&amp;"_"&amp;표1[[#This Row],[자재명]]&amp;"_"&amp;표1[[#This Row],[공급업체명]]</f>
        <v>_NEW BEST ONE SW-QS_한국특수잉크공업</v>
      </c>
      <c r="X21" s="51" t="s">
        <v>144</v>
      </c>
      <c r="Y21" s="2"/>
      <c r="Z21" s="2"/>
      <c r="AA21" s="2"/>
      <c r="AB21" s="50">
        <v>4</v>
      </c>
      <c r="AC21" s="20" t="s">
        <v>86</v>
      </c>
      <c r="AD21" s="9" t="s">
        <v>83</v>
      </c>
      <c r="AE21" s="10" t="s">
        <v>84</v>
      </c>
      <c r="AF21" s="10" t="s">
        <v>84</v>
      </c>
      <c r="AG21" s="11"/>
      <c r="AH21" s="50" t="s">
        <v>191</v>
      </c>
      <c r="AI21" s="12">
        <f>IFERROR(표1[[#This Row],[사용량(kg)]]*표1[[#This Row],[함량(W%)]]/100,"")</f>
        <v>0.72</v>
      </c>
      <c r="AJ21" s="13"/>
      <c r="AK21" s="13"/>
      <c r="AL21" s="14"/>
      <c r="AM21" s="15"/>
      <c r="AN21" s="13"/>
      <c r="AO21" s="13"/>
      <c r="AP21" s="13"/>
      <c r="AQ21" s="13"/>
      <c r="AR21" s="13" t="str">
        <f>IFERROR(IF(표1[[#This Row],[함량(W%)]]&gt;=VLOOKUP(표1[[#This Row],[CAS No.]],[1]규제DB_유해법_유독물!B:F,5,FALSE),"유독물질 제품",""),"")</f>
        <v/>
      </c>
      <c r="AS21" s="13" t="str">
        <f>IFERROR(VLOOKUP(표1[[#This Row],[CAS No.]],[1]규제DB_유해법_금지물질!B:G,3,FALSE),"")</f>
        <v/>
      </c>
      <c r="AT21" s="13" t="str">
        <f>IFERROR(VLOOKUP(표1[[#This Row],[CAS No.]],[1]규제DB_유해법_금지물질!B:G,4,FALSE)&amp;" 인지 확인하세요","")</f>
        <v/>
      </c>
      <c r="AU21" s="13" t="str">
        <f>IFERROR(VLOOKUP(표1[[#This Row],[CAS No.]],[1]규제DB_유해법_제한물질!B:G,3,FALSE),"")</f>
        <v/>
      </c>
      <c r="AV21" s="13" t="str">
        <f>IFERROR(IF(표1[[#This Row],[함량(W%)]]&gt;=VLOOKUP(표1[[#This Row],[CAS No.]],[1]규제DB_유해법_제한물질!$B:$G,5,FALSE),"제한 제품",""),"")</f>
        <v/>
      </c>
      <c r="AW21" s="13" t="str">
        <f>IFERROR(VLOOKUP(표1[[#This Row],[CAS No.]],[1]규제DB_유해법_사고대비물질!B:J,2,FALSE),"")</f>
        <v/>
      </c>
      <c r="AX21" s="13" t="str">
        <f>IFERROR(IF(표1[[#This Row],[함량(W%)]]&gt;=VLOOKUP(표1[[#This Row],[CAS No.]],[1]규제DB_유해법_사고대비물질!$B:$J,4,FALSE),"사고대비물질 제품",""),"")</f>
        <v/>
      </c>
      <c r="AY21" s="16" t="str">
        <f>IFERROR(VLOOKUP(표1[[#This Row],[CAS No.]],[1]규제DB_유해법_사고대비물질!$B:$J,5,FALSE),"")</f>
        <v/>
      </c>
      <c r="AZ21" s="16" t="str">
        <f>IFERROR(VLOOKUP(표1[[#This Row],[CAS No.]],[1]규제DB_유해법_사고대비물질!$B:$J,6,FALSE),"")</f>
        <v/>
      </c>
      <c r="BA21" s="17" t="str">
        <f>IFERROR(IF(표1[[#This Row],[함량(W%)]]&gt;=VLOOKUP(표1[[#This Row],[CAS No.]],[1]규제DB_유해법_사고대비물질!$B:$J,4,FALSE),VLOOKUP(표1[[#This Row],[CAS No.]],[1]규제DB_유해법_사고대비물질!$B$2:$J$70,7,FALSE),""),"")</f>
        <v/>
      </c>
      <c r="BB21" s="17" t="str">
        <f>IFERROR(IF(표1[[#This Row],[함량(W%)]]&gt;=VLOOKUP(표1[[#This Row],[CAS No.]],[1]규제DB_유해법_사고대비물질!$B:$J,4,FALSE),VLOOKUP(표1[[#This Row],[CAS No.]],[1]규제DB_유해법_사고대비물질!$B$2:$J$70,8,FALSE),""),"")</f>
        <v/>
      </c>
      <c r="BC21" s="17" t="str">
        <f>IFERROR(IF(표1[[#This Row],[함량(W%)]]&gt;=VLOOKUP(표1[[#This Row],[CAS No.]],[1]규제DB_유해법_사고대비물질!$B:$J,4,FALSE),VLOOKUP(표1[[#This Row],[CAS No.]],[1]규제DB_유해법_사고대비물질!$B$2:$J$70,9,FALSE),""),"")</f>
        <v/>
      </c>
      <c r="BD21" s="18" t="str">
        <f>IFERROR(IF(표1[[#This Row],[함량(W%)]]&gt;=VLOOKUP(표1[[#This Row],[CAS No.]],'[1]규제DB_유해법_배출량조사 I'!$B:$D,3,FALSE),IF(VLOOKUP(표1[[#This Row],[CAS No.]],[1]기초자료!$A:$C,3,FALSE)&gt;=1000,"배출량조사 I 물질",""),""),"")</f>
        <v/>
      </c>
      <c r="BE21" s="18"/>
      <c r="BF21" s="13" t="str">
        <f>IFERROR(IF(표1[[#This Row],[함량(W%)]]&gt;=VLOOKUP(표1[[#This Row],[CAS No.]],[1]규제DB_산안법_금지물질!$B:$E,4,FALSE), VLOOKUP(표1[[#This Row],[CAS No.]],[1]규제DB_산안법_금지물질!$B:$E,2,FALSE)&amp;" : "&amp;VLOOKUP(표1[[#This Row],[CAS No.]],[1]규제DB_산안법_금지물질!$B:$E,3,FALSE)&amp;" 인지 확인하세요",""),"")</f>
        <v/>
      </c>
      <c r="BG21" s="13" t="str">
        <f>IFERROR(IF(표1[[#This Row],[함량(W%)]]&gt;=VLOOKUP(표1[[#This Row],[CAS No.]],[1]규제DB_산안법_허가물질!$B:$E,4,FALSE), "제품 허가물질",""),"")</f>
        <v/>
      </c>
      <c r="BH21" s="13" t="str">
        <f>IFERROR(IF(표1[[#This Row],[함량(W%)]]&gt;=VLOOKUP(표1[[#This Row],[CAS No.]], [1]규제DB_산안법_특별관리물질!$B:$E,4,FALSE), "제품 특별관리물질",""),"")</f>
        <v/>
      </c>
      <c r="BI21" s="13"/>
      <c r="BJ21" s="13" t="str">
        <f>IFERROR(IF(표1[[#This Row],[CAS No.]]=VLOOKUP(표1[[#This Row],[CAS No.]], [1]규제DB_산안법_허용기준이하물질!$B:$D,1,FALSE),"제품 허용기준이하물질",""),"")</f>
        <v/>
      </c>
      <c r="BK21" s="13" t="str">
        <f>IFERROR(VLOOKUP(표1[[#This Row],[CAS No.]], [1]규제DB_산안법_허용기준이하물질!$B:$D,3,FALSE),"")</f>
        <v/>
      </c>
      <c r="BL21" s="13"/>
      <c r="BM21" s="13"/>
      <c r="BN21" s="13"/>
      <c r="BO21" s="13"/>
      <c r="BP21" s="13"/>
      <c r="BQ21" s="13" t="str">
        <f>IFERROR(VLOOKUP(표1[[#This Row],[CAS No.]], [1]규제DB_산안법_노출기준설정물질!$B:$K,8,FALSE),"")</f>
        <v/>
      </c>
      <c r="BR21" s="13" t="str">
        <f>IFERROR(VLOOKUP(표1[[#This Row],[CAS No.]], [1]규제DB_산안법_노출기준설정물질!$B:$K,9,FALSE),"")</f>
        <v/>
      </c>
      <c r="BS21" s="13" t="str">
        <f>IFERROR(VLOOKUP(표1[[#This Row],[CAS No.]], [1]규제DB_산안법_노출기준설정물질!$B:$K,10,FALSE),"")</f>
        <v/>
      </c>
      <c r="BT21" s="13"/>
      <c r="BU21" s="13"/>
      <c r="BV21" s="13" t="str">
        <f>IFERROR(IF(VLOOKUP(표1[[#This Row],[CAS No.]],[1]규제DB_고용노동부고시_CMR!$B:$J,3,FALSE)="구분1A", IF(표1[[#This Row],[함량(W%)]]&gt;=VLOOKUP(표1[[#This Row],[CAS No.]],[1]규제DB_고용노동부고시_CMR!$B:$J,4,FALSE),"제품 발암성물질",""), IF(VLOOKUP(표1[[#This Row],[CAS No.]],[1]규제DB_고용노동부고시_CMR!$B:$J,3,FALSE)="구분1B", IF(표1[[#This Row],[함량(W%)]]&gt;=VLOOKUP(표1[[#This Row],[CAS No.]],[1]규제DB_고용노동부고시_CMR!$B:$J,4,FALSE),"제품 발암성물질",""), IF(VLOOKUP(표1[[#This Row],[CAS No.]],[1]규제DB_고용노동부고시_CMR!$B:$J,3,FALSE)="구분2", IF(표1[[#This Row],[함량(W%)]]&gt;=VLOOKUP(표1[[#This Row],[CAS No.]],[1]규제DB_고용노동부고시_CMR!$B:$J,4,FALSE),"제품 발암성물질",""),""))),"")</f>
        <v/>
      </c>
      <c r="BW21" s="13" t="str">
        <f>IFERROR(IF(VLOOKUP(표1[[#This Row],[CAS No.]],[1]규제DB_고용노동부고시_CMR!$B:$J,5,FALSE)="구분1A", IF(표1[[#This Row],[함량(W%)]]&gt;=VLOOKUP(표1[[#This Row],[CAS No.]],[1]규제DB_고용노동부고시_CMR!$B:$J,6,FALSE),"제품 생식세포변이원성물질",""), IF(VLOOKUP(표1[[#This Row],[CAS No.]],[1]규제DB_고용노동부고시_CMR!$B:$J,5,FALSE)="구분1B", IF(표1[[#This Row],[함량(W%)]]&gt;=VLOOKUP(표1[[#This Row],[CAS No.]],[1]규제DB_고용노동부고시_CMR!$B:$J,6,FALSE),"제품 생식세포변이원성물질",""), IF(VLOOKUP(표1[[#This Row],[CAS No.]],[1]규제DB_고용노동부고시_CMR!$B:$J,5,FALSE)="구분2", IF(표1[[#This Row],[함량(W%)]]&gt;=VLOOKUP(표1[[#This Row],[CAS No.]],[1]규제DB_고용노동부고시_CMR!$B:$J,6,FALSE),"제품 생식세포변이원성물질",""),""))),"")</f>
        <v/>
      </c>
      <c r="BX21" s="13" t="str">
        <f>IFERROR(IF(VLOOKUP(표1[[#This Row],[CAS No.]],[1]규제DB_고용노동부고시_CMR!$B:$J,7,FALSE)="구분1A", IF(표1[[#This Row],[함량(W%)]]&gt;=VLOOKUP(표1[[#This Row],[CAS No.]],[1]규제DB_고용노동부고시_CMR!$B:$J,8,FALSE),"제품 생식독성물질",""), IF(VLOOKUP(표1[[#This Row],[CAS No.]],[1]규제DB_고용노동부고시_CMR!$B:$J,7,FALSE)="구분1B", IF(표1[[#This Row],[함량(W%)]]&gt;=VLOOKUP(표1[[#This Row],[CAS No.]],[1]규제DB_고용노동부고시_CMR!$B:$J,8,FALSE),"제품 생식독성물질",""), IF(VLOOKUP(표1[[#This Row],[CAS No.]],[1]규제DB_고용노동부고시_CMR!$B:$J,7,FALSE)="구분2", IF(표1[[#This Row],[함량(W%)]]&gt;=VLOOKUP(표1[[#This Row],[CAS No.]],[1]규제DB_고용노동부고시_CMR!$B:$J,8,FALSE),"제품 생식독성물질",""),""))),"")</f>
        <v/>
      </c>
      <c r="BY21" s="13" t="str">
        <f>IFERROR(VLOOKUP(표1[[#This Row],[CAS No.]],[1]규제DB_위험물안전관리법_위험물!$B:$F,3,FALSE),"")</f>
        <v/>
      </c>
      <c r="BZ21" s="13" t="str">
        <f>IFERROR(IF(표1[[#This Row],[CAS No.]]=VLOOKUP(표1[[#This Row],[CAS No.]],[1]규제DB_고압법_독성가스!$B:$D,1,FALSE),"독성가스",""),"")</f>
        <v/>
      </c>
      <c r="CA21" s="13" t="str">
        <f>IFERROR(IF(표1[[#This Row],[CAS No.]]=VLOOKUP(표1[[#This Row],[CAS No.]],[1]규제DB_고압법_가연성가스!$B:$D,1,FALSE),"가연성가스",""),"")</f>
        <v/>
      </c>
      <c r="CB21" s="13" t="str">
        <f>IFERROR(IF(표1[[#This Row],[CAS No.]]=VLOOKUP(표1[[#This Row],[CAS No.]],[1]규제DB_고압법_특수고압가스!$B:$D,1,FALSE),"특수고압가스",""),"")</f>
        <v/>
      </c>
      <c r="CC21" s="13" t="str">
        <f>IFERROR(IF(표1[[#This Row],[CAS No.]]=VLOOKUP(표1[[#This Row],[CAS No.]],[1]규제DB_고압법_특정고압가스!$B:$D,1,FALSE),"특정고압가스",""),"")</f>
        <v/>
      </c>
      <c r="CD21" s="13" t="str">
        <f>IFERROR(IF(표1[[#This Row],[함량(W%)]]&gt;=VLOOKUP(표1[[#This Row],[CAS No.]],[1]규제DB_화관법_개별취급기준!$B:$G,5,FALSE),VLOOKUP(표1[[#This Row],[CAS No.]],[1]규제DB_화관법_개별취급기준!$B:$G,6,FALSE),""),"")</f>
        <v/>
      </c>
    </row>
    <row r="22" spans="1:82" ht="27.95" customHeight="1">
      <c r="A22" s="13">
        <v>21</v>
      </c>
      <c r="B22" s="2"/>
      <c r="C22" s="3" t="s">
        <v>103</v>
      </c>
      <c r="D22" s="4"/>
      <c r="E22" s="50" t="s">
        <v>112</v>
      </c>
      <c r="F22" s="3" t="s">
        <v>77</v>
      </c>
      <c r="G22" s="5" t="s">
        <v>78</v>
      </c>
      <c r="H22" s="3" t="s">
        <v>79</v>
      </c>
      <c r="I22" s="50" t="s">
        <v>102</v>
      </c>
      <c r="J22" s="3" t="s">
        <v>166</v>
      </c>
      <c r="K22" s="3" t="s">
        <v>166</v>
      </c>
      <c r="L22" s="3"/>
      <c r="M22" s="5" t="s">
        <v>80</v>
      </c>
      <c r="N22" s="5" t="s">
        <v>179</v>
      </c>
      <c r="O22" s="53" t="s">
        <v>81</v>
      </c>
      <c r="P22" s="55" t="s">
        <v>98</v>
      </c>
      <c r="Q22" s="54">
        <v>18</v>
      </c>
      <c r="R22" s="6">
        <v>18</v>
      </c>
      <c r="S22" s="17"/>
      <c r="T22" s="17"/>
      <c r="U22" s="6">
        <v>18</v>
      </c>
      <c r="V22" s="6">
        <v>18</v>
      </c>
      <c r="W22" s="8" t="str">
        <f>표1[[#This Row],[자재코드]]&amp;"_"&amp;표1[[#This Row],[자재명]]&amp;"_"&amp;표1[[#This Row],[공급업체명]]</f>
        <v>_NEW BEST ONE SW-QS_한국특수잉크공업</v>
      </c>
      <c r="X22" s="51" t="s">
        <v>145</v>
      </c>
      <c r="Y22" s="13"/>
      <c r="Z22" s="13"/>
      <c r="AA22" s="13"/>
      <c r="AB22" s="50">
        <v>4</v>
      </c>
      <c r="AC22" s="20" t="s">
        <v>86</v>
      </c>
      <c r="AD22" s="9" t="s">
        <v>83</v>
      </c>
      <c r="AE22" s="10" t="s">
        <v>84</v>
      </c>
      <c r="AF22" s="10" t="s">
        <v>84</v>
      </c>
      <c r="AG22" s="11"/>
      <c r="AH22" s="52">
        <v>1234986</v>
      </c>
      <c r="AI22" s="12">
        <f>IFERROR(표1[[#This Row],[사용량(kg)]]*표1[[#This Row],[함량(W%)]]/100,"")</f>
        <v>0.72</v>
      </c>
      <c r="AJ22" s="13"/>
      <c r="AK22" s="13"/>
      <c r="AL22" s="14"/>
      <c r="AM22" s="15"/>
      <c r="AN22" s="13"/>
      <c r="AO22" s="13"/>
      <c r="AP22" s="13"/>
      <c r="AQ22" s="13"/>
      <c r="AR22" s="13" t="str">
        <f>IFERROR(IF(표1[[#This Row],[함량(W%)]]&gt;=VLOOKUP(표1[[#This Row],[CAS No.]],[1]규제DB_유해법_유독물!B:F,5,FALSE),"유독물질 제품",""),"")</f>
        <v/>
      </c>
      <c r="AS22" s="13" t="str">
        <f>IFERROR(VLOOKUP(표1[[#This Row],[CAS No.]],[1]규제DB_유해법_금지물질!B:G,3,FALSE),"")</f>
        <v/>
      </c>
      <c r="AT22" s="13" t="str">
        <f>IFERROR(VLOOKUP(표1[[#This Row],[CAS No.]],[1]규제DB_유해법_금지물질!B:G,4,FALSE)&amp;" 인지 확인하세요","")</f>
        <v/>
      </c>
      <c r="AU22" s="13" t="str">
        <f>IFERROR(VLOOKUP(표1[[#This Row],[CAS No.]],[1]규제DB_유해법_제한물질!B:G,3,FALSE),"")</f>
        <v/>
      </c>
      <c r="AV22" s="13" t="str">
        <f>IFERROR(IF(표1[[#This Row],[함량(W%)]]&gt;=VLOOKUP(표1[[#This Row],[CAS No.]],[1]규제DB_유해법_제한물질!$B:$G,5,FALSE),"제한 제품",""),"")</f>
        <v/>
      </c>
      <c r="AW22" s="13" t="str">
        <f>IFERROR(VLOOKUP(표1[[#This Row],[CAS No.]],[1]규제DB_유해법_사고대비물질!B:J,2,FALSE),"")</f>
        <v/>
      </c>
      <c r="AX22" s="13" t="str">
        <f>IFERROR(IF(표1[[#This Row],[함량(W%)]]&gt;=VLOOKUP(표1[[#This Row],[CAS No.]],[1]규제DB_유해법_사고대비물질!$B:$J,4,FALSE),"사고대비물질 제품",""),"")</f>
        <v/>
      </c>
      <c r="AY22" s="16" t="str">
        <f>IFERROR(VLOOKUP(표1[[#This Row],[CAS No.]],[1]규제DB_유해법_사고대비물질!$B:$J,5,FALSE),"")</f>
        <v/>
      </c>
      <c r="AZ22" s="16" t="str">
        <f>IFERROR(VLOOKUP(표1[[#This Row],[CAS No.]],[1]규제DB_유해법_사고대비물질!$B:$J,6,FALSE),"")</f>
        <v/>
      </c>
      <c r="BA22" s="17" t="str">
        <f>IFERROR(IF(표1[[#This Row],[함량(W%)]]&gt;=VLOOKUP(표1[[#This Row],[CAS No.]],[1]규제DB_유해법_사고대비물질!$B:$J,4,FALSE),VLOOKUP(표1[[#This Row],[CAS No.]],[1]규제DB_유해법_사고대비물질!$B$2:$J$70,7,FALSE),""),"")</f>
        <v/>
      </c>
      <c r="BB22" s="17" t="str">
        <f>IFERROR(IF(표1[[#This Row],[함량(W%)]]&gt;=VLOOKUP(표1[[#This Row],[CAS No.]],[1]규제DB_유해법_사고대비물질!$B:$J,4,FALSE),VLOOKUP(표1[[#This Row],[CAS No.]],[1]규제DB_유해법_사고대비물질!$B$2:$J$70,8,FALSE),""),"")</f>
        <v/>
      </c>
      <c r="BC22" s="17" t="str">
        <f>IFERROR(IF(표1[[#This Row],[함량(W%)]]&gt;=VLOOKUP(표1[[#This Row],[CAS No.]],[1]규제DB_유해법_사고대비물질!$B:$J,4,FALSE),VLOOKUP(표1[[#This Row],[CAS No.]],[1]규제DB_유해법_사고대비물질!$B$2:$J$70,9,FALSE),""),"")</f>
        <v/>
      </c>
      <c r="BD22" s="18" t="str">
        <f>IFERROR(IF(표1[[#This Row],[함량(W%)]]&gt;=VLOOKUP(표1[[#This Row],[CAS No.]],'[1]규제DB_유해법_배출량조사 I'!$B:$D,3,FALSE),IF(VLOOKUP(표1[[#This Row],[CAS No.]],[1]기초자료!$A:$C,3,FALSE)&gt;=1000,"배출량조사 I 물질",""),""),"")</f>
        <v/>
      </c>
      <c r="BE22" s="18"/>
      <c r="BF22" s="13" t="str">
        <f>IFERROR(IF(표1[[#This Row],[함량(W%)]]&gt;=VLOOKUP(표1[[#This Row],[CAS No.]],[1]규제DB_산안법_금지물질!$B:$E,4,FALSE), VLOOKUP(표1[[#This Row],[CAS No.]],[1]규제DB_산안법_금지물질!$B:$E,2,FALSE)&amp;" : "&amp;VLOOKUP(표1[[#This Row],[CAS No.]],[1]규제DB_산안법_금지물질!$B:$E,3,FALSE)&amp;" 인지 확인하세요",""),"")</f>
        <v/>
      </c>
      <c r="BG22" s="13" t="str">
        <f>IFERROR(IF(표1[[#This Row],[함량(W%)]]&gt;=VLOOKUP(표1[[#This Row],[CAS No.]],[1]규제DB_산안법_허가물질!$B:$E,4,FALSE), "제품 허가물질",""),"")</f>
        <v/>
      </c>
      <c r="BH22" s="13" t="str">
        <f>IFERROR(IF(표1[[#This Row],[함량(W%)]]&gt;=VLOOKUP(표1[[#This Row],[CAS No.]], [1]규제DB_산안법_특별관리물질!$B:$E,4,FALSE), "제품 특별관리물질",""),"")</f>
        <v/>
      </c>
      <c r="BI22" s="13"/>
      <c r="BJ22" s="13" t="str">
        <f>IFERROR(IF(표1[[#This Row],[CAS No.]]=VLOOKUP(표1[[#This Row],[CAS No.]], [1]규제DB_산안법_허용기준이하물질!$B:$D,1,FALSE),"제품 허용기준이하물질",""),"")</f>
        <v/>
      </c>
      <c r="BK22" s="13" t="str">
        <f>IFERROR(VLOOKUP(표1[[#This Row],[CAS No.]], [1]규제DB_산안법_허용기준이하물질!$B:$D,3,FALSE),"")</f>
        <v/>
      </c>
      <c r="BL22" s="13"/>
      <c r="BM22" s="13"/>
      <c r="BN22" s="13"/>
      <c r="BO22" s="13"/>
      <c r="BP22" s="13"/>
      <c r="BQ22" s="13" t="str">
        <f>IFERROR(VLOOKUP(표1[[#This Row],[CAS No.]], [1]규제DB_산안법_노출기준설정물질!$B:$K,8,FALSE),"")</f>
        <v/>
      </c>
      <c r="BR22" s="13" t="str">
        <f>IFERROR(VLOOKUP(표1[[#This Row],[CAS No.]], [1]규제DB_산안법_노출기준설정물질!$B:$K,9,FALSE),"")</f>
        <v/>
      </c>
      <c r="BS22" s="13" t="str">
        <f>IFERROR(VLOOKUP(표1[[#This Row],[CAS No.]], [1]규제DB_산안법_노출기준설정물질!$B:$K,10,FALSE),"")</f>
        <v/>
      </c>
      <c r="BT22" s="13" t="str">
        <f>IFERROR(IF(표1[[#This Row],[함량(W%)]]&gt;=VLOOKUP(표1[[#This Row],[CAS No.]], [1]규제DB_산안법_작업환경측정대상유해인자!$B:$F,5,FALSE), "제품 작업환경측정대상유해인자",""),"")</f>
        <v/>
      </c>
      <c r="BU22" s="13" t="str">
        <f>IFERROR(IF(표1[[#This Row],[CAS No.]]=VLOOKUP(표1[[#This Row],[CAS No.]], [1]규제DB_산안법_특수건강진단대상유해인자!$B:$C,1,FALSE), "제품 특수건강진단대상유해인자",""),"")</f>
        <v/>
      </c>
      <c r="BV22" s="13" t="str">
        <f>IFERROR(IF(VLOOKUP(표1[[#This Row],[CAS No.]],[1]규제DB_고용노동부고시_CMR!$B:$J,3,FALSE)="구분1A", IF(표1[[#This Row],[함량(W%)]]&gt;=VLOOKUP(표1[[#This Row],[CAS No.]],[1]규제DB_고용노동부고시_CMR!$B:$J,4,FALSE),"제품 발암성물질",""), IF(VLOOKUP(표1[[#This Row],[CAS No.]],[1]규제DB_고용노동부고시_CMR!$B:$J,3,FALSE)="구분1B", IF(표1[[#This Row],[함량(W%)]]&gt;=VLOOKUP(표1[[#This Row],[CAS No.]],[1]규제DB_고용노동부고시_CMR!$B:$J,4,FALSE),"제품 발암성물질",""), IF(VLOOKUP(표1[[#This Row],[CAS No.]],[1]규제DB_고용노동부고시_CMR!$B:$J,3,FALSE)="구분2", IF(표1[[#This Row],[함량(W%)]]&gt;=VLOOKUP(표1[[#This Row],[CAS No.]],[1]규제DB_고용노동부고시_CMR!$B:$J,4,FALSE),"제품 발암성물질",""),""))),"")</f>
        <v/>
      </c>
      <c r="BW22" s="13" t="str">
        <f>IFERROR(IF(VLOOKUP(표1[[#This Row],[CAS No.]],[1]규제DB_고용노동부고시_CMR!$B:$J,5,FALSE)="구분1A", IF(표1[[#This Row],[함량(W%)]]&gt;=VLOOKUP(표1[[#This Row],[CAS No.]],[1]규제DB_고용노동부고시_CMR!$B:$J,6,FALSE),"제품 생식세포변이원성물질",""), IF(VLOOKUP(표1[[#This Row],[CAS No.]],[1]규제DB_고용노동부고시_CMR!$B:$J,5,FALSE)="구분1B", IF(표1[[#This Row],[함량(W%)]]&gt;=VLOOKUP(표1[[#This Row],[CAS No.]],[1]규제DB_고용노동부고시_CMR!$B:$J,6,FALSE),"제품 생식세포변이원성물질",""), IF(VLOOKUP(표1[[#This Row],[CAS No.]],[1]규제DB_고용노동부고시_CMR!$B:$J,5,FALSE)="구분2", IF(표1[[#This Row],[함량(W%)]]&gt;=VLOOKUP(표1[[#This Row],[CAS No.]],[1]규제DB_고용노동부고시_CMR!$B:$J,6,FALSE),"제품 생식세포변이원성물질",""),""))),"")</f>
        <v/>
      </c>
      <c r="BX22" s="13" t="str">
        <f>IFERROR(IF(VLOOKUP(표1[[#This Row],[CAS No.]],[1]규제DB_고용노동부고시_CMR!$B:$J,7,FALSE)="구분1A", IF(표1[[#This Row],[함량(W%)]]&gt;=VLOOKUP(표1[[#This Row],[CAS No.]],[1]규제DB_고용노동부고시_CMR!$B:$J,8,FALSE),"제품 생식독성물질",""), IF(VLOOKUP(표1[[#This Row],[CAS No.]],[1]규제DB_고용노동부고시_CMR!$B:$J,7,FALSE)="구분1B", IF(표1[[#This Row],[함량(W%)]]&gt;=VLOOKUP(표1[[#This Row],[CAS No.]],[1]규제DB_고용노동부고시_CMR!$B:$J,8,FALSE),"제품 생식독성물질",""), IF(VLOOKUP(표1[[#This Row],[CAS No.]],[1]규제DB_고용노동부고시_CMR!$B:$J,7,FALSE)="구분2", IF(표1[[#This Row],[함량(W%)]]&gt;=VLOOKUP(표1[[#This Row],[CAS No.]],[1]규제DB_고용노동부고시_CMR!$B:$J,8,FALSE),"제품 생식독성물질",""),""))),"")</f>
        <v/>
      </c>
      <c r="BY22" s="13" t="str">
        <f>IFERROR(VLOOKUP(표1[[#This Row],[CAS No.]],[1]규제DB_위험물안전관리법_위험물!$B:$F,3,FALSE),"")</f>
        <v/>
      </c>
      <c r="BZ22" s="13" t="str">
        <f>IFERROR(IF(표1[[#This Row],[CAS No.]]=VLOOKUP(표1[[#This Row],[CAS No.]],[1]규제DB_고압법_독성가스!$B:$D,1,FALSE),"독성가스",""),"")</f>
        <v/>
      </c>
      <c r="CA22" s="13" t="str">
        <f>IFERROR(IF(표1[[#This Row],[CAS No.]]=VLOOKUP(표1[[#This Row],[CAS No.]],[1]규제DB_고압법_가연성가스!$B:$D,1,FALSE),"가연성가스",""),"")</f>
        <v/>
      </c>
      <c r="CB22" s="13" t="str">
        <f>IFERROR(IF(표1[[#This Row],[CAS No.]]=VLOOKUP(표1[[#This Row],[CAS No.]],[1]규제DB_고압법_특수고압가스!$B:$D,1,FALSE),"특수고압가스",""),"")</f>
        <v/>
      </c>
      <c r="CC22" s="13" t="str">
        <f>IFERROR(IF(표1[[#This Row],[CAS No.]]=VLOOKUP(표1[[#This Row],[CAS No.]],[1]규제DB_고압법_특정고압가스!$B:$D,1,FALSE),"특정고압가스",""),"")</f>
        <v/>
      </c>
      <c r="CD22" s="13" t="str">
        <f>IFERROR(IF(표1[[#This Row],[함량(W%)]]&gt;=VLOOKUP(표1[[#This Row],[CAS No.]],[1]규제DB_화관법_개별취급기준!$B:$G,5,FALSE),VLOOKUP(표1[[#This Row],[CAS No.]],[1]규제DB_화관법_개별취급기준!$B:$G,6,FALSE),""),"")</f>
        <v/>
      </c>
    </row>
    <row r="23" spans="1:82" ht="27.95" customHeight="1">
      <c r="A23" s="13">
        <v>22</v>
      </c>
      <c r="B23" s="2"/>
      <c r="C23" s="3" t="s">
        <v>103</v>
      </c>
      <c r="D23" s="4"/>
      <c r="E23" s="50" t="s">
        <v>113</v>
      </c>
      <c r="F23" s="3" t="s">
        <v>77</v>
      </c>
      <c r="G23" s="5" t="s">
        <v>78</v>
      </c>
      <c r="H23" s="3" t="s">
        <v>79</v>
      </c>
      <c r="I23" s="50" t="s">
        <v>102</v>
      </c>
      <c r="J23" s="3" t="s">
        <v>166</v>
      </c>
      <c r="K23" s="3" t="s">
        <v>166</v>
      </c>
      <c r="L23" s="3"/>
      <c r="M23" s="5" t="s">
        <v>80</v>
      </c>
      <c r="N23" s="5" t="s">
        <v>179</v>
      </c>
      <c r="O23" s="53" t="s">
        <v>81</v>
      </c>
      <c r="P23" s="55" t="s">
        <v>98</v>
      </c>
      <c r="Q23" s="54">
        <v>18</v>
      </c>
      <c r="R23" s="6">
        <v>18</v>
      </c>
      <c r="S23" s="17"/>
      <c r="T23" s="17"/>
      <c r="U23" s="6">
        <v>18</v>
      </c>
      <c r="V23" s="6">
        <v>18</v>
      </c>
      <c r="W23" s="8" t="str">
        <f>표1[[#This Row],[자재코드]]&amp;"_"&amp;표1[[#This Row],[자재명]]&amp;"_"&amp;표1[[#This Row],[공급업체명]]</f>
        <v>_NEW BEST ONE-QS_한국특수잉크공업</v>
      </c>
      <c r="X23" s="51" t="s">
        <v>146</v>
      </c>
      <c r="Y23" s="13"/>
      <c r="Z23" s="13"/>
      <c r="AA23" s="13"/>
      <c r="AB23" s="50">
        <v>4</v>
      </c>
      <c r="AC23" s="20" t="s">
        <v>86</v>
      </c>
      <c r="AD23" s="9" t="s">
        <v>83</v>
      </c>
      <c r="AE23" s="10" t="s">
        <v>84</v>
      </c>
      <c r="AF23" s="10" t="s">
        <v>84</v>
      </c>
      <c r="AG23" s="11"/>
      <c r="AH23" s="50" t="s">
        <v>192</v>
      </c>
      <c r="AI23" s="12">
        <f>IFERROR(표1[[#This Row],[사용량(kg)]]*표1[[#This Row],[함량(W%)]]/100,"")</f>
        <v>0.72</v>
      </c>
      <c r="AJ23" s="13"/>
      <c r="AK23" s="13"/>
      <c r="AL23" s="14"/>
      <c r="AM23" s="15"/>
      <c r="AN23" s="13"/>
      <c r="AO23" s="13"/>
      <c r="AP23" s="13"/>
      <c r="AQ23" s="13"/>
      <c r="AR23" s="13" t="str">
        <f>IFERROR(IF(표1[[#This Row],[함량(W%)]]&gt;=VLOOKUP(표1[[#This Row],[CAS No.]],[1]규제DB_유해법_유독물!B:F,5,FALSE),"유독물질 제품",""),"")</f>
        <v/>
      </c>
      <c r="AS23" s="13" t="str">
        <f>IFERROR(VLOOKUP(표1[[#This Row],[CAS No.]],[1]규제DB_유해법_금지물질!B:G,3,FALSE),"")</f>
        <v/>
      </c>
      <c r="AT23" s="13" t="str">
        <f>IFERROR(VLOOKUP(표1[[#This Row],[CAS No.]],[1]규제DB_유해법_금지물질!B:G,4,FALSE)&amp;" 인지 확인하세요","")</f>
        <v/>
      </c>
      <c r="AU23" s="13" t="str">
        <f>IFERROR(VLOOKUP(표1[[#This Row],[CAS No.]],[1]규제DB_유해법_제한물질!B:G,3,FALSE),"")</f>
        <v/>
      </c>
      <c r="AV23" s="13" t="str">
        <f>IFERROR(IF(표1[[#This Row],[함량(W%)]]&gt;=VLOOKUP(표1[[#This Row],[CAS No.]],[1]규제DB_유해법_제한물질!$B:$G,5,FALSE),"제한 제품",""),"")</f>
        <v/>
      </c>
      <c r="AW23" s="13" t="str">
        <f>IFERROR(VLOOKUP(표1[[#This Row],[CAS No.]],[1]규제DB_유해법_사고대비물질!B:J,2,FALSE),"")</f>
        <v/>
      </c>
      <c r="AX23" s="13" t="str">
        <f>IFERROR(IF(표1[[#This Row],[함량(W%)]]&gt;=VLOOKUP(표1[[#This Row],[CAS No.]],[1]규제DB_유해법_사고대비물질!$B:$J,4,FALSE),"사고대비물질 제품",""),"")</f>
        <v/>
      </c>
      <c r="AY23" s="16" t="str">
        <f>IFERROR(VLOOKUP(표1[[#This Row],[CAS No.]],[1]규제DB_유해법_사고대비물질!$B:$J,5,FALSE),"")</f>
        <v/>
      </c>
      <c r="AZ23" s="16" t="str">
        <f>IFERROR(VLOOKUP(표1[[#This Row],[CAS No.]],[1]규제DB_유해법_사고대비물질!$B:$J,6,FALSE),"")</f>
        <v/>
      </c>
      <c r="BA23" s="17" t="str">
        <f>IFERROR(IF(표1[[#This Row],[함량(W%)]]&gt;=VLOOKUP(표1[[#This Row],[CAS No.]],[1]규제DB_유해법_사고대비물질!$B:$J,4,FALSE),VLOOKUP(표1[[#This Row],[CAS No.]],[1]규제DB_유해법_사고대비물질!$B$2:$J$70,7,FALSE),""),"")</f>
        <v/>
      </c>
      <c r="BB23" s="17" t="str">
        <f>IFERROR(IF(표1[[#This Row],[함량(W%)]]&gt;=VLOOKUP(표1[[#This Row],[CAS No.]],[1]규제DB_유해법_사고대비물질!$B:$J,4,FALSE),VLOOKUP(표1[[#This Row],[CAS No.]],[1]규제DB_유해법_사고대비물질!$B$2:$J$70,8,FALSE),""),"")</f>
        <v/>
      </c>
      <c r="BC23" s="17" t="str">
        <f>IFERROR(IF(표1[[#This Row],[함량(W%)]]&gt;=VLOOKUP(표1[[#This Row],[CAS No.]],[1]규제DB_유해법_사고대비물질!$B:$J,4,FALSE),VLOOKUP(표1[[#This Row],[CAS No.]],[1]규제DB_유해법_사고대비물질!$B$2:$J$70,9,FALSE),""),"")</f>
        <v/>
      </c>
      <c r="BD23" s="18" t="str">
        <f>IFERROR(IF(표1[[#This Row],[함량(W%)]]&gt;=VLOOKUP(표1[[#This Row],[CAS No.]],'[1]규제DB_유해법_배출량조사 I'!$B:$D,3,FALSE),IF(VLOOKUP(표1[[#This Row],[CAS No.]],[1]기초자료!$A:$C,3,FALSE)&gt;=1000,"배출량조사 I 물질",""),""),"")</f>
        <v/>
      </c>
      <c r="BE23" s="18" t="str">
        <f>IFERROR(IF(표1[[#This Row],[함량(W%)]]&gt;=VLOOKUP(표1[[#This Row],[CAS No.]],'[1]규제DB_유해법_배출량조사 II'!B:D,3,FALSE),IF(VLOOKUP(표1[[#This Row],[CAS No.]],[1]기초자료!$A:$C,3,FALSE)&gt;=10000,"배출량조사 II 물질",""),""),"")</f>
        <v/>
      </c>
      <c r="BF23" s="13" t="str">
        <f>IFERROR(IF(표1[[#This Row],[함량(W%)]]&gt;=VLOOKUP(표1[[#This Row],[CAS No.]],[1]규제DB_산안법_금지물질!$B:$E,4,FALSE), VLOOKUP(표1[[#This Row],[CAS No.]],[1]규제DB_산안법_금지물질!$B:$E,2,FALSE)&amp;" : "&amp;VLOOKUP(표1[[#This Row],[CAS No.]],[1]규제DB_산안법_금지물질!$B:$E,3,FALSE)&amp;" 인지 확인하세요",""),"")</f>
        <v/>
      </c>
      <c r="BG23" s="13" t="str">
        <f>IFERROR(IF(표1[[#This Row],[함량(W%)]]&gt;=VLOOKUP(표1[[#This Row],[CAS No.]],[1]규제DB_산안법_허가물질!$B:$E,4,FALSE), "제품 허가물질",""),"")</f>
        <v/>
      </c>
      <c r="BH23" s="13" t="str">
        <f>IFERROR(IF(표1[[#This Row],[함량(W%)]]&gt;=VLOOKUP(표1[[#This Row],[CAS No.]], [1]규제DB_산안법_특별관리물질!$B:$E,4,FALSE), "제품 특별관리물질",""),"")</f>
        <v/>
      </c>
      <c r="BI23" s="13" t="str">
        <f>IFERROR(IF(표1[[#This Row],[함량(W%)]]&gt;=VLOOKUP(표1[[#This Row],[CAS No.]], [1]규제DB_산안법_관리대상유해물질!$B:$E,4,FALSE), "제품 관리대상유해물질",""),"")</f>
        <v/>
      </c>
      <c r="BJ23" s="13" t="str">
        <f>IFERROR(IF(표1[[#This Row],[CAS No.]]=VLOOKUP(표1[[#This Row],[CAS No.]], [1]규제DB_산안법_허용기준이하물질!$B:$D,1,FALSE),"제품 허용기준이하물질",""),"")</f>
        <v/>
      </c>
      <c r="BK23" s="13" t="str">
        <f>IFERROR(VLOOKUP(표1[[#This Row],[CAS No.]], [1]규제DB_산안법_허용기준이하물질!$B:$D,3,FALSE),"")</f>
        <v/>
      </c>
      <c r="BL23" s="13"/>
      <c r="BM23" s="13"/>
      <c r="BN23" s="13"/>
      <c r="BO23" s="13"/>
      <c r="BP23" s="13"/>
      <c r="BQ23" s="13" t="str">
        <f>IFERROR(VLOOKUP(표1[[#This Row],[CAS No.]], [1]규제DB_산안법_노출기준설정물질!$B:$K,8,FALSE),"")</f>
        <v/>
      </c>
      <c r="BR23" s="13" t="str">
        <f>IFERROR(VLOOKUP(표1[[#This Row],[CAS No.]], [1]규제DB_산안법_노출기준설정물질!$B:$K,9,FALSE),"")</f>
        <v/>
      </c>
      <c r="BS23" s="13" t="str">
        <f>IFERROR(VLOOKUP(표1[[#This Row],[CAS No.]], [1]규제DB_산안법_노출기준설정물질!$B:$K,10,FALSE),"")</f>
        <v/>
      </c>
      <c r="BT23" s="13" t="str">
        <f>IFERROR(IF(표1[[#This Row],[함량(W%)]]&gt;=VLOOKUP(표1[[#This Row],[CAS No.]], [1]규제DB_산안법_작업환경측정대상유해인자!$B:$F,5,FALSE), "제품 작업환경측정대상유해인자",""),"")</f>
        <v/>
      </c>
      <c r="BU23" s="13" t="str">
        <f>IFERROR(IF(표1[[#This Row],[CAS No.]]=VLOOKUP(표1[[#This Row],[CAS No.]], [1]규제DB_산안법_특수건강진단대상유해인자!$B:$C,1,FALSE), "제품 특수건강진단대상유해인자",""),"")</f>
        <v/>
      </c>
      <c r="BV23" s="13" t="str">
        <f>IFERROR(IF(VLOOKUP(표1[[#This Row],[CAS No.]],[1]규제DB_고용노동부고시_CMR!$B:$J,3,FALSE)="구분1A", IF(표1[[#This Row],[함량(W%)]]&gt;=VLOOKUP(표1[[#This Row],[CAS No.]],[1]규제DB_고용노동부고시_CMR!$B:$J,4,FALSE),"제품 발암성물질",""), IF(VLOOKUP(표1[[#This Row],[CAS No.]],[1]규제DB_고용노동부고시_CMR!$B:$J,3,FALSE)="구분1B", IF(표1[[#This Row],[함량(W%)]]&gt;=VLOOKUP(표1[[#This Row],[CAS No.]],[1]규제DB_고용노동부고시_CMR!$B:$J,4,FALSE),"제품 발암성물질",""), IF(VLOOKUP(표1[[#This Row],[CAS No.]],[1]규제DB_고용노동부고시_CMR!$B:$J,3,FALSE)="구분2", IF(표1[[#This Row],[함량(W%)]]&gt;=VLOOKUP(표1[[#This Row],[CAS No.]],[1]규제DB_고용노동부고시_CMR!$B:$J,4,FALSE),"제품 발암성물질",""),""))),"")</f>
        <v/>
      </c>
      <c r="BW23" s="13" t="str">
        <f>IFERROR(IF(VLOOKUP(표1[[#This Row],[CAS No.]],[1]규제DB_고용노동부고시_CMR!$B:$J,5,FALSE)="구분1A", IF(표1[[#This Row],[함량(W%)]]&gt;=VLOOKUP(표1[[#This Row],[CAS No.]],[1]규제DB_고용노동부고시_CMR!$B:$J,6,FALSE),"제품 생식세포변이원성물질",""), IF(VLOOKUP(표1[[#This Row],[CAS No.]],[1]규제DB_고용노동부고시_CMR!$B:$J,5,FALSE)="구분1B", IF(표1[[#This Row],[함량(W%)]]&gt;=VLOOKUP(표1[[#This Row],[CAS No.]],[1]규제DB_고용노동부고시_CMR!$B:$J,6,FALSE),"제품 생식세포변이원성물질",""), IF(VLOOKUP(표1[[#This Row],[CAS No.]],[1]규제DB_고용노동부고시_CMR!$B:$J,5,FALSE)="구분2", IF(표1[[#This Row],[함량(W%)]]&gt;=VLOOKUP(표1[[#This Row],[CAS No.]],[1]규제DB_고용노동부고시_CMR!$B:$J,6,FALSE),"제품 생식세포변이원성물질",""),""))),"")</f>
        <v/>
      </c>
      <c r="BX23" s="13" t="str">
        <f>IFERROR(IF(VLOOKUP(표1[[#This Row],[CAS No.]],[1]규제DB_고용노동부고시_CMR!$B:$J,7,FALSE)="구분1A", IF(표1[[#This Row],[함량(W%)]]&gt;=VLOOKUP(표1[[#This Row],[CAS No.]],[1]규제DB_고용노동부고시_CMR!$B:$J,8,FALSE),"제품 생식독성물질",""), IF(VLOOKUP(표1[[#This Row],[CAS No.]],[1]규제DB_고용노동부고시_CMR!$B:$J,7,FALSE)="구분1B", IF(표1[[#This Row],[함량(W%)]]&gt;=VLOOKUP(표1[[#This Row],[CAS No.]],[1]규제DB_고용노동부고시_CMR!$B:$J,8,FALSE),"제품 생식독성물질",""), IF(VLOOKUP(표1[[#This Row],[CAS No.]],[1]규제DB_고용노동부고시_CMR!$B:$J,7,FALSE)="구분2", IF(표1[[#This Row],[함량(W%)]]&gt;=VLOOKUP(표1[[#This Row],[CAS No.]],[1]규제DB_고용노동부고시_CMR!$B:$J,8,FALSE),"제품 생식독성물질",""),""))),"")</f>
        <v/>
      </c>
      <c r="BY23" s="13" t="str">
        <f>IFERROR(VLOOKUP(표1[[#This Row],[CAS No.]],[1]규제DB_위험물안전관리법_위험물!$B:$F,3,FALSE),"")</f>
        <v/>
      </c>
      <c r="BZ23" s="13" t="str">
        <f>IFERROR(IF(표1[[#This Row],[CAS No.]]=VLOOKUP(표1[[#This Row],[CAS No.]],[1]규제DB_고압법_독성가스!$B:$D,1,FALSE),"독성가스",""),"")</f>
        <v/>
      </c>
      <c r="CA23" s="13" t="str">
        <f>IFERROR(IF(표1[[#This Row],[CAS No.]]=VLOOKUP(표1[[#This Row],[CAS No.]],[1]규제DB_고압법_가연성가스!$B:$D,1,FALSE),"가연성가스",""),"")</f>
        <v/>
      </c>
      <c r="CB23" s="13" t="str">
        <f>IFERROR(IF(표1[[#This Row],[CAS No.]]=VLOOKUP(표1[[#This Row],[CAS No.]],[1]규제DB_고압법_특수고압가스!$B:$D,1,FALSE),"특수고압가스",""),"")</f>
        <v/>
      </c>
      <c r="CC23" s="13" t="str">
        <f>IFERROR(IF(표1[[#This Row],[CAS No.]]=VLOOKUP(표1[[#This Row],[CAS No.]],[1]규제DB_고압법_특정고압가스!$B:$D,1,FALSE),"특정고압가스",""),"")</f>
        <v/>
      </c>
      <c r="CD23" s="13" t="str">
        <f>IFERROR(IF(표1[[#This Row],[함량(W%)]]&gt;=VLOOKUP(표1[[#This Row],[CAS No.]],[1]규제DB_화관법_개별취급기준!$B:$G,5,FALSE),VLOOKUP(표1[[#This Row],[CAS No.]],[1]규제DB_화관법_개별취급기준!$B:$G,6,FALSE),""),"")</f>
        <v/>
      </c>
    </row>
    <row r="24" spans="1:82" ht="51.75" customHeight="1">
      <c r="A24" s="13">
        <v>23</v>
      </c>
      <c r="B24" s="2"/>
      <c r="C24" s="3" t="s">
        <v>103</v>
      </c>
      <c r="D24" s="4"/>
      <c r="E24" s="50" t="s">
        <v>112</v>
      </c>
      <c r="F24" s="3" t="s">
        <v>77</v>
      </c>
      <c r="G24" s="5" t="s">
        <v>78</v>
      </c>
      <c r="H24" s="3" t="s">
        <v>79</v>
      </c>
      <c r="I24" s="50" t="s">
        <v>102</v>
      </c>
      <c r="J24" s="3" t="s">
        <v>166</v>
      </c>
      <c r="K24" s="3" t="s">
        <v>166</v>
      </c>
      <c r="L24" s="3"/>
      <c r="M24" s="5" t="s">
        <v>80</v>
      </c>
      <c r="N24" s="5" t="s">
        <v>179</v>
      </c>
      <c r="O24" s="53" t="s">
        <v>81</v>
      </c>
      <c r="P24" s="55" t="s">
        <v>95</v>
      </c>
      <c r="Q24" s="54">
        <v>18</v>
      </c>
      <c r="R24" s="6">
        <v>18</v>
      </c>
      <c r="S24" s="17"/>
      <c r="T24" s="17"/>
      <c r="U24" s="6">
        <v>18</v>
      </c>
      <c r="V24" s="6">
        <v>18</v>
      </c>
      <c r="W24" s="8" t="str">
        <f>표1[[#This Row],[자재코드]]&amp;"_"&amp;표1[[#This Row],[자재명]]&amp;"_"&amp;표1[[#This Row],[공급업체명]]</f>
        <v>_NEW BEST ONE SW-QS_한국특수잉크공업</v>
      </c>
      <c r="X24" s="51" t="s">
        <v>147</v>
      </c>
      <c r="Y24" s="13"/>
      <c r="Z24" s="13"/>
      <c r="AA24" s="13"/>
      <c r="AB24" s="50">
        <v>5</v>
      </c>
      <c r="AC24" s="20" t="s">
        <v>86</v>
      </c>
      <c r="AD24" s="9" t="s">
        <v>83</v>
      </c>
      <c r="AE24" s="10" t="s">
        <v>84</v>
      </c>
      <c r="AF24" s="10" t="s">
        <v>84</v>
      </c>
      <c r="AG24" s="11"/>
      <c r="AH24" s="50" t="s">
        <v>193</v>
      </c>
      <c r="AI24" s="12">
        <f>IFERROR(표1[[#This Row],[사용량(kg)]]*표1[[#This Row],[함량(W%)]]/100,"")</f>
        <v>0.9</v>
      </c>
      <c r="AJ24" s="13"/>
      <c r="AK24" s="13"/>
      <c r="AL24" s="14"/>
      <c r="AM24" s="15"/>
      <c r="AN24" s="13"/>
      <c r="AO24" s="13"/>
      <c r="AP24" s="13"/>
      <c r="AQ24" s="13"/>
      <c r="AR24" s="13" t="str">
        <f>IFERROR(IF(표1[[#This Row],[함량(W%)]]&gt;=VLOOKUP(표1[[#This Row],[CAS No.]],[1]규제DB_유해법_유독물!B:F,5,FALSE),"유독물질 제품",""),"")</f>
        <v/>
      </c>
      <c r="AS24" s="13" t="str">
        <f>IFERROR(VLOOKUP(표1[[#This Row],[CAS No.]],[1]규제DB_유해법_금지물질!B:G,3,FALSE),"")</f>
        <v/>
      </c>
      <c r="AT24" s="13" t="str">
        <f>IFERROR(VLOOKUP(표1[[#This Row],[CAS No.]],[1]규제DB_유해법_금지물질!B:G,4,FALSE)&amp;" 인지 확인하세요","")</f>
        <v/>
      </c>
      <c r="AU24" s="13" t="str">
        <f>IFERROR(VLOOKUP(표1[[#This Row],[CAS No.]],[1]규제DB_유해법_제한물질!B:G,3,FALSE),"")</f>
        <v/>
      </c>
      <c r="AV24" s="13" t="str">
        <f>IFERROR(IF(표1[[#This Row],[함량(W%)]]&gt;=VLOOKUP(표1[[#This Row],[CAS No.]],[1]규제DB_유해법_제한물질!$B:$G,5,FALSE),"제한 제품",""),"")</f>
        <v/>
      </c>
      <c r="AW24" s="13" t="str">
        <f>IFERROR(VLOOKUP(표1[[#This Row],[CAS No.]],[1]규제DB_유해법_사고대비물질!B:J,2,FALSE),"")</f>
        <v/>
      </c>
      <c r="AX24" s="13" t="str">
        <f>IFERROR(IF(표1[[#This Row],[함량(W%)]]&gt;=VLOOKUP(표1[[#This Row],[CAS No.]],[1]규제DB_유해법_사고대비물질!$B:$J,4,FALSE),"사고대비물질 제품",""),"")</f>
        <v/>
      </c>
      <c r="AY24" s="16" t="str">
        <f>IFERROR(VLOOKUP(표1[[#This Row],[CAS No.]],[1]규제DB_유해법_사고대비물질!$B:$J,5,FALSE),"")</f>
        <v/>
      </c>
      <c r="AZ24" s="16" t="str">
        <f>IFERROR(VLOOKUP(표1[[#This Row],[CAS No.]],[1]규제DB_유해법_사고대비물질!$B:$J,6,FALSE),"")</f>
        <v/>
      </c>
      <c r="BA24" s="17" t="str">
        <f>IFERROR(IF(표1[[#This Row],[함량(W%)]]&gt;=VLOOKUP(표1[[#This Row],[CAS No.]],[1]규제DB_유해법_사고대비물질!$B:$J,4,FALSE),VLOOKUP(표1[[#This Row],[CAS No.]],[1]규제DB_유해법_사고대비물질!$B$2:$J$70,7,FALSE),""),"")</f>
        <v/>
      </c>
      <c r="BB24" s="17" t="str">
        <f>IFERROR(IF(표1[[#This Row],[함량(W%)]]&gt;=VLOOKUP(표1[[#This Row],[CAS No.]],[1]규제DB_유해법_사고대비물질!$B:$J,4,FALSE),VLOOKUP(표1[[#This Row],[CAS No.]],[1]규제DB_유해법_사고대비물질!$B$2:$J$70,8,FALSE),""),"")</f>
        <v/>
      </c>
      <c r="BC24" s="17" t="str">
        <f>IFERROR(IF(표1[[#This Row],[함량(W%)]]&gt;=VLOOKUP(표1[[#This Row],[CAS No.]],[1]규제DB_유해법_사고대비물질!$B:$J,4,FALSE),VLOOKUP(표1[[#This Row],[CAS No.]],[1]규제DB_유해법_사고대비물질!$B$2:$J$70,9,FALSE),""),"")</f>
        <v/>
      </c>
      <c r="BD24" s="18" t="str">
        <f>IFERROR(IF(표1[[#This Row],[함량(W%)]]&gt;=VLOOKUP(표1[[#This Row],[CAS No.]],'[1]규제DB_유해법_배출량조사 I'!$B:$D,3,FALSE),IF(VLOOKUP(표1[[#This Row],[CAS No.]],[1]기초자료!$A:$C,3,FALSE)&gt;=1000,"배출량조사 I 물질",""),""),"")</f>
        <v/>
      </c>
      <c r="BE24" s="18"/>
      <c r="BF24" s="13" t="str">
        <f>IFERROR(IF(표1[[#This Row],[함량(W%)]]&gt;=VLOOKUP(표1[[#This Row],[CAS No.]],[1]규제DB_산안법_금지물질!$B:$E,4,FALSE), VLOOKUP(표1[[#This Row],[CAS No.]],[1]규제DB_산안법_금지물질!$B:$E,2,FALSE)&amp;" : "&amp;VLOOKUP(표1[[#This Row],[CAS No.]],[1]규제DB_산안법_금지물질!$B:$E,3,FALSE)&amp;" 인지 확인하세요",""),"")</f>
        <v/>
      </c>
      <c r="BG24" s="13" t="str">
        <f>IFERROR(IF(표1[[#This Row],[함량(W%)]]&gt;=VLOOKUP(표1[[#This Row],[CAS No.]],[1]규제DB_산안법_허가물질!$B:$E,4,FALSE), "제품 허가물질",""),"")</f>
        <v/>
      </c>
      <c r="BH24" s="13" t="str">
        <f>IFERROR(IF(표1[[#This Row],[함량(W%)]]&gt;=VLOOKUP(표1[[#This Row],[CAS No.]], [1]규제DB_산안법_특별관리물질!$B:$E,4,FALSE), "제품 특별관리물질",""),"")</f>
        <v/>
      </c>
      <c r="BI24" s="13" t="str">
        <f>IFERROR(IF(표1[[#This Row],[함량(W%)]]&gt;=VLOOKUP(표1[[#This Row],[CAS No.]], [1]규제DB_산안법_관리대상유해물질!$B:$E,4,FALSE), "제품 관리대상유해물질",""),"")</f>
        <v/>
      </c>
      <c r="BJ24" s="13" t="str">
        <f>IFERROR(IF(표1[[#This Row],[CAS No.]]=VLOOKUP(표1[[#This Row],[CAS No.]], [1]규제DB_산안법_허용기준이하물질!$B:$D,1,FALSE),"제품 허용기준이하물질",""),"")</f>
        <v/>
      </c>
      <c r="BK24" s="13" t="str">
        <f>IFERROR(VLOOKUP(표1[[#This Row],[CAS No.]], [1]규제DB_산안법_허용기준이하물질!$B:$D,3,FALSE),"")</f>
        <v/>
      </c>
      <c r="BL24" s="13"/>
      <c r="BM24" s="13" t="str">
        <f>IFERROR(VLOOKUP(표1[[#This Row],[CAS No.]], [1]규제DB_산안법_노출기준설정물질!$B:$K,3,FALSE),"")</f>
        <v/>
      </c>
      <c r="BN24" s="13" t="str">
        <f>IFERROR(VLOOKUP(표1[[#This Row],[CAS No.]], [1]규제DB_산안법_노출기준설정물질!$B:$K,4,FALSE),"")</f>
        <v/>
      </c>
      <c r="BO24" s="13" t="str">
        <f>IFERROR(VLOOKUP(표1[[#This Row],[CAS No.]], [1]규제DB_산안법_노출기준설정물질!$B:$K,5,FALSE),"")</f>
        <v/>
      </c>
      <c r="BP24" s="13" t="str">
        <f>IFERROR(VLOOKUP(표1[[#This Row],[CAS No.]], [1]규제DB_산안법_노출기준설정물질!$B:$K,7,FALSE),"")</f>
        <v/>
      </c>
      <c r="BQ24" s="13" t="str">
        <f>IFERROR(VLOOKUP(표1[[#This Row],[CAS No.]], [1]규제DB_산안법_노출기준설정물질!$B:$K,8,FALSE),"")</f>
        <v/>
      </c>
      <c r="BR24" s="13" t="str">
        <f>IFERROR(VLOOKUP(표1[[#This Row],[CAS No.]], [1]규제DB_산안법_노출기준설정물질!$B:$K,9,FALSE),"")</f>
        <v/>
      </c>
      <c r="BS24" s="13" t="str">
        <f>IFERROR(VLOOKUP(표1[[#This Row],[CAS No.]], [1]규제DB_산안법_노출기준설정물질!$B:$K,10,FALSE),"")</f>
        <v/>
      </c>
      <c r="BT24" s="13" t="str">
        <f>IFERROR(IF(표1[[#This Row],[함량(W%)]]&gt;=VLOOKUP(표1[[#This Row],[CAS No.]], [1]규제DB_산안법_작업환경측정대상유해인자!$B:$F,5,FALSE), "제품 작업환경측정대상유해인자",""),"")</f>
        <v/>
      </c>
      <c r="BU24" s="13" t="str">
        <f>IFERROR(IF(표1[[#This Row],[CAS No.]]=VLOOKUP(표1[[#This Row],[CAS No.]], [1]규제DB_산안법_특수건강진단대상유해인자!$B:$C,1,FALSE), "제품 특수건강진단대상유해인자",""),"")</f>
        <v/>
      </c>
      <c r="BV24" s="13" t="str">
        <f>IFERROR(IF(VLOOKUP(표1[[#This Row],[CAS No.]],[1]규제DB_고용노동부고시_CMR!$B:$J,3,FALSE)="구분1A", IF(표1[[#This Row],[함량(W%)]]&gt;=VLOOKUP(표1[[#This Row],[CAS No.]],[1]규제DB_고용노동부고시_CMR!$B:$J,4,FALSE),"제품 발암성물질",""), IF(VLOOKUP(표1[[#This Row],[CAS No.]],[1]규제DB_고용노동부고시_CMR!$B:$J,3,FALSE)="구분1B", IF(표1[[#This Row],[함량(W%)]]&gt;=VLOOKUP(표1[[#This Row],[CAS No.]],[1]규제DB_고용노동부고시_CMR!$B:$J,4,FALSE),"제품 발암성물질",""), IF(VLOOKUP(표1[[#This Row],[CAS No.]],[1]규제DB_고용노동부고시_CMR!$B:$J,3,FALSE)="구분2", IF(표1[[#This Row],[함량(W%)]]&gt;=VLOOKUP(표1[[#This Row],[CAS No.]],[1]규제DB_고용노동부고시_CMR!$B:$J,4,FALSE),"제품 발암성물질",""),""))),"")</f>
        <v/>
      </c>
      <c r="BW24" s="13" t="str">
        <f>IFERROR(IF(VLOOKUP(표1[[#This Row],[CAS No.]],[1]규제DB_고용노동부고시_CMR!$B:$J,5,FALSE)="구분1A", IF(표1[[#This Row],[함량(W%)]]&gt;=VLOOKUP(표1[[#This Row],[CAS No.]],[1]규제DB_고용노동부고시_CMR!$B:$J,6,FALSE),"제품 생식세포변이원성물질",""), IF(VLOOKUP(표1[[#This Row],[CAS No.]],[1]규제DB_고용노동부고시_CMR!$B:$J,5,FALSE)="구분1B", IF(표1[[#This Row],[함량(W%)]]&gt;=VLOOKUP(표1[[#This Row],[CAS No.]],[1]규제DB_고용노동부고시_CMR!$B:$J,6,FALSE),"제품 생식세포변이원성물질",""), IF(VLOOKUP(표1[[#This Row],[CAS No.]],[1]규제DB_고용노동부고시_CMR!$B:$J,5,FALSE)="구분2", IF(표1[[#This Row],[함량(W%)]]&gt;=VLOOKUP(표1[[#This Row],[CAS No.]],[1]규제DB_고용노동부고시_CMR!$B:$J,6,FALSE),"제품 생식세포변이원성물질",""),""))),"")</f>
        <v/>
      </c>
      <c r="BX24" s="13" t="str">
        <f>IFERROR(IF(VLOOKUP(표1[[#This Row],[CAS No.]],[1]규제DB_고용노동부고시_CMR!$B:$J,7,FALSE)="구분1A", IF(표1[[#This Row],[함량(W%)]]&gt;=VLOOKUP(표1[[#This Row],[CAS No.]],[1]규제DB_고용노동부고시_CMR!$B:$J,8,FALSE),"제품 생식독성물질",""), IF(VLOOKUP(표1[[#This Row],[CAS No.]],[1]규제DB_고용노동부고시_CMR!$B:$J,7,FALSE)="구분1B", IF(표1[[#This Row],[함량(W%)]]&gt;=VLOOKUP(표1[[#This Row],[CAS No.]],[1]규제DB_고용노동부고시_CMR!$B:$J,8,FALSE),"제품 생식독성물질",""), IF(VLOOKUP(표1[[#This Row],[CAS No.]],[1]규제DB_고용노동부고시_CMR!$B:$J,7,FALSE)="구분2", IF(표1[[#This Row],[함량(W%)]]&gt;=VLOOKUP(표1[[#This Row],[CAS No.]],[1]규제DB_고용노동부고시_CMR!$B:$J,8,FALSE),"제품 생식독성물질",""),""))),"")</f>
        <v/>
      </c>
      <c r="BY24" s="13" t="str">
        <f>IFERROR(VLOOKUP(표1[[#This Row],[CAS No.]],[1]규제DB_위험물안전관리법_위험물!$B:$F,3,FALSE),"")</f>
        <v/>
      </c>
      <c r="BZ24" s="13" t="str">
        <f>IFERROR(IF(표1[[#This Row],[CAS No.]]=VLOOKUP(표1[[#This Row],[CAS No.]],[1]규제DB_고압법_독성가스!$B:$D,1,FALSE),"독성가스",""),"")</f>
        <v/>
      </c>
      <c r="CA24" s="13" t="str">
        <f>IFERROR(IF(표1[[#This Row],[CAS No.]]=VLOOKUP(표1[[#This Row],[CAS No.]],[1]규제DB_고압법_가연성가스!$B:$D,1,FALSE),"가연성가스",""),"")</f>
        <v/>
      </c>
      <c r="CB24" s="13" t="str">
        <f>IFERROR(IF(표1[[#This Row],[CAS No.]]=VLOOKUP(표1[[#This Row],[CAS No.]],[1]규제DB_고압법_특수고압가스!$B:$D,1,FALSE),"특수고압가스",""),"")</f>
        <v/>
      </c>
      <c r="CC24" s="13" t="str">
        <f>IFERROR(IF(표1[[#This Row],[CAS No.]]=VLOOKUP(표1[[#This Row],[CAS No.]],[1]규제DB_고압법_특정고압가스!$B:$D,1,FALSE),"특정고압가스",""),"")</f>
        <v/>
      </c>
      <c r="CD24" s="13" t="str">
        <f>IFERROR(IF(표1[[#This Row],[함량(W%)]]&gt;=VLOOKUP(표1[[#This Row],[CAS No.]],[1]규제DB_화관법_개별취급기준!$B:$G,5,FALSE),VLOOKUP(표1[[#This Row],[CAS No.]],[1]규제DB_화관법_개별취급기준!$B:$G,6,FALSE),""),"")</f>
        <v/>
      </c>
    </row>
    <row r="25" spans="1:82" ht="27.95" customHeight="1">
      <c r="A25" s="13">
        <v>24</v>
      </c>
      <c r="B25" s="2"/>
      <c r="C25" s="3" t="s">
        <v>103</v>
      </c>
      <c r="D25" s="4"/>
      <c r="E25" s="50" t="s">
        <v>112</v>
      </c>
      <c r="F25" s="3" t="s">
        <v>77</v>
      </c>
      <c r="G25" s="5" t="s">
        <v>78</v>
      </c>
      <c r="H25" s="3" t="s">
        <v>79</v>
      </c>
      <c r="I25" s="50" t="s">
        <v>102</v>
      </c>
      <c r="J25" s="3" t="s">
        <v>166</v>
      </c>
      <c r="K25" s="3" t="s">
        <v>166</v>
      </c>
      <c r="L25" s="3"/>
      <c r="M25" s="5" t="s">
        <v>80</v>
      </c>
      <c r="N25" s="5" t="s">
        <v>179</v>
      </c>
      <c r="O25" s="53" t="s">
        <v>81</v>
      </c>
      <c r="P25" s="55" t="s">
        <v>95</v>
      </c>
      <c r="Q25" s="54">
        <v>18</v>
      </c>
      <c r="R25" s="6">
        <v>18</v>
      </c>
      <c r="S25" s="17"/>
      <c r="T25" s="17"/>
      <c r="U25" s="6">
        <v>18</v>
      </c>
      <c r="V25" s="6">
        <v>18</v>
      </c>
      <c r="W25" s="8" t="str">
        <f>표1[[#This Row],[자재코드]]&amp;"_"&amp;표1[[#This Row],[자재명]]&amp;"_"&amp;표1[[#This Row],[공급업체명]]</f>
        <v>_NEW BEST ONE SW-QS_한국특수잉크공업</v>
      </c>
      <c r="X25" s="51" t="s">
        <v>148</v>
      </c>
      <c r="Y25" s="13"/>
      <c r="Z25" s="13"/>
      <c r="AA25" s="13"/>
      <c r="AB25" s="50">
        <v>15</v>
      </c>
      <c r="AC25" s="20" t="s">
        <v>86</v>
      </c>
      <c r="AD25" s="9" t="s">
        <v>83</v>
      </c>
      <c r="AE25" s="10" t="s">
        <v>84</v>
      </c>
      <c r="AF25" s="10" t="s">
        <v>84</v>
      </c>
      <c r="AG25" s="11"/>
      <c r="AH25" s="50" t="s">
        <v>194</v>
      </c>
      <c r="AI25" s="12">
        <f>IFERROR(표1[[#This Row],[사용량(kg)]]*표1[[#This Row],[함량(W%)]]/100,"")</f>
        <v>2.7</v>
      </c>
      <c r="AJ25" s="13"/>
      <c r="AK25" s="13"/>
      <c r="AL25" s="14"/>
      <c r="AM25" s="15"/>
      <c r="AN25" s="13"/>
      <c r="AO25" s="13"/>
      <c r="AP25" s="13"/>
      <c r="AQ25" s="13"/>
      <c r="AR25" s="13" t="str">
        <f>IFERROR(IF(표1[[#This Row],[함량(W%)]]&gt;=VLOOKUP(표1[[#This Row],[CAS No.]],[1]규제DB_유해법_유독물!B:F,5,FALSE),"유독물질 제품",""),"")</f>
        <v/>
      </c>
      <c r="AS25" s="13" t="str">
        <f>IFERROR(VLOOKUP(표1[[#This Row],[CAS No.]],[1]규제DB_유해법_금지물질!B:G,3,FALSE),"")</f>
        <v/>
      </c>
      <c r="AT25" s="13" t="str">
        <f>IFERROR(VLOOKUP(표1[[#This Row],[CAS No.]],[1]규제DB_유해법_금지물질!B:G,4,FALSE)&amp;" 인지 확인하세요","")</f>
        <v/>
      </c>
      <c r="AU25" s="13" t="str">
        <f>IFERROR(VLOOKUP(표1[[#This Row],[CAS No.]],[1]규제DB_유해법_제한물질!B:G,3,FALSE),"")</f>
        <v/>
      </c>
      <c r="AV25" s="13" t="str">
        <f>IFERROR(IF(표1[[#This Row],[함량(W%)]]&gt;=VLOOKUP(표1[[#This Row],[CAS No.]],[1]규제DB_유해법_제한물질!$B:$G,5,FALSE),"제한 제품",""),"")</f>
        <v/>
      </c>
      <c r="AW25" s="13" t="str">
        <f>IFERROR(VLOOKUP(표1[[#This Row],[CAS No.]],[1]규제DB_유해법_사고대비물질!B:J,2,FALSE),"")</f>
        <v/>
      </c>
      <c r="AX25" s="13" t="str">
        <f>IFERROR(IF(표1[[#This Row],[함량(W%)]]&gt;=VLOOKUP(표1[[#This Row],[CAS No.]],[1]규제DB_유해법_사고대비물질!$B:$J,4,FALSE),"사고대비물질 제품",""),"")</f>
        <v/>
      </c>
      <c r="AY25" s="16" t="str">
        <f>IFERROR(VLOOKUP(표1[[#This Row],[CAS No.]],[1]규제DB_유해법_사고대비물질!$B:$J,5,FALSE),"")</f>
        <v/>
      </c>
      <c r="AZ25" s="16" t="str">
        <f>IFERROR(VLOOKUP(표1[[#This Row],[CAS No.]],[1]규제DB_유해법_사고대비물질!$B:$J,6,FALSE),"")</f>
        <v/>
      </c>
      <c r="BA25" s="17" t="str">
        <f>IFERROR(IF(표1[[#This Row],[함량(W%)]]&gt;=VLOOKUP(표1[[#This Row],[CAS No.]],[1]규제DB_유해법_사고대비물질!$B:$J,4,FALSE),VLOOKUP(표1[[#This Row],[CAS No.]],[1]규제DB_유해법_사고대비물질!$B$2:$J$70,7,FALSE),""),"")</f>
        <v/>
      </c>
      <c r="BB25" s="17" t="str">
        <f>IFERROR(IF(표1[[#This Row],[함량(W%)]]&gt;=VLOOKUP(표1[[#This Row],[CAS No.]],[1]규제DB_유해법_사고대비물질!$B:$J,4,FALSE),VLOOKUP(표1[[#This Row],[CAS No.]],[1]규제DB_유해법_사고대비물질!$B$2:$J$70,8,FALSE),""),"")</f>
        <v/>
      </c>
      <c r="BC25" s="17" t="str">
        <f>IFERROR(IF(표1[[#This Row],[함량(W%)]]&gt;=VLOOKUP(표1[[#This Row],[CAS No.]],[1]규제DB_유해법_사고대비물질!$B:$J,4,FALSE),VLOOKUP(표1[[#This Row],[CAS No.]],[1]규제DB_유해법_사고대비물질!$B$2:$J$70,9,FALSE),""),"")</f>
        <v/>
      </c>
      <c r="BD25" s="18" t="str">
        <f>IFERROR(IF(표1[[#This Row],[함량(W%)]]&gt;=VLOOKUP(표1[[#This Row],[CAS No.]],'[1]규제DB_유해법_배출량조사 I'!$B:$D,3,FALSE),IF(VLOOKUP(표1[[#This Row],[CAS No.]],[1]기초자료!$A:$C,3,FALSE)&gt;=1000,"배출량조사 I 물질",""),""),"")</f>
        <v/>
      </c>
      <c r="BE25" s="18"/>
      <c r="BF25" s="13" t="str">
        <f>IFERROR(IF(표1[[#This Row],[함량(W%)]]&gt;=VLOOKUP(표1[[#This Row],[CAS No.]],[1]규제DB_산안법_금지물질!$B:$E,4,FALSE), VLOOKUP(표1[[#This Row],[CAS No.]],[1]규제DB_산안법_금지물질!$B:$E,2,FALSE)&amp;" : "&amp;VLOOKUP(표1[[#This Row],[CAS No.]],[1]규제DB_산안법_금지물질!$B:$E,3,FALSE)&amp;" 인지 확인하세요",""),"")</f>
        <v/>
      </c>
      <c r="BG25" s="13" t="str">
        <f>IFERROR(IF(표1[[#This Row],[함량(W%)]]&gt;=VLOOKUP(표1[[#This Row],[CAS No.]],[1]규제DB_산안법_허가물질!$B:$E,4,FALSE), "제품 허가물질",""),"")</f>
        <v/>
      </c>
      <c r="BH25" s="13" t="str">
        <f>IFERROR(IF(표1[[#This Row],[함량(W%)]]&gt;=VLOOKUP(표1[[#This Row],[CAS No.]], [1]규제DB_산안법_특별관리물질!$B:$E,4,FALSE), "제품 특별관리물질",""),"")</f>
        <v/>
      </c>
      <c r="BI25" s="13" t="str">
        <f>IFERROR(IF(표1[[#This Row],[함량(W%)]]&gt;=VLOOKUP(표1[[#This Row],[CAS No.]], [1]규제DB_산안법_관리대상유해물질!$B:$E,4,FALSE), "제품 관리대상유해물질",""),"")</f>
        <v/>
      </c>
      <c r="BJ25" s="13" t="str">
        <f>IFERROR(IF(표1[[#This Row],[CAS No.]]=VLOOKUP(표1[[#This Row],[CAS No.]], [1]규제DB_산안법_허용기준이하물질!$B:$D,1,FALSE),"제품 허용기준이하물질",""),"")</f>
        <v/>
      </c>
      <c r="BK25" s="13" t="str">
        <f>IFERROR(VLOOKUP(표1[[#This Row],[CAS No.]], [1]규제DB_산안법_허용기준이하물질!$B:$D,3,FALSE),"")</f>
        <v/>
      </c>
      <c r="BL25" s="13"/>
      <c r="BM25" s="13" t="str">
        <f>IFERROR(VLOOKUP(표1[[#This Row],[CAS No.]], [1]규제DB_산안법_노출기준설정물질!$B:$K,3,FALSE),"")</f>
        <v/>
      </c>
      <c r="BN25" s="13" t="str">
        <f>IFERROR(VLOOKUP(표1[[#This Row],[CAS No.]], [1]규제DB_산안법_노출기준설정물질!$B:$K,4,FALSE),"")</f>
        <v/>
      </c>
      <c r="BO25" s="13" t="str">
        <f>IFERROR(VLOOKUP(표1[[#This Row],[CAS No.]], [1]규제DB_산안법_노출기준설정물질!$B:$K,5,FALSE),"")</f>
        <v/>
      </c>
      <c r="BP25" s="13" t="str">
        <f>IFERROR(VLOOKUP(표1[[#This Row],[CAS No.]], [1]규제DB_산안법_노출기준설정물질!$B:$K,7,FALSE),"")</f>
        <v/>
      </c>
      <c r="BQ25" s="13" t="str">
        <f>IFERROR(VLOOKUP(표1[[#This Row],[CAS No.]], [1]규제DB_산안법_노출기준설정물질!$B:$K,8,FALSE),"")</f>
        <v/>
      </c>
      <c r="BR25" s="13" t="str">
        <f>IFERROR(VLOOKUP(표1[[#This Row],[CAS No.]], [1]규제DB_산안법_노출기준설정물질!$B:$K,9,FALSE),"")</f>
        <v/>
      </c>
      <c r="BS25" s="13" t="str">
        <f>IFERROR(VLOOKUP(표1[[#This Row],[CAS No.]], [1]규제DB_산안법_노출기준설정물질!$B:$K,10,FALSE),"")</f>
        <v/>
      </c>
      <c r="BT25" s="13" t="str">
        <f>IFERROR(IF(표1[[#This Row],[함량(W%)]]&gt;=VLOOKUP(표1[[#This Row],[CAS No.]], [1]규제DB_산안법_작업환경측정대상유해인자!$B:$F,5,FALSE), "제품 작업환경측정대상유해인자",""),"")</f>
        <v/>
      </c>
      <c r="BU25" s="13" t="str">
        <f>IFERROR(IF(표1[[#This Row],[CAS No.]]=VLOOKUP(표1[[#This Row],[CAS No.]], [1]규제DB_산안법_특수건강진단대상유해인자!$B:$C,1,FALSE), "제품 특수건강진단대상유해인자",""),"")</f>
        <v/>
      </c>
      <c r="BV25" s="13" t="str">
        <f>IFERROR(IF(VLOOKUP(표1[[#This Row],[CAS No.]],[1]규제DB_고용노동부고시_CMR!$B:$J,3,FALSE)="구분1A", IF(표1[[#This Row],[함량(W%)]]&gt;=VLOOKUP(표1[[#This Row],[CAS No.]],[1]규제DB_고용노동부고시_CMR!$B:$J,4,FALSE),"제품 발암성물질",""), IF(VLOOKUP(표1[[#This Row],[CAS No.]],[1]규제DB_고용노동부고시_CMR!$B:$J,3,FALSE)="구분1B", IF(표1[[#This Row],[함량(W%)]]&gt;=VLOOKUP(표1[[#This Row],[CAS No.]],[1]규제DB_고용노동부고시_CMR!$B:$J,4,FALSE),"제품 발암성물질",""), IF(VLOOKUP(표1[[#This Row],[CAS No.]],[1]규제DB_고용노동부고시_CMR!$B:$J,3,FALSE)="구분2", IF(표1[[#This Row],[함량(W%)]]&gt;=VLOOKUP(표1[[#This Row],[CAS No.]],[1]규제DB_고용노동부고시_CMR!$B:$J,4,FALSE),"제품 발암성물질",""),""))),"")</f>
        <v/>
      </c>
      <c r="BW25" s="13" t="str">
        <f>IFERROR(IF(VLOOKUP(표1[[#This Row],[CAS No.]],[1]규제DB_고용노동부고시_CMR!$B:$J,5,FALSE)="구분1A", IF(표1[[#This Row],[함량(W%)]]&gt;=VLOOKUP(표1[[#This Row],[CAS No.]],[1]규제DB_고용노동부고시_CMR!$B:$J,6,FALSE),"제품 생식세포변이원성물질",""), IF(VLOOKUP(표1[[#This Row],[CAS No.]],[1]규제DB_고용노동부고시_CMR!$B:$J,5,FALSE)="구분1B", IF(표1[[#This Row],[함량(W%)]]&gt;=VLOOKUP(표1[[#This Row],[CAS No.]],[1]규제DB_고용노동부고시_CMR!$B:$J,6,FALSE),"제품 생식세포변이원성물질",""), IF(VLOOKUP(표1[[#This Row],[CAS No.]],[1]규제DB_고용노동부고시_CMR!$B:$J,5,FALSE)="구분2", IF(표1[[#This Row],[함량(W%)]]&gt;=VLOOKUP(표1[[#This Row],[CAS No.]],[1]규제DB_고용노동부고시_CMR!$B:$J,6,FALSE),"제품 생식세포변이원성물질",""),""))),"")</f>
        <v/>
      </c>
      <c r="BX25" s="13" t="str">
        <f>IFERROR(IF(VLOOKUP(표1[[#This Row],[CAS No.]],[1]규제DB_고용노동부고시_CMR!$B:$J,7,FALSE)="구분1A", IF(표1[[#This Row],[함량(W%)]]&gt;=VLOOKUP(표1[[#This Row],[CAS No.]],[1]규제DB_고용노동부고시_CMR!$B:$J,8,FALSE),"제품 생식독성물질",""), IF(VLOOKUP(표1[[#This Row],[CAS No.]],[1]규제DB_고용노동부고시_CMR!$B:$J,7,FALSE)="구분1B", IF(표1[[#This Row],[함량(W%)]]&gt;=VLOOKUP(표1[[#This Row],[CAS No.]],[1]규제DB_고용노동부고시_CMR!$B:$J,8,FALSE),"제품 생식독성물질",""), IF(VLOOKUP(표1[[#This Row],[CAS No.]],[1]규제DB_고용노동부고시_CMR!$B:$J,7,FALSE)="구분2", IF(표1[[#This Row],[함량(W%)]]&gt;=VLOOKUP(표1[[#This Row],[CAS No.]],[1]규제DB_고용노동부고시_CMR!$B:$J,8,FALSE),"제품 생식독성물질",""),""))),"")</f>
        <v/>
      </c>
      <c r="BY25" s="13" t="str">
        <f>IFERROR(VLOOKUP(표1[[#This Row],[CAS No.]],[1]규제DB_위험물안전관리법_위험물!$B:$F,3,FALSE),"")</f>
        <v/>
      </c>
      <c r="BZ25" s="13" t="str">
        <f>IFERROR(IF(표1[[#This Row],[CAS No.]]=VLOOKUP(표1[[#This Row],[CAS No.]],[1]규제DB_고압법_독성가스!$B:$D,1,FALSE),"독성가스",""),"")</f>
        <v/>
      </c>
      <c r="CA25" s="13" t="str">
        <f>IFERROR(IF(표1[[#This Row],[CAS No.]]=VLOOKUP(표1[[#This Row],[CAS No.]],[1]규제DB_고압법_가연성가스!$B:$D,1,FALSE),"가연성가스",""),"")</f>
        <v/>
      </c>
      <c r="CB25" s="13" t="str">
        <f>IFERROR(IF(표1[[#This Row],[CAS No.]]=VLOOKUP(표1[[#This Row],[CAS No.]],[1]규제DB_고압법_특수고압가스!$B:$D,1,FALSE),"특수고압가스",""),"")</f>
        <v/>
      </c>
      <c r="CC25" s="13" t="str">
        <f>IFERROR(IF(표1[[#This Row],[CAS No.]]=VLOOKUP(표1[[#This Row],[CAS No.]],[1]규제DB_고압법_특정고압가스!$B:$D,1,FALSE),"특정고압가스",""),"")</f>
        <v/>
      </c>
      <c r="CD25" s="13" t="str">
        <f>IFERROR(IF(표1[[#This Row],[함량(W%)]]&gt;=VLOOKUP(표1[[#This Row],[CAS No.]],[1]규제DB_화관법_개별취급기준!$B:$G,5,FALSE),VLOOKUP(표1[[#This Row],[CAS No.]],[1]규제DB_화관법_개별취급기준!$B:$G,6,FALSE),""),"")</f>
        <v/>
      </c>
    </row>
    <row r="26" spans="1:82" ht="27.95" customHeight="1">
      <c r="A26" s="13">
        <v>25</v>
      </c>
      <c r="B26" s="2"/>
      <c r="C26" s="3" t="s">
        <v>103</v>
      </c>
      <c r="D26" s="4"/>
      <c r="E26" s="50" t="s">
        <v>112</v>
      </c>
      <c r="F26" s="3" t="s">
        <v>77</v>
      </c>
      <c r="G26" s="5" t="s">
        <v>78</v>
      </c>
      <c r="H26" s="3" t="s">
        <v>79</v>
      </c>
      <c r="I26" s="50" t="s">
        <v>102</v>
      </c>
      <c r="J26" s="3" t="s">
        <v>166</v>
      </c>
      <c r="K26" s="3" t="s">
        <v>166</v>
      </c>
      <c r="L26" s="3"/>
      <c r="M26" s="5" t="s">
        <v>80</v>
      </c>
      <c r="N26" s="5" t="s">
        <v>179</v>
      </c>
      <c r="O26" s="53" t="s">
        <v>81</v>
      </c>
      <c r="P26" s="55" t="s">
        <v>95</v>
      </c>
      <c r="Q26" s="54">
        <v>18</v>
      </c>
      <c r="R26" s="6">
        <v>18</v>
      </c>
      <c r="S26" s="17"/>
      <c r="T26" s="17"/>
      <c r="U26" s="6">
        <v>18</v>
      </c>
      <c r="V26" s="6">
        <v>18</v>
      </c>
      <c r="W26" s="8" t="str">
        <f>표1[[#This Row],[자재코드]]&amp;"_"&amp;표1[[#This Row],[자재명]]&amp;"_"&amp;표1[[#This Row],[공급업체명]]</f>
        <v>_NEW BEST ONE SW-QS_한국특수잉크공업</v>
      </c>
      <c r="X26" s="51" t="s">
        <v>149</v>
      </c>
      <c r="Y26" s="13"/>
      <c r="Z26" s="13"/>
      <c r="AA26" s="13"/>
      <c r="AB26" s="50">
        <v>15</v>
      </c>
      <c r="AC26" s="20" t="s">
        <v>86</v>
      </c>
      <c r="AD26" s="9" t="s">
        <v>83</v>
      </c>
      <c r="AE26" s="10" t="s">
        <v>84</v>
      </c>
      <c r="AF26" s="10" t="s">
        <v>84</v>
      </c>
      <c r="AG26" s="11"/>
      <c r="AH26" s="50" t="s">
        <v>195</v>
      </c>
      <c r="AI26" s="12">
        <f>IFERROR(표1[[#This Row],[사용량(kg)]]*표1[[#This Row],[함량(W%)]]/100,"")</f>
        <v>2.7</v>
      </c>
      <c r="AJ26" s="13"/>
      <c r="AK26" s="13"/>
      <c r="AL26" s="14"/>
      <c r="AM26" s="15"/>
      <c r="AN26" s="13"/>
      <c r="AO26" s="13"/>
      <c r="AP26" s="13"/>
      <c r="AQ26" s="13"/>
      <c r="AR26" s="13" t="str">
        <f>IFERROR(IF(표1[[#This Row],[함량(W%)]]&gt;=VLOOKUP(표1[[#This Row],[CAS No.]],[1]규제DB_유해법_유독물!B:F,5,FALSE),"유독물질 제품",""),"")</f>
        <v/>
      </c>
      <c r="AS26" s="13" t="str">
        <f>IFERROR(VLOOKUP(표1[[#This Row],[CAS No.]],[1]규제DB_유해법_금지물질!B:G,3,FALSE),"")</f>
        <v/>
      </c>
      <c r="AT26" s="13" t="str">
        <f>IFERROR(VLOOKUP(표1[[#This Row],[CAS No.]],[1]규제DB_유해법_금지물질!B:G,4,FALSE)&amp;" 인지 확인하세요","")</f>
        <v/>
      </c>
      <c r="AU26" s="13" t="str">
        <f>IFERROR(VLOOKUP(표1[[#This Row],[CAS No.]],[1]규제DB_유해법_제한물질!B:G,3,FALSE),"")</f>
        <v/>
      </c>
      <c r="AV26" s="13" t="str">
        <f>IFERROR(IF(표1[[#This Row],[함량(W%)]]&gt;=VLOOKUP(표1[[#This Row],[CAS No.]],[1]규제DB_유해법_제한물질!$B:$G,5,FALSE),"제한 제품",""),"")</f>
        <v/>
      </c>
      <c r="AW26" s="13" t="str">
        <f>IFERROR(VLOOKUP(표1[[#This Row],[CAS No.]],[1]규제DB_유해법_사고대비물질!B:J,2,FALSE),"")</f>
        <v/>
      </c>
      <c r="AX26" s="13" t="str">
        <f>IFERROR(IF(표1[[#This Row],[함량(W%)]]&gt;=VLOOKUP(표1[[#This Row],[CAS No.]],[1]규제DB_유해법_사고대비물질!$B:$J,4,FALSE),"사고대비물질 제품",""),"")</f>
        <v/>
      </c>
      <c r="AY26" s="16" t="str">
        <f>IFERROR(VLOOKUP(표1[[#This Row],[CAS No.]],[1]규제DB_유해법_사고대비물질!$B:$J,5,FALSE),"")</f>
        <v/>
      </c>
      <c r="AZ26" s="16" t="str">
        <f>IFERROR(VLOOKUP(표1[[#This Row],[CAS No.]],[1]규제DB_유해법_사고대비물질!$B:$J,6,FALSE),"")</f>
        <v/>
      </c>
      <c r="BA26" s="17" t="str">
        <f>IFERROR(IF(표1[[#This Row],[함량(W%)]]&gt;=VLOOKUP(표1[[#This Row],[CAS No.]],[1]규제DB_유해법_사고대비물질!$B:$J,4,FALSE),VLOOKUP(표1[[#This Row],[CAS No.]],[1]규제DB_유해법_사고대비물질!$B$2:$J$70,7,FALSE),""),"")</f>
        <v/>
      </c>
      <c r="BB26" s="17" t="str">
        <f>IFERROR(IF(표1[[#This Row],[함량(W%)]]&gt;=VLOOKUP(표1[[#This Row],[CAS No.]],[1]규제DB_유해법_사고대비물질!$B:$J,4,FALSE),VLOOKUP(표1[[#This Row],[CAS No.]],[1]규제DB_유해법_사고대비물질!$B$2:$J$70,8,FALSE),""),"")</f>
        <v/>
      </c>
      <c r="BC26" s="17" t="str">
        <f>IFERROR(IF(표1[[#This Row],[함량(W%)]]&gt;=VLOOKUP(표1[[#This Row],[CAS No.]],[1]규제DB_유해법_사고대비물질!$B:$J,4,FALSE),VLOOKUP(표1[[#This Row],[CAS No.]],[1]규제DB_유해법_사고대비물질!$B$2:$J$70,9,FALSE),""),"")</f>
        <v/>
      </c>
      <c r="BD26" s="18" t="str">
        <f>IFERROR(IF(표1[[#This Row],[함량(W%)]]&gt;=VLOOKUP(표1[[#This Row],[CAS No.]],'[1]규제DB_유해법_배출량조사 I'!$B:$D,3,FALSE),IF(VLOOKUP(표1[[#This Row],[CAS No.]],[1]기초자료!$A:$C,3,FALSE)&gt;=1000,"배출량조사 I 물질",""),""),"")</f>
        <v/>
      </c>
      <c r="BE26" s="18"/>
      <c r="BF26" s="13" t="str">
        <f>IFERROR(IF(표1[[#This Row],[함량(W%)]]&gt;=VLOOKUP(표1[[#This Row],[CAS No.]],[1]규제DB_산안법_금지물질!$B:$E,4,FALSE), VLOOKUP(표1[[#This Row],[CAS No.]],[1]규제DB_산안법_금지물질!$B:$E,2,FALSE)&amp;" : "&amp;VLOOKUP(표1[[#This Row],[CAS No.]],[1]규제DB_산안법_금지물질!$B:$E,3,FALSE)&amp;" 인지 확인하세요",""),"")</f>
        <v/>
      </c>
      <c r="BG26" s="13" t="str">
        <f>IFERROR(IF(표1[[#This Row],[함량(W%)]]&gt;=VLOOKUP(표1[[#This Row],[CAS No.]],[1]규제DB_산안법_허가물질!$B:$E,4,FALSE), "제품 허가물질",""),"")</f>
        <v/>
      </c>
      <c r="BH26" s="13" t="str">
        <f>IFERROR(IF(표1[[#This Row],[함량(W%)]]&gt;=VLOOKUP(표1[[#This Row],[CAS No.]], [1]규제DB_산안법_특별관리물질!$B:$E,4,FALSE), "제품 특별관리물질",""),"")</f>
        <v/>
      </c>
      <c r="BI26" s="13" t="str">
        <f>IFERROR(IF(표1[[#This Row],[함량(W%)]]&gt;=VLOOKUP(표1[[#This Row],[CAS No.]], [1]규제DB_산안법_관리대상유해물질!$B:$E,4,FALSE), "제품 관리대상유해물질",""),"")</f>
        <v/>
      </c>
      <c r="BJ26" s="13" t="str">
        <f>IFERROR(IF(표1[[#This Row],[CAS No.]]=VLOOKUP(표1[[#This Row],[CAS No.]], [1]규제DB_산안법_허용기준이하물질!$B:$D,1,FALSE),"제품 허용기준이하물질",""),"")</f>
        <v/>
      </c>
      <c r="BK26" s="13" t="str">
        <f>IFERROR(VLOOKUP(표1[[#This Row],[CAS No.]], [1]규제DB_산안법_허용기준이하물질!$B:$D,3,FALSE),"")</f>
        <v/>
      </c>
      <c r="BL26" s="13"/>
      <c r="BM26" s="13" t="str">
        <f>IFERROR(VLOOKUP(표1[[#This Row],[CAS No.]], [1]규제DB_산안법_노출기준설정물질!$B:$K,3,FALSE),"")</f>
        <v/>
      </c>
      <c r="BN26" s="13" t="str">
        <f>IFERROR(VLOOKUP(표1[[#This Row],[CAS No.]], [1]규제DB_산안법_노출기준설정물질!$B:$K,4,FALSE),"")</f>
        <v/>
      </c>
      <c r="BO26" s="13" t="str">
        <f>IFERROR(VLOOKUP(표1[[#This Row],[CAS No.]], [1]규제DB_산안법_노출기준설정물질!$B:$K,5,FALSE),"")</f>
        <v/>
      </c>
      <c r="BP26" s="13" t="str">
        <f>IFERROR(VLOOKUP(표1[[#This Row],[CAS No.]], [1]규제DB_산안법_노출기준설정물질!$B:$K,7,FALSE),"")</f>
        <v/>
      </c>
      <c r="BQ26" s="13" t="str">
        <f>IFERROR(VLOOKUP(표1[[#This Row],[CAS No.]], [1]규제DB_산안법_노출기준설정물질!$B:$K,8,FALSE),"")</f>
        <v/>
      </c>
      <c r="BR26" s="13" t="str">
        <f>IFERROR(VLOOKUP(표1[[#This Row],[CAS No.]], [1]규제DB_산안법_노출기준설정물질!$B:$K,9,FALSE),"")</f>
        <v/>
      </c>
      <c r="BS26" s="13" t="str">
        <f>IFERROR(VLOOKUP(표1[[#This Row],[CAS No.]], [1]규제DB_산안법_노출기준설정물질!$B:$K,10,FALSE),"")</f>
        <v/>
      </c>
      <c r="BT26" s="13" t="str">
        <f>IFERROR(IF(표1[[#This Row],[함량(W%)]]&gt;=VLOOKUP(표1[[#This Row],[CAS No.]], [1]규제DB_산안법_작업환경측정대상유해인자!$B:$F,5,FALSE), "제품 작업환경측정대상유해인자",""),"")</f>
        <v/>
      </c>
      <c r="BU26" s="13" t="str">
        <f>IFERROR(IF(표1[[#This Row],[CAS No.]]=VLOOKUP(표1[[#This Row],[CAS No.]], [1]규제DB_산안법_특수건강진단대상유해인자!$B:$C,1,FALSE), "제품 특수건강진단대상유해인자",""),"")</f>
        <v/>
      </c>
      <c r="BV26" s="13" t="str">
        <f>IFERROR(IF(VLOOKUP(표1[[#This Row],[CAS No.]],[1]규제DB_고용노동부고시_CMR!$B:$J,3,FALSE)="구분1A", IF(표1[[#This Row],[함량(W%)]]&gt;=VLOOKUP(표1[[#This Row],[CAS No.]],[1]규제DB_고용노동부고시_CMR!$B:$J,4,FALSE),"제품 발암성물질",""), IF(VLOOKUP(표1[[#This Row],[CAS No.]],[1]규제DB_고용노동부고시_CMR!$B:$J,3,FALSE)="구분1B", IF(표1[[#This Row],[함량(W%)]]&gt;=VLOOKUP(표1[[#This Row],[CAS No.]],[1]규제DB_고용노동부고시_CMR!$B:$J,4,FALSE),"제품 발암성물질",""), IF(VLOOKUP(표1[[#This Row],[CAS No.]],[1]규제DB_고용노동부고시_CMR!$B:$J,3,FALSE)="구분2", IF(표1[[#This Row],[함량(W%)]]&gt;=VLOOKUP(표1[[#This Row],[CAS No.]],[1]규제DB_고용노동부고시_CMR!$B:$J,4,FALSE),"제품 발암성물질",""),""))),"")</f>
        <v/>
      </c>
      <c r="BW26" s="13" t="str">
        <f>IFERROR(IF(VLOOKUP(표1[[#This Row],[CAS No.]],[1]규제DB_고용노동부고시_CMR!$B:$J,5,FALSE)="구분1A", IF(표1[[#This Row],[함량(W%)]]&gt;=VLOOKUP(표1[[#This Row],[CAS No.]],[1]규제DB_고용노동부고시_CMR!$B:$J,6,FALSE),"제품 생식세포변이원성물질",""), IF(VLOOKUP(표1[[#This Row],[CAS No.]],[1]규제DB_고용노동부고시_CMR!$B:$J,5,FALSE)="구분1B", IF(표1[[#This Row],[함량(W%)]]&gt;=VLOOKUP(표1[[#This Row],[CAS No.]],[1]규제DB_고용노동부고시_CMR!$B:$J,6,FALSE),"제품 생식세포변이원성물질",""), IF(VLOOKUP(표1[[#This Row],[CAS No.]],[1]규제DB_고용노동부고시_CMR!$B:$J,5,FALSE)="구분2", IF(표1[[#This Row],[함량(W%)]]&gt;=VLOOKUP(표1[[#This Row],[CAS No.]],[1]규제DB_고용노동부고시_CMR!$B:$J,6,FALSE),"제품 생식세포변이원성물질",""),""))),"")</f>
        <v/>
      </c>
      <c r="BX26" s="13" t="str">
        <f>IFERROR(IF(VLOOKUP(표1[[#This Row],[CAS No.]],[1]규제DB_고용노동부고시_CMR!$B:$J,7,FALSE)="구분1A", IF(표1[[#This Row],[함량(W%)]]&gt;=VLOOKUP(표1[[#This Row],[CAS No.]],[1]규제DB_고용노동부고시_CMR!$B:$J,8,FALSE),"제품 생식독성물질",""), IF(VLOOKUP(표1[[#This Row],[CAS No.]],[1]규제DB_고용노동부고시_CMR!$B:$J,7,FALSE)="구분1B", IF(표1[[#This Row],[함량(W%)]]&gt;=VLOOKUP(표1[[#This Row],[CAS No.]],[1]규제DB_고용노동부고시_CMR!$B:$J,8,FALSE),"제품 생식독성물질",""), IF(VLOOKUP(표1[[#This Row],[CAS No.]],[1]규제DB_고용노동부고시_CMR!$B:$J,7,FALSE)="구분2", IF(표1[[#This Row],[함량(W%)]]&gt;=VLOOKUP(표1[[#This Row],[CAS No.]],[1]규제DB_고용노동부고시_CMR!$B:$J,8,FALSE),"제품 생식독성물질",""),""))),"")</f>
        <v/>
      </c>
      <c r="BY26" s="13"/>
      <c r="BZ26" s="13" t="str">
        <f>IFERROR(IF(표1[[#This Row],[CAS No.]]=VLOOKUP(표1[[#This Row],[CAS No.]],[1]규제DB_고압법_독성가스!$B:$D,1,FALSE),"독성가스",""),"")</f>
        <v/>
      </c>
      <c r="CA26" s="13" t="str">
        <f>IFERROR(IF(표1[[#This Row],[CAS No.]]=VLOOKUP(표1[[#This Row],[CAS No.]],[1]규제DB_고압법_가연성가스!$B:$D,1,FALSE),"가연성가스",""),"")</f>
        <v/>
      </c>
      <c r="CB26" s="13" t="str">
        <f>IFERROR(IF(표1[[#This Row],[CAS No.]]=VLOOKUP(표1[[#This Row],[CAS No.]],[1]규제DB_고압법_특수고압가스!$B:$D,1,FALSE),"특수고압가스",""),"")</f>
        <v/>
      </c>
      <c r="CC26" s="13" t="str">
        <f>IFERROR(IF(표1[[#This Row],[CAS No.]]=VLOOKUP(표1[[#This Row],[CAS No.]],[1]규제DB_고압법_특정고압가스!$B:$D,1,FALSE),"특정고압가스",""),"")</f>
        <v/>
      </c>
      <c r="CD26" s="13" t="str">
        <f>IFERROR(IF(표1[[#This Row],[함량(W%)]]&gt;=VLOOKUP(표1[[#This Row],[CAS No.]],[1]규제DB_화관법_개별취급기준!$B:$G,5,FALSE),VLOOKUP(표1[[#This Row],[CAS No.]],[1]규제DB_화관법_개별취급기준!$B:$G,6,FALSE),""),"")</f>
        <v/>
      </c>
    </row>
    <row r="27" spans="1:82" ht="27.95" customHeight="1">
      <c r="A27" s="13">
        <v>26</v>
      </c>
      <c r="B27" s="2"/>
      <c r="C27" s="3" t="s">
        <v>103</v>
      </c>
      <c r="D27" s="4"/>
      <c r="E27" s="50" t="s">
        <v>114</v>
      </c>
      <c r="F27" s="3" t="s">
        <v>77</v>
      </c>
      <c r="G27" s="5" t="s">
        <v>78</v>
      </c>
      <c r="H27" s="3" t="s">
        <v>79</v>
      </c>
      <c r="I27" s="50" t="s">
        <v>102</v>
      </c>
      <c r="J27" s="3" t="s">
        <v>166</v>
      </c>
      <c r="K27" s="3" t="s">
        <v>166</v>
      </c>
      <c r="L27" s="3"/>
      <c r="M27" s="5" t="s">
        <v>80</v>
      </c>
      <c r="N27" s="5" t="s">
        <v>179</v>
      </c>
      <c r="O27" s="53" t="s">
        <v>81</v>
      </c>
      <c r="P27" s="55" t="s">
        <v>98</v>
      </c>
      <c r="Q27" s="54">
        <v>18</v>
      </c>
      <c r="R27" s="6">
        <v>18</v>
      </c>
      <c r="S27" s="17"/>
      <c r="T27" s="17"/>
      <c r="U27" s="6">
        <v>18</v>
      </c>
      <c r="V27" s="6">
        <v>18</v>
      </c>
      <c r="W27" s="8" t="str">
        <f>표1[[#This Row],[자재코드]]&amp;"_"&amp;표1[[#This Row],[자재명]]&amp;"_"&amp;표1[[#This Row],[공급업체명]]</f>
        <v>_NEW BEST ONE DRY_한국특수잉크공업</v>
      </c>
      <c r="X27" s="51" t="s">
        <v>143</v>
      </c>
      <c r="Y27" s="2"/>
      <c r="Z27" s="2"/>
      <c r="AA27" s="2"/>
      <c r="AB27" s="50">
        <v>5</v>
      </c>
      <c r="AC27" s="20" t="s">
        <v>86</v>
      </c>
      <c r="AD27" s="9" t="s">
        <v>83</v>
      </c>
      <c r="AE27" s="10" t="s">
        <v>84</v>
      </c>
      <c r="AF27" s="10" t="s">
        <v>84</v>
      </c>
      <c r="AG27" s="11"/>
      <c r="AH27" s="50" t="s">
        <v>190</v>
      </c>
      <c r="AI27" s="12">
        <f>IFERROR(표1[[#This Row],[사용량(kg)]]*표1[[#This Row],[함량(W%)]]/100,"")</f>
        <v>0.9</v>
      </c>
      <c r="AJ27" s="13"/>
      <c r="AK27" s="13"/>
      <c r="AL27" s="14"/>
      <c r="AM27" s="15"/>
      <c r="AN27" s="13"/>
      <c r="AO27" s="13"/>
      <c r="AP27" s="13"/>
      <c r="AQ27" s="13"/>
      <c r="AR27" s="13" t="str">
        <f>IFERROR(IF(표1[[#This Row],[함량(W%)]]&gt;=VLOOKUP(표1[[#This Row],[CAS No.]],[1]규제DB_유해법_유독물!B:F,5,FALSE),"유독물질 제품",""),"")</f>
        <v/>
      </c>
      <c r="AS27" s="13" t="str">
        <f>IFERROR(VLOOKUP(표1[[#This Row],[CAS No.]],[1]규제DB_유해법_금지물질!B:G,3,FALSE),"")</f>
        <v/>
      </c>
      <c r="AT27" s="13" t="str">
        <f>IFERROR(VLOOKUP(표1[[#This Row],[CAS No.]],[1]규제DB_유해법_금지물질!B:G,4,FALSE)&amp;" 인지 확인하세요","")</f>
        <v/>
      </c>
      <c r="AU27" s="13" t="str">
        <f>IFERROR(VLOOKUP(표1[[#This Row],[CAS No.]],[1]규제DB_유해법_제한물질!B:G,3,FALSE),"")</f>
        <v/>
      </c>
      <c r="AV27" s="13" t="str">
        <f>IFERROR(IF(표1[[#This Row],[함량(W%)]]&gt;=VLOOKUP(표1[[#This Row],[CAS No.]],[1]규제DB_유해법_제한물질!$B:$G,5,FALSE),"제한 제품",""),"")</f>
        <v/>
      </c>
      <c r="AW27" s="13" t="str">
        <f>IFERROR(VLOOKUP(표1[[#This Row],[CAS No.]],[1]규제DB_유해법_사고대비물질!B:J,2,FALSE),"")</f>
        <v/>
      </c>
      <c r="AX27" s="13" t="str">
        <f>IFERROR(IF(표1[[#This Row],[함량(W%)]]&gt;=VLOOKUP(표1[[#This Row],[CAS No.]],[1]규제DB_유해법_사고대비물질!$B:$J,4,FALSE),"사고대비물질 제품",""),"")</f>
        <v/>
      </c>
      <c r="AY27" s="16" t="str">
        <f>IFERROR(VLOOKUP(표1[[#This Row],[CAS No.]],[1]규제DB_유해법_사고대비물질!$B:$J,5,FALSE),"")</f>
        <v/>
      </c>
      <c r="AZ27" s="16" t="str">
        <f>IFERROR(VLOOKUP(표1[[#This Row],[CAS No.]],[1]규제DB_유해법_사고대비물질!$B:$J,6,FALSE),"")</f>
        <v/>
      </c>
      <c r="BA27" s="17" t="str">
        <f>IFERROR(IF(표1[[#This Row],[함량(W%)]]&gt;=VLOOKUP(표1[[#This Row],[CAS No.]],[1]규제DB_유해법_사고대비물질!$B:$J,4,FALSE),VLOOKUP(표1[[#This Row],[CAS No.]],[1]규제DB_유해법_사고대비물질!$B$2:$J$70,7,FALSE),""),"")</f>
        <v/>
      </c>
      <c r="BB27" s="17" t="str">
        <f>IFERROR(IF(표1[[#This Row],[함량(W%)]]&gt;=VLOOKUP(표1[[#This Row],[CAS No.]],[1]규제DB_유해법_사고대비물질!$B:$J,4,FALSE),VLOOKUP(표1[[#This Row],[CAS No.]],[1]규제DB_유해법_사고대비물질!$B$2:$J$70,8,FALSE),""),"")</f>
        <v/>
      </c>
      <c r="BC27" s="17" t="str">
        <f>IFERROR(IF(표1[[#This Row],[함량(W%)]]&gt;=VLOOKUP(표1[[#This Row],[CAS No.]],[1]규제DB_유해법_사고대비물질!$B:$J,4,FALSE),VLOOKUP(표1[[#This Row],[CAS No.]],[1]규제DB_유해법_사고대비물질!$B$2:$J$70,9,FALSE),""),"")</f>
        <v/>
      </c>
      <c r="BD27" s="18" t="str">
        <f>IFERROR(IF(표1[[#This Row],[함량(W%)]]&gt;=VLOOKUP(표1[[#This Row],[CAS No.]],'[1]규제DB_유해법_배출량조사 I'!$B:$D,3,FALSE),IF(VLOOKUP(표1[[#This Row],[CAS No.]],[1]기초자료!$A:$C,3,FALSE)&gt;=1000,"배출량조사 I 물질",""),""),"")</f>
        <v/>
      </c>
      <c r="BE27" s="18"/>
      <c r="BF27" s="13" t="str">
        <f>IFERROR(IF(표1[[#This Row],[함량(W%)]]&gt;=VLOOKUP(표1[[#This Row],[CAS No.]],[1]규제DB_산안법_금지물질!$B:$E,4,FALSE), VLOOKUP(표1[[#This Row],[CAS No.]],[1]규제DB_산안법_금지물질!$B:$E,2,FALSE)&amp;" : "&amp;VLOOKUP(표1[[#This Row],[CAS No.]],[1]규제DB_산안법_금지물질!$B:$E,3,FALSE)&amp;" 인지 확인하세요",""),"")</f>
        <v/>
      </c>
      <c r="BG27" s="13" t="str">
        <f>IFERROR(IF(표1[[#This Row],[함량(W%)]]&gt;=VLOOKUP(표1[[#This Row],[CAS No.]],[1]규제DB_산안법_허가물질!$B:$E,4,FALSE), "제품 허가물질",""),"")</f>
        <v/>
      </c>
      <c r="BH27" s="13" t="str">
        <f>IFERROR(IF(표1[[#This Row],[함량(W%)]]&gt;=VLOOKUP(표1[[#This Row],[CAS No.]], [1]규제DB_산안법_특별관리물질!$B:$E,4,FALSE), "제품 특별관리물질",""),"")</f>
        <v/>
      </c>
      <c r="BI27" s="13" t="str">
        <f>IFERROR(IF(표1[[#This Row],[함량(W%)]]&gt;=VLOOKUP(표1[[#This Row],[CAS No.]], [1]규제DB_산안법_관리대상유해물질!$B:$E,4,FALSE), "제품 관리대상유해물질",""),"")</f>
        <v/>
      </c>
      <c r="BJ27" s="13" t="str">
        <f>IFERROR(IF(표1[[#This Row],[CAS No.]]=VLOOKUP(표1[[#This Row],[CAS No.]], [1]규제DB_산안법_허용기준이하물질!$B:$D,1,FALSE),"제품 허용기준이하물질",""),"")</f>
        <v/>
      </c>
      <c r="BK27" s="13" t="str">
        <f>IFERROR(VLOOKUP(표1[[#This Row],[CAS No.]], [1]규제DB_산안법_허용기준이하물질!$B:$D,3,FALSE),"")</f>
        <v/>
      </c>
      <c r="BL27" s="13"/>
      <c r="BM27" s="13" t="str">
        <f>IFERROR(VLOOKUP(표1[[#This Row],[CAS No.]], [1]규제DB_산안법_노출기준설정물질!$B:$K,3,FALSE),"")</f>
        <v/>
      </c>
      <c r="BN27" s="13"/>
      <c r="BO27" s="13" t="str">
        <f>IFERROR(VLOOKUP(표1[[#This Row],[CAS No.]], [1]규제DB_산안법_노출기준설정물질!$B:$K,5,FALSE),"")</f>
        <v/>
      </c>
      <c r="BP27" s="13" t="str">
        <f>IFERROR(VLOOKUP(표1[[#This Row],[CAS No.]], [1]규제DB_산안법_노출기준설정물질!$B:$K,7,FALSE),"")</f>
        <v/>
      </c>
      <c r="BQ27" s="13" t="str">
        <f>IFERROR(VLOOKUP(표1[[#This Row],[CAS No.]], [1]규제DB_산안법_노출기준설정물질!$B:$K,8,FALSE),"")</f>
        <v/>
      </c>
      <c r="BR27" s="13" t="str">
        <f>IFERROR(VLOOKUP(표1[[#This Row],[CAS No.]], [1]규제DB_산안법_노출기준설정물질!$B:$K,9,FALSE),"")</f>
        <v/>
      </c>
      <c r="BS27" s="13" t="str">
        <f>IFERROR(VLOOKUP(표1[[#This Row],[CAS No.]], [1]규제DB_산안법_노출기준설정물질!$B:$K,10,FALSE),"")</f>
        <v/>
      </c>
      <c r="BT27" s="13" t="str">
        <f>IFERROR(IF(표1[[#This Row],[함량(W%)]]&gt;=VLOOKUP(표1[[#This Row],[CAS No.]], [1]규제DB_산안법_작업환경측정대상유해인자!$B:$F,5,FALSE), "제품 작업환경측정대상유해인자",""),"")</f>
        <v/>
      </c>
      <c r="BU27" s="13" t="str">
        <f>IFERROR(IF(표1[[#This Row],[CAS No.]]=VLOOKUP(표1[[#This Row],[CAS No.]], [1]규제DB_산안법_특수건강진단대상유해인자!$B:$C,1,FALSE), "제품 특수건강진단대상유해인자",""),"")</f>
        <v/>
      </c>
      <c r="BV27" s="13"/>
      <c r="BW27" s="13" t="str">
        <f>IFERROR(IF(VLOOKUP(표1[[#This Row],[CAS No.]],[1]규제DB_고용노동부고시_CMR!$B:$J,5,FALSE)="구분1A", IF(표1[[#This Row],[함량(W%)]]&gt;=VLOOKUP(표1[[#This Row],[CAS No.]],[1]규제DB_고용노동부고시_CMR!$B:$J,6,FALSE),"제품 생식세포변이원성물질",""), IF(VLOOKUP(표1[[#This Row],[CAS No.]],[1]규제DB_고용노동부고시_CMR!$B:$J,5,FALSE)="구분1B", IF(표1[[#This Row],[함량(W%)]]&gt;=VLOOKUP(표1[[#This Row],[CAS No.]],[1]규제DB_고용노동부고시_CMR!$B:$J,6,FALSE),"제품 생식세포변이원성물질",""), IF(VLOOKUP(표1[[#This Row],[CAS No.]],[1]규제DB_고용노동부고시_CMR!$B:$J,5,FALSE)="구분2", IF(표1[[#This Row],[함량(W%)]]&gt;=VLOOKUP(표1[[#This Row],[CAS No.]],[1]규제DB_고용노동부고시_CMR!$B:$J,6,FALSE),"제품 생식세포변이원성물질",""),""))),"")</f>
        <v/>
      </c>
      <c r="BX27" s="13" t="str">
        <f>IFERROR(IF(VLOOKUP(표1[[#This Row],[CAS No.]],[1]규제DB_고용노동부고시_CMR!$B:$J,7,FALSE)="구분1A", IF(표1[[#This Row],[함량(W%)]]&gt;=VLOOKUP(표1[[#This Row],[CAS No.]],[1]규제DB_고용노동부고시_CMR!$B:$J,8,FALSE),"제품 생식독성물질",""), IF(VLOOKUP(표1[[#This Row],[CAS No.]],[1]규제DB_고용노동부고시_CMR!$B:$J,7,FALSE)="구분1B", IF(표1[[#This Row],[함량(W%)]]&gt;=VLOOKUP(표1[[#This Row],[CAS No.]],[1]규제DB_고용노동부고시_CMR!$B:$J,8,FALSE),"제품 생식독성물질",""), IF(VLOOKUP(표1[[#This Row],[CAS No.]],[1]규제DB_고용노동부고시_CMR!$B:$J,7,FALSE)="구분2", IF(표1[[#This Row],[함량(W%)]]&gt;=VLOOKUP(표1[[#This Row],[CAS No.]],[1]규제DB_고용노동부고시_CMR!$B:$J,8,FALSE),"제품 생식독성물질",""),""))),"")</f>
        <v/>
      </c>
      <c r="BY27" s="13"/>
      <c r="BZ27" s="13" t="str">
        <f>IFERROR(IF(표1[[#This Row],[CAS No.]]=VLOOKUP(표1[[#This Row],[CAS No.]],[1]규제DB_고압법_독성가스!$B:$D,1,FALSE),"독성가스",""),"")</f>
        <v/>
      </c>
      <c r="CA27" s="13" t="str">
        <f>IFERROR(IF(표1[[#This Row],[CAS No.]]=VLOOKUP(표1[[#This Row],[CAS No.]],[1]규제DB_고압법_가연성가스!$B:$D,1,FALSE),"가연성가스",""),"")</f>
        <v/>
      </c>
      <c r="CB27" s="13" t="str">
        <f>IFERROR(IF(표1[[#This Row],[CAS No.]]=VLOOKUP(표1[[#This Row],[CAS No.]],[1]규제DB_고압법_특수고압가스!$B:$D,1,FALSE),"특수고압가스",""),"")</f>
        <v/>
      </c>
      <c r="CC27" s="13" t="str">
        <f>IFERROR(IF(표1[[#This Row],[CAS No.]]=VLOOKUP(표1[[#This Row],[CAS No.]],[1]규제DB_고압법_특정고압가스!$B:$D,1,FALSE),"특정고압가스",""),"")</f>
        <v/>
      </c>
      <c r="CD27" s="13" t="str">
        <f>IFERROR(IF(표1[[#This Row],[함량(W%)]]&gt;=VLOOKUP(표1[[#This Row],[CAS No.]],[1]규제DB_화관법_개별취급기준!$B:$G,5,FALSE),VLOOKUP(표1[[#This Row],[CAS No.]],[1]규제DB_화관법_개별취급기준!$B:$G,6,FALSE),""),"")</f>
        <v/>
      </c>
    </row>
    <row r="28" spans="1:82" ht="27.95" customHeight="1">
      <c r="A28" s="13">
        <v>27</v>
      </c>
      <c r="B28" s="2"/>
      <c r="C28" s="3" t="s">
        <v>103</v>
      </c>
      <c r="D28" s="4"/>
      <c r="E28" s="50" t="s">
        <v>114</v>
      </c>
      <c r="F28" s="3" t="s">
        <v>77</v>
      </c>
      <c r="G28" s="5" t="s">
        <v>78</v>
      </c>
      <c r="H28" s="3" t="s">
        <v>79</v>
      </c>
      <c r="I28" s="50" t="s">
        <v>102</v>
      </c>
      <c r="J28" s="3" t="s">
        <v>166</v>
      </c>
      <c r="K28" s="3" t="s">
        <v>166</v>
      </c>
      <c r="L28" s="3"/>
      <c r="M28" s="5" t="s">
        <v>80</v>
      </c>
      <c r="N28" s="5" t="s">
        <v>179</v>
      </c>
      <c r="O28" s="53" t="s">
        <v>81</v>
      </c>
      <c r="P28" s="55" t="s">
        <v>98</v>
      </c>
      <c r="Q28" s="54">
        <v>18</v>
      </c>
      <c r="R28" s="6">
        <v>18</v>
      </c>
      <c r="S28" s="17"/>
      <c r="T28" s="17"/>
      <c r="U28" s="6">
        <v>18</v>
      </c>
      <c r="V28" s="6">
        <v>18</v>
      </c>
      <c r="W28" s="8" t="str">
        <f>표1[[#This Row],[자재코드]]&amp;"_"&amp;표1[[#This Row],[자재명]]&amp;"_"&amp;표1[[#This Row],[공급업체명]]</f>
        <v>_NEW BEST ONE DRY_한국특수잉크공업</v>
      </c>
      <c r="X28" s="51" t="s">
        <v>144</v>
      </c>
      <c r="Y28" s="13"/>
      <c r="Z28" s="13"/>
      <c r="AA28" s="13"/>
      <c r="AB28" s="50">
        <v>5</v>
      </c>
      <c r="AC28" s="20" t="s">
        <v>86</v>
      </c>
      <c r="AD28" s="9" t="s">
        <v>83</v>
      </c>
      <c r="AE28" s="10" t="s">
        <v>84</v>
      </c>
      <c r="AF28" s="10" t="s">
        <v>84</v>
      </c>
      <c r="AG28" s="11"/>
      <c r="AH28" s="50" t="s">
        <v>191</v>
      </c>
      <c r="AI28" s="12">
        <f>IFERROR(표1[[#This Row],[사용량(kg)]]*표1[[#This Row],[함량(W%)]]/100,"")</f>
        <v>0.9</v>
      </c>
      <c r="AJ28" s="13"/>
      <c r="AK28" s="13"/>
      <c r="AL28" s="14"/>
      <c r="AM28" s="15"/>
      <c r="AN28" s="13"/>
      <c r="AO28" s="13"/>
      <c r="AP28" s="13"/>
      <c r="AQ28" s="13"/>
      <c r="AR28" s="13" t="str">
        <f>IFERROR(IF(표1[[#This Row],[함량(W%)]]&gt;=VLOOKUP(표1[[#This Row],[CAS No.]],[1]규제DB_유해법_유독물!B:F,5,FALSE),"유독물질 제품",""),"")</f>
        <v/>
      </c>
      <c r="AS28" s="13" t="str">
        <f>IFERROR(VLOOKUP(표1[[#This Row],[CAS No.]],[1]규제DB_유해법_금지물질!B:G,3,FALSE),"")</f>
        <v/>
      </c>
      <c r="AT28" s="13" t="str">
        <f>IFERROR(VLOOKUP(표1[[#This Row],[CAS No.]],[1]규제DB_유해법_금지물질!B:G,4,FALSE)&amp;" 인지 확인하세요","")</f>
        <v/>
      </c>
      <c r="AU28" s="13" t="str">
        <f>IFERROR(VLOOKUP(표1[[#This Row],[CAS No.]],[1]규제DB_유해법_제한물질!B:G,3,FALSE),"")</f>
        <v/>
      </c>
      <c r="AV28" s="13" t="str">
        <f>IFERROR(IF(표1[[#This Row],[함량(W%)]]&gt;=VLOOKUP(표1[[#This Row],[CAS No.]],[1]규제DB_유해법_제한물질!$B:$G,5,FALSE),"제한 제품",""),"")</f>
        <v/>
      </c>
      <c r="AW28" s="13" t="str">
        <f>IFERROR(VLOOKUP(표1[[#This Row],[CAS No.]],[1]규제DB_유해법_사고대비물질!B:J,2,FALSE),"")</f>
        <v/>
      </c>
      <c r="AX28" s="13" t="str">
        <f>IFERROR(IF(표1[[#This Row],[함량(W%)]]&gt;=VLOOKUP(표1[[#This Row],[CAS No.]],[1]규제DB_유해법_사고대비물질!$B:$J,4,FALSE),"사고대비물질 제품",""),"")</f>
        <v/>
      </c>
      <c r="AY28" s="16" t="str">
        <f>IFERROR(VLOOKUP(표1[[#This Row],[CAS No.]],[1]규제DB_유해법_사고대비물질!$B:$J,5,FALSE),"")</f>
        <v/>
      </c>
      <c r="AZ28" s="16" t="str">
        <f>IFERROR(VLOOKUP(표1[[#This Row],[CAS No.]],[1]규제DB_유해법_사고대비물질!$B:$J,6,FALSE),"")</f>
        <v/>
      </c>
      <c r="BA28" s="17" t="str">
        <f>IFERROR(IF(표1[[#This Row],[함량(W%)]]&gt;=VLOOKUP(표1[[#This Row],[CAS No.]],[1]규제DB_유해법_사고대비물질!$B:$J,4,FALSE),VLOOKUP(표1[[#This Row],[CAS No.]],[1]규제DB_유해법_사고대비물질!$B$2:$J$70,7,FALSE),""),"")</f>
        <v/>
      </c>
      <c r="BB28" s="17" t="str">
        <f>IFERROR(IF(표1[[#This Row],[함량(W%)]]&gt;=VLOOKUP(표1[[#This Row],[CAS No.]],[1]규제DB_유해법_사고대비물질!$B:$J,4,FALSE),VLOOKUP(표1[[#This Row],[CAS No.]],[1]규제DB_유해법_사고대비물질!$B$2:$J$70,8,FALSE),""),"")</f>
        <v/>
      </c>
      <c r="BC28" s="17" t="str">
        <f>IFERROR(IF(표1[[#This Row],[함량(W%)]]&gt;=VLOOKUP(표1[[#This Row],[CAS No.]],[1]규제DB_유해법_사고대비물질!$B:$J,4,FALSE),VLOOKUP(표1[[#This Row],[CAS No.]],[1]규제DB_유해법_사고대비물질!$B$2:$J$70,9,FALSE),""),"")</f>
        <v/>
      </c>
      <c r="BD28" s="18" t="str">
        <f>IFERROR(IF(표1[[#This Row],[함량(W%)]]&gt;=VLOOKUP(표1[[#This Row],[CAS No.]],'[1]규제DB_유해법_배출량조사 I'!$B:$D,3,FALSE),IF(VLOOKUP(표1[[#This Row],[CAS No.]],[1]기초자료!$A:$C,3,FALSE)&gt;=1000,"배출량조사 I 물질",""),""),"")</f>
        <v/>
      </c>
      <c r="BE28" s="18"/>
      <c r="BF28" s="13" t="str">
        <f>IFERROR(IF(표1[[#This Row],[함량(W%)]]&gt;=VLOOKUP(표1[[#This Row],[CAS No.]],[1]규제DB_산안법_금지물질!$B:$E,4,FALSE), VLOOKUP(표1[[#This Row],[CAS No.]],[1]규제DB_산안법_금지물질!$B:$E,2,FALSE)&amp;" : "&amp;VLOOKUP(표1[[#This Row],[CAS No.]],[1]규제DB_산안법_금지물질!$B:$E,3,FALSE)&amp;" 인지 확인하세요",""),"")</f>
        <v/>
      </c>
      <c r="BG28" s="13" t="str">
        <f>IFERROR(IF(표1[[#This Row],[함량(W%)]]&gt;=VLOOKUP(표1[[#This Row],[CAS No.]],[1]규제DB_산안법_허가물질!$B:$E,4,FALSE), "제품 허가물질",""),"")</f>
        <v/>
      </c>
      <c r="BH28" s="13" t="str">
        <f>IFERROR(IF(표1[[#This Row],[함량(W%)]]&gt;=VLOOKUP(표1[[#This Row],[CAS No.]], [1]규제DB_산안법_특별관리물질!$B:$E,4,FALSE), "제품 특별관리물질",""),"")</f>
        <v/>
      </c>
      <c r="BI28" s="13" t="str">
        <f>IFERROR(IF(표1[[#This Row],[함량(W%)]]&gt;=VLOOKUP(표1[[#This Row],[CAS No.]], [1]규제DB_산안법_관리대상유해물질!$B:$E,4,FALSE), "제품 관리대상유해물질",""),"")</f>
        <v/>
      </c>
      <c r="BJ28" s="13" t="str">
        <f>IFERROR(IF(표1[[#This Row],[CAS No.]]=VLOOKUP(표1[[#This Row],[CAS No.]], [1]규제DB_산안법_허용기준이하물질!$B:$D,1,FALSE),"제품 허용기준이하물질",""),"")</f>
        <v/>
      </c>
      <c r="BK28" s="13" t="str">
        <f>IFERROR(VLOOKUP(표1[[#This Row],[CAS No.]], [1]규제DB_산안법_허용기준이하물질!$B:$D,3,FALSE),"")</f>
        <v/>
      </c>
      <c r="BL28" s="13"/>
      <c r="BM28" s="13" t="str">
        <f>IFERROR(VLOOKUP(표1[[#This Row],[CAS No.]], [1]규제DB_산안법_노출기준설정물질!$B:$K,3,FALSE),"")</f>
        <v/>
      </c>
      <c r="BN28" s="13" t="str">
        <f>IFERROR(VLOOKUP(표1[[#This Row],[CAS No.]], [1]규제DB_산안법_노출기준설정물질!$B:$K,4,FALSE),"")</f>
        <v/>
      </c>
      <c r="BO28" s="13" t="str">
        <f>IFERROR(VLOOKUP(표1[[#This Row],[CAS No.]], [1]규제DB_산안법_노출기준설정물질!$B:$K,5,FALSE),"")</f>
        <v/>
      </c>
      <c r="BP28" s="13" t="str">
        <f>IFERROR(VLOOKUP(표1[[#This Row],[CAS No.]], [1]규제DB_산안법_노출기준설정물질!$B:$K,7,FALSE),"")</f>
        <v/>
      </c>
      <c r="BQ28" s="13" t="str">
        <f>IFERROR(VLOOKUP(표1[[#This Row],[CAS No.]], [1]규제DB_산안법_노출기준설정물질!$B:$K,8,FALSE),"")</f>
        <v/>
      </c>
      <c r="BR28" s="13" t="str">
        <f>IFERROR(VLOOKUP(표1[[#This Row],[CAS No.]], [1]규제DB_산안법_노출기준설정물질!$B:$K,9,FALSE),"")</f>
        <v/>
      </c>
      <c r="BS28" s="13" t="str">
        <f>IFERROR(VLOOKUP(표1[[#This Row],[CAS No.]], [1]규제DB_산안법_노출기준설정물질!$B:$K,10,FALSE),"")</f>
        <v/>
      </c>
      <c r="BT28" s="13" t="str">
        <f>IFERROR(IF(표1[[#This Row],[함량(W%)]]&gt;=VLOOKUP(표1[[#This Row],[CAS No.]], [1]규제DB_산안법_작업환경측정대상유해인자!$B:$F,5,FALSE), "제품 작업환경측정대상유해인자",""),"")</f>
        <v/>
      </c>
      <c r="BU28" s="13" t="str">
        <f>IFERROR(IF(표1[[#This Row],[CAS No.]]=VLOOKUP(표1[[#This Row],[CAS No.]], [1]규제DB_산안법_특수건강진단대상유해인자!$B:$C,1,FALSE), "제품 특수건강진단대상유해인자",""),"")</f>
        <v/>
      </c>
      <c r="BV28" s="13" t="str">
        <f>IFERROR(IF(VLOOKUP(표1[[#This Row],[CAS No.]],[1]규제DB_고용노동부고시_CMR!$B:$J,3,FALSE)="구분1A", IF(표1[[#This Row],[함량(W%)]]&gt;=VLOOKUP(표1[[#This Row],[CAS No.]],[1]규제DB_고용노동부고시_CMR!$B:$J,4,FALSE),"제품 발암성물질",""), IF(VLOOKUP(표1[[#This Row],[CAS No.]],[1]규제DB_고용노동부고시_CMR!$B:$J,3,FALSE)="구분1B", IF(표1[[#This Row],[함량(W%)]]&gt;=VLOOKUP(표1[[#This Row],[CAS No.]],[1]규제DB_고용노동부고시_CMR!$B:$J,4,FALSE),"제품 발암성물질",""), IF(VLOOKUP(표1[[#This Row],[CAS No.]],[1]규제DB_고용노동부고시_CMR!$B:$J,3,FALSE)="구분2", IF(표1[[#This Row],[함량(W%)]]&gt;=VLOOKUP(표1[[#This Row],[CAS No.]],[1]규제DB_고용노동부고시_CMR!$B:$J,4,FALSE),"제품 발암성물질",""),""))),"")</f>
        <v/>
      </c>
      <c r="BW28" s="13" t="str">
        <f>IFERROR(IF(VLOOKUP(표1[[#This Row],[CAS No.]],[1]규제DB_고용노동부고시_CMR!$B:$J,5,FALSE)="구분1A", IF(표1[[#This Row],[함량(W%)]]&gt;=VLOOKUP(표1[[#This Row],[CAS No.]],[1]규제DB_고용노동부고시_CMR!$B:$J,6,FALSE),"제품 생식세포변이원성물질",""), IF(VLOOKUP(표1[[#This Row],[CAS No.]],[1]규제DB_고용노동부고시_CMR!$B:$J,5,FALSE)="구분1B", IF(표1[[#This Row],[함량(W%)]]&gt;=VLOOKUP(표1[[#This Row],[CAS No.]],[1]규제DB_고용노동부고시_CMR!$B:$J,6,FALSE),"제품 생식세포변이원성물질",""), IF(VLOOKUP(표1[[#This Row],[CAS No.]],[1]규제DB_고용노동부고시_CMR!$B:$J,5,FALSE)="구분2", IF(표1[[#This Row],[함량(W%)]]&gt;=VLOOKUP(표1[[#This Row],[CAS No.]],[1]규제DB_고용노동부고시_CMR!$B:$J,6,FALSE),"제품 생식세포변이원성물질",""),""))),"")</f>
        <v/>
      </c>
      <c r="BX28" s="13" t="str">
        <f>IFERROR(IF(VLOOKUP(표1[[#This Row],[CAS No.]],[1]규제DB_고용노동부고시_CMR!$B:$J,7,FALSE)="구분1A", IF(표1[[#This Row],[함량(W%)]]&gt;=VLOOKUP(표1[[#This Row],[CAS No.]],[1]규제DB_고용노동부고시_CMR!$B:$J,8,FALSE),"제품 생식독성물질",""), IF(VLOOKUP(표1[[#This Row],[CAS No.]],[1]규제DB_고용노동부고시_CMR!$B:$J,7,FALSE)="구분1B", IF(표1[[#This Row],[함량(W%)]]&gt;=VLOOKUP(표1[[#This Row],[CAS No.]],[1]규제DB_고용노동부고시_CMR!$B:$J,8,FALSE),"제품 생식독성물질",""), IF(VLOOKUP(표1[[#This Row],[CAS No.]],[1]규제DB_고용노동부고시_CMR!$B:$J,7,FALSE)="구분2", IF(표1[[#This Row],[함량(W%)]]&gt;=VLOOKUP(표1[[#This Row],[CAS No.]],[1]규제DB_고용노동부고시_CMR!$B:$J,8,FALSE),"제품 생식독성물질",""),""))),"")</f>
        <v/>
      </c>
      <c r="BY28" s="13"/>
      <c r="BZ28" s="13" t="str">
        <f>IFERROR(IF(표1[[#This Row],[CAS No.]]=VLOOKUP(표1[[#This Row],[CAS No.]],[1]규제DB_고압법_독성가스!$B:$D,1,FALSE),"독성가스",""),"")</f>
        <v/>
      </c>
      <c r="CA28" s="13" t="str">
        <f>IFERROR(IF(표1[[#This Row],[CAS No.]]=VLOOKUP(표1[[#This Row],[CAS No.]],[1]규제DB_고압법_가연성가스!$B:$D,1,FALSE),"가연성가스",""),"")</f>
        <v/>
      </c>
      <c r="CB28" s="13" t="str">
        <f>IFERROR(IF(표1[[#This Row],[CAS No.]]=VLOOKUP(표1[[#This Row],[CAS No.]],[1]규제DB_고압법_특수고압가스!$B:$D,1,FALSE),"특수고압가스",""),"")</f>
        <v/>
      </c>
      <c r="CC28" s="13" t="str">
        <f>IFERROR(IF(표1[[#This Row],[CAS No.]]=VLOOKUP(표1[[#This Row],[CAS No.]],[1]규제DB_고압법_특정고압가스!$B:$D,1,FALSE),"특정고압가스",""),"")</f>
        <v/>
      </c>
      <c r="CD28" s="13" t="str">
        <f>IFERROR(IF(표1[[#This Row],[함량(W%)]]&gt;=VLOOKUP(표1[[#This Row],[CAS No.]],[1]규제DB_화관법_개별취급기준!$B:$G,5,FALSE),VLOOKUP(표1[[#This Row],[CAS No.]],[1]규제DB_화관법_개별취급기준!$B:$G,6,FALSE),""),"")</f>
        <v/>
      </c>
    </row>
    <row r="29" spans="1:82" ht="27.95" customHeight="1">
      <c r="A29" s="13">
        <v>28</v>
      </c>
      <c r="B29" s="2"/>
      <c r="C29" s="3" t="s">
        <v>103</v>
      </c>
      <c r="D29" s="4"/>
      <c r="E29" s="50" t="s">
        <v>114</v>
      </c>
      <c r="F29" s="3" t="s">
        <v>77</v>
      </c>
      <c r="G29" s="5" t="s">
        <v>78</v>
      </c>
      <c r="H29" s="3" t="s">
        <v>79</v>
      </c>
      <c r="I29" s="50" t="s">
        <v>102</v>
      </c>
      <c r="J29" s="3" t="s">
        <v>166</v>
      </c>
      <c r="K29" s="3" t="s">
        <v>166</v>
      </c>
      <c r="L29" s="3"/>
      <c r="M29" s="5" t="s">
        <v>80</v>
      </c>
      <c r="N29" s="5" t="s">
        <v>179</v>
      </c>
      <c r="O29" s="53" t="s">
        <v>81</v>
      </c>
      <c r="P29" s="55" t="s">
        <v>98</v>
      </c>
      <c r="Q29" s="54">
        <v>18</v>
      </c>
      <c r="R29" s="6">
        <v>18</v>
      </c>
      <c r="S29" s="17"/>
      <c r="T29" s="17"/>
      <c r="U29" s="6">
        <v>18</v>
      </c>
      <c r="V29" s="6">
        <v>18</v>
      </c>
      <c r="W29" s="8" t="str">
        <f>표1[[#This Row],[자재코드]]&amp;"_"&amp;표1[[#This Row],[자재명]]&amp;"_"&amp;표1[[#This Row],[공급업체명]]</f>
        <v>_NEW BEST ONE DRY_한국특수잉크공업</v>
      </c>
      <c r="X29" s="51" t="s">
        <v>145</v>
      </c>
      <c r="Y29" s="13"/>
      <c r="Z29" s="13"/>
      <c r="AA29" s="13"/>
      <c r="AB29" s="50">
        <v>5</v>
      </c>
      <c r="AC29" s="20" t="s">
        <v>86</v>
      </c>
      <c r="AD29" s="9" t="s">
        <v>83</v>
      </c>
      <c r="AE29" s="10" t="s">
        <v>84</v>
      </c>
      <c r="AF29" s="10" t="s">
        <v>84</v>
      </c>
      <c r="AG29" s="11"/>
      <c r="AH29" s="52">
        <v>1234986</v>
      </c>
      <c r="AI29" s="12">
        <f>IFERROR(표1[[#This Row],[사용량(kg)]]*표1[[#This Row],[함량(W%)]]/100,"")</f>
        <v>0.9</v>
      </c>
      <c r="AJ29" s="13"/>
      <c r="AK29" s="13"/>
      <c r="AL29" s="14"/>
      <c r="AM29" s="15"/>
      <c r="AN29" s="13"/>
      <c r="AO29" s="13"/>
      <c r="AP29" s="13"/>
      <c r="AQ29" s="13"/>
      <c r="AR29" s="13" t="str">
        <f>IFERROR(IF(표1[[#This Row],[함량(W%)]]&gt;=VLOOKUP(표1[[#This Row],[CAS No.]],[1]규제DB_유해법_유독물!B:F,5,FALSE),"유독물질 제품",""),"")</f>
        <v/>
      </c>
      <c r="AS29" s="13" t="str">
        <f>IFERROR(VLOOKUP(표1[[#This Row],[CAS No.]],[1]규제DB_유해법_금지물질!B:G,3,FALSE),"")</f>
        <v/>
      </c>
      <c r="AT29" s="13" t="str">
        <f>IFERROR(VLOOKUP(표1[[#This Row],[CAS No.]],[1]규제DB_유해법_금지물질!B:G,4,FALSE)&amp;" 인지 확인하세요","")</f>
        <v/>
      </c>
      <c r="AU29" s="13" t="str">
        <f>IFERROR(VLOOKUP(표1[[#This Row],[CAS No.]],[1]규제DB_유해법_제한물질!B:G,3,FALSE),"")</f>
        <v/>
      </c>
      <c r="AV29" s="13" t="str">
        <f>IFERROR(IF(표1[[#This Row],[함량(W%)]]&gt;=VLOOKUP(표1[[#This Row],[CAS No.]],[1]규제DB_유해법_제한물질!$B:$G,5,FALSE),"제한 제품",""),"")</f>
        <v/>
      </c>
      <c r="AW29" s="13" t="str">
        <f>IFERROR(VLOOKUP(표1[[#This Row],[CAS No.]],[1]규제DB_유해법_사고대비물질!B:J,2,FALSE),"")</f>
        <v/>
      </c>
      <c r="AX29" s="13" t="str">
        <f>IFERROR(IF(표1[[#This Row],[함량(W%)]]&gt;=VLOOKUP(표1[[#This Row],[CAS No.]],[1]규제DB_유해법_사고대비물질!$B:$J,4,FALSE),"사고대비물질 제품",""),"")</f>
        <v/>
      </c>
      <c r="AY29" s="16" t="str">
        <f>IFERROR(VLOOKUP(표1[[#This Row],[CAS No.]],[1]규제DB_유해법_사고대비물질!$B:$J,5,FALSE),"")</f>
        <v/>
      </c>
      <c r="AZ29" s="16" t="str">
        <f>IFERROR(VLOOKUP(표1[[#This Row],[CAS No.]],[1]규제DB_유해법_사고대비물질!$B:$J,6,FALSE),"")</f>
        <v/>
      </c>
      <c r="BA29" s="17" t="str">
        <f>IFERROR(IF(표1[[#This Row],[함량(W%)]]&gt;=VLOOKUP(표1[[#This Row],[CAS No.]],[1]규제DB_유해법_사고대비물질!$B:$J,4,FALSE),VLOOKUP(표1[[#This Row],[CAS No.]],[1]규제DB_유해법_사고대비물질!$B$2:$J$70,7,FALSE),""),"")</f>
        <v/>
      </c>
      <c r="BB29" s="17" t="str">
        <f>IFERROR(IF(표1[[#This Row],[함량(W%)]]&gt;=VLOOKUP(표1[[#This Row],[CAS No.]],[1]규제DB_유해법_사고대비물질!$B:$J,4,FALSE),VLOOKUP(표1[[#This Row],[CAS No.]],[1]규제DB_유해법_사고대비물질!$B$2:$J$70,8,FALSE),""),"")</f>
        <v/>
      </c>
      <c r="BC29" s="17" t="str">
        <f>IFERROR(IF(표1[[#This Row],[함량(W%)]]&gt;=VLOOKUP(표1[[#This Row],[CAS No.]],[1]규제DB_유해법_사고대비물질!$B:$J,4,FALSE),VLOOKUP(표1[[#This Row],[CAS No.]],[1]규제DB_유해법_사고대비물질!$B$2:$J$70,9,FALSE),""),"")</f>
        <v/>
      </c>
      <c r="BD29" s="18" t="str">
        <f>IFERROR(IF(표1[[#This Row],[함량(W%)]]&gt;=VLOOKUP(표1[[#This Row],[CAS No.]],'[1]규제DB_유해법_배출량조사 I'!$B:$D,3,FALSE),IF(VLOOKUP(표1[[#This Row],[CAS No.]],[1]기초자료!$A:$C,3,FALSE)&gt;=1000,"배출량조사 I 물질",""),""),"")</f>
        <v/>
      </c>
      <c r="BE29" s="18"/>
      <c r="BF29" s="13" t="str">
        <f>IFERROR(IF(표1[[#This Row],[함량(W%)]]&gt;=VLOOKUP(표1[[#This Row],[CAS No.]],[1]규제DB_산안법_금지물질!$B:$E,4,FALSE), VLOOKUP(표1[[#This Row],[CAS No.]],[1]규제DB_산안법_금지물질!$B:$E,2,FALSE)&amp;" : "&amp;VLOOKUP(표1[[#This Row],[CAS No.]],[1]규제DB_산안법_금지물질!$B:$E,3,FALSE)&amp;" 인지 확인하세요",""),"")</f>
        <v/>
      </c>
      <c r="BG29" s="13" t="str">
        <f>IFERROR(IF(표1[[#This Row],[함량(W%)]]&gt;=VLOOKUP(표1[[#This Row],[CAS No.]],[1]규제DB_산안법_허가물질!$B:$E,4,FALSE), "제품 허가물질",""),"")</f>
        <v/>
      </c>
      <c r="BH29" s="13" t="str">
        <f>IFERROR(IF(표1[[#This Row],[함량(W%)]]&gt;=VLOOKUP(표1[[#This Row],[CAS No.]], [1]규제DB_산안법_특별관리물질!$B:$E,4,FALSE), "제품 특별관리물질",""),"")</f>
        <v/>
      </c>
      <c r="BI29" s="13" t="str">
        <f>IFERROR(IF(표1[[#This Row],[함량(W%)]]&gt;=VLOOKUP(표1[[#This Row],[CAS No.]], [1]규제DB_산안법_관리대상유해물질!$B:$E,4,FALSE), "제품 관리대상유해물질",""),"")</f>
        <v/>
      </c>
      <c r="BJ29" s="13" t="str">
        <f>IFERROR(IF(표1[[#This Row],[CAS No.]]=VLOOKUP(표1[[#This Row],[CAS No.]], [1]규제DB_산안법_허용기준이하물질!$B:$D,1,FALSE),"제품 허용기준이하물질",""),"")</f>
        <v/>
      </c>
      <c r="BK29" s="13" t="str">
        <f>IFERROR(VLOOKUP(표1[[#This Row],[CAS No.]], [1]규제DB_산안법_허용기준이하물질!$B:$D,3,FALSE),"")</f>
        <v/>
      </c>
      <c r="BL29" s="13"/>
      <c r="BM29" s="13" t="str">
        <f>IFERROR(VLOOKUP(표1[[#This Row],[CAS No.]], [1]규제DB_산안법_노출기준설정물질!$B:$K,3,FALSE),"")</f>
        <v/>
      </c>
      <c r="BN29" s="13" t="str">
        <f>IFERROR(VLOOKUP(표1[[#This Row],[CAS No.]], [1]규제DB_산안법_노출기준설정물질!$B:$K,4,FALSE),"")</f>
        <v/>
      </c>
      <c r="BO29" s="13" t="str">
        <f>IFERROR(VLOOKUP(표1[[#This Row],[CAS No.]], [1]규제DB_산안법_노출기준설정물질!$B:$K,5,FALSE),"")</f>
        <v/>
      </c>
      <c r="BP29" s="13" t="str">
        <f>IFERROR(VLOOKUP(표1[[#This Row],[CAS No.]], [1]규제DB_산안법_노출기준설정물질!$B:$K,7,FALSE),"")</f>
        <v/>
      </c>
      <c r="BQ29" s="13" t="str">
        <f>IFERROR(VLOOKUP(표1[[#This Row],[CAS No.]], [1]규제DB_산안법_노출기준설정물질!$B:$K,8,FALSE),"")</f>
        <v/>
      </c>
      <c r="BR29" s="13" t="str">
        <f>IFERROR(VLOOKUP(표1[[#This Row],[CAS No.]], [1]규제DB_산안법_노출기준설정물질!$B:$K,9,FALSE),"")</f>
        <v/>
      </c>
      <c r="BS29" s="13" t="str">
        <f>IFERROR(VLOOKUP(표1[[#This Row],[CAS No.]], [1]규제DB_산안법_노출기준설정물질!$B:$K,10,FALSE),"")</f>
        <v/>
      </c>
      <c r="BT29" s="13" t="str">
        <f>IFERROR(IF(표1[[#This Row],[함량(W%)]]&gt;=VLOOKUP(표1[[#This Row],[CAS No.]], [1]규제DB_산안법_작업환경측정대상유해인자!$B:$F,5,FALSE), "제품 작업환경측정대상유해인자",""),"")</f>
        <v/>
      </c>
      <c r="BU29" s="13" t="str">
        <f>IFERROR(IF(표1[[#This Row],[CAS No.]]=VLOOKUP(표1[[#This Row],[CAS No.]], [1]규제DB_산안법_특수건강진단대상유해인자!$B:$C,1,FALSE), "제품 특수건강진단대상유해인자",""),"")</f>
        <v/>
      </c>
      <c r="BV29" s="13" t="str">
        <f>IFERROR(IF(VLOOKUP(표1[[#This Row],[CAS No.]],[1]규제DB_고용노동부고시_CMR!$B:$J,3,FALSE)="구분1A", IF(표1[[#This Row],[함량(W%)]]&gt;=VLOOKUP(표1[[#This Row],[CAS No.]],[1]규제DB_고용노동부고시_CMR!$B:$J,4,FALSE),"제품 발암성물질",""), IF(VLOOKUP(표1[[#This Row],[CAS No.]],[1]규제DB_고용노동부고시_CMR!$B:$J,3,FALSE)="구분1B", IF(표1[[#This Row],[함량(W%)]]&gt;=VLOOKUP(표1[[#This Row],[CAS No.]],[1]규제DB_고용노동부고시_CMR!$B:$J,4,FALSE),"제품 발암성물질",""), IF(VLOOKUP(표1[[#This Row],[CAS No.]],[1]규제DB_고용노동부고시_CMR!$B:$J,3,FALSE)="구분2", IF(표1[[#This Row],[함량(W%)]]&gt;=VLOOKUP(표1[[#This Row],[CAS No.]],[1]규제DB_고용노동부고시_CMR!$B:$J,4,FALSE),"제품 발암성물질",""),""))),"")</f>
        <v/>
      </c>
      <c r="BW29" s="13" t="str">
        <f>IFERROR(IF(VLOOKUP(표1[[#This Row],[CAS No.]],[1]규제DB_고용노동부고시_CMR!$B:$J,5,FALSE)="구분1A", IF(표1[[#This Row],[함량(W%)]]&gt;=VLOOKUP(표1[[#This Row],[CAS No.]],[1]규제DB_고용노동부고시_CMR!$B:$J,6,FALSE),"제품 생식세포변이원성물질",""), IF(VLOOKUP(표1[[#This Row],[CAS No.]],[1]규제DB_고용노동부고시_CMR!$B:$J,5,FALSE)="구분1B", IF(표1[[#This Row],[함량(W%)]]&gt;=VLOOKUP(표1[[#This Row],[CAS No.]],[1]규제DB_고용노동부고시_CMR!$B:$J,6,FALSE),"제품 생식세포변이원성물질",""), IF(VLOOKUP(표1[[#This Row],[CAS No.]],[1]규제DB_고용노동부고시_CMR!$B:$J,5,FALSE)="구분2", IF(표1[[#This Row],[함량(W%)]]&gt;=VLOOKUP(표1[[#This Row],[CAS No.]],[1]규제DB_고용노동부고시_CMR!$B:$J,6,FALSE),"제품 생식세포변이원성물질",""),""))),"")</f>
        <v/>
      </c>
      <c r="BX29" s="13" t="str">
        <f>IFERROR(IF(VLOOKUP(표1[[#This Row],[CAS No.]],[1]규제DB_고용노동부고시_CMR!$B:$J,7,FALSE)="구분1A", IF(표1[[#This Row],[함량(W%)]]&gt;=VLOOKUP(표1[[#This Row],[CAS No.]],[1]규제DB_고용노동부고시_CMR!$B:$J,8,FALSE),"제품 생식독성물질",""), IF(VLOOKUP(표1[[#This Row],[CAS No.]],[1]규제DB_고용노동부고시_CMR!$B:$J,7,FALSE)="구분1B", IF(표1[[#This Row],[함량(W%)]]&gt;=VLOOKUP(표1[[#This Row],[CAS No.]],[1]규제DB_고용노동부고시_CMR!$B:$J,8,FALSE),"제품 생식독성물질",""), IF(VLOOKUP(표1[[#This Row],[CAS No.]],[1]규제DB_고용노동부고시_CMR!$B:$J,7,FALSE)="구분2", IF(표1[[#This Row],[함량(W%)]]&gt;=VLOOKUP(표1[[#This Row],[CAS No.]],[1]규제DB_고용노동부고시_CMR!$B:$J,8,FALSE),"제품 생식독성물질",""),""))),"")</f>
        <v/>
      </c>
      <c r="BY29" s="13"/>
      <c r="BZ29" s="13" t="str">
        <f>IFERROR(IF(표1[[#This Row],[CAS No.]]=VLOOKUP(표1[[#This Row],[CAS No.]],[1]규제DB_고압법_독성가스!$B:$D,1,FALSE),"독성가스",""),"")</f>
        <v/>
      </c>
      <c r="CA29" s="13" t="str">
        <f>IFERROR(IF(표1[[#This Row],[CAS No.]]=VLOOKUP(표1[[#This Row],[CAS No.]],[1]규제DB_고압법_가연성가스!$B:$D,1,FALSE),"가연성가스",""),"")</f>
        <v/>
      </c>
      <c r="CB29" s="13" t="str">
        <f>IFERROR(IF(표1[[#This Row],[CAS No.]]=VLOOKUP(표1[[#This Row],[CAS No.]],[1]규제DB_고압법_특수고압가스!$B:$D,1,FALSE),"특수고압가스",""),"")</f>
        <v/>
      </c>
      <c r="CC29" s="13" t="str">
        <f>IFERROR(IF(표1[[#This Row],[CAS No.]]=VLOOKUP(표1[[#This Row],[CAS No.]],[1]규제DB_고압법_특정고압가스!$B:$D,1,FALSE),"특정고압가스",""),"")</f>
        <v/>
      </c>
      <c r="CD29" s="13" t="str">
        <f>IFERROR(IF(표1[[#This Row],[함량(W%)]]&gt;=VLOOKUP(표1[[#This Row],[CAS No.]],[1]규제DB_화관법_개별취급기준!$B:$G,5,FALSE),VLOOKUP(표1[[#This Row],[CAS No.]],[1]규제DB_화관법_개별취급기준!$B:$G,6,FALSE),""),"")</f>
        <v/>
      </c>
    </row>
    <row r="30" spans="1:82" ht="27.95" customHeight="1">
      <c r="A30" s="13">
        <v>29</v>
      </c>
      <c r="B30" s="2"/>
      <c r="C30" s="3" t="s">
        <v>103</v>
      </c>
      <c r="D30" s="4"/>
      <c r="E30" s="50" t="s">
        <v>114</v>
      </c>
      <c r="F30" s="3" t="s">
        <v>77</v>
      </c>
      <c r="G30" s="5" t="s">
        <v>78</v>
      </c>
      <c r="H30" s="3" t="s">
        <v>79</v>
      </c>
      <c r="I30" s="50" t="s">
        <v>102</v>
      </c>
      <c r="J30" s="3" t="s">
        <v>166</v>
      </c>
      <c r="K30" s="3" t="s">
        <v>166</v>
      </c>
      <c r="L30" s="3"/>
      <c r="M30" s="5" t="s">
        <v>80</v>
      </c>
      <c r="N30" s="5" t="s">
        <v>179</v>
      </c>
      <c r="O30" s="53" t="s">
        <v>81</v>
      </c>
      <c r="P30" s="55" t="s">
        <v>98</v>
      </c>
      <c r="Q30" s="54">
        <v>18</v>
      </c>
      <c r="R30" s="6">
        <v>18</v>
      </c>
      <c r="S30" s="17"/>
      <c r="T30" s="17"/>
      <c r="U30" s="6">
        <v>18</v>
      </c>
      <c r="V30" s="6">
        <v>18</v>
      </c>
      <c r="W30" s="8" t="str">
        <f>표1[[#This Row],[자재코드]]&amp;"_"&amp;표1[[#This Row],[자재명]]&amp;"_"&amp;표1[[#This Row],[공급업체명]]</f>
        <v>_NEW BEST ONE DRY_한국특수잉크공업</v>
      </c>
      <c r="X30" s="51" t="s">
        <v>146</v>
      </c>
      <c r="Y30" s="2"/>
      <c r="Z30" s="2"/>
      <c r="AA30" s="2"/>
      <c r="AB30" s="50">
        <v>5</v>
      </c>
      <c r="AC30" s="20" t="s">
        <v>86</v>
      </c>
      <c r="AD30" s="9" t="s">
        <v>83</v>
      </c>
      <c r="AE30" s="10" t="s">
        <v>84</v>
      </c>
      <c r="AF30" s="10" t="s">
        <v>84</v>
      </c>
      <c r="AG30" s="11"/>
      <c r="AH30" s="50" t="s">
        <v>192</v>
      </c>
      <c r="AI30" s="12">
        <f>IFERROR(표1[[#This Row],[사용량(kg)]]*표1[[#This Row],[함량(W%)]]/100,"")</f>
        <v>0.9</v>
      </c>
      <c r="AJ30" s="13"/>
      <c r="AK30" s="13"/>
      <c r="AL30" s="14"/>
      <c r="AM30" s="15"/>
      <c r="AN30" s="13"/>
      <c r="AO30" s="13"/>
      <c r="AP30" s="13"/>
      <c r="AQ30" s="13"/>
      <c r="AR30" s="13" t="str">
        <f>IFERROR(IF(표1[[#This Row],[함량(W%)]]&gt;=VLOOKUP(표1[[#This Row],[CAS No.]],[1]규제DB_유해법_유독물!B:F,5,FALSE),"유독물질 제품",""),"")</f>
        <v/>
      </c>
      <c r="AS30" s="13" t="str">
        <f>IFERROR(VLOOKUP(표1[[#This Row],[CAS No.]],[1]규제DB_유해법_금지물질!B:G,3,FALSE),"")</f>
        <v/>
      </c>
      <c r="AT30" s="13" t="str">
        <f>IFERROR(VLOOKUP(표1[[#This Row],[CAS No.]],[1]규제DB_유해법_금지물질!B:G,4,FALSE)&amp;" 인지 확인하세요","")</f>
        <v/>
      </c>
      <c r="AU30" s="13" t="str">
        <f>IFERROR(VLOOKUP(표1[[#This Row],[CAS No.]],[1]규제DB_유해법_제한물질!B:G,3,FALSE),"")</f>
        <v/>
      </c>
      <c r="AV30" s="13" t="str">
        <f>IFERROR(IF(표1[[#This Row],[함량(W%)]]&gt;=VLOOKUP(표1[[#This Row],[CAS No.]],[1]규제DB_유해법_제한물질!$B:$G,5,FALSE),"제한 제품",""),"")</f>
        <v/>
      </c>
      <c r="AW30" s="13" t="str">
        <f>IFERROR(VLOOKUP(표1[[#This Row],[CAS No.]],[1]규제DB_유해법_사고대비물질!B:J,2,FALSE),"")</f>
        <v/>
      </c>
      <c r="AX30" s="13" t="str">
        <f>IFERROR(IF(표1[[#This Row],[함량(W%)]]&gt;=VLOOKUP(표1[[#This Row],[CAS No.]],[1]규제DB_유해법_사고대비물질!$B:$J,4,FALSE),"사고대비물질 제품",""),"")</f>
        <v/>
      </c>
      <c r="AY30" s="16" t="str">
        <f>IFERROR(VLOOKUP(표1[[#This Row],[CAS No.]],[1]규제DB_유해법_사고대비물질!$B:$J,5,FALSE),"")</f>
        <v/>
      </c>
      <c r="AZ30" s="16" t="str">
        <f>IFERROR(VLOOKUP(표1[[#This Row],[CAS No.]],[1]규제DB_유해법_사고대비물질!$B:$J,6,FALSE),"")</f>
        <v/>
      </c>
      <c r="BA30" s="17" t="str">
        <f>IFERROR(IF(표1[[#This Row],[함량(W%)]]&gt;=VLOOKUP(표1[[#This Row],[CAS No.]],[1]규제DB_유해법_사고대비물질!$B:$J,4,FALSE),VLOOKUP(표1[[#This Row],[CAS No.]],[1]규제DB_유해법_사고대비물질!$B$2:$J$70,7,FALSE),""),"")</f>
        <v/>
      </c>
      <c r="BB30" s="17" t="str">
        <f>IFERROR(IF(표1[[#This Row],[함량(W%)]]&gt;=VLOOKUP(표1[[#This Row],[CAS No.]],[1]규제DB_유해법_사고대비물질!$B:$J,4,FALSE),VLOOKUP(표1[[#This Row],[CAS No.]],[1]규제DB_유해법_사고대비물질!$B$2:$J$70,8,FALSE),""),"")</f>
        <v/>
      </c>
      <c r="BC30" s="17" t="str">
        <f>IFERROR(IF(표1[[#This Row],[함량(W%)]]&gt;=VLOOKUP(표1[[#This Row],[CAS No.]],[1]규제DB_유해법_사고대비물질!$B:$J,4,FALSE),VLOOKUP(표1[[#This Row],[CAS No.]],[1]규제DB_유해법_사고대비물질!$B$2:$J$70,9,FALSE),""),"")</f>
        <v/>
      </c>
      <c r="BD30" s="18" t="str">
        <f>IFERROR(IF(표1[[#This Row],[함량(W%)]]&gt;=VLOOKUP(표1[[#This Row],[CAS No.]],'[1]규제DB_유해법_배출량조사 I'!$B:$D,3,FALSE),IF(VLOOKUP(표1[[#This Row],[CAS No.]],[1]기초자료!$A:$C,3,FALSE)&gt;=1000,"배출량조사 I 물질",""),""),"")</f>
        <v/>
      </c>
      <c r="BE30" s="18"/>
      <c r="BF30" s="13" t="str">
        <f>IFERROR(IF(표1[[#This Row],[함량(W%)]]&gt;=VLOOKUP(표1[[#This Row],[CAS No.]],[1]규제DB_산안법_금지물질!$B:$E,4,FALSE), VLOOKUP(표1[[#This Row],[CAS No.]],[1]규제DB_산안법_금지물질!$B:$E,2,FALSE)&amp;" : "&amp;VLOOKUP(표1[[#This Row],[CAS No.]],[1]규제DB_산안법_금지물질!$B:$E,3,FALSE)&amp;" 인지 확인하세요",""),"")</f>
        <v/>
      </c>
      <c r="BG30" s="13" t="str">
        <f>IFERROR(IF(표1[[#This Row],[함량(W%)]]&gt;=VLOOKUP(표1[[#This Row],[CAS No.]],[1]규제DB_산안법_허가물질!$B:$E,4,FALSE), "제품 허가물질",""),"")</f>
        <v/>
      </c>
      <c r="BH30" s="13" t="str">
        <f>IFERROR(IF(표1[[#This Row],[함량(W%)]]&gt;=VLOOKUP(표1[[#This Row],[CAS No.]], [1]규제DB_산안법_특별관리물질!$B:$E,4,FALSE), "제품 특별관리물질",""),"")</f>
        <v/>
      </c>
      <c r="BI30" s="13" t="str">
        <f>IFERROR(IF(표1[[#This Row],[함량(W%)]]&gt;=VLOOKUP(표1[[#This Row],[CAS No.]], [1]규제DB_산안법_관리대상유해물질!$B:$E,4,FALSE), "제품 관리대상유해물질",""),"")</f>
        <v/>
      </c>
      <c r="BJ30" s="13" t="str">
        <f>IFERROR(IF(표1[[#This Row],[CAS No.]]=VLOOKUP(표1[[#This Row],[CAS No.]], [1]규제DB_산안법_허용기준이하물질!$B:$D,1,FALSE),"제품 허용기준이하물질",""),"")</f>
        <v/>
      </c>
      <c r="BK30" s="13" t="str">
        <f>IFERROR(VLOOKUP(표1[[#This Row],[CAS No.]], [1]규제DB_산안법_허용기준이하물질!$B:$D,3,FALSE),"")</f>
        <v/>
      </c>
      <c r="BL30" s="13"/>
      <c r="BM30" s="13" t="str">
        <f>IFERROR(VLOOKUP(표1[[#This Row],[CAS No.]], [1]규제DB_산안법_노출기준설정물질!$B:$K,3,FALSE),"")</f>
        <v/>
      </c>
      <c r="BN30" s="13" t="str">
        <f>IFERROR(VLOOKUP(표1[[#This Row],[CAS No.]], [1]규제DB_산안법_노출기준설정물질!$B:$K,4,FALSE),"")</f>
        <v/>
      </c>
      <c r="BO30" s="13" t="str">
        <f>IFERROR(VLOOKUP(표1[[#This Row],[CAS No.]], [1]규제DB_산안법_노출기준설정물질!$B:$K,5,FALSE),"")</f>
        <v/>
      </c>
      <c r="BP30" s="13" t="str">
        <f>IFERROR(VLOOKUP(표1[[#This Row],[CAS No.]], [1]규제DB_산안법_노출기준설정물질!$B:$K,7,FALSE),"")</f>
        <v/>
      </c>
      <c r="BQ30" s="13" t="str">
        <f>IFERROR(VLOOKUP(표1[[#This Row],[CAS No.]], [1]규제DB_산안법_노출기준설정물질!$B:$K,8,FALSE),"")</f>
        <v/>
      </c>
      <c r="BR30" s="13" t="str">
        <f>IFERROR(VLOOKUP(표1[[#This Row],[CAS No.]], [1]규제DB_산안법_노출기준설정물질!$B:$K,9,FALSE),"")</f>
        <v/>
      </c>
      <c r="BS30" s="13" t="str">
        <f>IFERROR(VLOOKUP(표1[[#This Row],[CAS No.]], [1]규제DB_산안법_노출기준설정물질!$B:$K,10,FALSE),"")</f>
        <v/>
      </c>
      <c r="BT30" s="13" t="str">
        <f>IFERROR(IF(표1[[#This Row],[함량(W%)]]&gt;=VLOOKUP(표1[[#This Row],[CAS No.]], [1]규제DB_산안법_작업환경측정대상유해인자!$B:$F,5,FALSE), "제품 작업환경측정대상유해인자",""),"")</f>
        <v/>
      </c>
      <c r="BU30" s="13" t="str">
        <f>IFERROR(IF(표1[[#This Row],[CAS No.]]=VLOOKUP(표1[[#This Row],[CAS No.]], [1]규제DB_산안법_특수건강진단대상유해인자!$B:$C,1,FALSE), "제품 특수건강진단대상유해인자",""),"")</f>
        <v/>
      </c>
      <c r="BV30" s="13" t="str">
        <f>IFERROR(IF(VLOOKUP(표1[[#This Row],[CAS No.]],[1]규제DB_고용노동부고시_CMR!$B:$J,3,FALSE)="구분1A", IF(표1[[#This Row],[함량(W%)]]&gt;=VLOOKUP(표1[[#This Row],[CAS No.]],[1]규제DB_고용노동부고시_CMR!$B:$J,4,FALSE),"제품 발암성물질",""), IF(VLOOKUP(표1[[#This Row],[CAS No.]],[1]규제DB_고용노동부고시_CMR!$B:$J,3,FALSE)="구분1B", IF(표1[[#This Row],[함량(W%)]]&gt;=VLOOKUP(표1[[#This Row],[CAS No.]],[1]규제DB_고용노동부고시_CMR!$B:$J,4,FALSE),"제품 발암성물질",""), IF(VLOOKUP(표1[[#This Row],[CAS No.]],[1]규제DB_고용노동부고시_CMR!$B:$J,3,FALSE)="구분2", IF(표1[[#This Row],[함량(W%)]]&gt;=VLOOKUP(표1[[#This Row],[CAS No.]],[1]규제DB_고용노동부고시_CMR!$B:$J,4,FALSE),"제품 발암성물질",""),""))),"")</f>
        <v/>
      </c>
      <c r="BW30" s="13" t="str">
        <f>IFERROR(IF(VLOOKUP(표1[[#This Row],[CAS No.]],[1]규제DB_고용노동부고시_CMR!$B:$J,5,FALSE)="구분1A", IF(표1[[#This Row],[함량(W%)]]&gt;=VLOOKUP(표1[[#This Row],[CAS No.]],[1]규제DB_고용노동부고시_CMR!$B:$J,6,FALSE),"제품 생식세포변이원성물질",""), IF(VLOOKUP(표1[[#This Row],[CAS No.]],[1]규제DB_고용노동부고시_CMR!$B:$J,5,FALSE)="구분1B", IF(표1[[#This Row],[함량(W%)]]&gt;=VLOOKUP(표1[[#This Row],[CAS No.]],[1]규제DB_고용노동부고시_CMR!$B:$J,6,FALSE),"제품 생식세포변이원성물질",""), IF(VLOOKUP(표1[[#This Row],[CAS No.]],[1]규제DB_고용노동부고시_CMR!$B:$J,5,FALSE)="구분2", IF(표1[[#This Row],[함량(W%)]]&gt;=VLOOKUP(표1[[#This Row],[CAS No.]],[1]규제DB_고용노동부고시_CMR!$B:$J,6,FALSE),"제품 생식세포변이원성물질",""),""))),"")</f>
        <v/>
      </c>
      <c r="BX30" s="13" t="str">
        <f>IFERROR(IF(VLOOKUP(표1[[#This Row],[CAS No.]],[1]규제DB_고용노동부고시_CMR!$B:$J,7,FALSE)="구분1A", IF(표1[[#This Row],[함량(W%)]]&gt;=VLOOKUP(표1[[#This Row],[CAS No.]],[1]규제DB_고용노동부고시_CMR!$B:$J,8,FALSE),"제품 생식독성물질",""), IF(VLOOKUP(표1[[#This Row],[CAS No.]],[1]규제DB_고용노동부고시_CMR!$B:$J,7,FALSE)="구분1B", IF(표1[[#This Row],[함량(W%)]]&gt;=VLOOKUP(표1[[#This Row],[CAS No.]],[1]규제DB_고용노동부고시_CMR!$B:$J,8,FALSE),"제품 생식독성물질",""), IF(VLOOKUP(표1[[#This Row],[CAS No.]],[1]규제DB_고용노동부고시_CMR!$B:$J,7,FALSE)="구분2", IF(표1[[#This Row],[함량(W%)]]&gt;=VLOOKUP(표1[[#This Row],[CAS No.]],[1]규제DB_고용노동부고시_CMR!$B:$J,8,FALSE),"제품 생식독성물질",""),""))),"")</f>
        <v/>
      </c>
      <c r="BY30" s="13"/>
      <c r="BZ30" s="13" t="str">
        <f>IFERROR(IF(표1[[#This Row],[CAS No.]]=VLOOKUP(표1[[#This Row],[CAS No.]],[1]규제DB_고압법_독성가스!$B:$D,1,FALSE),"독성가스",""),"")</f>
        <v/>
      </c>
      <c r="CA30" s="13" t="str">
        <f>IFERROR(IF(표1[[#This Row],[CAS No.]]=VLOOKUP(표1[[#This Row],[CAS No.]],[1]규제DB_고압법_가연성가스!$B:$D,1,FALSE),"가연성가스",""),"")</f>
        <v/>
      </c>
      <c r="CB30" s="13" t="str">
        <f>IFERROR(IF(표1[[#This Row],[CAS No.]]=VLOOKUP(표1[[#This Row],[CAS No.]],[1]규제DB_고압법_특수고압가스!$B:$D,1,FALSE),"특수고압가스",""),"")</f>
        <v/>
      </c>
      <c r="CC30" s="13" t="str">
        <f>IFERROR(IF(표1[[#This Row],[CAS No.]]=VLOOKUP(표1[[#This Row],[CAS No.]],[1]규제DB_고압법_특정고압가스!$B:$D,1,FALSE),"특정고압가스",""),"")</f>
        <v/>
      </c>
      <c r="CD30" s="13" t="str">
        <f>IFERROR(IF(표1[[#This Row],[함량(W%)]]&gt;=VLOOKUP(표1[[#This Row],[CAS No.]],[1]규제DB_화관법_개별취급기준!$B:$G,5,FALSE),VLOOKUP(표1[[#This Row],[CAS No.]],[1]규제DB_화관법_개별취급기준!$B:$G,6,FALSE),""),"")</f>
        <v/>
      </c>
    </row>
    <row r="31" spans="1:82" ht="27.95" customHeight="1">
      <c r="A31" s="13">
        <v>30</v>
      </c>
      <c r="B31" s="2"/>
      <c r="C31" s="3" t="s">
        <v>103</v>
      </c>
      <c r="D31" s="14"/>
      <c r="E31" s="50" t="s">
        <v>114</v>
      </c>
      <c r="F31" s="3" t="s">
        <v>77</v>
      </c>
      <c r="G31" s="5" t="s">
        <v>78</v>
      </c>
      <c r="H31" s="3" t="s">
        <v>79</v>
      </c>
      <c r="I31" s="50" t="s">
        <v>102</v>
      </c>
      <c r="J31" s="3" t="s">
        <v>166</v>
      </c>
      <c r="K31" s="3" t="s">
        <v>166</v>
      </c>
      <c r="L31" s="3"/>
      <c r="M31" s="5" t="s">
        <v>80</v>
      </c>
      <c r="N31" s="5" t="s">
        <v>179</v>
      </c>
      <c r="O31" s="53" t="s">
        <v>81</v>
      </c>
      <c r="P31" s="55" t="s">
        <v>95</v>
      </c>
      <c r="Q31" s="54">
        <v>18</v>
      </c>
      <c r="R31" s="6">
        <v>18</v>
      </c>
      <c r="S31" s="17"/>
      <c r="T31" s="17"/>
      <c r="U31" s="6">
        <v>18</v>
      </c>
      <c r="V31" s="6">
        <v>18</v>
      </c>
      <c r="W31" s="8" t="str">
        <f>표1[[#This Row],[자재코드]]&amp;"_"&amp;표1[[#This Row],[자재명]]&amp;"_"&amp;표1[[#This Row],[공급업체명]]</f>
        <v>_NEW BEST ONE DRY_한국특수잉크공업</v>
      </c>
      <c r="X31" s="51" t="s">
        <v>150</v>
      </c>
      <c r="Y31" s="13"/>
      <c r="Z31" s="13"/>
      <c r="AA31" s="13"/>
      <c r="AB31" s="50">
        <v>20</v>
      </c>
      <c r="AC31" s="20" t="s">
        <v>86</v>
      </c>
      <c r="AD31" s="9" t="s">
        <v>83</v>
      </c>
      <c r="AE31" s="10" t="s">
        <v>84</v>
      </c>
      <c r="AF31" s="10" t="s">
        <v>84</v>
      </c>
      <c r="AG31" s="11"/>
      <c r="AH31" s="50" t="s">
        <v>196</v>
      </c>
      <c r="AI31" s="12">
        <f>IFERROR(표1[[#This Row],[사용량(kg)]]*표1[[#This Row],[함량(W%)]]/100,"")</f>
        <v>3.6</v>
      </c>
      <c r="AJ31" s="13"/>
      <c r="AK31" s="13"/>
      <c r="AL31" s="14"/>
      <c r="AM31" s="15"/>
      <c r="AN31" s="13"/>
      <c r="AO31" s="13"/>
      <c r="AP31" s="13"/>
      <c r="AQ31" s="13"/>
      <c r="AR31" s="13" t="str">
        <f>IFERROR(IF(표1[[#This Row],[함량(W%)]]&gt;=VLOOKUP(표1[[#This Row],[CAS No.]],[1]규제DB_유해법_유독물!B:F,5,FALSE),"유독물질 제품",""),"")</f>
        <v/>
      </c>
      <c r="AS31" s="13" t="str">
        <f>IFERROR(VLOOKUP(표1[[#This Row],[CAS No.]],[1]규제DB_유해법_금지물질!B:G,3,FALSE),"")</f>
        <v/>
      </c>
      <c r="AT31" s="13" t="str">
        <f>IFERROR(VLOOKUP(표1[[#This Row],[CAS No.]],[1]규제DB_유해법_금지물질!B:G,4,FALSE)&amp;" 인지 확인하세요","")</f>
        <v/>
      </c>
      <c r="AU31" s="13" t="str">
        <f>IFERROR(VLOOKUP(표1[[#This Row],[CAS No.]],[1]규제DB_유해법_제한물질!B:G,3,FALSE),"")</f>
        <v/>
      </c>
      <c r="AV31" s="13" t="str">
        <f>IFERROR(IF(표1[[#This Row],[함량(W%)]]&gt;=VLOOKUP(표1[[#This Row],[CAS No.]],[1]규제DB_유해법_제한물질!$B:$G,5,FALSE),"제한 제품",""),"")</f>
        <v/>
      </c>
      <c r="AW31" s="13" t="str">
        <f>IFERROR(VLOOKUP(표1[[#This Row],[CAS No.]],[1]규제DB_유해법_사고대비물질!B:J,2,FALSE),"")</f>
        <v/>
      </c>
      <c r="AX31" s="13" t="str">
        <f>IFERROR(IF(표1[[#This Row],[함량(W%)]]&gt;=VLOOKUP(표1[[#This Row],[CAS No.]],[1]규제DB_유해법_사고대비물질!$B:$J,4,FALSE),"사고대비물질 제품",""),"")</f>
        <v/>
      </c>
      <c r="AY31" s="16" t="str">
        <f>IFERROR(VLOOKUP(표1[[#This Row],[CAS No.]],[1]규제DB_유해법_사고대비물질!$B:$J,5,FALSE),"")</f>
        <v/>
      </c>
      <c r="AZ31" s="16" t="str">
        <f>IFERROR(VLOOKUP(표1[[#This Row],[CAS No.]],[1]규제DB_유해법_사고대비물질!$B:$J,6,FALSE),"")</f>
        <v/>
      </c>
      <c r="BA31" s="17" t="str">
        <f>IFERROR(IF(표1[[#This Row],[함량(W%)]]&gt;=VLOOKUP(표1[[#This Row],[CAS No.]],[1]규제DB_유해법_사고대비물질!$B:$J,4,FALSE),VLOOKUP(표1[[#This Row],[CAS No.]],[1]규제DB_유해법_사고대비물질!$B$2:$J$70,7,FALSE),""),"")</f>
        <v/>
      </c>
      <c r="BB31" s="17" t="str">
        <f>IFERROR(IF(표1[[#This Row],[함량(W%)]]&gt;=VLOOKUP(표1[[#This Row],[CAS No.]],[1]규제DB_유해법_사고대비물질!$B:$J,4,FALSE),VLOOKUP(표1[[#This Row],[CAS No.]],[1]규제DB_유해법_사고대비물질!$B$2:$J$70,8,FALSE),""),"")</f>
        <v/>
      </c>
      <c r="BC31" s="17" t="str">
        <f>IFERROR(IF(표1[[#This Row],[함량(W%)]]&gt;=VLOOKUP(표1[[#This Row],[CAS No.]],[1]규제DB_유해법_사고대비물질!$B:$J,4,FALSE),VLOOKUP(표1[[#This Row],[CAS No.]],[1]규제DB_유해법_사고대비물질!$B$2:$J$70,9,FALSE),""),"")</f>
        <v/>
      </c>
      <c r="BD31" s="18" t="str">
        <f>IFERROR(IF(표1[[#This Row],[함량(W%)]]&gt;=VLOOKUP(표1[[#This Row],[CAS No.]],'[1]규제DB_유해법_배출량조사 I'!$B:$D,3,FALSE),IF(VLOOKUP(표1[[#This Row],[CAS No.]],[1]기초자료!$A:$C,3,FALSE)&gt;=1000,"배출량조사 I 물질",""),""),"")</f>
        <v/>
      </c>
      <c r="BE31" s="18"/>
      <c r="BF31" s="13" t="str">
        <f>IFERROR(IF(표1[[#This Row],[함량(W%)]]&gt;=VLOOKUP(표1[[#This Row],[CAS No.]],[1]규제DB_산안법_금지물질!$B:$E,4,FALSE), VLOOKUP(표1[[#This Row],[CAS No.]],[1]규제DB_산안법_금지물질!$B:$E,2,FALSE)&amp;" : "&amp;VLOOKUP(표1[[#This Row],[CAS No.]],[1]규제DB_산안법_금지물질!$B:$E,3,FALSE)&amp;" 인지 확인하세요",""),"")</f>
        <v/>
      </c>
      <c r="BG31" s="13" t="str">
        <f>IFERROR(IF(표1[[#This Row],[함량(W%)]]&gt;=VLOOKUP(표1[[#This Row],[CAS No.]],[1]규제DB_산안법_허가물질!$B:$E,4,FALSE), "제품 허가물질",""),"")</f>
        <v/>
      </c>
      <c r="BH31" s="13" t="str">
        <f>IFERROR(IF(표1[[#This Row],[함량(W%)]]&gt;=VLOOKUP(표1[[#This Row],[CAS No.]], [1]규제DB_산안법_특별관리물질!$B:$E,4,FALSE), "제품 특별관리물질",""),"")</f>
        <v/>
      </c>
      <c r="BI31" s="13" t="str">
        <f>IFERROR(IF(표1[[#This Row],[함량(W%)]]&gt;=VLOOKUP(표1[[#This Row],[CAS No.]], [1]규제DB_산안법_관리대상유해물질!$B:$E,4,FALSE), "제품 관리대상유해물질",""),"")</f>
        <v/>
      </c>
      <c r="BJ31" s="13" t="str">
        <f>IFERROR(IF(표1[[#This Row],[CAS No.]]=VLOOKUP(표1[[#This Row],[CAS No.]], [1]규제DB_산안법_허용기준이하물질!$B:$D,1,FALSE),"제품 허용기준이하물질",""),"")</f>
        <v/>
      </c>
      <c r="BK31" s="13" t="str">
        <f>IFERROR(VLOOKUP(표1[[#This Row],[CAS No.]], [1]규제DB_산안법_허용기준이하물질!$B:$D,3,FALSE),"")</f>
        <v/>
      </c>
      <c r="BL31" s="13"/>
      <c r="BM31" s="13" t="str">
        <f>IFERROR(VLOOKUP(표1[[#This Row],[CAS No.]], [1]규제DB_산안법_노출기준설정물질!$B:$K,3,FALSE),"")</f>
        <v/>
      </c>
      <c r="BN31" s="13" t="str">
        <f>IFERROR(VLOOKUP(표1[[#This Row],[CAS No.]], [1]규제DB_산안법_노출기준설정물질!$B:$K,4,FALSE),"")</f>
        <v/>
      </c>
      <c r="BO31" s="13" t="str">
        <f>IFERROR(VLOOKUP(표1[[#This Row],[CAS No.]], [1]규제DB_산안법_노출기준설정물질!$B:$K,5,FALSE),"")</f>
        <v/>
      </c>
      <c r="BP31" s="13" t="str">
        <f>IFERROR(VLOOKUP(표1[[#This Row],[CAS No.]], [1]규제DB_산안법_노출기준설정물질!$B:$K,7,FALSE),"")</f>
        <v/>
      </c>
      <c r="BQ31" s="13" t="str">
        <f>IFERROR(VLOOKUP(표1[[#This Row],[CAS No.]], [1]규제DB_산안법_노출기준설정물질!$B:$K,8,FALSE),"")</f>
        <v/>
      </c>
      <c r="BR31" s="13" t="str">
        <f>IFERROR(VLOOKUP(표1[[#This Row],[CAS No.]], [1]규제DB_산안법_노출기준설정물질!$B:$K,9,FALSE),"")</f>
        <v/>
      </c>
      <c r="BS31" s="13" t="str">
        <f>IFERROR(VLOOKUP(표1[[#This Row],[CAS No.]], [1]규제DB_산안법_노출기준설정물질!$B:$K,10,FALSE),"")</f>
        <v/>
      </c>
      <c r="BT31" s="13" t="str">
        <f>IFERROR(IF(표1[[#This Row],[함량(W%)]]&gt;=VLOOKUP(표1[[#This Row],[CAS No.]], [1]규제DB_산안법_작업환경측정대상유해인자!$B:$F,5,FALSE), "제품 작업환경측정대상유해인자",""),"")</f>
        <v/>
      </c>
      <c r="BU31" s="13" t="str">
        <f>IFERROR(IF(표1[[#This Row],[CAS No.]]=VLOOKUP(표1[[#This Row],[CAS No.]], [1]규제DB_산안법_특수건강진단대상유해인자!$B:$C,1,FALSE), "제품 특수건강진단대상유해인자",""),"")</f>
        <v/>
      </c>
      <c r="BV31" s="13" t="str">
        <f>IFERROR(IF(VLOOKUP(표1[[#This Row],[CAS No.]],[1]규제DB_고용노동부고시_CMR!$B:$J,3,FALSE)="구분1A", IF(표1[[#This Row],[함량(W%)]]&gt;=VLOOKUP(표1[[#This Row],[CAS No.]],[1]규제DB_고용노동부고시_CMR!$B:$J,4,FALSE),"제품 발암성물질",""), IF(VLOOKUP(표1[[#This Row],[CAS No.]],[1]규제DB_고용노동부고시_CMR!$B:$J,3,FALSE)="구분1B", IF(표1[[#This Row],[함량(W%)]]&gt;=VLOOKUP(표1[[#This Row],[CAS No.]],[1]규제DB_고용노동부고시_CMR!$B:$J,4,FALSE),"제품 발암성물질",""), IF(VLOOKUP(표1[[#This Row],[CAS No.]],[1]규제DB_고용노동부고시_CMR!$B:$J,3,FALSE)="구분2", IF(표1[[#This Row],[함량(W%)]]&gt;=VLOOKUP(표1[[#This Row],[CAS No.]],[1]규제DB_고용노동부고시_CMR!$B:$J,4,FALSE),"제품 발암성물질",""),""))),"")</f>
        <v/>
      </c>
      <c r="BW31" s="13" t="str">
        <f>IFERROR(IF(VLOOKUP(표1[[#This Row],[CAS No.]],[1]규제DB_고용노동부고시_CMR!$B:$J,5,FALSE)="구분1A", IF(표1[[#This Row],[함량(W%)]]&gt;=VLOOKUP(표1[[#This Row],[CAS No.]],[1]규제DB_고용노동부고시_CMR!$B:$J,6,FALSE),"제품 생식세포변이원성물질",""), IF(VLOOKUP(표1[[#This Row],[CAS No.]],[1]규제DB_고용노동부고시_CMR!$B:$J,5,FALSE)="구분1B", IF(표1[[#This Row],[함량(W%)]]&gt;=VLOOKUP(표1[[#This Row],[CAS No.]],[1]규제DB_고용노동부고시_CMR!$B:$J,6,FALSE),"제품 생식세포변이원성물질",""), IF(VLOOKUP(표1[[#This Row],[CAS No.]],[1]규제DB_고용노동부고시_CMR!$B:$J,5,FALSE)="구분2", IF(표1[[#This Row],[함량(W%)]]&gt;=VLOOKUP(표1[[#This Row],[CAS No.]],[1]규제DB_고용노동부고시_CMR!$B:$J,6,FALSE),"제품 생식세포변이원성물질",""),""))),"")</f>
        <v/>
      </c>
      <c r="BX31" s="13" t="str">
        <f>IFERROR(IF(VLOOKUP(표1[[#This Row],[CAS No.]],[1]규제DB_고용노동부고시_CMR!$B:$J,7,FALSE)="구분1A", IF(표1[[#This Row],[함량(W%)]]&gt;=VLOOKUP(표1[[#This Row],[CAS No.]],[1]규제DB_고용노동부고시_CMR!$B:$J,8,FALSE),"제품 생식독성물질",""), IF(VLOOKUP(표1[[#This Row],[CAS No.]],[1]규제DB_고용노동부고시_CMR!$B:$J,7,FALSE)="구분1B", IF(표1[[#This Row],[함량(W%)]]&gt;=VLOOKUP(표1[[#This Row],[CAS No.]],[1]규제DB_고용노동부고시_CMR!$B:$J,8,FALSE),"제품 생식독성물질",""), IF(VLOOKUP(표1[[#This Row],[CAS No.]],[1]규제DB_고용노동부고시_CMR!$B:$J,7,FALSE)="구분2", IF(표1[[#This Row],[함량(W%)]]&gt;=VLOOKUP(표1[[#This Row],[CAS No.]],[1]규제DB_고용노동부고시_CMR!$B:$J,8,FALSE),"제품 생식독성물질",""),""))),"")</f>
        <v/>
      </c>
      <c r="BY31" s="13"/>
      <c r="BZ31" s="13" t="str">
        <f>IFERROR(IF(표1[[#This Row],[CAS No.]]=VLOOKUP(표1[[#This Row],[CAS No.]],[1]규제DB_고압법_독성가스!$B:$D,1,FALSE),"독성가스",""),"")</f>
        <v/>
      </c>
      <c r="CA31" s="13" t="str">
        <f>IFERROR(IF(표1[[#This Row],[CAS No.]]=VLOOKUP(표1[[#This Row],[CAS No.]],[1]규제DB_고압법_가연성가스!$B:$D,1,FALSE),"가연성가스",""),"")</f>
        <v/>
      </c>
      <c r="CB31" s="13" t="str">
        <f>IFERROR(IF(표1[[#This Row],[CAS No.]]=VLOOKUP(표1[[#This Row],[CAS No.]],[1]규제DB_고압법_특수고압가스!$B:$D,1,FALSE),"특수고압가스",""),"")</f>
        <v/>
      </c>
      <c r="CC31" s="13" t="str">
        <f>IFERROR(IF(표1[[#This Row],[CAS No.]]=VLOOKUP(표1[[#This Row],[CAS No.]],[1]규제DB_고압법_특정고압가스!$B:$D,1,FALSE),"특정고압가스",""),"")</f>
        <v/>
      </c>
      <c r="CD31" s="13" t="str">
        <f>IFERROR(IF(표1[[#This Row],[함량(W%)]]&gt;=VLOOKUP(표1[[#This Row],[CAS No.]],[1]규제DB_화관법_개별취급기준!$B:$G,5,FALSE),VLOOKUP(표1[[#This Row],[CAS No.]],[1]규제DB_화관법_개별취급기준!$B:$G,6,FALSE),""),"")</f>
        <v/>
      </c>
    </row>
    <row r="32" spans="1:82" ht="27.95" customHeight="1">
      <c r="A32" s="13">
        <v>31</v>
      </c>
      <c r="B32" s="2"/>
      <c r="C32" s="3" t="s">
        <v>103</v>
      </c>
      <c r="D32" s="14"/>
      <c r="E32" s="50" t="s">
        <v>114</v>
      </c>
      <c r="F32" s="3" t="s">
        <v>77</v>
      </c>
      <c r="G32" s="5" t="s">
        <v>78</v>
      </c>
      <c r="H32" s="3" t="s">
        <v>79</v>
      </c>
      <c r="I32" s="50" t="s">
        <v>102</v>
      </c>
      <c r="J32" s="3" t="s">
        <v>166</v>
      </c>
      <c r="K32" s="3" t="s">
        <v>166</v>
      </c>
      <c r="L32" s="3"/>
      <c r="M32" s="5" t="s">
        <v>80</v>
      </c>
      <c r="N32" s="5" t="s">
        <v>179</v>
      </c>
      <c r="O32" s="53" t="s">
        <v>81</v>
      </c>
      <c r="P32" s="55" t="s">
        <v>95</v>
      </c>
      <c r="Q32" s="54">
        <v>18</v>
      </c>
      <c r="R32" s="6">
        <v>18</v>
      </c>
      <c r="S32" s="17"/>
      <c r="T32" s="17"/>
      <c r="U32" s="6">
        <v>18</v>
      </c>
      <c r="V32" s="6">
        <v>18</v>
      </c>
      <c r="W32" s="8" t="str">
        <f>표1[[#This Row],[자재코드]]&amp;"_"&amp;표1[[#This Row],[자재명]]&amp;"_"&amp;표1[[#This Row],[공급업체명]]</f>
        <v>_NEW BEST ONE DRY_한국특수잉크공업</v>
      </c>
      <c r="X32" s="51" t="s">
        <v>149</v>
      </c>
      <c r="Y32" s="13"/>
      <c r="Z32" s="13"/>
      <c r="AA32" s="13"/>
      <c r="AB32" s="50">
        <v>15</v>
      </c>
      <c r="AC32" s="20" t="s">
        <v>86</v>
      </c>
      <c r="AD32" s="9" t="s">
        <v>83</v>
      </c>
      <c r="AE32" s="10" t="s">
        <v>84</v>
      </c>
      <c r="AF32" s="10" t="s">
        <v>84</v>
      </c>
      <c r="AG32" s="11"/>
      <c r="AH32" s="50" t="s">
        <v>195</v>
      </c>
      <c r="AI32" s="12">
        <f>IFERROR(표1[[#This Row],[사용량(kg)]]*표1[[#This Row],[함량(W%)]]/100,"")</f>
        <v>2.7</v>
      </c>
      <c r="AJ32" s="13"/>
      <c r="AK32" s="13"/>
      <c r="AL32" s="14"/>
      <c r="AM32" s="15"/>
      <c r="AN32" s="13"/>
      <c r="AO32" s="13"/>
      <c r="AP32" s="13"/>
      <c r="AQ32" s="13"/>
      <c r="AR32" s="13" t="str">
        <f>IFERROR(IF(표1[[#This Row],[함량(W%)]]&gt;=VLOOKUP(표1[[#This Row],[CAS No.]],[1]규제DB_유해법_유독물!B:F,5,FALSE),"유독물질 제품",""),"")</f>
        <v/>
      </c>
      <c r="AS32" s="13" t="str">
        <f>IFERROR(VLOOKUP(표1[[#This Row],[CAS No.]],[1]규제DB_유해법_금지물질!B:G,3,FALSE),"")</f>
        <v/>
      </c>
      <c r="AT32" s="13" t="str">
        <f>IFERROR(VLOOKUP(표1[[#This Row],[CAS No.]],[1]규제DB_유해법_금지물질!B:G,4,FALSE)&amp;" 인지 확인하세요","")</f>
        <v/>
      </c>
      <c r="AU32" s="13" t="str">
        <f>IFERROR(VLOOKUP(표1[[#This Row],[CAS No.]],[1]규제DB_유해법_제한물질!B:G,3,FALSE),"")</f>
        <v/>
      </c>
      <c r="AV32" s="13" t="str">
        <f>IFERROR(IF(표1[[#This Row],[함량(W%)]]&gt;=VLOOKUP(표1[[#This Row],[CAS No.]],[1]규제DB_유해법_제한물질!$B:$G,5,FALSE),"제한 제품",""),"")</f>
        <v/>
      </c>
      <c r="AW32" s="13" t="str">
        <f>IFERROR(VLOOKUP(표1[[#This Row],[CAS No.]],[1]규제DB_유해법_사고대비물질!B:J,2,FALSE),"")</f>
        <v/>
      </c>
      <c r="AX32" s="13" t="str">
        <f>IFERROR(IF(표1[[#This Row],[함량(W%)]]&gt;=VLOOKUP(표1[[#This Row],[CAS No.]],[1]규제DB_유해법_사고대비물질!$B:$J,4,FALSE),"사고대비물질 제품",""),"")</f>
        <v/>
      </c>
      <c r="AY32" s="16" t="str">
        <f>IFERROR(VLOOKUP(표1[[#This Row],[CAS No.]],[1]규제DB_유해법_사고대비물질!$B:$J,5,FALSE),"")</f>
        <v/>
      </c>
      <c r="AZ32" s="16" t="str">
        <f>IFERROR(VLOOKUP(표1[[#This Row],[CAS No.]],[1]규제DB_유해법_사고대비물질!$B:$J,6,FALSE),"")</f>
        <v/>
      </c>
      <c r="BA32" s="17" t="str">
        <f>IFERROR(IF(표1[[#This Row],[함량(W%)]]&gt;=VLOOKUP(표1[[#This Row],[CAS No.]],[1]규제DB_유해법_사고대비물질!$B:$J,4,FALSE),VLOOKUP(표1[[#This Row],[CAS No.]],[1]규제DB_유해법_사고대비물질!$B$2:$J$70,7,FALSE),""),"")</f>
        <v/>
      </c>
      <c r="BB32" s="17" t="str">
        <f>IFERROR(IF(표1[[#This Row],[함량(W%)]]&gt;=VLOOKUP(표1[[#This Row],[CAS No.]],[1]규제DB_유해법_사고대비물질!$B:$J,4,FALSE),VLOOKUP(표1[[#This Row],[CAS No.]],[1]규제DB_유해법_사고대비물질!$B$2:$J$70,8,FALSE),""),"")</f>
        <v/>
      </c>
      <c r="BC32" s="17" t="str">
        <f>IFERROR(IF(표1[[#This Row],[함량(W%)]]&gt;=VLOOKUP(표1[[#This Row],[CAS No.]],[1]규제DB_유해법_사고대비물질!$B:$J,4,FALSE),VLOOKUP(표1[[#This Row],[CAS No.]],[1]규제DB_유해법_사고대비물질!$B$2:$J$70,9,FALSE),""),"")</f>
        <v/>
      </c>
      <c r="BD32" s="18" t="str">
        <f>IFERROR(IF(표1[[#This Row],[함량(W%)]]&gt;=VLOOKUP(표1[[#This Row],[CAS No.]],'[1]규제DB_유해법_배출량조사 I'!$B:$D,3,FALSE),IF(VLOOKUP(표1[[#This Row],[CAS No.]],[1]기초자료!$A:$C,3,FALSE)&gt;=1000,"배출량조사 I 물질",""),""),"")</f>
        <v/>
      </c>
      <c r="BE32" s="18"/>
      <c r="BF32" s="13" t="str">
        <f>IFERROR(IF(표1[[#This Row],[함량(W%)]]&gt;=VLOOKUP(표1[[#This Row],[CAS No.]],[1]규제DB_산안법_금지물질!$B:$E,4,FALSE), VLOOKUP(표1[[#This Row],[CAS No.]],[1]규제DB_산안법_금지물질!$B:$E,2,FALSE)&amp;" : "&amp;VLOOKUP(표1[[#This Row],[CAS No.]],[1]규제DB_산안법_금지물질!$B:$E,3,FALSE)&amp;" 인지 확인하세요",""),"")</f>
        <v/>
      </c>
      <c r="BG32" s="13" t="str">
        <f>IFERROR(IF(표1[[#This Row],[함량(W%)]]&gt;=VLOOKUP(표1[[#This Row],[CAS No.]],[1]규제DB_산안법_허가물질!$B:$E,4,FALSE), "제품 허가물질",""),"")</f>
        <v/>
      </c>
      <c r="BH32" s="13" t="str">
        <f>IFERROR(IF(표1[[#This Row],[함량(W%)]]&gt;=VLOOKUP(표1[[#This Row],[CAS No.]], [1]규제DB_산안법_특별관리물질!$B:$E,4,FALSE), "제품 특별관리물질",""),"")</f>
        <v/>
      </c>
      <c r="BI32" s="13" t="str">
        <f>IFERROR(IF(표1[[#This Row],[함량(W%)]]&gt;=VLOOKUP(표1[[#This Row],[CAS No.]], [1]규제DB_산안법_관리대상유해물질!$B:$E,4,FALSE), "제품 관리대상유해물질",""),"")</f>
        <v/>
      </c>
      <c r="BJ32" s="13" t="str">
        <f>IFERROR(IF(표1[[#This Row],[CAS No.]]=VLOOKUP(표1[[#This Row],[CAS No.]], [1]규제DB_산안법_허용기준이하물질!$B:$D,1,FALSE),"제품 허용기준이하물질",""),"")</f>
        <v/>
      </c>
      <c r="BK32" s="13" t="str">
        <f>IFERROR(VLOOKUP(표1[[#This Row],[CAS No.]], [1]규제DB_산안법_허용기준이하물질!$B:$D,3,FALSE),"")</f>
        <v/>
      </c>
      <c r="BL32" s="13"/>
      <c r="BM32" s="13" t="str">
        <f>IFERROR(VLOOKUP(표1[[#This Row],[CAS No.]], [1]규제DB_산안법_노출기준설정물질!$B:$K,3,FALSE),"")</f>
        <v/>
      </c>
      <c r="BN32" s="13" t="str">
        <f>IFERROR(VLOOKUP(표1[[#This Row],[CAS No.]], [1]규제DB_산안법_노출기준설정물질!$B:$K,4,FALSE),"")</f>
        <v/>
      </c>
      <c r="BO32" s="13" t="str">
        <f>IFERROR(VLOOKUP(표1[[#This Row],[CAS No.]], [1]규제DB_산안법_노출기준설정물질!$B:$K,5,FALSE),"")</f>
        <v/>
      </c>
      <c r="BP32" s="13" t="str">
        <f>IFERROR(VLOOKUP(표1[[#This Row],[CAS No.]], [1]규제DB_산안법_노출기준설정물질!$B:$K,7,FALSE),"")</f>
        <v/>
      </c>
      <c r="BQ32" s="13" t="str">
        <f>IFERROR(VLOOKUP(표1[[#This Row],[CAS No.]], [1]규제DB_산안법_노출기준설정물질!$B:$K,8,FALSE),"")</f>
        <v/>
      </c>
      <c r="BR32" s="13" t="str">
        <f>IFERROR(VLOOKUP(표1[[#This Row],[CAS No.]], [1]규제DB_산안법_노출기준설정물질!$B:$K,9,FALSE),"")</f>
        <v/>
      </c>
      <c r="BS32" s="13" t="str">
        <f>IFERROR(VLOOKUP(표1[[#This Row],[CAS No.]], [1]규제DB_산안법_노출기준설정물질!$B:$K,10,FALSE),"")</f>
        <v/>
      </c>
      <c r="BT32" s="13" t="str">
        <f>IFERROR(IF(표1[[#This Row],[함량(W%)]]&gt;=VLOOKUP(표1[[#This Row],[CAS No.]], [1]규제DB_산안법_작업환경측정대상유해인자!$B:$F,5,FALSE), "제품 작업환경측정대상유해인자",""),"")</f>
        <v/>
      </c>
      <c r="BU32" s="13" t="str">
        <f>IFERROR(IF(표1[[#This Row],[CAS No.]]=VLOOKUP(표1[[#This Row],[CAS No.]], [1]규제DB_산안법_특수건강진단대상유해인자!$B:$C,1,FALSE), "제품 특수건강진단대상유해인자",""),"")</f>
        <v/>
      </c>
      <c r="BV32" s="13" t="str">
        <f>IFERROR(IF(VLOOKUP(표1[[#This Row],[CAS No.]],[1]규제DB_고용노동부고시_CMR!$B:$J,3,FALSE)="구분1A", IF(표1[[#This Row],[함량(W%)]]&gt;=VLOOKUP(표1[[#This Row],[CAS No.]],[1]규제DB_고용노동부고시_CMR!$B:$J,4,FALSE),"제품 발암성물질",""), IF(VLOOKUP(표1[[#This Row],[CAS No.]],[1]규제DB_고용노동부고시_CMR!$B:$J,3,FALSE)="구분1B", IF(표1[[#This Row],[함량(W%)]]&gt;=VLOOKUP(표1[[#This Row],[CAS No.]],[1]규제DB_고용노동부고시_CMR!$B:$J,4,FALSE),"제품 발암성물질",""), IF(VLOOKUP(표1[[#This Row],[CAS No.]],[1]규제DB_고용노동부고시_CMR!$B:$J,3,FALSE)="구분2", IF(표1[[#This Row],[함량(W%)]]&gt;=VLOOKUP(표1[[#This Row],[CAS No.]],[1]규제DB_고용노동부고시_CMR!$B:$J,4,FALSE),"제품 발암성물질",""),""))),"")</f>
        <v/>
      </c>
      <c r="BW32" s="13" t="str">
        <f>IFERROR(IF(VLOOKUP(표1[[#This Row],[CAS No.]],[1]규제DB_고용노동부고시_CMR!$B:$J,5,FALSE)="구분1A", IF(표1[[#This Row],[함량(W%)]]&gt;=VLOOKUP(표1[[#This Row],[CAS No.]],[1]규제DB_고용노동부고시_CMR!$B:$J,6,FALSE),"제품 생식세포변이원성물질",""), IF(VLOOKUP(표1[[#This Row],[CAS No.]],[1]규제DB_고용노동부고시_CMR!$B:$J,5,FALSE)="구분1B", IF(표1[[#This Row],[함량(W%)]]&gt;=VLOOKUP(표1[[#This Row],[CAS No.]],[1]규제DB_고용노동부고시_CMR!$B:$J,6,FALSE),"제품 생식세포변이원성물질",""), IF(VLOOKUP(표1[[#This Row],[CAS No.]],[1]규제DB_고용노동부고시_CMR!$B:$J,5,FALSE)="구분2", IF(표1[[#This Row],[함량(W%)]]&gt;=VLOOKUP(표1[[#This Row],[CAS No.]],[1]규제DB_고용노동부고시_CMR!$B:$J,6,FALSE),"제품 생식세포변이원성물질",""),""))),"")</f>
        <v/>
      </c>
      <c r="BX32" s="13" t="str">
        <f>IFERROR(IF(VLOOKUP(표1[[#This Row],[CAS No.]],[1]규제DB_고용노동부고시_CMR!$B:$J,7,FALSE)="구분1A", IF(표1[[#This Row],[함량(W%)]]&gt;=VLOOKUP(표1[[#This Row],[CAS No.]],[1]규제DB_고용노동부고시_CMR!$B:$J,8,FALSE),"제품 생식독성물질",""), IF(VLOOKUP(표1[[#This Row],[CAS No.]],[1]규제DB_고용노동부고시_CMR!$B:$J,7,FALSE)="구분1B", IF(표1[[#This Row],[함량(W%)]]&gt;=VLOOKUP(표1[[#This Row],[CAS No.]],[1]규제DB_고용노동부고시_CMR!$B:$J,8,FALSE),"제품 생식독성물질",""), IF(VLOOKUP(표1[[#This Row],[CAS No.]],[1]규제DB_고용노동부고시_CMR!$B:$J,7,FALSE)="구분2", IF(표1[[#This Row],[함량(W%)]]&gt;=VLOOKUP(표1[[#This Row],[CAS No.]],[1]규제DB_고용노동부고시_CMR!$B:$J,8,FALSE),"제품 생식독성물질",""),""))),"")</f>
        <v/>
      </c>
      <c r="BY32" s="13"/>
      <c r="BZ32" s="13" t="str">
        <f>IFERROR(IF(표1[[#This Row],[CAS No.]]=VLOOKUP(표1[[#This Row],[CAS No.]],[1]규제DB_고압법_독성가스!$B:$D,1,FALSE),"독성가스",""),"")</f>
        <v/>
      </c>
      <c r="CA32" s="13" t="str">
        <f>IFERROR(IF(표1[[#This Row],[CAS No.]]=VLOOKUP(표1[[#This Row],[CAS No.]],[1]규제DB_고압법_가연성가스!$B:$D,1,FALSE),"가연성가스",""),"")</f>
        <v/>
      </c>
      <c r="CB32" s="13" t="str">
        <f>IFERROR(IF(표1[[#This Row],[CAS No.]]=VLOOKUP(표1[[#This Row],[CAS No.]],[1]규제DB_고압법_특수고압가스!$B:$D,1,FALSE),"특수고압가스",""),"")</f>
        <v/>
      </c>
      <c r="CC32" s="13" t="str">
        <f>IFERROR(IF(표1[[#This Row],[CAS No.]]=VLOOKUP(표1[[#This Row],[CAS No.]],[1]규제DB_고압법_특정고압가스!$B:$D,1,FALSE),"특정고압가스",""),"")</f>
        <v/>
      </c>
      <c r="CD32" s="13" t="str">
        <f>IFERROR(IF(표1[[#This Row],[함량(W%)]]&gt;=VLOOKUP(표1[[#This Row],[CAS No.]],[1]규제DB_화관법_개별취급기준!$B:$G,5,FALSE),VLOOKUP(표1[[#This Row],[CAS No.]],[1]규제DB_화관법_개별취급기준!$B:$G,6,FALSE),""),"")</f>
        <v/>
      </c>
    </row>
    <row r="33" spans="1:82" ht="27.95" customHeight="1">
      <c r="A33" s="13">
        <v>32</v>
      </c>
      <c r="B33" s="2"/>
      <c r="C33" s="3" t="s">
        <v>103</v>
      </c>
      <c r="D33" s="14"/>
      <c r="E33" s="50" t="s">
        <v>114</v>
      </c>
      <c r="F33" s="3" t="s">
        <v>77</v>
      </c>
      <c r="G33" s="5" t="s">
        <v>78</v>
      </c>
      <c r="H33" s="3" t="s">
        <v>79</v>
      </c>
      <c r="I33" s="50" t="s">
        <v>102</v>
      </c>
      <c r="J33" s="3" t="s">
        <v>166</v>
      </c>
      <c r="K33" s="3" t="s">
        <v>166</v>
      </c>
      <c r="L33" s="3"/>
      <c r="M33" s="5" t="s">
        <v>80</v>
      </c>
      <c r="N33" s="5" t="s">
        <v>179</v>
      </c>
      <c r="O33" s="53" t="s">
        <v>81</v>
      </c>
      <c r="P33" s="55" t="s">
        <v>95</v>
      </c>
      <c r="Q33" s="54">
        <v>18</v>
      </c>
      <c r="R33" s="6">
        <v>18</v>
      </c>
      <c r="S33" s="17"/>
      <c r="T33" s="17"/>
      <c r="U33" s="6">
        <v>18</v>
      </c>
      <c r="V33" s="6">
        <v>18</v>
      </c>
      <c r="W33" s="8" t="str">
        <f>표1[[#This Row],[자재코드]]&amp;"_"&amp;표1[[#This Row],[자재명]]&amp;"_"&amp;표1[[#This Row],[공급업체명]]</f>
        <v>_NEW BEST ONE DRY_한국특수잉크공업</v>
      </c>
      <c r="X33" s="51" t="s">
        <v>151</v>
      </c>
      <c r="Y33" s="13"/>
      <c r="Z33" s="13"/>
      <c r="AA33" s="13"/>
      <c r="AB33" s="50">
        <v>1</v>
      </c>
      <c r="AC33" s="20" t="s">
        <v>86</v>
      </c>
      <c r="AD33" s="9" t="s">
        <v>83</v>
      </c>
      <c r="AE33" s="10" t="s">
        <v>84</v>
      </c>
      <c r="AF33" s="10" t="s">
        <v>84</v>
      </c>
      <c r="AG33" s="11"/>
      <c r="AH33" s="50" t="s">
        <v>197</v>
      </c>
      <c r="AI33" s="12">
        <f>IFERROR(표1[[#This Row],[사용량(kg)]]*표1[[#This Row],[함량(W%)]]/100,"")</f>
        <v>0.18</v>
      </c>
      <c r="AJ33" s="13"/>
      <c r="AK33" s="13"/>
      <c r="AL33" s="14"/>
      <c r="AM33" s="15"/>
      <c r="AN33" s="13"/>
      <c r="AO33" s="13"/>
      <c r="AP33" s="13"/>
      <c r="AQ33" s="13"/>
      <c r="AR33" s="13" t="str">
        <f>IFERROR(IF(표1[[#This Row],[함량(W%)]]&gt;=VLOOKUP(표1[[#This Row],[CAS No.]],[1]규제DB_유해법_유독물!B:F,5,FALSE),"유독물질 제품",""),"")</f>
        <v/>
      </c>
      <c r="AS33" s="13" t="str">
        <f>IFERROR(VLOOKUP(표1[[#This Row],[CAS No.]],[1]규제DB_유해법_금지물질!B:G,3,FALSE),"")</f>
        <v/>
      </c>
      <c r="AT33" s="13" t="str">
        <f>IFERROR(VLOOKUP(표1[[#This Row],[CAS No.]],[1]규제DB_유해법_금지물질!B:G,4,FALSE)&amp;" 인지 확인하세요","")</f>
        <v/>
      </c>
      <c r="AU33" s="13" t="str">
        <f>IFERROR(VLOOKUP(표1[[#This Row],[CAS No.]],[1]규제DB_유해법_제한물질!B:G,3,FALSE),"")</f>
        <v/>
      </c>
      <c r="AV33" s="13" t="str">
        <f>IFERROR(IF(표1[[#This Row],[함량(W%)]]&gt;=VLOOKUP(표1[[#This Row],[CAS No.]],[1]규제DB_유해법_제한물질!$B:$G,5,FALSE),"제한 제품",""),"")</f>
        <v/>
      </c>
      <c r="AW33" s="13" t="str">
        <f>IFERROR(VLOOKUP(표1[[#This Row],[CAS No.]],[1]규제DB_유해법_사고대비물질!B:J,2,FALSE),"")</f>
        <v/>
      </c>
      <c r="AX33" s="13" t="str">
        <f>IFERROR(IF(표1[[#This Row],[함량(W%)]]&gt;=VLOOKUP(표1[[#This Row],[CAS No.]],[1]규제DB_유해법_사고대비물질!$B:$J,4,FALSE),"사고대비물질 제품",""),"")</f>
        <v/>
      </c>
      <c r="AY33" s="16" t="str">
        <f>IFERROR(VLOOKUP(표1[[#This Row],[CAS No.]],[1]규제DB_유해법_사고대비물질!$B:$J,5,FALSE),"")</f>
        <v/>
      </c>
      <c r="AZ33" s="16" t="str">
        <f>IFERROR(VLOOKUP(표1[[#This Row],[CAS No.]],[1]규제DB_유해법_사고대비물질!$B:$J,6,FALSE),"")</f>
        <v/>
      </c>
      <c r="BA33" s="17" t="str">
        <f>IFERROR(IF(표1[[#This Row],[함량(W%)]]&gt;=VLOOKUP(표1[[#This Row],[CAS No.]],[1]규제DB_유해법_사고대비물질!$B:$J,4,FALSE),VLOOKUP(표1[[#This Row],[CAS No.]],[1]규제DB_유해법_사고대비물질!$B$2:$J$70,7,FALSE),""),"")</f>
        <v/>
      </c>
      <c r="BB33" s="17" t="str">
        <f>IFERROR(IF(표1[[#This Row],[함량(W%)]]&gt;=VLOOKUP(표1[[#This Row],[CAS No.]],[1]규제DB_유해법_사고대비물질!$B:$J,4,FALSE),VLOOKUP(표1[[#This Row],[CAS No.]],[1]규제DB_유해법_사고대비물질!$B$2:$J$70,8,FALSE),""),"")</f>
        <v/>
      </c>
      <c r="BC33" s="17" t="str">
        <f>IFERROR(IF(표1[[#This Row],[함량(W%)]]&gt;=VLOOKUP(표1[[#This Row],[CAS No.]],[1]규제DB_유해법_사고대비물질!$B:$J,4,FALSE),VLOOKUP(표1[[#This Row],[CAS No.]],[1]규제DB_유해법_사고대비물질!$B$2:$J$70,9,FALSE),""),"")</f>
        <v/>
      </c>
      <c r="BD33" s="18" t="str">
        <f>IFERROR(IF(표1[[#This Row],[함량(W%)]]&gt;=VLOOKUP(표1[[#This Row],[CAS No.]],'[1]규제DB_유해법_배출량조사 I'!$B:$D,3,FALSE),IF(VLOOKUP(표1[[#This Row],[CAS No.]],[1]기초자료!$A:$C,3,FALSE)&gt;=1000,"배출량조사 I 물질",""),""),"")</f>
        <v/>
      </c>
      <c r="BE33" s="18"/>
      <c r="BF33" s="13" t="str">
        <f>IFERROR(IF(표1[[#This Row],[함량(W%)]]&gt;=VLOOKUP(표1[[#This Row],[CAS No.]],[1]규제DB_산안법_금지물질!$B:$E,4,FALSE), VLOOKUP(표1[[#This Row],[CAS No.]],[1]규제DB_산안법_금지물질!$B:$E,2,FALSE)&amp;" : "&amp;VLOOKUP(표1[[#This Row],[CAS No.]],[1]규제DB_산안법_금지물질!$B:$E,3,FALSE)&amp;" 인지 확인하세요",""),"")</f>
        <v/>
      </c>
      <c r="BG33" s="13" t="str">
        <f>IFERROR(IF(표1[[#This Row],[함량(W%)]]&gt;=VLOOKUP(표1[[#This Row],[CAS No.]],[1]규제DB_산안법_허가물질!$B:$E,4,FALSE), "제품 허가물질",""),"")</f>
        <v/>
      </c>
      <c r="BH33" s="13" t="str">
        <f>IFERROR(IF(표1[[#This Row],[함량(W%)]]&gt;=VLOOKUP(표1[[#This Row],[CAS No.]], [1]규제DB_산안법_특별관리물질!$B:$E,4,FALSE), "제품 특별관리물질",""),"")</f>
        <v/>
      </c>
      <c r="BI33" s="13" t="str">
        <f>IFERROR(IF(표1[[#This Row],[함량(W%)]]&gt;=VLOOKUP(표1[[#This Row],[CAS No.]], [1]규제DB_산안법_관리대상유해물질!$B:$E,4,FALSE), "제품 관리대상유해물질",""),"")</f>
        <v/>
      </c>
      <c r="BJ33" s="13" t="str">
        <f>IFERROR(IF(표1[[#This Row],[CAS No.]]=VLOOKUP(표1[[#This Row],[CAS No.]], [1]규제DB_산안법_허용기준이하물질!$B:$D,1,FALSE),"제품 허용기준이하물질",""),"")</f>
        <v/>
      </c>
      <c r="BK33" s="13" t="str">
        <f>IFERROR(VLOOKUP(표1[[#This Row],[CAS No.]], [1]규제DB_산안법_허용기준이하물질!$B:$D,3,FALSE),"")</f>
        <v/>
      </c>
      <c r="BL33" s="13"/>
      <c r="BM33" s="13" t="str">
        <f>IFERROR(VLOOKUP(표1[[#This Row],[CAS No.]], [1]규제DB_산안법_노출기준설정물질!$B:$K,3,FALSE),"")</f>
        <v/>
      </c>
      <c r="BN33" s="13" t="str">
        <f>IFERROR(VLOOKUP(표1[[#This Row],[CAS No.]], [1]규제DB_산안법_노출기준설정물질!$B:$K,4,FALSE),"")</f>
        <v/>
      </c>
      <c r="BO33" s="13" t="str">
        <f>IFERROR(VLOOKUP(표1[[#This Row],[CAS No.]], [1]규제DB_산안법_노출기준설정물질!$B:$K,5,FALSE),"")</f>
        <v/>
      </c>
      <c r="BP33" s="13" t="str">
        <f>IFERROR(VLOOKUP(표1[[#This Row],[CAS No.]], [1]규제DB_산안법_노출기준설정물질!$B:$K,7,FALSE),"")</f>
        <v/>
      </c>
      <c r="BQ33" s="13" t="str">
        <f>IFERROR(VLOOKUP(표1[[#This Row],[CAS No.]], [1]규제DB_산안법_노출기준설정물질!$B:$K,8,FALSE),"")</f>
        <v/>
      </c>
      <c r="BR33" s="13" t="str">
        <f>IFERROR(VLOOKUP(표1[[#This Row],[CAS No.]], [1]규제DB_산안법_노출기준설정물질!$B:$K,9,FALSE),"")</f>
        <v/>
      </c>
      <c r="BS33" s="13" t="str">
        <f>IFERROR(VLOOKUP(표1[[#This Row],[CAS No.]], [1]규제DB_산안법_노출기준설정물질!$B:$K,10,FALSE),"")</f>
        <v/>
      </c>
      <c r="BT33" s="13" t="str">
        <f>IFERROR(IF(표1[[#This Row],[함량(W%)]]&gt;=VLOOKUP(표1[[#This Row],[CAS No.]], [1]규제DB_산안법_작업환경측정대상유해인자!$B:$F,5,FALSE), "제품 작업환경측정대상유해인자",""),"")</f>
        <v/>
      </c>
      <c r="BU33" s="13" t="str">
        <f>IFERROR(IF(표1[[#This Row],[CAS No.]]=VLOOKUP(표1[[#This Row],[CAS No.]], [1]규제DB_산안법_특수건강진단대상유해인자!$B:$C,1,FALSE), "제품 특수건강진단대상유해인자",""),"")</f>
        <v/>
      </c>
      <c r="BV33" s="13" t="str">
        <f>IFERROR(IF(VLOOKUP(표1[[#This Row],[CAS No.]],[1]규제DB_고용노동부고시_CMR!$B:$J,3,FALSE)="구분1A", IF(표1[[#This Row],[함량(W%)]]&gt;=VLOOKUP(표1[[#This Row],[CAS No.]],[1]규제DB_고용노동부고시_CMR!$B:$J,4,FALSE),"제품 발암성물질",""), IF(VLOOKUP(표1[[#This Row],[CAS No.]],[1]규제DB_고용노동부고시_CMR!$B:$J,3,FALSE)="구분1B", IF(표1[[#This Row],[함량(W%)]]&gt;=VLOOKUP(표1[[#This Row],[CAS No.]],[1]규제DB_고용노동부고시_CMR!$B:$J,4,FALSE),"제품 발암성물질",""), IF(VLOOKUP(표1[[#This Row],[CAS No.]],[1]규제DB_고용노동부고시_CMR!$B:$J,3,FALSE)="구분2", IF(표1[[#This Row],[함량(W%)]]&gt;=VLOOKUP(표1[[#This Row],[CAS No.]],[1]규제DB_고용노동부고시_CMR!$B:$J,4,FALSE),"제품 발암성물질",""),""))),"")</f>
        <v/>
      </c>
      <c r="BW33" s="13" t="str">
        <f>IFERROR(IF(VLOOKUP(표1[[#This Row],[CAS No.]],[1]규제DB_고용노동부고시_CMR!$B:$J,5,FALSE)="구분1A", IF(표1[[#This Row],[함량(W%)]]&gt;=VLOOKUP(표1[[#This Row],[CAS No.]],[1]규제DB_고용노동부고시_CMR!$B:$J,6,FALSE),"제품 생식세포변이원성물질",""), IF(VLOOKUP(표1[[#This Row],[CAS No.]],[1]규제DB_고용노동부고시_CMR!$B:$J,5,FALSE)="구분1B", IF(표1[[#This Row],[함량(W%)]]&gt;=VLOOKUP(표1[[#This Row],[CAS No.]],[1]규제DB_고용노동부고시_CMR!$B:$J,6,FALSE),"제품 생식세포변이원성물질",""), IF(VLOOKUP(표1[[#This Row],[CAS No.]],[1]규제DB_고용노동부고시_CMR!$B:$J,5,FALSE)="구분2", IF(표1[[#This Row],[함량(W%)]]&gt;=VLOOKUP(표1[[#This Row],[CAS No.]],[1]규제DB_고용노동부고시_CMR!$B:$J,6,FALSE),"제품 생식세포변이원성물질",""),""))),"")</f>
        <v/>
      </c>
      <c r="BX33" s="13" t="str">
        <f>IFERROR(IF(VLOOKUP(표1[[#This Row],[CAS No.]],[1]규제DB_고용노동부고시_CMR!$B:$J,7,FALSE)="구분1A", IF(표1[[#This Row],[함량(W%)]]&gt;=VLOOKUP(표1[[#This Row],[CAS No.]],[1]규제DB_고용노동부고시_CMR!$B:$J,8,FALSE),"제품 생식독성물질",""), IF(VLOOKUP(표1[[#This Row],[CAS No.]],[1]규제DB_고용노동부고시_CMR!$B:$J,7,FALSE)="구분1B", IF(표1[[#This Row],[함량(W%)]]&gt;=VLOOKUP(표1[[#This Row],[CAS No.]],[1]규제DB_고용노동부고시_CMR!$B:$J,8,FALSE),"제품 생식독성물질",""), IF(VLOOKUP(표1[[#This Row],[CAS No.]],[1]규제DB_고용노동부고시_CMR!$B:$J,7,FALSE)="구분2", IF(표1[[#This Row],[함량(W%)]]&gt;=VLOOKUP(표1[[#This Row],[CAS No.]],[1]규제DB_고용노동부고시_CMR!$B:$J,8,FALSE),"제품 생식독성물질",""),""))),"")</f>
        <v/>
      </c>
      <c r="BY33" s="13"/>
      <c r="BZ33" s="13" t="str">
        <f>IFERROR(IF(표1[[#This Row],[CAS No.]]=VLOOKUP(표1[[#This Row],[CAS No.]],[1]규제DB_고압법_독성가스!$B:$D,1,FALSE),"독성가스",""),"")</f>
        <v/>
      </c>
      <c r="CA33" s="13" t="str">
        <f>IFERROR(IF(표1[[#This Row],[CAS No.]]=VLOOKUP(표1[[#This Row],[CAS No.]],[1]규제DB_고압법_가연성가스!$B:$D,1,FALSE),"가연성가스",""),"")</f>
        <v/>
      </c>
      <c r="CB33" s="13" t="str">
        <f>IFERROR(IF(표1[[#This Row],[CAS No.]]=VLOOKUP(표1[[#This Row],[CAS No.]],[1]규제DB_고압법_특수고압가스!$B:$D,1,FALSE),"특수고압가스",""),"")</f>
        <v/>
      </c>
      <c r="CC33" s="13" t="str">
        <f>IFERROR(IF(표1[[#This Row],[CAS No.]]=VLOOKUP(표1[[#This Row],[CAS No.]],[1]규제DB_고압법_특정고압가스!$B:$D,1,FALSE),"특정고압가스",""),"")</f>
        <v/>
      </c>
      <c r="CD33" s="13" t="str">
        <f>IFERROR(IF(표1[[#This Row],[함량(W%)]]&gt;=VLOOKUP(표1[[#This Row],[CAS No.]],[1]규제DB_화관법_개별취급기준!$B:$G,5,FALSE),VLOOKUP(표1[[#This Row],[CAS No.]],[1]규제DB_화관법_개별취급기준!$B:$G,6,FALSE),""),"")</f>
        <v/>
      </c>
    </row>
    <row r="34" spans="1:82" ht="27.95" customHeight="1">
      <c r="A34" s="13">
        <v>33</v>
      </c>
      <c r="B34" s="2"/>
      <c r="C34" s="3" t="s">
        <v>103</v>
      </c>
      <c r="D34" s="14"/>
      <c r="E34" s="50" t="s">
        <v>115</v>
      </c>
      <c r="F34" s="3" t="s">
        <v>77</v>
      </c>
      <c r="G34" s="5" t="s">
        <v>78</v>
      </c>
      <c r="H34" s="3" t="s">
        <v>79</v>
      </c>
      <c r="I34" s="50" t="s">
        <v>102</v>
      </c>
      <c r="J34" s="3" t="s">
        <v>166</v>
      </c>
      <c r="K34" s="3" t="s">
        <v>166</v>
      </c>
      <c r="L34" s="3"/>
      <c r="M34" s="5" t="s">
        <v>80</v>
      </c>
      <c r="N34" s="5" t="s">
        <v>179</v>
      </c>
      <c r="O34" s="53" t="s">
        <v>81</v>
      </c>
      <c r="P34" s="55" t="s">
        <v>95</v>
      </c>
      <c r="Q34" s="54">
        <v>18</v>
      </c>
      <c r="R34" s="6">
        <v>18</v>
      </c>
      <c r="S34" s="17"/>
      <c r="T34" s="17"/>
      <c r="U34" s="6">
        <v>18</v>
      </c>
      <c r="V34" s="6">
        <v>18</v>
      </c>
      <c r="W34" s="8" t="str">
        <f>표1[[#This Row],[자재코드]]&amp;"_"&amp;표1[[#This Row],[자재명]]&amp;"_"&amp;표1[[#This Row],[공급업체명]]</f>
        <v>_BEST SG COMPOUND_한국특수잉크공업</v>
      </c>
      <c r="X34" s="51" t="s">
        <v>152</v>
      </c>
      <c r="Y34" s="13"/>
      <c r="Z34" s="13"/>
      <c r="AA34" s="13"/>
      <c r="AB34" s="50">
        <v>5</v>
      </c>
      <c r="AC34" s="20" t="s">
        <v>86</v>
      </c>
      <c r="AD34" s="9" t="s">
        <v>83</v>
      </c>
      <c r="AE34" s="10" t="s">
        <v>84</v>
      </c>
      <c r="AF34" s="10" t="s">
        <v>84</v>
      </c>
      <c r="AG34" s="11"/>
      <c r="AH34" s="50" t="s">
        <v>198</v>
      </c>
      <c r="AI34" s="12">
        <f>IFERROR(표1[[#This Row],[사용량(kg)]]*표1[[#This Row],[함량(W%)]]/100,"")</f>
        <v>0.9</v>
      </c>
      <c r="AJ34" s="13"/>
      <c r="AK34" s="13"/>
      <c r="AL34" s="14"/>
      <c r="AM34" s="15"/>
      <c r="AN34" s="13"/>
      <c r="AO34" s="13"/>
      <c r="AP34" s="13"/>
      <c r="AQ34" s="13"/>
      <c r="AR34" s="13" t="str">
        <f>IFERROR(IF(표1[[#This Row],[함량(W%)]]&gt;=VLOOKUP(표1[[#This Row],[CAS No.]],[1]규제DB_유해법_유독물!B:F,5,FALSE),"유독물질 제품",""),"")</f>
        <v/>
      </c>
      <c r="AS34" s="13" t="str">
        <f>IFERROR(VLOOKUP(표1[[#This Row],[CAS No.]],[1]규제DB_유해법_금지물질!B:G,3,FALSE),"")</f>
        <v/>
      </c>
      <c r="AT34" s="13" t="str">
        <f>IFERROR(VLOOKUP(표1[[#This Row],[CAS No.]],[1]규제DB_유해법_금지물질!B:G,4,FALSE)&amp;" 인지 확인하세요","")</f>
        <v/>
      </c>
      <c r="AU34" s="13" t="str">
        <f>IFERROR(VLOOKUP(표1[[#This Row],[CAS No.]],[1]규제DB_유해법_제한물질!B:G,3,FALSE),"")</f>
        <v/>
      </c>
      <c r="AV34" s="13" t="str">
        <f>IFERROR(IF(표1[[#This Row],[함량(W%)]]&gt;=VLOOKUP(표1[[#This Row],[CAS No.]],[1]규제DB_유해법_제한물질!$B:$G,5,FALSE),"제한 제품",""),"")</f>
        <v/>
      </c>
      <c r="AW34" s="13" t="str">
        <f>IFERROR(VLOOKUP(표1[[#This Row],[CAS No.]],[1]규제DB_유해법_사고대비물질!B:J,2,FALSE),"")</f>
        <v/>
      </c>
      <c r="AX34" s="13" t="str">
        <f>IFERROR(IF(표1[[#This Row],[함량(W%)]]&gt;=VLOOKUP(표1[[#This Row],[CAS No.]],[1]규제DB_유해법_사고대비물질!$B:$J,4,FALSE),"사고대비물질 제품",""),"")</f>
        <v/>
      </c>
      <c r="AY34" s="16" t="str">
        <f>IFERROR(VLOOKUP(표1[[#This Row],[CAS No.]],[1]규제DB_유해법_사고대비물질!$B:$J,5,FALSE),"")</f>
        <v/>
      </c>
      <c r="AZ34" s="16" t="str">
        <f>IFERROR(VLOOKUP(표1[[#This Row],[CAS No.]],[1]규제DB_유해법_사고대비물질!$B:$J,6,FALSE),"")</f>
        <v/>
      </c>
      <c r="BA34" s="17" t="str">
        <f>IFERROR(IF(표1[[#This Row],[함량(W%)]]&gt;=VLOOKUP(표1[[#This Row],[CAS No.]],[1]규제DB_유해법_사고대비물질!$B:$J,4,FALSE),VLOOKUP(표1[[#This Row],[CAS No.]],[1]규제DB_유해법_사고대비물질!$B$2:$J$70,7,FALSE),""),"")</f>
        <v/>
      </c>
      <c r="BB34" s="17" t="str">
        <f>IFERROR(IF(표1[[#This Row],[함량(W%)]]&gt;=VLOOKUP(표1[[#This Row],[CAS No.]],[1]규제DB_유해법_사고대비물질!$B:$J,4,FALSE),VLOOKUP(표1[[#This Row],[CAS No.]],[1]규제DB_유해법_사고대비물질!$B$2:$J$70,8,FALSE),""),"")</f>
        <v/>
      </c>
      <c r="BC34" s="17" t="str">
        <f>IFERROR(IF(표1[[#This Row],[함량(W%)]]&gt;=VLOOKUP(표1[[#This Row],[CAS No.]],[1]규제DB_유해법_사고대비물질!$B:$J,4,FALSE),VLOOKUP(표1[[#This Row],[CAS No.]],[1]규제DB_유해법_사고대비물질!$B$2:$J$70,9,FALSE),""),"")</f>
        <v/>
      </c>
      <c r="BD34" s="18" t="str">
        <f>IFERROR(IF(표1[[#This Row],[함량(W%)]]&gt;=VLOOKUP(표1[[#This Row],[CAS No.]],'[1]규제DB_유해법_배출량조사 I'!$B:$D,3,FALSE),IF(VLOOKUP(표1[[#This Row],[CAS No.]],[1]기초자료!$A:$C,3,FALSE)&gt;=1000,"배출량조사 I 물질",""),""),"")</f>
        <v/>
      </c>
      <c r="BE34" s="18"/>
      <c r="BF34" s="13" t="str">
        <f>IFERROR(IF(표1[[#This Row],[함량(W%)]]&gt;=VLOOKUP(표1[[#This Row],[CAS No.]],[1]규제DB_산안법_금지물질!$B:$E,4,FALSE), VLOOKUP(표1[[#This Row],[CAS No.]],[1]규제DB_산안법_금지물질!$B:$E,2,FALSE)&amp;" : "&amp;VLOOKUP(표1[[#This Row],[CAS No.]],[1]규제DB_산안법_금지물질!$B:$E,3,FALSE)&amp;" 인지 확인하세요",""),"")</f>
        <v/>
      </c>
      <c r="BG34" s="13" t="str">
        <f>IFERROR(IF(표1[[#This Row],[함량(W%)]]&gt;=VLOOKUP(표1[[#This Row],[CAS No.]],[1]규제DB_산안법_허가물질!$B:$E,4,FALSE), "제품 허가물질",""),"")</f>
        <v/>
      </c>
      <c r="BH34" s="13" t="str">
        <f>IFERROR(IF(표1[[#This Row],[함량(W%)]]&gt;=VLOOKUP(표1[[#This Row],[CAS No.]], [1]규제DB_산안법_특별관리물질!$B:$E,4,FALSE), "제품 특별관리물질",""),"")</f>
        <v/>
      </c>
      <c r="BI34" s="13" t="str">
        <f>IFERROR(IF(표1[[#This Row],[함량(W%)]]&gt;=VLOOKUP(표1[[#This Row],[CAS No.]], [1]규제DB_산안법_관리대상유해물질!$B:$E,4,FALSE), "제품 관리대상유해물질",""),"")</f>
        <v/>
      </c>
      <c r="BJ34" s="13" t="str">
        <f>IFERROR(IF(표1[[#This Row],[CAS No.]]=VLOOKUP(표1[[#This Row],[CAS No.]], [1]규제DB_산안법_허용기준이하물질!$B:$D,1,FALSE),"제품 허용기준이하물질",""),"")</f>
        <v/>
      </c>
      <c r="BK34" s="13" t="str">
        <f>IFERROR(VLOOKUP(표1[[#This Row],[CAS No.]], [1]규제DB_산안법_허용기준이하물질!$B:$D,3,FALSE),"")</f>
        <v/>
      </c>
      <c r="BL34" s="13"/>
      <c r="BM34" s="13" t="str">
        <f>IFERROR(VLOOKUP(표1[[#This Row],[CAS No.]], [1]규제DB_산안법_노출기준설정물질!$B:$K,3,FALSE),"")</f>
        <v/>
      </c>
      <c r="BN34" s="13" t="str">
        <f>IFERROR(VLOOKUP(표1[[#This Row],[CAS No.]], [1]규제DB_산안법_노출기준설정물질!$B:$K,4,FALSE),"")</f>
        <v/>
      </c>
      <c r="BO34" s="13" t="str">
        <f>IFERROR(VLOOKUP(표1[[#This Row],[CAS No.]], [1]규제DB_산안법_노출기준설정물질!$B:$K,5,FALSE),"")</f>
        <v/>
      </c>
      <c r="BP34" s="13" t="str">
        <f>IFERROR(VLOOKUP(표1[[#This Row],[CAS No.]], [1]규제DB_산안법_노출기준설정물질!$B:$K,7,FALSE),"")</f>
        <v/>
      </c>
      <c r="BQ34" s="13" t="str">
        <f>IFERROR(VLOOKUP(표1[[#This Row],[CAS No.]], [1]규제DB_산안법_노출기준설정물질!$B:$K,8,FALSE),"")</f>
        <v/>
      </c>
      <c r="BR34" s="13" t="str">
        <f>IFERROR(VLOOKUP(표1[[#This Row],[CAS No.]], [1]규제DB_산안법_노출기준설정물질!$B:$K,9,FALSE),"")</f>
        <v/>
      </c>
      <c r="BS34" s="13" t="str">
        <f>IFERROR(VLOOKUP(표1[[#This Row],[CAS No.]], [1]규제DB_산안법_노출기준설정물질!$B:$K,10,FALSE),"")</f>
        <v/>
      </c>
      <c r="BT34" s="13" t="str">
        <f>IFERROR(IF(표1[[#This Row],[함량(W%)]]&gt;=VLOOKUP(표1[[#This Row],[CAS No.]], [1]규제DB_산안법_작업환경측정대상유해인자!$B:$F,5,FALSE), "제품 작업환경측정대상유해인자",""),"")</f>
        <v/>
      </c>
      <c r="BU34" s="13" t="str">
        <f>IFERROR(IF(표1[[#This Row],[CAS No.]]=VLOOKUP(표1[[#This Row],[CAS No.]], [1]규제DB_산안법_특수건강진단대상유해인자!$B:$C,1,FALSE), "제품 특수건강진단대상유해인자",""),"")</f>
        <v/>
      </c>
      <c r="BV34" s="13" t="str">
        <f>IFERROR(IF(VLOOKUP(표1[[#This Row],[CAS No.]],[1]규제DB_고용노동부고시_CMR!$B:$J,3,FALSE)="구분1A", IF(표1[[#This Row],[함량(W%)]]&gt;=VLOOKUP(표1[[#This Row],[CAS No.]],[1]규제DB_고용노동부고시_CMR!$B:$J,4,FALSE),"제품 발암성물질",""), IF(VLOOKUP(표1[[#This Row],[CAS No.]],[1]규제DB_고용노동부고시_CMR!$B:$J,3,FALSE)="구분1B", IF(표1[[#This Row],[함량(W%)]]&gt;=VLOOKUP(표1[[#This Row],[CAS No.]],[1]규제DB_고용노동부고시_CMR!$B:$J,4,FALSE),"제품 발암성물질",""), IF(VLOOKUP(표1[[#This Row],[CAS No.]],[1]규제DB_고용노동부고시_CMR!$B:$J,3,FALSE)="구분2", IF(표1[[#This Row],[함량(W%)]]&gt;=VLOOKUP(표1[[#This Row],[CAS No.]],[1]규제DB_고용노동부고시_CMR!$B:$J,4,FALSE),"제품 발암성물질",""),""))),"")</f>
        <v/>
      </c>
      <c r="BW34" s="13" t="str">
        <f>IFERROR(IF(VLOOKUP(표1[[#This Row],[CAS No.]],[1]규제DB_고용노동부고시_CMR!$B:$J,5,FALSE)="구분1A", IF(표1[[#This Row],[함량(W%)]]&gt;=VLOOKUP(표1[[#This Row],[CAS No.]],[1]규제DB_고용노동부고시_CMR!$B:$J,6,FALSE),"제품 생식세포변이원성물질",""), IF(VLOOKUP(표1[[#This Row],[CAS No.]],[1]규제DB_고용노동부고시_CMR!$B:$J,5,FALSE)="구분1B", IF(표1[[#This Row],[함량(W%)]]&gt;=VLOOKUP(표1[[#This Row],[CAS No.]],[1]규제DB_고용노동부고시_CMR!$B:$J,6,FALSE),"제품 생식세포변이원성물질",""), IF(VLOOKUP(표1[[#This Row],[CAS No.]],[1]규제DB_고용노동부고시_CMR!$B:$J,5,FALSE)="구분2", IF(표1[[#This Row],[함량(W%)]]&gt;=VLOOKUP(표1[[#This Row],[CAS No.]],[1]규제DB_고용노동부고시_CMR!$B:$J,6,FALSE),"제품 생식세포변이원성물질",""),""))),"")</f>
        <v/>
      </c>
      <c r="BX34" s="13" t="str">
        <f>IFERROR(IF(VLOOKUP(표1[[#This Row],[CAS No.]],[1]규제DB_고용노동부고시_CMR!$B:$J,7,FALSE)="구분1A", IF(표1[[#This Row],[함량(W%)]]&gt;=VLOOKUP(표1[[#This Row],[CAS No.]],[1]규제DB_고용노동부고시_CMR!$B:$J,8,FALSE),"제품 생식독성물질",""), IF(VLOOKUP(표1[[#This Row],[CAS No.]],[1]규제DB_고용노동부고시_CMR!$B:$J,7,FALSE)="구분1B", IF(표1[[#This Row],[함량(W%)]]&gt;=VLOOKUP(표1[[#This Row],[CAS No.]],[1]규제DB_고용노동부고시_CMR!$B:$J,8,FALSE),"제품 생식독성물질",""), IF(VLOOKUP(표1[[#This Row],[CAS No.]],[1]규제DB_고용노동부고시_CMR!$B:$J,7,FALSE)="구분2", IF(표1[[#This Row],[함량(W%)]]&gt;=VLOOKUP(표1[[#This Row],[CAS No.]],[1]규제DB_고용노동부고시_CMR!$B:$J,8,FALSE),"제품 생식독성물질",""),""))),"")</f>
        <v/>
      </c>
      <c r="BY34" s="13"/>
      <c r="BZ34" s="13" t="str">
        <f>IFERROR(IF(표1[[#This Row],[CAS No.]]=VLOOKUP(표1[[#This Row],[CAS No.]],[1]규제DB_고압법_독성가스!$B:$D,1,FALSE),"독성가스",""),"")</f>
        <v/>
      </c>
      <c r="CA34" s="13" t="str">
        <f>IFERROR(IF(표1[[#This Row],[CAS No.]]=VLOOKUP(표1[[#This Row],[CAS No.]],[1]규제DB_고압법_가연성가스!$B:$D,1,FALSE),"가연성가스",""),"")</f>
        <v/>
      </c>
      <c r="CB34" s="13" t="str">
        <f>IFERROR(IF(표1[[#This Row],[CAS No.]]=VLOOKUP(표1[[#This Row],[CAS No.]],[1]규제DB_고압법_특수고압가스!$B:$D,1,FALSE),"특수고압가스",""),"")</f>
        <v/>
      </c>
      <c r="CC34" s="13" t="str">
        <f>IFERROR(IF(표1[[#This Row],[CAS No.]]=VLOOKUP(표1[[#This Row],[CAS No.]],[1]규제DB_고압법_특정고압가스!$B:$D,1,FALSE),"특정고압가스",""),"")</f>
        <v/>
      </c>
      <c r="CD34" s="13" t="str">
        <f>IFERROR(IF(표1[[#This Row],[함량(W%)]]&gt;=VLOOKUP(표1[[#This Row],[CAS No.]],[1]규제DB_화관법_개별취급기준!$B:$G,5,FALSE),VLOOKUP(표1[[#This Row],[CAS No.]],[1]규제DB_화관법_개별취급기준!$B:$G,6,FALSE),""),"")</f>
        <v/>
      </c>
    </row>
    <row r="35" spans="1:82" ht="27.95" customHeight="1">
      <c r="A35" s="13">
        <v>34</v>
      </c>
      <c r="B35" s="2"/>
      <c r="C35" s="3" t="s">
        <v>103</v>
      </c>
      <c r="D35" s="14"/>
      <c r="E35" s="50" t="s">
        <v>115</v>
      </c>
      <c r="F35" s="3" t="s">
        <v>77</v>
      </c>
      <c r="G35" s="5" t="s">
        <v>78</v>
      </c>
      <c r="H35" s="3" t="s">
        <v>79</v>
      </c>
      <c r="I35" s="50" t="s">
        <v>102</v>
      </c>
      <c r="J35" s="3" t="s">
        <v>166</v>
      </c>
      <c r="K35" s="3" t="s">
        <v>166</v>
      </c>
      <c r="L35" s="3"/>
      <c r="M35" s="5" t="s">
        <v>80</v>
      </c>
      <c r="N35" s="5" t="s">
        <v>179</v>
      </c>
      <c r="O35" s="53" t="s">
        <v>81</v>
      </c>
      <c r="P35" s="55" t="s">
        <v>95</v>
      </c>
      <c r="Q35" s="54">
        <v>18</v>
      </c>
      <c r="R35" s="6">
        <v>18</v>
      </c>
      <c r="S35" s="17"/>
      <c r="T35" s="17"/>
      <c r="U35" s="6">
        <v>18</v>
      </c>
      <c r="V35" s="6">
        <v>18</v>
      </c>
      <c r="W35" s="8" t="str">
        <f>표1[[#This Row],[자재코드]]&amp;"_"&amp;표1[[#This Row],[자재명]]&amp;"_"&amp;표1[[#This Row],[공급업체명]]</f>
        <v>_BEST SG COMPOUND_한국특수잉크공업</v>
      </c>
      <c r="X35" s="51" t="s">
        <v>148</v>
      </c>
      <c r="Y35" s="13"/>
      <c r="Z35" s="13"/>
      <c r="AA35" s="13"/>
      <c r="AB35" s="50">
        <v>80</v>
      </c>
      <c r="AC35" s="20" t="s">
        <v>86</v>
      </c>
      <c r="AD35" s="9" t="s">
        <v>83</v>
      </c>
      <c r="AE35" s="10" t="s">
        <v>84</v>
      </c>
      <c r="AF35" s="10" t="s">
        <v>84</v>
      </c>
      <c r="AG35" s="11"/>
      <c r="AH35" s="50" t="s">
        <v>194</v>
      </c>
      <c r="AI35" s="12">
        <f>IFERROR(표1[[#This Row],[사용량(kg)]]*표1[[#This Row],[함량(W%)]]/100,"")</f>
        <v>14.4</v>
      </c>
      <c r="AJ35" s="13"/>
      <c r="AK35" s="13"/>
      <c r="AL35" s="14"/>
      <c r="AM35" s="15"/>
      <c r="AN35" s="13"/>
      <c r="AO35" s="13"/>
      <c r="AP35" s="13"/>
      <c r="AQ35" s="13"/>
      <c r="AR35" s="13" t="str">
        <f>IFERROR(IF(표1[[#This Row],[함량(W%)]]&gt;=VLOOKUP(표1[[#This Row],[CAS No.]],[1]규제DB_유해법_유독물!B:F,5,FALSE),"유독물질 제품",""),"")</f>
        <v/>
      </c>
      <c r="AS35" s="13" t="str">
        <f>IFERROR(VLOOKUP(표1[[#This Row],[CAS No.]],[1]규제DB_유해법_금지물질!B:G,3,FALSE),"")</f>
        <v/>
      </c>
      <c r="AT35" s="13" t="str">
        <f>IFERROR(VLOOKUP(표1[[#This Row],[CAS No.]],[1]규제DB_유해법_금지물질!B:G,4,FALSE)&amp;" 인지 확인하세요","")</f>
        <v/>
      </c>
      <c r="AU35" s="13" t="str">
        <f>IFERROR(VLOOKUP(표1[[#This Row],[CAS No.]],[1]규제DB_유해법_제한물질!B:G,3,FALSE),"")</f>
        <v/>
      </c>
      <c r="AV35" s="13" t="str">
        <f>IFERROR(IF(표1[[#This Row],[함량(W%)]]&gt;=VLOOKUP(표1[[#This Row],[CAS No.]],[1]규제DB_유해법_제한물질!$B:$G,5,FALSE),"제한 제품",""),"")</f>
        <v/>
      </c>
      <c r="AW35" s="13" t="str">
        <f>IFERROR(VLOOKUP(표1[[#This Row],[CAS No.]],[1]규제DB_유해법_사고대비물질!B:J,2,FALSE),"")</f>
        <v/>
      </c>
      <c r="AX35" s="13" t="str">
        <f>IFERROR(IF(표1[[#This Row],[함량(W%)]]&gt;=VLOOKUP(표1[[#This Row],[CAS No.]],[1]규제DB_유해법_사고대비물질!$B:$J,4,FALSE),"사고대비물질 제품",""),"")</f>
        <v/>
      </c>
      <c r="AY35" s="16" t="str">
        <f>IFERROR(VLOOKUP(표1[[#This Row],[CAS No.]],[1]규제DB_유해법_사고대비물질!$B:$J,5,FALSE),"")</f>
        <v/>
      </c>
      <c r="AZ35" s="16" t="str">
        <f>IFERROR(VLOOKUP(표1[[#This Row],[CAS No.]],[1]규제DB_유해법_사고대비물질!$B:$J,6,FALSE),"")</f>
        <v/>
      </c>
      <c r="BA35" s="17" t="str">
        <f>IFERROR(IF(표1[[#This Row],[함량(W%)]]&gt;=VLOOKUP(표1[[#This Row],[CAS No.]],[1]규제DB_유해법_사고대비물질!$B:$J,4,FALSE),VLOOKUP(표1[[#This Row],[CAS No.]],[1]규제DB_유해법_사고대비물질!$B$2:$J$70,7,FALSE),""),"")</f>
        <v/>
      </c>
      <c r="BB35" s="17" t="str">
        <f>IFERROR(IF(표1[[#This Row],[함량(W%)]]&gt;=VLOOKUP(표1[[#This Row],[CAS No.]],[1]규제DB_유해법_사고대비물질!$B:$J,4,FALSE),VLOOKUP(표1[[#This Row],[CAS No.]],[1]규제DB_유해법_사고대비물질!$B$2:$J$70,8,FALSE),""),"")</f>
        <v/>
      </c>
      <c r="BC35" s="17" t="str">
        <f>IFERROR(IF(표1[[#This Row],[함량(W%)]]&gt;=VLOOKUP(표1[[#This Row],[CAS No.]],[1]규제DB_유해법_사고대비물질!$B:$J,4,FALSE),VLOOKUP(표1[[#This Row],[CAS No.]],[1]규제DB_유해법_사고대비물질!$B$2:$J$70,9,FALSE),""),"")</f>
        <v/>
      </c>
      <c r="BD35" s="18" t="str">
        <f>IFERROR(IF(표1[[#This Row],[함량(W%)]]&gt;=VLOOKUP(표1[[#This Row],[CAS No.]],'[1]규제DB_유해법_배출량조사 I'!$B:$D,3,FALSE),IF(VLOOKUP(표1[[#This Row],[CAS No.]],[1]기초자료!$A:$C,3,FALSE)&gt;=1000,"배출량조사 I 물질",""),""),"")</f>
        <v/>
      </c>
      <c r="BE35" s="18"/>
      <c r="BF35" s="13" t="str">
        <f>IFERROR(IF(표1[[#This Row],[함량(W%)]]&gt;=VLOOKUP(표1[[#This Row],[CAS No.]],[1]규제DB_산안법_금지물질!$B:$E,4,FALSE), VLOOKUP(표1[[#This Row],[CAS No.]],[1]규제DB_산안법_금지물질!$B:$E,2,FALSE)&amp;" : "&amp;VLOOKUP(표1[[#This Row],[CAS No.]],[1]규제DB_산안법_금지물질!$B:$E,3,FALSE)&amp;" 인지 확인하세요",""),"")</f>
        <v/>
      </c>
      <c r="BG35" s="13" t="str">
        <f>IFERROR(IF(표1[[#This Row],[함량(W%)]]&gt;=VLOOKUP(표1[[#This Row],[CAS No.]],[1]규제DB_산안법_허가물질!$B:$E,4,FALSE), "제품 허가물질",""),"")</f>
        <v/>
      </c>
      <c r="BH35" s="13" t="str">
        <f>IFERROR(IF(표1[[#This Row],[함량(W%)]]&gt;=VLOOKUP(표1[[#This Row],[CAS No.]], [1]규제DB_산안법_특별관리물질!$B:$E,4,FALSE), "제품 특별관리물질",""),"")</f>
        <v/>
      </c>
      <c r="BI35" s="13" t="str">
        <f>IFERROR(IF(표1[[#This Row],[함량(W%)]]&gt;=VLOOKUP(표1[[#This Row],[CAS No.]], [1]규제DB_산안법_관리대상유해물질!$B:$E,4,FALSE), "제품 관리대상유해물질",""),"")</f>
        <v/>
      </c>
      <c r="BJ35" s="13" t="str">
        <f>IFERROR(IF(표1[[#This Row],[CAS No.]]=VLOOKUP(표1[[#This Row],[CAS No.]], [1]규제DB_산안법_허용기준이하물질!$B:$D,1,FALSE),"제품 허용기준이하물질",""),"")</f>
        <v/>
      </c>
      <c r="BK35" s="13" t="str">
        <f>IFERROR(VLOOKUP(표1[[#This Row],[CAS No.]], [1]규제DB_산안법_허용기준이하물질!$B:$D,3,FALSE),"")</f>
        <v/>
      </c>
      <c r="BL35" s="13"/>
      <c r="BM35" s="13" t="str">
        <f>IFERROR(VLOOKUP(표1[[#This Row],[CAS No.]], [1]규제DB_산안법_노출기준설정물질!$B:$K,3,FALSE),"")</f>
        <v/>
      </c>
      <c r="BN35" s="13" t="str">
        <f>IFERROR(VLOOKUP(표1[[#This Row],[CAS No.]], [1]규제DB_산안법_노출기준설정물질!$B:$K,4,FALSE),"")</f>
        <v/>
      </c>
      <c r="BO35" s="13" t="str">
        <f>IFERROR(VLOOKUP(표1[[#This Row],[CAS No.]], [1]규제DB_산안법_노출기준설정물질!$B:$K,5,FALSE),"")</f>
        <v/>
      </c>
      <c r="BP35" s="13" t="str">
        <f>IFERROR(VLOOKUP(표1[[#This Row],[CAS No.]], [1]규제DB_산안법_노출기준설정물질!$B:$K,7,FALSE),"")</f>
        <v/>
      </c>
      <c r="BQ35" s="13" t="str">
        <f>IFERROR(VLOOKUP(표1[[#This Row],[CAS No.]], [1]규제DB_산안법_노출기준설정물질!$B:$K,8,FALSE),"")</f>
        <v/>
      </c>
      <c r="BR35" s="13" t="str">
        <f>IFERROR(VLOOKUP(표1[[#This Row],[CAS No.]], [1]규제DB_산안법_노출기준설정물질!$B:$K,9,FALSE),"")</f>
        <v/>
      </c>
      <c r="BS35" s="13" t="str">
        <f>IFERROR(VLOOKUP(표1[[#This Row],[CAS No.]], [1]규제DB_산안법_노출기준설정물질!$B:$K,10,FALSE),"")</f>
        <v/>
      </c>
      <c r="BT35" s="13" t="str">
        <f>IFERROR(IF(표1[[#This Row],[함량(W%)]]&gt;=VLOOKUP(표1[[#This Row],[CAS No.]], [1]규제DB_산안법_작업환경측정대상유해인자!$B:$F,5,FALSE), "제품 작업환경측정대상유해인자",""),"")</f>
        <v/>
      </c>
      <c r="BU35" s="13" t="str">
        <f>IFERROR(IF(표1[[#This Row],[CAS No.]]=VLOOKUP(표1[[#This Row],[CAS No.]], [1]규제DB_산안법_특수건강진단대상유해인자!$B:$C,1,FALSE), "제품 특수건강진단대상유해인자",""),"")</f>
        <v/>
      </c>
      <c r="BV35" s="13" t="str">
        <f>IFERROR(IF(VLOOKUP(표1[[#This Row],[CAS No.]],[1]규제DB_고용노동부고시_CMR!$B:$J,3,FALSE)="구분1A", IF(표1[[#This Row],[함량(W%)]]&gt;=VLOOKUP(표1[[#This Row],[CAS No.]],[1]규제DB_고용노동부고시_CMR!$B:$J,4,FALSE),"제품 발암성물질",""), IF(VLOOKUP(표1[[#This Row],[CAS No.]],[1]규제DB_고용노동부고시_CMR!$B:$J,3,FALSE)="구분1B", IF(표1[[#This Row],[함량(W%)]]&gt;=VLOOKUP(표1[[#This Row],[CAS No.]],[1]규제DB_고용노동부고시_CMR!$B:$J,4,FALSE),"제품 발암성물질",""), IF(VLOOKUP(표1[[#This Row],[CAS No.]],[1]규제DB_고용노동부고시_CMR!$B:$J,3,FALSE)="구분2", IF(표1[[#This Row],[함량(W%)]]&gt;=VLOOKUP(표1[[#This Row],[CAS No.]],[1]규제DB_고용노동부고시_CMR!$B:$J,4,FALSE),"제품 발암성물질",""),""))),"")</f>
        <v/>
      </c>
      <c r="BW35" s="13" t="str">
        <f>IFERROR(IF(VLOOKUP(표1[[#This Row],[CAS No.]],[1]규제DB_고용노동부고시_CMR!$B:$J,5,FALSE)="구분1A", IF(표1[[#This Row],[함량(W%)]]&gt;=VLOOKUP(표1[[#This Row],[CAS No.]],[1]규제DB_고용노동부고시_CMR!$B:$J,6,FALSE),"제품 생식세포변이원성물질",""), IF(VLOOKUP(표1[[#This Row],[CAS No.]],[1]규제DB_고용노동부고시_CMR!$B:$J,5,FALSE)="구분1B", IF(표1[[#This Row],[함량(W%)]]&gt;=VLOOKUP(표1[[#This Row],[CAS No.]],[1]규제DB_고용노동부고시_CMR!$B:$J,6,FALSE),"제품 생식세포변이원성물질",""), IF(VLOOKUP(표1[[#This Row],[CAS No.]],[1]규제DB_고용노동부고시_CMR!$B:$J,5,FALSE)="구분2", IF(표1[[#This Row],[함량(W%)]]&gt;=VLOOKUP(표1[[#This Row],[CAS No.]],[1]규제DB_고용노동부고시_CMR!$B:$J,6,FALSE),"제품 생식세포변이원성물질",""),""))),"")</f>
        <v/>
      </c>
      <c r="BX35" s="13" t="str">
        <f>IFERROR(IF(VLOOKUP(표1[[#This Row],[CAS No.]],[1]규제DB_고용노동부고시_CMR!$B:$J,7,FALSE)="구분1A", IF(표1[[#This Row],[함량(W%)]]&gt;=VLOOKUP(표1[[#This Row],[CAS No.]],[1]규제DB_고용노동부고시_CMR!$B:$J,8,FALSE),"제품 생식독성물질",""), IF(VLOOKUP(표1[[#This Row],[CAS No.]],[1]규제DB_고용노동부고시_CMR!$B:$J,7,FALSE)="구분1B", IF(표1[[#This Row],[함량(W%)]]&gt;=VLOOKUP(표1[[#This Row],[CAS No.]],[1]규제DB_고용노동부고시_CMR!$B:$J,8,FALSE),"제품 생식독성물질",""), IF(VLOOKUP(표1[[#This Row],[CAS No.]],[1]규제DB_고용노동부고시_CMR!$B:$J,7,FALSE)="구분2", IF(표1[[#This Row],[함량(W%)]]&gt;=VLOOKUP(표1[[#This Row],[CAS No.]],[1]규제DB_고용노동부고시_CMR!$B:$J,8,FALSE),"제품 생식독성물질",""),""))),"")</f>
        <v/>
      </c>
      <c r="BY35" s="13"/>
      <c r="BZ35" s="13" t="str">
        <f>IFERROR(IF(표1[[#This Row],[CAS No.]]=VLOOKUP(표1[[#This Row],[CAS No.]],[1]규제DB_고압법_독성가스!$B:$D,1,FALSE),"독성가스",""),"")</f>
        <v/>
      </c>
      <c r="CA35" s="13" t="str">
        <f>IFERROR(IF(표1[[#This Row],[CAS No.]]=VLOOKUP(표1[[#This Row],[CAS No.]],[1]규제DB_고압법_가연성가스!$B:$D,1,FALSE),"가연성가스",""),"")</f>
        <v/>
      </c>
      <c r="CB35" s="13" t="str">
        <f>IFERROR(IF(표1[[#This Row],[CAS No.]]=VLOOKUP(표1[[#This Row],[CAS No.]],[1]규제DB_고압법_특수고압가스!$B:$D,1,FALSE),"특수고압가스",""),"")</f>
        <v/>
      </c>
      <c r="CC35" s="13" t="str">
        <f>IFERROR(IF(표1[[#This Row],[CAS No.]]=VLOOKUP(표1[[#This Row],[CAS No.]],[1]규제DB_고압법_특정고압가스!$B:$D,1,FALSE),"특정고압가스",""),"")</f>
        <v/>
      </c>
      <c r="CD35" s="13" t="str">
        <f>IFERROR(IF(표1[[#This Row],[함량(W%)]]&gt;=VLOOKUP(표1[[#This Row],[CAS No.]],[1]규제DB_화관법_개별취급기준!$B:$G,5,FALSE),VLOOKUP(표1[[#This Row],[CAS No.]],[1]규제DB_화관법_개별취급기준!$B:$G,6,FALSE),""),"")</f>
        <v/>
      </c>
    </row>
    <row r="36" spans="1:82" ht="27.95" customHeight="1">
      <c r="A36" s="13">
        <v>35</v>
      </c>
      <c r="B36" s="2"/>
      <c r="C36" s="3" t="s">
        <v>103</v>
      </c>
      <c r="D36" s="14"/>
      <c r="E36" s="50" t="s">
        <v>116</v>
      </c>
      <c r="F36" s="3" t="s">
        <v>77</v>
      </c>
      <c r="G36" s="5" t="s">
        <v>78</v>
      </c>
      <c r="H36" s="3" t="s">
        <v>79</v>
      </c>
      <c r="I36" s="50" t="s">
        <v>102</v>
      </c>
      <c r="J36" s="3" t="s">
        <v>166</v>
      </c>
      <c r="K36" s="3" t="s">
        <v>166</v>
      </c>
      <c r="L36" s="3"/>
      <c r="M36" s="5" t="s">
        <v>80</v>
      </c>
      <c r="N36" s="5" t="s">
        <v>179</v>
      </c>
      <c r="O36" s="53" t="s">
        <v>81</v>
      </c>
      <c r="P36" s="55" t="s">
        <v>98</v>
      </c>
      <c r="Q36" s="54">
        <v>18</v>
      </c>
      <c r="R36" s="6">
        <v>18</v>
      </c>
      <c r="S36" s="17"/>
      <c r="T36" s="17"/>
      <c r="U36" s="6">
        <v>18</v>
      </c>
      <c r="V36" s="6">
        <v>18</v>
      </c>
      <c r="W36" s="8" t="str">
        <f>표1[[#This Row],[자재코드]]&amp;"_"&amp;표1[[#This Row],[자재명]]&amp;"_"&amp;표1[[#This Row],[공급업체명]]</f>
        <v>_BEST VIVA BLUE_한국특수잉크공업</v>
      </c>
      <c r="X36" s="51" t="s">
        <v>144</v>
      </c>
      <c r="Y36" s="13"/>
      <c r="Z36" s="13"/>
      <c r="AA36" s="13"/>
      <c r="AB36" s="50">
        <v>10</v>
      </c>
      <c r="AC36" s="20" t="s">
        <v>86</v>
      </c>
      <c r="AD36" s="9" t="s">
        <v>83</v>
      </c>
      <c r="AE36" s="10" t="s">
        <v>84</v>
      </c>
      <c r="AF36" s="10" t="s">
        <v>84</v>
      </c>
      <c r="AG36" s="11"/>
      <c r="AH36" s="50" t="s">
        <v>191</v>
      </c>
      <c r="AI36" s="12">
        <f>IFERROR(표1[[#This Row],[사용량(kg)]]*표1[[#This Row],[함량(W%)]]/100,"")</f>
        <v>1.8</v>
      </c>
      <c r="AJ36" s="13"/>
      <c r="AK36" s="13"/>
      <c r="AL36" s="14"/>
      <c r="AM36" s="15"/>
      <c r="AN36" s="13"/>
      <c r="AO36" s="13"/>
      <c r="AP36" s="13"/>
      <c r="AQ36" s="13"/>
      <c r="AR36" s="13" t="str">
        <f>IFERROR(IF(표1[[#This Row],[함량(W%)]]&gt;=VLOOKUP(표1[[#This Row],[CAS No.]],[1]규제DB_유해법_유독물!B:F,5,FALSE),"유독물질 제품",""),"")</f>
        <v/>
      </c>
      <c r="AS36" s="13" t="str">
        <f>IFERROR(VLOOKUP(표1[[#This Row],[CAS No.]],[1]규제DB_유해법_금지물질!B:G,3,FALSE),"")</f>
        <v/>
      </c>
      <c r="AT36" s="13" t="str">
        <f>IFERROR(VLOOKUP(표1[[#This Row],[CAS No.]],[1]규제DB_유해법_금지물질!B:G,4,FALSE)&amp;" 인지 확인하세요","")</f>
        <v/>
      </c>
      <c r="AU36" s="13" t="str">
        <f>IFERROR(VLOOKUP(표1[[#This Row],[CAS No.]],[1]규제DB_유해법_제한물질!B:G,3,FALSE),"")</f>
        <v/>
      </c>
      <c r="AV36" s="13" t="str">
        <f>IFERROR(IF(표1[[#This Row],[함량(W%)]]&gt;=VLOOKUP(표1[[#This Row],[CAS No.]],[1]규제DB_유해법_제한물질!$B:$G,5,FALSE),"제한 제품",""),"")</f>
        <v/>
      </c>
      <c r="AW36" s="13" t="str">
        <f>IFERROR(VLOOKUP(표1[[#This Row],[CAS No.]],[1]규제DB_유해법_사고대비물질!B:J,2,FALSE),"")</f>
        <v/>
      </c>
      <c r="AX36" s="13" t="str">
        <f>IFERROR(IF(표1[[#This Row],[함량(W%)]]&gt;=VLOOKUP(표1[[#This Row],[CAS No.]],[1]규제DB_유해법_사고대비물질!$B:$J,4,FALSE),"사고대비물질 제품",""),"")</f>
        <v/>
      </c>
      <c r="AY36" s="16" t="str">
        <f>IFERROR(VLOOKUP(표1[[#This Row],[CAS No.]],[1]규제DB_유해법_사고대비물질!$B:$J,5,FALSE),"")</f>
        <v/>
      </c>
      <c r="AZ36" s="16" t="str">
        <f>IFERROR(VLOOKUP(표1[[#This Row],[CAS No.]],[1]규제DB_유해법_사고대비물질!$B:$J,6,FALSE),"")</f>
        <v/>
      </c>
      <c r="BA36" s="17" t="str">
        <f>IFERROR(IF(표1[[#This Row],[함량(W%)]]&gt;=VLOOKUP(표1[[#This Row],[CAS No.]],[1]규제DB_유해법_사고대비물질!$B:$J,4,FALSE),VLOOKUP(표1[[#This Row],[CAS No.]],[1]규제DB_유해법_사고대비물질!$B$2:$J$70,7,FALSE),""),"")</f>
        <v/>
      </c>
      <c r="BB36" s="17" t="str">
        <f>IFERROR(IF(표1[[#This Row],[함량(W%)]]&gt;=VLOOKUP(표1[[#This Row],[CAS No.]],[1]규제DB_유해법_사고대비물질!$B:$J,4,FALSE),VLOOKUP(표1[[#This Row],[CAS No.]],[1]규제DB_유해법_사고대비물질!$B$2:$J$70,8,FALSE),""),"")</f>
        <v/>
      </c>
      <c r="BC36" s="17" t="str">
        <f>IFERROR(IF(표1[[#This Row],[함량(W%)]]&gt;=VLOOKUP(표1[[#This Row],[CAS No.]],[1]규제DB_유해법_사고대비물질!$B:$J,4,FALSE),VLOOKUP(표1[[#This Row],[CAS No.]],[1]규제DB_유해법_사고대비물질!$B$2:$J$70,9,FALSE),""),"")</f>
        <v/>
      </c>
      <c r="BD36" s="18" t="str">
        <f>IFERROR(IF(표1[[#This Row],[함량(W%)]]&gt;=VLOOKUP(표1[[#This Row],[CAS No.]],'[1]규제DB_유해법_배출량조사 I'!$B:$D,3,FALSE),IF(VLOOKUP(표1[[#This Row],[CAS No.]],[1]기초자료!$A:$C,3,FALSE)&gt;=1000,"배출량조사 I 물질",""),""),"")</f>
        <v/>
      </c>
      <c r="BE36" s="18"/>
      <c r="BF36" s="13" t="str">
        <f>IFERROR(IF(표1[[#This Row],[함량(W%)]]&gt;=VLOOKUP(표1[[#This Row],[CAS No.]],[1]규제DB_산안법_금지물질!$B:$E,4,FALSE), VLOOKUP(표1[[#This Row],[CAS No.]],[1]규제DB_산안법_금지물질!$B:$E,2,FALSE)&amp;" : "&amp;VLOOKUP(표1[[#This Row],[CAS No.]],[1]규제DB_산안법_금지물질!$B:$E,3,FALSE)&amp;" 인지 확인하세요",""),"")</f>
        <v/>
      </c>
      <c r="BG36" s="13" t="str">
        <f>IFERROR(IF(표1[[#This Row],[함량(W%)]]&gt;=VLOOKUP(표1[[#This Row],[CAS No.]],[1]규제DB_산안법_허가물질!$B:$E,4,FALSE), "제품 허가물질",""),"")</f>
        <v/>
      </c>
      <c r="BH36" s="13" t="str">
        <f>IFERROR(IF(표1[[#This Row],[함량(W%)]]&gt;=VLOOKUP(표1[[#This Row],[CAS No.]], [1]규제DB_산안법_특별관리물질!$B:$E,4,FALSE), "제품 특별관리물질",""),"")</f>
        <v/>
      </c>
      <c r="BI36" s="13" t="str">
        <f>IFERROR(IF(표1[[#This Row],[함량(W%)]]&gt;=VLOOKUP(표1[[#This Row],[CAS No.]], [1]규제DB_산안법_관리대상유해물질!$B:$E,4,FALSE), "제품 관리대상유해물질",""),"")</f>
        <v/>
      </c>
      <c r="BJ36" s="13" t="str">
        <f>IFERROR(IF(표1[[#This Row],[CAS No.]]=VLOOKUP(표1[[#This Row],[CAS No.]], [1]규제DB_산안법_허용기준이하물질!$B:$D,1,FALSE),"제품 허용기준이하물질",""),"")</f>
        <v/>
      </c>
      <c r="BK36" s="13" t="str">
        <f>IFERROR(VLOOKUP(표1[[#This Row],[CAS No.]], [1]규제DB_산안법_허용기준이하물질!$B:$D,3,FALSE),"")</f>
        <v/>
      </c>
      <c r="BL36" s="13"/>
      <c r="BM36" s="13" t="str">
        <f>IFERROR(VLOOKUP(표1[[#This Row],[CAS No.]], [1]규제DB_산안법_노출기준설정물질!$B:$K,3,FALSE),"")</f>
        <v/>
      </c>
      <c r="BN36" s="13" t="str">
        <f>IFERROR(VLOOKUP(표1[[#This Row],[CAS No.]], [1]규제DB_산안법_노출기준설정물질!$B:$K,4,FALSE),"")</f>
        <v/>
      </c>
      <c r="BO36" s="13" t="str">
        <f>IFERROR(VLOOKUP(표1[[#This Row],[CAS No.]], [1]규제DB_산안법_노출기준설정물질!$B:$K,5,FALSE),"")</f>
        <v/>
      </c>
      <c r="BP36" s="13" t="str">
        <f>IFERROR(VLOOKUP(표1[[#This Row],[CAS No.]], [1]규제DB_산안법_노출기준설정물질!$B:$K,7,FALSE),"")</f>
        <v/>
      </c>
      <c r="BQ36" s="13" t="str">
        <f>IFERROR(VLOOKUP(표1[[#This Row],[CAS No.]], [1]규제DB_산안법_노출기준설정물질!$B:$K,8,FALSE),"")</f>
        <v/>
      </c>
      <c r="BR36" s="13" t="str">
        <f>IFERROR(VLOOKUP(표1[[#This Row],[CAS No.]], [1]규제DB_산안법_노출기준설정물질!$B:$K,9,FALSE),"")</f>
        <v/>
      </c>
      <c r="BS36" s="13" t="str">
        <f>IFERROR(VLOOKUP(표1[[#This Row],[CAS No.]], [1]규제DB_산안법_노출기준설정물질!$B:$K,10,FALSE),"")</f>
        <v/>
      </c>
      <c r="BT36" s="13" t="str">
        <f>IFERROR(IF(표1[[#This Row],[함량(W%)]]&gt;=VLOOKUP(표1[[#This Row],[CAS No.]], [1]규제DB_산안법_작업환경측정대상유해인자!$B:$F,5,FALSE), "제품 작업환경측정대상유해인자",""),"")</f>
        <v/>
      </c>
      <c r="BU36" s="13" t="str">
        <f>IFERROR(IF(표1[[#This Row],[CAS No.]]=VLOOKUP(표1[[#This Row],[CAS No.]], [1]규제DB_산안법_특수건강진단대상유해인자!$B:$C,1,FALSE), "제품 특수건강진단대상유해인자",""),"")</f>
        <v/>
      </c>
      <c r="BV36" s="13" t="str">
        <f>IFERROR(IF(VLOOKUP(표1[[#This Row],[CAS No.]],[1]규제DB_고용노동부고시_CMR!$B:$J,3,FALSE)="구분1A", IF(표1[[#This Row],[함량(W%)]]&gt;=VLOOKUP(표1[[#This Row],[CAS No.]],[1]규제DB_고용노동부고시_CMR!$B:$J,4,FALSE),"제품 발암성물질",""), IF(VLOOKUP(표1[[#This Row],[CAS No.]],[1]규제DB_고용노동부고시_CMR!$B:$J,3,FALSE)="구분1B", IF(표1[[#This Row],[함량(W%)]]&gt;=VLOOKUP(표1[[#This Row],[CAS No.]],[1]규제DB_고용노동부고시_CMR!$B:$J,4,FALSE),"제품 발암성물질",""), IF(VLOOKUP(표1[[#This Row],[CAS No.]],[1]규제DB_고용노동부고시_CMR!$B:$J,3,FALSE)="구분2", IF(표1[[#This Row],[함량(W%)]]&gt;=VLOOKUP(표1[[#This Row],[CAS No.]],[1]규제DB_고용노동부고시_CMR!$B:$J,4,FALSE),"제품 발암성물질",""),""))),"")</f>
        <v/>
      </c>
      <c r="BW36" s="13" t="str">
        <f>IFERROR(IF(VLOOKUP(표1[[#This Row],[CAS No.]],[1]규제DB_고용노동부고시_CMR!$B:$J,5,FALSE)="구분1A", IF(표1[[#This Row],[함량(W%)]]&gt;=VLOOKUP(표1[[#This Row],[CAS No.]],[1]규제DB_고용노동부고시_CMR!$B:$J,6,FALSE),"제품 생식세포변이원성물질",""), IF(VLOOKUP(표1[[#This Row],[CAS No.]],[1]규제DB_고용노동부고시_CMR!$B:$J,5,FALSE)="구분1B", IF(표1[[#This Row],[함량(W%)]]&gt;=VLOOKUP(표1[[#This Row],[CAS No.]],[1]규제DB_고용노동부고시_CMR!$B:$J,6,FALSE),"제품 생식세포변이원성물질",""), IF(VLOOKUP(표1[[#This Row],[CAS No.]],[1]규제DB_고용노동부고시_CMR!$B:$J,5,FALSE)="구분2", IF(표1[[#This Row],[함량(W%)]]&gt;=VLOOKUP(표1[[#This Row],[CAS No.]],[1]규제DB_고용노동부고시_CMR!$B:$J,6,FALSE),"제품 생식세포변이원성물질",""),""))),"")</f>
        <v/>
      </c>
      <c r="BX36" s="13" t="str">
        <f>IFERROR(IF(VLOOKUP(표1[[#This Row],[CAS No.]],[1]규제DB_고용노동부고시_CMR!$B:$J,7,FALSE)="구분1A", IF(표1[[#This Row],[함량(W%)]]&gt;=VLOOKUP(표1[[#This Row],[CAS No.]],[1]규제DB_고용노동부고시_CMR!$B:$J,8,FALSE),"제품 생식독성물질",""), IF(VLOOKUP(표1[[#This Row],[CAS No.]],[1]규제DB_고용노동부고시_CMR!$B:$J,7,FALSE)="구분1B", IF(표1[[#This Row],[함량(W%)]]&gt;=VLOOKUP(표1[[#This Row],[CAS No.]],[1]규제DB_고용노동부고시_CMR!$B:$J,8,FALSE),"제품 생식독성물질",""), IF(VLOOKUP(표1[[#This Row],[CAS No.]],[1]규제DB_고용노동부고시_CMR!$B:$J,7,FALSE)="구분2", IF(표1[[#This Row],[함량(W%)]]&gt;=VLOOKUP(표1[[#This Row],[CAS No.]],[1]규제DB_고용노동부고시_CMR!$B:$J,8,FALSE),"제품 생식독성물질",""),""))),"")</f>
        <v/>
      </c>
      <c r="BY36" s="13"/>
      <c r="BZ36" s="13" t="str">
        <f>IFERROR(IF(표1[[#This Row],[CAS No.]]=VLOOKUP(표1[[#This Row],[CAS No.]],[1]규제DB_고압법_독성가스!$B:$D,1,FALSE),"독성가스",""),"")</f>
        <v/>
      </c>
      <c r="CA36" s="13" t="str">
        <f>IFERROR(IF(표1[[#This Row],[CAS No.]]=VLOOKUP(표1[[#This Row],[CAS No.]],[1]규제DB_고압법_가연성가스!$B:$D,1,FALSE),"가연성가스",""),"")</f>
        <v/>
      </c>
      <c r="CB36" s="13" t="str">
        <f>IFERROR(IF(표1[[#This Row],[CAS No.]]=VLOOKUP(표1[[#This Row],[CAS No.]],[1]규제DB_고압법_특수고압가스!$B:$D,1,FALSE),"특수고압가스",""),"")</f>
        <v/>
      </c>
      <c r="CC36" s="13" t="str">
        <f>IFERROR(IF(표1[[#This Row],[CAS No.]]=VLOOKUP(표1[[#This Row],[CAS No.]],[1]규제DB_고압법_특정고압가스!$B:$D,1,FALSE),"특정고압가스",""),"")</f>
        <v/>
      </c>
      <c r="CD36" s="13" t="str">
        <f>IFERROR(IF(표1[[#This Row],[함량(W%)]]&gt;=VLOOKUP(표1[[#This Row],[CAS No.]],[1]규제DB_화관법_개별취급기준!$B:$G,5,FALSE),VLOOKUP(표1[[#This Row],[CAS No.]],[1]규제DB_화관법_개별취급기준!$B:$G,6,FALSE),""),"")</f>
        <v/>
      </c>
    </row>
    <row r="37" spans="1:82" ht="27.95" customHeight="1">
      <c r="A37" s="13">
        <v>36</v>
      </c>
      <c r="B37" s="2"/>
      <c r="C37" s="3" t="s">
        <v>103</v>
      </c>
      <c r="D37" s="14"/>
      <c r="E37" s="50" t="s">
        <v>116</v>
      </c>
      <c r="F37" s="3" t="s">
        <v>77</v>
      </c>
      <c r="G37" s="5" t="s">
        <v>78</v>
      </c>
      <c r="H37" s="3" t="s">
        <v>79</v>
      </c>
      <c r="I37" s="50" t="s">
        <v>102</v>
      </c>
      <c r="J37" s="3" t="s">
        <v>166</v>
      </c>
      <c r="K37" s="3" t="s">
        <v>166</v>
      </c>
      <c r="L37" s="3"/>
      <c r="M37" s="5" t="s">
        <v>80</v>
      </c>
      <c r="N37" s="5" t="s">
        <v>179</v>
      </c>
      <c r="O37" s="53" t="s">
        <v>81</v>
      </c>
      <c r="P37" s="55" t="s">
        <v>95</v>
      </c>
      <c r="Q37" s="54">
        <v>18</v>
      </c>
      <c r="R37" s="6">
        <v>18</v>
      </c>
      <c r="S37" s="17"/>
      <c r="T37" s="17"/>
      <c r="U37" s="6">
        <v>18</v>
      </c>
      <c r="V37" s="6">
        <v>18</v>
      </c>
      <c r="W37" s="8" t="str">
        <f>표1[[#This Row],[자재코드]]&amp;"_"&amp;표1[[#This Row],[자재명]]&amp;"_"&amp;표1[[#This Row],[공급업체명]]</f>
        <v>_BEST VIVA BLUE_한국특수잉크공업</v>
      </c>
      <c r="X37" s="51" t="s">
        <v>150</v>
      </c>
      <c r="Y37" s="13"/>
      <c r="Z37" s="13"/>
      <c r="AA37" s="13"/>
      <c r="AB37" s="50">
        <v>15</v>
      </c>
      <c r="AC37" s="20" t="s">
        <v>86</v>
      </c>
      <c r="AD37" s="9" t="s">
        <v>83</v>
      </c>
      <c r="AE37" s="10" t="s">
        <v>84</v>
      </c>
      <c r="AF37" s="10" t="s">
        <v>84</v>
      </c>
      <c r="AG37" s="11"/>
      <c r="AH37" s="50" t="s">
        <v>196</v>
      </c>
      <c r="AI37" s="12">
        <f>IFERROR(표1[[#This Row],[사용량(kg)]]*표1[[#This Row],[함량(W%)]]/100,"")</f>
        <v>2.7</v>
      </c>
      <c r="AJ37" s="13"/>
      <c r="AK37" s="13"/>
      <c r="AL37" s="14"/>
      <c r="AM37" s="15"/>
      <c r="AN37" s="13"/>
      <c r="AO37" s="13"/>
      <c r="AP37" s="13"/>
      <c r="AQ37" s="13"/>
      <c r="AR37" s="13" t="str">
        <f>IFERROR(IF(표1[[#This Row],[함량(W%)]]&gt;=VLOOKUP(표1[[#This Row],[CAS No.]],[1]규제DB_유해법_유독물!B:F,5,FALSE),"유독물질 제품",""),"")</f>
        <v/>
      </c>
      <c r="AS37" s="13" t="str">
        <f>IFERROR(VLOOKUP(표1[[#This Row],[CAS No.]],[1]규제DB_유해법_금지물질!B:G,3,FALSE),"")</f>
        <v/>
      </c>
      <c r="AT37" s="13" t="str">
        <f>IFERROR(VLOOKUP(표1[[#This Row],[CAS No.]],[1]규제DB_유해법_금지물질!B:G,4,FALSE)&amp;" 인지 확인하세요","")</f>
        <v/>
      </c>
      <c r="AU37" s="13" t="str">
        <f>IFERROR(VLOOKUP(표1[[#This Row],[CAS No.]],[1]규제DB_유해법_제한물질!B:G,3,FALSE),"")</f>
        <v/>
      </c>
      <c r="AV37" s="13" t="str">
        <f>IFERROR(IF(표1[[#This Row],[함량(W%)]]&gt;=VLOOKUP(표1[[#This Row],[CAS No.]],[1]규제DB_유해법_제한물질!$B:$G,5,FALSE),"제한 제품",""),"")</f>
        <v/>
      </c>
      <c r="AW37" s="13" t="str">
        <f>IFERROR(VLOOKUP(표1[[#This Row],[CAS No.]],[1]규제DB_유해법_사고대비물질!B:J,2,FALSE),"")</f>
        <v/>
      </c>
      <c r="AX37" s="13" t="str">
        <f>IFERROR(IF(표1[[#This Row],[함량(W%)]]&gt;=VLOOKUP(표1[[#This Row],[CAS No.]],[1]규제DB_유해법_사고대비물질!$B:$J,4,FALSE),"사고대비물질 제품",""),"")</f>
        <v/>
      </c>
      <c r="AY37" s="16" t="str">
        <f>IFERROR(VLOOKUP(표1[[#This Row],[CAS No.]],[1]규제DB_유해법_사고대비물질!$B:$J,5,FALSE),"")</f>
        <v/>
      </c>
      <c r="AZ37" s="16" t="str">
        <f>IFERROR(VLOOKUP(표1[[#This Row],[CAS No.]],[1]규제DB_유해법_사고대비물질!$B:$J,6,FALSE),"")</f>
        <v/>
      </c>
      <c r="BA37" s="17" t="str">
        <f>IFERROR(IF(표1[[#This Row],[함량(W%)]]&gt;=VLOOKUP(표1[[#This Row],[CAS No.]],[1]규제DB_유해법_사고대비물질!$B:$J,4,FALSE),VLOOKUP(표1[[#This Row],[CAS No.]],[1]규제DB_유해법_사고대비물질!$B$2:$J$70,7,FALSE),""),"")</f>
        <v/>
      </c>
      <c r="BB37" s="17" t="str">
        <f>IFERROR(IF(표1[[#This Row],[함량(W%)]]&gt;=VLOOKUP(표1[[#This Row],[CAS No.]],[1]규제DB_유해법_사고대비물질!$B:$J,4,FALSE),VLOOKUP(표1[[#This Row],[CAS No.]],[1]규제DB_유해법_사고대비물질!$B$2:$J$70,8,FALSE),""),"")</f>
        <v/>
      </c>
      <c r="BC37" s="17" t="str">
        <f>IFERROR(IF(표1[[#This Row],[함량(W%)]]&gt;=VLOOKUP(표1[[#This Row],[CAS No.]],[1]규제DB_유해법_사고대비물질!$B:$J,4,FALSE),VLOOKUP(표1[[#This Row],[CAS No.]],[1]규제DB_유해법_사고대비물질!$B$2:$J$70,9,FALSE),""),"")</f>
        <v/>
      </c>
      <c r="BD37" s="18" t="str">
        <f>IFERROR(IF(표1[[#This Row],[함량(W%)]]&gt;=VLOOKUP(표1[[#This Row],[CAS No.]],'[1]규제DB_유해법_배출량조사 I'!$B:$D,3,FALSE),IF(VLOOKUP(표1[[#This Row],[CAS No.]],[1]기초자료!$A:$C,3,FALSE)&gt;=1000,"배출량조사 I 물질",""),""),"")</f>
        <v/>
      </c>
      <c r="BE37" s="18"/>
      <c r="BF37" s="13" t="str">
        <f>IFERROR(IF(표1[[#This Row],[함량(W%)]]&gt;=VLOOKUP(표1[[#This Row],[CAS No.]],[1]규제DB_산안법_금지물질!$B:$E,4,FALSE), VLOOKUP(표1[[#This Row],[CAS No.]],[1]규제DB_산안법_금지물질!$B:$E,2,FALSE)&amp;" : "&amp;VLOOKUP(표1[[#This Row],[CAS No.]],[1]규제DB_산안법_금지물질!$B:$E,3,FALSE)&amp;" 인지 확인하세요",""),"")</f>
        <v/>
      </c>
      <c r="BG37" s="13" t="str">
        <f>IFERROR(IF(표1[[#This Row],[함량(W%)]]&gt;=VLOOKUP(표1[[#This Row],[CAS No.]],[1]규제DB_산안법_허가물질!$B:$E,4,FALSE), "제품 허가물질",""),"")</f>
        <v/>
      </c>
      <c r="BH37" s="13" t="str">
        <f>IFERROR(IF(표1[[#This Row],[함량(W%)]]&gt;=VLOOKUP(표1[[#This Row],[CAS No.]], [1]규제DB_산안법_특별관리물질!$B:$E,4,FALSE), "제품 특별관리물질",""),"")</f>
        <v/>
      </c>
      <c r="BI37" s="13" t="str">
        <f>IFERROR(IF(표1[[#This Row],[함량(W%)]]&gt;=VLOOKUP(표1[[#This Row],[CAS No.]], [1]규제DB_산안법_관리대상유해물질!$B:$E,4,FALSE), "제품 관리대상유해물질",""),"")</f>
        <v/>
      </c>
      <c r="BJ37" s="13" t="str">
        <f>IFERROR(IF(표1[[#This Row],[CAS No.]]=VLOOKUP(표1[[#This Row],[CAS No.]], [1]규제DB_산안법_허용기준이하물질!$B:$D,1,FALSE),"제품 허용기준이하물질",""),"")</f>
        <v/>
      </c>
      <c r="BK37" s="13" t="str">
        <f>IFERROR(VLOOKUP(표1[[#This Row],[CAS No.]], [1]규제DB_산안법_허용기준이하물질!$B:$D,3,FALSE),"")</f>
        <v/>
      </c>
      <c r="BL37" s="13"/>
      <c r="BM37" s="13" t="str">
        <f>IFERROR(VLOOKUP(표1[[#This Row],[CAS No.]], [1]규제DB_산안법_노출기준설정물질!$B:$K,3,FALSE),"")</f>
        <v/>
      </c>
      <c r="BN37" s="13" t="str">
        <f>IFERROR(VLOOKUP(표1[[#This Row],[CAS No.]], [1]규제DB_산안법_노출기준설정물질!$B:$K,4,FALSE),"")</f>
        <v/>
      </c>
      <c r="BO37" s="13" t="str">
        <f>IFERROR(VLOOKUP(표1[[#This Row],[CAS No.]], [1]규제DB_산안법_노출기준설정물질!$B:$K,5,FALSE),"")</f>
        <v/>
      </c>
      <c r="BP37" s="13" t="str">
        <f>IFERROR(VLOOKUP(표1[[#This Row],[CAS No.]], [1]규제DB_산안법_노출기준설정물질!$B:$K,7,FALSE),"")</f>
        <v/>
      </c>
      <c r="BQ37" s="13" t="str">
        <f>IFERROR(VLOOKUP(표1[[#This Row],[CAS No.]], [1]규제DB_산안법_노출기준설정물질!$B:$K,8,FALSE),"")</f>
        <v/>
      </c>
      <c r="BR37" s="13" t="str">
        <f>IFERROR(VLOOKUP(표1[[#This Row],[CAS No.]], [1]규제DB_산안법_노출기준설정물질!$B:$K,9,FALSE),"")</f>
        <v/>
      </c>
      <c r="BS37" s="13" t="str">
        <f>IFERROR(VLOOKUP(표1[[#This Row],[CAS No.]], [1]규제DB_산안법_노출기준설정물질!$B:$K,10,FALSE),"")</f>
        <v/>
      </c>
      <c r="BT37" s="13" t="str">
        <f>IFERROR(IF(표1[[#This Row],[함량(W%)]]&gt;=VLOOKUP(표1[[#This Row],[CAS No.]], [1]규제DB_산안법_작업환경측정대상유해인자!$B:$F,5,FALSE), "제품 작업환경측정대상유해인자",""),"")</f>
        <v/>
      </c>
      <c r="BU37" s="13" t="str">
        <f>IFERROR(IF(표1[[#This Row],[CAS No.]]=VLOOKUP(표1[[#This Row],[CAS No.]], [1]규제DB_산안법_특수건강진단대상유해인자!$B:$C,1,FALSE), "제품 특수건강진단대상유해인자",""),"")</f>
        <v/>
      </c>
      <c r="BV37" s="13" t="str">
        <f>IFERROR(IF(VLOOKUP(표1[[#This Row],[CAS No.]],[1]규제DB_고용노동부고시_CMR!$B:$J,3,FALSE)="구분1A", IF(표1[[#This Row],[함량(W%)]]&gt;=VLOOKUP(표1[[#This Row],[CAS No.]],[1]규제DB_고용노동부고시_CMR!$B:$J,4,FALSE),"제품 발암성물질",""), IF(VLOOKUP(표1[[#This Row],[CAS No.]],[1]규제DB_고용노동부고시_CMR!$B:$J,3,FALSE)="구분1B", IF(표1[[#This Row],[함량(W%)]]&gt;=VLOOKUP(표1[[#This Row],[CAS No.]],[1]규제DB_고용노동부고시_CMR!$B:$J,4,FALSE),"제품 발암성물질",""), IF(VLOOKUP(표1[[#This Row],[CAS No.]],[1]규제DB_고용노동부고시_CMR!$B:$J,3,FALSE)="구분2", IF(표1[[#This Row],[함량(W%)]]&gt;=VLOOKUP(표1[[#This Row],[CAS No.]],[1]규제DB_고용노동부고시_CMR!$B:$J,4,FALSE),"제품 발암성물질",""),""))),"")</f>
        <v/>
      </c>
      <c r="BW37" s="13" t="str">
        <f>IFERROR(IF(VLOOKUP(표1[[#This Row],[CAS No.]],[1]규제DB_고용노동부고시_CMR!$B:$J,5,FALSE)="구분1A", IF(표1[[#This Row],[함량(W%)]]&gt;=VLOOKUP(표1[[#This Row],[CAS No.]],[1]규제DB_고용노동부고시_CMR!$B:$J,6,FALSE),"제품 생식세포변이원성물질",""), IF(VLOOKUP(표1[[#This Row],[CAS No.]],[1]규제DB_고용노동부고시_CMR!$B:$J,5,FALSE)="구분1B", IF(표1[[#This Row],[함량(W%)]]&gt;=VLOOKUP(표1[[#This Row],[CAS No.]],[1]규제DB_고용노동부고시_CMR!$B:$J,6,FALSE),"제품 생식세포변이원성물질",""), IF(VLOOKUP(표1[[#This Row],[CAS No.]],[1]규제DB_고용노동부고시_CMR!$B:$J,5,FALSE)="구분2", IF(표1[[#This Row],[함량(W%)]]&gt;=VLOOKUP(표1[[#This Row],[CAS No.]],[1]규제DB_고용노동부고시_CMR!$B:$J,6,FALSE),"제품 생식세포변이원성물질",""),""))),"")</f>
        <v/>
      </c>
      <c r="BX37" s="13" t="str">
        <f>IFERROR(IF(VLOOKUP(표1[[#This Row],[CAS No.]],[1]규제DB_고용노동부고시_CMR!$B:$J,7,FALSE)="구분1A", IF(표1[[#This Row],[함량(W%)]]&gt;=VLOOKUP(표1[[#This Row],[CAS No.]],[1]규제DB_고용노동부고시_CMR!$B:$J,8,FALSE),"제품 생식독성물질",""), IF(VLOOKUP(표1[[#This Row],[CAS No.]],[1]규제DB_고용노동부고시_CMR!$B:$J,7,FALSE)="구분1B", IF(표1[[#This Row],[함량(W%)]]&gt;=VLOOKUP(표1[[#This Row],[CAS No.]],[1]규제DB_고용노동부고시_CMR!$B:$J,8,FALSE),"제품 생식독성물질",""), IF(VLOOKUP(표1[[#This Row],[CAS No.]],[1]규제DB_고용노동부고시_CMR!$B:$J,7,FALSE)="구분2", IF(표1[[#This Row],[함량(W%)]]&gt;=VLOOKUP(표1[[#This Row],[CAS No.]],[1]규제DB_고용노동부고시_CMR!$B:$J,8,FALSE),"제품 생식독성물질",""),""))),"")</f>
        <v/>
      </c>
      <c r="BY37" s="13"/>
      <c r="BZ37" s="13" t="str">
        <f>IFERROR(IF(표1[[#This Row],[CAS No.]]=VLOOKUP(표1[[#This Row],[CAS No.]],[1]규제DB_고압법_독성가스!$B:$D,1,FALSE),"독성가스",""),"")</f>
        <v/>
      </c>
      <c r="CA37" s="13" t="str">
        <f>IFERROR(IF(표1[[#This Row],[CAS No.]]=VLOOKUP(표1[[#This Row],[CAS No.]],[1]규제DB_고압법_가연성가스!$B:$D,1,FALSE),"가연성가스",""),"")</f>
        <v/>
      </c>
      <c r="CB37" s="13" t="str">
        <f>IFERROR(IF(표1[[#This Row],[CAS No.]]=VLOOKUP(표1[[#This Row],[CAS No.]],[1]규제DB_고압법_특수고압가스!$B:$D,1,FALSE),"특수고압가스",""),"")</f>
        <v/>
      </c>
      <c r="CC37" s="13" t="str">
        <f>IFERROR(IF(표1[[#This Row],[CAS No.]]=VLOOKUP(표1[[#This Row],[CAS No.]],[1]규제DB_고압법_특정고압가스!$B:$D,1,FALSE),"특정고압가스",""),"")</f>
        <v/>
      </c>
      <c r="CD37" s="13" t="str">
        <f>IFERROR(IF(표1[[#This Row],[함량(W%)]]&gt;=VLOOKUP(표1[[#This Row],[CAS No.]],[1]규제DB_화관법_개별취급기준!$B:$G,5,FALSE),VLOOKUP(표1[[#This Row],[CAS No.]],[1]규제DB_화관법_개별취급기준!$B:$G,6,FALSE),""),"")</f>
        <v/>
      </c>
    </row>
    <row r="38" spans="1:82" ht="27.95" customHeight="1">
      <c r="A38" s="13">
        <v>37</v>
      </c>
      <c r="B38" s="2"/>
      <c r="C38" s="3" t="s">
        <v>103</v>
      </c>
      <c r="D38" s="14"/>
      <c r="E38" s="50" t="s">
        <v>116</v>
      </c>
      <c r="F38" s="3" t="s">
        <v>77</v>
      </c>
      <c r="G38" s="5" t="s">
        <v>78</v>
      </c>
      <c r="H38" s="3" t="s">
        <v>79</v>
      </c>
      <c r="I38" s="50" t="s">
        <v>102</v>
      </c>
      <c r="J38" s="3" t="s">
        <v>166</v>
      </c>
      <c r="K38" s="3" t="s">
        <v>166</v>
      </c>
      <c r="L38" s="3"/>
      <c r="M38" s="5" t="s">
        <v>80</v>
      </c>
      <c r="N38" s="5" t="s">
        <v>179</v>
      </c>
      <c r="O38" s="53" t="s">
        <v>81</v>
      </c>
      <c r="P38" s="55" t="s">
        <v>95</v>
      </c>
      <c r="Q38" s="54">
        <v>18</v>
      </c>
      <c r="R38" s="6">
        <v>18</v>
      </c>
      <c r="S38" s="17"/>
      <c r="T38" s="17"/>
      <c r="U38" s="6">
        <v>18</v>
      </c>
      <c r="V38" s="6">
        <v>18</v>
      </c>
      <c r="W38" s="8" t="str">
        <f>표1[[#This Row],[자재코드]]&amp;"_"&amp;표1[[#This Row],[자재명]]&amp;"_"&amp;표1[[#This Row],[공급업체명]]</f>
        <v>_BEST VIVA BLUE_한국특수잉크공업</v>
      </c>
      <c r="X38" s="51" t="s">
        <v>149</v>
      </c>
      <c r="Y38" s="13"/>
      <c r="Z38" s="13"/>
      <c r="AA38" s="13"/>
      <c r="AB38" s="50">
        <v>15</v>
      </c>
      <c r="AC38" s="20" t="s">
        <v>86</v>
      </c>
      <c r="AD38" s="9" t="s">
        <v>83</v>
      </c>
      <c r="AE38" s="10" t="s">
        <v>84</v>
      </c>
      <c r="AF38" s="10" t="s">
        <v>84</v>
      </c>
      <c r="AG38" s="11"/>
      <c r="AH38" s="50" t="s">
        <v>195</v>
      </c>
      <c r="AI38" s="12">
        <f>IFERROR(표1[[#This Row],[사용량(kg)]]*표1[[#This Row],[함량(W%)]]/100,"")</f>
        <v>2.7</v>
      </c>
      <c r="AJ38" s="13"/>
      <c r="AK38" s="13"/>
      <c r="AL38" s="14"/>
      <c r="AM38" s="15"/>
      <c r="AN38" s="13"/>
      <c r="AO38" s="13"/>
      <c r="AP38" s="13"/>
      <c r="AQ38" s="13"/>
      <c r="AR38" s="13" t="str">
        <f>IFERROR(IF(표1[[#This Row],[함량(W%)]]&gt;=VLOOKUP(표1[[#This Row],[CAS No.]],[1]규제DB_유해법_유독물!B:F,5,FALSE),"유독물질 제품",""),"")</f>
        <v/>
      </c>
      <c r="AS38" s="13" t="str">
        <f>IFERROR(VLOOKUP(표1[[#This Row],[CAS No.]],[1]규제DB_유해법_금지물질!B:G,3,FALSE),"")</f>
        <v/>
      </c>
      <c r="AT38" s="13" t="str">
        <f>IFERROR(VLOOKUP(표1[[#This Row],[CAS No.]],[1]규제DB_유해법_금지물질!B:G,4,FALSE)&amp;" 인지 확인하세요","")</f>
        <v/>
      </c>
      <c r="AU38" s="13" t="str">
        <f>IFERROR(VLOOKUP(표1[[#This Row],[CAS No.]],[1]규제DB_유해법_제한물질!B:G,3,FALSE),"")</f>
        <v/>
      </c>
      <c r="AV38" s="13" t="str">
        <f>IFERROR(IF(표1[[#This Row],[함량(W%)]]&gt;=VLOOKUP(표1[[#This Row],[CAS No.]],[1]규제DB_유해법_제한물질!$B:$G,5,FALSE),"제한 제품",""),"")</f>
        <v/>
      </c>
      <c r="AW38" s="13" t="str">
        <f>IFERROR(VLOOKUP(표1[[#This Row],[CAS No.]],[1]규제DB_유해법_사고대비물질!B:J,2,FALSE),"")</f>
        <v/>
      </c>
      <c r="AX38" s="13" t="str">
        <f>IFERROR(IF(표1[[#This Row],[함량(W%)]]&gt;=VLOOKUP(표1[[#This Row],[CAS No.]],[1]규제DB_유해법_사고대비물질!$B:$J,4,FALSE),"사고대비물질 제품",""),"")</f>
        <v/>
      </c>
      <c r="AY38" s="16" t="str">
        <f>IFERROR(VLOOKUP(표1[[#This Row],[CAS No.]],[1]규제DB_유해법_사고대비물질!$B:$J,5,FALSE),"")</f>
        <v/>
      </c>
      <c r="AZ38" s="16" t="str">
        <f>IFERROR(VLOOKUP(표1[[#This Row],[CAS No.]],[1]규제DB_유해법_사고대비물질!$B:$J,6,FALSE),"")</f>
        <v/>
      </c>
      <c r="BA38" s="17" t="str">
        <f>IFERROR(IF(표1[[#This Row],[함량(W%)]]&gt;=VLOOKUP(표1[[#This Row],[CAS No.]],[1]규제DB_유해법_사고대비물질!$B:$J,4,FALSE),VLOOKUP(표1[[#This Row],[CAS No.]],[1]규제DB_유해법_사고대비물질!$B$2:$J$70,7,FALSE),""),"")</f>
        <v/>
      </c>
      <c r="BB38" s="17" t="str">
        <f>IFERROR(IF(표1[[#This Row],[함량(W%)]]&gt;=VLOOKUP(표1[[#This Row],[CAS No.]],[1]규제DB_유해법_사고대비물질!$B:$J,4,FALSE),VLOOKUP(표1[[#This Row],[CAS No.]],[1]규제DB_유해법_사고대비물질!$B$2:$J$70,8,FALSE),""),"")</f>
        <v/>
      </c>
      <c r="BC38" s="17" t="str">
        <f>IFERROR(IF(표1[[#This Row],[함량(W%)]]&gt;=VLOOKUP(표1[[#This Row],[CAS No.]],[1]규제DB_유해법_사고대비물질!$B:$J,4,FALSE),VLOOKUP(표1[[#This Row],[CAS No.]],[1]규제DB_유해법_사고대비물질!$B$2:$J$70,9,FALSE),""),"")</f>
        <v/>
      </c>
      <c r="BD38" s="18" t="str">
        <f>IFERROR(IF(표1[[#This Row],[함량(W%)]]&gt;=VLOOKUP(표1[[#This Row],[CAS No.]],'[1]규제DB_유해법_배출량조사 I'!$B:$D,3,FALSE),IF(VLOOKUP(표1[[#This Row],[CAS No.]],[1]기초자료!$A:$C,3,FALSE)&gt;=1000,"배출량조사 I 물질",""),""),"")</f>
        <v/>
      </c>
      <c r="BE38" s="18"/>
      <c r="BF38" s="13" t="str">
        <f>IFERROR(IF(표1[[#This Row],[함량(W%)]]&gt;=VLOOKUP(표1[[#This Row],[CAS No.]],[1]규제DB_산안법_금지물질!$B:$E,4,FALSE), VLOOKUP(표1[[#This Row],[CAS No.]],[1]규제DB_산안법_금지물질!$B:$E,2,FALSE)&amp;" : "&amp;VLOOKUP(표1[[#This Row],[CAS No.]],[1]규제DB_산안법_금지물질!$B:$E,3,FALSE)&amp;" 인지 확인하세요",""),"")</f>
        <v/>
      </c>
      <c r="BG38" s="13" t="str">
        <f>IFERROR(IF(표1[[#This Row],[함량(W%)]]&gt;=VLOOKUP(표1[[#This Row],[CAS No.]],[1]규제DB_산안법_허가물질!$B:$E,4,FALSE), "제품 허가물질",""),"")</f>
        <v/>
      </c>
      <c r="BH38" s="13" t="str">
        <f>IFERROR(IF(표1[[#This Row],[함량(W%)]]&gt;=VLOOKUP(표1[[#This Row],[CAS No.]], [1]규제DB_산안법_특별관리물질!$B:$E,4,FALSE), "제품 특별관리물질",""),"")</f>
        <v/>
      </c>
      <c r="BI38" s="13" t="str">
        <f>IFERROR(IF(표1[[#This Row],[함량(W%)]]&gt;=VLOOKUP(표1[[#This Row],[CAS No.]], [1]규제DB_산안법_관리대상유해물질!$B:$E,4,FALSE), "제품 관리대상유해물질",""),"")</f>
        <v/>
      </c>
      <c r="BJ38" s="13" t="str">
        <f>IFERROR(IF(표1[[#This Row],[CAS No.]]=VLOOKUP(표1[[#This Row],[CAS No.]], [1]규제DB_산안법_허용기준이하물질!$B:$D,1,FALSE),"제품 허용기준이하물질",""),"")</f>
        <v/>
      </c>
      <c r="BK38" s="13" t="str">
        <f>IFERROR(VLOOKUP(표1[[#This Row],[CAS No.]], [1]규제DB_산안법_허용기준이하물질!$B:$D,3,FALSE),"")</f>
        <v/>
      </c>
      <c r="BL38" s="13"/>
      <c r="BM38" s="13" t="str">
        <f>IFERROR(VLOOKUP(표1[[#This Row],[CAS No.]], [1]규제DB_산안법_노출기준설정물질!$B:$K,3,FALSE),"")</f>
        <v/>
      </c>
      <c r="BN38" s="13" t="str">
        <f>IFERROR(VLOOKUP(표1[[#This Row],[CAS No.]], [1]규제DB_산안법_노출기준설정물질!$B:$K,4,FALSE),"")</f>
        <v/>
      </c>
      <c r="BO38" s="13" t="str">
        <f>IFERROR(VLOOKUP(표1[[#This Row],[CAS No.]], [1]규제DB_산안법_노출기준설정물질!$B:$K,5,FALSE),"")</f>
        <v/>
      </c>
      <c r="BP38" s="13" t="str">
        <f>IFERROR(VLOOKUP(표1[[#This Row],[CAS No.]], [1]규제DB_산안법_노출기준설정물질!$B:$K,7,FALSE),"")</f>
        <v/>
      </c>
      <c r="BQ38" s="13" t="str">
        <f>IFERROR(VLOOKUP(표1[[#This Row],[CAS No.]], [1]규제DB_산안법_노출기준설정물질!$B:$K,8,FALSE),"")</f>
        <v/>
      </c>
      <c r="BR38" s="13" t="str">
        <f>IFERROR(VLOOKUP(표1[[#This Row],[CAS No.]], [1]규제DB_산안법_노출기준설정물질!$B:$K,9,FALSE),"")</f>
        <v/>
      </c>
      <c r="BS38" s="13" t="str">
        <f>IFERROR(VLOOKUP(표1[[#This Row],[CAS No.]], [1]규제DB_산안법_노출기준설정물질!$B:$K,10,FALSE),"")</f>
        <v/>
      </c>
      <c r="BT38" s="13" t="str">
        <f>IFERROR(IF(표1[[#This Row],[함량(W%)]]&gt;=VLOOKUP(표1[[#This Row],[CAS No.]], [1]규제DB_산안법_작업환경측정대상유해인자!$B:$F,5,FALSE), "제품 작업환경측정대상유해인자",""),"")</f>
        <v/>
      </c>
      <c r="BU38" s="13" t="str">
        <f>IFERROR(IF(표1[[#This Row],[CAS No.]]=VLOOKUP(표1[[#This Row],[CAS No.]], [1]규제DB_산안법_특수건강진단대상유해인자!$B:$C,1,FALSE), "제품 특수건강진단대상유해인자",""),"")</f>
        <v/>
      </c>
      <c r="BV38" s="13" t="str">
        <f>IFERROR(IF(VLOOKUP(표1[[#This Row],[CAS No.]],[1]규제DB_고용노동부고시_CMR!$B:$J,3,FALSE)="구분1A", IF(표1[[#This Row],[함량(W%)]]&gt;=VLOOKUP(표1[[#This Row],[CAS No.]],[1]규제DB_고용노동부고시_CMR!$B:$J,4,FALSE),"제품 발암성물질",""), IF(VLOOKUP(표1[[#This Row],[CAS No.]],[1]규제DB_고용노동부고시_CMR!$B:$J,3,FALSE)="구분1B", IF(표1[[#This Row],[함량(W%)]]&gt;=VLOOKUP(표1[[#This Row],[CAS No.]],[1]규제DB_고용노동부고시_CMR!$B:$J,4,FALSE),"제품 발암성물질",""), IF(VLOOKUP(표1[[#This Row],[CAS No.]],[1]규제DB_고용노동부고시_CMR!$B:$J,3,FALSE)="구분2", IF(표1[[#This Row],[함량(W%)]]&gt;=VLOOKUP(표1[[#This Row],[CAS No.]],[1]규제DB_고용노동부고시_CMR!$B:$J,4,FALSE),"제품 발암성물질",""),""))),"")</f>
        <v/>
      </c>
      <c r="BW38" s="13" t="str">
        <f>IFERROR(IF(VLOOKUP(표1[[#This Row],[CAS No.]],[1]규제DB_고용노동부고시_CMR!$B:$J,5,FALSE)="구분1A", IF(표1[[#This Row],[함량(W%)]]&gt;=VLOOKUP(표1[[#This Row],[CAS No.]],[1]규제DB_고용노동부고시_CMR!$B:$J,6,FALSE),"제품 생식세포변이원성물질",""), IF(VLOOKUP(표1[[#This Row],[CAS No.]],[1]규제DB_고용노동부고시_CMR!$B:$J,5,FALSE)="구분1B", IF(표1[[#This Row],[함량(W%)]]&gt;=VLOOKUP(표1[[#This Row],[CAS No.]],[1]규제DB_고용노동부고시_CMR!$B:$J,6,FALSE),"제품 생식세포변이원성물질",""), IF(VLOOKUP(표1[[#This Row],[CAS No.]],[1]규제DB_고용노동부고시_CMR!$B:$J,5,FALSE)="구분2", IF(표1[[#This Row],[함량(W%)]]&gt;=VLOOKUP(표1[[#This Row],[CAS No.]],[1]규제DB_고용노동부고시_CMR!$B:$J,6,FALSE),"제품 생식세포변이원성물질",""),""))),"")</f>
        <v/>
      </c>
      <c r="BX38" s="13" t="str">
        <f>IFERROR(IF(VLOOKUP(표1[[#This Row],[CAS No.]],[1]규제DB_고용노동부고시_CMR!$B:$J,7,FALSE)="구분1A", IF(표1[[#This Row],[함량(W%)]]&gt;=VLOOKUP(표1[[#This Row],[CAS No.]],[1]규제DB_고용노동부고시_CMR!$B:$J,8,FALSE),"제품 생식독성물질",""), IF(VLOOKUP(표1[[#This Row],[CAS No.]],[1]규제DB_고용노동부고시_CMR!$B:$J,7,FALSE)="구분1B", IF(표1[[#This Row],[함량(W%)]]&gt;=VLOOKUP(표1[[#This Row],[CAS No.]],[1]규제DB_고용노동부고시_CMR!$B:$J,8,FALSE),"제품 생식독성물질",""), IF(VLOOKUP(표1[[#This Row],[CAS No.]],[1]규제DB_고용노동부고시_CMR!$B:$J,7,FALSE)="구분2", IF(표1[[#This Row],[함량(W%)]]&gt;=VLOOKUP(표1[[#This Row],[CAS No.]],[1]규제DB_고용노동부고시_CMR!$B:$J,8,FALSE),"제품 생식독성물질",""),""))),"")</f>
        <v/>
      </c>
      <c r="BY38" s="13"/>
      <c r="BZ38" s="13" t="str">
        <f>IFERROR(IF(표1[[#This Row],[CAS No.]]=VLOOKUP(표1[[#This Row],[CAS No.]],[1]규제DB_고압법_독성가스!$B:$D,1,FALSE),"독성가스",""),"")</f>
        <v/>
      </c>
      <c r="CA38" s="13" t="str">
        <f>IFERROR(IF(표1[[#This Row],[CAS No.]]=VLOOKUP(표1[[#This Row],[CAS No.]],[1]규제DB_고압법_가연성가스!$B:$D,1,FALSE),"가연성가스",""),"")</f>
        <v/>
      </c>
      <c r="CB38" s="13" t="str">
        <f>IFERROR(IF(표1[[#This Row],[CAS No.]]=VLOOKUP(표1[[#This Row],[CAS No.]],[1]규제DB_고압법_특수고압가스!$B:$D,1,FALSE),"특수고압가스",""),"")</f>
        <v/>
      </c>
      <c r="CC38" s="13" t="str">
        <f>IFERROR(IF(표1[[#This Row],[CAS No.]]=VLOOKUP(표1[[#This Row],[CAS No.]],[1]규제DB_고압법_특정고압가스!$B:$D,1,FALSE),"특정고압가스",""),"")</f>
        <v/>
      </c>
      <c r="CD38" s="13" t="str">
        <f>IFERROR(IF(표1[[#This Row],[함량(W%)]]&gt;=VLOOKUP(표1[[#This Row],[CAS No.]],[1]규제DB_화관법_개별취급기준!$B:$G,5,FALSE),VLOOKUP(표1[[#This Row],[CAS No.]],[1]규제DB_화관법_개별취급기준!$B:$G,6,FALSE),""),"")</f>
        <v/>
      </c>
    </row>
    <row r="39" spans="1:82" ht="27.95" customHeight="1">
      <c r="A39" s="13">
        <v>38</v>
      </c>
      <c r="B39" s="2"/>
      <c r="C39" s="3" t="s">
        <v>103</v>
      </c>
      <c r="D39" s="14"/>
      <c r="E39" s="50" t="s">
        <v>117</v>
      </c>
      <c r="F39" s="3" t="s">
        <v>77</v>
      </c>
      <c r="G39" s="5" t="s">
        <v>78</v>
      </c>
      <c r="H39" s="3" t="s">
        <v>79</v>
      </c>
      <c r="I39" s="50" t="s">
        <v>102</v>
      </c>
      <c r="J39" s="3" t="s">
        <v>166</v>
      </c>
      <c r="K39" s="3" t="s">
        <v>166</v>
      </c>
      <c r="L39" s="3"/>
      <c r="M39" s="5" t="s">
        <v>80</v>
      </c>
      <c r="N39" s="5" t="s">
        <v>179</v>
      </c>
      <c r="O39" s="53" t="s">
        <v>81</v>
      </c>
      <c r="P39" s="55" t="s">
        <v>98</v>
      </c>
      <c r="Q39" s="54">
        <v>18</v>
      </c>
      <c r="R39" s="6">
        <v>18</v>
      </c>
      <c r="S39" s="17"/>
      <c r="T39" s="17"/>
      <c r="U39" s="6">
        <v>18</v>
      </c>
      <c r="V39" s="6">
        <v>18</v>
      </c>
      <c r="W39" s="8" t="str">
        <f>표1[[#This Row],[자재코드]]&amp;"_"&amp;표1[[#This Row],[자재명]]&amp;"_"&amp;표1[[#This Row],[공급업체명]]</f>
        <v>_BEST SG SUPER GOLD_한국특수잉크공업</v>
      </c>
      <c r="X39" s="51" t="s">
        <v>153</v>
      </c>
      <c r="Y39" s="13"/>
      <c r="Z39" s="13"/>
      <c r="AA39" s="13"/>
      <c r="AB39" s="50">
        <v>5</v>
      </c>
      <c r="AC39" s="20" t="s">
        <v>86</v>
      </c>
      <c r="AD39" s="9" t="s">
        <v>83</v>
      </c>
      <c r="AE39" s="10" t="s">
        <v>84</v>
      </c>
      <c r="AF39" s="10" t="s">
        <v>84</v>
      </c>
      <c r="AG39" s="11"/>
      <c r="AH39" s="50" t="s">
        <v>199</v>
      </c>
      <c r="AI39" s="12">
        <f>IFERROR(표1[[#This Row],[사용량(kg)]]*표1[[#This Row],[함량(W%)]]/100,"")</f>
        <v>0.9</v>
      </c>
      <c r="AJ39" s="13"/>
      <c r="AK39" s="13"/>
      <c r="AL39" s="14"/>
      <c r="AM39" s="15"/>
      <c r="AN39" s="13"/>
      <c r="AO39" s="13"/>
      <c r="AP39" s="13"/>
      <c r="AQ39" s="13"/>
      <c r="AR39" s="13" t="str">
        <f>IFERROR(IF(표1[[#This Row],[함량(W%)]]&gt;=VLOOKUP(표1[[#This Row],[CAS No.]],[1]규제DB_유해법_유독물!B:F,5,FALSE),"유독물질 제품",""),"")</f>
        <v/>
      </c>
      <c r="AS39" s="13" t="str">
        <f>IFERROR(VLOOKUP(표1[[#This Row],[CAS No.]],[1]규제DB_유해법_금지물질!B:G,3,FALSE),"")</f>
        <v/>
      </c>
      <c r="AT39" s="13" t="str">
        <f>IFERROR(VLOOKUP(표1[[#This Row],[CAS No.]],[1]규제DB_유해법_금지물질!B:G,4,FALSE)&amp;" 인지 확인하세요","")</f>
        <v/>
      </c>
      <c r="AU39" s="13" t="str">
        <f>IFERROR(VLOOKUP(표1[[#This Row],[CAS No.]],[1]규제DB_유해법_제한물질!B:G,3,FALSE),"")</f>
        <v/>
      </c>
      <c r="AV39" s="13" t="str">
        <f>IFERROR(IF(표1[[#This Row],[함량(W%)]]&gt;=VLOOKUP(표1[[#This Row],[CAS No.]],[1]규제DB_유해법_제한물질!$B:$G,5,FALSE),"제한 제품",""),"")</f>
        <v/>
      </c>
      <c r="AW39" s="13" t="str">
        <f>IFERROR(VLOOKUP(표1[[#This Row],[CAS No.]],[1]규제DB_유해법_사고대비물질!B:J,2,FALSE),"")</f>
        <v/>
      </c>
      <c r="AX39" s="13" t="str">
        <f>IFERROR(IF(표1[[#This Row],[함량(W%)]]&gt;=VLOOKUP(표1[[#This Row],[CAS No.]],[1]규제DB_유해법_사고대비물질!$B:$J,4,FALSE),"사고대비물질 제품",""),"")</f>
        <v/>
      </c>
      <c r="AY39" s="16" t="str">
        <f>IFERROR(VLOOKUP(표1[[#This Row],[CAS No.]],[1]규제DB_유해법_사고대비물질!$B:$J,5,FALSE),"")</f>
        <v/>
      </c>
      <c r="AZ39" s="16" t="str">
        <f>IFERROR(VLOOKUP(표1[[#This Row],[CAS No.]],[1]규제DB_유해법_사고대비물질!$B:$J,6,FALSE),"")</f>
        <v/>
      </c>
      <c r="BA39" s="17" t="str">
        <f>IFERROR(IF(표1[[#This Row],[함량(W%)]]&gt;=VLOOKUP(표1[[#This Row],[CAS No.]],[1]규제DB_유해법_사고대비물질!$B:$J,4,FALSE),VLOOKUP(표1[[#This Row],[CAS No.]],[1]규제DB_유해법_사고대비물질!$B$2:$J$70,7,FALSE),""),"")</f>
        <v/>
      </c>
      <c r="BB39" s="17" t="str">
        <f>IFERROR(IF(표1[[#This Row],[함량(W%)]]&gt;=VLOOKUP(표1[[#This Row],[CAS No.]],[1]규제DB_유해법_사고대비물질!$B:$J,4,FALSE),VLOOKUP(표1[[#This Row],[CAS No.]],[1]규제DB_유해법_사고대비물질!$B$2:$J$70,8,FALSE),""),"")</f>
        <v/>
      </c>
      <c r="BC39" s="17" t="str">
        <f>IFERROR(IF(표1[[#This Row],[함량(W%)]]&gt;=VLOOKUP(표1[[#This Row],[CAS No.]],[1]규제DB_유해법_사고대비물질!$B:$J,4,FALSE),VLOOKUP(표1[[#This Row],[CAS No.]],[1]규제DB_유해법_사고대비물질!$B$2:$J$70,9,FALSE),""),"")</f>
        <v/>
      </c>
      <c r="BD39" s="18" t="str">
        <f>IFERROR(IF(표1[[#This Row],[함량(W%)]]&gt;=VLOOKUP(표1[[#This Row],[CAS No.]],'[1]규제DB_유해법_배출량조사 I'!$B:$D,3,FALSE),IF(VLOOKUP(표1[[#This Row],[CAS No.]],[1]기초자료!$A:$C,3,FALSE)&gt;=1000,"배출량조사 I 물질",""),""),"")</f>
        <v/>
      </c>
      <c r="BE39" s="18"/>
      <c r="BF39" s="13" t="str">
        <f>IFERROR(IF(표1[[#This Row],[함량(W%)]]&gt;=VLOOKUP(표1[[#This Row],[CAS No.]],[1]규제DB_산안법_금지물질!$B:$E,4,FALSE), VLOOKUP(표1[[#This Row],[CAS No.]],[1]규제DB_산안법_금지물질!$B:$E,2,FALSE)&amp;" : "&amp;VLOOKUP(표1[[#This Row],[CAS No.]],[1]규제DB_산안법_금지물질!$B:$E,3,FALSE)&amp;" 인지 확인하세요",""),"")</f>
        <v/>
      </c>
      <c r="BG39" s="13" t="str">
        <f>IFERROR(IF(표1[[#This Row],[함량(W%)]]&gt;=VLOOKUP(표1[[#This Row],[CAS No.]],[1]규제DB_산안법_허가물질!$B:$E,4,FALSE), "제품 허가물질",""),"")</f>
        <v/>
      </c>
      <c r="BH39" s="13" t="str">
        <f>IFERROR(IF(표1[[#This Row],[함량(W%)]]&gt;=VLOOKUP(표1[[#This Row],[CAS No.]], [1]규제DB_산안법_특별관리물질!$B:$E,4,FALSE), "제품 특별관리물질",""),"")</f>
        <v/>
      </c>
      <c r="BI39" s="13" t="str">
        <f>IFERROR(IF(표1[[#This Row],[함량(W%)]]&gt;=VLOOKUP(표1[[#This Row],[CAS No.]], [1]규제DB_산안법_관리대상유해물질!$B:$E,4,FALSE), "제품 관리대상유해물질",""),"")</f>
        <v/>
      </c>
      <c r="BJ39" s="13" t="str">
        <f>IFERROR(IF(표1[[#This Row],[CAS No.]]=VLOOKUP(표1[[#This Row],[CAS No.]], [1]규제DB_산안법_허용기준이하물질!$B:$D,1,FALSE),"제품 허용기준이하물질",""),"")</f>
        <v/>
      </c>
      <c r="BK39" s="13" t="str">
        <f>IFERROR(VLOOKUP(표1[[#This Row],[CAS No.]], [1]규제DB_산안법_허용기준이하물질!$B:$D,3,FALSE),"")</f>
        <v/>
      </c>
      <c r="BL39" s="13"/>
      <c r="BM39" s="13" t="str">
        <f>IFERROR(VLOOKUP(표1[[#This Row],[CAS No.]], [1]규제DB_산안법_노출기준설정물질!$B:$K,3,FALSE),"")</f>
        <v/>
      </c>
      <c r="BN39" s="13" t="str">
        <f>IFERROR(VLOOKUP(표1[[#This Row],[CAS No.]], [1]규제DB_산안법_노출기준설정물질!$B:$K,4,FALSE),"")</f>
        <v/>
      </c>
      <c r="BO39" s="13" t="str">
        <f>IFERROR(VLOOKUP(표1[[#This Row],[CAS No.]], [1]규제DB_산안법_노출기준설정물질!$B:$K,5,FALSE),"")</f>
        <v/>
      </c>
      <c r="BP39" s="13" t="str">
        <f>IFERROR(VLOOKUP(표1[[#This Row],[CAS No.]], [1]규제DB_산안법_노출기준설정물질!$B:$K,7,FALSE),"")</f>
        <v/>
      </c>
      <c r="BQ39" s="13" t="str">
        <f>IFERROR(VLOOKUP(표1[[#This Row],[CAS No.]], [1]규제DB_산안법_노출기준설정물질!$B:$K,8,FALSE),"")</f>
        <v/>
      </c>
      <c r="BR39" s="13" t="str">
        <f>IFERROR(VLOOKUP(표1[[#This Row],[CAS No.]], [1]규제DB_산안법_노출기준설정물질!$B:$K,9,FALSE),"")</f>
        <v/>
      </c>
      <c r="BS39" s="13" t="str">
        <f>IFERROR(VLOOKUP(표1[[#This Row],[CAS No.]], [1]규제DB_산안법_노출기준설정물질!$B:$K,10,FALSE),"")</f>
        <v/>
      </c>
      <c r="BT39" s="13"/>
      <c r="BU39" s="13"/>
      <c r="BV39" s="13" t="str">
        <f>IFERROR(IF(VLOOKUP(표1[[#This Row],[CAS No.]],[1]규제DB_고용노동부고시_CMR!$B:$J,3,FALSE)="구분1A", IF(표1[[#This Row],[함량(W%)]]&gt;=VLOOKUP(표1[[#This Row],[CAS No.]],[1]규제DB_고용노동부고시_CMR!$B:$J,4,FALSE),"제품 발암성물질",""), IF(VLOOKUP(표1[[#This Row],[CAS No.]],[1]규제DB_고용노동부고시_CMR!$B:$J,3,FALSE)="구분1B", IF(표1[[#This Row],[함량(W%)]]&gt;=VLOOKUP(표1[[#This Row],[CAS No.]],[1]규제DB_고용노동부고시_CMR!$B:$J,4,FALSE),"제품 발암성물질",""), IF(VLOOKUP(표1[[#This Row],[CAS No.]],[1]규제DB_고용노동부고시_CMR!$B:$J,3,FALSE)="구분2", IF(표1[[#This Row],[함량(W%)]]&gt;=VLOOKUP(표1[[#This Row],[CAS No.]],[1]규제DB_고용노동부고시_CMR!$B:$J,4,FALSE),"제품 발암성물질",""),""))),"")</f>
        <v/>
      </c>
      <c r="BW39" s="13" t="str">
        <f>IFERROR(IF(VLOOKUP(표1[[#This Row],[CAS No.]],[1]규제DB_고용노동부고시_CMR!$B:$J,5,FALSE)="구분1A", IF(표1[[#This Row],[함량(W%)]]&gt;=VLOOKUP(표1[[#This Row],[CAS No.]],[1]규제DB_고용노동부고시_CMR!$B:$J,6,FALSE),"제품 생식세포변이원성물질",""), IF(VLOOKUP(표1[[#This Row],[CAS No.]],[1]규제DB_고용노동부고시_CMR!$B:$J,5,FALSE)="구분1B", IF(표1[[#This Row],[함량(W%)]]&gt;=VLOOKUP(표1[[#This Row],[CAS No.]],[1]규제DB_고용노동부고시_CMR!$B:$J,6,FALSE),"제품 생식세포변이원성물질",""), IF(VLOOKUP(표1[[#This Row],[CAS No.]],[1]규제DB_고용노동부고시_CMR!$B:$J,5,FALSE)="구분2", IF(표1[[#This Row],[함량(W%)]]&gt;=VLOOKUP(표1[[#This Row],[CAS No.]],[1]규제DB_고용노동부고시_CMR!$B:$J,6,FALSE),"제품 생식세포변이원성물질",""),""))),"")</f>
        <v/>
      </c>
      <c r="BX39" s="13" t="str">
        <f>IFERROR(IF(VLOOKUP(표1[[#This Row],[CAS No.]],[1]규제DB_고용노동부고시_CMR!$B:$J,7,FALSE)="구분1A", IF(표1[[#This Row],[함량(W%)]]&gt;=VLOOKUP(표1[[#This Row],[CAS No.]],[1]규제DB_고용노동부고시_CMR!$B:$J,8,FALSE),"제품 생식독성물질",""), IF(VLOOKUP(표1[[#This Row],[CAS No.]],[1]규제DB_고용노동부고시_CMR!$B:$J,7,FALSE)="구분1B", IF(표1[[#This Row],[함량(W%)]]&gt;=VLOOKUP(표1[[#This Row],[CAS No.]],[1]규제DB_고용노동부고시_CMR!$B:$J,8,FALSE),"제품 생식독성물질",""), IF(VLOOKUP(표1[[#This Row],[CAS No.]],[1]규제DB_고용노동부고시_CMR!$B:$J,7,FALSE)="구분2", IF(표1[[#This Row],[함량(W%)]]&gt;=VLOOKUP(표1[[#This Row],[CAS No.]],[1]규제DB_고용노동부고시_CMR!$B:$J,8,FALSE),"제품 생식독성물질",""),""))),"")</f>
        <v/>
      </c>
      <c r="BY39" s="13"/>
      <c r="BZ39" s="13" t="str">
        <f>IFERROR(IF(표1[[#This Row],[CAS No.]]=VLOOKUP(표1[[#This Row],[CAS No.]],[1]규제DB_고압법_독성가스!$B:$D,1,FALSE),"독성가스",""),"")</f>
        <v/>
      </c>
      <c r="CA39" s="13" t="str">
        <f>IFERROR(IF(표1[[#This Row],[CAS No.]]=VLOOKUP(표1[[#This Row],[CAS No.]],[1]규제DB_고압법_가연성가스!$B:$D,1,FALSE),"가연성가스",""),"")</f>
        <v/>
      </c>
      <c r="CB39" s="13" t="str">
        <f>IFERROR(IF(표1[[#This Row],[CAS No.]]=VLOOKUP(표1[[#This Row],[CAS No.]],[1]규제DB_고압법_특수고압가스!$B:$D,1,FALSE),"특수고압가스",""),"")</f>
        <v/>
      </c>
      <c r="CC39" s="13" t="str">
        <f>IFERROR(IF(표1[[#This Row],[CAS No.]]=VLOOKUP(표1[[#This Row],[CAS No.]],[1]규제DB_고압법_특정고압가스!$B:$D,1,FALSE),"특정고압가스",""),"")</f>
        <v/>
      </c>
      <c r="CD39" s="13" t="str">
        <f>IFERROR(IF(표1[[#This Row],[함량(W%)]]&gt;=VLOOKUP(표1[[#This Row],[CAS No.]],[1]규제DB_화관법_개별취급기준!$B:$G,5,FALSE),VLOOKUP(표1[[#This Row],[CAS No.]],[1]규제DB_화관법_개별취급기준!$B:$G,6,FALSE),""),"")</f>
        <v/>
      </c>
    </row>
    <row r="40" spans="1:82" ht="27.95" customHeight="1">
      <c r="A40" s="13">
        <v>39</v>
      </c>
      <c r="B40" s="2"/>
      <c r="C40" s="3" t="s">
        <v>103</v>
      </c>
      <c r="D40" s="14"/>
      <c r="E40" s="50" t="s">
        <v>117</v>
      </c>
      <c r="F40" s="3" t="s">
        <v>77</v>
      </c>
      <c r="G40" s="5" t="s">
        <v>78</v>
      </c>
      <c r="H40" s="3" t="s">
        <v>79</v>
      </c>
      <c r="I40" s="50" t="s">
        <v>102</v>
      </c>
      <c r="J40" s="3" t="s">
        <v>166</v>
      </c>
      <c r="K40" s="3" t="s">
        <v>166</v>
      </c>
      <c r="L40" s="3"/>
      <c r="M40" s="5" t="s">
        <v>80</v>
      </c>
      <c r="N40" s="5" t="s">
        <v>179</v>
      </c>
      <c r="O40" s="53" t="s">
        <v>81</v>
      </c>
      <c r="P40" s="55" t="s">
        <v>98</v>
      </c>
      <c r="Q40" s="54">
        <v>18</v>
      </c>
      <c r="R40" s="6">
        <v>18</v>
      </c>
      <c r="S40" s="17"/>
      <c r="T40" s="17"/>
      <c r="U40" s="6">
        <v>18</v>
      </c>
      <c r="V40" s="6">
        <v>18</v>
      </c>
      <c r="W40" s="8" t="str">
        <f>표1[[#This Row],[자재코드]]&amp;"_"&amp;표1[[#This Row],[자재명]]&amp;"_"&amp;표1[[#This Row],[공급업체명]]</f>
        <v>_BEST SG SUPER GOLD_한국특수잉크공업</v>
      </c>
      <c r="X40" s="51" t="s">
        <v>154</v>
      </c>
      <c r="Y40" s="13"/>
      <c r="Z40" s="13"/>
      <c r="AA40" s="13"/>
      <c r="AB40" s="50">
        <v>25</v>
      </c>
      <c r="AC40" s="20" t="s">
        <v>86</v>
      </c>
      <c r="AD40" s="9" t="s">
        <v>83</v>
      </c>
      <c r="AE40" s="10" t="s">
        <v>84</v>
      </c>
      <c r="AF40" s="10" t="s">
        <v>84</v>
      </c>
      <c r="AG40" s="11"/>
      <c r="AH40" s="50" t="s">
        <v>200</v>
      </c>
      <c r="AI40" s="12">
        <f>IFERROR(표1[[#This Row],[사용량(kg)]]*표1[[#This Row],[함량(W%)]]/100,"")</f>
        <v>4.5</v>
      </c>
      <c r="AJ40" s="13"/>
      <c r="AK40" s="13"/>
      <c r="AL40" s="14"/>
      <c r="AM40" s="15"/>
      <c r="AN40" s="13"/>
      <c r="AO40" s="13"/>
      <c r="AP40" s="13"/>
      <c r="AQ40" s="13"/>
      <c r="AR40" s="13" t="str">
        <f>IFERROR(IF(표1[[#This Row],[함량(W%)]]&gt;=VLOOKUP(표1[[#This Row],[CAS No.]],[1]규제DB_유해법_유독물!B:F,5,FALSE),"유독물질 제품",""),"")</f>
        <v/>
      </c>
      <c r="AS40" s="13" t="str">
        <f>IFERROR(VLOOKUP(표1[[#This Row],[CAS No.]],[1]규제DB_유해법_금지물질!B:G,3,FALSE),"")</f>
        <v/>
      </c>
      <c r="AT40" s="13" t="str">
        <f>IFERROR(VLOOKUP(표1[[#This Row],[CAS No.]],[1]규제DB_유해법_금지물질!B:G,4,FALSE)&amp;" 인지 확인하세요","")</f>
        <v/>
      </c>
      <c r="AU40" s="13" t="str">
        <f>IFERROR(VLOOKUP(표1[[#This Row],[CAS No.]],[1]규제DB_유해법_제한물질!B:G,3,FALSE),"")</f>
        <v/>
      </c>
      <c r="AV40" s="13" t="str">
        <f>IFERROR(IF(표1[[#This Row],[함량(W%)]]&gt;=VLOOKUP(표1[[#This Row],[CAS No.]],[1]규제DB_유해법_제한물질!$B:$G,5,FALSE),"제한 제품",""),"")</f>
        <v/>
      </c>
      <c r="AW40" s="13" t="str">
        <f>IFERROR(VLOOKUP(표1[[#This Row],[CAS No.]],[1]규제DB_유해법_사고대비물질!B:J,2,FALSE),"")</f>
        <v/>
      </c>
      <c r="AX40" s="13" t="str">
        <f>IFERROR(IF(표1[[#This Row],[함량(W%)]]&gt;=VLOOKUP(표1[[#This Row],[CAS No.]],[1]규제DB_유해법_사고대비물질!$B:$J,4,FALSE),"사고대비물질 제품",""),"")</f>
        <v/>
      </c>
      <c r="AY40" s="16" t="str">
        <f>IFERROR(VLOOKUP(표1[[#This Row],[CAS No.]],[1]규제DB_유해법_사고대비물질!$B:$J,5,FALSE),"")</f>
        <v/>
      </c>
      <c r="AZ40" s="16" t="str">
        <f>IFERROR(VLOOKUP(표1[[#This Row],[CAS No.]],[1]규제DB_유해법_사고대비물질!$B:$J,6,FALSE),"")</f>
        <v/>
      </c>
      <c r="BA40" s="17" t="str">
        <f>IFERROR(IF(표1[[#This Row],[함량(W%)]]&gt;=VLOOKUP(표1[[#This Row],[CAS No.]],[1]규제DB_유해법_사고대비물질!$B:$J,4,FALSE),VLOOKUP(표1[[#This Row],[CAS No.]],[1]규제DB_유해법_사고대비물질!$B$2:$J$70,7,FALSE),""),"")</f>
        <v/>
      </c>
      <c r="BB40" s="17" t="str">
        <f>IFERROR(IF(표1[[#This Row],[함량(W%)]]&gt;=VLOOKUP(표1[[#This Row],[CAS No.]],[1]규제DB_유해법_사고대비물질!$B:$J,4,FALSE),VLOOKUP(표1[[#This Row],[CAS No.]],[1]규제DB_유해법_사고대비물질!$B$2:$J$70,8,FALSE),""),"")</f>
        <v/>
      </c>
      <c r="BC40" s="17" t="str">
        <f>IFERROR(IF(표1[[#This Row],[함량(W%)]]&gt;=VLOOKUP(표1[[#This Row],[CAS No.]],[1]규제DB_유해법_사고대비물질!$B:$J,4,FALSE),VLOOKUP(표1[[#This Row],[CAS No.]],[1]규제DB_유해법_사고대비물질!$B$2:$J$70,9,FALSE),""),"")</f>
        <v/>
      </c>
      <c r="BD40" s="18" t="str">
        <f>IFERROR(IF(표1[[#This Row],[함량(W%)]]&gt;=VLOOKUP(표1[[#This Row],[CAS No.]],'[1]규제DB_유해법_배출량조사 I'!$B:$D,3,FALSE),IF(VLOOKUP(표1[[#This Row],[CAS No.]],[1]기초자료!$A:$C,3,FALSE)&gt;=1000,"배출량조사 I 물질",""),""),"")</f>
        <v/>
      </c>
      <c r="BE40" s="18"/>
      <c r="BF40" s="13" t="str">
        <f>IFERROR(IF(표1[[#This Row],[함량(W%)]]&gt;=VLOOKUP(표1[[#This Row],[CAS No.]],[1]규제DB_산안법_금지물질!$B:$E,4,FALSE), VLOOKUP(표1[[#This Row],[CAS No.]],[1]규제DB_산안법_금지물질!$B:$E,2,FALSE)&amp;" : "&amp;VLOOKUP(표1[[#This Row],[CAS No.]],[1]규제DB_산안법_금지물질!$B:$E,3,FALSE)&amp;" 인지 확인하세요",""),"")</f>
        <v/>
      </c>
      <c r="BG40" s="13" t="str">
        <f>IFERROR(IF(표1[[#This Row],[함량(W%)]]&gt;=VLOOKUP(표1[[#This Row],[CAS No.]],[1]규제DB_산안법_허가물질!$B:$E,4,FALSE), "제품 허가물질",""),"")</f>
        <v/>
      </c>
      <c r="BH40" s="13" t="str">
        <f>IFERROR(IF(표1[[#This Row],[함량(W%)]]&gt;=VLOOKUP(표1[[#This Row],[CAS No.]], [1]규제DB_산안법_특별관리물질!$B:$E,4,FALSE), "제품 특별관리물질",""),"")</f>
        <v/>
      </c>
      <c r="BI40" s="13"/>
      <c r="BJ40" s="13" t="str">
        <f>IFERROR(IF(표1[[#This Row],[CAS No.]]=VLOOKUP(표1[[#This Row],[CAS No.]], [1]규제DB_산안법_허용기준이하물질!$B:$D,1,FALSE),"제품 허용기준이하물질",""),"")</f>
        <v/>
      </c>
      <c r="BK40" s="13" t="str">
        <f>IFERROR(VLOOKUP(표1[[#This Row],[CAS No.]], [1]규제DB_산안법_허용기준이하물질!$B:$D,3,FALSE),"")</f>
        <v/>
      </c>
      <c r="BL40" s="13"/>
      <c r="BM40" s="13" t="str">
        <f>IFERROR(VLOOKUP(표1[[#This Row],[CAS No.]], [1]규제DB_산안법_노출기준설정물질!$B:$K,3,FALSE),"")</f>
        <v/>
      </c>
      <c r="BN40" s="13"/>
      <c r="BO40" s="13"/>
      <c r="BP40" s="13"/>
      <c r="BQ40" s="13" t="str">
        <f>IFERROR(VLOOKUP(표1[[#This Row],[CAS No.]], [1]규제DB_산안법_노출기준설정물질!$B:$K,8,FALSE),"")</f>
        <v/>
      </c>
      <c r="BR40" s="13" t="str">
        <f>IFERROR(VLOOKUP(표1[[#This Row],[CAS No.]], [1]규제DB_산안법_노출기준설정물질!$B:$K,9,FALSE),"")</f>
        <v/>
      </c>
      <c r="BS40" s="13" t="str">
        <f>IFERROR(VLOOKUP(표1[[#This Row],[CAS No.]], [1]규제DB_산안법_노출기준설정물질!$B:$K,10,FALSE),"")</f>
        <v/>
      </c>
      <c r="BT40" s="13"/>
      <c r="BU40" s="13"/>
      <c r="BV40" s="13" t="str">
        <f>IFERROR(IF(VLOOKUP(표1[[#This Row],[CAS No.]],[1]규제DB_고용노동부고시_CMR!$B:$J,3,FALSE)="구분1A", IF(표1[[#This Row],[함량(W%)]]&gt;=VLOOKUP(표1[[#This Row],[CAS No.]],[1]규제DB_고용노동부고시_CMR!$B:$J,4,FALSE),"제품 발암성물질",""), IF(VLOOKUP(표1[[#This Row],[CAS No.]],[1]규제DB_고용노동부고시_CMR!$B:$J,3,FALSE)="구분1B", IF(표1[[#This Row],[함량(W%)]]&gt;=VLOOKUP(표1[[#This Row],[CAS No.]],[1]규제DB_고용노동부고시_CMR!$B:$J,4,FALSE),"제품 발암성물질",""), IF(VLOOKUP(표1[[#This Row],[CAS No.]],[1]규제DB_고용노동부고시_CMR!$B:$J,3,FALSE)="구분2", IF(표1[[#This Row],[함량(W%)]]&gt;=VLOOKUP(표1[[#This Row],[CAS No.]],[1]규제DB_고용노동부고시_CMR!$B:$J,4,FALSE),"제품 발암성물질",""),""))),"")</f>
        <v/>
      </c>
      <c r="BW40" s="13" t="str">
        <f>IFERROR(IF(VLOOKUP(표1[[#This Row],[CAS No.]],[1]규제DB_고용노동부고시_CMR!$B:$J,5,FALSE)="구분1A", IF(표1[[#This Row],[함량(W%)]]&gt;=VLOOKUP(표1[[#This Row],[CAS No.]],[1]규제DB_고용노동부고시_CMR!$B:$J,6,FALSE),"제품 생식세포변이원성물질",""), IF(VLOOKUP(표1[[#This Row],[CAS No.]],[1]규제DB_고용노동부고시_CMR!$B:$J,5,FALSE)="구분1B", IF(표1[[#This Row],[함량(W%)]]&gt;=VLOOKUP(표1[[#This Row],[CAS No.]],[1]규제DB_고용노동부고시_CMR!$B:$J,6,FALSE),"제품 생식세포변이원성물질",""), IF(VLOOKUP(표1[[#This Row],[CAS No.]],[1]규제DB_고용노동부고시_CMR!$B:$J,5,FALSE)="구분2", IF(표1[[#This Row],[함량(W%)]]&gt;=VLOOKUP(표1[[#This Row],[CAS No.]],[1]규제DB_고용노동부고시_CMR!$B:$J,6,FALSE),"제품 생식세포변이원성물질",""),""))),"")</f>
        <v/>
      </c>
      <c r="BX40" s="13" t="str">
        <f>IFERROR(IF(VLOOKUP(표1[[#This Row],[CAS No.]],[1]규제DB_고용노동부고시_CMR!$B:$J,7,FALSE)="구분1A", IF(표1[[#This Row],[함량(W%)]]&gt;=VLOOKUP(표1[[#This Row],[CAS No.]],[1]규제DB_고용노동부고시_CMR!$B:$J,8,FALSE),"제품 생식독성물질",""), IF(VLOOKUP(표1[[#This Row],[CAS No.]],[1]규제DB_고용노동부고시_CMR!$B:$J,7,FALSE)="구분1B", IF(표1[[#This Row],[함량(W%)]]&gt;=VLOOKUP(표1[[#This Row],[CAS No.]],[1]규제DB_고용노동부고시_CMR!$B:$J,8,FALSE),"제품 생식독성물질",""), IF(VLOOKUP(표1[[#This Row],[CAS No.]],[1]규제DB_고용노동부고시_CMR!$B:$J,7,FALSE)="구분2", IF(표1[[#This Row],[함량(W%)]]&gt;=VLOOKUP(표1[[#This Row],[CAS No.]],[1]규제DB_고용노동부고시_CMR!$B:$J,8,FALSE),"제품 생식독성물질",""),""))),"")</f>
        <v/>
      </c>
      <c r="BY40" s="13"/>
      <c r="BZ40" s="13" t="str">
        <f>IFERROR(IF(표1[[#This Row],[CAS No.]]=VLOOKUP(표1[[#This Row],[CAS No.]],[1]규제DB_고압법_독성가스!$B:$D,1,FALSE),"독성가스",""),"")</f>
        <v/>
      </c>
      <c r="CA40" s="13" t="str">
        <f>IFERROR(IF(표1[[#This Row],[CAS No.]]=VLOOKUP(표1[[#This Row],[CAS No.]],[1]규제DB_고압법_가연성가스!$B:$D,1,FALSE),"가연성가스",""),"")</f>
        <v/>
      </c>
      <c r="CB40" s="13" t="str">
        <f>IFERROR(IF(표1[[#This Row],[CAS No.]]=VLOOKUP(표1[[#This Row],[CAS No.]],[1]규제DB_고압법_특수고압가스!$B:$D,1,FALSE),"특수고압가스",""),"")</f>
        <v/>
      </c>
      <c r="CC40" s="13" t="str">
        <f>IFERROR(IF(표1[[#This Row],[CAS No.]]=VLOOKUP(표1[[#This Row],[CAS No.]],[1]규제DB_고압법_특정고압가스!$B:$D,1,FALSE),"특정고압가스",""),"")</f>
        <v/>
      </c>
      <c r="CD40" s="13" t="str">
        <f>IFERROR(IF(표1[[#This Row],[함량(W%)]]&gt;=VLOOKUP(표1[[#This Row],[CAS No.]],[1]규제DB_화관법_개별취급기준!$B:$G,5,FALSE),VLOOKUP(표1[[#This Row],[CAS No.]],[1]규제DB_화관법_개별취급기준!$B:$G,6,FALSE),""),"")</f>
        <v/>
      </c>
    </row>
    <row r="41" spans="1:82" ht="27.95" customHeight="1">
      <c r="A41" s="13">
        <v>40</v>
      </c>
      <c r="B41" s="2"/>
      <c r="C41" s="3" t="s">
        <v>103</v>
      </c>
      <c r="D41" s="14"/>
      <c r="E41" s="50" t="s">
        <v>117</v>
      </c>
      <c r="F41" s="3" t="s">
        <v>77</v>
      </c>
      <c r="G41" s="5" t="s">
        <v>78</v>
      </c>
      <c r="H41" s="3" t="s">
        <v>79</v>
      </c>
      <c r="I41" s="50" t="s">
        <v>102</v>
      </c>
      <c r="J41" s="3" t="s">
        <v>166</v>
      </c>
      <c r="K41" s="3" t="s">
        <v>166</v>
      </c>
      <c r="L41" s="3"/>
      <c r="M41" s="5" t="s">
        <v>80</v>
      </c>
      <c r="N41" s="5" t="s">
        <v>179</v>
      </c>
      <c r="O41" s="53" t="s">
        <v>81</v>
      </c>
      <c r="P41" s="55" t="s">
        <v>98</v>
      </c>
      <c r="Q41" s="54">
        <v>18</v>
      </c>
      <c r="R41" s="6">
        <v>18</v>
      </c>
      <c r="S41" s="17"/>
      <c r="T41" s="17"/>
      <c r="U41" s="6">
        <v>18</v>
      </c>
      <c r="V41" s="6">
        <v>18</v>
      </c>
      <c r="W41" s="8" t="str">
        <f>표1[[#This Row],[자재코드]]&amp;"_"&amp;표1[[#This Row],[자재명]]&amp;"_"&amp;표1[[#This Row],[공급업체명]]</f>
        <v>_BEST SG SUPER GOLD_한국특수잉크공업</v>
      </c>
      <c r="X41" s="51" t="s">
        <v>155</v>
      </c>
      <c r="Y41" s="13"/>
      <c r="Z41" s="13"/>
      <c r="AA41" s="13"/>
      <c r="AB41" s="50">
        <v>10</v>
      </c>
      <c r="AC41" s="20" t="s">
        <v>86</v>
      </c>
      <c r="AD41" s="9" t="s">
        <v>83</v>
      </c>
      <c r="AE41" s="10" t="s">
        <v>84</v>
      </c>
      <c r="AF41" s="10" t="s">
        <v>84</v>
      </c>
      <c r="AG41" s="11"/>
      <c r="AH41" s="50" t="s">
        <v>201</v>
      </c>
      <c r="AI41" s="12">
        <f>IFERROR(표1[[#This Row],[사용량(kg)]]*표1[[#This Row],[함량(W%)]]/100,"")</f>
        <v>1.8</v>
      </c>
      <c r="AJ41" s="13"/>
      <c r="AK41" s="13"/>
      <c r="AL41" s="14"/>
      <c r="AM41" s="15"/>
      <c r="AN41" s="13"/>
      <c r="AO41" s="13"/>
      <c r="AP41" s="13"/>
      <c r="AQ41" s="13"/>
      <c r="AR41" s="13" t="str">
        <f>IFERROR(IF(표1[[#This Row],[함량(W%)]]&gt;=VLOOKUP(표1[[#This Row],[CAS No.]],[1]규제DB_유해법_유독물!B:F,5,FALSE),"유독물질 제품",""),"")</f>
        <v/>
      </c>
      <c r="AS41" s="13" t="str">
        <f>IFERROR(VLOOKUP(표1[[#This Row],[CAS No.]],[1]규제DB_유해법_금지물질!B:G,3,FALSE),"")</f>
        <v/>
      </c>
      <c r="AT41" s="13" t="str">
        <f>IFERROR(VLOOKUP(표1[[#This Row],[CAS No.]],[1]규제DB_유해법_금지물질!B:G,4,FALSE)&amp;" 인지 확인하세요","")</f>
        <v/>
      </c>
      <c r="AU41" s="13" t="str">
        <f>IFERROR(VLOOKUP(표1[[#This Row],[CAS No.]],[1]규제DB_유해법_제한물질!B:G,3,FALSE),"")</f>
        <v/>
      </c>
      <c r="AV41" s="13" t="str">
        <f>IFERROR(IF(표1[[#This Row],[함량(W%)]]&gt;=VLOOKUP(표1[[#This Row],[CAS No.]],[1]규제DB_유해법_제한물질!$B:$G,5,FALSE),"제한 제품",""),"")</f>
        <v/>
      </c>
      <c r="AW41" s="13" t="str">
        <f>IFERROR(VLOOKUP(표1[[#This Row],[CAS No.]],[1]규제DB_유해법_사고대비물질!B:J,2,FALSE),"")</f>
        <v/>
      </c>
      <c r="AX41" s="13" t="str">
        <f>IFERROR(IF(표1[[#This Row],[함량(W%)]]&gt;=VLOOKUP(표1[[#This Row],[CAS No.]],[1]규제DB_유해법_사고대비물질!$B:$J,4,FALSE),"사고대비물질 제품",""),"")</f>
        <v/>
      </c>
      <c r="AY41" s="16" t="str">
        <f>IFERROR(VLOOKUP(표1[[#This Row],[CAS No.]],[1]규제DB_유해법_사고대비물질!$B:$J,5,FALSE),"")</f>
        <v/>
      </c>
      <c r="AZ41" s="16" t="str">
        <f>IFERROR(VLOOKUP(표1[[#This Row],[CAS No.]],[1]규제DB_유해법_사고대비물질!$B:$J,6,FALSE),"")</f>
        <v/>
      </c>
      <c r="BA41" s="17" t="str">
        <f>IFERROR(IF(표1[[#This Row],[함량(W%)]]&gt;=VLOOKUP(표1[[#This Row],[CAS No.]],[1]규제DB_유해법_사고대비물질!$B:$J,4,FALSE),VLOOKUP(표1[[#This Row],[CAS No.]],[1]규제DB_유해법_사고대비물질!$B$2:$J$70,7,FALSE),""),"")</f>
        <v/>
      </c>
      <c r="BB41" s="17" t="str">
        <f>IFERROR(IF(표1[[#This Row],[함량(W%)]]&gt;=VLOOKUP(표1[[#This Row],[CAS No.]],[1]규제DB_유해법_사고대비물질!$B:$J,4,FALSE),VLOOKUP(표1[[#This Row],[CAS No.]],[1]규제DB_유해법_사고대비물질!$B$2:$J$70,8,FALSE),""),"")</f>
        <v/>
      </c>
      <c r="BC41" s="17" t="str">
        <f>IFERROR(IF(표1[[#This Row],[함량(W%)]]&gt;=VLOOKUP(표1[[#This Row],[CAS No.]],[1]규제DB_유해법_사고대비물질!$B:$J,4,FALSE),VLOOKUP(표1[[#This Row],[CAS No.]],[1]규제DB_유해법_사고대비물질!$B$2:$J$70,9,FALSE),""),"")</f>
        <v/>
      </c>
      <c r="BD41" s="18" t="str">
        <f>IFERROR(IF(표1[[#This Row],[함량(W%)]]&gt;=VLOOKUP(표1[[#This Row],[CAS No.]],'[1]규제DB_유해법_배출량조사 I'!$B:$D,3,FALSE),IF(VLOOKUP(표1[[#This Row],[CAS No.]],[1]기초자료!$A:$C,3,FALSE)&gt;=1000,"배출량조사 I 물질",""),""),"")</f>
        <v/>
      </c>
      <c r="BE41" s="18"/>
      <c r="BF41" s="13" t="str">
        <f>IFERROR(IF(표1[[#This Row],[함량(W%)]]&gt;=VLOOKUP(표1[[#This Row],[CAS No.]],[1]규제DB_산안법_금지물질!$B:$E,4,FALSE), VLOOKUP(표1[[#This Row],[CAS No.]],[1]규제DB_산안법_금지물질!$B:$E,2,FALSE)&amp;" : "&amp;VLOOKUP(표1[[#This Row],[CAS No.]],[1]규제DB_산안법_금지물질!$B:$E,3,FALSE)&amp;" 인지 확인하세요",""),"")</f>
        <v/>
      </c>
      <c r="BG41" s="13" t="str">
        <f>IFERROR(IF(표1[[#This Row],[함량(W%)]]&gt;=VLOOKUP(표1[[#This Row],[CAS No.]],[1]규제DB_산안법_허가물질!$B:$E,4,FALSE), "제품 허가물질",""),"")</f>
        <v/>
      </c>
      <c r="BH41" s="13" t="str">
        <f>IFERROR(IF(표1[[#This Row],[함량(W%)]]&gt;=VLOOKUP(표1[[#This Row],[CAS No.]], [1]규제DB_산안법_특별관리물질!$B:$E,4,FALSE), "제품 특별관리물질",""),"")</f>
        <v/>
      </c>
      <c r="BI41" s="13" t="str">
        <f>IFERROR(IF(표1[[#This Row],[함량(W%)]]&gt;=VLOOKUP(표1[[#This Row],[CAS No.]], [1]규제DB_산안법_관리대상유해물질!$B:$E,4,FALSE), "제품 관리대상유해물질",""),"")</f>
        <v/>
      </c>
      <c r="BJ41" s="13" t="str">
        <f>IFERROR(IF(표1[[#This Row],[CAS No.]]=VLOOKUP(표1[[#This Row],[CAS No.]], [1]규제DB_산안법_허용기준이하물질!$B:$D,1,FALSE),"제품 허용기준이하물질",""),"")</f>
        <v/>
      </c>
      <c r="BK41" s="13" t="str">
        <f>IFERROR(VLOOKUP(표1[[#This Row],[CAS No.]], [1]규제DB_산안법_허용기준이하물질!$B:$D,3,FALSE),"")</f>
        <v/>
      </c>
      <c r="BL41" s="13"/>
      <c r="BM41" s="13" t="str">
        <f>IFERROR(VLOOKUP(표1[[#This Row],[CAS No.]], [1]규제DB_산안법_노출기준설정물질!$B:$K,3,FALSE),"")</f>
        <v/>
      </c>
      <c r="BN41" s="13" t="str">
        <f>IFERROR(VLOOKUP(표1[[#This Row],[CAS No.]], [1]규제DB_산안법_노출기준설정물질!$B:$K,4,FALSE),"")</f>
        <v/>
      </c>
      <c r="BO41" s="13" t="str">
        <f>IFERROR(VLOOKUP(표1[[#This Row],[CAS No.]], [1]규제DB_산안법_노출기준설정물질!$B:$K,5,FALSE),"")</f>
        <v/>
      </c>
      <c r="BP41" s="13" t="str">
        <f>IFERROR(VLOOKUP(표1[[#This Row],[CAS No.]], [1]규제DB_산안법_노출기준설정물질!$B:$K,7,FALSE),"")</f>
        <v/>
      </c>
      <c r="BQ41" s="13" t="str">
        <f>IFERROR(VLOOKUP(표1[[#This Row],[CAS No.]], [1]규제DB_산안법_노출기준설정물질!$B:$K,8,FALSE),"")</f>
        <v/>
      </c>
      <c r="BR41" s="13" t="str">
        <f>IFERROR(VLOOKUP(표1[[#This Row],[CAS No.]], [1]규제DB_산안법_노출기준설정물질!$B:$K,9,FALSE),"")</f>
        <v/>
      </c>
      <c r="BS41" s="13" t="str">
        <f>IFERROR(VLOOKUP(표1[[#This Row],[CAS No.]], [1]규제DB_산안법_노출기준설정물질!$B:$K,10,FALSE),"")</f>
        <v/>
      </c>
      <c r="BT41" s="13" t="str">
        <f>IFERROR(IF(표1[[#This Row],[함량(W%)]]&gt;=VLOOKUP(표1[[#This Row],[CAS No.]], [1]규제DB_산안법_작업환경측정대상유해인자!$B:$F,5,FALSE), "제품 작업환경측정대상유해인자",""),"")</f>
        <v/>
      </c>
      <c r="BU41" s="13" t="str">
        <f>IFERROR(IF(표1[[#This Row],[CAS No.]]=VLOOKUP(표1[[#This Row],[CAS No.]], [1]규제DB_산안법_특수건강진단대상유해인자!$B:$C,1,FALSE), "제품 특수건강진단대상유해인자",""),"")</f>
        <v/>
      </c>
      <c r="BV41" s="13" t="str">
        <f>IFERROR(IF(VLOOKUP(표1[[#This Row],[CAS No.]],[1]규제DB_고용노동부고시_CMR!$B:$J,3,FALSE)="구분1A", IF(표1[[#This Row],[함량(W%)]]&gt;=VLOOKUP(표1[[#This Row],[CAS No.]],[1]규제DB_고용노동부고시_CMR!$B:$J,4,FALSE),"제품 발암성물질",""), IF(VLOOKUP(표1[[#This Row],[CAS No.]],[1]규제DB_고용노동부고시_CMR!$B:$J,3,FALSE)="구분1B", IF(표1[[#This Row],[함량(W%)]]&gt;=VLOOKUP(표1[[#This Row],[CAS No.]],[1]규제DB_고용노동부고시_CMR!$B:$J,4,FALSE),"제품 발암성물질",""), IF(VLOOKUP(표1[[#This Row],[CAS No.]],[1]규제DB_고용노동부고시_CMR!$B:$J,3,FALSE)="구분2", IF(표1[[#This Row],[함량(W%)]]&gt;=VLOOKUP(표1[[#This Row],[CAS No.]],[1]규제DB_고용노동부고시_CMR!$B:$J,4,FALSE),"제품 발암성물질",""),""))),"")</f>
        <v/>
      </c>
      <c r="BW41" s="13" t="str">
        <f>IFERROR(IF(VLOOKUP(표1[[#This Row],[CAS No.]],[1]규제DB_고용노동부고시_CMR!$B:$J,5,FALSE)="구분1A", IF(표1[[#This Row],[함량(W%)]]&gt;=VLOOKUP(표1[[#This Row],[CAS No.]],[1]규제DB_고용노동부고시_CMR!$B:$J,6,FALSE),"제품 생식세포변이원성물질",""), IF(VLOOKUP(표1[[#This Row],[CAS No.]],[1]규제DB_고용노동부고시_CMR!$B:$J,5,FALSE)="구분1B", IF(표1[[#This Row],[함량(W%)]]&gt;=VLOOKUP(표1[[#This Row],[CAS No.]],[1]규제DB_고용노동부고시_CMR!$B:$J,6,FALSE),"제품 생식세포변이원성물질",""), IF(VLOOKUP(표1[[#This Row],[CAS No.]],[1]규제DB_고용노동부고시_CMR!$B:$J,5,FALSE)="구분2", IF(표1[[#This Row],[함량(W%)]]&gt;=VLOOKUP(표1[[#This Row],[CAS No.]],[1]규제DB_고용노동부고시_CMR!$B:$J,6,FALSE),"제품 생식세포변이원성물질",""),""))),"")</f>
        <v/>
      </c>
      <c r="BX41" s="13" t="str">
        <f>IFERROR(IF(VLOOKUP(표1[[#This Row],[CAS No.]],[1]규제DB_고용노동부고시_CMR!$B:$J,7,FALSE)="구분1A", IF(표1[[#This Row],[함량(W%)]]&gt;=VLOOKUP(표1[[#This Row],[CAS No.]],[1]규제DB_고용노동부고시_CMR!$B:$J,8,FALSE),"제품 생식독성물질",""), IF(VLOOKUP(표1[[#This Row],[CAS No.]],[1]규제DB_고용노동부고시_CMR!$B:$J,7,FALSE)="구분1B", IF(표1[[#This Row],[함량(W%)]]&gt;=VLOOKUP(표1[[#This Row],[CAS No.]],[1]규제DB_고용노동부고시_CMR!$B:$J,8,FALSE),"제품 생식독성물질",""), IF(VLOOKUP(표1[[#This Row],[CAS No.]],[1]규제DB_고용노동부고시_CMR!$B:$J,7,FALSE)="구분2", IF(표1[[#This Row],[함량(W%)]]&gt;=VLOOKUP(표1[[#This Row],[CAS No.]],[1]규제DB_고용노동부고시_CMR!$B:$J,8,FALSE),"제품 생식독성물질",""),""))),"")</f>
        <v/>
      </c>
      <c r="BY41" s="13"/>
      <c r="BZ41" s="13" t="str">
        <f>IFERROR(IF(표1[[#This Row],[CAS No.]]=VLOOKUP(표1[[#This Row],[CAS No.]],[1]규제DB_고압법_독성가스!$B:$D,1,FALSE),"독성가스",""),"")</f>
        <v/>
      </c>
      <c r="CA41" s="13" t="str">
        <f>IFERROR(IF(표1[[#This Row],[CAS No.]]=VLOOKUP(표1[[#This Row],[CAS No.]],[1]규제DB_고압법_가연성가스!$B:$D,1,FALSE),"가연성가스",""),"")</f>
        <v/>
      </c>
      <c r="CB41" s="13" t="str">
        <f>IFERROR(IF(표1[[#This Row],[CAS No.]]=VLOOKUP(표1[[#This Row],[CAS No.]],[1]규제DB_고압법_특수고압가스!$B:$D,1,FALSE),"특수고압가스",""),"")</f>
        <v/>
      </c>
      <c r="CC41" s="13" t="str">
        <f>IFERROR(IF(표1[[#This Row],[CAS No.]]=VLOOKUP(표1[[#This Row],[CAS No.]],[1]규제DB_고압법_특정고압가스!$B:$D,1,FALSE),"특정고압가스",""),"")</f>
        <v/>
      </c>
      <c r="CD41" s="13" t="str">
        <f>IFERROR(IF(표1[[#This Row],[함량(W%)]]&gt;=VLOOKUP(표1[[#This Row],[CAS No.]],[1]규제DB_화관법_개별취급기준!$B:$G,5,FALSE),VLOOKUP(표1[[#This Row],[CAS No.]],[1]규제DB_화관법_개별취급기준!$B:$G,6,FALSE),""),"")</f>
        <v/>
      </c>
    </row>
    <row r="42" spans="1:82" ht="27.95" customHeight="1">
      <c r="A42" s="13">
        <v>41</v>
      </c>
      <c r="B42" s="2"/>
      <c r="C42" s="3" t="s">
        <v>103</v>
      </c>
      <c r="D42" s="14"/>
      <c r="E42" s="50" t="s">
        <v>117</v>
      </c>
      <c r="F42" s="3" t="s">
        <v>77</v>
      </c>
      <c r="G42" s="5" t="s">
        <v>78</v>
      </c>
      <c r="H42" s="3" t="s">
        <v>79</v>
      </c>
      <c r="I42" s="50" t="s">
        <v>102</v>
      </c>
      <c r="J42" s="3" t="s">
        <v>166</v>
      </c>
      <c r="K42" s="3" t="s">
        <v>166</v>
      </c>
      <c r="L42" s="3"/>
      <c r="M42" s="5" t="s">
        <v>80</v>
      </c>
      <c r="N42" s="5" t="s">
        <v>179</v>
      </c>
      <c r="O42" s="53" t="s">
        <v>81</v>
      </c>
      <c r="P42" s="55" t="s">
        <v>95</v>
      </c>
      <c r="Q42" s="54">
        <v>18</v>
      </c>
      <c r="R42" s="6">
        <v>18</v>
      </c>
      <c r="S42" s="17"/>
      <c r="T42" s="17"/>
      <c r="U42" s="6">
        <v>18</v>
      </c>
      <c r="V42" s="6">
        <v>18</v>
      </c>
      <c r="W42" s="8" t="str">
        <f>표1[[#This Row],[자재코드]]&amp;"_"&amp;표1[[#This Row],[자재명]]&amp;"_"&amp;표1[[#This Row],[공급업체명]]</f>
        <v>_BEST SG SUPER GOLD_한국특수잉크공업</v>
      </c>
      <c r="X42" s="51" t="s">
        <v>149</v>
      </c>
      <c r="Y42" s="2"/>
      <c r="Z42" s="2"/>
      <c r="AA42" s="2"/>
      <c r="AB42" s="50">
        <v>15</v>
      </c>
      <c r="AC42" s="20" t="s">
        <v>86</v>
      </c>
      <c r="AD42" s="9" t="s">
        <v>83</v>
      </c>
      <c r="AE42" s="10" t="s">
        <v>84</v>
      </c>
      <c r="AF42" s="10" t="s">
        <v>84</v>
      </c>
      <c r="AG42" s="11"/>
      <c r="AH42" s="50" t="s">
        <v>195</v>
      </c>
      <c r="AI42" s="12">
        <f>IFERROR(표1[[#This Row],[사용량(kg)]]*표1[[#This Row],[함량(W%)]]/100,"")</f>
        <v>2.7</v>
      </c>
      <c r="AJ42" s="13"/>
      <c r="AK42" s="13"/>
      <c r="AL42" s="14"/>
      <c r="AM42" s="15"/>
      <c r="AN42" s="13"/>
      <c r="AO42" s="13"/>
      <c r="AP42" s="13"/>
      <c r="AQ42" s="13"/>
      <c r="AR42" s="13" t="str">
        <f>IFERROR(IF(표1[[#This Row],[함량(W%)]]&gt;=VLOOKUP(표1[[#This Row],[CAS No.]],[1]규제DB_유해법_유독물!B:F,5,FALSE),"유독물질 제품",""),"")</f>
        <v/>
      </c>
      <c r="AS42" s="13" t="str">
        <f>IFERROR(VLOOKUP(표1[[#This Row],[CAS No.]],[1]규제DB_유해법_금지물질!B:G,3,FALSE),"")</f>
        <v/>
      </c>
      <c r="AT42" s="13" t="str">
        <f>IFERROR(VLOOKUP(표1[[#This Row],[CAS No.]],[1]규제DB_유해법_금지물질!B:G,4,FALSE)&amp;" 인지 확인하세요","")</f>
        <v/>
      </c>
      <c r="AU42" s="13" t="str">
        <f>IFERROR(VLOOKUP(표1[[#This Row],[CAS No.]],[1]규제DB_유해법_제한물질!B:G,3,FALSE),"")</f>
        <v/>
      </c>
      <c r="AV42" s="13" t="str">
        <f>IFERROR(IF(표1[[#This Row],[함량(W%)]]&gt;=VLOOKUP(표1[[#This Row],[CAS No.]],[1]규제DB_유해법_제한물질!$B:$G,5,FALSE),"제한 제품",""),"")</f>
        <v/>
      </c>
      <c r="AW42" s="13" t="str">
        <f>IFERROR(VLOOKUP(표1[[#This Row],[CAS No.]],[1]규제DB_유해법_사고대비물질!B:J,2,FALSE),"")</f>
        <v/>
      </c>
      <c r="AX42" s="13" t="str">
        <f>IFERROR(IF(표1[[#This Row],[함량(W%)]]&gt;=VLOOKUP(표1[[#This Row],[CAS No.]],[1]규제DB_유해법_사고대비물질!$B:$J,4,FALSE),"사고대비물질 제품",""),"")</f>
        <v/>
      </c>
      <c r="AY42" s="16" t="str">
        <f>IFERROR(VLOOKUP(표1[[#This Row],[CAS No.]],[1]규제DB_유해법_사고대비물질!$B:$J,5,FALSE),"")</f>
        <v/>
      </c>
      <c r="AZ42" s="16" t="str">
        <f>IFERROR(VLOOKUP(표1[[#This Row],[CAS No.]],[1]규제DB_유해법_사고대비물질!$B:$J,6,FALSE),"")</f>
        <v/>
      </c>
      <c r="BA42" s="17" t="str">
        <f>IFERROR(IF(표1[[#This Row],[함량(W%)]]&gt;=VLOOKUP(표1[[#This Row],[CAS No.]],[1]규제DB_유해법_사고대비물질!$B:$J,4,FALSE),VLOOKUP(표1[[#This Row],[CAS No.]],[1]규제DB_유해법_사고대비물질!$B$2:$J$70,7,FALSE),""),"")</f>
        <v/>
      </c>
      <c r="BB42" s="17" t="str">
        <f>IFERROR(IF(표1[[#This Row],[함량(W%)]]&gt;=VLOOKUP(표1[[#This Row],[CAS No.]],[1]규제DB_유해법_사고대비물질!$B:$J,4,FALSE),VLOOKUP(표1[[#This Row],[CAS No.]],[1]규제DB_유해법_사고대비물질!$B$2:$J$70,8,FALSE),""),"")</f>
        <v/>
      </c>
      <c r="BC42" s="17" t="str">
        <f>IFERROR(IF(표1[[#This Row],[함량(W%)]]&gt;=VLOOKUP(표1[[#This Row],[CAS No.]],[1]규제DB_유해법_사고대비물질!$B:$J,4,FALSE),VLOOKUP(표1[[#This Row],[CAS No.]],[1]규제DB_유해법_사고대비물질!$B$2:$J$70,9,FALSE),""),"")</f>
        <v/>
      </c>
      <c r="BD42" s="18" t="str">
        <f>IFERROR(IF(표1[[#This Row],[함량(W%)]]&gt;=VLOOKUP(표1[[#This Row],[CAS No.]],'[1]규제DB_유해법_배출량조사 I'!$B:$D,3,FALSE),IF(VLOOKUP(표1[[#This Row],[CAS No.]],[1]기초자료!$A:$C,3,FALSE)&gt;=1000,"배출량조사 I 물질",""),""),"")</f>
        <v/>
      </c>
      <c r="BE42" s="18"/>
      <c r="BF42" s="13" t="str">
        <f>IFERROR(IF(표1[[#This Row],[함량(W%)]]&gt;=VLOOKUP(표1[[#This Row],[CAS No.]],[1]규제DB_산안법_금지물질!$B:$E,4,FALSE), VLOOKUP(표1[[#This Row],[CAS No.]],[1]규제DB_산안법_금지물질!$B:$E,2,FALSE)&amp;" : "&amp;VLOOKUP(표1[[#This Row],[CAS No.]],[1]규제DB_산안법_금지물질!$B:$E,3,FALSE)&amp;" 인지 확인하세요",""),"")</f>
        <v/>
      </c>
      <c r="BG42" s="13" t="str">
        <f>IFERROR(IF(표1[[#This Row],[함량(W%)]]&gt;=VLOOKUP(표1[[#This Row],[CAS No.]],[1]규제DB_산안법_허가물질!$B:$E,4,FALSE), "제품 허가물질",""),"")</f>
        <v/>
      </c>
      <c r="BH42" s="13" t="str">
        <f>IFERROR(IF(표1[[#This Row],[함량(W%)]]&gt;=VLOOKUP(표1[[#This Row],[CAS No.]], [1]규제DB_산안법_특별관리물질!$B:$E,4,FALSE), "제품 특별관리물질",""),"")</f>
        <v/>
      </c>
      <c r="BI42" s="13" t="str">
        <f>IFERROR(IF(표1[[#This Row],[함량(W%)]]&gt;=VLOOKUP(표1[[#This Row],[CAS No.]], [1]규제DB_산안법_관리대상유해물질!$B:$E,4,FALSE), "제품 관리대상유해물질",""),"")</f>
        <v/>
      </c>
      <c r="BJ42" s="13" t="str">
        <f>IFERROR(IF(표1[[#This Row],[CAS No.]]=VLOOKUP(표1[[#This Row],[CAS No.]], [1]규제DB_산안법_허용기준이하물질!$B:$D,1,FALSE),"제품 허용기준이하물질",""),"")</f>
        <v/>
      </c>
      <c r="BK42" s="13" t="str">
        <f>IFERROR(VLOOKUP(표1[[#This Row],[CAS No.]], [1]규제DB_산안법_허용기준이하물질!$B:$D,3,FALSE),"")</f>
        <v/>
      </c>
      <c r="BL42" s="13"/>
      <c r="BM42" s="13" t="str">
        <f>IFERROR(VLOOKUP(표1[[#This Row],[CAS No.]], [1]규제DB_산안법_노출기준설정물질!$B:$K,3,FALSE),"")</f>
        <v/>
      </c>
      <c r="BN42" s="13" t="str">
        <f>IFERROR(VLOOKUP(표1[[#This Row],[CAS No.]], [1]규제DB_산안법_노출기준설정물질!$B:$K,4,FALSE),"")</f>
        <v/>
      </c>
      <c r="BO42" s="13" t="str">
        <f>IFERROR(VLOOKUP(표1[[#This Row],[CAS No.]], [1]규제DB_산안법_노출기준설정물질!$B:$K,5,FALSE),"")</f>
        <v/>
      </c>
      <c r="BP42" s="13" t="str">
        <f>IFERROR(VLOOKUP(표1[[#This Row],[CAS No.]], [1]규제DB_산안법_노출기준설정물질!$B:$K,7,FALSE),"")</f>
        <v/>
      </c>
      <c r="BQ42" s="13" t="str">
        <f>IFERROR(VLOOKUP(표1[[#This Row],[CAS No.]], [1]규제DB_산안법_노출기준설정물질!$B:$K,8,FALSE),"")</f>
        <v/>
      </c>
      <c r="BR42" s="13" t="str">
        <f>IFERROR(VLOOKUP(표1[[#This Row],[CAS No.]], [1]규제DB_산안법_노출기준설정물질!$B:$K,9,FALSE),"")</f>
        <v/>
      </c>
      <c r="BS42" s="13" t="str">
        <f>IFERROR(VLOOKUP(표1[[#This Row],[CAS No.]], [1]규제DB_산안법_노출기준설정물질!$B:$K,10,FALSE),"")</f>
        <v/>
      </c>
      <c r="BT42" s="13" t="str">
        <f>IFERROR(IF(표1[[#This Row],[함량(W%)]]&gt;=VLOOKUP(표1[[#This Row],[CAS No.]], [1]규제DB_산안법_작업환경측정대상유해인자!$B:$F,5,FALSE), "제품 작업환경측정대상유해인자",""),"")</f>
        <v/>
      </c>
      <c r="BU42" s="13" t="str">
        <f>IFERROR(IF(표1[[#This Row],[CAS No.]]=VLOOKUP(표1[[#This Row],[CAS No.]], [1]규제DB_산안법_특수건강진단대상유해인자!$B:$C,1,FALSE), "제품 특수건강진단대상유해인자",""),"")</f>
        <v/>
      </c>
      <c r="BV42" s="13" t="str">
        <f>IFERROR(IF(VLOOKUP(표1[[#This Row],[CAS No.]],[1]규제DB_고용노동부고시_CMR!$B:$J,3,FALSE)="구분1A", IF(표1[[#This Row],[함량(W%)]]&gt;=VLOOKUP(표1[[#This Row],[CAS No.]],[1]규제DB_고용노동부고시_CMR!$B:$J,4,FALSE),"제품 발암성물질",""), IF(VLOOKUP(표1[[#This Row],[CAS No.]],[1]규제DB_고용노동부고시_CMR!$B:$J,3,FALSE)="구분1B", IF(표1[[#This Row],[함량(W%)]]&gt;=VLOOKUP(표1[[#This Row],[CAS No.]],[1]규제DB_고용노동부고시_CMR!$B:$J,4,FALSE),"제품 발암성물질",""), IF(VLOOKUP(표1[[#This Row],[CAS No.]],[1]규제DB_고용노동부고시_CMR!$B:$J,3,FALSE)="구분2", IF(표1[[#This Row],[함량(W%)]]&gt;=VLOOKUP(표1[[#This Row],[CAS No.]],[1]규제DB_고용노동부고시_CMR!$B:$J,4,FALSE),"제품 발암성물질",""),""))),"")</f>
        <v/>
      </c>
      <c r="BW42" s="13" t="str">
        <f>IFERROR(IF(VLOOKUP(표1[[#This Row],[CAS No.]],[1]규제DB_고용노동부고시_CMR!$B:$J,5,FALSE)="구분1A", IF(표1[[#This Row],[함량(W%)]]&gt;=VLOOKUP(표1[[#This Row],[CAS No.]],[1]규제DB_고용노동부고시_CMR!$B:$J,6,FALSE),"제품 생식세포변이원성물질",""), IF(VLOOKUP(표1[[#This Row],[CAS No.]],[1]규제DB_고용노동부고시_CMR!$B:$J,5,FALSE)="구분1B", IF(표1[[#This Row],[함량(W%)]]&gt;=VLOOKUP(표1[[#This Row],[CAS No.]],[1]규제DB_고용노동부고시_CMR!$B:$J,6,FALSE),"제품 생식세포변이원성물질",""), IF(VLOOKUP(표1[[#This Row],[CAS No.]],[1]규제DB_고용노동부고시_CMR!$B:$J,5,FALSE)="구분2", IF(표1[[#This Row],[함량(W%)]]&gt;=VLOOKUP(표1[[#This Row],[CAS No.]],[1]규제DB_고용노동부고시_CMR!$B:$J,6,FALSE),"제품 생식세포변이원성물질",""),""))),"")</f>
        <v/>
      </c>
      <c r="BX42" s="13" t="str">
        <f>IFERROR(IF(VLOOKUP(표1[[#This Row],[CAS No.]],[1]규제DB_고용노동부고시_CMR!$B:$J,7,FALSE)="구분1A", IF(표1[[#This Row],[함량(W%)]]&gt;=VLOOKUP(표1[[#This Row],[CAS No.]],[1]규제DB_고용노동부고시_CMR!$B:$J,8,FALSE),"제품 생식독성물질",""), IF(VLOOKUP(표1[[#This Row],[CAS No.]],[1]규제DB_고용노동부고시_CMR!$B:$J,7,FALSE)="구분1B", IF(표1[[#This Row],[함량(W%)]]&gt;=VLOOKUP(표1[[#This Row],[CAS No.]],[1]규제DB_고용노동부고시_CMR!$B:$J,8,FALSE),"제품 생식독성물질",""), IF(VLOOKUP(표1[[#This Row],[CAS No.]],[1]규제DB_고용노동부고시_CMR!$B:$J,7,FALSE)="구분2", IF(표1[[#This Row],[함량(W%)]]&gt;=VLOOKUP(표1[[#This Row],[CAS No.]],[1]규제DB_고용노동부고시_CMR!$B:$J,8,FALSE),"제품 생식독성물질",""),""))),"")</f>
        <v/>
      </c>
      <c r="BY42" s="13"/>
      <c r="BZ42" s="13" t="str">
        <f>IFERROR(IF(표1[[#This Row],[CAS No.]]=VLOOKUP(표1[[#This Row],[CAS No.]],[1]규제DB_고압법_독성가스!$B:$D,1,FALSE),"독성가스",""),"")</f>
        <v/>
      </c>
      <c r="CA42" s="13" t="str">
        <f>IFERROR(IF(표1[[#This Row],[CAS No.]]=VLOOKUP(표1[[#This Row],[CAS No.]],[1]규제DB_고압법_가연성가스!$B:$D,1,FALSE),"가연성가스",""),"")</f>
        <v/>
      </c>
      <c r="CB42" s="13" t="str">
        <f>IFERROR(IF(표1[[#This Row],[CAS No.]]=VLOOKUP(표1[[#This Row],[CAS No.]],[1]규제DB_고압법_특수고압가스!$B:$D,1,FALSE),"특수고압가스",""),"")</f>
        <v/>
      </c>
      <c r="CC42" s="13" t="str">
        <f>IFERROR(IF(표1[[#This Row],[CAS No.]]=VLOOKUP(표1[[#This Row],[CAS No.]],[1]규제DB_고압법_특정고압가스!$B:$D,1,FALSE),"특정고압가스",""),"")</f>
        <v/>
      </c>
      <c r="CD42" s="13" t="str">
        <f>IFERROR(IF(표1[[#This Row],[함량(W%)]]&gt;=VLOOKUP(표1[[#This Row],[CAS No.]],[1]규제DB_화관법_개별취급기준!$B:$G,5,FALSE),VLOOKUP(표1[[#This Row],[CAS No.]],[1]규제DB_화관법_개별취급기준!$B:$G,6,FALSE),""),"")</f>
        <v/>
      </c>
    </row>
    <row r="43" spans="1:82" ht="27.95" customHeight="1">
      <c r="A43" s="13">
        <v>42</v>
      </c>
      <c r="B43" s="2"/>
      <c r="C43" s="3" t="s">
        <v>103</v>
      </c>
      <c r="D43" s="14"/>
      <c r="E43" s="50" t="s">
        <v>117</v>
      </c>
      <c r="F43" s="3" t="s">
        <v>77</v>
      </c>
      <c r="G43" s="5" t="s">
        <v>78</v>
      </c>
      <c r="H43" s="3" t="s">
        <v>79</v>
      </c>
      <c r="I43" s="50" t="s">
        <v>102</v>
      </c>
      <c r="J43" s="3" t="s">
        <v>166</v>
      </c>
      <c r="K43" s="3" t="s">
        <v>166</v>
      </c>
      <c r="L43" s="3"/>
      <c r="M43" s="5" t="s">
        <v>80</v>
      </c>
      <c r="N43" s="5" t="s">
        <v>179</v>
      </c>
      <c r="O43" s="53" t="s">
        <v>81</v>
      </c>
      <c r="P43" s="55" t="s">
        <v>95</v>
      </c>
      <c r="Q43" s="54">
        <v>18</v>
      </c>
      <c r="R43" s="6">
        <v>18</v>
      </c>
      <c r="S43" s="17"/>
      <c r="T43" s="17"/>
      <c r="U43" s="6">
        <v>18</v>
      </c>
      <c r="V43" s="6">
        <v>18</v>
      </c>
      <c r="W43" s="8" t="str">
        <f>표1[[#This Row],[자재코드]]&amp;"_"&amp;표1[[#This Row],[자재명]]&amp;"_"&amp;표1[[#This Row],[공급업체명]]</f>
        <v>_BEST SG SUPER GOLD_한국특수잉크공업</v>
      </c>
      <c r="X43" s="51" t="s">
        <v>149</v>
      </c>
      <c r="Y43" s="13"/>
      <c r="Z43" s="13"/>
      <c r="AA43" s="13"/>
      <c r="AB43" s="50">
        <v>15</v>
      </c>
      <c r="AC43" s="20" t="s">
        <v>86</v>
      </c>
      <c r="AD43" s="9" t="s">
        <v>83</v>
      </c>
      <c r="AE43" s="10" t="s">
        <v>89</v>
      </c>
      <c r="AF43" s="10" t="s">
        <v>89</v>
      </c>
      <c r="AG43" s="11"/>
      <c r="AH43" s="50" t="s">
        <v>195</v>
      </c>
      <c r="AI43" s="12">
        <f>IFERROR(표1[[#This Row],[사용량(kg)]]*표1[[#This Row],[함량(W%)]]/100,"")</f>
        <v>2.7</v>
      </c>
      <c r="AJ43" s="13"/>
      <c r="AK43" s="13"/>
      <c r="AL43" s="14"/>
      <c r="AM43" s="15"/>
      <c r="AN43" s="13"/>
      <c r="AO43" s="13"/>
      <c r="AP43" s="13"/>
      <c r="AQ43" s="13"/>
      <c r="AR43" s="13" t="str">
        <f>IFERROR(IF(표1[[#This Row],[함량(W%)]]&gt;=VLOOKUP(표1[[#This Row],[CAS No.]],[1]규제DB_유해법_유독물!B:F,5,FALSE),"유독물질 제품",""),"")</f>
        <v/>
      </c>
      <c r="AS43" s="13" t="str">
        <f>IFERROR(VLOOKUP(표1[[#This Row],[CAS No.]],[1]규제DB_유해법_금지물질!B:G,3,FALSE),"")</f>
        <v/>
      </c>
      <c r="AT43" s="13" t="str">
        <f>IFERROR(VLOOKUP(표1[[#This Row],[CAS No.]],[1]규제DB_유해법_금지물질!B:G,4,FALSE)&amp;" 인지 확인하세요","")</f>
        <v/>
      </c>
      <c r="AU43" s="13" t="str">
        <f>IFERROR(VLOOKUP(표1[[#This Row],[CAS No.]],[1]규제DB_유해법_제한물질!B:G,3,FALSE),"")</f>
        <v/>
      </c>
      <c r="AV43" s="13" t="str">
        <f>IFERROR(IF(표1[[#This Row],[함량(W%)]]&gt;=VLOOKUP(표1[[#This Row],[CAS No.]],[1]규제DB_유해법_제한물질!$B:$G,5,FALSE),"제한 제품",""),"")</f>
        <v/>
      </c>
      <c r="AW43" s="13" t="str">
        <f>IFERROR(VLOOKUP(표1[[#This Row],[CAS No.]],[1]규제DB_유해법_사고대비물질!B:J,2,FALSE),"")</f>
        <v/>
      </c>
      <c r="AX43" s="13" t="str">
        <f>IFERROR(IF(표1[[#This Row],[함량(W%)]]&gt;=VLOOKUP(표1[[#This Row],[CAS No.]],[1]규제DB_유해법_사고대비물질!$B:$J,4,FALSE),"사고대비물질 제품",""),"")</f>
        <v/>
      </c>
      <c r="AY43" s="16" t="str">
        <f>IFERROR(VLOOKUP(표1[[#This Row],[CAS No.]],[1]규제DB_유해법_사고대비물질!$B:$J,5,FALSE),"")</f>
        <v/>
      </c>
      <c r="AZ43" s="16" t="str">
        <f>IFERROR(VLOOKUP(표1[[#This Row],[CAS No.]],[1]규제DB_유해법_사고대비물질!$B:$J,6,FALSE),"")</f>
        <v/>
      </c>
      <c r="BA43" s="17" t="str">
        <f>IFERROR(IF(표1[[#This Row],[함량(W%)]]&gt;=VLOOKUP(표1[[#This Row],[CAS No.]],[1]규제DB_유해법_사고대비물질!$B:$J,4,FALSE),VLOOKUP(표1[[#This Row],[CAS No.]],[1]규제DB_유해법_사고대비물질!$B$2:$J$70,7,FALSE),""),"")</f>
        <v/>
      </c>
      <c r="BB43" s="17" t="str">
        <f>IFERROR(IF(표1[[#This Row],[함량(W%)]]&gt;=VLOOKUP(표1[[#This Row],[CAS No.]],[1]규제DB_유해법_사고대비물질!$B:$J,4,FALSE),VLOOKUP(표1[[#This Row],[CAS No.]],[1]규제DB_유해법_사고대비물질!$B$2:$J$70,8,FALSE),""),"")</f>
        <v/>
      </c>
      <c r="BC43" s="17" t="str">
        <f>IFERROR(IF(표1[[#This Row],[함량(W%)]]&gt;=VLOOKUP(표1[[#This Row],[CAS No.]],[1]규제DB_유해법_사고대비물질!$B:$J,4,FALSE),VLOOKUP(표1[[#This Row],[CAS No.]],[1]규제DB_유해법_사고대비물질!$B$2:$J$70,9,FALSE),""),"")</f>
        <v/>
      </c>
      <c r="BD43" s="18" t="str">
        <f>IFERROR(IF(표1[[#This Row],[함량(W%)]]&gt;=VLOOKUP(표1[[#This Row],[CAS No.]],'[1]규제DB_유해법_배출량조사 I'!$B:$D,3,FALSE),IF(VLOOKUP(표1[[#This Row],[CAS No.]],[1]기초자료!$A:$C,3,FALSE)&gt;=1000,"배출량조사 I 물질",""),""),"")</f>
        <v/>
      </c>
      <c r="BE43" s="18"/>
      <c r="BF43" s="13" t="str">
        <f>IFERROR(IF(표1[[#This Row],[함량(W%)]]&gt;=VLOOKUP(표1[[#This Row],[CAS No.]],[1]규제DB_산안법_금지물질!$B:$E,4,FALSE), VLOOKUP(표1[[#This Row],[CAS No.]],[1]규제DB_산안법_금지물질!$B:$E,2,FALSE)&amp;" : "&amp;VLOOKUP(표1[[#This Row],[CAS No.]],[1]규제DB_산안법_금지물질!$B:$E,3,FALSE)&amp;" 인지 확인하세요",""),"")</f>
        <v/>
      </c>
      <c r="BG43" s="13" t="str">
        <f>IFERROR(IF(표1[[#This Row],[함량(W%)]]&gt;=VLOOKUP(표1[[#This Row],[CAS No.]],[1]규제DB_산안법_허가물질!$B:$E,4,FALSE), "제품 허가물질",""),"")</f>
        <v/>
      </c>
      <c r="BH43" s="13" t="str">
        <f>IFERROR(IF(표1[[#This Row],[함량(W%)]]&gt;=VLOOKUP(표1[[#This Row],[CAS No.]], [1]규제DB_산안법_특별관리물질!$B:$E,4,FALSE), "제품 특별관리물질",""),"")</f>
        <v/>
      </c>
      <c r="BI43" s="13" t="str">
        <f>IFERROR(IF(표1[[#This Row],[함량(W%)]]&gt;=VLOOKUP(표1[[#This Row],[CAS No.]], [1]규제DB_산안법_관리대상유해물질!$B:$E,4,FALSE), "제품 관리대상유해물질",""),"")</f>
        <v/>
      </c>
      <c r="BJ43" s="13" t="str">
        <f>IFERROR(IF(표1[[#This Row],[CAS No.]]=VLOOKUP(표1[[#This Row],[CAS No.]], [1]규제DB_산안법_허용기준이하물질!$B:$D,1,FALSE),"제품 허용기준이하물질",""),"")</f>
        <v/>
      </c>
      <c r="BK43" s="13" t="str">
        <f>IFERROR(VLOOKUP(표1[[#This Row],[CAS No.]], [1]규제DB_산안법_허용기준이하물질!$B:$D,3,FALSE),"")</f>
        <v/>
      </c>
      <c r="BL43" s="13"/>
      <c r="BM43" s="13" t="str">
        <f>IFERROR(VLOOKUP(표1[[#This Row],[CAS No.]], [1]규제DB_산안법_노출기준설정물질!$B:$K,3,FALSE),"")</f>
        <v/>
      </c>
      <c r="BN43" s="13" t="str">
        <f>IFERROR(VLOOKUP(표1[[#This Row],[CAS No.]], [1]규제DB_산안법_노출기준설정물질!$B:$K,4,FALSE),"")</f>
        <v/>
      </c>
      <c r="BO43" s="13" t="str">
        <f>IFERROR(VLOOKUP(표1[[#This Row],[CAS No.]], [1]규제DB_산안법_노출기준설정물질!$B:$K,5,FALSE),"")</f>
        <v/>
      </c>
      <c r="BP43" s="13" t="str">
        <f>IFERROR(VLOOKUP(표1[[#This Row],[CAS No.]], [1]규제DB_산안법_노출기준설정물질!$B:$K,7,FALSE),"")</f>
        <v/>
      </c>
      <c r="BQ43" s="13" t="str">
        <f>IFERROR(VLOOKUP(표1[[#This Row],[CAS No.]], [1]규제DB_산안법_노출기준설정물질!$B:$K,8,FALSE),"")</f>
        <v/>
      </c>
      <c r="BR43" s="13" t="str">
        <f>IFERROR(VLOOKUP(표1[[#This Row],[CAS No.]], [1]규제DB_산안법_노출기준설정물질!$B:$K,9,FALSE),"")</f>
        <v/>
      </c>
      <c r="BS43" s="13" t="str">
        <f>IFERROR(VLOOKUP(표1[[#This Row],[CAS No.]], [1]규제DB_산안법_노출기준설정물질!$B:$K,10,FALSE),"")</f>
        <v/>
      </c>
      <c r="BT43" s="13" t="str">
        <f>IFERROR(IF(표1[[#This Row],[함량(W%)]]&gt;=VLOOKUP(표1[[#This Row],[CAS No.]], [1]규제DB_산안법_작업환경측정대상유해인자!$B:$F,5,FALSE), "제품 작업환경측정대상유해인자",""),"")</f>
        <v/>
      </c>
      <c r="BU43" s="13" t="str">
        <f>IFERROR(IF(표1[[#This Row],[CAS No.]]=VLOOKUP(표1[[#This Row],[CAS No.]], [1]규제DB_산안법_특수건강진단대상유해인자!$B:$C,1,FALSE), "제품 특수건강진단대상유해인자",""),"")</f>
        <v/>
      </c>
      <c r="BV43" s="13" t="str">
        <f>IFERROR(IF(VLOOKUP(표1[[#This Row],[CAS No.]],[1]규제DB_고용노동부고시_CMR!$B:$J,3,FALSE)="구분1A", IF(표1[[#This Row],[함량(W%)]]&gt;=VLOOKUP(표1[[#This Row],[CAS No.]],[1]규제DB_고용노동부고시_CMR!$B:$J,4,FALSE),"제품 발암성물질",""), IF(VLOOKUP(표1[[#This Row],[CAS No.]],[1]규제DB_고용노동부고시_CMR!$B:$J,3,FALSE)="구분1B", IF(표1[[#This Row],[함량(W%)]]&gt;=VLOOKUP(표1[[#This Row],[CAS No.]],[1]규제DB_고용노동부고시_CMR!$B:$J,4,FALSE),"제품 발암성물질",""), IF(VLOOKUP(표1[[#This Row],[CAS No.]],[1]규제DB_고용노동부고시_CMR!$B:$J,3,FALSE)="구분2", IF(표1[[#This Row],[함량(W%)]]&gt;=VLOOKUP(표1[[#This Row],[CAS No.]],[1]규제DB_고용노동부고시_CMR!$B:$J,4,FALSE),"제품 발암성물질",""),""))),"")</f>
        <v/>
      </c>
      <c r="BW43" s="13" t="str">
        <f>IFERROR(IF(VLOOKUP(표1[[#This Row],[CAS No.]],[1]규제DB_고용노동부고시_CMR!$B:$J,5,FALSE)="구분1A", IF(표1[[#This Row],[함량(W%)]]&gt;=VLOOKUP(표1[[#This Row],[CAS No.]],[1]규제DB_고용노동부고시_CMR!$B:$J,6,FALSE),"제품 생식세포변이원성물질",""), IF(VLOOKUP(표1[[#This Row],[CAS No.]],[1]규제DB_고용노동부고시_CMR!$B:$J,5,FALSE)="구분1B", IF(표1[[#This Row],[함량(W%)]]&gt;=VLOOKUP(표1[[#This Row],[CAS No.]],[1]규제DB_고용노동부고시_CMR!$B:$J,6,FALSE),"제품 생식세포변이원성물질",""), IF(VLOOKUP(표1[[#This Row],[CAS No.]],[1]규제DB_고용노동부고시_CMR!$B:$J,5,FALSE)="구분2", IF(표1[[#This Row],[함량(W%)]]&gt;=VLOOKUP(표1[[#This Row],[CAS No.]],[1]규제DB_고용노동부고시_CMR!$B:$J,6,FALSE),"제품 생식세포변이원성물질",""),""))),"")</f>
        <v/>
      </c>
      <c r="BX43" s="13" t="str">
        <f>IFERROR(IF(VLOOKUP(표1[[#This Row],[CAS No.]],[1]규제DB_고용노동부고시_CMR!$B:$J,7,FALSE)="구분1A", IF(표1[[#This Row],[함량(W%)]]&gt;=VLOOKUP(표1[[#This Row],[CAS No.]],[1]규제DB_고용노동부고시_CMR!$B:$J,8,FALSE),"제품 생식독성물질",""), IF(VLOOKUP(표1[[#This Row],[CAS No.]],[1]규제DB_고용노동부고시_CMR!$B:$J,7,FALSE)="구분1B", IF(표1[[#This Row],[함량(W%)]]&gt;=VLOOKUP(표1[[#This Row],[CAS No.]],[1]규제DB_고용노동부고시_CMR!$B:$J,8,FALSE),"제품 생식독성물질",""), IF(VLOOKUP(표1[[#This Row],[CAS No.]],[1]규제DB_고용노동부고시_CMR!$B:$J,7,FALSE)="구분2", IF(표1[[#This Row],[함량(W%)]]&gt;=VLOOKUP(표1[[#This Row],[CAS No.]],[1]규제DB_고용노동부고시_CMR!$B:$J,8,FALSE),"제품 생식독성물질",""),""))),"")</f>
        <v/>
      </c>
      <c r="BY43" s="13"/>
      <c r="BZ43" s="13" t="str">
        <f>IFERROR(IF(표1[[#This Row],[CAS No.]]=VLOOKUP(표1[[#This Row],[CAS No.]],[1]규제DB_고압법_독성가스!$B:$D,1,FALSE),"독성가스",""),"")</f>
        <v/>
      </c>
      <c r="CA43" s="13" t="str">
        <f>IFERROR(IF(표1[[#This Row],[CAS No.]]=VLOOKUP(표1[[#This Row],[CAS No.]],[1]규제DB_고압법_가연성가스!$B:$D,1,FALSE),"가연성가스",""),"")</f>
        <v/>
      </c>
      <c r="CB43" s="13" t="str">
        <f>IFERROR(IF(표1[[#This Row],[CAS No.]]=VLOOKUP(표1[[#This Row],[CAS No.]],[1]규제DB_고압법_특수고압가스!$B:$D,1,FALSE),"특수고압가스",""),"")</f>
        <v/>
      </c>
      <c r="CC43" s="13" t="str">
        <f>IFERROR(IF(표1[[#This Row],[CAS No.]]=VLOOKUP(표1[[#This Row],[CAS No.]],[1]규제DB_고압법_특정고압가스!$B:$D,1,FALSE),"특정고압가스",""),"")</f>
        <v/>
      </c>
      <c r="CD43" s="13" t="str">
        <f>IFERROR(IF(표1[[#This Row],[함량(W%)]]&gt;=VLOOKUP(표1[[#This Row],[CAS No.]],[1]규제DB_화관법_개별취급기준!$B:$G,5,FALSE),VLOOKUP(표1[[#This Row],[CAS No.]],[1]규제DB_화관법_개별취급기준!$B:$G,6,FALSE),""),"")</f>
        <v/>
      </c>
    </row>
    <row r="44" spans="1:82" ht="27.95" customHeight="1">
      <c r="A44" s="13">
        <v>43</v>
      </c>
      <c r="B44" s="2"/>
      <c r="C44" s="3" t="s">
        <v>103</v>
      </c>
      <c r="D44" s="14"/>
      <c r="E44" s="50" t="s">
        <v>118</v>
      </c>
      <c r="F44" s="3" t="s">
        <v>90</v>
      </c>
      <c r="G44" s="5" t="s">
        <v>78</v>
      </c>
      <c r="H44" s="3" t="s">
        <v>91</v>
      </c>
      <c r="I44" s="50" t="s">
        <v>102</v>
      </c>
      <c r="J44" s="3" t="s">
        <v>166</v>
      </c>
      <c r="K44" s="3" t="s">
        <v>166</v>
      </c>
      <c r="L44" s="3"/>
      <c r="M44" s="5" t="s">
        <v>80</v>
      </c>
      <c r="N44" s="5" t="s">
        <v>179</v>
      </c>
      <c r="O44" s="53" t="s">
        <v>92</v>
      </c>
      <c r="P44" s="55" t="s">
        <v>98</v>
      </c>
      <c r="Q44" s="54">
        <v>24</v>
      </c>
      <c r="R44" s="6">
        <v>24</v>
      </c>
      <c r="S44" s="17"/>
      <c r="T44" s="17"/>
      <c r="U44" s="6">
        <v>24</v>
      </c>
      <c r="V44" s="6">
        <v>24</v>
      </c>
      <c r="W44" s="8" t="str">
        <f>표1[[#This Row],[자재코드]]&amp;"_"&amp;표1[[#This Row],[자재명]]&amp;"_"&amp;표1[[#This Row],[공급업체명]]</f>
        <v>_BEST SG 중간색 D(MEDIUM,금적,군청,감남,목단)_한국특수잉크공업</v>
      </c>
      <c r="X44" s="51" t="s">
        <v>156</v>
      </c>
      <c r="Y44" s="2"/>
      <c r="Z44" s="2"/>
      <c r="AA44" s="2"/>
      <c r="AB44" s="50">
        <v>10</v>
      </c>
      <c r="AC44" s="9" t="s">
        <v>82</v>
      </c>
      <c r="AD44" s="9" t="s">
        <v>83</v>
      </c>
      <c r="AE44" s="10" t="s">
        <v>89</v>
      </c>
      <c r="AF44" s="10" t="s">
        <v>89</v>
      </c>
      <c r="AG44" s="11"/>
      <c r="AH44" s="50" t="s">
        <v>202</v>
      </c>
      <c r="AI44" s="12">
        <f>IFERROR(표1[[#This Row],[사용량(kg)]]*표1[[#This Row],[함량(W%)]]/100,"")</f>
        <v>2.4</v>
      </c>
      <c r="AJ44" s="13"/>
      <c r="AK44" s="13"/>
      <c r="AL44" s="14"/>
      <c r="AM44" s="15"/>
      <c r="AN44" s="13"/>
      <c r="AO44" s="13"/>
      <c r="AP44" s="13"/>
      <c r="AQ44" s="13"/>
      <c r="AR44" s="13" t="str">
        <f>IFERROR(IF(표1[[#This Row],[함량(W%)]]&gt;=VLOOKUP(표1[[#This Row],[CAS No.]],[1]규제DB_유해법_유독물!B:F,5,FALSE),"유독물질 제품",""),"")</f>
        <v/>
      </c>
      <c r="AS44" s="13" t="str">
        <f>IFERROR(VLOOKUP(표1[[#This Row],[CAS No.]],[1]규제DB_유해법_금지물질!B:G,3,FALSE),"")</f>
        <v/>
      </c>
      <c r="AT44" s="13" t="str">
        <f>IFERROR(VLOOKUP(표1[[#This Row],[CAS No.]],[1]규제DB_유해법_금지물질!B:G,4,FALSE)&amp;" 인지 확인하세요","")</f>
        <v/>
      </c>
      <c r="AU44" s="13" t="str">
        <f>IFERROR(VLOOKUP(표1[[#This Row],[CAS No.]],[1]규제DB_유해법_제한물질!B:G,3,FALSE),"")</f>
        <v/>
      </c>
      <c r="AV44" s="13" t="str">
        <f>IFERROR(IF(표1[[#This Row],[함량(W%)]]&gt;=VLOOKUP(표1[[#This Row],[CAS No.]],[1]규제DB_유해법_제한물질!$B:$G,5,FALSE),"제한 제품",""),"")</f>
        <v/>
      </c>
      <c r="AW44" s="13" t="str">
        <f>IFERROR(VLOOKUP(표1[[#This Row],[CAS No.]],[1]규제DB_유해법_사고대비물질!B:J,2,FALSE),"")</f>
        <v/>
      </c>
      <c r="AX44" s="13" t="str">
        <f>IFERROR(IF(표1[[#This Row],[함량(W%)]]&gt;=VLOOKUP(표1[[#This Row],[CAS No.]],[1]규제DB_유해법_사고대비물질!$B:$J,4,FALSE),"사고대비물질 제품",""),"")</f>
        <v/>
      </c>
      <c r="AY44" s="16" t="str">
        <f>IFERROR(VLOOKUP(표1[[#This Row],[CAS No.]],[1]규제DB_유해법_사고대비물질!$B:$J,5,FALSE),"")</f>
        <v/>
      </c>
      <c r="AZ44" s="16" t="str">
        <f>IFERROR(VLOOKUP(표1[[#This Row],[CAS No.]],[1]규제DB_유해법_사고대비물질!$B:$J,6,FALSE),"")</f>
        <v/>
      </c>
      <c r="BA44" s="17" t="str">
        <f>IFERROR(IF(표1[[#This Row],[함량(W%)]]&gt;=VLOOKUP(표1[[#This Row],[CAS No.]],[1]규제DB_유해법_사고대비물질!$B:$J,4,FALSE),VLOOKUP(표1[[#This Row],[CAS No.]],[1]규제DB_유해법_사고대비물질!$B$2:$J$70,7,FALSE),""),"")</f>
        <v/>
      </c>
      <c r="BB44" s="17" t="str">
        <f>IFERROR(IF(표1[[#This Row],[함량(W%)]]&gt;=VLOOKUP(표1[[#This Row],[CAS No.]],[1]규제DB_유해법_사고대비물질!$B:$J,4,FALSE),VLOOKUP(표1[[#This Row],[CAS No.]],[1]규제DB_유해법_사고대비물질!$B$2:$J$70,8,FALSE),""),"")</f>
        <v/>
      </c>
      <c r="BC44" s="17" t="str">
        <f>IFERROR(IF(표1[[#This Row],[함량(W%)]]&gt;=VLOOKUP(표1[[#This Row],[CAS No.]],[1]규제DB_유해법_사고대비물질!$B:$J,4,FALSE),VLOOKUP(표1[[#This Row],[CAS No.]],[1]규제DB_유해법_사고대비물질!$B$2:$J$70,9,FALSE),""),"")</f>
        <v/>
      </c>
      <c r="BD44" s="18" t="str">
        <f>IFERROR(IF(표1[[#This Row],[함량(W%)]]&gt;=VLOOKUP(표1[[#This Row],[CAS No.]],'[1]규제DB_유해법_배출량조사 I'!$B:$D,3,FALSE),IF(VLOOKUP(표1[[#This Row],[CAS No.]],[1]기초자료!$A:$C,3,FALSE)&gt;=1000,"배출량조사 I 물질",""),""),"")</f>
        <v/>
      </c>
      <c r="BE44" s="18"/>
      <c r="BF44" s="13" t="str">
        <f>IFERROR(IF(표1[[#This Row],[함량(W%)]]&gt;=VLOOKUP(표1[[#This Row],[CAS No.]],[1]규제DB_산안법_금지물질!$B:$E,4,FALSE), VLOOKUP(표1[[#This Row],[CAS No.]],[1]규제DB_산안법_금지물질!$B:$E,2,FALSE)&amp;" : "&amp;VLOOKUP(표1[[#This Row],[CAS No.]],[1]규제DB_산안법_금지물질!$B:$E,3,FALSE)&amp;" 인지 확인하세요",""),"")</f>
        <v/>
      </c>
      <c r="BG44" s="13" t="str">
        <f>IFERROR(IF(표1[[#This Row],[함량(W%)]]&gt;=VLOOKUP(표1[[#This Row],[CAS No.]],[1]규제DB_산안법_허가물질!$B:$E,4,FALSE), "제품 허가물질",""),"")</f>
        <v/>
      </c>
      <c r="BH44" s="13" t="str">
        <f>IFERROR(IF(표1[[#This Row],[함량(W%)]]&gt;=VLOOKUP(표1[[#This Row],[CAS No.]], [1]규제DB_산안법_특별관리물질!$B:$E,4,FALSE), "제품 특별관리물질",""),"")</f>
        <v/>
      </c>
      <c r="BI44" s="13" t="str">
        <f>IFERROR(IF(표1[[#This Row],[함량(W%)]]&gt;=VLOOKUP(표1[[#This Row],[CAS No.]], [1]규제DB_산안법_관리대상유해물질!$B:$E,4,FALSE), "제품 관리대상유해물질",""),"")</f>
        <v/>
      </c>
      <c r="BJ44" s="13" t="str">
        <f>IFERROR(IF(표1[[#This Row],[CAS No.]]=VLOOKUP(표1[[#This Row],[CAS No.]], [1]규제DB_산안법_허용기준이하물질!$B:$D,1,FALSE),"제품 허용기준이하물질",""),"")</f>
        <v/>
      </c>
      <c r="BK44" s="13" t="str">
        <f>IFERROR(VLOOKUP(표1[[#This Row],[CAS No.]], [1]규제DB_산안법_허용기준이하물질!$B:$D,3,FALSE),"")</f>
        <v/>
      </c>
      <c r="BL44" s="13"/>
      <c r="BM44" s="13" t="str">
        <f>IFERROR(VLOOKUP(표1[[#This Row],[CAS No.]], [1]규제DB_산안법_노출기준설정물질!$B:$K,3,FALSE),"")</f>
        <v/>
      </c>
      <c r="BN44" s="13" t="str">
        <f>IFERROR(VLOOKUP(표1[[#This Row],[CAS No.]], [1]규제DB_산안법_노출기준설정물질!$B:$K,4,FALSE),"")</f>
        <v/>
      </c>
      <c r="BO44" s="13" t="str">
        <f>IFERROR(VLOOKUP(표1[[#This Row],[CAS No.]], [1]규제DB_산안법_노출기준설정물질!$B:$K,5,FALSE),"")</f>
        <v/>
      </c>
      <c r="BP44" s="13" t="str">
        <f>IFERROR(VLOOKUP(표1[[#This Row],[CAS No.]], [1]규제DB_산안법_노출기준설정물질!$B:$K,7,FALSE),"")</f>
        <v/>
      </c>
      <c r="BQ44" s="13" t="str">
        <f>IFERROR(VLOOKUP(표1[[#This Row],[CAS No.]], [1]규제DB_산안법_노출기준설정물질!$B:$K,8,FALSE),"")</f>
        <v/>
      </c>
      <c r="BR44" s="13" t="str">
        <f>IFERROR(VLOOKUP(표1[[#This Row],[CAS No.]], [1]규제DB_산안법_노출기준설정물질!$B:$K,9,FALSE),"")</f>
        <v/>
      </c>
      <c r="BS44" s="13" t="str">
        <f>IFERROR(VLOOKUP(표1[[#This Row],[CAS No.]], [1]규제DB_산안법_노출기준설정물질!$B:$K,10,FALSE),"")</f>
        <v/>
      </c>
      <c r="BT44" s="13" t="str">
        <f>IFERROR(IF(표1[[#This Row],[함량(W%)]]&gt;=VLOOKUP(표1[[#This Row],[CAS No.]], [1]규제DB_산안법_작업환경측정대상유해인자!$B:$F,5,FALSE), "제품 작업환경측정대상유해인자",""),"")</f>
        <v/>
      </c>
      <c r="BU44" s="13" t="str">
        <f>IFERROR(IF(표1[[#This Row],[CAS No.]]=VLOOKUP(표1[[#This Row],[CAS No.]], [1]규제DB_산안법_특수건강진단대상유해인자!$B:$C,1,FALSE), "제품 특수건강진단대상유해인자",""),"")</f>
        <v/>
      </c>
      <c r="BV44" s="13" t="str">
        <f>IFERROR(IF(VLOOKUP(표1[[#This Row],[CAS No.]],[1]규제DB_고용노동부고시_CMR!$B:$J,3,FALSE)="구분1A", IF(표1[[#This Row],[함량(W%)]]&gt;=VLOOKUP(표1[[#This Row],[CAS No.]],[1]규제DB_고용노동부고시_CMR!$B:$J,4,FALSE),"제품 발암성물질",""), IF(VLOOKUP(표1[[#This Row],[CAS No.]],[1]규제DB_고용노동부고시_CMR!$B:$J,3,FALSE)="구분1B", IF(표1[[#This Row],[함량(W%)]]&gt;=VLOOKUP(표1[[#This Row],[CAS No.]],[1]규제DB_고용노동부고시_CMR!$B:$J,4,FALSE),"제품 발암성물질",""), IF(VLOOKUP(표1[[#This Row],[CAS No.]],[1]규제DB_고용노동부고시_CMR!$B:$J,3,FALSE)="구분2", IF(표1[[#This Row],[함량(W%)]]&gt;=VLOOKUP(표1[[#This Row],[CAS No.]],[1]규제DB_고용노동부고시_CMR!$B:$J,4,FALSE),"제품 발암성물질",""),""))),"")</f>
        <v/>
      </c>
      <c r="BW44" s="13" t="str">
        <f>IFERROR(IF(VLOOKUP(표1[[#This Row],[CAS No.]],[1]규제DB_고용노동부고시_CMR!$B:$J,5,FALSE)="구분1A", IF(표1[[#This Row],[함량(W%)]]&gt;=VLOOKUP(표1[[#This Row],[CAS No.]],[1]규제DB_고용노동부고시_CMR!$B:$J,6,FALSE),"제품 생식세포변이원성물질",""), IF(VLOOKUP(표1[[#This Row],[CAS No.]],[1]규제DB_고용노동부고시_CMR!$B:$J,5,FALSE)="구분1B", IF(표1[[#This Row],[함량(W%)]]&gt;=VLOOKUP(표1[[#This Row],[CAS No.]],[1]규제DB_고용노동부고시_CMR!$B:$J,6,FALSE),"제품 생식세포변이원성물질",""), IF(VLOOKUP(표1[[#This Row],[CAS No.]],[1]규제DB_고용노동부고시_CMR!$B:$J,5,FALSE)="구분2", IF(표1[[#This Row],[함량(W%)]]&gt;=VLOOKUP(표1[[#This Row],[CAS No.]],[1]규제DB_고용노동부고시_CMR!$B:$J,6,FALSE),"제품 생식세포변이원성물질",""),""))),"")</f>
        <v/>
      </c>
      <c r="BX44" s="13" t="str">
        <f>IFERROR(IF(VLOOKUP(표1[[#This Row],[CAS No.]],[1]규제DB_고용노동부고시_CMR!$B:$J,7,FALSE)="구분1A", IF(표1[[#This Row],[함량(W%)]]&gt;=VLOOKUP(표1[[#This Row],[CAS No.]],[1]규제DB_고용노동부고시_CMR!$B:$J,8,FALSE),"제품 생식독성물질",""), IF(VLOOKUP(표1[[#This Row],[CAS No.]],[1]규제DB_고용노동부고시_CMR!$B:$J,7,FALSE)="구분1B", IF(표1[[#This Row],[함량(W%)]]&gt;=VLOOKUP(표1[[#This Row],[CAS No.]],[1]규제DB_고용노동부고시_CMR!$B:$J,8,FALSE),"제품 생식독성물질",""), IF(VLOOKUP(표1[[#This Row],[CAS No.]],[1]규제DB_고용노동부고시_CMR!$B:$J,7,FALSE)="구분2", IF(표1[[#This Row],[함량(W%)]]&gt;=VLOOKUP(표1[[#This Row],[CAS No.]],[1]규제DB_고용노동부고시_CMR!$B:$J,8,FALSE),"제품 생식독성물질",""),""))),"")</f>
        <v/>
      </c>
      <c r="BY44" s="13"/>
      <c r="BZ44" s="13" t="str">
        <f>IFERROR(IF(표1[[#This Row],[CAS No.]]=VLOOKUP(표1[[#This Row],[CAS No.]],[1]규제DB_고압법_독성가스!$B:$D,1,FALSE),"독성가스",""),"")</f>
        <v/>
      </c>
      <c r="CA44" s="13" t="str">
        <f>IFERROR(IF(표1[[#This Row],[CAS No.]]=VLOOKUP(표1[[#This Row],[CAS No.]],[1]규제DB_고압법_가연성가스!$B:$D,1,FALSE),"가연성가스",""),"")</f>
        <v/>
      </c>
      <c r="CB44" s="13" t="str">
        <f>IFERROR(IF(표1[[#This Row],[CAS No.]]=VLOOKUP(표1[[#This Row],[CAS No.]],[1]규제DB_고압법_특수고압가스!$B:$D,1,FALSE),"특수고압가스",""),"")</f>
        <v/>
      </c>
      <c r="CC44" s="13" t="str">
        <f>IFERROR(IF(표1[[#This Row],[CAS No.]]=VLOOKUP(표1[[#This Row],[CAS No.]],[1]규제DB_고압법_특정고압가스!$B:$D,1,FALSE),"특정고압가스",""),"")</f>
        <v/>
      </c>
      <c r="CD44" s="13" t="str">
        <f>IFERROR(IF(표1[[#This Row],[함량(W%)]]&gt;=VLOOKUP(표1[[#This Row],[CAS No.]],[1]규제DB_화관법_개별취급기준!$B:$G,5,FALSE),VLOOKUP(표1[[#This Row],[CAS No.]],[1]규제DB_화관법_개별취급기준!$B:$G,6,FALSE),""),"")</f>
        <v/>
      </c>
    </row>
    <row r="45" spans="1:82" ht="27.95" customHeight="1">
      <c r="A45" s="13">
        <v>44</v>
      </c>
      <c r="B45" s="2"/>
      <c r="C45" s="3" t="s">
        <v>103</v>
      </c>
      <c r="D45" s="14"/>
      <c r="E45" s="50" t="s">
        <v>118</v>
      </c>
      <c r="F45" s="3" t="s">
        <v>90</v>
      </c>
      <c r="G45" s="5" t="s">
        <v>78</v>
      </c>
      <c r="H45" s="3" t="s">
        <v>91</v>
      </c>
      <c r="I45" s="50" t="s">
        <v>102</v>
      </c>
      <c r="J45" s="3" t="s">
        <v>166</v>
      </c>
      <c r="K45" s="3" t="s">
        <v>166</v>
      </c>
      <c r="L45" s="3"/>
      <c r="M45" s="5" t="s">
        <v>80</v>
      </c>
      <c r="N45" s="5" t="s">
        <v>179</v>
      </c>
      <c r="O45" s="53" t="s">
        <v>92</v>
      </c>
      <c r="P45" s="55" t="s">
        <v>98</v>
      </c>
      <c r="Q45" s="54">
        <v>24</v>
      </c>
      <c r="R45" s="6">
        <v>24</v>
      </c>
      <c r="S45" s="17"/>
      <c r="T45" s="17"/>
      <c r="U45" s="6">
        <v>24</v>
      </c>
      <c r="V45" s="6">
        <v>24</v>
      </c>
      <c r="W45" s="8" t="str">
        <f>표1[[#This Row],[자재코드]]&amp;"_"&amp;표1[[#This Row],[자재명]]&amp;"_"&amp;표1[[#This Row],[공급업체명]]</f>
        <v>_BEST SG 중간색 D(MEDIUM,금적,군청,감남,목단)_한국특수잉크공업</v>
      </c>
      <c r="X45" s="51" t="s">
        <v>157</v>
      </c>
      <c r="Y45" s="13"/>
      <c r="Z45" s="13"/>
      <c r="AA45" s="13"/>
      <c r="AB45" s="50">
        <v>5</v>
      </c>
      <c r="AC45" s="20" t="s">
        <v>93</v>
      </c>
      <c r="AD45" s="9" t="s">
        <v>83</v>
      </c>
      <c r="AE45" s="10" t="s">
        <v>89</v>
      </c>
      <c r="AF45" s="10" t="s">
        <v>89</v>
      </c>
      <c r="AG45" s="11"/>
      <c r="AH45" s="50" t="s">
        <v>203</v>
      </c>
      <c r="AI45" s="12">
        <f>IFERROR(표1[[#This Row],[사용량(kg)]]*표1[[#This Row],[함량(W%)]]/100,"")</f>
        <v>1.2</v>
      </c>
      <c r="AJ45" s="13"/>
      <c r="AK45" s="13"/>
      <c r="AL45" s="14"/>
      <c r="AM45" s="15"/>
      <c r="AN45" s="13"/>
      <c r="AO45" s="13"/>
      <c r="AP45" s="13"/>
      <c r="AQ45" s="13"/>
      <c r="AR45" s="13" t="str">
        <f>IFERROR(IF(표1[[#This Row],[함량(W%)]]&gt;=VLOOKUP(표1[[#This Row],[CAS No.]],[1]규제DB_유해법_유독물!B:F,5,FALSE),"유독물질 제품",""),"")</f>
        <v/>
      </c>
      <c r="AS45" s="13" t="str">
        <f>IFERROR(VLOOKUP(표1[[#This Row],[CAS No.]],[1]규제DB_유해법_금지물질!B:G,3,FALSE),"")</f>
        <v/>
      </c>
      <c r="AT45" s="13" t="str">
        <f>IFERROR(VLOOKUP(표1[[#This Row],[CAS No.]],[1]규제DB_유해법_금지물질!B:G,4,FALSE)&amp;" 인지 확인하세요","")</f>
        <v/>
      </c>
      <c r="AU45" s="13" t="str">
        <f>IFERROR(VLOOKUP(표1[[#This Row],[CAS No.]],[1]규제DB_유해법_제한물질!B:G,3,FALSE),"")</f>
        <v/>
      </c>
      <c r="AV45" s="13" t="str">
        <f>IFERROR(IF(표1[[#This Row],[함량(W%)]]&gt;=VLOOKUP(표1[[#This Row],[CAS No.]],[1]규제DB_유해법_제한물질!$B:$G,5,FALSE),"제한 제품",""),"")</f>
        <v/>
      </c>
      <c r="AW45" s="13" t="str">
        <f>IFERROR(VLOOKUP(표1[[#This Row],[CAS No.]],[1]규제DB_유해법_사고대비물질!B:J,2,FALSE),"")</f>
        <v/>
      </c>
      <c r="AX45" s="13" t="str">
        <f>IFERROR(IF(표1[[#This Row],[함량(W%)]]&gt;=VLOOKUP(표1[[#This Row],[CAS No.]],[1]규제DB_유해법_사고대비물질!$B:$J,4,FALSE),"사고대비물질 제품",""),"")</f>
        <v/>
      </c>
      <c r="AY45" s="16" t="str">
        <f>IFERROR(VLOOKUP(표1[[#This Row],[CAS No.]],[1]규제DB_유해법_사고대비물질!$B:$J,5,FALSE),"")</f>
        <v/>
      </c>
      <c r="AZ45" s="16" t="str">
        <f>IFERROR(VLOOKUP(표1[[#This Row],[CAS No.]],[1]규제DB_유해법_사고대비물질!$B:$J,6,FALSE),"")</f>
        <v/>
      </c>
      <c r="BA45" s="17" t="str">
        <f>IFERROR(IF(표1[[#This Row],[함량(W%)]]&gt;=VLOOKUP(표1[[#This Row],[CAS No.]],[1]규제DB_유해법_사고대비물질!$B:$J,4,FALSE),VLOOKUP(표1[[#This Row],[CAS No.]],[1]규제DB_유해법_사고대비물질!$B$2:$J$70,7,FALSE),""),"")</f>
        <v/>
      </c>
      <c r="BB45" s="17" t="str">
        <f>IFERROR(IF(표1[[#This Row],[함량(W%)]]&gt;=VLOOKUP(표1[[#This Row],[CAS No.]],[1]규제DB_유해법_사고대비물질!$B:$J,4,FALSE),VLOOKUP(표1[[#This Row],[CAS No.]],[1]규제DB_유해법_사고대비물질!$B$2:$J$70,8,FALSE),""),"")</f>
        <v/>
      </c>
      <c r="BC45" s="17" t="str">
        <f>IFERROR(IF(표1[[#This Row],[함량(W%)]]&gt;=VLOOKUP(표1[[#This Row],[CAS No.]],[1]규제DB_유해법_사고대비물질!$B:$J,4,FALSE),VLOOKUP(표1[[#This Row],[CAS No.]],[1]규제DB_유해법_사고대비물질!$B$2:$J$70,9,FALSE),""),"")</f>
        <v/>
      </c>
      <c r="BD45" s="18" t="str">
        <f>IFERROR(IF(표1[[#This Row],[함량(W%)]]&gt;=VLOOKUP(표1[[#This Row],[CAS No.]],'[1]규제DB_유해법_배출량조사 I'!$B:$D,3,FALSE),IF(VLOOKUP(표1[[#This Row],[CAS No.]],[1]기초자료!$A:$C,3,FALSE)&gt;=1000,"배출량조사 I 물질",""),""),"")</f>
        <v/>
      </c>
      <c r="BE45" s="18"/>
      <c r="BF45" s="13" t="str">
        <f>IFERROR(IF(표1[[#This Row],[함량(W%)]]&gt;=VLOOKUP(표1[[#This Row],[CAS No.]],[1]규제DB_산안법_금지물질!$B:$E,4,FALSE), VLOOKUP(표1[[#This Row],[CAS No.]],[1]규제DB_산안법_금지물질!$B:$E,2,FALSE)&amp;" : "&amp;VLOOKUP(표1[[#This Row],[CAS No.]],[1]규제DB_산안법_금지물질!$B:$E,3,FALSE)&amp;" 인지 확인하세요",""),"")</f>
        <v/>
      </c>
      <c r="BG45" s="13" t="str">
        <f>IFERROR(IF(표1[[#This Row],[함량(W%)]]&gt;=VLOOKUP(표1[[#This Row],[CAS No.]],[1]규제DB_산안법_허가물질!$B:$E,4,FALSE), "제품 허가물질",""),"")</f>
        <v/>
      </c>
      <c r="BH45" s="13" t="str">
        <f>IFERROR(IF(표1[[#This Row],[함량(W%)]]&gt;=VLOOKUP(표1[[#This Row],[CAS No.]], [1]규제DB_산안법_특별관리물질!$B:$E,4,FALSE), "제품 특별관리물질",""),"")</f>
        <v/>
      </c>
      <c r="BI45" s="13" t="str">
        <f>IFERROR(IF(표1[[#This Row],[함량(W%)]]&gt;=VLOOKUP(표1[[#This Row],[CAS No.]], [1]규제DB_산안법_관리대상유해물질!$B:$E,4,FALSE), "제품 관리대상유해물질",""),"")</f>
        <v/>
      </c>
      <c r="BJ45" s="13" t="str">
        <f>IFERROR(IF(표1[[#This Row],[CAS No.]]=VLOOKUP(표1[[#This Row],[CAS No.]], [1]규제DB_산안법_허용기준이하물질!$B:$D,1,FALSE),"제품 허용기준이하물질",""),"")</f>
        <v/>
      </c>
      <c r="BK45" s="13" t="str">
        <f>IFERROR(VLOOKUP(표1[[#This Row],[CAS No.]], [1]규제DB_산안법_허용기준이하물질!$B:$D,3,FALSE),"")</f>
        <v/>
      </c>
      <c r="BL45" s="13"/>
      <c r="BM45" s="13" t="str">
        <f>IFERROR(VLOOKUP(표1[[#This Row],[CAS No.]], [1]규제DB_산안법_노출기준설정물질!$B:$K,3,FALSE),"")</f>
        <v/>
      </c>
      <c r="BN45" s="13" t="str">
        <f>IFERROR(VLOOKUP(표1[[#This Row],[CAS No.]], [1]규제DB_산안법_노출기준설정물질!$B:$K,4,FALSE),"")</f>
        <v/>
      </c>
      <c r="BO45" s="13" t="str">
        <f>IFERROR(VLOOKUP(표1[[#This Row],[CAS No.]], [1]규제DB_산안법_노출기준설정물질!$B:$K,5,FALSE),"")</f>
        <v/>
      </c>
      <c r="BP45" s="13" t="str">
        <f>IFERROR(VLOOKUP(표1[[#This Row],[CAS No.]], [1]규제DB_산안법_노출기준설정물질!$B:$K,7,FALSE),"")</f>
        <v/>
      </c>
      <c r="BQ45" s="13" t="str">
        <f>IFERROR(VLOOKUP(표1[[#This Row],[CAS No.]], [1]규제DB_산안법_노출기준설정물질!$B:$K,8,FALSE),"")</f>
        <v/>
      </c>
      <c r="BR45" s="13" t="str">
        <f>IFERROR(VLOOKUP(표1[[#This Row],[CAS No.]], [1]규제DB_산안법_노출기준설정물질!$B:$K,9,FALSE),"")</f>
        <v/>
      </c>
      <c r="BS45" s="13" t="str">
        <f>IFERROR(VLOOKUP(표1[[#This Row],[CAS No.]], [1]규제DB_산안법_노출기준설정물질!$B:$K,10,FALSE),"")</f>
        <v/>
      </c>
      <c r="BT45" s="13" t="str">
        <f>IFERROR(IF(표1[[#This Row],[함량(W%)]]&gt;=VLOOKUP(표1[[#This Row],[CAS No.]], [1]규제DB_산안법_작업환경측정대상유해인자!$B:$F,5,FALSE), "제품 작업환경측정대상유해인자",""),"")</f>
        <v/>
      </c>
      <c r="BU45" s="13" t="str">
        <f>IFERROR(IF(표1[[#This Row],[CAS No.]]=VLOOKUP(표1[[#This Row],[CAS No.]], [1]규제DB_산안법_특수건강진단대상유해인자!$B:$C,1,FALSE), "제품 특수건강진단대상유해인자",""),"")</f>
        <v/>
      </c>
      <c r="BV45" s="13" t="str">
        <f>IFERROR(IF(VLOOKUP(표1[[#This Row],[CAS No.]],[1]규제DB_고용노동부고시_CMR!$B:$J,3,FALSE)="구분1A", IF(표1[[#This Row],[함량(W%)]]&gt;=VLOOKUP(표1[[#This Row],[CAS No.]],[1]규제DB_고용노동부고시_CMR!$B:$J,4,FALSE),"제품 발암성물질",""), IF(VLOOKUP(표1[[#This Row],[CAS No.]],[1]규제DB_고용노동부고시_CMR!$B:$J,3,FALSE)="구분1B", IF(표1[[#This Row],[함량(W%)]]&gt;=VLOOKUP(표1[[#This Row],[CAS No.]],[1]규제DB_고용노동부고시_CMR!$B:$J,4,FALSE),"제품 발암성물질",""), IF(VLOOKUP(표1[[#This Row],[CAS No.]],[1]규제DB_고용노동부고시_CMR!$B:$J,3,FALSE)="구분2", IF(표1[[#This Row],[함량(W%)]]&gt;=VLOOKUP(표1[[#This Row],[CAS No.]],[1]규제DB_고용노동부고시_CMR!$B:$J,4,FALSE),"제품 발암성물질",""),""))),"")</f>
        <v/>
      </c>
      <c r="BW45" s="13" t="str">
        <f>IFERROR(IF(VLOOKUP(표1[[#This Row],[CAS No.]],[1]규제DB_고용노동부고시_CMR!$B:$J,5,FALSE)="구분1A", IF(표1[[#This Row],[함량(W%)]]&gt;=VLOOKUP(표1[[#This Row],[CAS No.]],[1]규제DB_고용노동부고시_CMR!$B:$J,6,FALSE),"제품 생식세포변이원성물질",""), IF(VLOOKUP(표1[[#This Row],[CAS No.]],[1]규제DB_고용노동부고시_CMR!$B:$J,5,FALSE)="구분1B", IF(표1[[#This Row],[함량(W%)]]&gt;=VLOOKUP(표1[[#This Row],[CAS No.]],[1]규제DB_고용노동부고시_CMR!$B:$J,6,FALSE),"제품 생식세포변이원성물질",""), IF(VLOOKUP(표1[[#This Row],[CAS No.]],[1]규제DB_고용노동부고시_CMR!$B:$J,5,FALSE)="구분2", IF(표1[[#This Row],[함량(W%)]]&gt;=VLOOKUP(표1[[#This Row],[CAS No.]],[1]규제DB_고용노동부고시_CMR!$B:$J,6,FALSE),"제품 생식세포변이원성물질",""),""))),"")</f>
        <v/>
      </c>
      <c r="BX45" s="13" t="str">
        <f>IFERROR(IF(VLOOKUP(표1[[#This Row],[CAS No.]],[1]규제DB_고용노동부고시_CMR!$B:$J,7,FALSE)="구분1A", IF(표1[[#This Row],[함량(W%)]]&gt;=VLOOKUP(표1[[#This Row],[CAS No.]],[1]규제DB_고용노동부고시_CMR!$B:$J,8,FALSE),"제품 생식독성물질",""), IF(VLOOKUP(표1[[#This Row],[CAS No.]],[1]규제DB_고용노동부고시_CMR!$B:$J,7,FALSE)="구분1B", IF(표1[[#This Row],[함량(W%)]]&gt;=VLOOKUP(표1[[#This Row],[CAS No.]],[1]규제DB_고용노동부고시_CMR!$B:$J,8,FALSE),"제품 생식독성물질",""), IF(VLOOKUP(표1[[#This Row],[CAS No.]],[1]규제DB_고용노동부고시_CMR!$B:$J,7,FALSE)="구분2", IF(표1[[#This Row],[함량(W%)]]&gt;=VLOOKUP(표1[[#This Row],[CAS No.]],[1]규제DB_고용노동부고시_CMR!$B:$J,8,FALSE),"제품 생식독성물질",""),""))),"")</f>
        <v/>
      </c>
      <c r="BY45" s="13"/>
      <c r="BZ45" s="13" t="str">
        <f>IFERROR(IF(표1[[#This Row],[CAS No.]]=VLOOKUP(표1[[#This Row],[CAS No.]],[1]규제DB_고압법_독성가스!$B:$D,1,FALSE),"독성가스",""),"")</f>
        <v/>
      </c>
      <c r="CA45" s="13" t="str">
        <f>IFERROR(IF(표1[[#This Row],[CAS No.]]=VLOOKUP(표1[[#This Row],[CAS No.]],[1]규제DB_고압법_가연성가스!$B:$D,1,FALSE),"가연성가스",""),"")</f>
        <v/>
      </c>
      <c r="CB45" s="13" t="str">
        <f>IFERROR(IF(표1[[#This Row],[CAS No.]]=VLOOKUP(표1[[#This Row],[CAS No.]],[1]규제DB_고압법_특수고압가스!$B:$D,1,FALSE),"특수고압가스",""),"")</f>
        <v/>
      </c>
      <c r="CC45" s="13" t="str">
        <f>IFERROR(IF(표1[[#This Row],[CAS No.]]=VLOOKUP(표1[[#This Row],[CAS No.]],[1]규제DB_고압법_특정고압가스!$B:$D,1,FALSE),"특정고압가스",""),"")</f>
        <v/>
      </c>
      <c r="CD45" s="13" t="str">
        <f>IFERROR(IF(표1[[#This Row],[함량(W%)]]&gt;=VLOOKUP(표1[[#This Row],[CAS No.]],[1]규제DB_화관법_개별취급기준!$B:$G,5,FALSE),VLOOKUP(표1[[#This Row],[CAS No.]],[1]규제DB_화관법_개별취급기준!$B:$G,6,FALSE),""),"")</f>
        <v/>
      </c>
    </row>
    <row r="46" spans="1:82" ht="27.95" customHeight="1">
      <c r="A46" s="13">
        <v>45</v>
      </c>
      <c r="B46" s="2"/>
      <c r="C46" s="3" t="s">
        <v>103</v>
      </c>
      <c r="D46" s="14"/>
      <c r="E46" s="50" t="s">
        <v>118</v>
      </c>
      <c r="F46" s="3" t="s">
        <v>90</v>
      </c>
      <c r="G46" s="5" t="s">
        <v>78</v>
      </c>
      <c r="H46" s="3" t="s">
        <v>91</v>
      </c>
      <c r="I46" s="50" t="s">
        <v>102</v>
      </c>
      <c r="J46" s="3" t="s">
        <v>166</v>
      </c>
      <c r="K46" s="3" t="s">
        <v>166</v>
      </c>
      <c r="L46" s="3"/>
      <c r="M46" s="5" t="s">
        <v>80</v>
      </c>
      <c r="N46" s="5" t="s">
        <v>179</v>
      </c>
      <c r="O46" s="53" t="s">
        <v>92</v>
      </c>
      <c r="P46" s="55" t="s">
        <v>98</v>
      </c>
      <c r="Q46" s="54">
        <v>24</v>
      </c>
      <c r="R46" s="6">
        <v>24</v>
      </c>
      <c r="S46" s="17"/>
      <c r="T46" s="17"/>
      <c r="U46" s="6">
        <v>24</v>
      </c>
      <c r="V46" s="6">
        <v>24</v>
      </c>
      <c r="W46" s="8" t="str">
        <f>표1[[#This Row],[자재코드]]&amp;"_"&amp;표1[[#This Row],[자재명]]&amp;"_"&amp;표1[[#This Row],[공급업체명]]</f>
        <v>_BEST SG 중간색 D(MEDIUM,금적,군청,감남,목단)_한국특수잉크공업</v>
      </c>
      <c r="X46" s="51" t="s">
        <v>144</v>
      </c>
      <c r="Y46" s="13"/>
      <c r="Z46" s="13"/>
      <c r="AA46" s="13"/>
      <c r="AB46" s="50">
        <v>5</v>
      </c>
      <c r="AC46" s="9" t="s">
        <v>82</v>
      </c>
      <c r="AD46" s="9" t="s">
        <v>83</v>
      </c>
      <c r="AE46" s="10" t="s">
        <v>89</v>
      </c>
      <c r="AF46" s="10" t="s">
        <v>89</v>
      </c>
      <c r="AG46" s="11"/>
      <c r="AH46" s="50" t="s">
        <v>191</v>
      </c>
      <c r="AI46" s="12">
        <f>IFERROR(표1[[#This Row],[사용량(kg)]]*표1[[#This Row],[함량(W%)]]/100,"")</f>
        <v>1.2</v>
      </c>
      <c r="AJ46" s="13"/>
      <c r="AK46" s="13"/>
      <c r="AL46" s="14"/>
      <c r="AM46" s="15"/>
      <c r="AN46" s="13"/>
      <c r="AO46" s="13"/>
      <c r="AP46" s="13"/>
      <c r="AQ46" s="13"/>
      <c r="AR46" s="13" t="str">
        <f>IFERROR(IF(표1[[#This Row],[함량(W%)]]&gt;=VLOOKUP(표1[[#This Row],[CAS No.]],[1]규제DB_유해법_유독물!B:F,5,FALSE),"유독물질 제품",""),"")</f>
        <v/>
      </c>
      <c r="AS46" s="13" t="str">
        <f>IFERROR(VLOOKUP(표1[[#This Row],[CAS No.]],[1]규제DB_유해법_금지물질!B:G,3,FALSE),"")</f>
        <v/>
      </c>
      <c r="AT46" s="13" t="str">
        <f>IFERROR(VLOOKUP(표1[[#This Row],[CAS No.]],[1]규제DB_유해법_금지물질!B:G,4,FALSE)&amp;" 인지 확인하세요","")</f>
        <v/>
      </c>
      <c r="AU46" s="13" t="str">
        <f>IFERROR(VLOOKUP(표1[[#This Row],[CAS No.]],[1]규제DB_유해법_제한물질!B:G,3,FALSE),"")</f>
        <v/>
      </c>
      <c r="AV46" s="13" t="str">
        <f>IFERROR(IF(표1[[#This Row],[함량(W%)]]&gt;=VLOOKUP(표1[[#This Row],[CAS No.]],[1]규제DB_유해법_제한물질!$B:$G,5,FALSE),"제한 제품",""),"")</f>
        <v/>
      </c>
      <c r="AW46" s="13" t="str">
        <f>IFERROR(VLOOKUP(표1[[#This Row],[CAS No.]],[1]규제DB_유해법_사고대비물질!B:J,2,FALSE),"")</f>
        <v/>
      </c>
      <c r="AX46" s="13" t="str">
        <f>IFERROR(IF(표1[[#This Row],[함량(W%)]]&gt;=VLOOKUP(표1[[#This Row],[CAS No.]],[1]규제DB_유해법_사고대비물질!$B:$J,4,FALSE),"사고대비물질 제품",""),"")</f>
        <v/>
      </c>
      <c r="AY46" s="16" t="str">
        <f>IFERROR(VLOOKUP(표1[[#This Row],[CAS No.]],[1]규제DB_유해법_사고대비물질!$B:$J,5,FALSE),"")</f>
        <v/>
      </c>
      <c r="AZ46" s="16" t="str">
        <f>IFERROR(VLOOKUP(표1[[#This Row],[CAS No.]],[1]규제DB_유해법_사고대비물질!$B:$J,6,FALSE),"")</f>
        <v/>
      </c>
      <c r="BA46" s="17" t="str">
        <f>IFERROR(IF(표1[[#This Row],[함량(W%)]]&gt;=VLOOKUP(표1[[#This Row],[CAS No.]],[1]규제DB_유해법_사고대비물질!$B:$J,4,FALSE),VLOOKUP(표1[[#This Row],[CAS No.]],[1]규제DB_유해법_사고대비물질!$B$2:$J$70,7,FALSE),""),"")</f>
        <v/>
      </c>
      <c r="BB46" s="17" t="str">
        <f>IFERROR(IF(표1[[#This Row],[함량(W%)]]&gt;=VLOOKUP(표1[[#This Row],[CAS No.]],[1]규제DB_유해법_사고대비물질!$B:$J,4,FALSE),VLOOKUP(표1[[#This Row],[CAS No.]],[1]규제DB_유해법_사고대비물질!$B$2:$J$70,8,FALSE),""),"")</f>
        <v/>
      </c>
      <c r="BC46" s="17" t="str">
        <f>IFERROR(IF(표1[[#This Row],[함량(W%)]]&gt;=VLOOKUP(표1[[#This Row],[CAS No.]],[1]규제DB_유해법_사고대비물질!$B:$J,4,FALSE),VLOOKUP(표1[[#This Row],[CAS No.]],[1]규제DB_유해법_사고대비물질!$B$2:$J$70,9,FALSE),""),"")</f>
        <v/>
      </c>
      <c r="BD46" s="18" t="str">
        <f>IFERROR(IF(표1[[#This Row],[함량(W%)]]&gt;=VLOOKUP(표1[[#This Row],[CAS No.]],'[1]규제DB_유해법_배출량조사 I'!$B:$D,3,FALSE),IF(VLOOKUP(표1[[#This Row],[CAS No.]],[1]기초자료!$A:$C,3,FALSE)&gt;=1000,"배출량조사 I 물질",""),""),"")</f>
        <v/>
      </c>
      <c r="BE46" s="18"/>
      <c r="BF46" s="13" t="str">
        <f>IFERROR(IF(표1[[#This Row],[함량(W%)]]&gt;=VLOOKUP(표1[[#This Row],[CAS No.]],[1]규제DB_산안법_금지물질!$B:$E,4,FALSE), VLOOKUP(표1[[#This Row],[CAS No.]],[1]규제DB_산안법_금지물질!$B:$E,2,FALSE)&amp;" : "&amp;VLOOKUP(표1[[#This Row],[CAS No.]],[1]규제DB_산안법_금지물질!$B:$E,3,FALSE)&amp;" 인지 확인하세요",""),"")</f>
        <v/>
      </c>
      <c r="BG46" s="13" t="str">
        <f>IFERROR(IF(표1[[#This Row],[함량(W%)]]&gt;=VLOOKUP(표1[[#This Row],[CAS No.]],[1]규제DB_산안법_허가물질!$B:$E,4,FALSE), "제품 허가물질",""),"")</f>
        <v/>
      </c>
      <c r="BH46" s="13" t="str">
        <f>IFERROR(IF(표1[[#This Row],[함량(W%)]]&gt;=VLOOKUP(표1[[#This Row],[CAS No.]], [1]규제DB_산안법_특별관리물질!$B:$E,4,FALSE), "제품 특별관리물질",""),"")</f>
        <v/>
      </c>
      <c r="BI46" s="13" t="str">
        <f>IFERROR(IF(표1[[#This Row],[함량(W%)]]&gt;=VLOOKUP(표1[[#This Row],[CAS No.]], [1]규제DB_산안법_관리대상유해물질!$B:$E,4,FALSE), "제품 관리대상유해물질",""),"")</f>
        <v/>
      </c>
      <c r="BJ46" s="13" t="str">
        <f>IFERROR(IF(표1[[#This Row],[CAS No.]]=VLOOKUP(표1[[#This Row],[CAS No.]], [1]규제DB_산안법_허용기준이하물질!$B:$D,1,FALSE),"제품 허용기준이하물질",""),"")</f>
        <v/>
      </c>
      <c r="BK46" s="13" t="str">
        <f>IFERROR(VLOOKUP(표1[[#This Row],[CAS No.]], [1]규제DB_산안법_허용기준이하물질!$B:$D,3,FALSE),"")</f>
        <v/>
      </c>
      <c r="BL46" s="13"/>
      <c r="BM46" s="13" t="str">
        <f>IFERROR(VLOOKUP(표1[[#This Row],[CAS No.]], [1]규제DB_산안법_노출기준설정물질!$B:$K,3,FALSE),"")</f>
        <v/>
      </c>
      <c r="BN46" s="13" t="str">
        <f>IFERROR(VLOOKUP(표1[[#This Row],[CAS No.]], [1]규제DB_산안법_노출기준설정물질!$B:$K,4,FALSE),"")</f>
        <v/>
      </c>
      <c r="BO46" s="13" t="str">
        <f>IFERROR(VLOOKUP(표1[[#This Row],[CAS No.]], [1]규제DB_산안법_노출기준설정물질!$B:$K,5,FALSE),"")</f>
        <v/>
      </c>
      <c r="BP46" s="13" t="str">
        <f>IFERROR(VLOOKUP(표1[[#This Row],[CAS No.]], [1]규제DB_산안법_노출기준설정물질!$B:$K,7,FALSE),"")</f>
        <v/>
      </c>
      <c r="BQ46" s="13" t="str">
        <f>IFERROR(VLOOKUP(표1[[#This Row],[CAS No.]], [1]규제DB_산안법_노출기준설정물질!$B:$K,8,FALSE),"")</f>
        <v/>
      </c>
      <c r="BR46" s="13" t="str">
        <f>IFERROR(VLOOKUP(표1[[#This Row],[CAS No.]], [1]규제DB_산안법_노출기준설정물질!$B:$K,9,FALSE),"")</f>
        <v/>
      </c>
      <c r="BS46" s="13" t="str">
        <f>IFERROR(VLOOKUP(표1[[#This Row],[CAS No.]], [1]규제DB_산안법_노출기준설정물질!$B:$K,10,FALSE),"")</f>
        <v/>
      </c>
      <c r="BT46" s="13" t="str">
        <f>IFERROR(IF(표1[[#This Row],[함량(W%)]]&gt;=VLOOKUP(표1[[#This Row],[CAS No.]], [1]규제DB_산안법_작업환경측정대상유해인자!$B:$F,5,FALSE), "제품 작업환경측정대상유해인자",""),"")</f>
        <v/>
      </c>
      <c r="BU46" s="13" t="str">
        <f>IFERROR(IF(표1[[#This Row],[CAS No.]]=VLOOKUP(표1[[#This Row],[CAS No.]], [1]규제DB_산안법_특수건강진단대상유해인자!$B:$C,1,FALSE), "제품 특수건강진단대상유해인자",""),"")</f>
        <v/>
      </c>
      <c r="BV46" s="13" t="str">
        <f>IFERROR(IF(VLOOKUP(표1[[#This Row],[CAS No.]],[1]규제DB_고용노동부고시_CMR!$B:$J,3,FALSE)="구분1A", IF(표1[[#This Row],[함량(W%)]]&gt;=VLOOKUP(표1[[#This Row],[CAS No.]],[1]규제DB_고용노동부고시_CMR!$B:$J,4,FALSE),"제품 발암성물질",""), IF(VLOOKUP(표1[[#This Row],[CAS No.]],[1]규제DB_고용노동부고시_CMR!$B:$J,3,FALSE)="구분1B", IF(표1[[#This Row],[함량(W%)]]&gt;=VLOOKUP(표1[[#This Row],[CAS No.]],[1]규제DB_고용노동부고시_CMR!$B:$J,4,FALSE),"제품 발암성물질",""), IF(VLOOKUP(표1[[#This Row],[CAS No.]],[1]규제DB_고용노동부고시_CMR!$B:$J,3,FALSE)="구분2", IF(표1[[#This Row],[함량(W%)]]&gt;=VLOOKUP(표1[[#This Row],[CAS No.]],[1]규제DB_고용노동부고시_CMR!$B:$J,4,FALSE),"제품 발암성물질",""),""))),"")</f>
        <v/>
      </c>
      <c r="BW46" s="13" t="str">
        <f>IFERROR(IF(VLOOKUP(표1[[#This Row],[CAS No.]],[1]규제DB_고용노동부고시_CMR!$B:$J,5,FALSE)="구분1A", IF(표1[[#This Row],[함량(W%)]]&gt;=VLOOKUP(표1[[#This Row],[CAS No.]],[1]규제DB_고용노동부고시_CMR!$B:$J,6,FALSE),"제품 생식세포변이원성물질",""), IF(VLOOKUP(표1[[#This Row],[CAS No.]],[1]규제DB_고용노동부고시_CMR!$B:$J,5,FALSE)="구분1B", IF(표1[[#This Row],[함량(W%)]]&gt;=VLOOKUP(표1[[#This Row],[CAS No.]],[1]규제DB_고용노동부고시_CMR!$B:$J,6,FALSE),"제품 생식세포변이원성물질",""), IF(VLOOKUP(표1[[#This Row],[CAS No.]],[1]규제DB_고용노동부고시_CMR!$B:$J,5,FALSE)="구분2", IF(표1[[#This Row],[함량(W%)]]&gt;=VLOOKUP(표1[[#This Row],[CAS No.]],[1]규제DB_고용노동부고시_CMR!$B:$J,6,FALSE),"제품 생식세포변이원성물질",""),""))),"")</f>
        <v/>
      </c>
      <c r="BX46" s="13" t="str">
        <f>IFERROR(IF(VLOOKUP(표1[[#This Row],[CAS No.]],[1]규제DB_고용노동부고시_CMR!$B:$J,7,FALSE)="구분1A", IF(표1[[#This Row],[함량(W%)]]&gt;=VLOOKUP(표1[[#This Row],[CAS No.]],[1]규제DB_고용노동부고시_CMR!$B:$J,8,FALSE),"제품 생식독성물질",""), IF(VLOOKUP(표1[[#This Row],[CAS No.]],[1]규제DB_고용노동부고시_CMR!$B:$J,7,FALSE)="구분1B", IF(표1[[#This Row],[함량(W%)]]&gt;=VLOOKUP(표1[[#This Row],[CAS No.]],[1]규제DB_고용노동부고시_CMR!$B:$J,8,FALSE),"제품 생식독성물질",""), IF(VLOOKUP(표1[[#This Row],[CAS No.]],[1]규제DB_고용노동부고시_CMR!$B:$J,7,FALSE)="구분2", IF(표1[[#This Row],[함량(W%)]]&gt;=VLOOKUP(표1[[#This Row],[CAS No.]],[1]규제DB_고용노동부고시_CMR!$B:$J,8,FALSE),"제품 생식독성물질",""),""))),"")</f>
        <v/>
      </c>
      <c r="BY46" s="13" t="str">
        <f>IFERROR(VLOOKUP(표1[[#This Row],[CAS No.]],[1]규제DB_위험물안전관리법_위험물!$B:$F,3,FALSE),"")</f>
        <v/>
      </c>
      <c r="BZ46" s="13" t="str">
        <f>IFERROR(IF(표1[[#This Row],[CAS No.]]=VLOOKUP(표1[[#This Row],[CAS No.]],[1]규제DB_고압법_독성가스!$B:$D,1,FALSE),"독성가스",""),"")</f>
        <v/>
      </c>
      <c r="CA46" s="13" t="str">
        <f>IFERROR(IF(표1[[#This Row],[CAS No.]]=VLOOKUP(표1[[#This Row],[CAS No.]],[1]규제DB_고압법_가연성가스!$B:$D,1,FALSE),"가연성가스",""),"")</f>
        <v/>
      </c>
      <c r="CB46" s="13" t="str">
        <f>IFERROR(IF(표1[[#This Row],[CAS No.]]=VLOOKUP(표1[[#This Row],[CAS No.]],[1]규제DB_고압법_특수고압가스!$B:$D,1,FALSE),"특수고압가스",""),"")</f>
        <v/>
      </c>
      <c r="CC46" s="13" t="str">
        <f>IFERROR(IF(표1[[#This Row],[CAS No.]]=VLOOKUP(표1[[#This Row],[CAS No.]],[1]규제DB_고압법_특정고압가스!$B:$D,1,FALSE),"특정고압가스",""),"")</f>
        <v/>
      </c>
      <c r="CD46" s="13" t="str">
        <f>IFERROR(IF(표1[[#This Row],[함량(W%)]]&gt;=VLOOKUP(표1[[#This Row],[CAS No.]],[1]규제DB_화관법_개별취급기준!$B:$G,5,FALSE),VLOOKUP(표1[[#This Row],[CAS No.]],[1]규제DB_화관법_개별취급기준!$B:$G,6,FALSE),""),"")</f>
        <v/>
      </c>
    </row>
    <row r="47" spans="1:82" ht="27.95" customHeight="1">
      <c r="A47" s="13">
        <v>46</v>
      </c>
      <c r="B47" s="2"/>
      <c r="C47" s="3" t="s">
        <v>103</v>
      </c>
      <c r="D47" s="14"/>
      <c r="E47" s="50" t="s">
        <v>118</v>
      </c>
      <c r="F47" s="3" t="s">
        <v>90</v>
      </c>
      <c r="G47" s="5" t="s">
        <v>78</v>
      </c>
      <c r="H47" s="3" t="s">
        <v>91</v>
      </c>
      <c r="I47" s="50" t="s">
        <v>102</v>
      </c>
      <c r="J47" s="3" t="s">
        <v>166</v>
      </c>
      <c r="K47" s="3" t="s">
        <v>166</v>
      </c>
      <c r="L47" s="3"/>
      <c r="M47" s="5" t="s">
        <v>80</v>
      </c>
      <c r="N47" s="5" t="s">
        <v>179</v>
      </c>
      <c r="O47" s="53" t="s">
        <v>92</v>
      </c>
      <c r="P47" s="55" t="s">
        <v>98</v>
      </c>
      <c r="Q47" s="54">
        <v>24</v>
      </c>
      <c r="R47" s="6">
        <v>24</v>
      </c>
      <c r="S47" s="17"/>
      <c r="T47" s="17"/>
      <c r="U47" s="6">
        <v>24</v>
      </c>
      <c r="V47" s="6">
        <v>24</v>
      </c>
      <c r="W47" s="8" t="str">
        <f>표1[[#This Row],[자재코드]]&amp;"_"&amp;표1[[#This Row],[자재명]]&amp;"_"&amp;표1[[#This Row],[공급업체명]]</f>
        <v>_BEST SG 중간색 D(MEDIUM,금적,군청,감남,목단)_한국특수잉크공업</v>
      </c>
      <c r="X47" s="51" t="s">
        <v>158</v>
      </c>
      <c r="Y47" s="13"/>
      <c r="Z47" s="13"/>
      <c r="AA47" s="13"/>
      <c r="AB47" s="50">
        <v>5</v>
      </c>
      <c r="AC47" s="20" t="s">
        <v>82</v>
      </c>
      <c r="AD47" s="9" t="s">
        <v>83</v>
      </c>
      <c r="AE47" s="10" t="s">
        <v>89</v>
      </c>
      <c r="AF47" s="10" t="s">
        <v>89</v>
      </c>
      <c r="AG47" s="11"/>
      <c r="AH47" s="50" t="s">
        <v>204</v>
      </c>
      <c r="AI47" s="12">
        <f>IFERROR(표1[[#This Row],[사용량(kg)]]*표1[[#This Row],[함량(W%)]]/100,"")</f>
        <v>1.2</v>
      </c>
      <c r="AJ47" s="13"/>
      <c r="AK47" s="13"/>
      <c r="AL47" s="14"/>
      <c r="AM47" s="15"/>
      <c r="AN47" s="13"/>
      <c r="AO47" s="13"/>
      <c r="AP47" s="13"/>
      <c r="AQ47" s="13"/>
      <c r="AR47" s="13" t="str">
        <f>IFERROR(IF(표1[[#This Row],[함량(W%)]]&gt;=VLOOKUP(표1[[#This Row],[CAS No.]],[1]규제DB_유해법_유독물!B:F,5,FALSE),"유독물질 제품",""),"")</f>
        <v/>
      </c>
      <c r="AS47" s="13" t="str">
        <f>IFERROR(VLOOKUP(표1[[#This Row],[CAS No.]],[1]규제DB_유해법_금지물질!B:G,3,FALSE),"")</f>
        <v/>
      </c>
      <c r="AT47" s="13" t="str">
        <f>IFERROR(VLOOKUP(표1[[#This Row],[CAS No.]],[1]규제DB_유해법_금지물질!B:G,4,FALSE)&amp;" 인지 확인하세요","")</f>
        <v/>
      </c>
      <c r="AU47" s="13" t="str">
        <f>IFERROR(VLOOKUP(표1[[#This Row],[CAS No.]],[1]규제DB_유해법_제한물질!B:G,3,FALSE),"")</f>
        <v/>
      </c>
      <c r="AV47" s="13" t="str">
        <f>IFERROR(IF(표1[[#This Row],[함량(W%)]]&gt;=VLOOKUP(표1[[#This Row],[CAS No.]],[1]규제DB_유해법_제한물질!$B:$G,5,FALSE),"제한 제품",""),"")</f>
        <v/>
      </c>
      <c r="AW47" s="13" t="str">
        <f>IFERROR(VLOOKUP(표1[[#This Row],[CAS No.]],[1]규제DB_유해법_사고대비물질!B:J,2,FALSE),"")</f>
        <v/>
      </c>
      <c r="AX47" s="13" t="str">
        <f>IFERROR(IF(표1[[#This Row],[함량(W%)]]&gt;=VLOOKUP(표1[[#This Row],[CAS No.]],[1]규제DB_유해법_사고대비물질!$B:$J,4,FALSE),"사고대비물질 제품",""),"")</f>
        <v/>
      </c>
      <c r="AY47" s="16" t="str">
        <f>IFERROR(VLOOKUP(표1[[#This Row],[CAS No.]],[1]규제DB_유해법_사고대비물질!$B:$J,5,FALSE),"")</f>
        <v/>
      </c>
      <c r="AZ47" s="16" t="str">
        <f>IFERROR(VLOOKUP(표1[[#This Row],[CAS No.]],[1]규제DB_유해법_사고대비물질!$B:$J,6,FALSE),"")</f>
        <v/>
      </c>
      <c r="BA47" s="17" t="str">
        <f>IFERROR(IF(표1[[#This Row],[함량(W%)]]&gt;=VLOOKUP(표1[[#This Row],[CAS No.]],[1]규제DB_유해법_사고대비물질!$B:$J,4,FALSE),VLOOKUP(표1[[#This Row],[CAS No.]],[1]규제DB_유해법_사고대비물질!$B$2:$J$70,7,FALSE),""),"")</f>
        <v/>
      </c>
      <c r="BB47" s="17" t="str">
        <f>IFERROR(IF(표1[[#This Row],[함량(W%)]]&gt;=VLOOKUP(표1[[#This Row],[CAS No.]],[1]규제DB_유해법_사고대비물질!$B:$J,4,FALSE),VLOOKUP(표1[[#This Row],[CAS No.]],[1]규제DB_유해법_사고대비물질!$B$2:$J$70,8,FALSE),""),"")</f>
        <v/>
      </c>
      <c r="BC47" s="17" t="str">
        <f>IFERROR(IF(표1[[#This Row],[함량(W%)]]&gt;=VLOOKUP(표1[[#This Row],[CAS No.]],[1]규제DB_유해법_사고대비물질!$B:$J,4,FALSE),VLOOKUP(표1[[#This Row],[CAS No.]],[1]규제DB_유해법_사고대비물질!$B$2:$J$70,9,FALSE),""),"")</f>
        <v/>
      </c>
      <c r="BD47" s="18" t="str">
        <f>IFERROR(IF(표1[[#This Row],[함량(W%)]]&gt;=VLOOKUP(표1[[#This Row],[CAS No.]],'[1]규제DB_유해법_배출량조사 I'!$B:$D,3,FALSE),IF(VLOOKUP(표1[[#This Row],[CAS No.]],[1]기초자료!$A:$C,3,FALSE)&gt;=1000,"배출량조사 I 물질",""),""),"")</f>
        <v/>
      </c>
      <c r="BE47" s="18"/>
      <c r="BF47" s="13" t="str">
        <f>IFERROR(IF(표1[[#This Row],[함량(W%)]]&gt;=VLOOKUP(표1[[#This Row],[CAS No.]],[1]규제DB_산안법_금지물질!$B:$E,4,FALSE), VLOOKUP(표1[[#This Row],[CAS No.]],[1]규제DB_산안법_금지물질!$B:$E,2,FALSE)&amp;" : "&amp;VLOOKUP(표1[[#This Row],[CAS No.]],[1]규제DB_산안법_금지물질!$B:$E,3,FALSE)&amp;" 인지 확인하세요",""),"")</f>
        <v/>
      </c>
      <c r="BG47" s="13" t="str">
        <f>IFERROR(IF(표1[[#This Row],[함량(W%)]]&gt;=VLOOKUP(표1[[#This Row],[CAS No.]],[1]규제DB_산안법_허가물질!$B:$E,4,FALSE), "제품 허가물질",""),"")</f>
        <v/>
      </c>
      <c r="BH47" s="13" t="str">
        <f>IFERROR(IF(표1[[#This Row],[함량(W%)]]&gt;=VLOOKUP(표1[[#This Row],[CAS No.]], [1]규제DB_산안법_특별관리물질!$B:$E,4,FALSE), "제품 특별관리물질",""),"")</f>
        <v/>
      </c>
      <c r="BI47" s="13" t="str">
        <f>IFERROR(IF(표1[[#This Row],[함량(W%)]]&gt;=VLOOKUP(표1[[#This Row],[CAS No.]], [1]규제DB_산안법_관리대상유해물질!$B:$E,4,FALSE), "제품 관리대상유해물질",""),"")</f>
        <v/>
      </c>
      <c r="BJ47" s="13" t="str">
        <f>IFERROR(IF(표1[[#This Row],[CAS No.]]=VLOOKUP(표1[[#This Row],[CAS No.]], [1]규제DB_산안법_허용기준이하물질!$B:$D,1,FALSE),"제품 허용기준이하물질",""),"")</f>
        <v/>
      </c>
      <c r="BK47" s="13" t="str">
        <f>IFERROR(VLOOKUP(표1[[#This Row],[CAS No.]], [1]규제DB_산안법_허용기준이하물질!$B:$D,3,FALSE),"")</f>
        <v/>
      </c>
      <c r="BL47" s="13"/>
      <c r="BM47" s="13" t="str">
        <f>IFERROR(VLOOKUP(표1[[#This Row],[CAS No.]], [1]규제DB_산안법_노출기준설정물질!$B:$K,3,FALSE),"")</f>
        <v/>
      </c>
      <c r="BN47" s="13" t="str">
        <f>IFERROR(VLOOKUP(표1[[#This Row],[CAS No.]], [1]규제DB_산안법_노출기준설정물질!$B:$K,4,FALSE),"")</f>
        <v/>
      </c>
      <c r="BO47" s="13" t="str">
        <f>IFERROR(VLOOKUP(표1[[#This Row],[CAS No.]], [1]규제DB_산안법_노출기준설정물질!$B:$K,5,FALSE),"")</f>
        <v/>
      </c>
      <c r="BP47" s="13" t="str">
        <f>IFERROR(VLOOKUP(표1[[#This Row],[CAS No.]], [1]규제DB_산안법_노출기준설정물질!$B:$K,7,FALSE),"")</f>
        <v/>
      </c>
      <c r="BQ47" s="13" t="str">
        <f>IFERROR(VLOOKUP(표1[[#This Row],[CAS No.]], [1]규제DB_산안법_노출기준설정물질!$B:$K,8,FALSE),"")</f>
        <v/>
      </c>
      <c r="BR47" s="13" t="str">
        <f>IFERROR(VLOOKUP(표1[[#This Row],[CAS No.]], [1]규제DB_산안법_노출기준설정물질!$B:$K,9,FALSE),"")</f>
        <v/>
      </c>
      <c r="BS47" s="13" t="str">
        <f>IFERROR(VLOOKUP(표1[[#This Row],[CAS No.]], [1]규제DB_산안법_노출기준설정물질!$B:$K,10,FALSE),"")</f>
        <v/>
      </c>
      <c r="BT47" s="13" t="str">
        <f>IFERROR(IF(표1[[#This Row],[함량(W%)]]&gt;=VLOOKUP(표1[[#This Row],[CAS No.]], [1]규제DB_산안법_작업환경측정대상유해인자!$B:$F,5,FALSE), "제품 작업환경측정대상유해인자",""),"")</f>
        <v/>
      </c>
      <c r="BU47" s="13" t="str">
        <f>IFERROR(IF(표1[[#This Row],[CAS No.]]=VLOOKUP(표1[[#This Row],[CAS No.]], [1]규제DB_산안법_특수건강진단대상유해인자!$B:$C,1,FALSE), "제품 특수건강진단대상유해인자",""),"")</f>
        <v/>
      </c>
      <c r="BV47" s="13" t="str">
        <f>IFERROR(IF(VLOOKUP(표1[[#This Row],[CAS No.]],[1]규제DB_고용노동부고시_CMR!$B:$J,3,FALSE)="구분1A", IF(표1[[#This Row],[함량(W%)]]&gt;=VLOOKUP(표1[[#This Row],[CAS No.]],[1]규제DB_고용노동부고시_CMR!$B:$J,4,FALSE),"제품 발암성물질",""), IF(VLOOKUP(표1[[#This Row],[CAS No.]],[1]규제DB_고용노동부고시_CMR!$B:$J,3,FALSE)="구분1B", IF(표1[[#This Row],[함량(W%)]]&gt;=VLOOKUP(표1[[#This Row],[CAS No.]],[1]규제DB_고용노동부고시_CMR!$B:$J,4,FALSE),"제품 발암성물질",""), IF(VLOOKUP(표1[[#This Row],[CAS No.]],[1]규제DB_고용노동부고시_CMR!$B:$J,3,FALSE)="구분2", IF(표1[[#This Row],[함량(W%)]]&gt;=VLOOKUP(표1[[#This Row],[CAS No.]],[1]규제DB_고용노동부고시_CMR!$B:$J,4,FALSE),"제품 발암성물질",""),""))),"")</f>
        <v/>
      </c>
      <c r="BW47" s="13" t="str">
        <f>IFERROR(IF(VLOOKUP(표1[[#This Row],[CAS No.]],[1]규제DB_고용노동부고시_CMR!$B:$J,5,FALSE)="구분1A", IF(표1[[#This Row],[함량(W%)]]&gt;=VLOOKUP(표1[[#This Row],[CAS No.]],[1]규제DB_고용노동부고시_CMR!$B:$J,6,FALSE),"제품 생식세포변이원성물질",""), IF(VLOOKUP(표1[[#This Row],[CAS No.]],[1]규제DB_고용노동부고시_CMR!$B:$J,5,FALSE)="구분1B", IF(표1[[#This Row],[함량(W%)]]&gt;=VLOOKUP(표1[[#This Row],[CAS No.]],[1]규제DB_고용노동부고시_CMR!$B:$J,6,FALSE),"제품 생식세포변이원성물질",""), IF(VLOOKUP(표1[[#This Row],[CAS No.]],[1]규제DB_고용노동부고시_CMR!$B:$J,5,FALSE)="구분2", IF(표1[[#This Row],[함량(W%)]]&gt;=VLOOKUP(표1[[#This Row],[CAS No.]],[1]규제DB_고용노동부고시_CMR!$B:$J,6,FALSE),"제품 생식세포변이원성물질",""),""))),"")</f>
        <v/>
      </c>
      <c r="BX47" s="13" t="str">
        <f>IFERROR(IF(VLOOKUP(표1[[#This Row],[CAS No.]],[1]규제DB_고용노동부고시_CMR!$B:$J,7,FALSE)="구분1A", IF(표1[[#This Row],[함량(W%)]]&gt;=VLOOKUP(표1[[#This Row],[CAS No.]],[1]규제DB_고용노동부고시_CMR!$B:$J,8,FALSE),"제품 생식독성물질",""), IF(VLOOKUP(표1[[#This Row],[CAS No.]],[1]규제DB_고용노동부고시_CMR!$B:$J,7,FALSE)="구분1B", IF(표1[[#This Row],[함량(W%)]]&gt;=VLOOKUP(표1[[#This Row],[CAS No.]],[1]규제DB_고용노동부고시_CMR!$B:$J,8,FALSE),"제품 생식독성물질",""), IF(VLOOKUP(표1[[#This Row],[CAS No.]],[1]규제DB_고용노동부고시_CMR!$B:$J,7,FALSE)="구분2", IF(표1[[#This Row],[함량(W%)]]&gt;=VLOOKUP(표1[[#This Row],[CAS No.]],[1]규제DB_고용노동부고시_CMR!$B:$J,8,FALSE),"제품 생식독성물질",""),""))),"")</f>
        <v/>
      </c>
      <c r="BY47" s="13" t="str">
        <f>IFERROR(VLOOKUP(표1[[#This Row],[CAS No.]],[1]규제DB_위험물안전관리법_위험물!$B:$F,3,FALSE),"")</f>
        <v/>
      </c>
      <c r="BZ47" s="13" t="str">
        <f>IFERROR(IF(표1[[#This Row],[CAS No.]]=VLOOKUP(표1[[#This Row],[CAS No.]],[1]규제DB_고압법_독성가스!$B:$D,1,FALSE),"독성가스",""),"")</f>
        <v/>
      </c>
      <c r="CA47" s="13" t="str">
        <f>IFERROR(IF(표1[[#This Row],[CAS No.]]=VLOOKUP(표1[[#This Row],[CAS No.]],[1]규제DB_고압법_가연성가스!$B:$D,1,FALSE),"가연성가스",""),"")</f>
        <v/>
      </c>
      <c r="CB47" s="13" t="str">
        <f>IFERROR(IF(표1[[#This Row],[CAS No.]]=VLOOKUP(표1[[#This Row],[CAS No.]],[1]규제DB_고압법_특수고압가스!$B:$D,1,FALSE),"특수고압가스",""),"")</f>
        <v/>
      </c>
      <c r="CC47" s="13" t="str">
        <f>IFERROR(IF(표1[[#This Row],[CAS No.]]=VLOOKUP(표1[[#This Row],[CAS No.]],[1]규제DB_고압법_특정고압가스!$B:$D,1,FALSE),"특정고압가스",""),"")</f>
        <v/>
      </c>
      <c r="CD47" s="13" t="str">
        <f>IFERROR(IF(표1[[#This Row],[함량(W%)]]&gt;=VLOOKUP(표1[[#This Row],[CAS No.]],[1]규제DB_화관법_개별취급기준!$B:$G,5,FALSE),VLOOKUP(표1[[#This Row],[CAS No.]],[1]규제DB_화관법_개별취급기준!$B:$G,6,FALSE),""),"")</f>
        <v/>
      </c>
    </row>
    <row r="48" spans="1:82" ht="27.95" customHeight="1">
      <c r="A48" s="13">
        <v>47</v>
      </c>
      <c r="B48" s="2"/>
      <c r="C48" s="3" t="s">
        <v>103</v>
      </c>
      <c r="D48" s="14"/>
      <c r="E48" s="50" t="s">
        <v>118</v>
      </c>
      <c r="F48" s="3" t="s">
        <v>90</v>
      </c>
      <c r="G48" s="5" t="s">
        <v>78</v>
      </c>
      <c r="H48" s="3" t="s">
        <v>91</v>
      </c>
      <c r="I48" s="50" t="s">
        <v>102</v>
      </c>
      <c r="J48" s="3" t="s">
        <v>166</v>
      </c>
      <c r="K48" s="3" t="s">
        <v>166</v>
      </c>
      <c r="L48" s="3"/>
      <c r="M48" s="5" t="s">
        <v>80</v>
      </c>
      <c r="N48" s="5" t="s">
        <v>179</v>
      </c>
      <c r="O48" s="53" t="s">
        <v>92</v>
      </c>
      <c r="P48" s="55" t="s">
        <v>98</v>
      </c>
      <c r="Q48" s="54">
        <v>24</v>
      </c>
      <c r="R48" s="6">
        <v>24</v>
      </c>
      <c r="S48" s="17"/>
      <c r="T48" s="17"/>
      <c r="U48" s="6">
        <v>24</v>
      </c>
      <c r="V48" s="6">
        <v>24</v>
      </c>
      <c r="W48" s="8" t="str">
        <f>표1[[#This Row],[자재코드]]&amp;"_"&amp;표1[[#This Row],[자재명]]&amp;"_"&amp;표1[[#This Row],[공급업체명]]</f>
        <v>_BEST SG 중간색 D(MEDIUM,금적,군청,감남,목단)_한국특수잉크공업</v>
      </c>
      <c r="X48" s="51" t="s">
        <v>156</v>
      </c>
      <c r="Y48" s="13"/>
      <c r="Z48" s="13"/>
      <c r="AA48" s="13"/>
      <c r="AB48" s="50">
        <v>10</v>
      </c>
      <c r="AC48" s="9" t="s">
        <v>82</v>
      </c>
      <c r="AD48" s="9" t="s">
        <v>83</v>
      </c>
      <c r="AE48" s="10" t="s">
        <v>89</v>
      </c>
      <c r="AF48" s="10" t="s">
        <v>89</v>
      </c>
      <c r="AG48" s="11"/>
      <c r="AH48" s="50" t="s">
        <v>202</v>
      </c>
      <c r="AI48" s="12">
        <f>IFERROR(표1[[#This Row],[사용량(kg)]]*표1[[#This Row],[함량(W%)]]/100,"")</f>
        <v>2.4</v>
      </c>
      <c r="AJ48" s="13"/>
      <c r="AK48" s="13"/>
      <c r="AL48" s="14"/>
      <c r="AM48" s="15"/>
      <c r="AN48" s="13"/>
      <c r="AO48" s="13"/>
      <c r="AP48" s="13"/>
      <c r="AQ48" s="13"/>
      <c r="AR48" s="13" t="str">
        <f>IFERROR(IF(표1[[#This Row],[함량(W%)]]&gt;=VLOOKUP(표1[[#This Row],[CAS No.]],[1]규제DB_유해법_유독물!B:F,5,FALSE),"유독물질 제품",""),"")</f>
        <v/>
      </c>
      <c r="AS48" s="13" t="str">
        <f>IFERROR(VLOOKUP(표1[[#This Row],[CAS No.]],[1]규제DB_유해법_금지물질!B:G,3,FALSE),"")</f>
        <v/>
      </c>
      <c r="AT48" s="13" t="str">
        <f>IFERROR(VLOOKUP(표1[[#This Row],[CAS No.]],[1]규제DB_유해법_금지물질!B:G,4,FALSE)&amp;" 인지 확인하세요","")</f>
        <v/>
      </c>
      <c r="AU48" s="13" t="str">
        <f>IFERROR(VLOOKUP(표1[[#This Row],[CAS No.]],[1]규제DB_유해법_제한물질!B:G,3,FALSE),"")</f>
        <v/>
      </c>
      <c r="AV48" s="13" t="str">
        <f>IFERROR(IF(표1[[#This Row],[함량(W%)]]&gt;=VLOOKUP(표1[[#This Row],[CAS No.]],[1]규제DB_유해법_제한물질!$B:$G,5,FALSE),"제한 제품",""),"")</f>
        <v/>
      </c>
      <c r="AW48" s="13" t="str">
        <f>IFERROR(VLOOKUP(표1[[#This Row],[CAS No.]],[1]규제DB_유해법_사고대비물질!B:J,2,FALSE),"")</f>
        <v/>
      </c>
      <c r="AX48" s="13" t="str">
        <f>IFERROR(IF(표1[[#This Row],[함량(W%)]]&gt;=VLOOKUP(표1[[#This Row],[CAS No.]],[1]규제DB_유해법_사고대비물질!$B:$J,4,FALSE),"사고대비물질 제품",""),"")</f>
        <v/>
      </c>
      <c r="AY48" s="16" t="str">
        <f>IFERROR(VLOOKUP(표1[[#This Row],[CAS No.]],[1]규제DB_유해법_사고대비물질!$B:$J,5,FALSE),"")</f>
        <v/>
      </c>
      <c r="AZ48" s="16" t="str">
        <f>IFERROR(VLOOKUP(표1[[#This Row],[CAS No.]],[1]규제DB_유해법_사고대비물질!$B:$J,6,FALSE),"")</f>
        <v/>
      </c>
      <c r="BA48" s="17" t="str">
        <f>IFERROR(IF(표1[[#This Row],[함량(W%)]]&gt;=VLOOKUP(표1[[#This Row],[CAS No.]],[1]규제DB_유해법_사고대비물질!$B:$J,4,FALSE),VLOOKUP(표1[[#This Row],[CAS No.]],[1]규제DB_유해법_사고대비물질!$B$2:$J$70,7,FALSE),""),"")</f>
        <v/>
      </c>
      <c r="BB48" s="17" t="str">
        <f>IFERROR(IF(표1[[#This Row],[함량(W%)]]&gt;=VLOOKUP(표1[[#This Row],[CAS No.]],[1]규제DB_유해법_사고대비물질!$B:$J,4,FALSE),VLOOKUP(표1[[#This Row],[CAS No.]],[1]규제DB_유해법_사고대비물질!$B$2:$J$70,8,FALSE),""),"")</f>
        <v/>
      </c>
      <c r="BC48" s="17" t="str">
        <f>IFERROR(IF(표1[[#This Row],[함량(W%)]]&gt;=VLOOKUP(표1[[#This Row],[CAS No.]],[1]규제DB_유해법_사고대비물질!$B:$J,4,FALSE),VLOOKUP(표1[[#This Row],[CAS No.]],[1]규제DB_유해법_사고대비물질!$B$2:$J$70,9,FALSE),""),"")</f>
        <v/>
      </c>
      <c r="BD48" s="18" t="str">
        <f>IFERROR(IF(표1[[#This Row],[함량(W%)]]&gt;=VLOOKUP(표1[[#This Row],[CAS No.]],'[1]규제DB_유해법_배출량조사 I'!$B:$D,3,FALSE),IF(VLOOKUP(표1[[#This Row],[CAS No.]],[1]기초자료!$A:$C,3,FALSE)&gt;=1000,"배출량조사 I 물질",""),""),"")</f>
        <v/>
      </c>
      <c r="BE48" s="18"/>
      <c r="BF48" s="13" t="str">
        <f>IFERROR(IF(표1[[#This Row],[함량(W%)]]&gt;=VLOOKUP(표1[[#This Row],[CAS No.]],[1]규제DB_산안법_금지물질!$B:$E,4,FALSE), VLOOKUP(표1[[#This Row],[CAS No.]],[1]규제DB_산안법_금지물질!$B:$E,2,FALSE)&amp;" : "&amp;VLOOKUP(표1[[#This Row],[CAS No.]],[1]규제DB_산안법_금지물질!$B:$E,3,FALSE)&amp;" 인지 확인하세요",""),"")</f>
        <v/>
      </c>
      <c r="BG48" s="13" t="str">
        <f>IFERROR(IF(표1[[#This Row],[함량(W%)]]&gt;=VLOOKUP(표1[[#This Row],[CAS No.]],[1]규제DB_산안법_허가물질!$B:$E,4,FALSE), "제품 허가물질",""),"")</f>
        <v/>
      </c>
      <c r="BH48" s="13" t="str">
        <f>IFERROR(IF(표1[[#This Row],[함량(W%)]]&gt;=VLOOKUP(표1[[#This Row],[CAS No.]], [1]규제DB_산안법_특별관리물질!$B:$E,4,FALSE), "제품 특별관리물질",""),"")</f>
        <v/>
      </c>
      <c r="BI48" s="13" t="str">
        <f>IFERROR(IF(표1[[#This Row],[함량(W%)]]&gt;=VLOOKUP(표1[[#This Row],[CAS No.]], [1]규제DB_산안법_관리대상유해물질!$B:$E,4,FALSE), "제품 관리대상유해물질",""),"")</f>
        <v/>
      </c>
      <c r="BJ48" s="13" t="str">
        <f>IFERROR(IF(표1[[#This Row],[CAS No.]]=VLOOKUP(표1[[#This Row],[CAS No.]], [1]규제DB_산안법_허용기준이하물질!$B:$D,1,FALSE),"제품 허용기준이하물질",""),"")</f>
        <v/>
      </c>
      <c r="BK48" s="13" t="str">
        <f>IFERROR(VLOOKUP(표1[[#This Row],[CAS No.]], [1]규제DB_산안법_허용기준이하물질!$B:$D,3,FALSE),"")</f>
        <v/>
      </c>
      <c r="BL48" s="13"/>
      <c r="BM48" s="13" t="str">
        <f>IFERROR(VLOOKUP(표1[[#This Row],[CAS No.]], [1]규제DB_산안법_노출기준설정물질!$B:$K,3,FALSE),"")</f>
        <v/>
      </c>
      <c r="BN48" s="13" t="str">
        <f>IFERROR(VLOOKUP(표1[[#This Row],[CAS No.]], [1]규제DB_산안법_노출기준설정물질!$B:$K,4,FALSE),"")</f>
        <v/>
      </c>
      <c r="BO48" s="13" t="str">
        <f>IFERROR(VLOOKUP(표1[[#This Row],[CAS No.]], [1]규제DB_산안법_노출기준설정물질!$B:$K,5,FALSE),"")</f>
        <v/>
      </c>
      <c r="BP48" s="13" t="str">
        <f>IFERROR(VLOOKUP(표1[[#This Row],[CAS No.]], [1]규제DB_산안법_노출기준설정물질!$B:$K,7,FALSE),"")</f>
        <v/>
      </c>
      <c r="BQ48" s="13" t="str">
        <f>IFERROR(VLOOKUP(표1[[#This Row],[CAS No.]], [1]규제DB_산안법_노출기준설정물질!$B:$K,8,FALSE),"")</f>
        <v/>
      </c>
      <c r="BR48" s="13" t="str">
        <f>IFERROR(VLOOKUP(표1[[#This Row],[CAS No.]], [1]규제DB_산안법_노출기준설정물질!$B:$K,9,FALSE),"")</f>
        <v/>
      </c>
      <c r="BS48" s="13" t="str">
        <f>IFERROR(VLOOKUP(표1[[#This Row],[CAS No.]], [1]규제DB_산안법_노출기준설정물질!$B:$K,10,FALSE),"")</f>
        <v/>
      </c>
      <c r="BT48" s="13" t="str">
        <f>IFERROR(IF(표1[[#This Row],[함량(W%)]]&gt;=VLOOKUP(표1[[#This Row],[CAS No.]], [1]규제DB_산안법_작업환경측정대상유해인자!$B:$F,5,FALSE), "제품 작업환경측정대상유해인자",""),"")</f>
        <v/>
      </c>
      <c r="BU48" s="13" t="str">
        <f>IFERROR(IF(표1[[#This Row],[CAS No.]]=VLOOKUP(표1[[#This Row],[CAS No.]], [1]규제DB_산안법_특수건강진단대상유해인자!$B:$C,1,FALSE), "제품 특수건강진단대상유해인자",""),"")</f>
        <v/>
      </c>
      <c r="BV48" s="13" t="str">
        <f>IFERROR(IF(VLOOKUP(표1[[#This Row],[CAS No.]],[1]규제DB_고용노동부고시_CMR!$B:$J,3,FALSE)="구분1A", IF(표1[[#This Row],[함량(W%)]]&gt;=VLOOKUP(표1[[#This Row],[CAS No.]],[1]규제DB_고용노동부고시_CMR!$B:$J,4,FALSE),"제품 발암성물질",""), IF(VLOOKUP(표1[[#This Row],[CAS No.]],[1]규제DB_고용노동부고시_CMR!$B:$J,3,FALSE)="구분1B", IF(표1[[#This Row],[함량(W%)]]&gt;=VLOOKUP(표1[[#This Row],[CAS No.]],[1]규제DB_고용노동부고시_CMR!$B:$J,4,FALSE),"제품 발암성물질",""), IF(VLOOKUP(표1[[#This Row],[CAS No.]],[1]규제DB_고용노동부고시_CMR!$B:$J,3,FALSE)="구분2", IF(표1[[#This Row],[함량(W%)]]&gt;=VLOOKUP(표1[[#This Row],[CAS No.]],[1]규제DB_고용노동부고시_CMR!$B:$J,4,FALSE),"제품 발암성물질",""),""))),"")</f>
        <v/>
      </c>
      <c r="BW48" s="13" t="str">
        <f>IFERROR(IF(VLOOKUP(표1[[#This Row],[CAS No.]],[1]규제DB_고용노동부고시_CMR!$B:$J,5,FALSE)="구분1A", IF(표1[[#This Row],[함량(W%)]]&gt;=VLOOKUP(표1[[#This Row],[CAS No.]],[1]규제DB_고용노동부고시_CMR!$B:$J,6,FALSE),"제품 생식세포변이원성물질",""), IF(VLOOKUP(표1[[#This Row],[CAS No.]],[1]규제DB_고용노동부고시_CMR!$B:$J,5,FALSE)="구분1B", IF(표1[[#This Row],[함량(W%)]]&gt;=VLOOKUP(표1[[#This Row],[CAS No.]],[1]규제DB_고용노동부고시_CMR!$B:$J,6,FALSE),"제품 생식세포변이원성물질",""), IF(VLOOKUP(표1[[#This Row],[CAS No.]],[1]규제DB_고용노동부고시_CMR!$B:$J,5,FALSE)="구분2", IF(표1[[#This Row],[함량(W%)]]&gt;=VLOOKUP(표1[[#This Row],[CAS No.]],[1]규제DB_고용노동부고시_CMR!$B:$J,6,FALSE),"제품 생식세포변이원성물질",""),""))),"")</f>
        <v/>
      </c>
      <c r="BX48" s="13" t="str">
        <f>IFERROR(IF(VLOOKUP(표1[[#This Row],[CAS No.]],[1]규제DB_고용노동부고시_CMR!$B:$J,7,FALSE)="구분1A", IF(표1[[#This Row],[함량(W%)]]&gt;=VLOOKUP(표1[[#This Row],[CAS No.]],[1]규제DB_고용노동부고시_CMR!$B:$J,8,FALSE),"제품 생식독성물질",""), IF(VLOOKUP(표1[[#This Row],[CAS No.]],[1]규제DB_고용노동부고시_CMR!$B:$J,7,FALSE)="구분1B", IF(표1[[#This Row],[함량(W%)]]&gt;=VLOOKUP(표1[[#This Row],[CAS No.]],[1]규제DB_고용노동부고시_CMR!$B:$J,8,FALSE),"제품 생식독성물질",""), IF(VLOOKUP(표1[[#This Row],[CAS No.]],[1]규제DB_고용노동부고시_CMR!$B:$J,7,FALSE)="구분2", IF(표1[[#This Row],[함량(W%)]]&gt;=VLOOKUP(표1[[#This Row],[CAS No.]],[1]규제DB_고용노동부고시_CMR!$B:$J,8,FALSE),"제품 생식독성물질",""),""))),"")</f>
        <v/>
      </c>
      <c r="BY48" s="13" t="str">
        <f>IFERROR(VLOOKUP(표1[[#This Row],[CAS No.]],[1]규제DB_위험물안전관리법_위험물!$B:$F,3,FALSE),"")</f>
        <v/>
      </c>
      <c r="BZ48" s="13" t="str">
        <f>IFERROR(IF(표1[[#This Row],[CAS No.]]=VLOOKUP(표1[[#This Row],[CAS No.]],[1]규제DB_고압법_독성가스!$B:$D,1,FALSE),"독성가스",""),"")</f>
        <v/>
      </c>
      <c r="CA48" s="13" t="str">
        <f>IFERROR(IF(표1[[#This Row],[CAS No.]]=VLOOKUP(표1[[#This Row],[CAS No.]],[1]규제DB_고압법_가연성가스!$B:$D,1,FALSE),"가연성가스",""),"")</f>
        <v/>
      </c>
      <c r="CB48" s="13" t="str">
        <f>IFERROR(IF(표1[[#This Row],[CAS No.]]=VLOOKUP(표1[[#This Row],[CAS No.]],[1]규제DB_고압법_특수고압가스!$B:$D,1,FALSE),"특수고압가스",""),"")</f>
        <v/>
      </c>
      <c r="CC48" s="13" t="str">
        <f>IFERROR(IF(표1[[#This Row],[CAS No.]]=VLOOKUP(표1[[#This Row],[CAS No.]],[1]규제DB_고압법_특정고압가스!$B:$D,1,FALSE),"특정고압가스",""),"")</f>
        <v/>
      </c>
      <c r="CD48" s="13" t="str">
        <f>IFERROR(IF(표1[[#This Row],[함량(W%)]]&gt;=VLOOKUP(표1[[#This Row],[CAS No.]],[1]규제DB_화관법_개별취급기준!$B:$G,5,FALSE),VLOOKUP(표1[[#This Row],[CAS No.]],[1]규제DB_화관법_개별취급기준!$B:$G,6,FALSE),""),"")</f>
        <v/>
      </c>
    </row>
    <row r="49" spans="1:82" ht="27.95" customHeight="1">
      <c r="A49" s="13">
        <v>48</v>
      </c>
      <c r="B49" s="2"/>
      <c r="C49" s="3" t="s">
        <v>103</v>
      </c>
      <c r="D49" s="14"/>
      <c r="E49" s="50" t="s">
        <v>119</v>
      </c>
      <c r="F49" s="3" t="s">
        <v>90</v>
      </c>
      <c r="G49" s="5" t="s">
        <v>78</v>
      </c>
      <c r="H49" s="3" t="s">
        <v>91</v>
      </c>
      <c r="I49" s="50" t="s">
        <v>102</v>
      </c>
      <c r="J49" s="3" t="s">
        <v>166</v>
      </c>
      <c r="K49" s="3" t="s">
        <v>166</v>
      </c>
      <c r="L49" s="3"/>
      <c r="M49" s="5" t="s">
        <v>80</v>
      </c>
      <c r="N49" s="5" t="s">
        <v>179</v>
      </c>
      <c r="O49" s="53" t="s">
        <v>92</v>
      </c>
      <c r="P49" s="55" t="s">
        <v>98</v>
      </c>
      <c r="Q49" s="54">
        <v>24</v>
      </c>
      <c r="R49" s="6">
        <v>24</v>
      </c>
      <c r="S49" s="17"/>
      <c r="T49" s="17"/>
      <c r="U49" s="6">
        <v>24</v>
      </c>
      <c r="V49" s="6">
        <v>24</v>
      </c>
      <c r="W49" s="8" t="str">
        <f>표1[[#This Row],[자재코드]]&amp;"_"&amp;표1[[#This Row],[자재명]]&amp;"_"&amp;표1[[#This Row],[공급업체명]]</f>
        <v>_BSET SG 중간색 D(MEDIUM,금적,군청,감남,목단)_한국특수잉크공업</v>
      </c>
      <c r="X49" s="51" t="s">
        <v>156</v>
      </c>
      <c r="Y49" s="31"/>
      <c r="Z49" s="31"/>
      <c r="AA49" s="31"/>
      <c r="AB49" s="50">
        <v>10</v>
      </c>
      <c r="AC49" s="20" t="s">
        <v>82</v>
      </c>
      <c r="AD49" s="9" t="s">
        <v>83</v>
      </c>
      <c r="AE49" s="10" t="s">
        <v>89</v>
      </c>
      <c r="AF49" s="10" t="s">
        <v>89</v>
      </c>
      <c r="AG49" s="11"/>
      <c r="AH49" s="50" t="s">
        <v>85</v>
      </c>
      <c r="AI49" s="12">
        <f>IFERROR(표1[[#This Row],[사용량(kg)]]*표1[[#This Row],[함량(W%)]]/100,"")</f>
        <v>2.4</v>
      </c>
      <c r="AJ49" s="13"/>
      <c r="AK49" s="13"/>
      <c r="AL49" s="14"/>
      <c r="AM49" s="15"/>
      <c r="AN49" s="13"/>
      <c r="AO49" s="13"/>
      <c r="AP49" s="13"/>
      <c r="AQ49" s="13"/>
      <c r="AR49" s="13" t="str">
        <f>IFERROR(IF(표1[[#This Row],[함량(W%)]]&gt;=VLOOKUP(표1[[#This Row],[CAS No.]],[1]규제DB_유해법_유독물!B:F,5,FALSE),"유독물질 제품",""),"")</f>
        <v/>
      </c>
      <c r="AS49" s="13" t="str">
        <f>IFERROR(VLOOKUP(표1[[#This Row],[CAS No.]],[1]규제DB_유해법_금지물질!B:G,3,FALSE),"")</f>
        <v/>
      </c>
      <c r="AT49" s="13" t="str">
        <f>IFERROR(VLOOKUP(표1[[#This Row],[CAS No.]],[1]규제DB_유해법_금지물질!B:G,4,FALSE)&amp;" 인지 확인하세요","")</f>
        <v/>
      </c>
      <c r="AU49" s="13" t="str">
        <f>IFERROR(VLOOKUP(표1[[#This Row],[CAS No.]],[1]규제DB_유해법_제한물질!B:G,3,FALSE),"")</f>
        <v/>
      </c>
      <c r="AV49" s="13" t="str">
        <f>IFERROR(IF(표1[[#This Row],[함량(W%)]]&gt;=VLOOKUP(표1[[#This Row],[CAS No.]],[1]규제DB_유해법_제한물질!$B:$G,5,FALSE),"제한 제품",""),"")</f>
        <v/>
      </c>
      <c r="AW49" s="13" t="str">
        <f>IFERROR(VLOOKUP(표1[[#This Row],[CAS No.]],[1]규제DB_유해법_사고대비물질!B:J,2,FALSE),"")</f>
        <v/>
      </c>
      <c r="AX49" s="13" t="str">
        <f>IFERROR(IF(표1[[#This Row],[함량(W%)]]&gt;=VLOOKUP(표1[[#This Row],[CAS No.]],[1]규제DB_유해법_사고대비물질!$B:$J,4,FALSE),"사고대비물질 제품",""),"")</f>
        <v/>
      </c>
      <c r="AY49" s="16" t="str">
        <f>IFERROR(VLOOKUP(표1[[#This Row],[CAS No.]],[1]규제DB_유해법_사고대비물질!$B:$J,5,FALSE),"")</f>
        <v/>
      </c>
      <c r="AZ49" s="16" t="str">
        <f>IFERROR(VLOOKUP(표1[[#This Row],[CAS No.]],[1]규제DB_유해법_사고대비물질!$B:$J,6,FALSE),"")</f>
        <v/>
      </c>
      <c r="BA49" s="17" t="str">
        <f>IFERROR(IF(표1[[#This Row],[함량(W%)]]&gt;=VLOOKUP(표1[[#This Row],[CAS No.]],[1]규제DB_유해법_사고대비물질!$B:$J,4,FALSE),VLOOKUP(표1[[#This Row],[CAS No.]],[1]규제DB_유해법_사고대비물질!$B$2:$J$70,7,FALSE),""),"")</f>
        <v/>
      </c>
      <c r="BB49" s="17" t="str">
        <f>IFERROR(IF(표1[[#This Row],[함량(W%)]]&gt;=VLOOKUP(표1[[#This Row],[CAS No.]],[1]규제DB_유해법_사고대비물질!$B:$J,4,FALSE),VLOOKUP(표1[[#This Row],[CAS No.]],[1]규제DB_유해법_사고대비물질!$B$2:$J$70,8,FALSE),""),"")</f>
        <v/>
      </c>
      <c r="BC49" s="17" t="str">
        <f>IFERROR(IF(표1[[#This Row],[함량(W%)]]&gt;=VLOOKUP(표1[[#This Row],[CAS No.]],[1]규제DB_유해법_사고대비물질!$B:$J,4,FALSE),VLOOKUP(표1[[#This Row],[CAS No.]],[1]규제DB_유해법_사고대비물질!$B$2:$J$70,9,FALSE),""),"")</f>
        <v/>
      </c>
      <c r="BD49" s="18" t="str">
        <f>IFERROR(IF(표1[[#This Row],[함량(W%)]]&gt;=VLOOKUP(표1[[#This Row],[CAS No.]],'[1]규제DB_유해법_배출량조사 I'!$B:$D,3,FALSE),IF(VLOOKUP(표1[[#This Row],[CAS No.]],[1]기초자료!$A:$C,3,FALSE)&gt;=1000,"배출량조사 I 물질",""),""),"")</f>
        <v/>
      </c>
      <c r="BE49" s="18"/>
      <c r="BF49" s="13" t="str">
        <f>IFERROR(IF(표1[[#This Row],[함량(W%)]]&gt;=VLOOKUP(표1[[#This Row],[CAS No.]],[1]규제DB_산안법_금지물질!$B:$E,4,FALSE), VLOOKUP(표1[[#This Row],[CAS No.]],[1]규제DB_산안법_금지물질!$B:$E,2,FALSE)&amp;" : "&amp;VLOOKUP(표1[[#This Row],[CAS No.]],[1]규제DB_산안법_금지물질!$B:$E,3,FALSE)&amp;" 인지 확인하세요",""),"")</f>
        <v/>
      </c>
      <c r="BG49" s="13" t="str">
        <f>IFERROR(IF(표1[[#This Row],[함량(W%)]]&gt;=VLOOKUP(표1[[#This Row],[CAS No.]],[1]규제DB_산안법_허가물질!$B:$E,4,FALSE), "제품 허가물질",""),"")</f>
        <v/>
      </c>
      <c r="BH49" s="13" t="str">
        <f>IFERROR(IF(표1[[#This Row],[함량(W%)]]&gt;=VLOOKUP(표1[[#This Row],[CAS No.]], [1]규제DB_산안법_특별관리물질!$B:$E,4,FALSE), "제품 특별관리물질",""),"")</f>
        <v/>
      </c>
      <c r="BI49" s="13" t="str">
        <f>IFERROR(IF(표1[[#This Row],[함량(W%)]]&gt;=VLOOKUP(표1[[#This Row],[CAS No.]], [1]규제DB_산안법_관리대상유해물질!$B:$E,4,FALSE), "제품 관리대상유해물질",""),"")</f>
        <v/>
      </c>
      <c r="BJ49" s="13" t="str">
        <f>IFERROR(IF(표1[[#This Row],[CAS No.]]=VLOOKUP(표1[[#This Row],[CAS No.]], [1]규제DB_산안법_허용기준이하물질!$B:$D,1,FALSE),"제품 허용기준이하물질",""),"")</f>
        <v/>
      </c>
      <c r="BK49" s="13" t="str">
        <f>IFERROR(VLOOKUP(표1[[#This Row],[CAS No.]], [1]규제DB_산안법_허용기준이하물질!$B:$D,3,FALSE),"")</f>
        <v/>
      </c>
      <c r="BL49" s="13"/>
      <c r="BM49" s="13" t="str">
        <f>IFERROR(VLOOKUP(표1[[#This Row],[CAS No.]], [1]규제DB_산안법_노출기준설정물질!$B:$K,3,FALSE),"")</f>
        <v/>
      </c>
      <c r="BN49" s="13" t="str">
        <f>IFERROR(VLOOKUP(표1[[#This Row],[CAS No.]], [1]규제DB_산안법_노출기준설정물질!$B:$K,4,FALSE),"")</f>
        <v/>
      </c>
      <c r="BO49" s="13" t="str">
        <f>IFERROR(VLOOKUP(표1[[#This Row],[CAS No.]], [1]규제DB_산안법_노출기준설정물질!$B:$K,5,FALSE),"")</f>
        <v/>
      </c>
      <c r="BP49" s="13" t="str">
        <f>IFERROR(VLOOKUP(표1[[#This Row],[CAS No.]], [1]규제DB_산안법_노출기준설정물질!$B:$K,7,FALSE),"")</f>
        <v/>
      </c>
      <c r="BQ49" s="13" t="str">
        <f>IFERROR(VLOOKUP(표1[[#This Row],[CAS No.]], [1]규제DB_산안법_노출기준설정물질!$B:$K,8,FALSE),"")</f>
        <v/>
      </c>
      <c r="BR49" s="13" t="str">
        <f>IFERROR(VLOOKUP(표1[[#This Row],[CAS No.]], [1]규제DB_산안법_노출기준설정물질!$B:$K,9,FALSE),"")</f>
        <v/>
      </c>
      <c r="BS49" s="13" t="str">
        <f>IFERROR(VLOOKUP(표1[[#This Row],[CAS No.]], [1]규제DB_산안법_노출기준설정물질!$B:$K,10,FALSE),"")</f>
        <v/>
      </c>
      <c r="BT49" s="13" t="str">
        <f>IFERROR(IF(표1[[#This Row],[함량(W%)]]&gt;=VLOOKUP(표1[[#This Row],[CAS No.]], [1]규제DB_산안법_작업환경측정대상유해인자!$B:$F,5,FALSE), "제품 작업환경측정대상유해인자",""),"")</f>
        <v/>
      </c>
      <c r="BU49" s="13" t="str">
        <f>IFERROR(IF(표1[[#This Row],[CAS No.]]=VLOOKUP(표1[[#This Row],[CAS No.]], [1]규제DB_산안법_특수건강진단대상유해인자!$B:$C,1,FALSE), "제품 특수건강진단대상유해인자",""),"")</f>
        <v/>
      </c>
      <c r="BV49" s="13" t="str">
        <f>IFERROR(IF(VLOOKUP(표1[[#This Row],[CAS No.]],[1]규제DB_고용노동부고시_CMR!$B:$J,3,FALSE)="구분1A", IF(표1[[#This Row],[함량(W%)]]&gt;=VLOOKUP(표1[[#This Row],[CAS No.]],[1]규제DB_고용노동부고시_CMR!$B:$J,4,FALSE),"제품 발암성물질",""), IF(VLOOKUP(표1[[#This Row],[CAS No.]],[1]규제DB_고용노동부고시_CMR!$B:$J,3,FALSE)="구분1B", IF(표1[[#This Row],[함량(W%)]]&gt;=VLOOKUP(표1[[#This Row],[CAS No.]],[1]규제DB_고용노동부고시_CMR!$B:$J,4,FALSE),"제품 발암성물질",""), IF(VLOOKUP(표1[[#This Row],[CAS No.]],[1]규제DB_고용노동부고시_CMR!$B:$J,3,FALSE)="구분2", IF(표1[[#This Row],[함량(W%)]]&gt;=VLOOKUP(표1[[#This Row],[CAS No.]],[1]규제DB_고용노동부고시_CMR!$B:$J,4,FALSE),"제품 발암성물질",""),""))),"")</f>
        <v/>
      </c>
      <c r="BW49" s="13" t="str">
        <f>IFERROR(IF(VLOOKUP(표1[[#This Row],[CAS No.]],[1]규제DB_고용노동부고시_CMR!$B:$J,5,FALSE)="구분1A", IF(표1[[#This Row],[함량(W%)]]&gt;=VLOOKUP(표1[[#This Row],[CAS No.]],[1]규제DB_고용노동부고시_CMR!$B:$J,6,FALSE),"제품 생식세포변이원성물질",""), IF(VLOOKUP(표1[[#This Row],[CAS No.]],[1]규제DB_고용노동부고시_CMR!$B:$J,5,FALSE)="구분1B", IF(표1[[#This Row],[함량(W%)]]&gt;=VLOOKUP(표1[[#This Row],[CAS No.]],[1]규제DB_고용노동부고시_CMR!$B:$J,6,FALSE),"제품 생식세포변이원성물질",""), IF(VLOOKUP(표1[[#This Row],[CAS No.]],[1]규제DB_고용노동부고시_CMR!$B:$J,5,FALSE)="구분2", IF(표1[[#This Row],[함량(W%)]]&gt;=VLOOKUP(표1[[#This Row],[CAS No.]],[1]규제DB_고용노동부고시_CMR!$B:$J,6,FALSE),"제품 생식세포변이원성물질",""),""))),"")</f>
        <v/>
      </c>
      <c r="BX49" s="13" t="str">
        <f>IFERROR(IF(VLOOKUP(표1[[#This Row],[CAS No.]],[1]규제DB_고용노동부고시_CMR!$B:$J,7,FALSE)="구분1A", IF(표1[[#This Row],[함량(W%)]]&gt;=VLOOKUP(표1[[#This Row],[CAS No.]],[1]규제DB_고용노동부고시_CMR!$B:$J,8,FALSE),"제품 생식독성물질",""), IF(VLOOKUP(표1[[#This Row],[CAS No.]],[1]규제DB_고용노동부고시_CMR!$B:$J,7,FALSE)="구분1B", IF(표1[[#This Row],[함량(W%)]]&gt;=VLOOKUP(표1[[#This Row],[CAS No.]],[1]규제DB_고용노동부고시_CMR!$B:$J,8,FALSE),"제품 생식독성물질",""), IF(VLOOKUP(표1[[#This Row],[CAS No.]],[1]규제DB_고용노동부고시_CMR!$B:$J,7,FALSE)="구분2", IF(표1[[#This Row],[함량(W%)]]&gt;=VLOOKUP(표1[[#This Row],[CAS No.]],[1]규제DB_고용노동부고시_CMR!$B:$J,8,FALSE),"제품 생식독성물질",""),""))),"")</f>
        <v/>
      </c>
      <c r="BY49" s="13" t="str">
        <f>IFERROR(VLOOKUP(표1[[#This Row],[CAS No.]],[1]규제DB_위험물안전관리법_위험물!$B:$F,3,FALSE),"")</f>
        <v/>
      </c>
      <c r="BZ49" s="13" t="str">
        <f>IFERROR(IF(표1[[#This Row],[CAS No.]]=VLOOKUP(표1[[#This Row],[CAS No.]],[1]규제DB_고압법_독성가스!$B:$D,1,FALSE),"독성가스",""),"")</f>
        <v/>
      </c>
      <c r="CA49" s="13" t="str">
        <f>IFERROR(IF(표1[[#This Row],[CAS No.]]=VLOOKUP(표1[[#This Row],[CAS No.]],[1]규제DB_고압법_가연성가스!$B:$D,1,FALSE),"가연성가스",""),"")</f>
        <v/>
      </c>
      <c r="CB49" s="13" t="str">
        <f>IFERROR(IF(표1[[#This Row],[CAS No.]]=VLOOKUP(표1[[#This Row],[CAS No.]],[1]규제DB_고압법_특수고압가스!$B:$D,1,FALSE),"특수고압가스",""),"")</f>
        <v/>
      </c>
      <c r="CC49" s="13" t="str">
        <f>IFERROR(IF(표1[[#This Row],[CAS No.]]=VLOOKUP(표1[[#This Row],[CAS No.]],[1]규제DB_고압법_특정고압가스!$B:$D,1,FALSE),"특정고압가스",""),"")</f>
        <v/>
      </c>
      <c r="CD49" s="13" t="str">
        <f>IFERROR(IF(표1[[#This Row],[함량(W%)]]&gt;=VLOOKUP(표1[[#This Row],[CAS No.]],[1]규제DB_화관법_개별취급기준!$B:$G,5,FALSE),VLOOKUP(표1[[#This Row],[CAS No.]],[1]규제DB_화관법_개별취급기준!$B:$G,6,FALSE),""),"")</f>
        <v/>
      </c>
    </row>
    <row r="50" spans="1:82" ht="27.95" customHeight="1">
      <c r="A50" s="13">
        <v>49</v>
      </c>
      <c r="B50" s="2"/>
      <c r="C50" s="3" t="s">
        <v>103</v>
      </c>
      <c r="D50" s="14"/>
      <c r="E50" s="50" t="s">
        <v>118</v>
      </c>
      <c r="F50" s="3" t="s">
        <v>90</v>
      </c>
      <c r="G50" s="5" t="s">
        <v>78</v>
      </c>
      <c r="H50" s="3" t="s">
        <v>91</v>
      </c>
      <c r="I50" s="50" t="s">
        <v>102</v>
      </c>
      <c r="J50" s="3" t="s">
        <v>166</v>
      </c>
      <c r="K50" s="3" t="s">
        <v>166</v>
      </c>
      <c r="L50" s="3"/>
      <c r="M50" s="5" t="s">
        <v>80</v>
      </c>
      <c r="N50" s="5" t="s">
        <v>179</v>
      </c>
      <c r="O50" s="53" t="s">
        <v>92</v>
      </c>
      <c r="P50" s="55" t="s">
        <v>98</v>
      </c>
      <c r="Q50" s="54">
        <v>24</v>
      </c>
      <c r="R50" s="6">
        <v>24</v>
      </c>
      <c r="S50" s="17"/>
      <c r="T50" s="17"/>
      <c r="U50" s="6">
        <v>24</v>
      </c>
      <c r="V50" s="6">
        <v>24</v>
      </c>
      <c r="W50" s="8" t="str">
        <f>표1[[#This Row],[자재코드]]&amp;"_"&amp;표1[[#This Row],[자재명]]&amp;"_"&amp;표1[[#This Row],[공급업체명]]</f>
        <v>_BEST SG 중간색 D(MEDIUM,금적,군청,감남,목단)_한국특수잉크공업</v>
      </c>
      <c r="X50" s="51" t="s">
        <v>145</v>
      </c>
      <c r="Y50" s="13"/>
      <c r="Z50" s="13"/>
      <c r="AA50" s="13"/>
      <c r="AB50" s="50">
        <v>5</v>
      </c>
      <c r="AC50" s="9" t="s">
        <v>82</v>
      </c>
      <c r="AD50" s="9" t="s">
        <v>83</v>
      </c>
      <c r="AE50" s="10" t="s">
        <v>89</v>
      </c>
      <c r="AF50" s="10" t="s">
        <v>89</v>
      </c>
      <c r="AG50" s="11"/>
      <c r="AH50" s="52">
        <v>1234986</v>
      </c>
      <c r="AI50" s="12">
        <f>IFERROR(표1[[#This Row],[사용량(kg)]]*표1[[#This Row],[함량(W%)]]/100,"")</f>
        <v>1.2</v>
      </c>
      <c r="AJ50" s="13"/>
      <c r="AK50" s="13"/>
      <c r="AL50" s="14"/>
      <c r="AM50" s="15"/>
      <c r="AN50" s="13"/>
      <c r="AO50" s="13"/>
      <c r="AP50" s="13"/>
      <c r="AQ50" s="13"/>
      <c r="AR50" s="13" t="str">
        <f>IFERROR(IF(표1[[#This Row],[함량(W%)]]&gt;=VLOOKUP(표1[[#This Row],[CAS No.]],[1]규제DB_유해법_유독물!B:F,5,FALSE),"유독물질 제품",""),"")</f>
        <v/>
      </c>
      <c r="AS50" s="13" t="str">
        <f>IFERROR(VLOOKUP(표1[[#This Row],[CAS No.]],[1]규제DB_유해법_금지물질!B:G,3,FALSE),"")</f>
        <v/>
      </c>
      <c r="AT50" s="13" t="str">
        <f>IFERROR(VLOOKUP(표1[[#This Row],[CAS No.]],[1]규제DB_유해법_금지물질!B:G,4,FALSE)&amp;" 인지 확인하세요","")</f>
        <v/>
      </c>
      <c r="AU50" s="13" t="str">
        <f>IFERROR(VLOOKUP(표1[[#This Row],[CAS No.]],[1]규제DB_유해법_제한물질!B:G,3,FALSE),"")</f>
        <v/>
      </c>
      <c r="AV50" s="13" t="str">
        <f>IFERROR(IF(표1[[#This Row],[함량(W%)]]&gt;=VLOOKUP(표1[[#This Row],[CAS No.]],[1]규제DB_유해법_제한물질!$B:$G,5,FALSE),"제한 제품",""),"")</f>
        <v/>
      </c>
      <c r="AW50" s="13" t="str">
        <f>IFERROR(VLOOKUP(표1[[#This Row],[CAS No.]],[1]규제DB_유해법_사고대비물질!B:J,2,FALSE),"")</f>
        <v/>
      </c>
      <c r="AX50" s="13" t="str">
        <f>IFERROR(IF(표1[[#This Row],[함량(W%)]]&gt;=VLOOKUP(표1[[#This Row],[CAS No.]],[1]규제DB_유해법_사고대비물질!$B:$J,4,FALSE),"사고대비물질 제품",""),"")</f>
        <v/>
      </c>
      <c r="AY50" s="16" t="str">
        <f>IFERROR(VLOOKUP(표1[[#This Row],[CAS No.]],[1]규제DB_유해법_사고대비물질!$B:$J,5,FALSE),"")</f>
        <v/>
      </c>
      <c r="AZ50" s="16" t="str">
        <f>IFERROR(VLOOKUP(표1[[#This Row],[CAS No.]],[1]규제DB_유해법_사고대비물질!$B:$J,6,FALSE),"")</f>
        <v/>
      </c>
      <c r="BA50" s="17" t="str">
        <f>IFERROR(IF(표1[[#This Row],[함량(W%)]]&gt;=VLOOKUP(표1[[#This Row],[CAS No.]],[1]규제DB_유해법_사고대비물질!$B:$J,4,FALSE),VLOOKUP(표1[[#This Row],[CAS No.]],[1]규제DB_유해법_사고대비물질!$B$2:$J$70,7,FALSE),""),"")</f>
        <v/>
      </c>
      <c r="BB50" s="17" t="str">
        <f>IFERROR(IF(표1[[#This Row],[함량(W%)]]&gt;=VLOOKUP(표1[[#This Row],[CAS No.]],[1]규제DB_유해법_사고대비물질!$B:$J,4,FALSE),VLOOKUP(표1[[#This Row],[CAS No.]],[1]규제DB_유해법_사고대비물질!$B$2:$J$70,8,FALSE),""),"")</f>
        <v/>
      </c>
      <c r="BC50" s="17" t="str">
        <f>IFERROR(IF(표1[[#This Row],[함량(W%)]]&gt;=VLOOKUP(표1[[#This Row],[CAS No.]],[1]규제DB_유해법_사고대비물질!$B:$J,4,FALSE),VLOOKUP(표1[[#This Row],[CAS No.]],[1]규제DB_유해법_사고대비물질!$B$2:$J$70,9,FALSE),""),"")</f>
        <v/>
      </c>
      <c r="BD50" s="18" t="str">
        <f>IFERROR(IF(표1[[#This Row],[함량(W%)]]&gt;=VLOOKUP(표1[[#This Row],[CAS No.]],'[1]규제DB_유해법_배출량조사 I'!$B:$D,3,FALSE),IF(VLOOKUP(표1[[#This Row],[CAS No.]],[1]기초자료!$A:$C,3,FALSE)&gt;=1000,"배출량조사 I 물질",""),""),"")</f>
        <v/>
      </c>
      <c r="BE50" s="18"/>
      <c r="BF50" s="13" t="str">
        <f>IFERROR(IF(표1[[#This Row],[함량(W%)]]&gt;=VLOOKUP(표1[[#This Row],[CAS No.]],[1]규제DB_산안법_금지물질!$B:$E,4,FALSE), VLOOKUP(표1[[#This Row],[CAS No.]],[1]규제DB_산안법_금지물질!$B:$E,2,FALSE)&amp;" : "&amp;VLOOKUP(표1[[#This Row],[CAS No.]],[1]규제DB_산안법_금지물질!$B:$E,3,FALSE)&amp;" 인지 확인하세요",""),"")</f>
        <v/>
      </c>
      <c r="BG50" s="13" t="str">
        <f>IFERROR(IF(표1[[#This Row],[함량(W%)]]&gt;=VLOOKUP(표1[[#This Row],[CAS No.]],[1]규제DB_산안법_허가물질!$B:$E,4,FALSE), "제품 허가물질",""),"")</f>
        <v/>
      </c>
      <c r="BH50" s="13" t="str">
        <f>IFERROR(IF(표1[[#This Row],[함량(W%)]]&gt;=VLOOKUP(표1[[#This Row],[CAS No.]], [1]규제DB_산안법_특별관리물질!$B:$E,4,FALSE), "제품 특별관리물질",""),"")</f>
        <v/>
      </c>
      <c r="BI50" s="13" t="str">
        <f>IFERROR(IF(표1[[#This Row],[함량(W%)]]&gt;=VLOOKUP(표1[[#This Row],[CAS No.]], [1]규제DB_산안법_관리대상유해물질!$B:$E,4,FALSE), "제품 관리대상유해물질",""),"")</f>
        <v/>
      </c>
      <c r="BJ50" s="13" t="str">
        <f>IFERROR(IF(표1[[#This Row],[CAS No.]]=VLOOKUP(표1[[#This Row],[CAS No.]], [1]규제DB_산안법_허용기준이하물질!$B:$D,1,FALSE),"제품 허용기준이하물질",""),"")</f>
        <v/>
      </c>
      <c r="BK50" s="13" t="str">
        <f>IFERROR(VLOOKUP(표1[[#This Row],[CAS No.]], [1]규제DB_산안법_허용기준이하물질!$B:$D,3,FALSE),"")</f>
        <v/>
      </c>
      <c r="BL50" s="13"/>
      <c r="BM50" s="13" t="str">
        <f>IFERROR(VLOOKUP(표1[[#This Row],[CAS No.]], [1]규제DB_산안법_노출기준설정물질!$B:$K,3,FALSE),"")</f>
        <v/>
      </c>
      <c r="BN50" s="13" t="str">
        <f>IFERROR(VLOOKUP(표1[[#This Row],[CAS No.]], [1]규제DB_산안법_노출기준설정물질!$B:$K,4,FALSE),"")</f>
        <v/>
      </c>
      <c r="BO50" s="13" t="str">
        <f>IFERROR(VLOOKUP(표1[[#This Row],[CAS No.]], [1]규제DB_산안법_노출기준설정물질!$B:$K,5,FALSE),"")</f>
        <v/>
      </c>
      <c r="BP50" s="13" t="str">
        <f>IFERROR(VLOOKUP(표1[[#This Row],[CAS No.]], [1]규제DB_산안법_노출기준설정물질!$B:$K,7,FALSE),"")</f>
        <v/>
      </c>
      <c r="BQ50" s="13" t="str">
        <f>IFERROR(VLOOKUP(표1[[#This Row],[CAS No.]], [1]규제DB_산안법_노출기준설정물질!$B:$K,8,FALSE),"")</f>
        <v/>
      </c>
      <c r="BR50" s="13" t="str">
        <f>IFERROR(VLOOKUP(표1[[#This Row],[CAS No.]], [1]규제DB_산안법_노출기준설정물질!$B:$K,9,FALSE),"")</f>
        <v/>
      </c>
      <c r="BS50" s="13" t="str">
        <f>IFERROR(VLOOKUP(표1[[#This Row],[CAS No.]], [1]규제DB_산안법_노출기준설정물질!$B:$K,10,FALSE),"")</f>
        <v/>
      </c>
      <c r="BT50" s="13" t="str">
        <f>IFERROR(IF(표1[[#This Row],[함량(W%)]]&gt;=VLOOKUP(표1[[#This Row],[CAS No.]], [1]규제DB_산안법_작업환경측정대상유해인자!$B:$F,5,FALSE), "제품 작업환경측정대상유해인자",""),"")</f>
        <v/>
      </c>
      <c r="BU50" s="13" t="str">
        <f>IFERROR(IF(표1[[#This Row],[CAS No.]]=VLOOKUP(표1[[#This Row],[CAS No.]], [1]규제DB_산안법_특수건강진단대상유해인자!$B:$C,1,FALSE), "제품 특수건강진단대상유해인자",""),"")</f>
        <v/>
      </c>
      <c r="BV50" s="13" t="str">
        <f>IFERROR(IF(VLOOKUP(표1[[#This Row],[CAS No.]],[1]규제DB_고용노동부고시_CMR!$B:$J,3,FALSE)="구분1A", IF(표1[[#This Row],[함량(W%)]]&gt;=VLOOKUP(표1[[#This Row],[CAS No.]],[1]규제DB_고용노동부고시_CMR!$B:$J,4,FALSE),"제품 발암성물질",""), IF(VLOOKUP(표1[[#This Row],[CAS No.]],[1]규제DB_고용노동부고시_CMR!$B:$J,3,FALSE)="구분1B", IF(표1[[#This Row],[함량(W%)]]&gt;=VLOOKUP(표1[[#This Row],[CAS No.]],[1]규제DB_고용노동부고시_CMR!$B:$J,4,FALSE),"제품 발암성물질",""), IF(VLOOKUP(표1[[#This Row],[CAS No.]],[1]규제DB_고용노동부고시_CMR!$B:$J,3,FALSE)="구분2", IF(표1[[#This Row],[함량(W%)]]&gt;=VLOOKUP(표1[[#This Row],[CAS No.]],[1]규제DB_고용노동부고시_CMR!$B:$J,4,FALSE),"제품 발암성물질",""),""))),"")</f>
        <v/>
      </c>
      <c r="BW50" s="13" t="str">
        <f>IFERROR(IF(VLOOKUP(표1[[#This Row],[CAS No.]],[1]규제DB_고용노동부고시_CMR!$B:$J,5,FALSE)="구분1A", IF(표1[[#This Row],[함량(W%)]]&gt;=VLOOKUP(표1[[#This Row],[CAS No.]],[1]규제DB_고용노동부고시_CMR!$B:$J,6,FALSE),"제품 생식세포변이원성물질",""), IF(VLOOKUP(표1[[#This Row],[CAS No.]],[1]규제DB_고용노동부고시_CMR!$B:$J,5,FALSE)="구분1B", IF(표1[[#This Row],[함량(W%)]]&gt;=VLOOKUP(표1[[#This Row],[CAS No.]],[1]규제DB_고용노동부고시_CMR!$B:$J,6,FALSE),"제품 생식세포변이원성물질",""), IF(VLOOKUP(표1[[#This Row],[CAS No.]],[1]규제DB_고용노동부고시_CMR!$B:$J,5,FALSE)="구분2", IF(표1[[#This Row],[함량(W%)]]&gt;=VLOOKUP(표1[[#This Row],[CAS No.]],[1]규제DB_고용노동부고시_CMR!$B:$J,6,FALSE),"제품 생식세포변이원성물질",""),""))),"")</f>
        <v/>
      </c>
      <c r="BX50" s="13" t="str">
        <f>IFERROR(IF(VLOOKUP(표1[[#This Row],[CAS No.]],[1]규제DB_고용노동부고시_CMR!$B:$J,7,FALSE)="구분1A", IF(표1[[#This Row],[함량(W%)]]&gt;=VLOOKUP(표1[[#This Row],[CAS No.]],[1]규제DB_고용노동부고시_CMR!$B:$J,8,FALSE),"제품 생식독성물질",""), IF(VLOOKUP(표1[[#This Row],[CAS No.]],[1]규제DB_고용노동부고시_CMR!$B:$J,7,FALSE)="구분1B", IF(표1[[#This Row],[함량(W%)]]&gt;=VLOOKUP(표1[[#This Row],[CAS No.]],[1]규제DB_고용노동부고시_CMR!$B:$J,8,FALSE),"제품 생식독성물질",""), IF(VLOOKUP(표1[[#This Row],[CAS No.]],[1]규제DB_고용노동부고시_CMR!$B:$J,7,FALSE)="구분2", IF(표1[[#This Row],[함량(W%)]]&gt;=VLOOKUP(표1[[#This Row],[CAS No.]],[1]규제DB_고용노동부고시_CMR!$B:$J,8,FALSE),"제품 생식독성물질",""),""))),"")</f>
        <v/>
      </c>
      <c r="BY50" s="13" t="str">
        <f>IFERROR(VLOOKUP(표1[[#This Row],[CAS No.]],[1]규제DB_위험물안전관리법_위험물!$B:$F,3,FALSE),"")</f>
        <v/>
      </c>
      <c r="BZ50" s="13" t="str">
        <f>IFERROR(IF(표1[[#This Row],[CAS No.]]=VLOOKUP(표1[[#This Row],[CAS No.]],[1]규제DB_고압법_독성가스!$B:$D,1,FALSE),"독성가스",""),"")</f>
        <v/>
      </c>
      <c r="CA50" s="13" t="str">
        <f>IFERROR(IF(표1[[#This Row],[CAS No.]]=VLOOKUP(표1[[#This Row],[CAS No.]],[1]규제DB_고압법_가연성가스!$B:$D,1,FALSE),"가연성가스",""),"")</f>
        <v/>
      </c>
      <c r="CB50" s="13" t="str">
        <f>IFERROR(IF(표1[[#This Row],[CAS No.]]=VLOOKUP(표1[[#This Row],[CAS No.]],[1]규제DB_고압법_특수고압가스!$B:$D,1,FALSE),"특수고압가스",""),"")</f>
        <v/>
      </c>
      <c r="CC50" s="13" t="str">
        <f>IFERROR(IF(표1[[#This Row],[CAS No.]]=VLOOKUP(표1[[#This Row],[CAS No.]],[1]규제DB_고압법_특정고압가스!$B:$D,1,FALSE),"특정고압가스",""),"")</f>
        <v/>
      </c>
      <c r="CD50" s="13" t="str">
        <f>IFERROR(IF(표1[[#This Row],[함량(W%)]]&gt;=VLOOKUP(표1[[#This Row],[CAS No.]],[1]규제DB_화관법_개별취급기준!$B:$G,5,FALSE),VLOOKUP(표1[[#This Row],[CAS No.]],[1]규제DB_화관법_개별취급기준!$B:$G,6,FALSE),""),"")</f>
        <v/>
      </c>
    </row>
    <row r="51" spans="1:82" ht="27.95" customHeight="1">
      <c r="A51" s="13">
        <v>50</v>
      </c>
      <c r="B51" s="2"/>
      <c r="C51" s="3" t="s">
        <v>103</v>
      </c>
      <c r="D51" s="14"/>
      <c r="E51" s="50" t="s">
        <v>118</v>
      </c>
      <c r="F51" s="3" t="s">
        <v>90</v>
      </c>
      <c r="G51" s="5" t="s">
        <v>78</v>
      </c>
      <c r="H51" s="3" t="s">
        <v>91</v>
      </c>
      <c r="I51" s="50" t="s">
        <v>102</v>
      </c>
      <c r="J51" s="3" t="s">
        <v>166</v>
      </c>
      <c r="K51" s="3" t="s">
        <v>166</v>
      </c>
      <c r="L51" s="3"/>
      <c r="M51" s="5" t="s">
        <v>80</v>
      </c>
      <c r="N51" s="5" t="s">
        <v>179</v>
      </c>
      <c r="O51" s="53" t="s">
        <v>92</v>
      </c>
      <c r="P51" s="55" t="s">
        <v>98</v>
      </c>
      <c r="Q51" s="54">
        <v>24</v>
      </c>
      <c r="R51" s="6">
        <v>24</v>
      </c>
      <c r="S51" s="17"/>
      <c r="T51" s="17"/>
      <c r="U51" s="6">
        <v>24</v>
      </c>
      <c r="V51" s="6">
        <v>24</v>
      </c>
      <c r="W51" s="8" t="str">
        <f>표1[[#This Row],[자재코드]]&amp;"_"&amp;표1[[#This Row],[자재명]]&amp;"_"&amp;표1[[#This Row],[공급업체명]]</f>
        <v>_BEST SG 중간색 D(MEDIUM,금적,군청,감남,목단)_한국특수잉크공업</v>
      </c>
      <c r="X51" s="51" t="s">
        <v>158</v>
      </c>
      <c r="Y51" s="2"/>
      <c r="Z51" s="2"/>
      <c r="AA51" s="2"/>
      <c r="AB51" s="50">
        <v>5</v>
      </c>
      <c r="AC51" s="20" t="s">
        <v>82</v>
      </c>
      <c r="AD51" s="9" t="s">
        <v>83</v>
      </c>
      <c r="AE51" s="10" t="s">
        <v>89</v>
      </c>
      <c r="AF51" s="10" t="s">
        <v>89</v>
      </c>
      <c r="AG51" s="11"/>
      <c r="AH51" s="50" t="s">
        <v>204</v>
      </c>
      <c r="AI51" s="12">
        <f>IFERROR(표1[[#This Row],[사용량(kg)]]*표1[[#This Row],[함량(W%)]]/100,"")</f>
        <v>1.2</v>
      </c>
      <c r="AJ51" s="13"/>
      <c r="AK51" s="13"/>
      <c r="AL51" s="14"/>
      <c r="AM51" s="15"/>
      <c r="AN51" s="13"/>
      <c r="AO51" s="13"/>
      <c r="AP51" s="13"/>
      <c r="AQ51" s="13"/>
      <c r="AR51" s="13" t="str">
        <f>IFERROR(IF(표1[[#This Row],[함량(W%)]]&gt;=VLOOKUP(표1[[#This Row],[CAS No.]],[1]규제DB_유해법_유독물!B:F,5,FALSE),"유독물질 제품",""),"")</f>
        <v/>
      </c>
      <c r="AS51" s="13" t="str">
        <f>IFERROR(VLOOKUP(표1[[#This Row],[CAS No.]],[1]규제DB_유해법_금지물질!B:G,3,FALSE),"")</f>
        <v/>
      </c>
      <c r="AT51" s="13" t="str">
        <f>IFERROR(VLOOKUP(표1[[#This Row],[CAS No.]],[1]규제DB_유해법_금지물질!B:G,4,FALSE)&amp;" 인지 확인하세요","")</f>
        <v/>
      </c>
      <c r="AU51" s="13" t="str">
        <f>IFERROR(VLOOKUP(표1[[#This Row],[CAS No.]],[1]규제DB_유해법_제한물질!B:G,3,FALSE),"")</f>
        <v/>
      </c>
      <c r="AV51" s="13" t="str">
        <f>IFERROR(IF(표1[[#This Row],[함량(W%)]]&gt;=VLOOKUP(표1[[#This Row],[CAS No.]],[1]규제DB_유해법_제한물질!$B:$G,5,FALSE),"제한 제품",""),"")</f>
        <v/>
      </c>
      <c r="AW51" s="13" t="str">
        <f>IFERROR(VLOOKUP(표1[[#This Row],[CAS No.]],[1]규제DB_유해법_사고대비물질!B:J,2,FALSE),"")</f>
        <v/>
      </c>
      <c r="AX51" s="13" t="str">
        <f>IFERROR(IF(표1[[#This Row],[함량(W%)]]&gt;=VLOOKUP(표1[[#This Row],[CAS No.]],[1]규제DB_유해법_사고대비물질!$B:$J,4,FALSE),"사고대비물질 제품",""),"")</f>
        <v/>
      </c>
      <c r="AY51" s="16" t="str">
        <f>IFERROR(VLOOKUP(표1[[#This Row],[CAS No.]],[1]규제DB_유해법_사고대비물질!$B:$J,5,FALSE),"")</f>
        <v/>
      </c>
      <c r="AZ51" s="16" t="str">
        <f>IFERROR(VLOOKUP(표1[[#This Row],[CAS No.]],[1]규제DB_유해법_사고대비물질!$B:$J,6,FALSE),"")</f>
        <v/>
      </c>
      <c r="BA51" s="17" t="str">
        <f>IFERROR(IF(표1[[#This Row],[함량(W%)]]&gt;=VLOOKUP(표1[[#This Row],[CAS No.]],[1]규제DB_유해법_사고대비물질!$B:$J,4,FALSE),VLOOKUP(표1[[#This Row],[CAS No.]],[1]규제DB_유해법_사고대비물질!$B$2:$J$70,7,FALSE),""),"")</f>
        <v/>
      </c>
      <c r="BB51" s="17" t="str">
        <f>IFERROR(IF(표1[[#This Row],[함량(W%)]]&gt;=VLOOKUP(표1[[#This Row],[CAS No.]],[1]규제DB_유해법_사고대비물질!$B:$J,4,FALSE),VLOOKUP(표1[[#This Row],[CAS No.]],[1]규제DB_유해법_사고대비물질!$B$2:$J$70,8,FALSE),""),"")</f>
        <v/>
      </c>
      <c r="BC51" s="17" t="str">
        <f>IFERROR(IF(표1[[#This Row],[함량(W%)]]&gt;=VLOOKUP(표1[[#This Row],[CAS No.]],[1]규제DB_유해법_사고대비물질!$B:$J,4,FALSE),VLOOKUP(표1[[#This Row],[CAS No.]],[1]규제DB_유해법_사고대비물질!$B$2:$J$70,9,FALSE),""),"")</f>
        <v/>
      </c>
      <c r="BD51" s="18" t="str">
        <f>IFERROR(IF(표1[[#This Row],[함량(W%)]]&gt;=VLOOKUP(표1[[#This Row],[CAS No.]],'[1]규제DB_유해법_배출량조사 I'!$B:$D,3,FALSE),IF(VLOOKUP(표1[[#This Row],[CAS No.]],[1]기초자료!$A:$C,3,FALSE)&gt;=1000,"배출량조사 I 물질",""),""),"")</f>
        <v/>
      </c>
      <c r="BE51" s="18"/>
      <c r="BF51" s="13" t="str">
        <f>IFERROR(IF(표1[[#This Row],[함량(W%)]]&gt;=VLOOKUP(표1[[#This Row],[CAS No.]],[1]규제DB_산안법_금지물질!$B:$E,4,FALSE), VLOOKUP(표1[[#This Row],[CAS No.]],[1]규제DB_산안법_금지물질!$B:$E,2,FALSE)&amp;" : "&amp;VLOOKUP(표1[[#This Row],[CAS No.]],[1]규제DB_산안법_금지물질!$B:$E,3,FALSE)&amp;" 인지 확인하세요",""),"")</f>
        <v/>
      </c>
      <c r="BG51" s="13" t="str">
        <f>IFERROR(IF(표1[[#This Row],[함량(W%)]]&gt;=VLOOKUP(표1[[#This Row],[CAS No.]],[1]규제DB_산안법_허가물질!$B:$E,4,FALSE), "제품 허가물질",""),"")</f>
        <v/>
      </c>
      <c r="BH51" s="13" t="str">
        <f>IFERROR(IF(표1[[#This Row],[함량(W%)]]&gt;=VLOOKUP(표1[[#This Row],[CAS No.]], [1]규제DB_산안법_특별관리물질!$B:$E,4,FALSE), "제품 특별관리물질",""),"")</f>
        <v/>
      </c>
      <c r="BI51" s="13" t="str">
        <f>IFERROR(IF(표1[[#This Row],[함량(W%)]]&gt;=VLOOKUP(표1[[#This Row],[CAS No.]], [1]규제DB_산안법_관리대상유해물질!$B:$E,4,FALSE), "제품 관리대상유해물질",""),"")</f>
        <v/>
      </c>
      <c r="BJ51" s="13" t="str">
        <f>IFERROR(IF(표1[[#This Row],[CAS No.]]=VLOOKUP(표1[[#This Row],[CAS No.]], [1]규제DB_산안법_허용기준이하물질!$B:$D,1,FALSE),"제품 허용기준이하물질",""),"")</f>
        <v/>
      </c>
      <c r="BK51" s="13" t="str">
        <f>IFERROR(VLOOKUP(표1[[#This Row],[CAS No.]], [1]규제DB_산안법_허용기준이하물질!$B:$D,3,FALSE),"")</f>
        <v/>
      </c>
      <c r="BL51" s="13"/>
      <c r="BM51" s="13" t="str">
        <f>IFERROR(VLOOKUP(표1[[#This Row],[CAS No.]], [1]규제DB_산안법_노출기준설정물질!$B:$K,3,FALSE),"")</f>
        <v/>
      </c>
      <c r="BN51" s="13" t="str">
        <f>IFERROR(VLOOKUP(표1[[#This Row],[CAS No.]], [1]규제DB_산안법_노출기준설정물질!$B:$K,4,FALSE),"")</f>
        <v/>
      </c>
      <c r="BO51" s="13" t="str">
        <f>IFERROR(VLOOKUP(표1[[#This Row],[CAS No.]], [1]규제DB_산안법_노출기준설정물질!$B:$K,5,FALSE),"")</f>
        <v/>
      </c>
      <c r="BP51" s="13" t="str">
        <f>IFERROR(VLOOKUP(표1[[#This Row],[CAS No.]], [1]규제DB_산안법_노출기준설정물질!$B:$K,7,FALSE),"")</f>
        <v/>
      </c>
      <c r="BQ51" s="13" t="str">
        <f>IFERROR(VLOOKUP(표1[[#This Row],[CAS No.]], [1]규제DB_산안법_노출기준설정물질!$B:$K,8,FALSE),"")</f>
        <v/>
      </c>
      <c r="BR51" s="13" t="str">
        <f>IFERROR(VLOOKUP(표1[[#This Row],[CAS No.]], [1]규제DB_산안법_노출기준설정물질!$B:$K,9,FALSE),"")</f>
        <v/>
      </c>
      <c r="BS51" s="13" t="str">
        <f>IFERROR(VLOOKUP(표1[[#This Row],[CAS No.]], [1]규제DB_산안법_노출기준설정물질!$B:$K,10,FALSE),"")</f>
        <v/>
      </c>
      <c r="BT51" s="13" t="str">
        <f>IFERROR(IF(표1[[#This Row],[함량(W%)]]&gt;=VLOOKUP(표1[[#This Row],[CAS No.]], [1]규제DB_산안법_작업환경측정대상유해인자!$B:$F,5,FALSE), "제품 작업환경측정대상유해인자",""),"")</f>
        <v/>
      </c>
      <c r="BU51" s="13" t="str">
        <f>IFERROR(IF(표1[[#This Row],[CAS No.]]=VLOOKUP(표1[[#This Row],[CAS No.]], [1]규제DB_산안법_특수건강진단대상유해인자!$B:$C,1,FALSE), "제품 특수건강진단대상유해인자",""),"")</f>
        <v/>
      </c>
      <c r="BV51" s="13" t="str">
        <f>IFERROR(IF(VLOOKUP(표1[[#This Row],[CAS No.]],[1]규제DB_고용노동부고시_CMR!$B:$J,3,FALSE)="구분1A", IF(표1[[#This Row],[함량(W%)]]&gt;=VLOOKUP(표1[[#This Row],[CAS No.]],[1]규제DB_고용노동부고시_CMR!$B:$J,4,FALSE),"제품 발암성물질",""), IF(VLOOKUP(표1[[#This Row],[CAS No.]],[1]규제DB_고용노동부고시_CMR!$B:$J,3,FALSE)="구분1B", IF(표1[[#This Row],[함량(W%)]]&gt;=VLOOKUP(표1[[#This Row],[CAS No.]],[1]규제DB_고용노동부고시_CMR!$B:$J,4,FALSE),"제품 발암성물질",""), IF(VLOOKUP(표1[[#This Row],[CAS No.]],[1]규제DB_고용노동부고시_CMR!$B:$J,3,FALSE)="구분2", IF(표1[[#This Row],[함량(W%)]]&gt;=VLOOKUP(표1[[#This Row],[CAS No.]],[1]규제DB_고용노동부고시_CMR!$B:$J,4,FALSE),"제품 발암성물질",""),""))),"")</f>
        <v/>
      </c>
      <c r="BW51" s="13" t="str">
        <f>IFERROR(IF(VLOOKUP(표1[[#This Row],[CAS No.]],[1]규제DB_고용노동부고시_CMR!$B:$J,5,FALSE)="구분1A", IF(표1[[#This Row],[함량(W%)]]&gt;=VLOOKUP(표1[[#This Row],[CAS No.]],[1]규제DB_고용노동부고시_CMR!$B:$J,6,FALSE),"제품 생식세포변이원성물질",""), IF(VLOOKUP(표1[[#This Row],[CAS No.]],[1]규제DB_고용노동부고시_CMR!$B:$J,5,FALSE)="구분1B", IF(표1[[#This Row],[함량(W%)]]&gt;=VLOOKUP(표1[[#This Row],[CAS No.]],[1]규제DB_고용노동부고시_CMR!$B:$J,6,FALSE),"제품 생식세포변이원성물질",""), IF(VLOOKUP(표1[[#This Row],[CAS No.]],[1]규제DB_고용노동부고시_CMR!$B:$J,5,FALSE)="구분2", IF(표1[[#This Row],[함량(W%)]]&gt;=VLOOKUP(표1[[#This Row],[CAS No.]],[1]규제DB_고용노동부고시_CMR!$B:$J,6,FALSE),"제품 생식세포변이원성물질",""),""))),"")</f>
        <v/>
      </c>
      <c r="BX51" s="13" t="str">
        <f>IFERROR(IF(VLOOKUP(표1[[#This Row],[CAS No.]],[1]규제DB_고용노동부고시_CMR!$B:$J,7,FALSE)="구분1A", IF(표1[[#This Row],[함량(W%)]]&gt;=VLOOKUP(표1[[#This Row],[CAS No.]],[1]규제DB_고용노동부고시_CMR!$B:$J,8,FALSE),"제품 생식독성물질",""), IF(VLOOKUP(표1[[#This Row],[CAS No.]],[1]규제DB_고용노동부고시_CMR!$B:$J,7,FALSE)="구분1B", IF(표1[[#This Row],[함량(W%)]]&gt;=VLOOKUP(표1[[#This Row],[CAS No.]],[1]규제DB_고용노동부고시_CMR!$B:$J,8,FALSE),"제품 생식독성물질",""), IF(VLOOKUP(표1[[#This Row],[CAS No.]],[1]규제DB_고용노동부고시_CMR!$B:$J,7,FALSE)="구분2", IF(표1[[#This Row],[함량(W%)]]&gt;=VLOOKUP(표1[[#This Row],[CAS No.]],[1]규제DB_고용노동부고시_CMR!$B:$J,8,FALSE),"제품 생식독성물질",""),""))),"")</f>
        <v/>
      </c>
      <c r="BY51" s="13" t="str">
        <f>IFERROR(VLOOKUP(표1[[#This Row],[CAS No.]],[1]규제DB_위험물안전관리법_위험물!$B:$F,3,FALSE),"")</f>
        <v/>
      </c>
      <c r="BZ51" s="13" t="str">
        <f>IFERROR(IF(표1[[#This Row],[CAS No.]]=VLOOKUP(표1[[#This Row],[CAS No.]],[1]규제DB_고압법_독성가스!$B:$D,1,FALSE),"독성가스",""),"")</f>
        <v/>
      </c>
      <c r="CA51" s="13" t="str">
        <f>IFERROR(IF(표1[[#This Row],[CAS No.]]=VLOOKUP(표1[[#This Row],[CAS No.]],[1]규제DB_고압법_가연성가스!$B:$D,1,FALSE),"가연성가스",""),"")</f>
        <v/>
      </c>
      <c r="CB51" s="13" t="str">
        <f>IFERROR(IF(표1[[#This Row],[CAS No.]]=VLOOKUP(표1[[#This Row],[CAS No.]],[1]규제DB_고압법_특수고압가스!$B:$D,1,FALSE),"특수고압가스",""),"")</f>
        <v/>
      </c>
      <c r="CC51" s="13" t="str">
        <f>IFERROR(IF(표1[[#This Row],[CAS No.]]=VLOOKUP(표1[[#This Row],[CAS No.]],[1]규제DB_고압법_특정고압가스!$B:$D,1,FALSE),"특정고압가스",""),"")</f>
        <v/>
      </c>
      <c r="CD51" s="13" t="str">
        <f>IFERROR(IF(표1[[#This Row],[함량(W%)]]&gt;=VLOOKUP(표1[[#This Row],[CAS No.]],[1]규제DB_화관법_개별취급기준!$B:$G,5,FALSE),VLOOKUP(표1[[#This Row],[CAS No.]],[1]규제DB_화관법_개별취급기준!$B:$G,6,FALSE),""),"")</f>
        <v/>
      </c>
    </row>
    <row r="52" spans="1:82" ht="27.95" customHeight="1">
      <c r="A52" s="13">
        <v>51</v>
      </c>
      <c r="B52" s="2"/>
      <c r="C52" s="3" t="s">
        <v>103</v>
      </c>
      <c r="D52" s="14"/>
      <c r="E52" s="50" t="s">
        <v>118</v>
      </c>
      <c r="F52" s="3" t="s">
        <v>90</v>
      </c>
      <c r="G52" s="5" t="s">
        <v>78</v>
      </c>
      <c r="H52" s="3" t="s">
        <v>91</v>
      </c>
      <c r="I52" s="50" t="s">
        <v>102</v>
      </c>
      <c r="J52" s="3" t="s">
        <v>166</v>
      </c>
      <c r="K52" s="3" t="s">
        <v>166</v>
      </c>
      <c r="L52" s="3"/>
      <c r="M52" s="5" t="s">
        <v>80</v>
      </c>
      <c r="N52" s="5" t="s">
        <v>179</v>
      </c>
      <c r="O52" s="53" t="s">
        <v>92</v>
      </c>
      <c r="P52" s="55" t="s">
        <v>98</v>
      </c>
      <c r="Q52" s="54">
        <v>24</v>
      </c>
      <c r="R52" s="6">
        <v>24</v>
      </c>
      <c r="S52" s="17"/>
      <c r="T52" s="17"/>
      <c r="U52" s="6">
        <v>24</v>
      </c>
      <c r="V52" s="6">
        <v>24</v>
      </c>
      <c r="W52" s="8" t="str">
        <f>표1[[#This Row],[자재코드]]&amp;"_"&amp;표1[[#This Row],[자재명]]&amp;"_"&amp;표1[[#This Row],[공급업체명]]</f>
        <v>_BEST SG 중간색 D(MEDIUM,금적,군청,감남,목단)_한국특수잉크공업</v>
      </c>
      <c r="X52" s="51" t="s">
        <v>159</v>
      </c>
      <c r="Y52" s="13"/>
      <c r="Z52" s="13"/>
      <c r="AA52" s="13"/>
      <c r="AB52" s="50">
        <v>25</v>
      </c>
      <c r="AC52" s="9" t="s">
        <v>82</v>
      </c>
      <c r="AD52" s="9" t="s">
        <v>83</v>
      </c>
      <c r="AE52" s="10" t="s">
        <v>89</v>
      </c>
      <c r="AF52" s="10" t="s">
        <v>89</v>
      </c>
      <c r="AG52" s="11"/>
      <c r="AH52" s="52">
        <v>1190723</v>
      </c>
      <c r="AI52" s="12">
        <f>IFERROR(표1[[#This Row],[사용량(kg)]]*표1[[#This Row],[함량(W%)]]/100,"")</f>
        <v>6</v>
      </c>
      <c r="AJ52" s="13"/>
      <c r="AK52" s="13"/>
      <c r="AL52" s="14"/>
      <c r="AM52" s="15"/>
      <c r="AN52" s="13"/>
      <c r="AO52" s="13"/>
      <c r="AP52" s="13"/>
      <c r="AQ52" s="13"/>
      <c r="AR52" s="13" t="str">
        <f>IFERROR(IF(표1[[#This Row],[함량(W%)]]&gt;=VLOOKUP(표1[[#This Row],[CAS No.]],[1]규제DB_유해법_유독물!B:F,5,FALSE),"유독물질 제품",""),"")</f>
        <v/>
      </c>
      <c r="AS52" s="13" t="str">
        <f>IFERROR(VLOOKUP(표1[[#This Row],[CAS No.]],[1]규제DB_유해법_금지물질!B:G,3,FALSE),"")</f>
        <v/>
      </c>
      <c r="AT52" s="13" t="str">
        <f>IFERROR(VLOOKUP(표1[[#This Row],[CAS No.]],[1]규제DB_유해법_금지물질!B:G,4,FALSE)&amp;" 인지 확인하세요","")</f>
        <v/>
      </c>
      <c r="AU52" s="13" t="str">
        <f>IFERROR(VLOOKUP(표1[[#This Row],[CAS No.]],[1]규제DB_유해법_제한물질!B:G,3,FALSE),"")</f>
        <v/>
      </c>
      <c r="AV52" s="13" t="str">
        <f>IFERROR(IF(표1[[#This Row],[함량(W%)]]&gt;=VLOOKUP(표1[[#This Row],[CAS No.]],[1]규제DB_유해법_제한물질!$B:$G,5,FALSE),"제한 제품",""),"")</f>
        <v/>
      </c>
      <c r="AW52" s="13" t="str">
        <f>IFERROR(VLOOKUP(표1[[#This Row],[CAS No.]],[1]규제DB_유해법_사고대비물질!B:J,2,FALSE),"")</f>
        <v/>
      </c>
      <c r="AX52" s="13" t="str">
        <f>IFERROR(IF(표1[[#This Row],[함량(W%)]]&gt;=VLOOKUP(표1[[#This Row],[CAS No.]],[1]규제DB_유해법_사고대비물질!$B:$J,4,FALSE),"사고대비물질 제품",""),"")</f>
        <v/>
      </c>
      <c r="AY52" s="16" t="str">
        <f>IFERROR(VLOOKUP(표1[[#This Row],[CAS No.]],[1]규제DB_유해법_사고대비물질!$B:$J,5,FALSE),"")</f>
        <v/>
      </c>
      <c r="AZ52" s="16" t="str">
        <f>IFERROR(VLOOKUP(표1[[#This Row],[CAS No.]],[1]규제DB_유해법_사고대비물질!$B:$J,6,FALSE),"")</f>
        <v/>
      </c>
      <c r="BA52" s="17" t="str">
        <f>IFERROR(IF(표1[[#This Row],[함량(W%)]]&gt;=VLOOKUP(표1[[#This Row],[CAS No.]],[1]규제DB_유해법_사고대비물질!$B:$J,4,FALSE),VLOOKUP(표1[[#This Row],[CAS No.]],[1]규제DB_유해법_사고대비물질!$B$2:$J$70,7,FALSE),""),"")</f>
        <v/>
      </c>
      <c r="BB52" s="17" t="str">
        <f>IFERROR(IF(표1[[#This Row],[함량(W%)]]&gt;=VLOOKUP(표1[[#This Row],[CAS No.]],[1]규제DB_유해법_사고대비물질!$B:$J,4,FALSE),VLOOKUP(표1[[#This Row],[CAS No.]],[1]규제DB_유해법_사고대비물질!$B$2:$J$70,8,FALSE),""),"")</f>
        <v/>
      </c>
      <c r="BC52" s="17" t="str">
        <f>IFERROR(IF(표1[[#This Row],[함량(W%)]]&gt;=VLOOKUP(표1[[#This Row],[CAS No.]],[1]규제DB_유해법_사고대비물질!$B:$J,4,FALSE),VLOOKUP(표1[[#This Row],[CAS No.]],[1]규제DB_유해법_사고대비물질!$B$2:$J$70,9,FALSE),""),"")</f>
        <v/>
      </c>
      <c r="BD52" s="18" t="str">
        <f>IFERROR(IF(표1[[#This Row],[함량(W%)]]&gt;=VLOOKUP(표1[[#This Row],[CAS No.]],'[1]규제DB_유해법_배출량조사 I'!$B:$D,3,FALSE),IF(VLOOKUP(표1[[#This Row],[CAS No.]],[1]기초자료!$A:$C,3,FALSE)&gt;=1000,"배출량조사 I 물질",""),""),"")</f>
        <v/>
      </c>
      <c r="BE52" s="18" t="str">
        <f>IFERROR(IF(표1[[#This Row],[함량(W%)]]&gt;=VLOOKUP(표1[[#This Row],[CAS No.]],'[1]규제DB_유해법_배출량조사 II'!B:D,3,FALSE),IF(VLOOKUP(표1[[#This Row],[CAS No.]],[1]기초자료!$A:$C,3,FALSE)&gt;=10000,"배출량조사 II 물질",""),""),"")</f>
        <v/>
      </c>
      <c r="BF52" s="13" t="str">
        <f>IFERROR(IF(표1[[#This Row],[함량(W%)]]&gt;=VLOOKUP(표1[[#This Row],[CAS No.]],[1]규제DB_산안법_금지물질!$B:$E,4,FALSE), VLOOKUP(표1[[#This Row],[CAS No.]],[1]규제DB_산안법_금지물질!$B:$E,2,FALSE)&amp;" : "&amp;VLOOKUP(표1[[#This Row],[CAS No.]],[1]규제DB_산안법_금지물질!$B:$E,3,FALSE)&amp;" 인지 확인하세요",""),"")</f>
        <v/>
      </c>
      <c r="BG52" s="13" t="str">
        <f>IFERROR(IF(표1[[#This Row],[함량(W%)]]&gt;=VLOOKUP(표1[[#This Row],[CAS No.]],[1]규제DB_산안법_허가물질!$B:$E,4,FALSE), "제품 허가물질",""),"")</f>
        <v/>
      </c>
      <c r="BH52" s="13" t="str">
        <f>IFERROR(IF(표1[[#This Row],[함량(W%)]]&gt;=VLOOKUP(표1[[#This Row],[CAS No.]], [1]규제DB_산안법_특별관리물질!$B:$E,4,FALSE), "제품 특별관리물질",""),"")</f>
        <v/>
      </c>
      <c r="BI52" s="13" t="str">
        <f>IFERROR(IF(표1[[#This Row],[함량(W%)]]&gt;=VLOOKUP(표1[[#This Row],[CAS No.]], [1]규제DB_산안법_관리대상유해물질!$B:$E,4,FALSE), "제품 관리대상유해물질",""),"")</f>
        <v/>
      </c>
      <c r="BJ52" s="13" t="str">
        <f>IFERROR(IF(표1[[#This Row],[CAS No.]]=VLOOKUP(표1[[#This Row],[CAS No.]], [1]규제DB_산안법_허용기준이하물질!$B:$D,1,FALSE),"제품 허용기준이하물질",""),"")</f>
        <v/>
      </c>
      <c r="BK52" s="13" t="str">
        <f>IFERROR(VLOOKUP(표1[[#This Row],[CAS No.]], [1]규제DB_산안법_허용기준이하물질!$B:$D,3,FALSE),"")</f>
        <v/>
      </c>
      <c r="BL52" s="13"/>
      <c r="BM52" s="13" t="str">
        <f>IFERROR(VLOOKUP(표1[[#This Row],[CAS No.]], [1]규제DB_산안법_노출기준설정물질!$B:$K,3,FALSE),"")</f>
        <v/>
      </c>
      <c r="BN52" s="13" t="str">
        <f>IFERROR(VLOOKUP(표1[[#This Row],[CAS No.]], [1]규제DB_산안법_노출기준설정물질!$B:$K,4,FALSE),"")</f>
        <v/>
      </c>
      <c r="BO52" s="13" t="str">
        <f>IFERROR(VLOOKUP(표1[[#This Row],[CAS No.]], [1]규제DB_산안법_노출기준설정물질!$B:$K,5,FALSE),"")</f>
        <v/>
      </c>
      <c r="BP52" s="13" t="str">
        <f>IFERROR(VLOOKUP(표1[[#This Row],[CAS No.]], [1]규제DB_산안법_노출기준설정물질!$B:$K,7,FALSE),"")</f>
        <v/>
      </c>
      <c r="BQ52" s="13" t="str">
        <f>IFERROR(VLOOKUP(표1[[#This Row],[CAS No.]], [1]규제DB_산안법_노출기준설정물질!$B:$K,8,FALSE),"")</f>
        <v/>
      </c>
      <c r="BR52" s="13" t="str">
        <f>IFERROR(VLOOKUP(표1[[#This Row],[CAS No.]], [1]규제DB_산안법_노출기준설정물질!$B:$K,9,FALSE),"")</f>
        <v/>
      </c>
      <c r="BS52" s="13" t="str">
        <f>IFERROR(VLOOKUP(표1[[#This Row],[CAS No.]], [1]규제DB_산안법_노출기준설정물질!$B:$K,10,FALSE),"")</f>
        <v/>
      </c>
      <c r="BT52" s="13" t="str">
        <f>IFERROR(IF(표1[[#This Row],[함량(W%)]]&gt;=VLOOKUP(표1[[#This Row],[CAS No.]], [1]규제DB_산안법_작업환경측정대상유해인자!$B:$F,5,FALSE), "제품 작업환경측정대상유해인자",""),"")</f>
        <v/>
      </c>
      <c r="BU52" s="13" t="str">
        <f>IFERROR(IF(표1[[#This Row],[CAS No.]]=VLOOKUP(표1[[#This Row],[CAS No.]], [1]규제DB_산안법_특수건강진단대상유해인자!$B:$C,1,FALSE), "제품 특수건강진단대상유해인자",""),"")</f>
        <v/>
      </c>
      <c r="BV52" s="13" t="str">
        <f>IFERROR(IF(VLOOKUP(표1[[#This Row],[CAS No.]],[1]규제DB_고용노동부고시_CMR!$B:$J,3,FALSE)="구분1A", IF(표1[[#This Row],[함량(W%)]]&gt;=VLOOKUP(표1[[#This Row],[CAS No.]],[1]규제DB_고용노동부고시_CMR!$B:$J,4,FALSE),"제품 발암성물질",""), IF(VLOOKUP(표1[[#This Row],[CAS No.]],[1]규제DB_고용노동부고시_CMR!$B:$J,3,FALSE)="구분1B", IF(표1[[#This Row],[함량(W%)]]&gt;=VLOOKUP(표1[[#This Row],[CAS No.]],[1]규제DB_고용노동부고시_CMR!$B:$J,4,FALSE),"제품 발암성물질",""), IF(VLOOKUP(표1[[#This Row],[CAS No.]],[1]규제DB_고용노동부고시_CMR!$B:$J,3,FALSE)="구분2", IF(표1[[#This Row],[함량(W%)]]&gt;=VLOOKUP(표1[[#This Row],[CAS No.]],[1]규제DB_고용노동부고시_CMR!$B:$J,4,FALSE),"제품 발암성물질",""),""))),"")</f>
        <v/>
      </c>
      <c r="BW52" s="13" t="str">
        <f>IFERROR(IF(VLOOKUP(표1[[#This Row],[CAS No.]],[1]규제DB_고용노동부고시_CMR!$B:$J,5,FALSE)="구분1A", IF(표1[[#This Row],[함량(W%)]]&gt;=VLOOKUP(표1[[#This Row],[CAS No.]],[1]규제DB_고용노동부고시_CMR!$B:$J,6,FALSE),"제품 생식세포변이원성물질",""), IF(VLOOKUP(표1[[#This Row],[CAS No.]],[1]규제DB_고용노동부고시_CMR!$B:$J,5,FALSE)="구분1B", IF(표1[[#This Row],[함량(W%)]]&gt;=VLOOKUP(표1[[#This Row],[CAS No.]],[1]규제DB_고용노동부고시_CMR!$B:$J,6,FALSE),"제품 생식세포변이원성물질",""), IF(VLOOKUP(표1[[#This Row],[CAS No.]],[1]규제DB_고용노동부고시_CMR!$B:$J,5,FALSE)="구분2", IF(표1[[#This Row],[함량(W%)]]&gt;=VLOOKUP(표1[[#This Row],[CAS No.]],[1]규제DB_고용노동부고시_CMR!$B:$J,6,FALSE),"제품 생식세포변이원성물질",""),""))),"")</f>
        <v/>
      </c>
      <c r="BX52" s="13" t="str">
        <f>IFERROR(IF(VLOOKUP(표1[[#This Row],[CAS No.]],[1]규제DB_고용노동부고시_CMR!$B:$J,7,FALSE)="구분1A", IF(표1[[#This Row],[함량(W%)]]&gt;=VLOOKUP(표1[[#This Row],[CAS No.]],[1]규제DB_고용노동부고시_CMR!$B:$J,8,FALSE),"제품 생식독성물질",""), IF(VLOOKUP(표1[[#This Row],[CAS No.]],[1]규제DB_고용노동부고시_CMR!$B:$J,7,FALSE)="구분1B", IF(표1[[#This Row],[함량(W%)]]&gt;=VLOOKUP(표1[[#This Row],[CAS No.]],[1]규제DB_고용노동부고시_CMR!$B:$J,8,FALSE),"제품 생식독성물질",""), IF(VLOOKUP(표1[[#This Row],[CAS No.]],[1]규제DB_고용노동부고시_CMR!$B:$J,7,FALSE)="구분2", IF(표1[[#This Row],[함량(W%)]]&gt;=VLOOKUP(표1[[#This Row],[CAS No.]],[1]규제DB_고용노동부고시_CMR!$B:$J,8,FALSE),"제품 생식독성물질",""),""))),"")</f>
        <v/>
      </c>
      <c r="BY52" s="13" t="str">
        <f>IFERROR(VLOOKUP(표1[[#This Row],[CAS No.]],[1]규제DB_위험물안전관리법_위험물!$B:$F,3,FALSE),"")</f>
        <v/>
      </c>
      <c r="BZ52" s="13" t="str">
        <f>IFERROR(IF(표1[[#This Row],[CAS No.]]=VLOOKUP(표1[[#This Row],[CAS No.]],[1]규제DB_고압법_독성가스!$B:$D,1,FALSE),"독성가스",""),"")</f>
        <v/>
      </c>
      <c r="CA52" s="13" t="str">
        <f>IFERROR(IF(표1[[#This Row],[CAS No.]]=VLOOKUP(표1[[#This Row],[CAS No.]],[1]규제DB_고압법_가연성가스!$B:$D,1,FALSE),"가연성가스",""),"")</f>
        <v/>
      </c>
      <c r="CB52" s="13" t="str">
        <f>IFERROR(IF(표1[[#This Row],[CAS No.]]=VLOOKUP(표1[[#This Row],[CAS No.]],[1]규제DB_고압법_특수고압가스!$B:$D,1,FALSE),"특수고압가스",""),"")</f>
        <v/>
      </c>
      <c r="CC52" s="13" t="str">
        <f>IFERROR(IF(표1[[#This Row],[CAS No.]]=VLOOKUP(표1[[#This Row],[CAS No.]],[1]규제DB_고압법_특정고압가스!$B:$D,1,FALSE),"특정고압가스",""),"")</f>
        <v/>
      </c>
      <c r="CD52" s="13" t="str">
        <f>IFERROR(IF(표1[[#This Row],[함량(W%)]]&gt;=VLOOKUP(표1[[#This Row],[CAS No.]],[1]규제DB_화관법_개별취급기준!$B:$G,5,FALSE),VLOOKUP(표1[[#This Row],[CAS No.]],[1]규제DB_화관법_개별취급기준!$B:$G,6,FALSE),""),"")</f>
        <v/>
      </c>
    </row>
    <row r="53" spans="1:82" ht="27.95" customHeight="1">
      <c r="A53" s="13">
        <v>52</v>
      </c>
      <c r="B53" s="2"/>
      <c r="C53" s="3" t="s">
        <v>103</v>
      </c>
      <c r="D53" s="14"/>
      <c r="E53" s="50" t="s">
        <v>118</v>
      </c>
      <c r="F53" s="3" t="s">
        <v>90</v>
      </c>
      <c r="G53" s="5" t="s">
        <v>78</v>
      </c>
      <c r="H53" s="3" t="s">
        <v>91</v>
      </c>
      <c r="I53" s="50" t="s">
        <v>102</v>
      </c>
      <c r="J53" s="3" t="s">
        <v>166</v>
      </c>
      <c r="K53" s="3" t="s">
        <v>166</v>
      </c>
      <c r="L53" s="3"/>
      <c r="M53" s="5" t="s">
        <v>80</v>
      </c>
      <c r="N53" s="5" t="s">
        <v>179</v>
      </c>
      <c r="O53" s="53" t="s">
        <v>92</v>
      </c>
      <c r="P53" s="55" t="s">
        <v>98</v>
      </c>
      <c r="Q53" s="54">
        <v>24</v>
      </c>
      <c r="R53" s="6">
        <v>24</v>
      </c>
      <c r="S53" s="17"/>
      <c r="T53" s="17"/>
      <c r="U53" s="6">
        <v>24</v>
      </c>
      <c r="V53" s="6">
        <v>24</v>
      </c>
      <c r="W53" s="8" t="str">
        <f>표1[[#This Row],[자재코드]]&amp;"_"&amp;표1[[#This Row],[자재명]]&amp;"_"&amp;표1[[#This Row],[공급업체명]]</f>
        <v>_BEST SG 중간색 D(MEDIUM,금적,군청,감남,목단)_한국특수잉크공업</v>
      </c>
      <c r="X53" s="51" t="s">
        <v>156</v>
      </c>
      <c r="Y53" s="30"/>
      <c r="Z53" s="30"/>
      <c r="AA53" s="30"/>
      <c r="AB53" s="50">
        <v>100</v>
      </c>
      <c r="AC53" s="20" t="s">
        <v>82</v>
      </c>
      <c r="AD53" s="9" t="s">
        <v>83</v>
      </c>
      <c r="AE53" s="10" t="s">
        <v>89</v>
      </c>
      <c r="AF53" s="10" t="s">
        <v>89</v>
      </c>
      <c r="AG53" s="11"/>
      <c r="AH53" s="50" t="s">
        <v>202</v>
      </c>
      <c r="AI53" s="12">
        <f>IFERROR(표1[[#This Row],[사용량(kg)]]*표1[[#This Row],[함량(W%)]]/100,"")</f>
        <v>24</v>
      </c>
      <c r="AJ53" s="13"/>
      <c r="AK53" s="13"/>
      <c r="AL53" s="14"/>
      <c r="AM53" s="15"/>
      <c r="AN53" s="13"/>
      <c r="AO53" s="13"/>
      <c r="AP53" s="13"/>
      <c r="AQ53" s="13"/>
      <c r="AR53" s="13" t="str">
        <f>IFERROR(IF(표1[[#This Row],[함량(W%)]]&gt;=VLOOKUP(표1[[#This Row],[CAS No.]],[1]규제DB_유해법_유독물!B:F,5,FALSE),"유독물질 제품",""),"")</f>
        <v/>
      </c>
      <c r="AS53" s="13" t="str">
        <f>IFERROR(VLOOKUP(표1[[#This Row],[CAS No.]],[1]규제DB_유해법_금지물질!B:G,3,FALSE),"")</f>
        <v/>
      </c>
      <c r="AT53" s="13" t="str">
        <f>IFERROR(VLOOKUP(표1[[#This Row],[CAS No.]],[1]규제DB_유해법_금지물질!B:G,4,FALSE)&amp;" 인지 확인하세요","")</f>
        <v/>
      </c>
      <c r="AU53" s="13" t="str">
        <f>IFERROR(VLOOKUP(표1[[#This Row],[CAS No.]],[1]규제DB_유해법_제한물질!B:G,3,FALSE),"")</f>
        <v/>
      </c>
      <c r="AV53" s="13" t="str">
        <f>IFERROR(IF(표1[[#This Row],[함량(W%)]]&gt;=VLOOKUP(표1[[#This Row],[CAS No.]],[1]규제DB_유해법_제한물질!$B:$G,5,FALSE),"제한 제품",""),"")</f>
        <v/>
      </c>
      <c r="AW53" s="13" t="str">
        <f>IFERROR(VLOOKUP(표1[[#This Row],[CAS No.]],[1]규제DB_유해법_사고대비물질!B:J,2,FALSE),"")</f>
        <v/>
      </c>
      <c r="AX53" s="13" t="str">
        <f>IFERROR(IF(표1[[#This Row],[함량(W%)]]&gt;=VLOOKUP(표1[[#This Row],[CAS No.]],[1]규제DB_유해법_사고대비물질!$B:$J,4,FALSE),"사고대비물질 제품",""),"")</f>
        <v/>
      </c>
      <c r="AY53" s="16" t="str">
        <f>IFERROR(VLOOKUP(표1[[#This Row],[CAS No.]],[1]규제DB_유해법_사고대비물질!$B:$J,5,FALSE),"")</f>
        <v/>
      </c>
      <c r="AZ53" s="16" t="str">
        <f>IFERROR(VLOOKUP(표1[[#This Row],[CAS No.]],[1]규제DB_유해법_사고대비물질!$B:$J,6,FALSE),"")</f>
        <v/>
      </c>
      <c r="BA53" s="17" t="str">
        <f>IFERROR(IF(표1[[#This Row],[함량(W%)]]&gt;=VLOOKUP(표1[[#This Row],[CAS No.]],[1]규제DB_유해법_사고대비물질!$B:$J,4,FALSE),VLOOKUP(표1[[#This Row],[CAS No.]],[1]규제DB_유해법_사고대비물질!$B$2:$J$70,7,FALSE),""),"")</f>
        <v/>
      </c>
      <c r="BB53" s="17" t="str">
        <f>IFERROR(IF(표1[[#This Row],[함량(W%)]]&gt;=VLOOKUP(표1[[#This Row],[CAS No.]],[1]규제DB_유해법_사고대비물질!$B:$J,4,FALSE),VLOOKUP(표1[[#This Row],[CAS No.]],[1]규제DB_유해법_사고대비물질!$B$2:$J$70,8,FALSE),""),"")</f>
        <v/>
      </c>
      <c r="BC53" s="17" t="str">
        <f>IFERROR(IF(표1[[#This Row],[함량(W%)]]&gt;=VLOOKUP(표1[[#This Row],[CAS No.]],[1]규제DB_유해법_사고대비물질!$B:$J,4,FALSE),VLOOKUP(표1[[#This Row],[CAS No.]],[1]규제DB_유해법_사고대비물질!$B$2:$J$70,9,FALSE),""),"")</f>
        <v/>
      </c>
      <c r="BD53" s="18" t="str">
        <f>IFERROR(IF(표1[[#This Row],[함량(W%)]]&gt;=VLOOKUP(표1[[#This Row],[CAS No.]],'[1]규제DB_유해법_배출량조사 I'!$B:$D,3,FALSE),IF(VLOOKUP(표1[[#This Row],[CAS No.]],[1]기초자료!$A:$C,3,FALSE)&gt;=1000,"배출량조사 I 물질",""),""),"")</f>
        <v/>
      </c>
      <c r="BE53" s="18" t="str">
        <f>IFERROR(IF(표1[[#This Row],[함량(W%)]]&gt;=VLOOKUP(표1[[#This Row],[CAS No.]],'[1]규제DB_유해법_배출량조사 II'!B:D,3,FALSE),IF(VLOOKUP(표1[[#This Row],[CAS No.]],[1]기초자료!$A:$C,3,FALSE)&gt;=10000,"배출량조사 II 물질",""),""),"")</f>
        <v/>
      </c>
      <c r="BF53" s="13" t="str">
        <f>IFERROR(IF(표1[[#This Row],[함량(W%)]]&gt;=VLOOKUP(표1[[#This Row],[CAS No.]],[1]규제DB_산안법_금지물질!$B:$E,4,FALSE), VLOOKUP(표1[[#This Row],[CAS No.]],[1]규제DB_산안법_금지물질!$B:$E,2,FALSE)&amp;" : "&amp;VLOOKUP(표1[[#This Row],[CAS No.]],[1]규제DB_산안법_금지물질!$B:$E,3,FALSE)&amp;" 인지 확인하세요",""),"")</f>
        <v/>
      </c>
      <c r="BG53" s="13" t="str">
        <f>IFERROR(IF(표1[[#This Row],[함량(W%)]]&gt;=VLOOKUP(표1[[#This Row],[CAS No.]],[1]규제DB_산안법_허가물질!$B:$E,4,FALSE), "제품 허가물질",""),"")</f>
        <v/>
      </c>
      <c r="BH53" s="13" t="str">
        <f>IFERROR(IF(표1[[#This Row],[함량(W%)]]&gt;=VLOOKUP(표1[[#This Row],[CAS No.]], [1]규제DB_산안법_특별관리물질!$B:$E,4,FALSE), "제품 특별관리물질",""),"")</f>
        <v/>
      </c>
      <c r="BI53" s="13" t="str">
        <f>IFERROR(IF(표1[[#This Row],[함량(W%)]]&gt;=VLOOKUP(표1[[#This Row],[CAS No.]], [1]규제DB_산안법_관리대상유해물질!$B:$E,4,FALSE), "제품 관리대상유해물질",""),"")</f>
        <v/>
      </c>
      <c r="BJ53" s="13" t="str">
        <f>IFERROR(IF(표1[[#This Row],[CAS No.]]=VLOOKUP(표1[[#This Row],[CAS No.]], [1]규제DB_산안법_허용기준이하물질!$B:$D,1,FALSE),"제품 허용기준이하물질",""),"")</f>
        <v/>
      </c>
      <c r="BK53" s="13" t="str">
        <f>IFERROR(VLOOKUP(표1[[#This Row],[CAS No.]], [1]규제DB_산안법_허용기준이하물질!$B:$D,3,FALSE),"")</f>
        <v/>
      </c>
      <c r="BL53" s="13"/>
      <c r="BM53" s="13" t="str">
        <f>IFERROR(VLOOKUP(표1[[#This Row],[CAS No.]], [1]규제DB_산안법_노출기준설정물질!$B:$K,3,FALSE),"")</f>
        <v/>
      </c>
      <c r="BN53" s="13" t="str">
        <f>IFERROR(VLOOKUP(표1[[#This Row],[CAS No.]], [1]규제DB_산안법_노출기준설정물질!$B:$K,4,FALSE),"")</f>
        <v/>
      </c>
      <c r="BO53" s="13" t="str">
        <f>IFERROR(VLOOKUP(표1[[#This Row],[CAS No.]], [1]규제DB_산안법_노출기준설정물질!$B:$K,5,FALSE),"")</f>
        <v/>
      </c>
      <c r="BP53" s="13" t="str">
        <f>IFERROR(VLOOKUP(표1[[#This Row],[CAS No.]], [1]규제DB_산안법_노출기준설정물질!$B:$K,7,FALSE),"")</f>
        <v/>
      </c>
      <c r="BQ53" s="13" t="str">
        <f>IFERROR(VLOOKUP(표1[[#This Row],[CAS No.]], [1]규제DB_산안법_노출기준설정물질!$B:$K,8,FALSE),"")</f>
        <v/>
      </c>
      <c r="BR53" s="13" t="str">
        <f>IFERROR(VLOOKUP(표1[[#This Row],[CAS No.]], [1]규제DB_산안법_노출기준설정물질!$B:$K,9,FALSE),"")</f>
        <v/>
      </c>
      <c r="BS53" s="13" t="str">
        <f>IFERROR(VLOOKUP(표1[[#This Row],[CAS No.]], [1]규제DB_산안법_노출기준설정물질!$B:$K,10,FALSE),"")</f>
        <v/>
      </c>
      <c r="BT53" s="13" t="str">
        <f>IFERROR(IF(표1[[#This Row],[함량(W%)]]&gt;=VLOOKUP(표1[[#This Row],[CAS No.]], [1]규제DB_산안법_작업환경측정대상유해인자!$B:$F,5,FALSE), "제품 작업환경측정대상유해인자",""),"")</f>
        <v/>
      </c>
      <c r="BU53" s="13" t="str">
        <f>IFERROR(IF(표1[[#This Row],[CAS No.]]=VLOOKUP(표1[[#This Row],[CAS No.]], [1]규제DB_산안법_특수건강진단대상유해인자!$B:$C,1,FALSE), "제품 특수건강진단대상유해인자",""),"")</f>
        <v/>
      </c>
      <c r="BV53" s="13" t="str">
        <f>IFERROR(IF(VLOOKUP(표1[[#This Row],[CAS No.]],[1]규제DB_고용노동부고시_CMR!$B:$J,3,FALSE)="구분1A", IF(표1[[#This Row],[함량(W%)]]&gt;=VLOOKUP(표1[[#This Row],[CAS No.]],[1]규제DB_고용노동부고시_CMR!$B:$J,4,FALSE),"제품 발암성물질",""), IF(VLOOKUP(표1[[#This Row],[CAS No.]],[1]규제DB_고용노동부고시_CMR!$B:$J,3,FALSE)="구분1B", IF(표1[[#This Row],[함량(W%)]]&gt;=VLOOKUP(표1[[#This Row],[CAS No.]],[1]규제DB_고용노동부고시_CMR!$B:$J,4,FALSE),"제품 발암성물질",""), IF(VLOOKUP(표1[[#This Row],[CAS No.]],[1]규제DB_고용노동부고시_CMR!$B:$J,3,FALSE)="구분2", IF(표1[[#This Row],[함량(W%)]]&gt;=VLOOKUP(표1[[#This Row],[CAS No.]],[1]규제DB_고용노동부고시_CMR!$B:$J,4,FALSE),"제품 발암성물질",""),""))),"")</f>
        <v/>
      </c>
      <c r="BW53" s="13" t="str">
        <f>IFERROR(IF(VLOOKUP(표1[[#This Row],[CAS No.]],[1]규제DB_고용노동부고시_CMR!$B:$J,5,FALSE)="구분1A", IF(표1[[#This Row],[함량(W%)]]&gt;=VLOOKUP(표1[[#This Row],[CAS No.]],[1]규제DB_고용노동부고시_CMR!$B:$J,6,FALSE),"제품 생식세포변이원성물질",""), IF(VLOOKUP(표1[[#This Row],[CAS No.]],[1]규제DB_고용노동부고시_CMR!$B:$J,5,FALSE)="구분1B", IF(표1[[#This Row],[함량(W%)]]&gt;=VLOOKUP(표1[[#This Row],[CAS No.]],[1]규제DB_고용노동부고시_CMR!$B:$J,6,FALSE),"제품 생식세포변이원성물질",""), IF(VLOOKUP(표1[[#This Row],[CAS No.]],[1]규제DB_고용노동부고시_CMR!$B:$J,5,FALSE)="구분2", IF(표1[[#This Row],[함량(W%)]]&gt;=VLOOKUP(표1[[#This Row],[CAS No.]],[1]규제DB_고용노동부고시_CMR!$B:$J,6,FALSE),"제품 생식세포변이원성물질",""),""))),"")</f>
        <v/>
      </c>
      <c r="BX53" s="13" t="str">
        <f>IFERROR(IF(VLOOKUP(표1[[#This Row],[CAS No.]],[1]규제DB_고용노동부고시_CMR!$B:$J,7,FALSE)="구분1A", IF(표1[[#This Row],[함량(W%)]]&gt;=VLOOKUP(표1[[#This Row],[CAS No.]],[1]규제DB_고용노동부고시_CMR!$B:$J,8,FALSE),"제품 생식독성물질",""), IF(VLOOKUP(표1[[#This Row],[CAS No.]],[1]규제DB_고용노동부고시_CMR!$B:$J,7,FALSE)="구분1B", IF(표1[[#This Row],[함량(W%)]]&gt;=VLOOKUP(표1[[#This Row],[CAS No.]],[1]규제DB_고용노동부고시_CMR!$B:$J,8,FALSE),"제품 생식독성물질",""), IF(VLOOKUP(표1[[#This Row],[CAS No.]],[1]규제DB_고용노동부고시_CMR!$B:$J,7,FALSE)="구분2", IF(표1[[#This Row],[함량(W%)]]&gt;=VLOOKUP(표1[[#This Row],[CAS No.]],[1]규제DB_고용노동부고시_CMR!$B:$J,8,FALSE),"제품 생식독성물질",""),""))),"")</f>
        <v/>
      </c>
      <c r="BY53" s="13" t="str">
        <f>IFERROR(VLOOKUP(표1[[#This Row],[CAS No.]],[1]규제DB_위험물안전관리법_위험물!$B:$F,3,FALSE),"")</f>
        <v/>
      </c>
      <c r="BZ53" s="13" t="str">
        <f>IFERROR(IF(표1[[#This Row],[CAS No.]]=VLOOKUP(표1[[#This Row],[CAS No.]],[1]규제DB_고압법_독성가스!$B:$D,1,FALSE),"독성가스",""),"")</f>
        <v/>
      </c>
      <c r="CA53" s="13" t="str">
        <f>IFERROR(IF(표1[[#This Row],[CAS No.]]=VLOOKUP(표1[[#This Row],[CAS No.]],[1]규제DB_고압법_가연성가스!$B:$D,1,FALSE),"가연성가스",""),"")</f>
        <v/>
      </c>
      <c r="CB53" s="13" t="str">
        <f>IFERROR(IF(표1[[#This Row],[CAS No.]]=VLOOKUP(표1[[#This Row],[CAS No.]],[1]규제DB_고압법_특수고압가스!$B:$D,1,FALSE),"특수고압가스",""),"")</f>
        <v/>
      </c>
      <c r="CC53" s="13" t="str">
        <f>IFERROR(IF(표1[[#This Row],[CAS No.]]=VLOOKUP(표1[[#This Row],[CAS No.]],[1]규제DB_고압법_특정고압가스!$B:$D,1,FALSE),"특정고압가스",""),"")</f>
        <v/>
      </c>
      <c r="CD53" s="13" t="str">
        <f>IFERROR(IF(표1[[#This Row],[함량(W%)]]&gt;=VLOOKUP(표1[[#This Row],[CAS No.]],[1]규제DB_화관법_개별취급기준!$B:$G,5,FALSE),VLOOKUP(표1[[#This Row],[CAS No.]],[1]규제DB_화관법_개별취급기준!$B:$G,6,FALSE),""),"")</f>
        <v/>
      </c>
    </row>
    <row r="54" spans="1:82" ht="27.95" customHeight="1">
      <c r="A54" s="13">
        <v>53</v>
      </c>
      <c r="B54" s="2"/>
      <c r="C54" s="3" t="s">
        <v>103</v>
      </c>
      <c r="D54" s="14"/>
      <c r="E54" s="50" t="s">
        <v>118</v>
      </c>
      <c r="F54" s="3" t="s">
        <v>90</v>
      </c>
      <c r="G54" s="5" t="s">
        <v>78</v>
      </c>
      <c r="H54" s="3" t="s">
        <v>91</v>
      </c>
      <c r="I54" s="50" t="s">
        <v>102</v>
      </c>
      <c r="J54" s="3" t="s">
        <v>166</v>
      </c>
      <c r="K54" s="3" t="s">
        <v>166</v>
      </c>
      <c r="L54" s="3"/>
      <c r="M54" s="5" t="s">
        <v>80</v>
      </c>
      <c r="N54" s="5" t="s">
        <v>179</v>
      </c>
      <c r="O54" s="53" t="s">
        <v>92</v>
      </c>
      <c r="P54" s="55" t="s">
        <v>95</v>
      </c>
      <c r="Q54" s="54">
        <v>24</v>
      </c>
      <c r="R54" s="6">
        <v>24</v>
      </c>
      <c r="S54" s="17"/>
      <c r="T54" s="17"/>
      <c r="U54" s="6">
        <v>24</v>
      </c>
      <c r="V54" s="6">
        <v>24</v>
      </c>
      <c r="W54" s="8" t="str">
        <f>표1[[#This Row],[자재코드]]&amp;"_"&amp;표1[[#This Row],[자재명]]&amp;"_"&amp;표1[[#This Row],[공급업체명]]</f>
        <v>_BEST SG 중간색 D(MEDIUM,금적,군청,감남,목단)_한국특수잉크공업</v>
      </c>
      <c r="X54" s="51" t="s">
        <v>149</v>
      </c>
      <c r="Y54" s="13"/>
      <c r="Z54" s="13"/>
      <c r="AA54" s="13"/>
      <c r="AB54" s="50">
        <v>15</v>
      </c>
      <c r="AC54" s="9" t="s">
        <v>82</v>
      </c>
      <c r="AD54" s="9" t="s">
        <v>83</v>
      </c>
      <c r="AE54" s="10" t="s">
        <v>89</v>
      </c>
      <c r="AF54" s="10" t="s">
        <v>89</v>
      </c>
      <c r="AG54" s="11"/>
      <c r="AH54" s="50" t="s">
        <v>195</v>
      </c>
      <c r="AI54" s="12">
        <f>IFERROR(표1[[#This Row],[사용량(kg)]]*표1[[#This Row],[함량(W%)]]/100,"")</f>
        <v>3.6</v>
      </c>
      <c r="AJ54" s="13"/>
      <c r="AK54" s="13"/>
      <c r="AL54" s="14"/>
      <c r="AM54" s="15"/>
      <c r="AN54" s="13"/>
      <c r="AO54" s="13"/>
      <c r="AP54" s="13"/>
      <c r="AQ54" s="13"/>
      <c r="AR54" s="13" t="str">
        <f>IFERROR(IF(표1[[#This Row],[함량(W%)]]&gt;=VLOOKUP(표1[[#This Row],[CAS No.]],[1]규제DB_유해법_유독물!B:F,5,FALSE),"유독물질 제품",""),"")</f>
        <v/>
      </c>
      <c r="AS54" s="13" t="str">
        <f>IFERROR(VLOOKUP(표1[[#This Row],[CAS No.]],[1]규제DB_유해법_금지물질!B:G,3,FALSE),"")</f>
        <v/>
      </c>
      <c r="AT54" s="13" t="str">
        <f>IFERROR(VLOOKUP(표1[[#This Row],[CAS No.]],[1]규제DB_유해법_금지물질!B:G,4,FALSE)&amp;" 인지 확인하세요","")</f>
        <v/>
      </c>
      <c r="AU54" s="13" t="str">
        <f>IFERROR(VLOOKUP(표1[[#This Row],[CAS No.]],[1]규제DB_유해법_제한물질!B:G,3,FALSE),"")</f>
        <v/>
      </c>
      <c r="AV54" s="13" t="str">
        <f>IFERROR(IF(표1[[#This Row],[함량(W%)]]&gt;=VLOOKUP(표1[[#This Row],[CAS No.]],[1]규제DB_유해법_제한물질!$B:$G,5,FALSE),"제한 제품",""),"")</f>
        <v/>
      </c>
      <c r="AW54" s="13" t="str">
        <f>IFERROR(VLOOKUP(표1[[#This Row],[CAS No.]],[1]규제DB_유해법_사고대비물질!B:J,2,FALSE),"")</f>
        <v/>
      </c>
      <c r="AX54" s="13" t="str">
        <f>IFERROR(IF(표1[[#This Row],[함량(W%)]]&gt;=VLOOKUP(표1[[#This Row],[CAS No.]],[1]규제DB_유해법_사고대비물질!$B:$J,4,FALSE),"사고대비물질 제품",""),"")</f>
        <v/>
      </c>
      <c r="AY54" s="16" t="str">
        <f>IFERROR(VLOOKUP(표1[[#This Row],[CAS No.]],[1]규제DB_유해법_사고대비물질!$B:$J,5,FALSE),"")</f>
        <v/>
      </c>
      <c r="AZ54" s="16" t="str">
        <f>IFERROR(VLOOKUP(표1[[#This Row],[CAS No.]],[1]규제DB_유해법_사고대비물질!$B:$J,6,FALSE),"")</f>
        <v/>
      </c>
      <c r="BA54" s="17" t="str">
        <f>IFERROR(IF(표1[[#This Row],[함량(W%)]]&gt;=VLOOKUP(표1[[#This Row],[CAS No.]],[1]규제DB_유해법_사고대비물질!$B:$J,4,FALSE),VLOOKUP(표1[[#This Row],[CAS No.]],[1]규제DB_유해법_사고대비물질!$B$2:$J$70,7,FALSE),""),"")</f>
        <v/>
      </c>
      <c r="BB54" s="17" t="str">
        <f>IFERROR(IF(표1[[#This Row],[함량(W%)]]&gt;=VLOOKUP(표1[[#This Row],[CAS No.]],[1]규제DB_유해법_사고대비물질!$B:$J,4,FALSE),VLOOKUP(표1[[#This Row],[CAS No.]],[1]규제DB_유해법_사고대비물질!$B$2:$J$70,8,FALSE),""),"")</f>
        <v/>
      </c>
      <c r="BC54" s="17" t="str">
        <f>IFERROR(IF(표1[[#This Row],[함량(W%)]]&gt;=VLOOKUP(표1[[#This Row],[CAS No.]],[1]규제DB_유해법_사고대비물질!$B:$J,4,FALSE),VLOOKUP(표1[[#This Row],[CAS No.]],[1]규제DB_유해법_사고대비물질!$B$2:$J$70,9,FALSE),""),"")</f>
        <v/>
      </c>
      <c r="BD54" s="18" t="str">
        <f>IFERROR(IF(표1[[#This Row],[함량(W%)]]&gt;=VLOOKUP(표1[[#This Row],[CAS No.]],'[1]규제DB_유해법_배출량조사 I'!$B:$D,3,FALSE),IF(VLOOKUP(표1[[#This Row],[CAS No.]],[1]기초자료!$A:$C,3,FALSE)&gt;=1000,"배출량조사 I 물질",""),""),"")</f>
        <v/>
      </c>
      <c r="BE54" s="18" t="str">
        <f>IFERROR(IF(표1[[#This Row],[함량(W%)]]&gt;=VLOOKUP(표1[[#This Row],[CAS No.]],'[1]규제DB_유해법_배출량조사 II'!B:D,3,FALSE),IF(VLOOKUP(표1[[#This Row],[CAS No.]],[1]기초자료!$A:$C,3,FALSE)&gt;=10000,"배출량조사 II 물질",""),""),"")</f>
        <v/>
      </c>
      <c r="BF54" s="13" t="str">
        <f>IFERROR(IF(표1[[#This Row],[함량(W%)]]&gt;=VLOOKUP(표1[[#This Row],[CAS No.]],[1]규제DB_산안법_금지물질!$B:$E,4,FALSE), VLOOKUP(표1[[#This Row],[CAS No.]],[1]규제DB_산안법_금지물질!$B:$E,2,FALSE)&amp;" : "&amp;VLOOKUP(표1[[#This Row],[CAS No.]],[1]규제DB_산안법_금지물질!$B:$E,3,FALSE)&amp;" 인지 확인하세요",""),"")</f>
        <v/>
      </c>
      <c r="BG54" s="13" t="str">
        <f>IFERROR(IF(표1[[#This Row],[함량(W%)]]&gt;=VLOOKUP(표1[[#This Row],[CAS No.]],[1]규제DB_산안법_허가물질!$B:$E,4,FALSE), "제품 허가물질",""),"")</f>
        <v/>
      </c>
      <c r="BH54" s="13" t="str">
        <f>IFERROR(IF(표1[[#This Row],[함량(W%)]]&gt;=VLOOKUP(표1[[#This Row],[CAS No.]], [1]규제DB_산안법_특별관리물질!$B:$E,4,FALSE), "제품 특별관리물질",""),"")</f>
        <v/>
      </c>
      <c r="BI54" s="13" t="str">
        <f>IFERROR(IF(표1[[#This Row],[함량(W%)]]&gt;=VLOOKUP(표1[[#This Row],[CAS No.]], [1]규제DB_산안법_관리대상유해물질!$B:$E,4,FALSE), "제품 관리대상유해물질",""),"")</f>
        <v/>
      </c>
      <c r="BJ54" s="13" t="str">
        <f>IFERROR(IF(표1[[#This Row],[CAS No.]]=VLOOKUP(표1[[#This Row],[CAS No.]], [1]규제DB_산안법_허용기준이하물질!$B:$D,1,FALSE),"제품 허용기준이하물질",""),"")</f>
        <v/>
      </c>
      <c r="BK54" s="13" t="str">
        <f>IFERROR(VLOOKUP(표1[[#This Row],[CAS No.]], [1]규제DB_산안법_허용기준이하물질!$B:$D,3,FALSE),"")</f>
        <v/>
      </c>
      <c r="BL54" s="13"/>
      <c r="BM54" s="13" t="str">
        <f>IFERROR(VLOOKUP(표1[[#This Row],[CAS No.]], [1]규제DB_산안법_노출기준설정물질!$B:$K,3,FALSE),"")</f>
        <v/>
      </c>
      <c r="BN54" s="13" t="str">
        <f>IFERROR(VLOOKUP(표1[[#This Row],[CAS No.]], [1]규제DB_산안법_노출기준설정물질!$B:$K,4,FALSE),"")</f>
        <v/>
      </c>
      <c r="BO54" s="13" t="str">
        <f>IFERROR(VLOOKUP(표1[[#This Row],[CAS No.]], [1]규제DB_산안법_노출기준설정물질!$B:$K,5,FALSE),"")</f>
        <v/>
      </c>
      <c r="BP54" s="13" t="str">
        <f>IFERROR(VLOOKUP(표1[[#This Row],[CAS No.]], [1]규제DB_산안법_노출기준설정물질!$B:$K,7,FALSE),"")</f>
        <v/>
      </c>
      <c r="BQ54" s="13" t="str">
        <f>IFERROR(VLOOKUP(표1[[#This Row],[CAS No.]], [1]규제DB_산안법_노출기준설정물질!$B:$K,8,FALSE),"")</f>
        <v/>
      </c>
      <c r="BR54" s="13" t="str">
        <f>IFERROR(VLOOKUP(표1[[#This Row],[CAS No.]], [1]규제DB_산안법_노출기준설정물질!$B:$K,9,FALSE),"")</f>
        <v/>
      </c>
      <c r="BS54" s="13" t="str">
        <f>IFERROR(VLOOKUP(표1[[#This Row],[CAS No.]], [1]규제DB_산안법_노출기준설정물질!$B:$K,10,FALSE),"")</f>
        <v/>
      </c>
      <c r="BT54" s="13" t="str">
        <f>IFERROR(IF(표1[[#This Row],[함량(W%)]]&gt;=VLOOKUP(표1[[#This Row],[CAS No.]], [1]규제DB_산안법_작업환경측정대상유해인자!$B:$F,5,FALSE), "제품 작업환경측정대상유해인자",""),"")</f>
        <v/>
      </c>
      <c r="BU54" s="13" t="str">
        <f>IFERROR(IF(표1[[#This Row],[CAS No.]]=VLOOKUP(표1[[#This Row],[CAS No.]], [1]규제DB_산안법_특수건강진단대상유해인자!$B:$C,1,FALSE), "제품 특수건강진단대상유해인자",""),"")</f>
        <v/>
      </c>
      <c r="BV54" s="13"/>
      <c r="BW54" s="13"/>
      <c r="BX54" s="13"/>
      <c r="BY54" s="13"/>
      <c r="BZ54" s="13"/>
      <c r="CA54" s="13" t="str">
        <f>IFERROR(IF(표1[[#This Row],[CAS No.]]=VLOOKUP(표1[[#This Row],[CAS No.]],[1]규제DB_고압법_가연성가스!$B:$D,1,FALSE),"가연성가스",""),"")</f>
        <v/>
      </c>
      <c r="CB54" s="13" t="str">
        <f>IFERROR(IF(표1[[#This Row],[CAS No.]]=VLOOKUP(표1[[#This Row],[CAS No.]],[1]규제DB_고압법_특수고압가스!$B:$D,1,FALSE),"특수고압가스",""),"")</f>
        <v/>
      </c>
      <c r="CC54" s="13" t="str">
        <f>IFERROR(IF(표1[[#This Row],[CAS No.]]=VLOOKUP(표1[[#This Row],[CAS No.]],[1]규제DB_고압법_특정고압가스!$B:$D,1,FALSE),"특정고압가스",""),"")</f>
        <v/>
      </c>
      <c r="CD54" s="13" t="str">
        <f>IFERROR(IF(표1[[#This Row],[함량(W%)]]&gt;=VLOOKUP(표1[[#This Row],[CAS No.]],[1]규제DB_화관법_개별취급기준!$B:$G,5,FALSE),VLOOKUP(표1[[#This Row],[CAS No.]],[1]규제DB_화관법_개별취급기준!$B:$G,6,FALSE),""),"")</f>
        <v/>
      </c>
    </row>
    <row r="55" spans="1:82" ht="27.95" customHeight="1">
      <c r="A55" s="13">
        <v>54</v>
      </c>
      <c r="B55" s="2"/>
      <c r="C55" s="3" t="s">
        <v>103</v>
      </c>
      <c r="D55" s="14"/>
      <c r="E55" s="50" t="s">
        <v>120</v>
      </c>
      <c r="F55" s="3" t="s">
        <v>90</v>
      </c>
      <c r="G55" s="5" t="s">
        <v>78</v>
      </c>
      <c r="H55" s="3" t="s">
        <v>91</v>
      </c>
      <c r="I55" s="50" t="s">
        <v>102</v>
      </c>
      <c r="J55" s="3" t="s">
        <v>166</v>
      </c>
      <c r="K55" s="3" t="s">
        <v>166</v>
      </c>
      <c r="L55" s="3"/>
      <c r="M55" s="5" t="s">
        <v>80</v>
      </c>
      <c r="N55" s="5" t="s">
        <v>179</v>
      </c>
      <c r="O55" s="53" t="s">
        <v>92</v>
      </c>
      <c r="P55" s="55" t="s">
        <v>98</v>
      </c>
      <c r="Q55" s="54">
        <v>1</v>
      </c>
      <c r="R55" s="6">
        <v>1</v>
      </c>
      <c r="S55" s="17"/>
      <c r="T55" s="17"/>
      <c r="U55" s="6">
        <v>1</v>
      </c>
      <c r="V55" s="6">
        <v>1</v>
      </c>
      <c r="W55" s="8" t="str">
        <f>표1[[#This Row],[자재코드]]&amp;"_"&amp;표1[[#This Row],[자재명]]&amp;"_"&amp;표1[[#This Row],[공급업체명]]</f>
        <v>_BEST SG RUB OP 니스_한국특수잉크공업</v>
      </c>
      <c r="X55" s="51" t="s">
        <v>160</v>
      </c>
      <c r="Y55" s="30"/>
      <c r="Z55" s="30"/>
      <c r="AA55" s="30"/>
      <c r="AB55" s="50">
        <v>100</v>
      </c>
      <c r="AC55" s="20" t="s">
        <v>94</v>
      </c>
      <c r="AD55" s="9" t="s">
        <v>83</v>
      </c>
      <c r="AE55" s="10" t="s">
        <v>89</v>
      </c>
      <c r="AF55" s="10" t="s">
        <v>89</v>
      </c>
      <c r="AG55" s="11"/>
      <c r="AH55" s="50" t="s">
        <v>205</v>
      </c>
      <c r="AI55" s="12">
        <f>IFERROR(표1[[#This Row],[사용량(kg)]]*표1[[#This Row],[함량(W%)]]/100,"")</f>
        <v>1</v>
      </c>
      <c r="AJ55" s="13"/>
      <c r="AK55" s="13"/>
      <c r="AL55" s="14"/>
      <c r="AM55" s="15"/>
      <c r="AN55" s="13"/>
      <c r="AO55" s="13"/>
      <c r="AP55" s="13"/>
      <c r="AQ55" s="13"/>
      <c r="AR55" s="13" t="str">
        <f>IFERROR(IF(표1[[#This Row],[함량(W%)]]&gt;=VLOOKUP(표1[[#This Row],[CAS No.]],[1]규제DB_유해법_유독물!B:F,5,FALSE),"유독물질 제품",""),"")</f>
        <v/>
      </c>
      <c r="AS55" s="13" t="str">
        <f>IFERROR(VLOOKUP(표1[[#This Row],[CAS No.]],[1]규제DB_유해법_금지물질!B:G,3,FALSE),"")</f>
        <v/>
      </c>
      <c r="AT55" s="13" t="str">
        <f>IFERROR(VLOOKUP(표1[[#This Row],[CAS No.]],[1]규제DB_유해법_금지물질!B:G,4,FALSE)&amp;" 인지 확인하세요","")</f>
        <v/>
      </c>
      <c r="AU55" s="13" t="str">
        <f>IFERROR(VLOOKUP(표1[[#This Row],[CAS No.]],[1]규제DB_유해법_제한물질!B:G,3,FALSE),"")</f>
        <v/>
      </c>
      <c r="AV55" s="13" t="str">
        <f>IFERROR(IF(표1[[#This Row],[함량(W%)]]&gt;=VLOOKUP(표1[[#This Row],[CAS No.]],[1]규제DB_유해법_제한물질!$B:$G,5,FALSE),"제한 제품",""),"")</f>
        <v/>
      </c>
      <c r="AW55" s="13" t="str">
        <f>IFERROR(VLOOKUP(표1[[#This Row],[CAS No.]],[1]규제DB_유해법_사고대비물질!B:J,2,FALSE),"")</f>
        <v/>
      </c>
      <c r="AX55" s="13" t="str">
        <f>IFERROR(IF(표1[[#This Row],[함량(W%)]]&gt;=VLOOKUP(표1[[#This Row],[CAS No.]],[1]규제DB_유해법_사고대비물질!$B:$J,4,FALSE),"사고대비물질 제품",""),"")</f>
        <v/>
      </c>
      <c r="AY55" s="16" t="str">
        <f>IFERROR(VLOOKUP(표1[[#This Row],[CAS No.]],[1]규제DB_유해법_사고대비물질!$B:$J,5,FALSE),"")</f>
        <v/>
      </c>
      <c r="AZ55" s="16" t="str">
        <f>IFERROR(VLOOKUP(표1[[#This Row],[CAS No.]],[1]규제DB_유해법_사고대비물질!$B:$J,6,FALSE),"")</f>
        <v/>
      </c>
      <c r="BA55" s="17" t="str">
        <f>IFERROR(IF(표1[[#This Row],[함량(W%)]]&gt;=VLOOKUP(표1[[#This Row],[CAS No.]],[1]규제DB_유해법_사고대비물질!$B:$J,4,FALSE),VLOOKUP(표1[[#This Row],[CAS No.]],[1]규제DB_유해법_사고대비물질!$B$2:$J$70,7,FALSE),""),"")</f>
        <v/>
      </c>
      <c r="BB55" s="17" t="str">
        <f>IFERROR(IF(표1[[#This Row],[함량(W%)]]&gt;=VLOOKUP(표1[[#This Row],[CAS No.]],[1]규제DB_유해법_사고대비물질!$B:$J,4,FALSE),VLOOKUP(표1[[#This Row],[CAS No.]],[1]규제DB_유해법_사고대비물질!$B$2:$J$70,8,FALSE),""),"")</f>
        <v/>
      </c>
      <c r="BC55" s="17" t="str">
        <f>IFERROR(IF(표1[[#This Row],[함량(W%)]]&gt;=VLOOKUP(표1[[#This Row],[CAS No.]],[1]규제DB_유해법_사고대비물질!$B:$J,4,FALSE),VLOOKUP(표1[[#This Row],[CAS No.]],[1]규제DB_유해법_사고대비물질!$B$2:$J$70,9,FALSE),""),"")</f>
        <v/>
      </c>
      <c r="BD55" s="18" t="str">
        <f>IFERROR(IF(표1[[#This Row],[함량(W%)]]&gt;=VLOOKUP(표1[[#This Row],[CAS No.]],'[1]규제DB_유해법_배출량조사 I'!$B:$D,3,FALSE),IF(VLOOKUP(표1[[#This Row],[CAS No.]],[1]기초자료!$A:$C,3,FALSE)&gt;=1000,"배출량조사 I 물질",""),""),"")</f>
        <v/>
      </c>
      <c r="BE55" s="18" t="str">
        <f>IFERROR(IF(표1[[#This Row],[함량(W%)]]&gt;=VLOOKUP(표1[[#This Row],[CAS No.]],'[1]규제DB_유해법_배출량조사 II'!B:D,3,FALSE),IF(VLOOKUP(표1[[#This Row],[CAS No.]],[1]기초자료!$A:$C,3,FALSE)&gt;=10000,"배출량조사 II 물질",""),""),"")</f>
        <v/>
      </c>
      <c r="BF55" s="13" t="str">
        <f>IFERROR(IF(표1[[#This Row],[함량(W%)]]&gt;=VLOOKUP(표1[[#This Row],[CAS No.]],[1]규제DB_산안법_금지물질!$B:$E,4,FALSE), VLOOKUP(표1[[#This Row],[CAS No.]],[1]규제DB_산안법_금지물질!$B:$E,2,FALSE)&amp;" : "&amp;VLOOKUP(표1[[#This Row],[CAS No.]],[1]규제DB_산안법_금지물질!$B:$E,3,FALSE)&amp;" 인지 확인하세요",""),"")</f>
        <v/>
      </c>
      <c r="BG55" s="13" t="str">
        <f>IFERROR(IF(표1[[#This Row],[함량(W%)]]&gt;=VLOOKUP(표1[[#This Row],[CAS No.]],[1]규제DB_산안법_허가물질!$B:$E,4,FALSE), "제품 허가물질",""),"")</f>
        <v/>
      </c>
      <c r="BH55" s="13" t="str">
        <f>IFERROR(IF(표1[[#This Row],[함량(W%)]]&gt;=VLOOKUP(표1[[#This Row],[CAS No.]], [1]규제DB_산안법_특별관리물질!$B:$E,4,FALSE), "제품 특별관리물질",""),"")</f>
        <v/>
      </c>
      <c r="BI55" s="13" t="str">
        <f>IFERROR(IF(표1[[#This Row],[함량(W%)]]&gt;=VLOOKUP(표1[[#This Row],[CAS No.]], [1]규제DB_산안법_관리대상유해물질!$B:$E,4,FALSE), "제품 관리대상유해물질",""),"")</f>
        <v/>
      </c>
      <c r="BJ55" s="13" t="str">
        <f>IFERROR(IF(표1[[#This Row],[CAS No.]]=VLOOKUP(표1[[#This Row],[CAS No.]], [1]규제DB_산안법_허용기준이하물질!$B:$D,1,FALSE),"제품 허용기준이하물질",""),"")</f>
        <v/>
      </c>
      <c r="BK55" s="13" t="str">
        <f>IFERROR(VLOOKUP(표1[[#This Row],[CAS No.]], [1]규제DB_산안법_허용기준이하물질!$B:$D,3,FALSE),"")</f>
        <v/>
      </c>
      <c r="BL55" s="13"/>
      <c r="BM55" s="13" t="str">
        <f>IFERROR(VLOOKUP(표1[[#This Row],[CAS No.]], [1]규제DB_산안법_노출기준설정물질!$B:$K,3,FALSE),"")</f>
        <v/>
      </c>
      <c r="BN55" s="13" t="str">
        <f>IFERROR(VLOOKUP(표1[[#This Row],[CAS No.]], [1]규제DB_산안법_노출기준설정물질!$B:$K,4,FALSE),"")</f>
        <v/>
      </c>
      <c r="BO55" s="13" t="str">
        <f>IFERROR(VLOOKUP(표1[[#This Row],[CAS No.]], [1]규제DB_산안법_노출기준설정물질!$B:$K,5,FALSE),"")</f>
        <v/>
      </c>
      <c r="BP55" s="13" t="str">
        <f>IFERROR(VLOOKUP(표1[[#This Row],[CAS No.]], [1]규제DB_산안법_노출기준설정물질!$B:$K,7,FALSE),"")</f>
        <v/>
      </c>
      <c r="BQ55" s="13" t="str">
        <f>IFERROR(VLOOKUP(표1[[#This Row],[CAS No.]], [1]규제DB_산안법_노출기준설정물질!$B:$K,8,FALSE),"")</f>
        <v/>
      </c>
      <c r="BR55" s="13" t="str">
        <f>IFERROR(VLOOKUP(표1[[#This Row],[CAS No.]], [1]규제DB_산안법_노출기준설정물질!$B:$K,9,FALSE),"")</f>
        <v/>
      </c>
      <c r="BS55" s="13" t="str">
        <f>IFERROR(VLOOKUP(표1[[#This Row],[CAS No.]], [1]규제DB_산안법_노출기준설정물질!$B:$K,10,FALSE),"")</f>
        <v/>
      </c>
      <c r="BT55" s="13" t="str">
        <f>IFERROR(IF(표1[[#This Row],[함량(W%)]]&gt;=VLOOKUP(표1[[#This Row],[CAS No.]], [1]규제DB_산안법_작업환경측정대상유해인자!$B:$F,5,FALSE), "제품 작업환경측정대상유해인자",""),"")</f>
        <v/>
      </c>
      <c r="BU55" s="13" t="str">
        <f>IFERROR(IF(표1[[#This Row],[CAS No.]]=VLOOKUP(표1[[#This Row],[CAS No.]], [1]규제DB_산안법_특수건강진단대상유해인자!$B:$C,1,FALSE), "제품 특수건강진단대상유해인자",""),"")</f>
        <v/>
      </c>
      <c r="BV55" s="13"/>
      <c r="BW55" s="13"/>
      <c r="BX55" s="13"/>
      <c r="BY55" s="13"/>
      <c r="BZ55" s="13"/>
      <c r="CA55" s="13" t="str">
        <f>IFERROR(IF(표1[[#This Row],[CAS No.]]=VLOOKUP(표1[[#This Row],[CAS No.]],[1]규제DB_고압법_가연성가스!$B:$D,1,FALSE),"가연성가스",""),"")</f>
        <v/>
      </c>
      <c r="CB55" s="13" t="str">
        <f>IFERROR(IF(표1[[#This Row],[CAS No.]]=VLOOKUP(표1[[#This Row],[CAS No.]],[1]규제DB_고압법_특수고압가스!$B:$D,1,FALSE),"특수고압가스",""),"")</f>
        <v/>
      </c>
      <c r="CC55" s="13" t="str">
        <f>IFERROR(IF(표1[[#This Row],[CAS No.]]=VLOOKUP(표1[[#This Row],[CAS No.]],[1]규제DB_고압법_특정고압가스!$B:$D,1,FALSE),"특정고압가스",""),"")</f>
        <v/>
      </c>
      <c r="CD55" s="13" t="str">
        <f>IFERROR(IF(표1[[#This Row],[함량(W%)]]&gt;=VLOOKUP(표1[[#This Row],[CAS No.]],[1]규제DB_화관법_개별취급기준!$B:$G,5,FALSE),VLOOKUP(표1[[#This Row],[CAS No.]],[1]규제DB_화관법_개별취급기준!$B:$G,6,FALSE),""),"")</f>
        <v/>
      </c>
    </row>
    <row r="56" spans="1:82" ht="56.25" customHeight="1">
      <c r="A56" s="13">
        <v>55</v>
      </c>
      <c r="B56" s="2"/>
      <c r="C56" s="3" t="s">
        <v>103</v>
      </c>
      <c r="D56" s="14"/>
      <c r="E56" s="50" t="s">
        <v>120</v>
      </c>
      <c r="F56" s="3" t="s">
        <v>90</v>
      </c>
      <c r="G56" s="5" t="s">
        <v>78</v>
      </c>
      <c r="H56" s="3" t="s">
        <v>91</v>
      </c>
      <c r="I56" s="50" t="s">
        <v>102</v>
      </c>
      <c r="J56" s="3" t="s">
        <v>166</v>
      </c>
      <c r="K56" s="3" t="s">
        <v>166</v>
      </c>
      <c r="L56" s="3"/>
      <c r="M56" s="5" t="s">
        <v>80</v>
      </c>
      <c r="N56" s="5" t="s">
        <v>179</v>
      </c>
      <c r="O56" s="53" t="s">
        <v>92</v>
      </c>
      <c r="P56" s="55" t="s">
        <v>95</v>
      </c>
      <c r="Q56" s="54">
        <v>1</v>
      </c>
      <c r="R56" s="6">
        <v>1</v>
      </c>
      <c r="S56" s="17"/>
      <c r="T56" s="17"/>
      <c r="U56" s="6">
        <v>1</v>
      </c>
      <c r="V56" s="6">
        <v>1</v>
      </c>
      <c r="W56" s="8" t="str">
        <f>표1[[#This Row],[자재코드]]&amp;"_"&amp;표1[[#This Row],[자재명]]&amp;"_"&amp;표1[[#This Row],[공급업체명]]</f>
        <v>_BEST SG RUB OP 니스_한국특수잉크공업</v>
      </c>
      <c r="X56" s="51" t="s">
        <v>147</v>
      </c>
      <c r="Y56" s="13"/>
      <c r="Z56" s="13"/>
      <c r="AA56" s="13"/>
      <c r="AB56" s="50">
        <v>100</v>
      </c>
      <c r="AC56" s="20" t="s">
        <v>88</v>
      </c>
      <c r="AD56" s="9" t="s">
        <v>83</v>
      </c>
      <c r="AE56" s="10" t="s">
        <v>89</v>
      </c>
      <c r="AF56" s="10" t="s">
        <v>89</v>
      </c>
      <c r="AG56" s="11"/>
      <c r="AH56" s="50" t="s">
        <v>193</v>
      </c>
      <c r="AI56" s="12">
        <f>IFERROR(표1[[#This Row],[사용량(kg)]]*표1[[#This Row],[함량(W%)]]/100,"")</f>
        <v>1</v>
      </c>
      <c r="AJ56" s="13"/>
      <c r="AK56" s="13"/>
      <c r="AL56" s="14"/>
      <c r="AM56" s="15"/>
      <c r="AN56" s="13"/>
      <c r="AO56" s="13"/>
      <c r="AP56" s="13"/>
      <c r="AQ56" s="13"/>
      <c r="AR56" s="13" t="str">
        <f>IFERROR(IF(표1[[#This Row],[함량(W%)]]&gt;=VLOOKUP(표1[[#This Row],[CAS No.]],[1]규제DB_유해법_유독물!B:F,5,FALSE),"유독물질 제품",""),"")</f>
        <v/>
      </c>
      <c r="AS56" s="13" t="str">
        <f>IFERROR(VLOOKUP(표1[[#This Row],[CAS No.]],[1]규제DB_유해법_금지물질!B:G,3,FALSE),"")</f>
        <v/>
      </c>
      <c r="AT56" s="13" t="str">
        <f>IFERROR(VLOOKUP(표1[[#This Row],[CAS No.]],[1]규제DB_유해법_금지물질!B:G,4,FALSE)&amp;" 인지 확인하세요","")</f>
        <v/>
      </c>
      <c r="AU56" s="13" t="str">
        <f>IFERROR(VLOOKUP(표1[[#This Row],[CAS No.]],[1]규제DB_유해법_제한물질!B:G,3,FALSE),"")</f>
        <v/>
      </c>
      <c r="AV56" s="13" t="str">
        <f>IFERROR(IF(표1[[#This Row],[함량(W%)]]&gt;=VLOOKUP(표1[[#This Row],[CAS No.]],[1]규제DB_유해법_제한물질!$B:$G,5,FALSE),"제한 제품",""),"")</f>
        <v/>
      </c>
      <c r="AW56" s="13" t="str">
        <f>IFERROR(VLOOKUP(표1[[#This Row],[CAS No.]],[1]규제DB_유해법_사고대비물질!B:J,2,FALSE),"")</f>
        <v/>
      </c>
      <c r="AX56" s="13" t="str">
        <f>IFERROR(IF(표1[[#This Row],[함량(W%)]]&gt;=VLOOKUP(표1[[#This Row],[CAS No.]],[1]규제DB_유해법_사고대비물질!$B:$J,4,FALSE),"사고대비물질 제품",""),"")</f>
        <v/>
      </c>
      <c r="AY56" s="16" t="str">
        <f>IFERROR(VLOOKUP(표1[[#This Row],[CAS No.]],[1]규제DB_유해법_사고대비물질!$B:$J,5,FALSE),"")</f>
        <v/>
      </c>
      <c r="AZ56" s="16" t="str">
        <f>IFERROR(VLOOKUP(표1[[#This Row],[CAS No.]],[1]규제DB_유해법_사고대비물질!$B:$J,6,FALSE),"")</f>
        <v/>
      </c>
      <c r="BA56" s="17" t="str">
        <f>IFERROR(IF(표1[[#This Row],[함량(W%)]]&gt;=VLOOKUP(표1[[#This Row],[CAS No.]],[1]규제DB_유해법_사고대비물질!$B:$J,4,FALSE),VLOOKUP(표1[[#This Row],[CAS No.]],[1]규제DB_유해법_사고대비물질!$B$2:$J$70,7,FALSE),""),"")</f>
        <v/>
      </c>
      <c r="BB56" s="17" t="str">
        <f>IFERROR(IF(표1[[#This Row],[함량(W%)]]&gt;=VLOOKUP(표1[[#This Row],[CAS No.]],[1]규제DB_유해법_사고대비물질!$B:$J,4,FALSE),VLOOKUP(표1[[#This Row],[CAS No.]],[1]규제DB_유해법_사고대비물질!$B$2:$J$70,8,FALSE),""),"")</f>
        <v/>
      </c>
      <c r="BC56" s="17" t="str">
        <f>IFERROR(IF(표1[[#This Row],[함량(W%)]]&gt;=VLOOKUP(표1[[#This Row],[CAS No.]],[1]규제DB_유해법_사고대비물질!$B:$J,4,FALSE),VLOOKUP(표1[[#This Row],[CAS No.]],[1]규제DB_유해법_사고대비물질!$B$2:$J$70,9,FALSE),""),"")</f>
        <v/>
      </c>
      <c r="BD56" s="18" t="str">
        <f>IFERROR(IF(표1[[#This Row],[함량(W%)]]&gt;=VLOOKUP(표1[[#This Row],[CAS No.]],'[1]규제DB_유해법_배출량조사 I'!$B:$D,3,FALSE),IF(VLOOKUP(표1[[#This Row],[CAS No.]],[1]기초자료!$A:$C,3,FALSE)&gt;=1000,"배출량조사 I 물질",""),""),"")</f>
        <v/>
      </c>
      <c r="BE56" s="18" t="str">
        <f>IFERROR(IF(표1[[#This Row],[함량(W%)]]&gt;=VLOOKUP(표1[[#This Row],[CAS No.]],'[1]규제DB_유해법_배출량조사 II'!B:D,3,FALSE),IF(VLOOKUP(표1[[#This Row],[CAS No.]],[1]기초자료!$A:$C,3,FALSE)&gt;=10000,"배출량조사 II 물질",""),""),"")</f>
        <v/>
      </c>
      <c r="BF56" s="13" t="str">
        <f>IFERROR(IF(표1[[#This Row],[함량(W%)]]&gt;=VLOOKUP(표1[[#This Row],[CAS No.]],[1]규제DB_산안법_금지물질!$B:$E,4,FALSE), VLOOKUP(표1[[#This Row],[CAS No.]],[1]규제DB_산안법_금지물질!$B:$E,2,FALSE)&amp;" : "&amp;VLOOKUP(표1[[#This Row],[CAS No.]],[1]규제DB_산안법_금지물질!$B:$E,3,FALSE)&amp;" 인지 확인하세요",""),"")</f>
        <v/>
      </c>
      <c r="BG56" s="13" t="str">
        <f>IFERROR(IF(표1[[#This Row],[함량(W%)]]&gt;=VLOOKUP(표1[[#This Row],[CAS No.]],[1]규제DB_산안법_허가물질!$B:$E,4,FALSE), "제품 허가물질",""),"")</f>
        <v/>
      </c>
      <c r="BH56" s="13" t="str">
        <f>IFERROR(IF(표1[[#This Row],[함량(W%)]]&gt;=VLOOKUP(표1[[#This Row],[CAS No.]], [1]규제DB_산안법_특별관리물질!$B:$E,4,FALSE), "제품 특별관리물질",""),"")</f>
        <v/>
      </c>
      <c r="BI56" s="13" t="str">
        <f>IFERROR(IF(표1[[#This Row],[함량(W%)]]&gt;=VLOOKUP(표1[[#This Row],[CAS No.]], [1]규제DB_산안법_관리대상유해물질!$B:$E,4,FALSE), "제품 관리대상유해물질",""),"")</f>
        <v/>
      </c>
      <c r="BJ56" s="13" t="str">
        <f>IFERROR(IF(표1[[#This Row],[CAS No.]]=VLOOKUP(표1[[#This Row],[CAS No.]], [1]규제DB_산안법_허용기준이하물질!$B:$D,1,FALSE),"제품 허용기준이하물질",""),"")</f>
        <v/>
      </c>
      <c r="BK56" s="13" t="str">
        <f>IFERROR(VLOOKUP(표1[[#This Row],[CAS No.]], [1]규제DB_산안법_허용기준이하물질!$B:$D,3,FALSE),"")</f>
        <v/>
      </c>
      <c r="BL56" s="13"/>
      <c r="BM56" s="13" t="str">
        <f>IFERROR(VLOOKUP(표1[[#This Row],[CAS No.]], [1]규제DB_산안법_노출기준설정물질!$B:$K,3,FALSE),"")</f>
        <v/>
      </c>
      <c r="BN56" s="13" t="str">
        <f>IFERROR(VLOOKUP(표1[[#This Row],[CAS No.]], [1]규제DB_산안법_노출기준설정물질!$B:$K,4,FALSE),"")</f>
        <v/>
      </c>
      <c r="BO56" s="13" t="str">
        <f>IFERROR(VLOOKUP(표1[[#This Row],[CAS No.]], [1]규제DB_산안법_노출기준설정물질!$B:$K,5,FALSE),"")</f>
        <v/>
      </c>
      <c r="BP56" s="13" t="str">
        <f>IFERROR(VLOOKUP(표1[[#This Row],[CAS No.]], [1]규제DB_산안법_노출기준설정물질!$B:$K,7,FALSE),"")</f>
        <v/>
      </c>
      <c r="BQ56" s="13" t="str">
        <f>IFERROR(VLOOKUP(표1[[#This Row],[CAS No.]], [1]규제DB_산안법_노출기준설정물질!$B:$K,8,FALSE),"")</f>
        <v/>
      </c>
      <c r="BR56" s="13" t="str">
        <f>IFERROR(VLOOKUP(표1[[#This Row],[CAS No.]], [1]규제DB_산안법_노출기준설정물질!$B:$K,9,FALSE),"")</f>
        <v/>
      </c>
      <c r="BS56" s="13" t="str">
        <f>IFERROR(VLOOKUP(표1[[#This Row],[CAS No.]], [1]규제DB_산안법_노출기준설정물질!$B:$K,10,FALSE),"")</f>
        <v/>
      </c>
      <c r="BT56" s="13" t="str">
        <f>IFERROR(IF(표1[[#This Row],[함량(W%)]]&gt;=VLOOKUP(표1[[#This Row],[CAS No.]], [1]규제DB_산안법_작업환경측정대상유해인자!$B:$F,5,FALSE), "제품 작업환경측정대상유해인자",""),"")</f>
        <v/>
      </c>
      <c r="BU56" s="13" t="str">
        <f>IFERROR(IF(표1[[#This Row],[CAS No.]]=VLOOKUP(표1[[#This Row],[CAS No.]], [1]규제DB_산안법_특수건강진단대상유해인자!$B:$C,1,FALSE), "제품 특수건강진단대상유해인자",""),"")</f>
        <v/>
      </c>
      <c r="BV56" s="13"/>
      <c r="BW56" s="13"/>
      <c r="BX56" s="13"/>
      <c r="BY56" s="13"/>
      <c r="BZ56" s="13"/>
      <c r="CA56" s="13" t="str">
        <f>IFERROR(IF(표1[[#This Row],[CAS No.]]=VLOOKUP(표1[[#This Row],[CAS No.]],[1]규제DB_고압법_가연성가스!$B:$D,1,FALSE),"가연성가스",""),"")</f>
        <v/>
      </c>
      <c r="CB56" s="13" t="str">
        <f>IFERROR(IF(표1[[#This Row],[CAS No.]]=VLOOKUP(표1[[#This Row],[CAS No.]],[1]규제DB_고압법_특수고압가스!$B:$D,1,FALSE),"특수고압가스",""),"")</f>
        <v/>
      </c>
      <c r="CC56" s="13" t="str">
        <f>IFERROR(IF(표1[[#This Row],[CAS No.]]=VLOOKUP(표1[[#This Row],[CAS No.]],[1]규제DB_고압법_특정고압가스!$B:$D,1,FALSE),"특정고압가스",""),"")</f>
        <v/>
      </c>
      <c r="CD56" s="13" t="str">
        <f>IFERROR(IF(표1[[#This Row],[함량(W%)]]&gt;=VLOOKUP(표1[[#This Row],[CAS No.]],[1]규제DB_화관법_개별취급기준!$B:$G,5,FALSE),VLOOKUP(표1[[#This Row],[CAS No.]],[1]규제DB_화관법_개별취급기준!$B:$G,6,FALSE),""),"")</f>
        <v/>
      </c>
    </row>
    <row r="57" spans="1:82" ht="27.95" customHeight="1">
      <c r="A57" s="13">
        <v>56</v>
      </c>
      <c r="B57" s="2"/>
      <c r="C57" s="3" t="s">
        <v>103</v>
      </c>
      <c r="D57" s="14"/>
      <c r="E57" s="50" t="s">
        <v>120</v>
      </c>
      <c r="F57" s="3" t="s">
        <v>90</v>
      </c>
      <c r="G57" s="5" t="s">
        <v>78</v>
      </c>
      <c r="H57" s="3" t="s">
        <v>91</v>
      </c>
      <c r="I57" s="50" t="s">
        <v>102</v>
      </c>
      <c r="J57" s="3" t="s">
        <v>166</v>
      </c>
      <c r="K57" s="3" t="s">
        <v>166</v>
      </c>
      <c r="L57" s="3"/>
      <c r="M57" s="5" t="s">
        <v>80</v>
      </c>
      <c r="N57" s="5" t="s">
        <v>179</v>
      </c>
      <c r="O57" s="53" t="s">
        <v>92</v>
      </c>
      <c r="P57" s="55" t="s">
        <v>95</v>
      </c>
      <c r="Q57" s="54">
        <v>1</v>
      </c>
      <c r="R57" s="6">
        <v>1</v>
      </c>
      <c r="S57" s="17"/>
      <c r="T57" s="17"/>
      <c r="U57" s="6">
        <v>1</v>
      </c>
      <c r="V57" s="6">
        <v>1</v>
      </c>
      <c r="W57" s="8" t="str">
        <f>표1[[#This Row],[자재코드]]&amp;"_"&amp;표1[[#This Row],[자재명]]&amp;"_"&amp;표1[[#This Row],[공급업체명]]</f>
        <v>_BEST SG RUB OP 니스_한국특수잉크공업</v>
      </c>
      <c r="X57" s="51" t="s">
        <v>149</v>
      </c>
      <c r="Y57" s="13"/>
      <c r="Z57" s="13"/>
      <c r="AA57" s="13"/>
      <c r="AB57" s="50">
        <v>100</v>
      </c>
      <c r="AC57" s="20" t="s">
        <v>86</v>
      </c>
      <c r="AD57" s="9" t="s">
        <v>83</v>
      </c>
      <c r="AE57" s="10" t="s">
        <v>89</v>
      </c>
      <c r="AF57" s="10" t="s">
        <v>89</v>
      </c>
      <c r="AG57" s="11"/>
      <c r="AH57" s="50" t="s">
        <v>195</v>
      </c>
      <c r="AI57" s="12">
        <f>IFERROR(표1[[#This Row],[사용량(kg)]]*표1[[#This Row],[함량(W%)]]/100,"")</f>
        <v>1</v>
      </c>
      <c r="AJ57" s="13"/>
      <c r="AK57" s="13"/>
      <c r="AL57" s="14"/>
      <c r="AM57" s="15"/>
      <c r="AN57" s="13"/>
      <c r="AO57" s="13"/>
      <c r="AP57" s="13"/>
      <c r="AQ57" s="13"/>
      <c r="AR57" s="13" t="str">
        <f>IFERROR(IF(표1[[#This Row],[함량(W%)]]&gt;=VLOOKUP(표1[[#This Row],[CAS No.]],[1]규제DB_유해법_유독물!B:F,5,FALSE),"유독물질 제품",""),"")</f>
        <v/>
      </c>
      <c r="AS57" s="13" t="str">
        <f>IFERROR(VLOOKUP(표1[[#This Row],[CAS No.]],[1]규제DB_유해법_금지물질!B:G,3,FALSE),"")</f>
        <v/>
      </c>
      <c r="AT57" s="13" t="str">
        <f>IFERROR(VLOOKUP(표1[[#This Row],[CAS No.]],[1]규제DB_유해법_금지물질!B:G,4,FALSE)&amp;" 인지 확인하세요","")</f>
        <v/>
      </c>
      <c r="AU57" s="13" t="str">
        <f>IFERROR(VLOOKUP(표1[[#This Row],[CAS No.]],[1]규제DB_유해법_제한물질!B:G,3,FALSE),"")</f>
        <v/>
      </c>
      <c r="AV57" s="13" t="str">
        <f>IFERROR(IF(표1[[#This Row],[함량(W%)]]&gt;=VLOOKUP(표1[[#This Row],[CAS No.]],[1]규제DB_유해법_제한물질!$B:$G,5,FALSE),"제한 제품",""),"")</f>
        <v/>
      </c>
      <c r="AW57" s="13" t="str">
        <f>IFERROR(VLOOKUP(표1[[#This Row],[CAS No.]],[1]규제DB_유해법_사고대비물질!B:J,2,FALSE),"")</f>
        <v/>
      </c>
      <c r="AX57" s="13" t="str">
        <f>IFERROR(IF(표1[[#This Row],[함량(W%)]]&gt;=VLOOKUP(표1[[#This Row],[CAS No.]],[1]규제DB_유해법_사고대비물질!$B:$J,4,FALSE),"사고대비물질 제품",""),"")</f>
        <v/>
      </c>
      <c r="AY57" s="16" t="str">
        <f>IFERROR(VLOOKUP(표1[[#This Row],[CAS No.]],[1]규제DB_유해법_사고대비물질!$B:$J,5,FALSE),"")</f>
        <v/>
      </c>
      <c r="AZ57" s="16" t="str">
        <f>IFERROR(VLOOKUP(표1[[#This Row],[CAS No.]],[1]규제DB_유해법_사고대비물질!$B:$J,6,FALSE),"")</f>
        <v/>
      </c>
      <c r="BA57" s="17" t="str">
        <f>IFERROR(IF(표1[[#This Row],[함량(W%)]]&gt;=VLOOKUP(표1[[#This Row],[CAS No.]],[1]규제DB_유해법_사고대비물질!$B:$J,4,FALSE),VLOOKUP(표1[[#This Row],[CAS No.]],[1]규제DB_유해법_사고대비물질!$B$2:$J$70,7,FALSE),""),"")</f>
        <v/>
      </c>
      <c r="BB57" s="17" t="str">
        <f>IFERROR(IF(표1[[#This Row],[함량(W%)]]&gt;=VLOOKUP(표1[[#This Row],[CAS No.]],[1]규제DB_유해법_사고대비물질!$B:$J,4,FALSE),VLOOKUP(표1[[#This Row],[CAS No.]],[1]규제DB_유해법_사고대비물질!$B$2:$J$70,8,FALSE),""),"")</f>
        <v/>
      </c>
      <c r="BC57" s="17" t="str">
        <f>IFERROR(IF(표1[[#This Row],[함량(W%)]]&gt;=VLOOKUP(표1[[#This Row],[CAS No.]],[1]규제DB_유해법_사고대비물질!$B:$J,4,FALSE),VLOOKUP(표1[[#This Row],[CAS No.]],[1]규제DB_유해법_사고대비물질!$B$2:$J$70,9,FALSE),""),"")</f>
        <v/>
      </c>
      <c r="BD57" s="18" t="str">
        <f>IFERROR(IF(표1[[#This Row],[함량(W%)]]&gt;=VLOOKUP(표1[[#This Row],[CAS No.]],'[1]규제DB_유해법_배출량조사 I'!$B:$D,3,FALSE),IF(VLOOKUP(표1[[#This Row],[CAS No.]],[1]기초자료!$A:$C,3,FALSE)&gt;=1000,"배출량조사 I 물질",""),""),"")</f>
        <v/>
      </c>
      <c r="BE57" s="18" t="str">
        <f>IFERROR(IF(표1[[#This Row],[함량(W%)]]&gt;=VLOOKUP(표1[[#This Row],[CAS No.]],'[1]규제DB_유해법_배출량조사 II'!B:D,3,FALSE),IF(VLOOKUP(표1[[#This Row],[CAS No.]],[1]기초자료!$A:$C,3,FALSE)&gt;=10000,"배출량조사 II 물질",""),""),"")</f>
        <v/>
      </c>
      <c r="BF57" s="13" t="str">
        <f>IFERROR(IF(표1[[#This Row],[함량(W%)]]&gt;=VLOOKUP(표1[[#This Row],[CAS No.]],[1]규제DB_산안법_금지물질!$B:$E,4,FALSE), VLOOKUP(표1[[#This Row],[CAS No.]],[1]규제DB_산안법_금지물질!$B:$E,2,FALSE)&amp;" : "&amp;VLOOKUP(표1[[#This Row],[CAS No.]],[1]규제DB_산안법_금지물질!$B:$E,3,FALSE)&amp;" 인지 확인하세요",""),"")</f>
        <v/>
      </c>
      <c r="BG57" s="13" t="str">
        <f>IFERROR(IF(표1[[#This Row],[함량(W%)]]&gt;=VLOOKUP(표1[[#This Row],[CAS No.]],[1]규제DB_산안법_허가물질!$B:$E,4,FALSE), "제품 허가물질",""),"")</f>
        <v/>
      </c>
      <c r="BH57" s="13" t="str">
        <f>IFERROR(IF(표1[[#This Row],[함량(W%)]]&gt;=VLOOKUP(표1[[#This Row],[CAS No.]], [1]규제DB_산안법_특별관리물질!$B:$E,4,FALSE), "제품 특별관리물질",""),"")</f>
        <v/>
      </c>
      <c r="BI57" s="13" t="str">
        <f>IFERROR(IF(표1[[#This Row],[함량(W%)]]&gt;=VLOOKUP(표1[[#This Row],[CAS No.]], [1]규제DB_산안법_관리대상유해물질!$B:$E,4,FALSE), "제품 관리대상유해물질",""),"")</f>
        <v/>
      </c>
      <c r="BJ57" s="13" t="str">
        <f>IFERROR(IF(표1[[#This Row],[CAS No.]]=VLOOKUP(표1[[#This Row],[CAS No.]], [1]규제DB_산안법_허용기준이하물질!$B:$D,1,FALSE),"제품 허용기준이하물질",""),"")</f>
        <v/>
      </c>
      <c r="BK57" s="13" t="str">
        <f>IFERROR(VLOOKUP(표1[[#This Row],[CAS No.]], [1]규제DB_산안법_허용기준이하물질!$B:$D,3,FALSE),"")</f>
        <v/>
      </c>
      <c r="BL57" s="13"/>
      <c r="BM57" s="13" t="str">
        <f>IFERROR(VLOOKUP(표1[[#This Row],[CAS No.]], [1]규제DB_산안법_노출기준설정물질!$B:$K,3,FALSE),"")</f>
        <v/>
      </c>
      <c r="BN57" s="13" t="str">
        <f>IFERROR(VLOOKUP(표1[[#This Row],[CAS No.]], [1]규제DB_산안법_노출기준설정물질!$B:$K,4,FALSE),"")</f>
        <v/>
      </c>
      <c r="BO57" s="13" t="str">
        <f>IFERROR(VLOOKUP(표1[[#This Row],[CAS No.]], [1]규제DB_산안법_노출기준설정물질!$B:$K,5,FALSE),"")</f>
        <v/>
      </c>
      <c r="BP57" s="13" t="str">
        <f>IFERROR(VLOOKUP(표1[[#This Row],[CAS No.]], [1]규제DB_산안법_노출기준설정물질!$B:$K,7,FALSE),"")</f>
        <v/>
      </c>
      <c r="BQ57" s="13" t="str">
        <f>IFERROR(VLOOKUP(표1[[#This Row],[CAS No.]], [1]규제DB_산안법_노출기준설정물질!$B:$K,8,FALSE),"")</f>
        <v/>
      </c>
      <c r="BR57" s="13" t="str">
        <f>IFERROR(VLOOKUP(표1[[#This Row],[CAS No.]], [1]규제DB_산안법_노출기준설정물질!$B:$K,9,FALSE),"")</f>
        <v/>
      </c>
      <c r="BS57" s="13" t="str">
        <f>IFERROR(VLOOKUP(표1[[#This Row],[CAS No.]], [1]규제DB_산안법_노출기준설정물질!$B:$K,10,FALSE),"")</f>
        <v/>
      </c>
      <c r="BT57" s="13" t="str">
        <f>IFERROR(IF(표1[[#This Row],[함량(W%)]]&gt;=VLOOKUP(표1[[#This Row],[CAS No.]], [1]규제DB_산안법_작업환경측정대상유해인자!$B:$F,5,FALSE), "제품 작업환경측정대상유해인자",""),"")</f>
        <v/>
      </c>
      <c r="BU57" s="13" t="str">
        <f>IFERROR(IF(표1[[#This Row],[CAS No.]]=VLOOKUP(표1[[#This Row],[CAS No.]], [1]규제DB_산안법_특수건강진단대상유해인자!$B:$C,1,FALSE), "제품 특수건강진단대상유해인자",""),"")</f>
        <v/>
      </c>
      <c r="BV57" s="13"/>
      <c r="BW57" s="13"/>
      <c r="BX57" s="13"/>
      <c r="BY57" s="13"/>
      <c r="BZ57" s="13"/>
      <c r="CA57" s="13" t="str">
        <f>IFERROR(IF(표1[[#This Row],[CAS No.]]=VLOOKUP(표1[[#This Row],[CAS No.]],[1]규제DB_고압법_가연성가스!$B:$D,1,FALSE),"가연성가스",""),"")</f>
        <v/>
      </c>
      <c r="CB57" s="13" t="str">
        <f>IFERROR(IF(표1[[#This Row],[CAS No.]]=VLOOKUP(표1[[#This Row],[CAS No.]],[1]규제DB_고압법_특수고압가스!$B:$D,1,FALSE),"특수고압가스",""),"")</f>
        <v/>
      </c>
      <c r="CC57" s="13" t="str">
        <f>IFERROR(IF(표1[[#This Row],[CAS No.]]=VLOOKUP(표1[[#This Row],[CAS No.]],[1]규제DB_고압법_특정고압가스!$B:$D,1,FALSE),"특정고압가스",""),"")</f>
        <v/>
      </c>
      <c r="CD57" s="13" t="str">
        <f>IFERROR(IF(표1[[#This Row],[함량(W%)]]&gt;=VLOOKUP(표1[[#This Row],[CAS No.]],[1]규제DB_화관법_개별취급기준!$B:$G,5,FALSE),VLOOKUP(표1[[#This Row],[CAS No.]],[1]규제DB_화관법_개별취급기준!$B:$G,6,FALSE),""),"")</f>
        <v/>
      </c>
    </row>
    <row r="58" spans="1:82" ht="27.95" customHeight="1">
      <c r="A58" s="13">
        <v>57</v>
      </c>
      <c r="B58" s="2"/>
      <c r="C58" s="3" t="s">
        <v>103</v>
      </c>
      <c r="D58" s="14"/>
      <c r="E58" s="50" t="s">
        <v>121</v>
      </c>
      <c r="F58" s="3" t="s">
        <v>90</v>
      </c>
      <c r="G58" s="5" t="s">
        <v>78</v>
      </c>
      <c r="H58" s="3" t="s">
        <v>91</v>
      </c>
      <c r="I58" s="50" t="s">
        <v>102</v>
      </c>
      <c r="J58" s="3" t="s">
        <v>166</v>
      </c>
      <c r="K58" s="3" t="s">
        <v>166</v>
      </c>
      <c r="L58" s="3"/>
      <c r="M58" s="5" t="s">
        <v>80</v>
      </c>
      <c r="N58" s="5" t="s">
        <v>179</v>
      </c>
      <c r="O58" s="53" t="s">
        <v>92</v>
      </c>
      <c r="P58" s="55" t="s">
        <v>98</v>
      </c>
      <c r="Q58" s="54">
        <v>120</v>
      </c>
      <c r="R58" s="6">
        <v>120</v>
      </c>
      <c r="S58" s="17"/>
      <c r="T58" s="17"/>
      <c r="U58" s="6">
        <v>120</v>
      </c>
      <c r="V58" s="6">
        <v>120</v>
      </c>
      <c r="W58" s="8" t="str">
        <f>표1[[#This Row],[자재코드]]&amp;"_"&amp;표1[[#This Row],[자재명]]&amp;"_"&amp;표1[[#This Row],[공급업체명]]</f>
        <v>_BEST SG MEDIUM_한국특수잉크공업</v>
      </c>
      <c r="X58" s="51" t="s">
        <v>156</v>
      </c>
      <c r="Y58" s="13"/>
      <c r="Z58" s="13"/>
      <c r="AA58" s="13"/>
      <c r="AB58" s="50">
        <v>100</v>
      </c>
      <c r="AC58" s="20" t="s">
        <v>86</v>
      </c>
      <c r="AD58" s="9" t="s">
        <v>83</v>
      </c>
      <c r="AE58" s="10" t="s">
        <v>89</v>
      </c>
      <c r="AF58" s="10" t="s">
        <v>89</v>
      </c>
      <c r="AG58" s="11"/>
      <c r="AH58" s="50" t="s">
        <v>202</v>
      </c>
      <c r="AI58" s="12">
        <f>IFERROR(표1[[#This Row],[사용량(kg)]]*표1[[#This Row],[함량(W%)]]/100,"")</f>
        <v>120</v>
      </c>
      <c r="AJ58" s="13"/>
      <c r="AK58" s="13"/>
      <c r="AL58" s="14"/>
      <c r="AM58" s="15"/>
      <c r="AN58" s="13"/>
      <c r="AO58" s="13"/>
      <c r="AP58" s="13"/>
      <c r="AQ58" s="13"/>
      <c r="AR58" s="13" t="str">
        <f>IFERROR(IF(표1[[#This Row],[함량(W%)]]&gt;=VLOOKUP(표1[[#This Row],[CAS No.]],[1]규제DB_유해법_유독물!B:F,5,FALSE),"유독물질 제품",""),"")</f>
        <v/>
      </c>
      <c r="AS58" s="13" t="str">
        <f>IFERROR(VLOOKUP(표1[[#This Row],[CAS No.]],[1]규제DB_유해법_금지물질!B:G,3,FALSE),"")</f>
        <v/>
      </c>
      <c r="AT58" s="13" t="str">
        <f>IFERROR(VLOOKUP(표1[[#This Row],[CAS No.]],[1]규제DB_유해법_금지물질!B:G,4,FALSE)&amp;" 인지 확인하세요","")</f>
        <v/>
      </c>
      <c r="AU58" s="13" t="str">
        <f>IFERROR(VLOOKUP(표1[[#This Row],[CAS No.]],[1]규제DB_유해법_제한물질!B:G,3,FALSE),"")</f>
        <v/>
      </c>
      <c r="AV58" s="13" t="str">
        <f>IFERROR(IF(표1[[#This Row],[함량(W%)]]&gt;=VLOOKUP(표1[[#This Row],[CAS No.]],[1]규제DB_유해법_제한물질!$B:$G,5,FALSE),"제한 제품",""),"")</f>
        <v/>
      </c>
      <c r="AW58" s="13" t="str">
        <f>IFERROR(VLOOKUP(표1[[#This Row],[CAS No.]],[1]규제DB_유해법_사고대비물질!B:J,2,FALSE),"")</f>
        <v/>
      </c>
      <c r="AX58" s="13" t="str">
        <f>IFERROR(IF(표1[[#This Row],[함량(W%)]]&gt;=VLOOKUP(표1[[#This Row],[CAS No.]],[1]규제DB_유해법_사고대비물질!$B:$J,4,FALSE),"사고대비물질 제품",""),"")</f>
        <v/>
      </c>
      <c r="AY58" s="16" t="str">
        <f>IFERROR(VLOOKUP(표1[[#This Row],[CAS No.]],[1]규제DB_유해법_사고대비물질!$B:$J,5,FALSE),"")</f>
        <v/>
      </c>
      <c r="AZ58" s="16" t="str">
        <f>IFERROR(VLOOKUP(표1[[#This Row],[CAS No.]],[1]규제DB_유해법_사고대비물질!$B:$J,6,FALSE),"")</f>
        <v/>
      </c>
      <c r="BA58" s="17" t="str">
        <f>IFERROR(IF(표1[[#This Row],[함량(W%)]]&gt;=VLOOKUP(표1[[#This Row],[CAS No.]],[1]규제DB_유해법_사고대비물질!$B:$J,4,FALSE),VLOOKUP(표1[[#This Row],[CAS No.]],[1]규제DB_유해법_사고대비물질!$B$2:$J$70,7,FALSE),""),"")</f>
        <v/>
      </c>
      <c r="BB58" s="17" t="str">
        <f>IFERROR(IF(표1[[#This Row],[함량(W%)]]&gt;=VLOOKUP(표1[[#This Row],[CAS No.]],[1]규제DB_유해법_사고대비물질!$B:$J,4,FALSE),VLOOKUP(표1[[#This Row],[CAS No.]],[1]규제DB_유해법_사고대비물질!$B$2:$J$70,8,FALSE),""),"")</f>
        <v/>
      </c>
      <c r="BC58" s="17" t="str">
        <f>IFERROR(IF(표1[[#This Row],[함량(W%)]]&gt;=VLOOKUP(표1[[#This Row],[CAS No.]],[1]규제DB_유해법_사고대비물질!$B:$J,4,FALSE),VLOOKUP(표1[[#This Row],[CAS No.]],[1]규제DB_유해법_사고대비물질!$B$2:$J$70,9,FALSE),""),"")</f>
        <v/>
      </c>
      <c r="BD58" s="18" t="str">
        <f>IFERROR(IF(표1[[#This Row],[함량(W%)]]&gt;=VLOOKUP(표1[[#This Row],[CAS No.]],'[1]규제DB_유해법_배출량조사 I'!$B:$D,3,FALSE),IF(VLOOKUP(표1[[#This Row],[CAS No.]],[1]기초자료!$A:$C,3,FALSE)&gt;=1000,"배출량조사 I 물질",""),""),"")</f>
        <v/>
      </c>
      <c r="BE58" s="18" t="str">
        <f>IFERROR(IF(표1[[#This Row],[함량(W%)]]&gt;=VLOOKUP(표1[[#This Row],[CAS No.]],'[1]규제DB_유해법_배출량조사 II'!B:D,3,FALSE),IF(VLOOKUP(표1[[#This Row],[CAS No.]],[1]기초자료!$A:$C,3,FALSE)&gt;=10000,"배출량조사 II 물질",""),""),"")</f>
        <v/>
      </c>
      <c r="BF58" s="13" t="str">
        <f>IFERROR(IF(표1[[#This Row],[함량(W%)]]&gt;=VLOOKUP(표1[[#This Row],[CAS No.]],[1]규제DB_산안법_금지물질!$B:$E,4,FALSE), VLOOKUP(표1[[#This Row],[CAS No.]],[1]규제DB_산안법_금지물질!$B:$E,2,FALSE)&amp;" : "&amp;VLOOKUP(표1[[#This Row],[CAS No.]],[1]규제DB_산안법_금지물질!$B:$E,3,FALSE)&amp;" 인지 확인하세요",""),"")</f>
        <v/>
      </c>
      <c r="BG58" s="13" t="str">
        <f>IFERROR(IF(표1[[#This Row],[함량(W%)]]&gt;=VLOOKUP(표1[[#This Row],[CAS No.]],[1]규제DB_산안법_허가물질!$B:$E,4,FALSE), "제품 허가물질",""),"")</f>
        <v/>
      </c>
      <c r="BH58" s="13" t="str">
        <f>IFERROR(IF(표1[[#This Row],[함량(W%)]]&gt;=VLOOKUP(표1[[#This Row],[CAS No.]], [1]규제DB_산안법_특별관리물질!$B:$E,4,FALSE), "제품 특별관리물질",""),"")</f>
        <v/>
      </c>
      <c r="BI58" s="13" t="str">
        <f>IFERROR(IF(표1[[#This Row],[함량(W%)]]&gt;=VLOOKUP(표1[[#This Row],[CAS No.]], [1]규제DB_산안법_관리대상유해물질!$B:$E,4,FALSE), "제품 관리대상유해물질",""),"")</f>
        <v/>
      </c>
      <c r="BJ58" s="13" t="str">
        <f>IFERROR(IF(표1[[#This Row],[CAS No.]]=VLOOKUP(표1[[#This Row],[CAS No.]], [1]규제DB_산안법_허용기준이하물질!$B:$D,1,FALSE),"제품 허용기준이하물질",""),"")</f>
        <v/>
      </c>
      <c r="BK58" s="13" t="str">
        <f>IFERROR(VLOOKUP(표1[[#This Row],[CAS No.]], [1]규제DB_산안법_허용기준이하물질!$B:$D,3,FALSE),"")</f>
        <v/>
      </c>
      <c r="BL58" s="13"/>
      <c r="BM58" s="13" t="str">
        <f>IFERROR(VLOOKUP(표1[[#This Row],[CAS No.]], [1]규제DB_산안법_노출기준설정물질!$B:$K,3,FALSE),"")</f>
        <v/>
      </c>
      <c r="BN58" s="13" t="str">
        <f>IFERROR(VLOOKUP(표1[[#This Row],[CAS No.]], [1]규제DB_산안법_노출기준설정물질!$B:$K,4,FALSE),"")</f>
        <v/>
      </c>
      <c r="BO58" s="13" t="str">
        <f>IFERROR(VLOOKUP(표1[[#This Row],[CAS No.]], [1]규제DB_산안법_노출기준설정물질!$B:$K,5,FALSE),"")</f>
        <v/>
      </c>
      <c r="BP58" s="13" t="str">
        <f>IFERROR(VLOOKUP(표1[[#This Row],[CAS No.]], [1]규제DB_산안법_노출기준설정물질!$B:$K,7,FALSE),"")</f>
        <v/>
      </c>
      <c r="BQ58" s="13" t="str">
        <f>IFERROR(VLOOKUP(표1[[#This Row],[CAS No.]], [1]규제DB_산안법_노출기준설정물질!$B:$K,8,FALSE),"")</f>
        <v/>
      </c>
      <c r="BR58" s="13" t="str">
        <f>IFERROR(VLOOKUP(표1[[#This Row],[CAS No.]], [1]규제DB_산안법_노출기준설정물질!$B:$K,9,FALSE),"")</f>
        <v/>
      </c>
      <c r="BS58" s="13" t="str">
        <f>IFERROR(VLOOKUP(표1[[#This Row],[CAS No.]], [1]규제DB_산안법_노출기준설정물질!$B:$K,10,FALSE),"")</f>
        <v/>
      </c>
      <c r="BT58" s="13" t="str">
        <f>IFERROR(IF(표1[[#This Row],[함량(W%)]]&gt;=VLOOKUP(표1[[#This Row],[CAS No.]], [1]규제DB_산안법_작업환경측정대상유해인자!$B:$F,5,FALSE), "제품 작업환경측정대상유해인자",""),"")</f>
        <v/>
      </c>
      <c r="BU58" s="13" t="str">
        <f>IFERROR(IF(표1[[#This Row],[CAS No.]]=VLOOKUP(표1[[#This Row],[CAS No.]], [1]규제DB_산안법_특수건강진단대상유해인자!$B:$C,1,FALSE), "제품 특수건강진단대상유해인자",""),"")</f>
        <v/>
      </c>
      <c r="BV58" s="13"/>
      <c r="BW58" s="13"/>
      <c r="BX58" s="13"/>
      <c r="BY58" s="13"/>
      <c r="BZ58" s="13"/>
      <c r="CA58" s="13" t="str">
        <f>IFERROR(IF(표1[[#This Row],[CAS No.]]=VLOOKUP(표1[[#This Row],[CAS No.]],[1]규제DB_고압법_가연성가스!$B:$D,1,FALSE),"가연성가스",""),"")</f>
        <v/>
      </c>
      <c r="CB58" s="13" t="str">
        <f>IFERROR(IF(표1[[#This Row],[CAS No.]]=VLOOKUP(표1[[#This Row],[CAS No.]],[1]규제DB_고압법_특수고압가스!$B:$D,1,FALSE),"특수고압가스",""),"")</f>
        <v/>
      </c>
      <c r="CC58" s="13" t="str">
        <f>IFERROR(IF(표1[[#This Row],[CAS No.]]=VLOOKUP(표1[[#This Row],[CAS No.]],[1]규제DB_고압법_특정고압가스!$B:$D,1,FALSE),"특정고압가스",""),"")</f>
        <v/>
      </c>
      <c r="CD58" s="13" t="str">
        <f>IFERROR(IF(표1[[#This Row],[함량(W%)]]&gt;=VLOOKUP(표1[[#This Row],[CAS No.]],[1]규제DB_화관법_개별취급기준!$B:$G,5,FALSE),VLOOKUP(표1[[#This Row],[CAS No.]],[1]규제DB_화관법_개별취급기준!$B:$G,6,FALSE),""),"")</f>
        <v/>
      </c>
    </row>
    <row r="59" spans="1:82" ht="27.95" customHeight="1">
      <c r="A59" s="13">
        <v>58</v>
      </c>
      <c r="B59" s="2"/>
      <c r="C59" s="3" t="s">
        <v>103</v>
      </c>
      <c r="D59" s="14"/>
      <c r="E59" s="50" t="s">
        <v>121</v>
      </c>
      <c r="F59" s="3" t="s">
        <v>90</v>
      </c>
      <c r="G59" s="5" t="s">
        <v>78</v>
      </c>
      <c r="H59" s="3" t="s">
        <v>91</v>
      </c>
      <c r="I59" s="50" t="s">
        <v>102</v>
      </c>
      <c r="J59" s="3" t="s">
        <v>166</v>
      </c>
      <c r="K59" s="3" t="s">
        <v>166</v>
      </c>
      <c r="L59" s="3"/>
      <c r="M59" s="5" t="s">
        <v>80</v>
      </c>
      <c r="N59" s="5" t="s">
        <v>179</v>
      </c>
      <c r="O59" s="53" t="s">
        <v>92</v>
      </c>
      <c r="P59" s="55" t="s">
        <v>95</v>
      </c>
      <c r="Q59" s="54">
        <v>120</v>
      </c>
      <c r="R59" s="6">
        <v>120</v>
      </c>
      <c r="S59" s="17"/>
      <c r="T59" s="17"/>
      <c r="U59" s="6">
        <v>120</v>
      </c>
      <c r="V59" s="6">
        <v>120</v>
      </c>
      <c r="W59" s="8" t="str">
        <f>표1[[#This Row],[자재코드]]&amp;"_"&amp;표1[[#This Row],[자재명]]&amp;"_"&amp;표1[[#This Row],[공급업체명]]</f>
        <v>_BEST SG MEDIUM_한국특수잉크공업</v>
      </c>
      <c r="X59" s="51" t="s">
        <v>155</v>
      </c>
      <c r="Y59" s="13"/>
      <c r="Z59" s="13"/>
      <c r="AA59" s="13"/>
      <c r="AB59" s="50">
        <v>100</v>
      </c>
      <c r="AC59" s="20" t="s">
        <v>86</v>
      </c>
      <c r="AD59" s="9" t="s">
        <v>83</v>
      </c>
      <c r="AE59" s="10" t="s">
        <v>89</v>
      </c>
      <c r="AF59" s="10" t="s">
        <v>89</v>
      </c>
      <c r="AG59" s="11"/>
      <c r="AH59" s="50" t="s">
        <v>201</v>
      </c>
      <c r="AI59" s="12">
        <f>IFERROR(표1[[#This Row],[사용량(kg)]]*표1[[#This Row],[함량(W%)]]/100,"")</f>
        <v>120</v>
      </c>
      <c r="AJ59" s="13"/>
      <c r="AK59" s="13"/>
      <c r="AL59" s="14"/>
      <c r="AM59" s="15"/>
      <c r="AN59" s="13"/>
      <c r="AO59" s="13"/>
      <c r="AP59" s="13"/>
      <c r="AQ59" s="13"/>
      <c r="AR59" s="13" t="str">
        <f>IFERROR(IF(표1[[#This Row],[함량(W%)]]&gt;=VLOOKUP(표1[[#This Row],[CAS No.]],[1]규제DB_유해법_유독물!B:F,5,FALSE),"유독물질 제품",""),"")</f>
        <v/>
      </c>
      <c r="AS59" s="13" t="str">
        <f>IFERROR(VLOOKUP(표1[[#This Row],[CAS No.]],[1]규제DB_유해법_금지물질!B:G,3,FALSE),"")</f>
        <v/>
      </c>
      <c r="AT59" s="13" t="str">
        <f>IFERROR(VLOOKUP(표1[[#This Row],[CAS No.]],[1]규제DB_유해법_금지물질!B:G,4,FALSE)&amp;" 인지 확인하세요","")</f>
        <v/>
      </c>
      <c r="AU59" s="13" t="str">
        <f>IFERROR(VLOOKUP(표1[[#This Row],[CAS No.]],[1]규제DB_유해법_제한물질!B:G,3,FALSE),"")</f>
        <v/>
      </c>
      <c r="AV59" s="13" t="str">
        <f>IFERROR(IF(표1[[#This Row],[함량(W%)]]&gt;=VLOOKUP(표1[[#This Row],[CAS No.]],[1]규제DB_유해법_제한물질!$B:$G,5,FALSE),"제한 제품",""),"")</f>
        <v/>
      </c>
      <c r="AW59" s="13" t="str">
        <f>IFERROR(VLOOKUP(표1[[#This Row],[CAS No.]],[1]규제DB_유해법_사고대비물질!B:J,2,FALSE),"")</f>
        <v/>
      </c>
      <c r="AX59" s="13" t="str">
        <f>IFERROR(IF(표1[[#This Row],[함량(W%)]]&gt;=VLOOKUP(표1[[#This Row],[CAS No.]],[1]규제DB_유해법_사고대비물질!$B:$J,4,FALSE),"사고대비물질 제품",""),"")</f>
        <v/>
      </c>
      <c r="AY59" s="16" t="str">
        <f>IFERROR(VLOOKUP(표1[[#This Row],[CAS No.]],[1]규제DB_유해법_사고대비물질!$B:$J,5,FALSE),"")</f>
        <v/>
      </c>
      <c r="AZ59" s="16" t="str">
        <f>IFERROR(VLOOKUP(표1[[#This Row],[CAS No.]],[1]규제DB_유해법_사고대비물질!$B:$J,6,FALSE),"")</f>
        <v/>
      </c>
      <c r="BA59" s="17" t="str">
        <f>IFERROR(IF(표1[[#This Row],[함량(W%)]]&gt;=VLOOKUP(표1[[#This Row],[CAS No.]],[1]규제DB_유해법_사고대비물질!$B:$J,4,FALSE),VLOOKUP(표1[[#This Row],[CAS No.]],[1]규제DB_유해법_사고대비물질!$B$2:$J$70,7,FALSE),""),"")</f>
        <v/>
      </c>
      <c r="BB59" s="17" t="str">
        <f>IFERROR(IF(표1[[#This Row],[함량(W%)]]&gt;=VLOOKUP(표1[[#This Row],[CAS No.]],[1]규제DB_유해법_사고대비물질!$B:$J,4,FALSE),VLOOKUP(표1[[#This Row],[CAS No.]],[1]규제DB_유해법_사고대비물질!$B$2:$J$70,8,FALSE),""),"")</f>
        <v/>
      </c>
      <c r="BC59" s="17" t="str">
        <f>IFERROR(IF(표1[[#This Row],[함량(W%)]]&gt;=VLOOKUP(표1[[#This Row],[CAS No.]],[1]규제DB_유해법_사고대비물질!$B:$J,4,FALSE),VLOOKUP(표1[[#This Row],[CAS No.]],[1]규제DB_유해법_사고대비물질!$B$2:$J$70,9,FALSE),""),"")</f>
        <v/>
      </c>
      <c r="BD59" s="18" t="str">
        <f>IFERROR(IF(표1[[#This Row],[함량(W%)]]&gt;=VLOOKUP(표1[[#This Row],[CAS No.]],'[1]규제DB_유해법_배출량조사 I'!$B:$D,3,FALSE),IF(VLOOKUP(표1[[#This Row],[CAS No.]],[1]기초자료!$A:$C,3,FALSE)&gt;=1000,"배출량조사 I 물질",""),""),"")</f>
        <v/>
      </c>
      <c r="BE59" s="18" t="str">
        <f>IFERROR(IF(표1[[#This Row],[함량(W%)]]&gt;=VLOOKUP(표1[[#This Row],[CAS No.]],'[1]규제DB_유해법_배출량조사 II'!B:D,3,FALSE),IF(VLOOKUP(표1[[#This Row],[CAS No.]],[1]기초자료!$A:$C,3,FALSE)&gt;=10000,"배출량조사 II 물질",""),""),"")</f>
        <v/>
      </c>
      <c r="BF59" s="13" t="str">
        <f>IFERROR(IF(표1[[#This Row],[함량(W%)]]&gt;=VLOOKUP(표1[[#This Row],[CAS No.]],[1]규제DB_산안법_금지물질!$B:$E,4,FALSE), VLOOKUP(표1[[#This Row],[CAS No.]],[1]규제DB_산안법_금지물질!$B:$E,2,FALSE)&amp;" : "&amp;VLOOKUP(표1[[#This Row],[CAS No.]],[1]규제DB_산안법_금지물질!$B:$E,3,FALSE)&amp;" 인지 확인하세요",""),"")</f>
        <v/>
      </c>
      <c r="BG59" s="13" t="str">
        <f>IFERROR(IF(표1[[#This Row],[함량(W%)]]&gt;=VLOOKUP(표1[[#This Row],[CAS No.]],[1]규제DB_산안법_허가물질!$B:$E,4,FALSE), "제품 허가물질",""),"")</f>
        <v/>
      </c>
      <c r="BH59" s="13" t="str">
        <f>IFERROR(IF(표1[[#This Row],[함량(W%)]]&gt;=VLOOKUP(표1[[#This Row],[CAS No.]], [1]규제DB_산안법_특별관리물질!$B:$E,4,FALSE), "제품 특별관리물질",""),"")</f>
        <v/>
      </c>
      <c r="BI59" s="13" t="str">
        <f>IFERROR(IF(표1[[#This Row],[함량(W%)]]&gt;=VLOOKUP(표1[[#This Row],[CAS No.]], [1]규제DB_산안법_관리대상유해물질!$B:$E,4,FALSE), "제품 관리대상유해물질",""),"")</f>
        <v/>
      </c>
      <c r="BJ59" s="13" t="str">
        <f>IFERROR(IF(표1[[#This Row],[CAS No.]]=VLOOKUP(표1[[#This Row],[CAS No.]], [1]규제DB_산안법_허용기준이하물질!$B:$D,1,FALSE),"제품 허용기준이하물질",""),"")</f>
        <v/>
      </c>
      <c r="BK59" s="13" t="str">
        <f>IFERROR(VLOOKUP(표1[[#This Row],[CAS No.]], [1]규제DB_산안법_허용기준이하물질!$B:$D,3,FALSE),"")</f>
        <v/>
      </c>
      <c r="BL59" s="13"/>
      <c r="BM59" s="13" t="str">
        <f>IFERROR(VLOOKUP(표1[[#This Row],[CAS No.]], [1]규제DB_산안법_노출기준설정물질!$B:$K,3,FALSE),"")</f>
        <v/>
      </c>
      <c r="BN59" s="13" t="str">
        <f>IFERROR(VLOOKUP(표1[[#This Row],[CAS No.]], [1]규제DB_산안법_노출기준설정물질!$B:$K,4,FALSE),"")</f>
        <v/>
      </c>
      <c r="BO59" s="13" t="str">
        <f>IFERROR(VLOOKUP(표1[[#This Row],[CAS No.]], [1]규제DB_산안법_노출기준설정물질!$B:$K,5,FALSE),"")</f>
        <v/>
      </c>
      <c r="BP59" s="13" t="str">
        <f>IFERROR(VLOOKUP(표1[[#This Row],[CAS No.]], [1]규제DB_산안법_노출기준설정물질!$B:$K,7,FALSE),"")</f>
        <v/>
      </c>
      <c r="BQ59" s="13" t="str">
        <f>IFERROR(VLOOKUP(표1[[#This Row],[CAS No.]], [1]규제DB_산안법_노출기준설정물질!$B:$K,8,FALSE),"")</f>
        <v/>
      </c>
      <c r="BR59" s="13" t="str">
        <f>IFERROR(VLOOKUP(표1[[#This Row],[CAS No.]], [1]규제DB_산안법_노출기준설정물질!$B:$K,9,FALSE),"")</f>
        <v/>
      </c>
      <c r="BS59" s="13" t="str">
        <f>IFERROR(VLOOKUP(표1[[#This Row],[CAS No.]], [1]규제DB_산안법_노출기준설정물질!$B:$K,10,FALSE),"")</f>
        <v/>
      </c>
      <c r="BT59" s="13" t="str">
        <f>IFERROR(IF(표1[[#This Row],[함량(W%)]]&gt;=VLOOKUP(표1[[#This Row],[CAS No.]], [1]규제DB_산안법_작업환경측정대상유해인자!$B:$F,5,FALSE), "제품 작업환경측정대상유해인자",""),"")</f>
        <v/>
      </c>
      <c r="BU59" s="13" t="str">
        <f>IFERROR(IF(표1[[#This Row],[CAS No.]]=VLOOKUP(표1[[#This Row],[CAS No.]], [1]규제DB_산안법_특수건강진단대상유해인자!$B:$C,1,FALSE), "제품 특수건강진단대상유해인자",""),"")</f>
        <v/>
      </c>
      <c r="BV59" s="13"/>
      <c r="BW59" s="13"/>
      <c r="BX59" s="13"/>
      <c r="BY59" s="13"/>
      <c r="BZ59" s="13"/>
      <c r="CA59" s="13" t="str">
        <f>IFERROR(IF(표1[[#This Row],[CAS No.]]=VLOOKUP(표1[[#This Row],[CAS No.]],[1]규제DB_고압법_가연성가스!$B:$D,1,FALSE),"가연성가스",""),"")</f>
        <v/>
      </c>
      <c r="CB59" s="13" t="str">
        <f>IFERROR(IF(표1[[#This Row],[CAS No.]]=VLOOKUP(표1[[#This Row],[CAS No.]],[1]규제DB_고압법_특수고압가스!$B:$D,1,FALSE),"특수고압가스",""),"")</f>
        <v/>
      </c>
      <c r="CC59" s="13" t="str">
        <f>IFERROR(IF(표1[[#This Row],[CAS No.]]=VLOOKUP(표1[[#This Row],[CAS No.]],[1]규제DB_고압법_특정고압가스!$B:$D,1,FALSE),"특정고압가스",""),"")</f>
        <v/>
      </c>
      <c r="CD59" s="13" t="str">
        <f>IFERROR(IF(표1[[#This Row],[함량(W%)]]&gt;=VLOOKUP(표1[[#This Row],[CAS No.]],[1]규제DB_화관법_개별취급기준!$B:$G,5,FALSE),VLOOKUP(표1[[#This Row],[CAS No.]],[1]규제DB_화관법_개별취급기준!$B:$G,6,FALSE),""),"")</f>
        <v/>
      </c>
    </row>
    <row r="60" spans="1:82" ht="27.95" customHeight="1">
      <c r="A60" s="13">
        <v>59</v>
      </c>
      <c r="B60" s="2"/>
      <c r="C60" s="3" t="s">
        <v>103</v>
      </c>
      <c r="D60" s="14"/>
      <c r="E60" s="50" t="s">
        <v>121</v>
      </c>
      <c r="F60" s="3" t="s">
        <v>90</v>
      </c>
      <c r="G60" s="5" t="s">
        <v>78</v>
      </c>
      <c r="H60" s="3" t="s">
        <v>91</v>
      </c>
      <c r="I60" s="50" t="s">
        <v>102</v>
      </c>
      <c r="J60" s="3" t="s">
        <v>166</v>
      </c>
      <c r="K60" s="3" t="s">
        <v>166</v>
      </c>
      <c r="L60" s="3"/>
      <c r="M60" s="5" t="s">
        <v>80</v>
      </c>
      <c r="N60" s="5" t="s">
        <v>179</v>
      </c>
      <c r="O60" s="53" t="s">
        <v>92</v>
      </c>
      <c r="P60" s="55" t="s">
        <v>95</v>
      </c>
      <c r="Q60" s="54">
        <v>120</v>
      </c>
      <c r="R60" s="6">
        <v>120</v>
      </c>
      <c r="S60" s="17"/>
      <c r="T60" s="17"/>
      <c r="U60" s="6">
        <v>120</v>
      </c>
      <c r="V60" s="6">
        <v>120</v>
      </c>
      <c r="W60" s="8" t="str">
        <f>표1[[#This Row],[자재코드]]&amp;"_"&amp;표1[[#This Row],[자재명]]&amp;"_"&amp;표1[[#This Row],[공급업체명]]</f>
        <v>_BEST SG MEDIUM_한국특수잉크공업</v>
      </c>
      <c r="X60" s="51" t="s">
        <v>161</v>
      </c>
      <c r="Y60" s="13"/>
      <c r="Z60" s="13"/>
      <c r="AA60" s="13"/>
      <c r="AB60" s="50">
        <v>100</v>
      </c>
      <c r="AC60" s="20" t="s">
        <v>86</v>
      </c>
      <c r="AD60" s="9" t="s">
        <v>83</v>
      </c>
      <c r="AE60" s="10" t="s">
        <v>89</v>
      </c>
      <c r="AF60" s="10" t="s">
        <v>89</v>
      </c>
      <c r="AG60" s="11"/>
      <c r="AH60" s="50" t="s">
        <v>206</v>
      </c>
      <c r="AI60" s="12">
        <f>IFERROR(표1[[#This Row],[사용량(kg)]]*표1[[#This Row],[함량(W%)]]/100,"")</f>
        <v>120</v>
      </c>
      <c r="AJ60" s="13"/>
      <c r="AK60" s="13"/>
      <c r="AL60" s="14"/>
      <c r="AM60" s="15"/>
      <c r="AN60" s="13"/>
      <c r="AO60" s="13"/>
      <c r="AP60" s="13"/>
      <c r="AQ60" s="13"/>
      <c r="AR60" s="13" t="str">
        <f>IFERROR(IF(표1[[#This Row],[함량(W%)]]&gt;=VLOOKUP(표1[[#This Row],[CAS No.]],[1]규제DB_유해법_유독물!B:F,5,FALSE),"유독물질 제품",""),"")</f>
        <v/>
      </c>
      <c r="AS60" s="13" t="str">
        <f>IFERROR(VLOOKUP(표1[[#This Row],[CAS No.]],[1]규제DB_유해법_금지물질!B:G,3,FALSE),"")</f>
        <v/>
      </c>
      <c r="AT60" s="13" t="str">
        <f>IFERROR(VLOOKUP(표1[[#This Row],[CAS No.]],[1]규제DB_유해법_금지물질!B:G,4,FALSE)&amp;" 인지 확인하세요","")</f>
        <v/>
      </c>
      <c r="AU60" s="13" t="str">
        <f>IFERROR(VLOOKUP(표1[[#This Row],[CAS No.]],[1]규제DB_유해법_제한물질!B:G,3,FALSE),"")</f>
        <v/>
      </c>
      <c r="AV60" s="13" t="str">
        <f>IFERROR(IF(표1[[#This Row],[함량(W%)]]&gt;=VLOOKUP(표1[[#This Row],[CAS No.]],[1]규제DB_유해법_제한물질!$B:$G,5,FALSE),"제한 제품",""),"")</f>
        <v/>
      </c>
      <c r="AW60" s="13" t="str">
        <f>IFERROR(VLOOKUP(표1[[#This Row],[CAS No.]],[1]규제DB_유해법_사고대비물질!B:J,2,FALSE),"")</f>
        <v/>
      </c>
      <c r="AX60" s="13" t="str">
        <f>IFERROR(IF(표1[[#This Row],[함량(W%)]]&gt;=VLOOKUP(표1[[#This Row],[CAS No.]],[1]규제DB_유해법_사고대비물질!$B:$J,4,FALSE),"사고대비물질 제품",""),"")</f>
        <v/>
      </c>
      <c r="AY60" s="16" t="str">
        <f>IFERROR(VLOOKUP(표1[[#This Row],[CAS No.]],[1]규제DB_유해법_사고대비물질!$B:$J,5,FALSE),"")</f>
        <v/>
      </c>
      <c r="AZ60" s="16" t="str">
        <f>IFERROR(VLOOKUP(표1[[#This Row],[CAS No.]],[1]규제DB_유해법_사고대비물질!$B:$J,6,FALSE),"")</f>
        <v/>
      </c>
      <c r="BA60" s="17" t="str">
        <f>IFERROR(IF(표1[[#This Row],[함량(W%)]]&gt;=VLOOKUP(표1[[#This Row],[CAS No.]],[1]규제DB_유해법_사고대비물질!$B:$J,4,FALSE),VLOOKUP(표1[[#This Row],[CAS No.]],[1]규제DB_유해법_사고대비물질!$B$2:$J$70,7,FALSE),""),"")</f>
        <v/>
      </c>
      <c r="BB60" s="17" t="str">
        <f>IFERROR(IF(표1[[#This Row],[함량(W%)]]&gt;=VLOOKUP(표1[[#This Row],[CAS No.]],[1]규제DB_유해법_사고대비물질!$B:$J,4,FALSE),VLOOKUP(표1[[#This Row],[CAS No.]],[1]규제DB_유해법_사고대비물질!$B$2:$J$70,8,FALSE),""),"")</f>
        <v/>
      </c>
      <c r="BC60" s="17" t="str">
        <f>IFERROR(IF(표1[[#This Row],[함량(W%)]]&gt;=VLOOKUP(표1[[#This Row],[CAS No.]],[1]규제DB_유해법_사고대비물질!$B:$J,4,FALSE),VLOOKUP(표1[[#This Row],[CAS No.]],[1]규제DB_유해법_사고대비물질!$B$2:$J$70,9,FALSE),""),"")</f>
        <v/>
      </c>
      <c r="BD60" s="18" t="str">
        <f>IFERROR(IF(표1[[#This Row],[함량(W%)]]&gt;=VLOOKUP(표1[[#This Row],[CAS No.]],'[1]규제DB_유해법_배출량조사 I'!$B:$D,3,FALSE),IF(VLOOKUP(표1[[#This Row],[CAS No.]],[1]기초자료!$A:$C,3,FALSE)&gt;=1000,"배출량조사 I 물질",""),""),"")</f>
        <v/>
      </c>
      <c r="BE60" s="18" t="str">
        <f>IFERROR(IF(표1[[#This Row],[함량(W%)]]&gt;=VLOOKUP(표1[[#This Row],[CAS No.]],'[1]규제DB_유해법_배출량조사 II'!B:D,3,FALSE),IF(VLOOKUP(표1[[#This Row],[CAS No.]],[1]기초자료!$A:$C,3,FALSE)&gt;=10000,"배출량조사 II 물질",""),""),"")</f>
        <v/>
      </c>
      <c r="BF60" s="13" t="str">
        <f>IFERROR(IF(표1[[#This Row],[함량(W%)]]&gt;=VLOOKUP(표1[[#This Row],[CAS No.]],[1]규제DB_산안법_금지물질!$B:$E,4,FALSE), VLOOKUP(표1[[#This Row],[CAS No.]],[1]규제DB_산안법_금지물질!$B:$E,2,FALSE)&amp;" : "&amp;VLOOKUP(표1[[#This Row],[CAS No.]],[1]규제DB_산안법_금지물질!$B:$E,3,FALSE)&amp;" 인지 확인하세요",""),"")</f>
        <v/>
      </c>
      <c r="BG60" s="13" t="str">
        <f>IFERROR(IF(표1[[#This Row],[함량(W%)]]&gt;=VLOOKUP(표1[[#This Row],[CAS No.]],[1]규제DB_산안법_허가물질!$B:$E,4,FALSE), "제품 허가물질",""),"")</f>
        <v/>
      </c>
      <c r="BH60" s="13" t="str">
        <f>IFERROR(IF(표1[[#This Row],[함량(W%)]]&gt;=VLOOKUP(표1[[#This Row],[CAS No.]], [1]규제DB_산안법_특별관리물질!$B:$E,4,FALSE), "제품 특별관리물질",""),"")</f>
        <v/>
      </c>
      <c r="BI60" s="13" t="str">
        <f>IFERROR(IF(표1[[#This Row],[함량(W%)]]&gt;=VLOOKUP(표1[[#This Row],[CAS No.]], [1]규제DB_산안법_관리대상유해물질!$B:$E,4,FALSE), "제품 관리대상유해물질",""),"")</f>
        <v/>
      </c>
      <c r="BJ60" s="13" t="str">
        <f>IFERROR(IF(표1[[#This Row],[CAS No.]]=VLOOKUP(표1[[#This Row],[CAS No.]], [1]규제DB_산안법_허용기준이하물질!$B:$D,1,FALSE),"제품 허용기준이하물질",""),"")</f>
        <v/>
      </c>
      <c r="BK60" s="13" t="str">
        <f>IFERROR(VLOOKUP(표1[[#This Row],[CAS No.]], [1]규제DB_산안법_허용기준이하물질!$B:$D,3,FALSE),"")</f>
        <v/>
      </c>
      <c r="BL60" s="13"/>
      <c r="BM60" s="13" t="str">
        <f>IFERROR(VLOOKUP(표1[[#This Row],[CAS No.]], [1]규제DB_산안법_노출기준설정물질!$B:$K,3,FALSE),"")</f>
        <v/>
      </c>
      <c r="BN60" s="13" t="str">
        <f>IFERROR(VLOOKUP(표1[[#This Row],[CAS No.]], [1]규제DB_산안법_노출기준설정물질!$B:$K,4,FALSE),"")</f>
        <v/>
      </c>
      <c r="BO60" s="13" t="str">
        <f>IFERROR(VLOOKUP(표1[[#This Row],[CAS No.]], [1]규제DB_산안법_노출기준설정물질!$B:$K,5,FALSE),"")</f>
        <v/>
      </c>
      <c r="BP60" s="13" t="str">
        <f>IFERROR(VLOOKUP(표1[[#This Row],[CAS No.]], [1]규제DB_산안법_노출기준설정물질!$B:$K,7,FALSE),"")</f>
        <v/>
      </c>
      <c r="BQ60" s="13" t="str">
        <f>IFERROR(VLOOKUP(표1[[#This Row],[CAS No.]], [1]규제DB_산안법_노출기준설정물질!$B:$K,8,FALSE),"")</f>
        <v/>
      </c>
      <c r="BR60" s="13" t="str">
        <f>IFERROR(VLOOKUP(표1[[#This Row],[CAS No.]], [1]규제DB_산안법_노출기준설정물질!$B:$K,9,FALSE),"")</f>
        <v/>
      </c>
      <c r="BS60" s="13" t="str">
        <f>IFERROR(VLOOKUP(표1[[#This Row],[CAS No.]], [1]규제DB_산안법_노출기준설정물질!$B:$K,10,FALSE),"")</f>
        <v/>
      </c>
      <c r="BT60" s="13" t="str">
        <f>IFERROR(IF(표1[[#This Row],[함량(W%)]]&gt;=VLOOKUP(표1[[#This Row],[CAS No.]], [1]규제DB_산안법_작업환경측정대상유해인자!$B:$F,5,FALSE), "제품 작업환경측정대상유해인자",""),"")</f>
        <v/>
      </c>
      <c r="BU60" s="13" t="str">
        <f>IFERROR(IF(표1[[#This Row],[CAS No.]]=VLOOKUP(표1[[#This Row],[CAS No.]], [1]규제DB_산안법_특수건강진단대상유해인자!$B:$C,1,FALSE), "제품 특수건강진단대상유해인자",""),"")</f>
        <v/>
      </c>
      <c r="BV60" s="13"/>
      <c r="BW60" s="13"/>
      <c r="BX60" s="13"/>
      <c r="BY60" s="13"/>
      <c r="BZ60" s="13"/>
      <c r="CA60" s="13" t="str">
        <f>IFERROR(IF(표1[[#This Row],[CAS No.]]=VLOOKUP(표1[[#This Row],[CAS No.]],[1]규제DB_고압법_가연성가스!$B:$D,1,FALSE),"가연성가스",""),"")</f>
        <v/>
      </c>
      <c r="CB60" s="13" t="str">
        <f>IFERROR(IF(표1[[#This Row],[CAS No.]]=VLOOKUP(표1[[#This Row],[CAS No.]],[1]규제DB_고압법_특수고압가스!$B:$D,1,FALSE),"특수고압가스",""),"")</f>
        <v/>
      </c>
      <c r="CC60" s="13" t="str">
        <f>IFERROR(IF(표1[[#This Row],[CAS No.]]=VLOOKUP(표1[[#This Row],[CAS No.]],[1]규제DB_고압법_특정고압가스!$B:$D,1,FALSE),"특정고압가스",""),"")</f>
        <v/>
      </c>
      <c r="CD60" s="13" t="str">
        <f>IFERROR(IF(표1[[#This Row],[함량(W%)]]&gt;=VLOOKUP(표1[[#This Row],[CAS No.]],[1]규제DB_화관법_개별취급기준!$B:$G,5,FALSE),VLOOKUP(표1[[#This Row],[CAS No.]],[1]규제DB_화관법_개별취급기준!$B:$G,6,FALSE),""),"")</f>
        <v/>
      </c>
    </row>
    <row r="61" spans="1:82" ht="27.95" customHeight="1">
      <c r="A61" s="13">
        <v>60</v>
      </c>
      <c r="B61" s="2"/>
      <c r="C61" s="3" t="s">
        <v>103</v>
      </c>
      <c r="D61" s="14"/>
      <c r="E61" s="50" t="s">
        <v>121</v>
      </c>
      <c r="F61" s="3" t="s">
        <v>90</v>
      </c>
      <c r="G61" s="5" t="s">
        <v>78</v>
      </c>
      <c r="H61" s="3" t="s">
        <v>91</v>
      </c>
      <c r="I61" s="50" t="s">
        <v>102</v>
      </c>
      <c r="J61" s="3" t="s">
        <v>166</v>
      </c>
      <c r="K61" s="3" t="s">
        <v>166</v>
      </c>
      <c r="L61" s="3"/>
      <c r="M61" s="5" t="s">
        <v>80</v>
      </c>
      <c r="N61" s="5" t="s">
        <v>179</v>
      </c>
      <c r="O61" s="53" t="s">
        <v>92</v>
      </c>
      <c r="P61" s="55" t="s">
        <v>95</v>
      </c>
      <c r="Q61" s="54">
        <v>120</v>
      </c>
      <c r="R61" s="6">
        <v>120</v>
      </c>
      <c r="S61" s="17"/>
      <c r="T61" s="17"/>
      <c r="U61" s="6">
        <v>120</v>
      </c>
      <c r="V61" s="6">
        <v>120</v>
      </c>
      <c r="W61" s="8" t="str">
        <f>표1[[#This Row],[자재코드]]&amp;"_"&amp;표1[[#This Row],[자재명]]&amp;"_"&amp;표1[[#This Row],[공급업체명]]</f>
        <v>_BEST SG MEDIUM_한국특수잉크공업</v>
      </c>
      <c r="X61" s="51" t="s">
        <v>149</v>
      </c>
      <c r="Y61" s="13"/>
      <c r="Z61" s="13"/>
      <c r="AA61" s="13"/>
      <c r="AB61" s="50">
        <v>100</v>
      </c>
      <c r="AC61" s="20" t="s">
        <v>86</v>
      </c>
      <c r="AD61" s="9" t="s">
        <v>83</v>
      </c>
      <c r="AE61" s="10" t="s">
        <v>89</v>
      </c>
      <c r="AF61" s="10" t="s">
        <v>89</v>
      </c>
      <c r="AG61" s="11"/>
      <c r="AH61" s="50" t="s">
        <v>195</v>
      </c>
      <c r="AI61" s="12">
        <f>IFERROR(표1[[#This Row],[사용량(kg)]]*표1[[#This Row],[함량(W%)]]/100,"")</f>
        <v>120</v>
      </c>
      <c r="AJ61" s="13"/>
      <c r="AK61" s="13"/>
      <c r="AL61" s="14"/>
      <c r="AM61" s="15"/>
      <c r="AN61" s="13"/>
      <c r="AO61" s="13"/>
      <c r="AP61" s="13"/>
      <c r="AQ61" s="13"/>
      <c r="AR61" s="13" t="str">
        <f>IFERROR(IF(표1[[#This Row],[함량(W%)]]&gt;=VLOOKUP(표1[[#This Row],[CAS No.]],[1]규제DB_유해법_유독물!B:F,5,FALSE),"유독물질 제품",""),"")</f>
        <v/>
      </c>
      <c r="AS61" s="13" t="str">
        <f>IFERROR(VLOOKUP(표1[[#This Row],[CAS No.]],[1]규제DB_유해법_금지물질!B:G,3,FALSE),"")</f>
        <v/>
      </c>
      <c r="AT61" s="13" t="str">
        <f>IFERROR(VLOOKUP(표1[[#This Row],[CAS No.]],[1]규제DB_유해법_금지물질!B:G,4,FALSE)&amp;" 인지 확인하세요","")</f>
        <v/>
      </c>
      <c r="AU61" s="13" t="str">
        <f>IFERROR(VLOOKUP(표1[[#This Row],[CAS No.]],[1]규제DB_유해법_제한물질!B:G,3,FALSE),"")</f>
        <v/>
      </c>
      <c r="AV61" s="13" t="str">
        <f>IFERROR(IF(표1[[#This Row],[함량(W%)]]&gt;=VLOOKUP(표1[[#This Row],[CAS No.]],[1]규제DB_유해법_제한물질!$B:$G,5,FALSE),"제한 제품",""),"")</f>
        <v/>
      </c>
      <c r="AW61" s="13" t="str">
        <f>IFERROR(VLOOKUP(표1[[#This Row],[CAS No.]],[1]규제DB_유해법_사고대비물질!B:J,2,FALSE),"")</f>
        <v/>
      </c>
      <c r="AX61" s="13" t="str">
        <f>IFERROR(IF(표1[[#This Row],[함량(W%)]]&gt;=VLOOKUP(표1[[#This Row],[CAS No.]],[1]규제DB_유해법_사고대비물질!$B:$J,4,FALSE),"사고대비물질 제품",""),"")</f>
        <v/>
      </c>
      <c r="AY61" s="16" t="str">
        <f>IFERROR(VLOOKUP(표1[[#This Row],[CAS No.]],[1]규제DB_유해법_사고대비물질!$B:$J,5,FALSE),"")</f>
        <v/>
      </c>
      <c r="AZ61" s="16" t="str">
        <f>IFERROR(VLOOKUP(표1[[#This Row],[CAS No.]],[1]규제DB_유해법_사고대비물질!$B:$J,6,FALSE),"")</f>
        <v/>
      </c>
      <c r="BA61" s="17" t="str">
        <f>IFERROR(IF(표1[[#This Row],[함량(W%)]]&gt;=VLOOKUP(표1[[#This Row],[CAS No.]],[1]규제DB_유해법_사고대비물질!$B:$J,4,FALSE),VLOOKUP(표1[[#This Row],[CAS No.]],[1]규제DB_유해법_사고대비물질!$B$2:$J$70,7,FALSE),""),"")</f>
        <v/>
      </c>
      <c r="BB61" s="17" t="str">
        <f>IFERROR(IF(표1[[#This Row],[함량(W%)]]&gt;=VLOOKUP(표1[[#This Row],[CAS No.]],[1]규제DB_유해법_사고대비물질!$B:$J,4,FALSE),VLOOKUP(표1[[#This Row],[CAS No.]],[1]규제DB_유해법_사고대비물질!$B$2:$J$70,8,FALSE),""),"")</f>
        <v/>
      </c>
      <c r="BC61" s="17" t="str">
        <f>IFERROR(IF(표1[[#This Row],[함량(W%)]]&gt;=VLOOKUP(표1[[#This Row],[CAS No.]],[1]규제DB_유해법_사고대비물질!$B:$J,4,FALSE),VLOOKUP(표1[[#This Row],[CAS No.]],[1]규제DB_유해법_사고대비물질!$B$2:$J$70,9,FALSE),""),"")</f>
        <v/>
      </c>
      <c r="BD61" s="18" t="str">
        <f>IFERROR(IF(표1[[#This Row],[함량(W%)]]&gt;=VLOOKUP(표1[[#This Row],[CAS No.]],'[1]규제DB_유해법_배출량조사 I'!$B:$D,3,FALSE),IF(VLOOKUP(표1[[#This Row],[CAS No.]],[1]기초자료!$A:$C,3,FALSE)&gt;=1000,"배출량조사 I 물질",""),""),"")</f>
        <v/>
      </c>
      <c r="BE61" s="18" t="str">
        <f>IFERROR(IF(표1[[#This Row],[함량(W%)]]&gt;=VLOOKUP(표1[[#This Row],[CAS No.]],'[1]규제DB_유해법_배출량조사 II'!B:D,3,FALSE),IF(VLOOKUP(표1[[#This Row],[CAS No.]],[1]기초자료!$A:$C,3,FALSE)&gt;=10000,"배출량조사 II 물질",""),""),"")</f>
        <v/>
      </c>
      <c r="BF61" s="13" t="str">
        <f>IFERROR(IF(표1[[#This Row],[함량(W%)]]&gt;=VLOOKUP(표1[[#This Row],[CAS No.]],[1]규제DB_산안법_금지물질!$B:$E,4,FALSE), VLOOKUP(표1[[#This Row],[CAS No.]],[1]규제DB_산안법_금지물질!$B:$E,2,FALSE)&amp;" : "&amp;VLOOKUP(표1[[#This Row],[CAS No.]],[1]규제DB_산안법_금지물질!$B:$E,3,FALSE)&amp;" 인지 확인하세요",""),"")</f>
        <v/>
      </c>
      <c r="BG61" s="13" t="str">
        <f>IFERROR(IF(표1[[#This Row],[함량(W%)]]&gt;=VLOOKUP(표1[[#This Row],[CAS No.]],[1]규제DB_산안법_허가물질!$B:$E,4,FALSE), "제품 허가물질",""),"")</f>
        <v/>
      </c>
      <c r="BH61" s="13" t="str">
        <f>IFERROR(IF(표1[[#This Row],[함량(W%)]]&gt;=VLOOKUP(표1[[#This Row],[CAS No.]], [1]규제DB_산안법_특별관리물질!$B:$E,4,FALSE), "제품 특별관리물질",""),"")</f>
        <v/>
      </c>
      <c r="BI61" s="13" t="str">
        <f>IFERROR(IF(표1[[#This Row],[함량(W%)]]&gt;=VLOOKUP(표1[[#This Row],[CAS No.]], [1]규제DB_산안법_관리대상유해물질!$B:$E,4,FALSE), "제품 관리대상유해물질",""),"")</f>
        <v/>
      </c>
      <c r="BJ61" s="13" t="str">
        <f>IFERROR(IF(표1[[#This Row],[CAS No.]]=VLOOKUP(표1[[#This Row],[CAS No.]], [1]규제DB_산안법_허용기준이하물질!$B:$D,1,FALSE),"제품 허용기준이하물질",""),"")</f>
        <v/>
      </c>
      <c r="BK61" s="13" t="str">
        <f>IFERROR(VLOOKUP(표1[[#This Row],[CAS No.]], [1]규제DB_산안법_허용기준이하물질!$B:$D,3,FALSE),"")</f>
        <v/>
      </c>
      <c r="BL61" s="13"/>
      <c r="BM61" s="13" t="str">
        <f>IFERROR(VLOOKUP(표1[[#This Row],[CAS No.]], [1]규제DB_산안법_노출기준설정물질!$B:$K,3,FALSE),"")</f>
        <v/>
      </c>
      <c r="BN61" s="13" t="str">
        <f>IFERROR(VLOOKUP(표1[[#This Row],[CAS No.]], [1]규제DB_산안법_노출기준설정물질!$B:$K,4,FALSE),"")</f>
        <v/>
      </c>
      <c r="BO61" s="13" t="str">
        <f>IFERROR(VLOOKUP(표1[[#This Row],[CAS No.]], [1]규제DB_산안법_노출기준설정물질!$B:$K,5,FALSE),"")</f>
        <v/>
      </c>
      <c r="BP61" s="13" t="str">
        <f>IFERROR(VLOOKUP(표1[[#This Row],[CAS No.]], [1]규제DB_산안법_노출기준설정물질!$B:$K,7,FALSE),"")</f>
        <v/>
      </c>
      <c r="BQ61" s="13" t="str">
        <f>IFERROR(VLOOKUP(표1[[#This Row],[CAS No.]], [1]규제DB_산안법_노출기준설정물질!$B:$K,8,FALSE),"")</f>
        <v/>
      </c>
      <c r="BR61" s="13" t="str">
        <f>IFERROR(VLOOKUP(표1[[#This Row],[CAS No.]], [1]규제DB_산안법_노출기준설정물질!$B:$K,9,FALSE),"")</f>
        <v/>
      </c>
      <c r="BS61" s="13" t="str">
        <f>IFERROR(VLOOKUP(표1[[#This Row],[CAS No.]], [1]규제DB_산안법_노출기준설정물질!$B:$K,10,FALSE),"")</f>
        <v/>
      </c>
      <c r="BT61" s="13" t="str">
        <f>IFERROR(IF(표1[[#This Row],[함량(W%)]]&gt;=VLOOKUP(표1[[#This Row],[CAS No.]], [1]규제DB_산안법_작업환경측정대상유해인자!$B:$F,5,FALSE), "제품 작업환경측정대상유해인자",""),"")</f>
        <v/>
      </c>
      <c r="BU61" s="13" t="str">
        <f>IFERROR(IF(표1[[#This Row],[CAS No.]]=VLOOKUP(표1[[#This Row],[CAS No.]], [1]규제DB_산안법_특수건강진단대상유해인자!$B:$C,1,FALSE), "제품 특수건강진단대상유해인자",""),"")</f>
        <v/>
      </c>
      <c r="BV61" s="13"/>
      <c r="BW61" s="13"/>
      <c r="BX61" s="13"/>
      <c r="BY61" s="13"/>
      <c r="BZ61" s="13"/>
      <c r="CA61" s="13" t="str">
        <f>IFERROR(IF(표1[[#This Row],[CAS No.]]=VLOOKUP(표1[[#This Row],[CAS No.]],[1]규제DB_고압법_가연성가스!$B:$D,1,FALSE),"가연성가스",""),"")</f>
        <v/>
      </c>
      <c r="CB61" s="13" t="str">
        <f>IFERROR(IF(표1[[#This Row],[CAS No.]]=VLOOKUP(표1[[#This Row],[CAS No.]],[1]규제DB_고압법_특수고압가스!$B:$D,1,FALSE),"특수고압가스",""),"")</f>
        <v/>
      </c>
      <c r="CC61" s="13" t="str">
        <f>IFERROR(IF(표1[[#This Row],[CAS No.]]=VLOOKUP(표1[[#This Row],[CAS No.]],[1]규제DB_고압법_특정고압가스!$B:$D,1,FALSE),"특정고압가스",""),"")</f>
        <v/>
      </c>
      <c r="CD61" s="13" t="str">
        <f>IFERROR(IF(표1[[#This Row],[함량(W%)]]&gt;=VLOOKUP(표1[[#This Row],[CAS No.]],[1]규제DB_화관법_개별취급기준!$B:$G,5,FALSE),VLOOKUP(표1[[#This Row],[CAS No.]],[1]규제DB_화관법_개별취급기준!$B:$G,6,FALSE),""),"")</f>
        <v/>
      </c>
    </row>
    <row r="62" spans="1:82" ht="27.95" customHeight="1">
      <c r="A62" s="13">
        <v>61</v>
      </c>
      <c r="B62" s="2"/>
      <c r="C62" s="3" t="s">
        <v>103</v>
      </c>
      <c r="D62" s="14"/>
      <c r="E62" s="50" t="s">
        <v>121</v>
      </c>
      <c r="F62" s="3" t="s">
        <v>90</v>
      </c>
      <c r="G62" s="5" t="s">
        <v>78</v>
      </c>
      <c r="H62" s="3" t="s">
        <v>91</v>
      </c>
      <c r="I62" s="50" t="s">
        <v>102</v>
      </c>
      <c r="J62" s="3" t="s">
        <v>166</v>
      </c>
      <c r="K62" s="3" t="s">
        <v>166</v>
      </c>
      <c r="L62" s="3"/>
      <c r="M62" s="5" t="s">
        <v>80</v>
      </c>
      <c r="N62" s="5" t="s">
        <v>179</v>
      </c>
      <c r="O62" s="53" t="s">
        <v>92</v>
      </c>
      <c r="P62" s="55" t="s">
        <v>95</v>
      </c>
      <c r="Q62" s="54">
        <v>120</v>
      </c>
      <c r="R62" s="6">
        <v>120</v>
      </c>
      <c r="S62" s="17"/>
      <c r="T62" s="17"/>
      <c r="U62" s="6">
        <v>120</v>
      </c>
      <c r="V62" s="6">
        <v>120</v>
      </c>
      <c r="W62" s="8" t="str">
        <f>표1[[#This Row],[자재코드]]&amp;"_"&amp;표1[[#This Row],[자재명]]&amp;"_"&amp;표1[[#This Row],[공급업체명]]</f>
        <v>_BEST SG MEDIUM_한국특수잉크공업</v>
      </c>
      <c r="X62" s="51" t="s">
        <v>138</v>
      </c>
      <c r="Y62" s="13"/>
      <c r="Z62" s="13"/>
      <c r="AA62" s="13"/>
      <c r="AB62" s="50">
        <v>100</v>
      </c>
      <c r="AC62" s="20" t="s">
        <v>86</v>
      </c>
      <c r="AD62" s="9" t="s">
        <v>83</v>
      </c>
      <c r="AE62" s="10" t="s">
        <v>89</v>
      </c>
      <c r="AF62" s="10" t="s">
        <v>89</v>
      </c>
      <c r="AG62" s="11"/>
      <c r="AH62" s="50" t="s">
        <v>188</v>
      </c>
      <c r="AI62" s="12">
        <f>IFERROR(표1[[#This Row],[사용량(kg)]]*표1[[#This Row],[함량(W%)]]/100,"")</f>
        <v>120</v>
      </c>
      <c r="AJ62" s="13"/>
      <c r="AK62" s="13"/>
      <c r="AL62" s="14"/>
      <c r="AM62" s="15"/>
      <c r="AN62" s="13"/>
      <c r="AO62" s="13"/>
      <c r="AP62" s="13"/>
      <c r="AQ62" s="13"/>
      <c r="AR62" s="13" t="str">
        <f>IFERROR(IF(표1[[#This Row],[함량(W%)]]&gt;=VLOOKUP(표1[[#This Row],[CAS No.]],[1]규제DB_유해법_유독물!B:F,5,FALSE),"유독물질 제품",""),"")</f>
        <v/>
      </c>
      <c r="AS62" s="13" t="str">
        <f>IFERROR(VLOOKUP(표1[[#This Row],[CAS No.]],[1]규제DB_유해법_금지물질!B:G,3,FALSE),"")</f>
        <v/>
      </c>
      <c r="AT62" s="13" t="str">
        <f>IFERROR(VLOOKUP(표1[[#This Row],[CAS No.]],[1]규제DB_유해법_금지물질!B:G,4,FALSE)&amp;" 인지 확인하세요","")</f>
        <v/>
      </c>
      <c r="AU62" s="13" t="str">
        <f>IFERROR(VLOOKUP(표1[[#This Row],[CAS No.]],[1]규제DB_유해법_제한물질!B:G,3,FALSE),"")</f>
        <v/>
      </c>
      <c r="AV62" s="13" t="str">
        <f>IFERROR(IF(표1[[#This Row],[함량(W%)]]&gt;=VLOOKUP(표1[[#This Row],[CAS No.]],[1]규제DB_유해법_제한물질!$B:$G,5,FALSE),"제한 제품",""),"")</f>
        <v/>
      </c>
      <c r="AW62" s="13" t="str">
        <f>IFERROR(VLOOKUP(표1[[#This Row],[CAS No.]],[1]규제DB_유해법_사고대비물질!B:J,2,FALSE),"")</f>
        <v/>
      </c>
      <c r="AX62" s="13" t="str">
        <f>IFERROR(IF(표1[[#This Row],[함량(W%)]]&gt;=VLOOKUP(표1[[#This Row],[CAS No.]],[1]규제DB_유해법_사고대비물질!$B:$J,4,FALSE),"사고대비물질 제품",""),"")</f>
        <v/>
      </c>
      <c r="AY62" s="16" t="str">
        <f>IFERROR(VLOOKUP(표1[[#This Row],[CAS No.]],[1]규제DB_유해법_사고대비물질!$B:$J,5,FALSE),"")</f>
        <v/>
      </c>
      <c r="AZ62" s="16" t="str">
        <f>IFERROR(VLOOKUP(표1[[#This Row],[CAS No.]],[1]규제DB_유해법_사고대비물질!$B:$J,6,FALSE),"")</f>
        <v/>
      </c>
      <c r="BA62" s="17" t="str">
        <f>IFERROR(IF(표1[[#This Row],[함량(W%)]]&gt;=VLOOKUP(표1[[#This Row],[CAS No.]],[1]규제DB_유해법_사고대비물질!$B:$J,4,FALSE),VLOOKUP(표1[[#This Row],[CAS No.]],[1]규제DB_유해법_사고대비물질!$B$2:$J$70,7,FALSE),""),"")</f>
        <v/>
      </c>
      <c r="BB62" s="17" t="str">
        <f>IFERROR(IF(표1[[#This Row],[함량(W%)]]&gt;=VLOOKUP(표1[[#This Row],[CAS No.]],[1]규제DB_유해법_사고대비물질!$B:$J,4,FALSE),VLOOKUP(표1[[#This Row],[CAS No.]],[1]규제DB_유해법_사고대비물질!$B$2:$J$70,8,FALSE),""),"")</f>
        <v/>
      </c>
      <c r="BC62" s="17" t="str">
        <f>IFERROR(IF(표1[[#This Row],[함량(W%)]]&gt;=VLOOKUP(표1[[#This Row],[CAS No.]],[1]규제DB_유해법_사고대비물질!$B:$J,4,FALSE),VLOOKUP(표1[[#This Row],[CAS No.]],[1]규제DB_유해법_사고대비물질!$B$2:$J$70,9,FALSE),""),"")</f>
        <v/>
      </c>
      <c r="BD62" s="18" t="str">
        <f>IFERROR(IF(표1[[#This Row],[함량(W%)]]&gt;=VLOOKUP(표1[[#This Row],[CAS No.]],'[1]규제DB_유해법_배출량조사 I'!$B:$D,3,FALSE),IF(VLOOKUP(표1[[#This Row],[CAS No.]],[1]기초자료!$A:$C,3,FALSE)&gt;=1000,"배출량조사 I 물질",""),""),"")</f>
        <v/>
      </c>
      <c r="BE62" s="18" t="str">
        <f>IFERROR(IF(표1[[#This Row],[함량(W%)]]&gt;=VLOOKUP(표1[[#This Row],[CAS No.]],'[1]규제DB_유해법_배출량조사 II'!B:D,3,FALSE),IF(VLOOKUP(표1[[#This Row],[CAS No.]],[1]기초자료!$A:$C,3,FALSE)&gt;=10000,"배출량조사 II 물질",""),""),"")</f>
        <v/>
      </c>
      <c r="BF62" s="13" t="str">
        <f>IFERROR(IF(표1[[#This Row],[함량(W%)]]&gt;=VLOOKUP(표1[[#This Row],[CAS No.]],[1]규제DB_산안법_금지물질!$B:$E,4,FALSE), VLOOKUP(표1[[#This Row],[CAS No.]],[1]규제DB_산안법_금지물질!$B:$E,2,FALSE)&amp;" : "&amp;VLOOKUP(표1[[#This Row],[CAS No.]],[1]규제DB_산안법_금지물질!$B:$E,3,FALSE)&amp;" 인지 확인하세요",""),"")</f>
        <v/>
      </c>
      <c r="BG62" s="13" t="str">
        <f>IFERROR(IF(표1[[#This Row],[함량(W%)]]&gt;=VLOOKUP(표1[[#This Row],[CAS No.]],[1]규제DB_산안법_허가물질!$B:$E,4,FALSE), "제품 허가물질",""),"")</f>
        <v/>
      </c>
      <c r="BH62" s="13" t="str">
        <f>IFERROR(IF(표1[[#This Row],[함량(W%)]]&gt;=VLOOKUP(표1[[#This Row],[CAS No.]], [1]규제DB_산안법_특별관리물질!$B:$E,4,FALSE), "제품 특별관리물질",""),"")</f>
        <v/>
      </c>
      <c r="BI62" s="13" t="str">
        <f>IFERROR(IF(표1[[#This Row],[함량(W%)]]&gt;=VLOOKUP(표1[[#This Row],[CAS No.]], [1]규제DB_산안법_관리대상유해물질!$B:$E,4,FALSE), "제품 관리대상유해물질",""),"")</f>
        <v/>
      </c>
      <c r="BJ62" s="13" t="str">
        <f>IFERROR(IF(표1[[#This Row],[CAS No.]]=VLOOKUP(표1[[#This Row],[CAS No.]], [1]규제DB_산안법_허용기준이하물질!$B:$D,1,FALSE),"제품 허용기준이하물질",""),"")</f>
        <v/>
      </c>
      <c r="BK62" s="13" t="str">
        <f>IFERROR(VLOOKUP(표1[[#This Row],[CAS No.]], [1]규제DB_산안법_허용기준이하물질!$B:$D,3,FALSE),"")</f>
        <v/>
      </c>
      <c r="BL62" s="13"/>
      <c r="BM62" s="13" t="str">
        <f>IFERROR(VLOOKUP(표1[[#This Row],[CAS No.]], [1]규제DB_산안법_노출기준설정물질!$B:$K,3,FALSE),"")</f>
        <v/>
      </c>
      <c r="BN62" s="13" t="str">
        <f>IFERROR(VLOOKUP(표1[[#This Row],[CAS No.]], [1]규제DB_산안법_노출기준설정물질!$B:$K,4,FALSE),"")</f>
        <v/>
      </c>
      <c r="BO62" s="13" t="str">
        <f>IFERROR(VLOOKUP(표1[[#This Row],[CAS No.]], [1]규제DB_산안법_노출기준설정물질!$B:$K,5,FALSE),"")</f>
        <v/>
      </c>
      <c r="BP62" s="13" t="str">
        <f>IFERROR(VLOOKUP(표1[[#This Row],[CAS No.]], [1]규제DB_산안법_노출기준설정물질!$B:$K,7,FALSE),"")</f>
        <v/>
      </c>
      <c r="BQ62" s="13" t="str">
        <f>IFERROR(VLOOKUP(표1[[#This Row],[CAS No.]], [1]규제DB_산안법_노출기준설정물질!$B:$K,8,FALSE),"")</f>
        <v/>
      </c>
      <c r="BR62" s="13" t="str">
        <f>IFERROR(VLOOKUP(표1[[#This Row],[CAS No.]], [1]규제DB_산안법_노출기준설정물질!$B:$K,9,FALSE),"")</f>
        <v/>
      </c>
      <c r="BS62" s="13" t="str">
        <f>IFERROR(VLOOKUP(표1[[#This Row],[CAS No.]], [1]규제DB_산안법_노출기준설정물질!$B:$K,10,FALSE),"")</f>
        <v/>
      </c>
      <c r="BT62" s="13" t="str">
        <f>IFERROR(IF(표1[[#This Row],[함량(W%)]]&gt;=VLOOKUP(표1[[#This Row],[CAS No.]], [1]규제DB_산안법_작업환경측정대상유해인자!$B:$F,5,FALSE), "제품 작업환경측정대상유해인자",""),"")</f>
        <v/>
      </c>
      <c r="BU62" s="13" t="str">
        <f>IFERROR(IF(표1[[#This Row],[CAS No.]]=VLOOKUP(표1[[#This Row],[CAS No.]], [1]규제DB_산안법_특수건강진단대상유해인자!$B:$C,1,FALSE), "제품 특수건강진단대상유해인자",""),"")</f>
        <v/>
      </c>
      <c r="BV62" s="13"/>
      <c r="BW62" s="13"/>
      <c r="BX62" s="13"/>
      <c r="BY62" s="13"/>
      <c r="BZ62" s="13"/>
      <c r="CA62" s="13" t="str">
        <f>IFERROR(IF(표1[[#This Row],[CAS No.]]=VLOOKUP(표1[[#This Row],[CAS No.]],[1]규제DB_고압법_가연성가스!$B:$D,1,FALSE),"가연성가스",""),"")</f>
        <v/>
      </c>
      <c r="CB62" s="13" t="str">
        <f>IFERROR(IF(표1[[#This Row],[CAS No.]]=VLOOKUP(표1[[#This Row],[CAS No.]],[1]규제DB_고압법_특수고압가스!$B:$D,1,FALSE),"특수고압가스",""),"")</f>
        <v/>
      </c>
      <c r="CC62" s="13" t="str">
        <f>IFERROR(IF(표1[[#This Row],[CAS No.]]=VLOOKUP(표1[[#This Row],[CAS No.]],[1]규제DB_고압법_특정고압가스!$B:$D,1,FALSE),"특정고압가스",""),"")</f>
        <v/>
      </c>
      <c r="CD62" s="13" t="str">
        <f>IFERROR(IF(표1[[#This Row],[함량(W%)]]&gt;=VLOOKUP(표1[[#This Row],[CAS No.]],[1]규제DB_화관법_개별취급기준!$B:$G,5,FALSE),VLOOKUP(표1[[#This Row],[CAS No.]],[1]규제DB_화관법_개별취급기준!$B:$G,6,FALSE),""),"")</f>
        <v/>
      </c>
    </row>
    <row r="63" spans="1:82" ht="27.95" customHeight="1">
      <c r="A63" s="13">
        <v>62</v>
      </c>
      <c r="B63" s="2"/>
      <c r="C63" s="3" t="s">
        <v>103</v>
      </c>
      <c r="D63" s="14"/>
      <c r="E63" s="50" t="s">
        <v>122</v>
      </c>
      <c r="F63" s="3" t="s">
        <v>90</v>
      </c>
      <c r="G63" s="5" t="s">
        <v>78</v>
      </c>
      <c r="H63" s="3" t="s">
        <v>91</v>
      </c>
      <c r="I63" s="50" t="s">
        <v>102</v>
      </c>
      <c r="J63" s="3" t="s">
        <v>166</v>
      </c>
      <c r="K63" s="3" t="s">
        <v>166</v>
      </c>
      <c r="L63" s="3"/>
      <c r="M63" s="5" t="s">
        <v>80</v>
      </c>
      <c r="N63" s="5" t="s">
        <v>179</v>
      </c>
      <c r="O63" s="53" t="s">
        <v>92</v>
      </c>
      <c r="P63" s="55" t="s">
        <v>95</v>
      </c>
      <c r="Q63" s="54">
        <v>0.9</v>
      </c>
      <c r="R63" s="6">
        <v>1</v>
      </c>
      <c r="S63" s="17"/>
      <c r="T63" s="17"/>
      <c r="U63" s="6">
        <v>1</v>
      </c>
      <c r="V63" s="6">
        <v>1</v>
      </c>
      <c r="W63" s="8" t="str">
        <f>표1[[#This Row],[자재코드]]&amp;"_"&amp;표1[[#This Row],[자재명]]&amp;"_"&amp;표1[[#This Row],[공급업체명]]</f>
        <v>_BEST SG MAT OP 니스_한국특수잉크공업</v>
      </c>
      <c r="X63" s="51" t="s">
        <v>162</v>
      </c>
      <c r="Y63" s="13"/>
      <c r="Z63" s="13"/>
      <c r="AA63" s="13"/>
      <c r="AB63" s="50">
        <v>100</v>
      </c>
      <c r="AC63" s="20" t="s">
        <v>86</v>
      </c>
      <c r="AD63" s="9" t="s">
        <v>83</v>
      </c>
      <c r="AE63" s="10" t="s">
        <v>89</v>
      </c>
      <c r="AF63" s="10" t="s">
        <v>89</v>
      </c>
      <c r="AG63" s="11"/>
      <c r="AH63" s="52">
        <v>2597366</v>
      </c>
      <c r="AI63" s="12">
        <f>IFERROR(표1[[#This Row],[사용량(kg)]]*표1[[#This Row],[함량(W%)]]/100,"")</f>
        <v>1</v>
      </c>
      <c r="AJ63" s="13"/>
      <c r="AK63" s="13"/>
      <c r="AL63" s="14"/>
      <c r="AM63" s="15"/>
      <c r="AN63" s="13"/>
      <c r="AO63" s="13"/>
      <c r="AP63" s="13"/>
      <c r="AQ63" s="13"/>
      <c r="AR63" s="13" t="str">
        <f>IFERROR(IF(표1[[#This Row],[함량(W%)]]&gt;=VLOOKUP(표1[[#This Row],[CAS No.]],[1]규제DB_유해법_유독물!B:F,5,FALSE),"유독물질 제품",""),"")</f>
        <v/>
      </c>
      <c r="AS63" s="13" t="str">
        <f>IFERROR(VLOOKUP(표1[[#This Row],[CAS No.]],[1]규제DB_유해법_금지물질!B:G,3,FALSE),"")</f>
        <v/>
      </c>
      <c r="AT63" s="13" t="str">
        <f>IFERROR(VLOOKUP(표1[[#This Row],[CAS No.]],[1]규제DB_유해법_금지물질!B:G,4,FALSE)&amp;" 인지 확인하세요","")</f>
        <v/>
      </c>
      <c r="AU63" s="13" t="str">
        <f>IFERROR(VLOOKUP(표1[[#This Row],[CAS No.]],[1]규제DB_유해법_제한물질!B:G,3,FALSE),"")</f>
        <v/>
      </c>
      <c r="AV63" s="13" t="str">
        <f>IFERROR(IF(표1[[#This Row],[함량(W%)]]&gt;=VLOOKUP(표1[[#This Row],[CAS No.]],[1]규제DB_유해법_제한물질!$B:$G,5,FALSE),"제한 제품",""),"")</f>
        <v/>
      </c>
      <c r="AW63" s="13" t="str">
        <f>IFERROR(VLOOKUP(표1[[#This Row],[CAS No.]],[1]규제DB_유해법_사고대비물질!B:J,2,FALSE),"")</f>
        <v/>
      </c>
      <c r="AX63" s="13" t="str">
        <f>IFERROR(IF(표1[[#This Row],[함량(W%)]]&gt;=VLOOKUP(표1[[#This Row],[CAS No.]],[1]규제DB_유해법_사고대비물질!$B:$J,4,FALSE),"사고대비물질 제품",""),"")</f>
        <v/>
      </c>
      <c r="AY63" s="16" t="str">
        <f>IFERROR(VLOOKUP(표1[[#This Row],[CAS No.]],[1]규제DB_유해법_사고대비물질!$B:$J,5,FALSE),"")</f>
        <v/>
      </c>
      <c r="AZ63" s="16" t="str">
        <f>IFERROR(VLOOKUP(표1[[#This Row],[CAS No.]],[1]규제DB_유해법_사고대비물질!$B:$J,6,FALSE),"")</f>
        <v/>
      </c>
      <c r="BA63" s="17" t="str">
        <f>IFERROR(IF(표1[[#This Row],[함량(W%)]]&gt;=VLOOKUP(표1[[#This Row],[CAS No.]],[1]규제DB_유해법_사고대비물질!$B:$J,4,FALSE),VLOOKUP(표1[[#This Row],[CAS No.]],[1]규제DB_유해법_사고대비물질!$B$2:$J$70,7,FALSE),""),"")</f>
        <v/>
      </c>
      <c r="BB63" s="17" t="str">
        <f>IFERROR(IF(표1[[#This Row],[함량(W%)]]&gt;=VLOOKUP(표1[[#This Row],[CAS No.]],[1]규제DB_유해법_사고대비물질!$B:$J,4,FALSE),VLOOKUP(표1[[#This Row],[CAS No.]],[1]규제DB_유해법_사고대비물질!$B$2:$J$70,8,FALSE),""),"")</f>
        <v/>
      </c>
      <c r="BC63" s="17" t="str">
        <f>IFERROR(IF(표1[[#This Row],[함량(W%)]]&gt;=VLOOKUP(표1[[#This Row],[CAS No.]],[1]규제DB_유해법_사고대비물질!$B:$J,4,FALSE),VLOOKUP(표1[[#This Row],[CAS No.]],[1]규제DB_유해법_사고대비물질!$B$2:$J$70,9,FALSE),""),"")</f>
        <v/>
      </c>
      <c r="BD63" s="18" t="str">
        <f>IFERROR(IF(표1[[#This Row],[함량(W%)]]&gt;=VLOOKUP(표1[[#This Row],[CAS No.]],'[1]규제DB_유해법_배출량조사 I'!$B:$D,3,FALSE),IF(VLOOKUP(표1[[#This Row],[CAS No.]],[1]기초자료!$A:$C,3,FALSE)&gt;=1000,"배출량조사 I 물질",""),""),"")</f>
        <v/>
      </c>
      <c r="BE63" s="18" t="str">
        <f>IFERROR(IF(표1[[#This Row],[함량(W%)]]&gt;=VLOOKUP(표1[[#This Row],[CAS No.]],'[1]규제DB_유해법_배출량조사 II'!B:D,3,FALSE),IF(VLOOKUP(표1[[#This Row],[CAS No.]],[1]기초자료!$A:$C,3,FALSE)&gt;=10000,"배출량조사 II 물질",""),""),"")</f>
        <v/>
      </c>
      <c r="BF63" s="13" t="str">
        <f>IFERROR(IF(표1[[#This Row],[함량(W%)]]&gt;=VLOOKUP(표1[[#This Row],[CAS No.]],[1]규제DB_산안법_금지물질!$B:$E,4,FALSE), VLOOKUP(표1[[#This Row],[CAS No.]],[1]규제DB_산안법_금지물질!$B:$E,2,FALSE)&amp;" : "&amp;VLOOKUP(표1[[#This Row],[CAS No.]],[1]규제DB_산안법_금지물질!$B:$E,3,FALSE)&amp;" 인지 확인하세요",""),"")</f>
        <v/>
      </c>
      <c r="BG63" s="13" t="str">
        <f>IFERROR(IF(표1[[#This Row],[함량(W%)]]&gt;=VLOOKUP(표1[[#This Row],[CAS No.]],[1]규제DB_산안법_허가물질!$B:$E,4,FALSE), "제품 허가물질",""),"")</f>
        <v/>
      </c>
      <c r="BH63" s="13" t="str">
        <f>IFERROR(IF(표1[[#This Row],[함량(W%)]]&gt;=VLOOKUP(표1[[#This Row],[CAS No.]], [1]규제DB_산안법_특별관리물질!$B:$E,4,FALSE), "제품 특별관리물질",""),"")</f>
        <v/>
      </c>
      <c r="BI63" s="13" t="str">
        <f>IFERROR(IF(표1[[#This Row],[함량(W%)]]&gt;=VLOOKUP(표1[[#This Row],[CAS No.]], [1]규제DB_산안법_관리대상유해물질!$B:$E,4,FALSE), "제품 관리대상유해물질",""),"")</f>
        <v/>
      </c>
      <c r="BJ63" s="13" t="str">
        <f>IFERROR(IF(표1[[#This Row],[CAS No.]]=VLOOKUP(표1[[#This Row],[CAS No.]], [1]규제DB_산안법_허용기준이하물질!$B:$D,1,FALSE),"제품 허용기준이하물질",""),"")</f>
        <v/>
      </c>
      <c r="BK63" s="13" t="str">
        <f>IFERROR(VLOOKUP(표1[[#This Row],[CAS No.]], [1]규제DB_산안법_허용기준이하물질!$B:$D,3,FALSE),"")</f>
        <v/>
      </c>
      <c r="BL63" s="13"/>
      <c r="BM63" s="13" t="str">
        <f>IFERROR(VLOOKUP(표1[[#This Row],[CAS No.]], [1]규제DB_산안법_노출기준설정물질!$B:$K,3,FALSE),"")</f>
        <v/>
      </c>
      <c r="BN63" s="13" t="str">
        <f>IFERROR(VLOOKUP(표1[[#This Row],[CAS No.]], [1]규제DB_산안법_노출기준설정물질!$B:$K,4,FALSE),"")</f>
        <v/>
      </c>
      <c r="BO63" s="13" t="str">
        <f>IFERROR(VLOOKUP(표1[[#This Row],[CAS No.]], [1]규제DB_산안법_노출기준설정물질!$B:$K,5,FALSE),"")</f>
        <v/>
      </c>
      <c r="BP63" s="13" t="str">
        <f>IFERROR(VLOOKUP(표1[[#This Row],[CAS No.]], [1]규제DB_산안법_노출기준설정물질!$B:$K,7,FALSE),"")</f>
        <v/>
      </c>
      <c r="BQ63" s="13" t="str">
        <f>IFERROR(VLOOKUP(표1[[#This Row],[CAS No.]], [1]규제DB_산안법_노출기준설정물질!$B:$K,8,FALSE),"")</f>
        <v/>
      </c>
      <c r="BR63" s="13" t="str">
        <f>IFERROR(VLOOKUP(표1[[#This Row],[CAS No.]], [1]규제DB_산안법_노출기준설정물질!$B:$K,9,FALSE),"")</f>
        <v/>
      </c>
      <c r="BS63" s="13" t="str">
        <f>IFERROR(VLOOKUP(표1[[#This Row],[CAS No.]], [1]규제DB_산안법_노출기준설정물질!$B:$K,10,FALSE),"")</f>
        <v/>
      </c>
      <c r="BT63" s="13" t="str">
        <f>IFERROR(IF(표1[[#This Row],[함량(W%)]]&gt;=VLOOKUP(표1[[#This Row],[CAS No.]], [1]규제DB_산안법_작업환경측정대상유해인자!$B:$F,5,FALSE), "제품 작업환경측정대상유해인자",""),"")</f>
        <v/>
      </c>
      <c r="BU63" s="13" t="str">
        <f>IFERROR(IF(표1[[#This Row],[CAS No.]]=VLOOKUP(표1[[#This Row],[CAS No.]], [1]규제DB_산안법_특수건강진단대상유해인자!$B:$C,1,FALSE), "제품 특수건강진단대상유해인자",""),"")</f>
        <v/>
      </c>
      <c r="BV63" s="13"/>
      <c r="BW63" s="13"/>
      <c r="BX63" s="13"/>
      <c r="BY63" s="13"/>
      <c r="BZ63" s="13"/>
      <c r="CA63" s="13" t="str">
        <f>IFERROR(IF(표1[[#This Row],[CAS No.]]=VLOOKUP(표1[[#This Row],[CAS No.]],[1]규제DB_고압법_가연성가스!$B:$D,1,FALSE),"가연성가스",""),"")</f>
        <v/>
      </c>
      <c r="CB63" s="13" t="str">
        <f>IFERROR(IF(표1[[#This Row],[CAS No.]]=VLOOKUP(표1[[#This Row],[CAS No.]],[1]규제DB_고압법_특수고압가스!$B:$D,1,FALSE),"특수고압가스",""),"")</f>
        <v/>
      </c>
      <c r="CC63" s="13" t="str">
        <f>IFERROR(IF(표1[[#This Row],[CAS No.]]=VLOOKUP(표1[[#This Row],[CAS No.]],[1]규제DB_고압법_특정고압가스!$B:$D,1,FALSE),"특정고압가스",""),"")</f>
        <v/>
      </c>
      <c r="CD63" s="13" t="str">
        <f>IFERROR(IF(표1[[#This Row],[함량(W%)]]&gt;=VLOOKUP(표1[[#This Row],[CAS No.]],[1]규제DB_화관법_개별취급기준!$B:$G,5,FALSE),VLOOKUP(표1[[#This Row],[CAS No.]],[1]규제DB_화관법_개별취급기준!$B:$G,6,FALSE),""),"")</f>
        <v/>
      </c>
    </row>
    <row r="64" spans="1:82" ht="27.95" customHeight="1">
      <c r="A64" s="13">
        <v>63</v>
      </c>
      <c r="B64" s="2"/>
      <c r="C64" s="3" t="s">
        <v>103</v>
      </c>
      <c r="D64" s="14"/>
      <c r="E64" s="50" t="s">
        <v>122</v>
      </c>
      <c r="F64" s="3" t="s">
        <v>90</v>
      </c>
      <c r="G64" s="5" t="s">
        <v>78</v>
      </c>
      <c r="H64" s="3" t="s">
        <v>91</v>
      </c>
      <c r="I64" s="50" t="s">
        <v>102</v>
      </c>
      <c r="J64" s="3" t="s">
        <v>166</v>
      </c>
      <c r="K64" s="3" t="s">
        <v>166</v>
      </c>
      <c r="L64" s="3"/>
      <c r="M64" s="5" t="s">
        <v>80</v>
      </c>
      <c r="N64" s="5" t="s">
        <v>179</v>
      </c>
      <c r="O64" s="53" t="s">
        <v>92</v>
      </c>
      <c r="P64" s="55" t="s">
        <v>95</v>
      </c>
      <c r="Q64" s="54">
        <v>0.9</v>
      </c>
      <c r="R64" s="6">
        <v>1</v>
      </c>
      <c r="S64" s="17"/>
      <c r="T64" s="17"/>
      <c r="U64" s="6">
        <v>1</v>
      </c>
      <c r="V64" s="6">
        <v>1</v>
      </c>
      <c r="W64" s="8" t="str">
        <f>표1[[#This Row],[자재코드]]&amp;"_"&amp;표1[[#This Row],[자재명]]&amp;"_"&amp;표1[[#This Row],[공급업체명]]</f>
        <v>_BEST SG MAT OP 니스_한국특수잉크공업</v>
      </c>
      <c r="X64" s="51" t="s">
        <v>147</v>
      </c>
      <c r="Y64" s="13"/>
      <c r="Z64" s="13"/>
      <c r="AA64" s="13"/>
      <c r="AB64" s="50">
        <v>100</v>
      </c>
      <c r="AC64" s="20" t="s">
        <v>86</v>
      </c>
      <c r="AD64" s="9" t="s">
        <v>83</v>
      </c>
      <c r="AE64" s="10" t="s">
        <v>89</v>
      </c>
      <c r="AF64" s="10" t="s">
        <v>89</v>
      </c>
      <c r="AG64" s="11"/>
      <c r="AH64" s="50" t="s">
        <v>193</v>
      </c>
      <c r="AI64" s="12">
        <f>IFERROR(표1[[#This Row],[사용량(kg)]]*표1[[#This Row],[함량(W%)]]/100,"")</f>
        <v>1</v>
      </c>
      <c r="AJ64" s="13"/>
      <c r="AK64" s="13"/>
      <c r="AL64" s="14"/>
      <c r="AM64" s="15"/>
      <c r="AN64" s="13"/>
      <c r="AO64" s="13"/>
      <c r="AP64" s="13"/>
      <c r="AQ64" s="13"/>
      <c r="AR64" s="13" t="str">
        <f>IFERROR(IF(표1[[#This Row],[함량(W%)]]&gt;=VLOOKUP(표1[[#This Row],[CAS No.]],[1]규제DB_유해법_유독물!B:F,5,FALSE),"유독물질 제품",""),"")</f>
        <v/>
      </c>
      <c r="AS64" s="13" t="str">
        <f>IFERROR(VLOOKUP(표1[[#This Row],[CAS No.]],[1]규제DB_유해법_금지물질!B:G,3,FALSE),"")</f>
        <v/>
      </c>
      <c r="AT64" s="13" t="str">
        <f>IFERROR(VLOOKUP(표1[[#This Row],[CAS No.]],[1]규제DB_유해법_금지물질!B:G,4,FALSE)&amp;" 인지 확인하세요","")</f>
        <v/>
      </c>
      <c r="AU64" s="13" t="str">
        <f>IFERROR(VLOOKUP(표1[[#This Row],[CAS No.]],[1]규제DB_유해법_제한물질!B:G,3,FALSE),"")</f>
        <v/>
      </c>
      <c r="AV64" s="13" t="str">
        <f>IFERROR(IF(표1[[#This Row],[함량(W%)]]&gt;=VLOOKUP(표1[[#This Row],[CAS No.]],[1]규제DB_유해법_제한물질!$B:$G,5,FALSE),"제한 제품",""),"")</f>
        <v/>
      </c>
      <c r="AW64" s="13" t="str">
        <f>IFERROR(VLOOKUP(표1[[#This Row],[CAS No.]],[1]규제DB_유해법_사고대비물질!B:J,2,FALSE),"")</f>
        <v/>
      </c>
      <c r="AX64" s="13" t="str">
        <f>IFERROR(IF(표1[[#This Row],[함량(W%)]]&gt;=VLOOKUP(표1[[#This Row],[CAS No.]],[1]규제DB_유해법_사고대비물질!$B:$J,4,FALSE),"사고대비물질 제품",""),"")</f>
        <v/>
      </c>
      <c r="AY64" s="16" t="str">
        <f>IFERROR(VLOOKUP(표1[[#This Row],[CAS No.]],[1]규제DB_유해법_사고대비물질!$B:$J,5,FALSE),"")</f>
        <v/>
      </c>
      <c r="AZ64" s="16" t="str">
        <f>IFERROR(VLOOKUP(표1[[#This Row],[CAS No.]],[1]규제DB_유해법_사고대비물질!$B:$J,6,FALSE),"")</f>
        <v/>
      </c>
      <c r="BA64" s="17" t="str">
        <f>IFERROR(IF(표1[[#This Row],[함량(W%)]]&gt;=VLOOKUP(표1[[#This Row],[CAS No.]],[1]규제DB_유해법_사고대비물질!$B:$J,4,FALSE),VLOOKUP(표1[[#This Row],[CAS No.]],[1]규제DB_유해법_사고대비물질!$B$2:$J$70,7,FALSE),""),"")</f>
        <v/>
      </c>
      <c r="BB64" s="17" t="str">
        <f>IFERROR(IF(표1[[#This Row],[함량(W%)]]&gt;=VLOOKUP(표1[[#This Row],[CAS No.]],[1]규제DB_유해법_사고대비물질!$B:$J,4,FALSE),VLOOKUP(표1[[#This Row],[CAS No.]],[1]규제DB_유해법_사고대비물질!$B$2:$J$70,8,FALSE),""),"")</f>
        <v/>
      </c>
      <c r="BC64" s="17" t="str">
        <f>IFERROR(IF(표1[[#This Row],[함량(W%)]]&gt;=VLOOKUP(표1[[#This Row],[CAS No.]],[1]규제DB_유해법_사고대비물질!$B:$J,4,FALSE),VLOOKUP(표1[[#This Row],[CAS No.]],[1]규제DB_유해법_사고대비물질!$B$2:$J$70,9,FALSE),""),"")</f>
        <v/>
      </c>
      <c r="BD64" s="18" t="str">
        <f>IFERROR(IF(표1[[#This Row],[함량(W%)]]&gt;=VLOOKUP(표1[[#This Row],[CAS No.]],'[1]규제DB_유해법_배출량조사 I'!$B:$D,3,FALSE),IF(VLOOKUP(표1[[#This Row],[CAS No.]],[1]기초자료!$A:$C,3,FALSE)&gt;=1000,"배출량조사 I 물질",""),""),"")</f>
        <v/>
      </c>
      <c r="BE64" s="18" t="str">
        <f>IFERROR(IF(표1[[#This Row],[함량(W%)]]&gt;=VLOOKUP(표1[[#This Row],[CAS No.]],'[1]규제DB_유해법_배출량조사 II'!B:D,3,FALSE),IF(VLOOKUP(표1[[#This Row],[CAS No.]],[1]기초자료!$A:$C,3,FALSE)&gt;=10000,"배출량조사 II 물질",""),""),"")</f>
        <v/>
      </c>
      <c r="BF64" s="13" t="str">
        <f>IFERROR(IF(표1[[#This Row],[함량(W%)]]&gt;=VLOOKUP(표1[[#This Row],[CAS No.]],[1]규제DB_산안법_금지물질!$B:$E,4,FALSE), VLOOKUP(표1[[#This Row],[CAS No.]],[1]규제DB_산안법_금지물질!$B:$E,2,FALSE)&amp;" : "&amp;VLOOKUP(표1[[#This Row],[CAS No.]],[1]규제DB_산안법_금지물질!$B:$E,3,FALSE)&amp;" 인지 확인하세요",""),"")</f>
        <v/>
      </c>
      <c r="BG64" s="13" t="str">
        <f>IFERROR(IF(표1[[#This Row],[함량(W%)]]&gt;=VLOOKUP(표1[[#This Row],[CAS No.]],[1]규제DB_산안법_허가물질!$B:$E,4,FALSE), "제품 허가물질",""),"")</f>
        <v/>
      </c>
      <c r="BH64" s="13" t="str">
        <f>IFERROR(IF(표1[[#This Row],[함량(W%)]]&gt;=VLOOKUP(표1[[#This Row],[CAS No.]], [1]규제DB_산안법_특별관리물질!$B:$E,4,FALSE), "제품 특별관리물질",""),"")</f>
        <v/>
      </c>
      <c r="BI64" s="13" t="str">
        <f>IFERROR(IF(표1[[#This Row],[함량(W%)]]&gt;=VLOOKUP(표1[[#This Row],[CAS No.]], [1]규제DB_산안법_관리대상유해물질!$B:$E,4,FALSE), "제품 관리대상유해물질",""),"")</f>
        <v/>
      </c>
      <c r="BJ64" s="13" t="str">
        <f>IFERROR(IF(표1[[#This Row],[CAS No.]]=VLOOKUP(표1[[#This Row],[CAS No.]], [1]규제DB_산안법_허용기준이하물질!$B:$D,1,FALSE),"제품 허용기준이하물질",""),"")</f>
        <v/>
      </c>
      <c r="BK64" s="13" t="str">
        <f>IFERROR(VLOOKUP(표1[[#This Row],[CAS No.]], [1]규제DB_산안법_허용기준이하물질!$B:$D,3,FALSE),"")</f>
        <v/>
      </c>
      <c r="BL64" s="13"/>
      <c r="BM64" s="13" t="str">
        <f>IFERROR(VLOOKUP(표1[[#This Row],[CAS No.]], [1]규제DB_산안법_노출기준설정물질!$B:$K,3,FALSE),"")</f>
        <v/>
      </c>
      <c r="BN64" s="13" t="str">
        <f>IFERROR(VLOOKUP(표1[[#This Row],[CAS No.]], [1]규제DB_산안법_노출기준설정물질!$B:$K,4,FALSE),"")</f>
        <v/>
      </c>
      <c r="BO64" s="13" t="str">
        <f>IFERROR(VLOOKUP(표1[[#This Row],[CAS No.]], [1]규제DB_산안법_노출기준설정물질!$B:$K,5,FALSE),"")</f>
        <v/>
      </c>
      <c r="BP64" s="13" t="str">
        <f>IFERROR(VLOOKUP(표1[[#This Row],[CAS No.]], [1]규제DB_산안법_노출기준설정물질!$B:$K,7,FALSE),"")</f>
        <v/>
      </c>
      <c r="BQ64" s="13" t="str">
        <f>IFERROR(VLOOKUP(표1[[#This Row],[CAS No.]], [1]규제DB_산안법_노출기준설정물질!$B:$K,8,FALSE),"")</f>
        <v/>
      </c>
      <c r="BR64" s="13" t="str">
        <f>IFERROR(VLOOKUP(표1[[#This Row],[CAS No.]], [1]규제DB_산안법_노출기준설정물질!$B:$K,9,FALSE),"")</f>
        <v/>
      </c>
      <c r="BS64" s="13" t="str">
        <f>IFERROR(VLOOKUP(표1[[#This Row],[CAS No.]], [1]규제DB_산안법_노출기준설정물질!$B:$K,10,FALSE),"")</f>
        <v/>
      </c>
      <c r="BT64" s="13" t="str">
        <f>IFERROR(IF(표1[[#This Row],[함량(W%)]]&gt;=VLOOKUP(표1[[#This Row],[CAS No.]], [1]규제DB_산안법_작업환경측정대상유해인자!$B:$F,5,FALSE), "제품 작업환경측정대상유해인자",""),"")</f>
        <v/>
      </c>
      <c r="BU64" s="13" t="str">
        <f>IFERROR(IF(표1[[#This Row],[CAS No.]]=VLOOKUP(표1[[#This Row],[CAS No.]], [1]규제DB_산안법_특수건강진단대상유해인자!$B:$C,1,FALSE), "제품 특수건강진단대상유해인자",""),"")</f>
        <v/>
      </c>
      <c r="BV64" s="13"/>
      <c r="BW64" s="13"/>
      <c r="BX64" s="13"/>
      <c r="BY64" s="13"/>
      <c r="BZ64" s="13"/>
      <c r="CA64" s="13" t="str">
        <f>IFERROR(IF(표1[[#This Row],[CAS No.]]=VLOOKUP(표1[[#This Row],[CAS No.]],[1]규제DB_고압법_가연성가스!$B:$D,1,FALSE),"가연성가스",""),"")</f>
        <v/>
      </c>
      <c r="CB64" s="13" t="str">
        <f>IFERROR(IF(표1[[#This Row],[CAS No.]]=VLOOKUP(표1[[#This Row],[CAS No.]],[1]규제DB_고압법_특수고압가스!$B:$D,1,FALSE),"특수고압가스",""),"")</f>
        <v/>
      </c>
      <c r="CC64" s="13" t="str">
        <f>IFERROR(IF(표1[[#This Row],[CAS No.]]=VLOOKUP(표1[[#This Row],[CAS No.]],[1]규제DB_고압법_특정고압가스!$B:$D,1,FALSE),"특정고압가스",""),"")</f>
        <v/>
      </c>
      <c r="CD64" s="13" t="str">
        <f>IFERROR(IF(표1[[#This Row],[함량(W%)]]&gt;=VLOOKUP(표1[[#This Row],[CAS No.]],[1]규제DB_화관법_개별취급기준!$B:$G,5,FALSE),VLOOKUP(표1[[#This Row],[CAS No.]],[1]규제DB_화관법_개별취급기준!$B:$G,6,FALSE),""),"")</f>
        <v/>
      </c>
    </row>
    <row r="65" spans="1:82" ht="27.95" customHeight="1">
      <c r="A65" s="13">
        <v>64</v>
      </c>
      <c r="B65" s="2"/>
      <c r="C65" s="3" t="s">
        <v>103</v>
      </c>
      <c r="D65" s="14"/>
      <c r="E65" s="50" t="s">
        <v>122</v>
      </c>
      <c r="F65" s="3" t="s">
        <v>90</v>
      </c>
      <c r="G65" s="5" t="s">
        <v>78</v>
      </c>
      <c r="H65" s="3" t="s">
        <v>91</v>
      </c>
      <c r="I65" s="50" t="s">
        <v>102</v>
      </c>
      <c r="J65" s="3" t="s">
        <v>166</v>
      </c>
      <c r="K65" s="3" t="s">
        <v>166</v>
      </c>
      <c r="L65" s="3"/>
      <c r="M65" s="5" t="s">
        <v>80</v>
      </c>
      <c r="N65" s="5" t="s">
        <v>179</v>
      </c>
      <c r="O65" s="53" t="s">
        <v>92</v>
      </c>
      <c r="P65" s="55" t="s">
        <v>95</v>
      </c>
      <c r="Q65" s="54">
        <v>0.9</v>
      </c>
      <c r="R65" s="6">
        <v>1</v>
      </c>
      <c r="S65" s="17"/>
      <c r="T65" s="17"/>
      <c r="U65" s="6">
        <v>1</v>
      </c>
      <c r="V65" s="6">
        <v>1</v>
      </c>
      <c r="W65" s="8" t="str">
        <f>표1[[#This Row],[자재코드]]&amp;"_"&amp;표1[[#This Row],[자재명]]&amp;"_"&amp;표1[[#This Row],[공급업체명]]</f>
        <v>_BEST SG MAT OP 니스_한국특수잉크공업</v>
      </c>
      <c r="X65" s="51" t="s">
        <v>149</v>
      </c>
      <c r="Y65" s="13"/>
      <c r="Z65" s="13"/>
      <c r="AA65" s="13"/>
      <c r="AB65" s="50">
        <v>100</v>
      </c>
      <c r="AC65" s="20" t="s">
        <v>88</v>
      </c>
      <c r="AD65" s="9" t="s">
        <v>83</v>
      </c>
      <c r="AE65" s="10" t="s">
        <v>89</v>
      </c>
      <c r="AF65" s="10" t="s">
        <v>89</v>
      </c>
      <c r="AG65" s="11"/>
      <c r="AH65" s="50" t="s">
        <v>195</v>
      </c>
      <c r="AI65" s="12">
        <f>IFERROR(표1[[#This Row],[사용량(kg)]]*표1[[#This Row],[함량(W%)]]/100,"")</f>
        <v>1</v>
      </c>
      <c r="AJ65" s="13"/>
      <c r="AK65" s="13"/>
      <c r="AL65" s="14"/>
      <c r="AM65" s="15"/>
      <c r="AN65" s="13"/>
      <c r="AO65" s="13"/>
      <c r="AP65" s="13"/>
      <c r="AQ65" s="13"/>
      <c r="AR65" s="13" t="str">
        <f>IFERROR(IF(표1[[#This Row],[함량(W%)]]&gt;=VLOOKUP(표1[[#This Row],[CAS No.]],[1]규제DB_유해법_유독물!B:F,5,FALSE),"유독물질 제품",""),"")</f>
        <v/>
      </c>
      <c r="AS65" s="13" t="str">
        <f>IFERROR(VLOOKUP(표1[[#This Row],[CAS No.]],[1]규제DB_유해법_금지물질!B:G,3,FALSE),"")</f>
        <v/>
      </c>
      <c r="AT65" s="13" t="str">
        <f>IFERROR(VLOOKUP(표1[[#This Row],[CAS No.]],[1]규제DB_유해법_금지물질!B:G,4,FALSE)&amp;" 인지 확인하세요","")</f>
        <v/>
      </c>
      <c r="AU65" s="13" t="str">
        <f>IFERROR(VLOOKUP(표1[[#This Row],[CAS No.]],[1]규제DB_유해법_제한물질!B:G,3,FALSE),"")</f>
        <v/>
      </c>
      <c r="AV65" s="13" t="str">
        <f>IFERROR(IF(표1[[#This Row],[함량(W%)]]&gt;=VLOOKUP(표1[[#This Row],[CAS No.]],[1]규제DB_유해법_제한물질!$B:$G,5,FALSE),"제한 제품",""),"")</f>
        <v/>
      </c>
      <c r="AW65" s="13" t="str">
        <f>IFERROR(VLOOKUP(표1[[#This Row],[CAS No.]],[1]규제DB_유해법_사고대비물질!B:J,2,FALSE),"")</f>
        <v/>
      </c>
      <c r="AX65" s="13" t="str">
        <f>IFERROR(IF(표1[[#This Row],[함량(W%)]]&gt;=VLOOKUP(표1[[#This Row],[CAS No.]],[1]규제DB_유해법_사고대비물질!$B:$J,4,FALSE),"사고대비물질 제품",""),"")</f>
        <v/>
      </c>
      <c r="AY65" s="16" t="str">
        <f>IFERROR(VLOOKUP(표1[[#This Row],[CAS No.]],[1]규제DB_유해법_사고대비물질!$B:$J,5,FALSE),"")</f>
        <v/>
      </c>
      <c r="AZ65" s="16" t="str">
        <f>IFERROR(VLOOKUP(표1[[#This Row],[CAS No.]],[1]규제DB_유해법_사고대비물질!$B:$J,6,FALSE),"")</f>
        <v/>
      </c>
      <c r="BA65" s="17" t="str">
        <f>IFERROR(IF(표1[[#This Row],[함량(W%)]]&gt;=VLOOKUP(표1[[#This Row],[CAS No.]],[1]규제DB_유해법_사고대비물질!$B:$J,4,FALSE),VLOOKUP(표1[[#This Row],[CAS No.]],[1]규제DB_유해법_사고대비물질!$B$2:$J$70,7,FALSE),""),"")</f>
        <v/>
      </c>
      <c r="BB65" s="17" t="str">
        <f>IFERROR(IF(표1[[#This Row],[함량(W%)]]&gt;=VLOOKUP(표1[[#This Row],[CAS No.]],[1]규제DB_유해법_사고대비물질!$B:$J,4,FALSE),VLOOKUP(표1[[#This Row],[CAS No.]],[1]규제DB_유해법_사고대비물질!$B$2:$J$70,8,FALSE),""),"")</f>
        <v/>
      </c>
      <c r="BC65" s="17" t="str">
        <f>IFERROR(IF(표1[[#This Row],[함량(W%)]]&gt;=VLOOKUP(표1[[#This Row],[CAS No.]],[1]규제DB_유해법_사고대비물질!$B:$J,4,FALSE),VLOOKUP(표1[[#This Row],[CAS No.]],[1]규제DB_유해법_사고대비물질!$B$2:$J$70,9,FALSE),""),"")</f>
        <v/>
      </c>
      <c r="BD65" s="18" t="str">
        <f>IFERROR(IF(표1[[#This Row],[함량(W%)]]&gt;=VLOOKUP(표1[[#This Row],[CAS No.]],'[1]규제DB_유해법_배출량조사 I'!$B:$D,3,FALSE),IF(VLOOKUP(표1[[#This Row],[CAS No.]],[1]기초자료!$A:$C,3,FALSE)&gt;=1000,"배출량조사 I 물질",""),""),"")</f>
        <v/>
      </c>
      <c r="BE65" s="18" t="str">
        <f>IFERROR(IF(표1[[#This Row],[함량(W%)]]&gt;=VLOOKUP(표1[[#This Row],[CAS No.]],'[1]규제DB_유해법_배출량조사 II'!B:D,3,FALSE),IF(VLOOKUP(표1[[#This Row],[CAS No.]],[1]기초자료!$A:$C,3,FALSE)&gt;=10000,"배출량조사 II 물질",""),""),"")</f>
        <v/>
      </c>
      <c r="BF65" s="13" t="str">
        <f>IFERROR(IF(표1[[#This Row],[함량(W%)]]&gt;=VLOOKUP(표1[[#This Row],[CAS No.]],[1]규제DB_산안법_금지물질!$B:$E,4,FALSE), VLOOKUP(표1[[#This Row],[CAS No.]],[1]규제DB_산안법_금지물질!$B:$E,2,FALSE)&amp;" : "&amp;VLOOKUP(표1[[#This Row],[CAS No.]],[1]규제DB_산안법_금지물질!$B:$E,3,FALSE)&amp;" 인지 확인하세요",""),"")</f>
        <v/>
      </c>
      <c r="BG65" s="13" t="str">
        <f>IFERROR(IF(표1[[#This Row],[함량(W%)]]&gt;=VLOOKUP(표1[[#This Row],[CAS No.]],[1]규제DB_산안법_허가물질!$B:$E,4,FALSE), "제품 허가물질",""),"")</f>
        <v/>
      </c>
      <c r="BH65" s="13" t="str">
        <f>IFERROR(IF(표1[[#This Row],[함량(W%)]]&gt;=VLOOKUP(표1[[#This Row],[CAS No.]], [1]규제DB_산안법_특별관리물질!$B:$E,4,FALSE), "제품 특별관리물질",""),"")</f>
        <v/>
      </c>
      <c r="BI65" s="13" t="str">
        <f>IFERROR(IF(표1[[#This Row],[함량(W%)]]&gt;=VLOOKUP(표1[[#This Row],[CAS No.]], [1]규제DB_산안법_관리대상유해물질!$B:$E,4,FALSE), "제품 관리대상유해물질",""),"")</f>
        <v/>
      </c>
      <c r="BJ65" s="13" t="str">
        <f>IFERROR(IF(표1[[#This Row],[CAS No.]]=VLOOKUP(표1[[#This Row],[CAS No.]], [1]규제DB_산안법_허용기준이하물질!$B:$D,1,FALSE),"제품 허용기준이하물질",""),"")</f>
        <v/>
      </c>
      <c r="BK65" s="13" t="str">
        <f>IFERROR(VLOOKUP(표1[[#This Row],[CAS No.]], [1]규제DB_산안법_허용기준이하물질!$B:$D,3,FALSE),"")</f>
        <v/>
      </c>
      <c r="BL65" s="13"/>
      <c r="BM65" s="13" t="str">
        <f>IFERROR(VLOOKUP(표1[[#This Row],[CAS No.]], [1]규제DB_산안법_노출기준설정물질!$B:$K,3,FALSE),"")</f>
        <v/>
      </c>
      <c r="BN65" s="13" t="str">
        <f>IFERROR(VLOOKUP(표1[[#This Row],[CAS No.]], [1]규제DB_산안법_노출기준설정물질!$B:$K,4,FALSE),"")</f>
        <v/>
      </c>
      <c r="BO65" s="13" t="str">
        <f>IFERROR(VLOOKUP(표1[[#This Row],[CAS No.]], [1]규제DB_산안법_노출기준설정물질!$B:$K,5,FALSE),"")</f>
        <v/>
      </c>
      <c r="BP65" s="13" t="str">
        <f>IFERROR(VLOOKUP(표1[[#This Row],[CAS No.]], [1]규제DB_산안법_노출기준설정물질!$B:$K,7,FALSE),"")</f>
        <v/>
      </c>
      <c r="BQ65" s="13" t="str">
        <f>IFERROR(VLOOKUP(표1[[#This Row],[CAS No.]], [1]규제DB_산안법_노출기준설정물질!$B:$K,8,FALSE),"")</f>
        <v/>
      </c>
      <c r="BR65" s="13" t="str">
        <f>IFERROR(VLOOKUP(표1[[#This Row],[CAS No.]], [1]규제DB_산안법_노출기준설정물질!$B:$K,9,FALSE),"")</f>
        <v/>
      </c>
      <c r="BS65" s="13" t="str">
        <f>IFERROR(VLOOKUP(표1[[#This Row],[CAS No.]], [1]규제DB_산안법_노출기준설정물질!$B:$K,10,FALSE),"")</f>
        <v/>
      </c>
      <c r="BT65" s="13" t="str">
        <f>IFERROR(IF(표1[[#This Row],[함량(W%)]]&gt;=VLOOKUP(표1[[#This Row],[CAS No.]], [1]규제DB_산안법_작업환경측정대상유해인자!$B:$F,5,FALSE), "제품 작업환경측정대상유해인자",""),"")</f>
        <v/>
      </c>
      <c r="BU65" s="13" t="str">
        <f>IFERROR(IF(표1[[#This Row],[CAS No.]]=VLOOKUP(표1[[#This Row],[CAS No.]], [1]규제DB_산안법_특수건강진단대상유해인자!$B:$C,1,FALSE), "제품 특수건강진단대상유해인자",""),"")</f>
        <v/>
      </c>
      <c r="BV65" s="13"/>
      <c r="BW65" s="13"/>
      <c r="BX65" s="13"/>
      <c r="BY65" s="13"/>
      <c r="BZ65" s="13"/>
      <c r="CA65" s="13" t="str">
        <f>IFERROR(IF(표1[[#This Row],[CAS No.]]=VLOOKUP(표1[[#This Row],[CAS No.]],[1]규제DB_고압법_가연성가스!$B:$D,1,FALSE),"가연성가스",""),"")</f>
        <v/>
      </c>
      <c r="CB65" s="13" t="str">
        <f>IFERROR(IF(표1[[#This Row],[CAS No.]]=VLOOKUP(표1[[#This Row],[CAS No.]],[1]규제DB_고압법_특수고압가스!$B:$D,1,FALSE),"특수고압가스",""),"")</f>
        <v/>
      </c>
      <c r="CC65" s="13" t="str">
        <f>IFERROR(IF(표1[[#This Row],[CAS No.]]=VLOOKUP(표1[[#This Row],[CAS No.]],[1]규제DB_고압법_특정고압가스!$B:$D,1,FALSE),"특정고압가스",""),"")</f>
        <v/>
      </c>
      <c r="CD65" s="13" t="str">
        <f>IFERROR(IF(표1[[#This Row],[함량(W%)]]&gt;=VLOOKUP(표1[[#This Row],[CAS No.]],[1]규제DB_화관법_개별취급기준!$B:$G,5,FALSE),VLOOKUP(표1[[#This Row],[CAS No.]],[1]규제DB_화관법_개별취급기준!$B:$G,6,FALSE),""),"")</f>
        <v/>
      </c>
    </row>
    <row r="66" spans="1:82" ht="27.95" customHeight="1">
      <c r="A66" s="13">
        <v>65</v>
      </c>
      <c r="B66" s="2"/>
      <c r="C66" s="3" t="s">
        <v>103</v>
      </c>
      <c r="D66" s="14"/>
      <c r="E66" s="50" t="s">
        <v>123</v>
      </c>
      <c r="F66" s="3" t="s">
        <v>90</v>
      </c>
      <c r="G66" s="5" t="s">
        <v>78</v>
      </c>
      <c r="H66" s="3" t="s">
        <v>91</v>
      </c>
      <c r="I66" s="50" t="s">
        <v>102</v>
      </c>
      <c r="J66" s="3" t="s">
        <v>166</v>
      </c>
      <c r="K66" s="3" t="s">
        <v>166</v>
      </c>
      <c r="L66" s="3"/>
      <c r="M66" s="5" t="s">
        <v>80</v>
      </c>
      <c r="N66" s="5" t="s">
        <v>179</v>
      </c>
      <c r="O66" s="53" t="s">
        <v>92</v>
      </c>
      <c r="P66" s="55" t="s">
        <v>98</v>
      </c>
      <c r="Q66" s="54">
        <v>292</v>
      </c>
      <c r="R66" s="6">
        <v>292</v>
      </c>
      <c r="S66" s="17"/>
      <c r="T66" s="17"/>
      <c r="U66" s="6">
        <v>292</v>
      </c>
      <c r="V66" s="6">
        <v>292</v>
      </c>
      <c r="W66" s="8" t="str">
        <f>표1[[#This Row],[자재코드]]&amp;"_"&amp;표1[[#This Row],[자재명]]&amp;"_"&amp;표1[[#This Row],[공급업체명]]</f>
        <v>_BEST IMPACT_한국특수잉크공업</v>
      </c>
      <c r="X66" s="51" t="s">
        <v>143</v>
      </c>
      <c r="Y66" s="2"/>
      <c r="Z66" s="2"/>
      <c r="AA66" s="2"/>
      <c r="AB66" s="50">
        <v>100</v>
      </c>
      <c r="AC66" s="9" t="s">
        <v>88</v>
      </c>
      <c r="AD66" s="9" t="s">
        <v>83</v>
      </c>
      <c r="AE66" s="10" t="s">
        <v>89</v>
      </c>
      <c r="AF66" s="10" t="s">
        <v>89</v>
      </c>
      <c r="AG66" s="11"/>
      <c r="AH66" s="50" t="s">
        <v>190</v>
      </c>
      <c r="AI66" s="12">
        <f>IFERROR(표1[[#This Row],[사용량(kg)]]*표1[[#This Row],[함량(W%)]]/100,"")</f>
        <v>292</v>
      </c>
      <c r="AJ66" s="13"/>
      <c r="AK66" s="13"/>
      <c r="AL66" s="14"/>
      <c r="AM66" s="15"/>
      <c r="AN66" s="13"/>
      <c r="AO66" s="13"/>
      <c r="AP66" s="13"/>
      <c r="AQ66" s="13"/>
      <c r="AR66" s="13" t="str">
        <f>IFERROR(IF(표1[[#This Row],[함량(W%)]]&gt;=VLOOKUP(표1[[#This Row],[CAS No.]],[1]규제DB_유해법_유독물!B:F,5,FALSE),"유독물질 제품",""),"")</f>
        <v/>
      </c>
      <c r="AS66" s="13" t="str">
        <f>IFERROR(VLOOKUP(표1[[#This Row],[CAS No.]],[1]규제DB_유해법_금지물질!B:G,3,FALSE),"")</f>
        <v/>
      </c>
      <c r="AT66" s="13" t="str">
        <f>IFERROR(VLOOKUP(표1[[#This Row],[CAS No.]],[1]규제DB_유해법_금지물질!B:G,4,FALSE)&amp;" 인지 확인하세요","")</f>
        <v/>
      </c>
      <c r="AU66" s="13" t="str">
        <f>IFERROR(VLOOKUP(표1[[#This Row],[CAS No.]],[1]규제DB_유해법_제한물질!B:G,3,FALSE),"")</f>
        <v/>
      </c>
      <c r="AV66" s="13" t="str">
        <f>IFERROR(IF(표1[[#This Row],[함량(W%)]]&gt;=VLOOKUP(표1[[#This Row],[CAS No.]],[1]규제DB_유해법_제한물질!$B:$G,5,FALSE),"제한 제품",""),"")</f>
        <v/>
      </c>
      <c r="AW66" s="13" t="str">
        <f>IFERROR(VLOOKUP(표1[[#This Row],[CAS No.]],[1]규제DB_유해법_사고대비물질!B:J,2,FALSE),"")</f>
        <v/>
      </c>
      <c r="AX66" s="13" t="str">
        <f>IFERROR(IF(표1[[#This Row],[함량(W%)]]&gt;=VLOOKUP(표1[[#This Row],[CAS No.]],[1]규제DB_유해법_사고대비물질!$B:$J,4,FALSE),"사고대비물질 제품",""),"")</f>
        <v/>
      </c>
      <c r="AY66" s="16" t="str">
        <f>IFERROR(VLOOKUP(표1[[#This Row],[CAS No.]],[1]규제DB_유해법_사고대비물질!$B:$J,5,FALSE),"")</f>
        <v/>
      </c>
      <c r="AZ66" s="16" t="str">
        <f>IFERROR(VLOOKUP(표1[[#This Row],[CAS No.]],[1]규제DB_유해법_사고대비물질!$B:$J,6,FALSE),"")</f>
        <v/>
      </c>
      <c r="BA66" s="17" t="str">
        <f>IFERROR(IF(표1[[#This Row],[함량(W%)]]&gt;=VLOOKUP(표1[[#This Row],[CAS No.]],[1]규제DB_유해법_사고대비물질!$B:$J,4,FALSE),VLOOKUP(표1[[#This Row],[CAS No.]],[1]규제DB_유해법_사고대비물질!$B$2:$J$70,7,FALSE),""),"")</f>
        <v/>
      </c>
      <c r="BB66" s="17" t="str">
        <f>IFERROR(IF(표1[[#This Row],[함량(W%)]]&gt;=VLOOKUP(표1[[#This Row],[CAS No.]],[1]규제DB_유해법_사고대비물질!$B:$J,4,FALSE),VLOOKUP(표1[[#This Row],[CAS No.]],[1]규제DB_유해법_사고대비물질!$B$2:$J$70,8,FALSE),""),"")</f>
        <v/>
      </c>
      <c r="BC66" s="17" t="str">
        <f>IFERROR(IF(표1[[#This Row],[함량(W%)]]&gt;=VLOOKUP(표1[[#This Row],[CAS No.]],[1]규제DB_유해법_사고대비물질!$B:$J,4,FALSE),VLOOKUP(표1[[#This Row],[CAS No.]],[1]규제DB_유해법_사고대비물질!$B$2:$J$70,9,FALSE),""),"")</f>
        <v/>
      </c>
      <c r="BD66" s="18" t="str">
        <f>IFERROR(IF(표1[[#This Row],[함량(W%)]]&gt;=VLOOKUP(표1[[#This Row],[CAS No.]],'[1]규제DB_유해법_배출량조사 I'!$B:$D,3,FALSE),IF(VLOOKUP(표1[[#This Row],[CAS No.]],[1]기초자료!$A:$C,3,FALSE)&gt;=1000,"배출량조사 I 물질",""),""),"")</f>
        <v/>
      </c>
      <c r="BE66" s="18" t="str">
        <f>IFERROR(IF(표1[[#This Row],[함량(W%)]]&gt;=VLOOKUP(표1[[#This Row],[CAS No.]],'[1]규제DB_유해법_배출량조사 II'!B:D,3,FALSE),IF(VLOOKUP(표1[[#This Row],[CAS No.]],[1]기초자료!$A:$C,3,FALSE)&gt;=10000,"배출량조사 II 물질",""),""),"")</f>
        <v/>
      </c>
      <c r="BF66" s="13" t="str">
        <f>IFERROR(IF(표1[[#This Row],[함량(W%)]]&gt;=VLOOKUP(표1[[#This Row],[CAS No.]],[1]규제DB_산안법_금지물질!$B:$E,4,FALSE), VLOOKUP(표1[[#This Row],[CAS No.]],[1]규제DB_산안법_금지물질!$B:$E,2,FALSE)&amp;" : "&amp;VLOOKUP(표1[[#This Row],[CAS No.]],[1]규제DB_산안법_금지물질!$B:$E,3,FALSE)&amp;" 인지 확인하세요",""),"")</f>
        <v/>
      </c>
      <c r="BG66" s="13" t="str">
        <f>IFERROR(IF(표1[[#This Row],[함량(W%)]]&gt;=VLOOKUP(표1[[#This Row],[CAS No.]],[1]규제DB_산안법_허가물질!$B:$E,4,FALSE), "제품 허가물질",""),"")</f>
        <v/>
      </c>
      <c r="BH66" s="13" t="str">
        <f>IFERROR(IF(표1[[#This Row],[함량(W%)]]&gt;=VLOOKUP(표1[[#This Row],[CAS No.]], [1]규제DB_산안법_특별관리물질!$B:$E,4,FALSE), "제품 특별관리물질",""),"")</f>
        <v/>
      </c>
      <c r="BI66" s="13" t="str">
        <f>IFERROR(IF(표1[[#This Row],[함량(W%)]]&gt;=VLOOKUP(표1[[#This Row],[CAS No.]], [1]규제DB_산안법_관리대상유해물질!$B:$E,4,FALSE), "제품 관리대상유해물질",""),"")</f>
        <v/>
      </c>
      <c r="BJ66" s="13" t="str">
        <f>IFERROR(IF(표1[[#This Row],[CAS No.]]=VLOOKUP(표1[[#This Row],[CAS No.]], [1]규제DB_산안법_허용기준이하물질!$B:$D,1,FALSE),"제품 허용기준이하물질",""),"")</f>
        <v/>
      </c>
      <c r="BK66" s="13" t="str">
        <f>IFERROR(VLOOKUP(표1[[#This Row],[CAS No.]], [1]규제DB_산안법_허용기준이하물질!$B:$D,3,FALSE),"")</f>
        <v/>
      </c>
      <c r="BL66" s="13"/>
      <c r="BM66" s="13" t="str">
        <f>IFERROR(VLOOKUP(표1[[#This Row],[CAS No.]], [1]규제DB_산안법_노출기준설정물질!$B:$K,3,FALSE),"")</f>
        <v/>
      </c>
      <c r="BN66" s="13"/>
      <c r="BO66" s="13" t="str">
        <f>IFERROR(VLOOKUP(표1[[#This Row],[CAS No.]], [1]규제DB_산안법_노출기준설정물질!$B:$K,5,FALSE),"")</f>
        <v/>
      </c>
      <c r="BP66" s="13" t="str">
        <f>IFERROR(VLOOKUP(표1[[#This Row],[CAS No.]], [1]규제DB_산안법_노출기준설정물질!$B:$K,7,FALSE),"")</f>
        <v/>
      </c>
      <c r="BQ66" s="13" t="str">
        <f>IFERROR(VLOOKUP(표1[[#This Row],[CAS No.]], [1]규제DB_산안법_노출기준설정물질!$B:$K,8,FALSE),"")</f>
        <v/>
      </c>
      <c r="BR66" s="13" t="str">
        <f>IFERROR(VLOOKUP(표1[[#This Row],[CAS No.]], [1]규제DB_산안법_노출기준설정물질!$B:$K,9,FALSE),"")</f>
        <v/>
      </c>
      <c r="BS66" s="13" t="str">
        <f>IFERROR(VLOOKUP(표1[[#This Row],[CAS No.]], [1]규제DB_산안법_노출기준설정물질!$B:$K,10,FALSE),"")</f>
        <v/>
      </c>
      <c r="BT66" s="13" t="str">
        <f>IFERROR(IF(표1[[#This Row],[함량(W%)]]&gt;=VLOOKUP(표1[[#This Row],[CAS No.]], [1]규제DB_산안법_작업환경측정대상유해인자!$B:$F,5,FALSE), "제품 작업환경측정대상유해인자",""),"")</f>
        <v/>
      </c>
      <c r="BU66" s="13" t="str">
        <f>IFERROR(IF(표1[[#This Row],[CAS No.]]=VLOOKUP(표1[[#This Row],[CAS No.]], [1]규제DB_산안법_특수건강진단대상유해인자!$B:$C,1,FALSE), "제품 특수건강진단대상유해인자",""),"")</f>
        <v/>
      </c>
      <c r="BV66" s="13"/>
      <c r="BW66" s="13"/>
      <c r="BX66" s="13"/>
      <c r="BY66" s="13"/>
      <c r="BZ66" s="13"/>
      <c r="CA66" s="13" t="str">
        <f>IFERROR(IF(표1[[#This Row],[CAS No.]]=VLOOKUP(표1[[#This Row],[CAS No.]],[1]규제DB_고압법_가연성가스!$B:$D,1,FALSE),"가연성가스",""),"")</f>
        <v/>
      </c>
      <c r="CB66" s="13" t="str">
        <f>IFERROR(IF(표1[[#This Row],[CAS No.]]=VLOOKUP(표1[[#This Row],[CAS No.]],[1]규제DB_고압법_특수고압가스!$B:$D,1,FALSE),"특수고압가스",""),"")</f>
        <v/>
      </c>
      <c r="CC66" s="13" t="str">
        <f>IFERROR(IF(표1[[#This Row],[CAS No.]]=VLOOKUP(표1[[#This Row],[CAS No.]],[1]규제DB_고압법_특정고압가스!$B:$D,1,FALSE),"특정고압가스",""),"")</f>
        <v/>
      </c>
      <c r="CD66" s="13" t="str">
        <f>IFERROR(IF(표1[[#This Row],[함량(W%)]]&gt;=VLOOKUP(표1[[#This Row],[CAS No.]],[1]규제DB_화관법_개별취급기준!$B:$G,5,FALSE),VLOOKUP(표1[[#This Row],[CAS No.]],[1]규제DB_화관법_개별취급기준!$B:$G,6,FALSE),""),"")</f>
        <v/>
      </c>
    </row>
    <row r="67" spans="1:82" ht="27.95" customHeight="1">
      <c r="A67" s="13">
        <v>66</v>
      </c>
      <c r="B67" s="2"/>
      <c r="C67" s="3" t="s">
        <v>103</v>
      </c>
      <c r="D67" s="14"/>
      <c r="E67" s="50" t="s">
        <v>124</v>
      </c>
      <c r="F67" s="3" t="s">
        <v>90</v>
      </c>
      <c r="G67" s="5" t="s">
        <v>78</v>
      </c>
      <c r="H67" s="3" t="s">
        <v>91</v>
      </c>
      <c r="I67" s="50" t="s">
        <v>102</v>
      </c>
      <c r="J67" s="3" t="s">
        <v>166</v>
      </c>
      <c r="K67" s="3" t="s">
        <v>166</v>
      </c>
      <c r="L67" s="3"/>
      <c r="M67" s="5" t="s">
        <v>80</v>
      </c>
      <c r="N67" s="5" t="s">
        <v>179</v>
      </c>
      <c r="O67" s="53" t="s">
        <v>92</v>
      </c>
      <c r="P67" s="55" t="s">
        <v>98</v>
      </c>
      <c r="Q67" s="54">
        <v>292</v>
      </c>
      <c r="R67" s="6">
        <v>292</v>
      </c>
      <c r="S67" s="17"/>
      <c r="T67" s="17"/>
      <c r="U67" s="6">
        <v>292</v>
      </c>
      <c r="V67" s="6">
        <v>292</v>
      </c>
      <c r="W67" s="8" t="str">
        <f>표1[[#This Row],[자재코드]]&amp;"_"&amp;표1[[#This Row],[자재명]]&amp;"_"&amp;표1[[#This Row],[공급업체명]]</f>
        <v>_BETST IMPACT_한국특수잉크공업</v>
      </c>
      <c r="X67" s="51" t="s">
        <v>144</v>
      </c>
      <c r="Y67" s="2"/>
      <c r="Z67" s="2"/>
      <c r="AA67" s="2"/>
      <c r="AB67" s="50">
        <v>100</v>
      </c>
      <c r="AC67" s="9" t="s">
        <v>86</v>
      </c>
      <c r="AD67" s="9" t="s">
        <v>83</v>
      </c>
      <c r="AE67" s="10" t="s">
        <v>89</v>
      </c>
      <c r="AF67" s="10" t="s">
        <v>89</v>
      </c>
      <c r="AG67" s="11"/>
      <c r="AH67" s="50" t="s">
        <v>191</v>
      </c>
      <c r="AI67" s="12">
        <f>IFERROR(표1[[#This Row],[사용량(kg)]]*표1[[#This Row],[함량(W%)]]/100,"")</f>
        <v>292</v>
      </c>
      <c r="AJ67" s="13"/>
      <c r="AK67" s="13"/>
      <c r="AL67" s="14"/>
      <c r="AM67" s="15"/>
      <c r="AN67" s="13"/>
      <c r="AO67" s="13"/>
      <c r="AP67" s="13"/>
      <c r="AQ67" s="13"/>
      <c r="AR67" s="13" t="str">
        <f>IFERROR(IF(표1[[#This Row],[함량(W%)]]&gt;=VLOOKUP(표1[[#This Row],[CAS No.]],[1]규제DB_유해법_유독물!B:F,5,FALSE),"유독물질 제품",""),"")</f>
        <v/>
      </c>
      <c r="AS67" s="13" t="str">
        <f>IFERROR(VLOOKUP(표1[[#This Row],[CAS No.]],[1]규제DB_유해법_금지물질!B:G,3,FALSE),"")</f>
        <v/>
      </c>
      <c r="AT67" s="13" t="str">
        <f>IFERROR(VLOOKUP(표1[[#This Row],[CAS No.]],[1]규제DB_유해법_금지물질!B:G,4,FALSE)&amp;" 인지 확인하세요","")</f>
        <v/>
      </c>
      <c r="AU67" s="13" t="str">
        <f>IFERROR(VLOOKUP(표1[[#This Row],[CAS No.]],[1]규제DB_유해법_제한물질!B:G,3,FALSE),"")</f>
        <v/>
      </c>
      <c r="AV67" s="13" t="str">
        <f>IFERROR(IF(표1[[#This Row],[함량(W%)]]&gt;=VLOOKUP(표1[[#This Row],[CAS No.]],[1]규제DB_유해법_제한물질!$B:$G,5,FALSE),"제한 제품",""),"")</f>
        <v/>
      </c>
      <c r="AW67" s="13" t="str">
        <f>IFERROR(VLOOKUP(표1[[#This Row],[CAS No.]],[1]규제DB_유해법_사고대비물질!B:J,2,FALSE),"")</f>
        <v/>
      </c>
      <c r="AX67" s="13" t="str">
        <f>IFERROR(IF(표1[[#This Row],[함량(W%)]]&gt;=VLOOKUP(표1[[#This Row],[CAS No.]],[1]규제DB_유해법_사고대비물질!$B:$J,4,FALSE),"사고대비물질 제품",""),"")</f>
        <v/>
      </c>
      <c r="AY67" s="16" t="str">
        <f>IFERROR(VLOOKUP(표1[[#This Row],[CAS No.]],[1]규제DB_유해법_사고대비물질!$B:$J,5,FALSE),"")</f>
        <v/>
      </c>
      <c r="AZ67" s="16" t="str">
        <f>IFERROR(VLOOKUP(표1[[#This Row],[CAS No.]],[1]규제DB_유해법_사고대비물질!$B:$J,6,FALSE),"")</f>
        <v/>
      </c>
      <c r="BA67" s="17" t="str">
        <f>IFERROR(IF(표1[[#This Row],[함량(W%)]]&gt;=VLOOKUP(표1[[#This Row],[CAS No.]],[1]규제DB_유해법_사고대비물질!$B:$J,4,FALSE),VLOOKUP(표1[[#This Row],[CAS No.]],[1]규제DB_유해법_사고대비물질!$B$2:$J$70,7,FALSE),""),"")</f>
        <v/>
      </c>
      <c r="BB67" s="17" t="str">
        <f>IFERROR(IF(표1[[#This Row],[함량(W%)]]&gt;=VLOOKUP(표1[[#This Row],[CAS No.]],[1]규제DB_유해법_사고대비물질!$B:$J,4,FALSE),VLOOKUP(표1[[#This Row],[CAS No.]],[1]규제DB_유해법_사고대비물질!$B$2:$J$70,8,FALSE),""),"")</f>
        <v/>
      </c>
      <c r="BC67" s="17" t="str">
        <f>IFERROR(IF(표1[[#This Row],[함량(W%)]]&gt;=VLOOKUP(표1[[#This Row],[CAS No.]],[1]규제DB_유해법_사고대비물질!$B:$J,4,FALSE),VLOOKUP(표1[[#This Row],[CAS No.]],[1]규제DB_유해법_사고대비물질!$B$2:$J$70,9,FALSE),""),"")</f>
        <v/>
      </c>
      <c r="BD67" s="18" t="str">
        <f>IFERROR(IF(표1[[#This Row],[함량(W%)]]&gt;=VLOOKUP(표1[[#This Row],[CAS No.]],'[1]규제DB_유해법_배출량조사 I'!$B:$D,3,FALSE),IF(VLOOKUP(표1[[#This Row],[CAS No.]],[1]기초자료!$A:$C,3,FALSE)&gt;=1000,"배출량조사 I 물질",""),""),"")</f>
        <v/>
      </c>
      <c r="BE67" s="18"/>
      <c r="BF67" s="13" t="str">
        <f>IFERROR(IF(표1[[#This Row],[함량(W%)]]&gt;=VLOOKUP(표1[[#This Row],[CAS No.]],[1]규제DB_산안법_금지물질!$B:$E,4,FALSE), VLOOKUP(표1[[#This Row],[CAS No.]],[1]규제DB_산안법_금지물질!$B:$E,2,FALSE)&amp;" : "&amp;VLOOKUP(표1[[#This Row],[CAS No.]],[1]규제DB_산안법_금지물질!$B:$E,3,FALSE)&amp;" 인지 확인하세요",""),"")</f>
        <v/>
      </c>
      <c r="BG67" s="13" t="str">
        <f>IFERROR(IF(표1[[#This Row],[함량(W%)]]&gt;=VLOOKUP(표1[[#This Row],[CAS No.]],[1]규제DB_산안법_허가물질!$B:$E,4,FALSE), "제품 허가물질",""),"")</f>
        <v/>
      </c>
      <c r="BH67" s="13" t="str">
        <f>IFERROR(IF(표1[[#This Row],[함량(W%)]]&gt;=VLOOKUP(표1[[#This Row],[CAS No.]], [1]규제DB_산안법_특별관리물질!$B:$E,4,FALSE), "제품 특별관리물질",""),"")</f>
        <v/>
      </c>
      <c r="BI67" s="13" t="str">
        <f>IFERROR(IF(표1[[#This Row],[함량(W%)]]&gt;=VLOOKUP(표1[[#This Row],[CAS No.]], [1]규제DB_산안법_관리대상유해물질!$B:$E,4,FALSE), "제품 관리대상유해물질",""),"")</f>
        <v/>
      </c>
      <c r="BJ67" s="13" t="str">
        <f>IFERROR(IF(표1[[#This Row],[CAS No.]]=VLOOKUP(표1[[#This Row],[CAS No.]], [1]규제DB_산안법_허용기준이하물질!$B:$D,1,FALSE),"제품 허용기준이하물질",""),"")</f>
        <v/>
      </c>
      <c r="BK67" s="13" t="str">
        <f>IFERROR(VLOOKUP(표1[[#This Row],[CAS No.]], [1]규제DB_산안법_허용기준이하물질!$B:$D,3,FALSE),"")</f>
        <v/>
      </c>
      <c r="BL67" s="13"/>
      <c r="BM67" s="13" t="str">
        <f>IFERROR(VLOOKUP(표1[[#This Row],[CAS No.]], [1]규제DB_산안법_노출기준설정물질!$B:$K,3,FALSE),"")</f>
        <v/>
      </c>
      <c r="BN67" s="13" t="str">
        <f>IFERROR(VLOOKUP(표1[[#This Row],[CAS No.]], [1]규제DB_산안법_노출기준설정물질!$B:$K,4,FALSE),"")</f>
        <v/>
      </c>
      <c r="BO67" s="13" t="str">
        <f>IFERROR(VLOOKUP(표1[[#This Row],[CAS No.]], [1]규제DB_산안법_노출기준설정물질!$B:$K,5,FALSE),"")</f>
        <v/>
      </c>
      <c r="BP67" s="13" t="str">
        <f>IFERROR(VLOOKUP(표1[[#This Row],[CAS No.]], [1]규제DB_산안법_노출기준설정물질!$B:$K,7,FALSE),"")</f>
        <v/>
      </c>
      <c r="BQ67" s="13" t="str">
        <f>IFERROR(VLOOKUP(표1[[#This Row],[CAS No.]], [1]규제DB_산안법_노출기준설정물질!$B:$K,8,FALSE),"")</f>
        <v/>
      </c>
      <c r="BR67" s="13" t="str">
        <f>IFERROR(VLOOKUP(표1[[#This Row],[CAS No.]], [1]규제DB_산안법_노출기준설정물질!$B:$K,9,FALSE),"")</f>
        <v/>
      </c>
      <c r="BS67" s="13" t="str">
        <f>IFERROR(VLOOKUP(표1[[#This Row],[CAS No.]], [1]규제DB_산안법_노출기준설정물질!$B:$K,10,FALSE),"")</f>
        <v/>
      </c>
      <c r="BT67" s="13" t="str">
        <f>IFERROR(IF(표1[[#This Row],[함량(W%)]]&gt;=VLOOKUP(표1[[#This Row],[CAS No.]], [1]규제DB_산안법_작업환경측정대상유해인자!$B:$F,5,FALSE), "제품 작업환경측정대상유해인자",""),"")</f>
        <v/>
      </c>
      <c r="BU67" s="13" t="str">
        <f>IFERROR(IF(표1[[#This Row],[CAS No.]]=VLOOKUP(표1[[#This Row],[CAS No.]], [1]규제DB_산안법_특수건강진단대상유해인자!$B:$C,1,FALSE), "제품 특수건강진단대상유해인자",""),"")</f>
        <v/>
      </c>
      <c r="BV67" s="13"/>
      <c r="BW67" s="13"/>
      <c r="BX67" s="13"/>
      <c r="BY67" s="13"/>
      <c r="BZ67" s="13"/>
      <c r="CA67" s="13" t="str">
        <f>IFERROR(IF(표1[[#This Row],[CAS No.]]=VLOOKUP(표1[[#This Row],[CAS No.]],[1]규제DB_고압법_가연성가스!$B:$D,1,FALSE),"가연성가스",""),"")</f>
        <v/>
      </c>
      <c r="CB67" s="13" t="str">
        <f>IFERROR(IF(표1[[#This Row],[CAS No.]]=VLOOKUP(표1[[#This Row],[CAS No.]],[1]규제DB_고압법_특수고압가스!$B:$D,1,FALSE),"특수고압가스",""),"")</f>
        <v/>
      </c>
      <c r="CC67" s="13" t="str">
        <f>IFERROR(IF(표1[[#This Row],[CAS No.]]=VLOOKUP(표1[[#This Row],[CAS No.]],[1]규제DB_고압법_특정고압가스!$B:$D,1,FALSE),"특정고압가스",""),"")</f>
        <v/>
      </c>
      <c r="CD67" s="13" t="str">
        <f>IFERROR(IF(표1[[#This Row],[함량(W%)]]&gt;=VLOOKUP(표1[[#This Row],[CAS No.]],[1]규제DB_화관법_개별취급기준!$B:$G,5,FALSE),VLOOKUP(표1[[#This Row],[CAS No.]],[1]규제DB_화관법_개별취급기준!$B:$G,6,FALSE),""),"")</f>
        <v/>
      </c>
    </row>
    <row r="68" spans="1:82" ht="27.95" customHeight="1">
      <c r="A68" s="13">
        <v>67</v>
      </c>
      <c r="B68" s="2"/>
      <c r="C68" s="3" t="s">
        <v>103</v>
      </c>
      <c r="D68" s="14"/>
      <c r="E68" s="50" t="s">
        <v>123</v>
      </c>
      <c r="F68" s="3" t="s">
        <v>90</v>
      </c>
      <c r="G68" s="5" t="s">
        <v>78</v>
      </c>
      <c r="H68" s="3" t="s">
        <v>91</v>
      </c>
      <c r="I68" s="50" t="s">
        <v>102</v>
      </c>
      <c r="J68" s="3" t="s">
        <v>166</v>
      </c>
      <c r="K68" s="3" t="s">
        <v>166</v>
      </c>
      <c r="L68" s="3"/>
      <c r="M68" s="5" t="s">
        <v>80</v>
      </c>
      <c r="N68" s="5" t="s">
        <v>179</v>
      </c>
      <c r="O68" s="53" t="s">
        <v>92</v>
      </c>
      <c r="P68" s="55" t="s">
        <v>98</v>
      </c>
      <c r="Q68" s="54">
        <v>292</v>
      </c>
      <c r="R68" s="6">
        <v>29</v>
      </c>
      <c r="S68" s="17"/>
      <c r="T68" s="17"/>
      <c r="U68" s="6">
        <v>292</v>
      </c>
      <c r="V68" s="6">
        <v>292</v>
      </c>
      <c r="W68" s="8" t="str">
        <f>표1[[#This Row],[자재코드]]&amp;"_"&amp;표1[[#This Row],[자재명]]&amp;"_"&amp;표1[[#This Row],[공급업체명]]</f>
        <v>_BEST IMPACT_한국특수잉크공업</v>
      </c>
      <c r="X68" s="51" t="s">
        <v>145</v>
      </c>
      <c r="Y68" s="13"/>
      <c r="Z68" s="13"/>
      <c r="AA68" s="13"/>
      <c r="AB68" s="50">
        <v>100</v>
      </c>
      <c r="AC68" s="20" t="s">
        <v>93</v>
      </c>
      <c r="AD68" s="9" t="s">
        <v>83</v>
      </c>
      <c r="AE68" s="10" t="s">
        <v>89</v>
      </c>
      <c r="AF68" s="10" t="s">
        <v>89</v>
      </c>
      <c r="AG68" s="11"/>
      <c r="AH68" s="52">
        <v>1234986</v>
      </c>
      <c r="AI68" s="12">
        <f>IFERROR(표1[[#This Row],[사용량(kg)]]*표1[[#This Row],[함량(W%)]]/100,"")</f>
        <v>292</v>
      </c>
      <c r="AJ68" s="13"/>
      <c r="AK68" s="13"/>
      <c r="AL68" s="14"/>
      <c r="AM68" s="15"/>
      <c r="AN68" s="13"/>
      <c r="AO68" s="13"/>
      <c r="AP68" s="13"/>
      <c r="AQ68" s="13"/>
      <c r="AR68" s="13" t="str">
        <f>IFERROR(IF(표1[[#This Row],[함량(W%)]]&gt;=VLOOKUP(표1[[#This Row],[CAS No.]],[1]규제DB_유해법_유독물!B:F,5,FALSE),"유독물질 제품",""),"")</f>
        <v/>
      </c>
      <c r="AS68" s="13" t="str">
        <f>IFERROR(VLOOKUP(표1[[#This Row],[CAS No.]],[1]규제DB_유해법_금지물질!B:G,3,FALSE),"")</f>
        <v/>
      </c>
      <c r="AT68" s="13" t="str">
        <f>IFERROR(VLOOKUP(표1[[#This Row],[CAS No.]],[1]규제DB_유해법_금지물질!B:G,4,FALSE)&amp;" 인지 확인하세요","")</f>
        <v/>
      </c>
      <c r="AU68" s="13" t="str">
        <f>IFERROR(VLOOKUP(표1[[#This Row],[CAS No.]],[1]규제DB_유해법_제한물질!B:G,3,FALSE),"")</f>
        <v/>
      </c>
      <c r="AV68" s="13" t="str">
        <f>IFERROR(IF(표1[[#This Row],[함량(W%)]]&gt;=VLOOKUP(표1[[#This Row],[CAS No.]],[1]규제DB_유해법_제한물질!$B:$G,5,FALSE),"제한 제품",""),"")</f>
        <v/>
      </c>
      <c r="AW68" s="13" t="str">
        <f>IFERROR(VLOOKUP(표1[[#This Row],[CAS No.]],[1]규제DB_유해법_사고대비물질!B:J,2,FALSE),"")</f>
        <v/>
      </c>
      <c r="AX68" s="13" t="str">
        <f>IFERROR(IF(표1[[#This Row],[함량(W%)]]&gt;=VLOOKUP(표1[[#This Row],[CAS No.]],[1]규제DB_유해법_사고대비물질!$B:$J,4,FALSE),"사고대비물질 제품",""),"")</f>
        <v/>
      </c>
      <c r="AY68" s="16" t="str">
        <f>IFERROR(VLOOKUP(표1[[#This Row],[CAS No.]],[1]규제DB_유해법_사고대비물질!$B:$J,5,FALSE),"")</f>
        <v/>
      </c>
      <c r="AZ68" s="16" t="str">
        <f>IFERROR(VLOOKUP(표1[[#This Row],[CAS No.]],[1]규제DB_유해법_사고대비물질!$B:$J,6,FALSE),"")</f>
        <v/>
      </c>
      <c r="BA68" s="17" t="str">
        <f>IFERROR(IF(표1[[#This Row],[함량(W%)]]&gt;=VLOOKUP(표1[[#This Row],[CAS No.]],[1]규제DB_유해법_사고대비물질!$B:$J,4,FALSE),VLOOKUP(표1[[#This Row],[CAS No.]],[1]규제DB_유해법_사고대비물질!$B$2:$J$70,7,FALSE),""),"")</f>
        <v/>
      </c>
      <c r="BB68" s="17" t="str">
        <f>IFERROR(IF(표1[[#This Row],[함량(W%)]]&gt;=VLOOKUP(표1[[#This Row],[CAS No.]],[1]규제DB_유해법_사고대비물질!$B:$J,4,FALSE),VLOOKUP(표1[[#This Row],[CAS No.]],[1]규제DB_유해법_사고대비물질!$B$2:$J$70,8,FALSE),""),"")</f>
        <v/>
      </c>
      <c r="BC68" s="17" t="str">
        <f>IFERROR(IF(표1[[#This Row],[함량(W%)]]&gt;=VLOOKUP(표1[[#This Row],[CAS No.]],[1]규제DB_유해법_사고대비물질!$B:$J,4,FALSE),VLOOKUP(표1[[#This Row],[CAS No.]],[1]규제DB_유해법_사고대비물질!$B$2:$J$70,9,FALSE),""),"")</f>
        <v/>
      </c>
      <c r="BD68" s="18" t="str">
        <f>IFERROR(IF(표1[[#This Row],[함량(W%)]]&gt;=VLOOKUP(표1[[#This Row],[CAS No.]],'[1]규제DB_유해법_배출량조사 I'!$B:$D,3,FALSE),IF(VLOOKUP(표1[[#This Row],[CAS No.]],[1]기초자료!$A:$C,3,FALSE)&gt;=1000,"배출량조사 I 물질",""),""),"")</f>
        <v/>
      </c>
      <c r="BE68" s="18" t="str">
        <f>IFERROR(IF(표1[[#This Row],[함량(W%)]]&gt;=VLOOKUP(표1[[#This Row],[CAS No.]],'[1]규제DB_유해법_배출량조사 II'!B:D,3,FALSE),IF(VLOOKUP(표1[[#This Row],[CAS No.]],[1]기초자료!$A:$C,3,FALSE)&gt;=10000,"배출량조사 II 물질",""),""),"")</f>
        <v/>
      </c>
      <c r="BF68" s="13" t="str">
        <f>IFERROR(IF(표1[[#This Row],[함량(W%)]]&gt;=VLOOKUP(표1[[#This Row],[CAS No.]],[1]규제DB_산안법_금지물질!$B:$E,4,FALSE), VLOOKUP(표1[[#This Row],[CAS No.]],[1]규제DB_산안법_금지물질!$B:$E,2,FALSE)&amp;" : "&amp;VLOOKUP(표1[[#This Row],[CAS No.]],[1]규제DB_산안법_금지물질!$B:$E,3,FALSE)&amp;" 인지 확인하세요",""),"")</f>
        <v/>
      </c>
      <c r="BG68" s="13" t="str">
        <f>IFERROR(IF(표1[[#This Row],[함량(W%)]]&gt;=VLOOKUP(표1[[#This Row],[CAS No.]],[1]규제DB_산안법_허가물질!$B:$E,4,FALSE), "제품 허가물질",""),"")</f>
        <v/>
      </c>
      <c r="BH68" s="13" t="str">
        <f>IFERROR(IF(표1[[#This Row],[함량(W%)]]&gt;=VLOOKUP(표1[[#This Row],[CAS No.]], [1]규제DB_산안법_특별관리물질!$B:$E,4,FALSE), "제품 특별관리물질",""),"")</f>
        <v/>
      </c>
      <c r="BI68" s="13" t="str">
        <f>IFERROR(IF(표1[[#This Row],[함량(W%)]]&gt;=VLOOKUP(표1[[#This Row],[CAS No.]], [1]규제DB_산안법_관리대상유해물질!$B:$E,4,FALSE), "제품 관리대상유해물질",""),"")</f>
        <v/>
      </c>
      <c r="BJ68" s="13" t="str">
        <f>IFERROR(IF(표1[[#This Row],[CAS No.]]=VLOOKUP(표1[[#This Row],[CAS No.]], [1]규제DB_산안법_허용기준이하물질!$B:$D,1,FALSE),"제품 허용기준이하물질",""),"")</f>
        <v/>
      </c>
      <c r="BK68" s="13" t="str">
        <f>IFERROR(VLOOKUP(표1[[#This Row],[CAS No.]], [1]규제DB_산안법_허용기준이하물질!$B:$D,3,FALSE),"")</f>
        <v/>
      </c>
      <c r="BL68" s="13"/>
      <c r="BM68" s="13" t="str">
        <f>IFERROR(VLOOKUP(표1[[#This Row],[CAS No.]], [1]규제DB_산안법_노출기준설정물질!$B:$K,3,FALSE),"")</f>
        <v/>
      </c>
      <c r="BN68" s="13" t="str">
        <f>IFERROR(VLOOKUP(표1[[#This Row],[CAS No.]], [1]규제DB_산안법_노출기준설정물질!$B:$K,4,FALSE),"")</f>
        <v/>
      </c>
      <c r="BO68" s="13" t="str">
        <f>IFERROR(VLOOKUP(표1[[#This Row],[CAS No.]], [1]규제DB_산안법_노출기준설정물질!$B:$K,5,FALSE),"")</f>
        <v/>
      </c>
      <c r="BP68" s="13" t="str">
        <f>IFERROR(VLOOKUP(표1[[#This Row],[CAS No.]], [1]규제DB_산안법_노출기준설정물질!$B:$K,7,FALSE),"")</f>
        <v/>
      </c>
      <c r="BQ68" s="13" t="str">
        <f>IFERROR(VLOOKUP(표1[[#This Row],[CAS No.]], [1]규제DB_산안법_노출기준설정물질!$B:$K,8,FALSE),"")</f>
        <v/>
      </c>
      <c r="BR68" s="13" t="str">
        <f>IFERROR(VLOOKUP(표1[[#This Row],[CAS No.]], [1]규제DB_산안법_노출기준설정물질!$B:$K,9,FALSE),"")</f>
        <v/>
      </c>
      <c r="BS68" s="13" t="str">
        <f>IFERROR(VLOOKUP(표1[[#This Row],[CAS No.]], [1]규제DB_산안법_노출기준설정물질!$B:$K,10,FALSE),"")</f>
        <v/>
      </c>
      <c r="BT68" s="13" t="str">
        <f>IFERROR(IF(표1[[#This Row],[함량(W%)]]&gt;=VLOOKUP(표1[[#This Row],[CAS No.]], [1]규제DB_산안법_작업환경측정대상유해인자!$B:$F,5,FALSE), "제품 작업환경측정대상유해인자",""),"")</f>
        <v/>
      </c>
      <c r="BU68" s="13" t="str">
        <f>IFERROR(IF(표1[[#This Row],[CAS No.]]=VLOOKUP(표1[[#This Row],[CAS No.]], [1]규제DB_산안법_특수건강진단대상유해인자!$B:$C,1,FALSE), "제품 특수건강진단대상유해인자",""),"")</f>
        <v/>
      </c>
      <c r="BV68" s="13"/>
      <c r="BW68" s="13"/>
      <c r="BX68" s="13"/>
      <c r="BY68" s="13"/>
      <c r="BZ68" s="13"/>
      <c r="CA68" s="13" t="str">
        <f>IFERROR(IF(표1[[#This Row],[CAS No.]]=VLOOKUP(표1[[#This Row],[CAS No.]],[1]규제DB_고압법_가연성가스!$B:$D,1,FALSE),"가연성가스",""),"")</f>
        <v/>
      </c>
      <c r="CB68" s="13" t="str">
        <f>IFERROR(IF(표1[[#This Row],[CAS No.]]=VLOOKUP(표1[[#This Row],[CAS No.]],[1]규제DB_고압법_특수고압가스!$B:$D,1,FALSE),"특수고압가스",""),"")</f>
        <v/>
      </c>
      <c r="CC68" s="13" t="str">
        <f>IFERROR(IF(표1[[#This Row],[CAS No.]]=VLOOKUP(표1[[#This Row],[CAS No.]],[1]규제DB_고압법_특정고압가스!$B:$D,1,FALSE),"특정고압가스",""),"")</f>
        <v/>
      </c>
      <c r="CD68" s="13" t="str">
        <f>IFERROR(IF(표1[[#This Row],[함량(W%)]]&gt;=VLOOKUP(표1[[#This Row],[CAS No.]],[1]규제DB_화관법_개별취급기준!$B:$G,5,FALSE),VLOOKUP(표1[[#This Row],[CAS No.]],[1]규제DB_화관법_개별취급기준!$B:$G,6,FALSE),""),"")</f>
        <v/>
      </c>
    </row>
    <row r="69" spans="1:82" ht="27.95" customHeight="1">
      <c r="A69" s="13">
        <v>68</v>
      </c>
      <c r="B69" s="2"/>
      <c r="C69" s="3" t="s">
        <v>103</v>
      </c>
      <c r="D69" s="14"/>
      <c r="E69" s="50" t="s">
        <v>123</v>
      </c>
      <c r="F69" s="3" t="s">
        <v>90</v>
      </c>
      <c r="G69" s="5" t="s">
        <v>78</v>
      </c>
      <c r="H69" s="3" t="s">
        <v>91</v>
      </c>
      <c r="I69" s="50" t="s">
        <v>102</v>
      </c>
      <c r="J69" s="3" t="s">
        <v>166</v>
      </c>
      <c r="K69" s="3" t="s">
        <v>166</v>
      </c>
      <c r="L69" s="3"/>
      <c r="M69" s="5" t="s">
        <v>80</v>
      </c>
      <c r="N69" s="5" t="s">
        <v>179</v>
      </c>
      <c r="O69" s="53" t="s">
        <v>92</v>
      </c>
      <c r="P69" s="55" t="s">
        <v>98</v>
      </c>
      <c r="Q69" s="54">
        <v>292</v>
      </c>
      <c r="R69" s="6">
        <v>292</v>
      </c>
      <c r="S69" s="17"/>
      <c r="T69" s="17"/>
      <c r="U69" s="6">
        <v>292</v>
      </c>
      <c r="V69" s="6">
        <v>292</v>
      </c>
      <c r="W69" s="8" t="str">
        <f>표1[[#This Row],[자재코드]]&amp;"_"&amp;표1[[#This Row],[자재명]]&amp;"_"&amp;표1[[#This Row],[공급업체명]]</f>
        <v>_BEST IMPACT_한국특수잉크공업</v>
      </c>
      <c r="X69" s="51" t="s">
        <v>146</v>
      </c>
      <c r="Y69" s="13"/>
      <c r="Z69" s="13"/>
      <c r="AA69" s="13"/>
      <c r="AB69" s="50">
        <v>100</v>
      </c>
      <c r="AC69" s="20" t="s">
        <v>82</v>
      </c>
      <c r="AD69" s="9" t="s">
        <v>83</v>
      </c>
      <c r="AE69" s="10" t="s">
        <v>89</v>
      </c>
      <c r="AF69" s="10" t="s">
        <v>89</v>
      </c>
      <c r="AG69" s="11"/>
      <c r="AH69" s="50" t="s">
        <v>192</v>
      </c>
      <c r="AI69" s="12">
        <f>IFERROR(표1[[#This Row],[사용량(kg)]]*표1[[#This Row],[함량(W%)]]/100,"")</f>
        <v>292</v>
      </c>
      <c r="AJ69" s="13"/>
      <c r="AK69" s="13"/>
      <c r="AL69" s="14"/>
      <c r="AM69" s="15"/>
      <c r="AN69" s="13"/>
      <c r="AO69" s="13"/>
      <c r="AP69" s="13"/>
      <c r="AQ69" s="13"/>
      <c r="AR69" s="13" t="str">
        <f>IFERROR(IF(표1[[#This Row],[함량(W%)]]&gt;=VLOOKUP(표1[[#This Row],[CAS No.]],[1]규제DB_유해법_유독물!B:F,5,FALSE),"유독물질 제품",""),"")</f>
        <v/>
      </c>
      <c r="AS69" s="13" t="str">
        <f>IFERROR(VLOOKUP(표1[[#This Row],[CAS No.]],[1]규제DB_유해법_금지물질!B:G,3,FALSE),"")</f>
        <v/>
      </c>
      <c r="AT69" s="13" t="str">
        <f>IFERROR(VLOOKUP(표1[[#This Row],[CAS No.]],[1]규제DB_유해법_금지물질!B:G,4,FALSE)&amp;" 인지 확인하세요","")</f>
        <v/>
      </c>
      <c r="AU69" s="13" t="str">
        <f>IFERROR(VLOOKUP(표1[[#This Row],[CAS No.]],[1]규제DB_유해법_제한물질!B:G,3,FALSE),"")</f>
        <v/>
      </c>
      <c r="AV69" s="13" t="str">
        <f>IFERROR(IF(표1[[#This Row],[함량(W%)]]&gt;=VLOOKUP(표1[[#This Row],[CAS No.]],[1]규제DB_유해법_제한물질!$B:$G,5,FALSE),"제한 제품",""),"")</f>
        <v/>
      </c>
      <c r="AW69" s="13" t="str">
        <f>IFERROR(VLOOKUP(표1[[#This Row],[CAS No.]],[1]규제DB_유해법_사고대비물질!B:J,2,FALSE),"")</f>
        <v/>
      </c>
      <c r="AX69" s="13" t="str">
        <f>IFERROR(IF(표1[[#This Row],[함량(W%)]]&gt;=VLOOKUP(표1[[#This Row],[CAS No.]],[1]규제DB_유해법_사고대비물질!$B:$J,4,FALSE),"사고대비물질 제품",""),"")</f>
        <v/>
      </c>
      <c r="AY69" s="16" t="str">
        <f>IFERROR(VLOOKUP(표1[[#This Row],[CAS No.]],[1]규제DB_유해법_사고대비물질!$B:$J,5,FALSE),"")</f>
        <v/>
      </c>
      <c r="AZ69" s="16" t="str">
        <f>IFERROR(VLOOKUP(표1[[#This Row],[CAS No.]],[1]규제DB_유해법_사고대비물질!$B:$J,6,FALSE),"")</f>
        <v/>
      </c>
      <c r="BA69" s="17" t="str">
        <f>IFERROR(IF(표1[[#This Row],[함량(W%)]]&gt;=VLOOKUP(표1[[#This Row],[CAS No.]],[1]규제DB_유해법_사고대비물질!$B:$J,4,FALSE),VLOOKUP(표1[[#This Row],[CAS No.]],[1]규제DB_유해법_사고대비물질!$B$2:$J$70,7,FALSE),""),"")</f>
        <v/>
      </c>
      <c r="BB69" s="17" t="str">
        <f>IFERROR(IF(표1[[#This Row],[함량(W%)]]&gt;=VLOOKUP(표1[[#This Row],[CAS No.]],[1]규제DB_유해법_사고대비물질!$B:$J,4,FALSE),VLOOKUP(표1[[#This Row],[CAS No.]],[1]규제DB_유해법_사고대비물질!$B$2:$J$70,8,FALSE),""),"")</f>
        <v/>
      </c>
      <c r="BC69" s="17" t="str">
        <f>IFERROR(IF(표1[[#This Row],[함량(W%)]]&gt;=VLOOKUP(표1[[#This Row],[CAS No.]],[1]규제DB_유해법_사고대비물질!$B:$J,4,FALSE),VLOOKUP(표1[[#This Row],[CAS No.]],[1]규제DB_유해법_사고대비물질!$B$2:$J$70,9,FALSE),""),"")</f>
        <v/>
      </c>
      <c r="BD69" s="18" t="str">
        <f>IFERROR(IF(표1[[#This Row],[함량(W%)]]&gt;=VLOOKUP(표1[[#This Row],[CAS No.]],'[1]규제DB_유해법_배출량조사 I'!$B:$D,3,FALSE),IF(VLOOKUP(표1[[#This Row],[CAS No.]],[1]기초자료!$A:$C,3,FALSE)&gt;=1000,"배출량조사 I 물질",""),""),"")</f>
        <v/>
      </c>
      <c r="BE69" s="18" t="str">
        <f>IFERROR(IF(표1[[#This Row],[함량(W%)]]&gt;=VLOOKUP(표1[[#This Row],[CAS No.]],'[1]규제DB_유해법_배출량조사 II'!B:D,3,FALSE),IF(VLOOKUP(표1[[#This Row],[CAS No.]],[1]기초자료!$A:$C,3,FALSE)&gt;=10000,"배출량조사 II 물질",""),""),"")</f>
        <v/>
      </c>
      <c r="BF69" s="13" t="str">
        <f>IFERROR(IF(표1[[#This Row],[함량(W%)]]&gt;=VLOOKUP(표1[[#This Row],[CAS No.]],[1]규제DB_산안법_금지물질!$B:$E,4,FALSE), VLOOKUP(표1[[#This Row],[CAS No.]],[1]규제DB_산안법_금지물질!$B:$E,2,FALSE)&amp;" : "&amp;VLOOKUP(표1[[#This Row],[CAS No.]],[1]규제DB_산안법_금지물질!$B:$E,3,FALSE)&amp;" 인지 확인하세요",""),"")</f>
        <v/>
      </c>
      <c r="BG69" s="13" t="str">
        <f>IFERROR(IF(표1[[#This Row],[함량(W%)]]&gt;=VLOOKUP(표1[[#This Row],[CAS No.]],[1]규제DB_산안법_허가물질!$B:$E,4,FALSE), "제품 허가물질",""),"")</f>
        <v/>
      </c>
      <c r="BH69" s="13" t="str">
        <f>IFERROR(IF(표1[[#This Row],[함량(W%)]]&gt;=VLOOKUP(표1[[#This Row],[CAS No.]], [1]규제DB_산안법_특별관리물질!$B:$E,4,FALSE), "제품 특별관리물질",""),"")</f>
        <v/>
      </c>
      <c r="BI69" s="13" t="str">
        <f>IFERROR(IF(표1[[#This Row],[함량(W%)]]&gt;=VLOOKUP(표1[[#This Row],[CAS No.]], [1]규제DB_산안법_관리대상유해물질!$B:$E,4,FALSE), "제품 관리대상유해물질",""),"")</f>
        <v/>
      </c>
      <c r="BJ69" s="13" t="str">
        <f>IFERROR(IF(표1[[#This Row],[CAS No.]]=VLOOKUP(표1[[#This Row],[CAS No.]], [1]규제DB_산안법_허용기준이하물질!$B:$D,1,FALSE),"제품 허용기준이하물질",""),"")</f>
        <v/>
      </c>
      <c r="BK69" s="13" t="str">
        <f>IFERROR(VLOOKUP(표1[[#This Row],[CAS No.]], [1]규제DB_산안법_허용기준이하물질!$B:$D,3,FALSE),"")</f>
        <v/>
      </c>
      <c r="BL69" s="13"/>
      <c r="BM69" s="13" t="str">
        <f>IFERROR(VLOOKUP(표1[[#This Row],[CAS No.]], [1]규제DB_산안법_노출기준설정물질!$B:$K,3,FALSE),"")</f>
        <v/>
      </c>
      <c r="BN69" s="13" t="str">
        <f>IFERROR(VLOOKUP(표1[[#This Row],[CAS No.]], [1]규제DB_산안법_노출기준설정물질!$B:$K,4,FALSE),"")</f>
        <v/>
      </c>
      <c r="BO69" s="13" t="str">
        <f>IFERROR(VLOOKUP(표1[[#This Row],[CAS No.]], [1]규제DB_산안법_노출기준설정물질!$B:$K,5,FALSE),"")</f>
        <v/>
      </c>
      <c r="BP69" s="13" t="str">
        <f>IFERROR(VLOOKUP(표1[[#This Row],[CAS No.]], [1]규제DB_산안법_노출기준설정물질!$B:$K,7,FALSE),"")</f>
        <v/>
      </c>
      <c r="BQ69" s="13" t="str">
        <f>IFERROR(VLOOKUP(표1[[#This Row],[CAS No.]], [1]규제DB_산안법_노출기준설정물질!$B:$K,8,FALSE),"")</f>
        <v/>
      </c>
      <c r="BR69" s="13" t="str">
        <f>IFERROR(VLOOKUP(표1[[#This Row],[CAS No.]], [1]규제DB_산안법_노출기준설정물질!$B:$K,9,FALSE),"")</f>
        <v/>
      </c>
      <c r="BS69" s="13" t="str">
        <f>IFERROR(VLOOKUP(표1[[#This Row],[CAS No.]], [1]규제DB_산안법_노출기준설정물질!$B:$K,10,FALSE),"")</f>
        <v/>
      </c>
      <c r="BT69" s="13" t="str">
        <f>IFERROR(IF(표1[[#This Row],[함량(W%)]]&gt;=VLOOKUP(표1[[#This Row],[CAS No.]], [1]규제DB_산안법_작업환경측정대상유해인자!$B:$F,5,FALSE), "제품 작업환경측정대상유해인자",""),"")</f>
        <v/>
      </c>
      <c r="BU69" s="13" t="str">
        <f>IFERROR(IF(표1[[#This Row],[CAS No.]]=VLOOKUP(표1[[#This Row],[CAS No.]], [1]규제DB_산안법_특수건강진단대상유해인자!$B:$C,1,FALSE), "제품 특수건강진단대상유해인자",""),"")</f>
        <v/>
      </c>
      <c r="BV69" s="13"/>
      <c r="BW69" s="13"/>
      <c r="BX69" s="13"/>
      <c r="BY69" s="13"/>
      <c r="BZ69" s="13"/>
      <c r="CA69" s="13" t="str">
        <f>IFERROR(IF(표1[[#This Row],[CAS No.]]=VLOOKUP(표1[[#This Row],[CAS No.]],[1]규제DB_고압법_가연성가스!$B:$D,1,FALSE),"가연성가스",""),"")</f>
        <v/>
      </c>
      <c r="CB69" s="13" t="str">
        <f>IFERROR(IF(표1[[#This Row],[CAS No.]]=VLOOKUP(표1[[#This Row],[CAS No.]],[1]규제DB_고압법_특수고압가스!$B:$D,1,FALSE),"특수고압가스",""),"")</f>
        <v/>
      </c>
      <c r="CC69" s="13" t="str">
        <f>IFERROR(IF(표1[[#This Row],[CAS No.]]=VLOOKUP(표1[[#This Row],[CAS No.]],[1]규제DB_고압법_특정고압가스!$B:$D,1,FALSE),"특정고압가스",""),"")</f>
        <v/>
      </c>
      <c r="CD69" s="13" t="str">
        <f>IFERROR(IF(표1[[#This Row],[함량(W%)]]&gt;=VLOOKUP(표1[[#This Row],[CAS No.]],[1]규제DB_화관법_개별취급기준!$B:$G,5,FALSE),VLOOKUP(표1[[#This Row],[CAS No.]],[1]규제DB_화관법_개별취급기준!$B:$G,6,FALSE),""),"")</f>
        <v/>
      </c>
    </row>
    <row r="70" spans="1:82" ht="27.95" customHeight="1">
      <c r="A70" s="13">
        <v>69</v>
      </c>
      <c r="B70" s="2"/>
      <c r="C70" s="3" t="s">
        <v>103</v>
      </c>
      <c r="D70" s="14"/>
      <c r="E70" s="50" t="s">
        <v>123</v>
      </c>
      <c r="F70" s="3" t="s">
        <v>90</v>
      </c>
      <c r="G70" s="5" t="s">
        <v>78</v>
      </c>
      <c r="H70" s="3" t="s">
        <v>91</v>
      </c>
      <c r="I70" s="50" t="s">
        <v>102</v>
      </c>
      <c r="J70" s="3" t="s">
        <v>166</v>
      </c>
      <c r="K70" s="3" t="s">
        <v>166</v>
      </c>
      <c r="L70" s="3"/>
      <c r="M70" s="5" t="s">
        <v>80</v>
      </c>
      <c r="N70" s="5" t="s">
        <v>179</v>
      </c>
      <c r="O70" s="53" t="s">
        <v>92</v>
      </c>
      <c r="P70" s="55" t="s">
        <v>95</v>
      </c>
      <c r="Q70" s="54">
        <v>292</v>
      </c>
      <c r="R70" s="6">
        <v>292</v>
      </c>
      <c r="S70" s="17"/>
      <c r="T70" s="17"/>
      <c r="U70" s="6">
        <v>292</v>
      </c>
      <c r="V70" s="6">
        <v>292</v>
      </c>
      <c r="W70" s="8" t="str">
        <f>표1[[#This Row],[자재코드]]&amp;"_"&amp;표1[[#This Row],[자재명]]&amp;"_"&amp;표1[[#This Row],[공급업체명]]</f>
        <v>_BEST IMPACT_한국특수잉크공업</v>
      </c>
      <c r="X70" s="51" t="s">
        <v>150</v>
      </c>
      <c r="Y70" s="13"/>
      <c r="Z70" s="13"/>
      <c r="AA70" s="13"/>
      <c r="AB70" s="50">
        <v>100</v>
      </c>
      <c r="AC70" s="20" t="s">
        <v>86</v>
      </c>
      <c r="AD70" s="9" t="s">
        <v>83</v>
      </c>
      <c r="AE70" s="10" t="s">
        <v>89</v>
      </c>
      <c r="AF70" s="10" t="s">
        <v>89</v>
      </c>
      <c r="AG70" s="11"/>
      <c r="AH70" s="50" t="s">
        <v>196</v>
      </c>
      <c r="AI70" s="12">
        <f>IFERROR(표1[[#This Row],[사용량(kg)]]*표1[[#This Row],[함량(W%)]]/100,"")</f>
        <v>292</v>
      </c>
      <c r="AJ70" s="13"/>
      <c r="AK70" s="13"/>
      <c r="AL70" s="14"/>
      <c r="AM70" s="15"/>
      <c r="AN70" s="13"/>
      <c r="AO70" s="13"/>
      <c r="AP70" s="13"/>
      <c r="AQ70" s="13"/>
      <c r="AR70" s="13" t="str">
        <f>IFERROR(IF(표1[[#This Row],[함량(W%)]]&gt;=VLOOKUP(표1[[#This Row],[CAS No.]],[1]규제DB_유해법_유독물!B:F,5,FALSE),"유독물질 제품",""),"")</f>
        <v/>
      </c>
      <c r="AS70" s="13" t="str">
        <f>IFERROR(VLOOKUP(표1[[#This Row],[CAS No.]],[1]규제DB_유해법_금지물질!B:G,3,FALSE),"")</f>
        <v/>
      </c>
      <c r="AT70" s="13" t="str">
        <f>IFERROR(VLOOKUP(표1[[#This Row],[CAS No.]],[1]규제DB_유해법_금지물질!B:G,4,FALSE)&amp;" 인지 확인하세요","")</f>
        <v/>
      </c>
      <c r="AU70" s="13" t="str">
        <f>IFERROR(VLOOKUP(표1[[#This Row],[CAS No.]],[1]규제DB_유해법_제한물질!B:G,3,FALSE),"")</f>
        <v/>
      </c>
      <c r="AV70" s="13" t="str">
        <f>IFERROR(IF(표1[[#This Row],[함량(W%)]]&gt;=VLOOKUP(표1[[#This Row],[CAS No.]],[1]규제DB_유해법_제한물질!$B:$G,5,FALSE),"제한 제품",""),"")</f>
        <v/>
      </c>
      <c r="AW70" s="13" t="str">
        <f>IFERROR(VLOOKUP(표1[[#This Row],[CAS No.]],[1]규제DB_유해법_사고대비물질!B:J,2,FALSE),"")</f>
        <v/>
      </c>
      <c r="AX70" s="13" t="str">
        <f>IFERROR(IF(표1[[#This Row],[함량(W%)]]&gt;=VLOOKUP(표1[[#This Row],[CAS No.]],[1]규제DB_유해법_사고대비물질!$B:$J,4,FALSE),"사고대비물질 제품",""),"")</f>
        <v/>
      </c>
      <c r="AY70" s="16" t="str">
        <f>IFERROR(VLOOKUP(표1[[#This Row],[CAS No.]],[1]규제DB_유해법_사고대비물질!$B:$J,5,FALSE),"")</f>
        <v/>
      </c>
      <c r="AZ70" s="16" t="str">
        <f>IFERROR(VLOOKUP(표1[[#This Row],[CAS No.]],[1]규제DB_유해법_사고대비물질!$B:$J,6,FALSE),"")</f>
        <v/>
      </c>
      <c r="BA70" s="17" t="str">
        <f>IFERROR(IF(표1[[#This Row],[함량(W%)]]&gt;=VLOOKUP(표1[[#This Row],[CAS No.]],[1]규제DB_유해법_사고대비물질!$B:$J,4,FALSE),VLOOKUP(표1[[#This Row],[CAS No.]],[1]규제DB_유해법_사고대비물질!$B$2:$J$70,7,FALSE),""),"")</f>
        <v/>
      </c>
      <c r="BB70" s="17" t="str">
        <f>IFERROR(IF(표1[[#This Row],[함량(W%)]]&gt;=VLOOKUP(표1[[#This Row],[CAS No.]],[1]규제DB_유해법_사고대비물질!$B:$J,4,FALSE),VLOOKUP(표1[[#This Row],[CAS No.]],[1]규제DB_유해법_사고대비물질!$B$2:$J$70,8,FALSE),""),"")</f>
        <v/>
      </c>
      <c r="BC70" s="17" t="str">
        <f>IFERROR(IF(표1[[#This Row],[함량(W%)]]&gt;=VLOOKUP(표1[[#This Row],[CAS No.]],[1]규제DB_유해법_사고대비물질!$B:$J,4,FALSE),VLOOKUP(표1[[#This Row],[CAS No.]],[1]규제DB_유해법_사고대비물질!$B$2:$J$70,9,FALSE),""),"")</f>
        <v/>
      </c>
      <c r="BD70" s="18" t="str">
        <f>IFERROR(IF(표1[[#This Row],[함량(W%)]]&gt;=VLOOKUP(표1[[#This Row],[CAS No.]],'[1]규제DB_유해법_배출량조사 I'!$B:$D,3,FALSE),IF(VLOOKUP(표1[[#This Row],[CAS No.]],[1]기초자료!$A:$C,3,FALSE)&gt;=1000,"배출량조사 I 물질",""),""),"")</f>
        <v/>
      </c>
      <c r="BE70" s="18" t="str">
        <f>IFERROR(IF(표1[[#This Row],[함량(W%)]]&gt;=VLOOKUP(표1[[#This Row],[CAS No.]],'[1]규제DB_유해법_배출량조사 II'!B:D,3,FALSE),IF(VLOOKUP(표1[[#This Row],[CAS No.]],[1]기초자료!$A:$C,3,FALSE)&gt;=10000,"배출량조사 II 물질",""),""),"")</f>
        <v/>
      </c>
      <c r="BF70" s="13" t="str">
        <f>IFERROR(IF(표1[[#This Row],[함량(W%)]]&gt;=VLOOKUP(표1[[#This Row],[CAS No.]],[1]규제DB_산안법_금지물질!$B:$E,4,FALSE), VLOOKUP(표1[[#This Row],[CAS No.]],[1]규제DB_산안법_금지물질!$B:$E,2,FALSE)&amp;" : "&amp;VLOOKUP(표1[[#This Row],[CAS No.]],[1]규제DB_산안법_금지물질!$B:$E,3,FALSE)&amp;" 인지 확인하세요",""),"")</f>
        <v/>
      </c>
      <c r="BG70" s="13" t="str">
        <f>IFERROR(IF(표1[[#This Row],[함량(W%)]]&gt;=VLOOKUP(표1[[#This Row],[CAS No.]],[1]규제DB_산안법_허가물질!$B:$E,4,FALSE), "제품 허가물질",""),"")</f>
        <v/>
      </c>
      <c r="BH70" s="13" t="str">
        <f>IFERROR(IF(표1[[#This Row],[함량(W%)]]&gt;=VLOOKUP(표1[[#This Row],[CAS No.]], [1]규제DB_산안법_특별관리물질!$B:$E,4,FALSE), "제품 특별관리물질",""),"")</f>
        <v/>
      </c>
      <c r="BI70" s="13" t="str">
        <f>IFERROR(IF(표1[[#This Row],[함량(W%)]]&gt;=VLOOKUP(표1[[#This Row],[CAS No.]], [1]규제DB_산안법_관리대상유해물질!$B:$E,4,FALSE), "제품 관리대상유해물질",""),"")</f>
        <v/>
      </c>
      <c r="BJ70" s="13" t="str">
        <f>IFERROR(IF(표1[[#This Row],[CAS No.]]=VLOOKUP(표1[[#This Row],[CAS No.]], [1]규제DB_산안법_허용기준이하물질!$B:$D,1,FALSE),"제품 허용기준이하물질",""),"")</f>
        <v/>
      </c>
      <c r="BK70" s="13" t="str">
        <f>IFERROR(VLOOKUP(표1[[#This Row],[CAS No.]], [1]규제DB_산안법_허용기준이하물질!$B:$D,3,FALSE),"")</f>
        <v/>
      </c>
      <c r="BL70" s="13"/>
      <c r="BM70" s="13" t="str">
        <f>IFERROR(VLOOKUP(표1[[#This Row],[CAS No.]], [1]규제DB_산안법_노출기준설정물질!$B:$K,3,FALSE),"")</f>
        <v/>
      </c>
      <c r="BN70" s="13" t="str">
        <f>IFERROR(VLOOKUP(표1[[#This Row],[CAS No.]], [1]규제DB_산안법_노출기준설정물질!$B:$K,4,FALSE),"")</f>
        <v/>
      </c>
      <c r="BO70" s="13" t="str">
        <f>IFERROR(VLOOKUP(표1[[#This Row],[CAS No.]], [1]규제DB_산안법_노출기준설정물질!$B:$K,5,FALSE),"")</f>
        <v/>
      </c>
      <c r="BP70" s="13" t="str">
        <f>IFERROR(VLOOKUP(표1[[#This Row],[CAS No.]], [1]규제DB_산안법_노출기준설정물질!$B:$K,7,FALSE),"")</f>
        <v/>
      </c>
      <c r="BQ70" s="13" t="str">
        <f>IFERROR(VLOOKUP(표1[[#This Row],[CAS No.]], [1]규제DB_산안법_노출기준설정물질!$B:$K,8,FALSE),"")</f>
        <v/>
      </c>
      <c r="BR70" s="13" t="str">
        <f>IFERROR(VLOOKUP(표1[[#This Row],[CAS No.]], [1]규제DB_산안법_노출기준설정물질!$B:$K,9,FALSE),"")</f>
        <v/>
      </c>
      <c r="BS70" s="13" t="str">
        <f>IFERROR(VLOOKUP(표1[[#This Row],[CAS No.]], [1]규제DB_산안법_노출기준설정물질!$B:$K,10,FALSE),"")</f>
        <v/>
      </c>
      <c r="BT70" s="13" t="str">
        <f>IFERROR(IF(표1[[#This Row],[함량(W%)]]&gt;=VLOOKUP(표1[[#This Row],[CAS No.]], [1]규제DB_산안법_작업환경측정대상유해인자!$B:$F,5,FALSE), "제품 작업환경측정대상유해인자",""),"")</f>
        <v/>
      </c>
      <c r="BU70" s="13" t="str">
        <f>IFERROR(IF(표1[[#This Row],[CAS No.]]=VLOOKUP(표1[[#This Row],[CAS No.]], [1]규제DB_산안법_특수건강진단대상유해인자!$B:$C,1,FALSE), "제품 특수건강진단대상유해인자",""),"")</f>
        <v/>
      </c>
      <c r="BV70" s="13"/>
      <c r="BW70" s="13"/>
      <c r="BX70" s="13"/>
      <c r="BY70" s="13"/>
      <c r="BZ70" s="13"/>
      <c r="CA70" s="13" t="str">
        <f>IFERROR(IF(표1[[#This Row],[CAS No.]]=VLOOKUP(표1[[#This Row],[CAS No.]],[1]규제DB_고압법_가연성가스!$B:$D,1,FALSE),"가연성가스",""),"")</f>
        <v/>
      </c>
      <c r="CB70" s="13" t="str">
        <f>IFERROR(IF(표1[[#This Row],[CAS No.]]=VLOOKUP(표1[[#This Row],[CAS No.]],[1]규제DB_고압법_특수고압가스!$B:$D,1,FALSE),"특수고압가스",""),"")</f>
        <v/>
      </c>
      <c r="CC70" s="13" t="str">
        <f>IFERROR(IF(표1[[#This Row],[CAS No.]]=VLOOKUP(표1[[#This Row],[CAS No.]],[1]규제DB_고압법_특정고압가스!$B:$D,1,FALSE),"특정고압가스",""),"")</f>
        <v/>
      </c>
      <c r="CD70" s="13" t="str">
        <f>IFERROR(IF(표1[[#This Row],[함량(W%)]]&gt;=VLOOKUP(표1[[#This Row],[CAS No.]],[1]규제DB_화관법_개별취급기준!$B:$G,5,FALSE),VLOOKUP(표1[[#This Row],[CAS No.]],[1]규제DB_화관법_개별취급기준!$B:$G,6,FALSE),""),"")</f>
        <v/>
      </c>
    </row>
    <row r="71" spans="1:82" ht="27.95" customHeight="1">
      <c r="A71" s="13">
        <v>70</v>
      </c>
      <c r="B71" s="2"/>
      <c r="C71" s="3" t="s">
        <v>103</v>
      </c>
      <c r="D71" s="14"/>
      <c r="E71" s="50" t="s">
        <v>123</v>
      </c>
      <c r="F71" s="3" t="s">
        <v>90</v>
      </c>
      <c r="G71" s="5" t="s">
        <v>78</v>
      </c>
      <c r="H71" s="3" t="s">
        <v>91</v>
      </c>
      <c r="I71" s="50" t="s">
        <v>102</v>
      </c>
      <c r="J71" s="3" t="s">
        <v>166</v>
      </c>
      <c r="K71" s="3" t="s">
        <v>166</v>
      </c>
      <c r="L71" s="3"/>
      <c r="M71" s="5" t="s">
        <v>80</v>
      </c>
      <c r="N71" s="5" t="s">
        <v>179</v>
      </c>
      <c r="O71" s="53" t="s">
        <v>92</v>
      </c>
      <c r="P71" s="55" t="s">
        <v>95</v>
      </c>
      <c r="Q71" s="54">
        <v>292</v>
      </c>
      <c r="R71" s="6">
        <v>292</v>
      </c>
      <c r="S71" s="17"/>
      <c r="T71" s="17"/>
      <c r="U71" s="6">
        <v>292</v>
      </c>
      <c r="V71" s="6">
        <v>292</v>
      </c>
      <c r="W71" s="8" t="str">
        <f>표1[[#This Row],[자재코드]]&amp;"_"&amp;표1[[#This Row],[자재명]]&amp;"_"&amp;표1[[#This Row],[공급업체명]]</f>
        <v>_BEST IMPACT_한국특수잉크공업</v>
      </c>
      <c r="X71" s="51" t="s">
        <v>149</v>
      </c>
      <c r="Y71" s="2"/>
      <c r="Z71" s="2"/>
      <c r="AA71" s="2"/>
      <c r="AB71" s="50">
        <v>100</v>
      </c>
      <c r="AC71" s="9" t="s">
        <v>88</v>
      </c>
      <c r="AD71" s="9" t="s">
        <v>83</v>
      </c>
      <c r="AE71" s="10" t="s">
        <v>89</v>
      </c>
      <c r="AF71" s="10" t="s">
        <v>89</v>
      </c>
      <c r="AG71" s="11"/>
      <c r="AH71" s="50" t="s">
        <v>195</v>
      </c>
      <c r="AI71" s="12">
        <f>IFERROR(표1[[#This Row],[사용량(kg)]]*표1[[#This Row],[함량(W%)]]/100,"")</f>
        <v>292</v>
      </c>
      <c r="AJ71" s="13"/>
      <c r="AK71" s="13"/>
      <c r="AL71" s="14"/>
      <c r="AM71" s="15"/>
      <c r="AN71" s="13"/>
      <c r="AO71" s="13"/>
      <c r="AP71" s="13"/>
      <c r="AQ71" s="13"/>
      <c r="AR71" s="13" t="str">
        <f>IFERROR(IF(표1[[#This Row],[함량(W%)]]&gt;=VLOOKUP(표1[[#This Row],[CAS No.]],[1]규제DB_유해법_유독물!B:F,5,FALSE),"유독물질 제품",""),"")</f>
        <v/>
      </c>
      <c r="AS71" s="13" t="str">
        <f>IFERROR(VLOOKUP(표1[[#This Row],[CAS No.]],[1]규제DB_유해법_금지물질!B:G,3,FALSE),"")</f>
        <v/>
      </c>
      <c r="AT71" s="13" t="str">
        <f>IFERROR(VLOOKUP(표1[[#This Row],[CAS No.]],[1]규제DB_유해법_금지물질!B:G,4,FALSE)&amp;" 인지 확인하세요","")</f>
        <v/>
      </c>
      <c r="AU71" s="13" t="str">
        <f>IFERROR(VLOOKUP(표1[[#This Row],[CAS No.]],[1]규제DB_유해법_제한물질!B:G,3,FALSE),"")</f>
        <v/>
      </c>
      <c r="AV71" s="13" t="str">
        <f>IFERROR(IF(표1[[#This Row],[함량(W%)]]&gt;=VLOOKUP(표1[[#This Row],[CAS No.]],[1]규제DB_유해법_제한물질!$B:$G,5,FALSE),"제한 제품",""),"")</f>
        <v/>
      </c>
      <c r="AW71" s="13" t="str">
        <f>IFERROR(VLOOKUP(표1[[#This Row],[CAS No.]],[1]규제DB_유해법_사고대비물질!B:J,2,FALSE),"")</f>
        <v/>
      </c>
      <c r="AX71" s="13" t="str">
        <f>IFERROR(IF(표1[[#This Row],[함량(W%)]]&gt;=VLOOKUP(표1[[#This Row],[CAS No.]],[1]규제DB_유해법_사고대비물질!$B:$J,4,FALSE),"사고대비물질 제품",""),"")</f>
        <v/>
      </c>
      <c r="AY71" s="16" t="str">
        <f>IFERROR(VLOOKUP(표1[[#This Row],[CAS No.]],[1]규제DB_유해법_사고대비물질!$B:$J,5,FALSE),"")</f>
        <v/>
      </c>
      <c r="AZ71" s="16" t="str">
        <f>IFERROR(VLOOKUP(표1[[#This Row],[CAS No.]],[1]규제DB_유해법_사고대비물질!$B:$J,6,FALSE),"")</f>
        <v/>
      </c>
      <c r="BA71" s="17" t="str">
        <f>IFERROR(IF(표1[[#This Row],[함량(W%)]]&gt;=VLOOKUP(표1[[#This Row],[CAS No.]],[1]규제DB_유해법_사고대비물질!$B:$J,4,FALSE),VLOOKUP(표1[[#This Row],[CAS No.]],[1]규제DB_유해법_사고대비물질!$B$2:$J$70,7,FALSE),""),"")</f>
        <v/>
      </c>
      <c r="BB71" s="17" t="str">
        <f>IFERROR(IF(표1[[#This Row],[함량(W%)]]&gt;=VLOOKUP(표1[[#This Row],[CAS No.]],[1]규제DB_유해법_사고대비물질!$B:$J,4,FALSE),VLOOKUP(표1[[#This Row],[CAS No.]],[1]규제DB_유해법_사고대비물질!$B$2:$J$70,8,FALSE),""),"")</f>
        <v/>
      </c>
      <c r="BC71" s="17" t="str">
        <f>IFERROR(IF(표1[[#This Row],[함량(W%)]]&gt;=VLOOKUP(표1[[#This Row],[CAS No.]],[1]규제DB_유해법_사고대비물질!$B:$J,4,FALSE),VLOOKUP(표1[[#This Row],[CAS No.]],[1]규제DB_유해법_사고대비물질!$B$2:$J$70,9,FALSE),""),"")</f>
        <v/>
      </c>
      <c r="BD71" s="18" t="str">
        <f>IFERROR(IF(표1[[#This Row],[함량(W%)]]&gt;=VLOOKUP(표1[[#This Row],[CAS No.]],'[1]규제DB_유해법_배출량조사 I'!$B:$D,3,FALSE),IF(VLOOKUP(표1[[#This Row],[CAS No.]],[1]기초자료!$A:$C,3,FALSE)&gt;=1000,"배출량조사 I 물질",""),""),"")</f>
        <v/>
      </c>
      <c r="BE71" s="18" t="str">
        <f>IFERROR(IF(표1[[#This Row],[함량(W%)]]&gt;=VLOOKUP(표1[[#This Row],[CAS No.]],'[1]규제DB_유해법_배출량조사 II'!B:D,3,FALSE),IF(VLOOKUP(표1[[#This Row],[CAS No.]],[1]기초자료!$A:$C,3,FALSE)&gt;=10000,"배출량조사 II 물질",""),""),"")</f>
        <v/>
      </c>
      <c r="BF71" s="13" t="str">
        <f>IFERROR(IF(표1[[#This Row],[함량(W%)]]&gt;=VLOOKUP(표1[[#This Row],[CAS No.]],[1]규제DB_산안법_금지물질!$B:$E,4,FALSE), VLOOKUP(표1[[#This Row],[CAS No.]],[1]규제DB_산안법_금지물질!$B:$E,2,FALSE)&amp;" : "&amp;VLOOKUP(표1[[#This Row],[CAS No.]],[1]규제DB_산안법_금지물질!$B:$E,3,FALSE)&amp;" 인지 확인하세요",""),"")</f>
        <v/>
      </c>
      <c r="BG71" s="13" t="str">
        <f>IFERROR(IF(표1[[#This Row],[함량(W%)]]&gt;=VLOOKUP(표1[[#This Row],[CAS No.]],[1]규제DB_산안법_허가물질!$B:$E,4,FALSE), "제품 허가물질",""),"")</f>
        <v/>
      </c>
      <c r="BH71" s="13" t="str">
        <f>IFERROR(IF(표1[[#This Row],[함량(W%)]]&gt;=VLOOKUP(표1[[#This Row],[CAS No.]], [1]규제DB_산안법_특별관리물질!$B:$E,4,FALSE), "제품 특별관리물질",""),"")</f>
        <v/>
      </c>
      <c r="BI71" s="13" t="str">
        <f>IFERROR(IF(표1[[#This Row],[함량(W%)]]&gt;=VLOOKUP(표1[[#This Row],[CAS No.]], [1]규제DB_산안법_관리대상유해물질!$B:$E,4,FALSE), "제품 관리대상유해물질",""),"")</f>
        <v/>
      </c>
      <c r="BJ71" s="13" t="str">
        <f>IFERROR(IF(표1[[#This Row],[CAS No.]]=VLOOKUP(표1[[#This Row],[CAS No.]], [1]규제DB_산안법_허용기준이하물질!$B:$D,1,FALSE),"제품 허용기준이하물질",""),"")</f>
        <v/>
      </c>
      <c r="BK71" s="13" t="str">
        <f>IFERROR(VLOOKUP(표1[[#This Row],[CAS No.]], [1]규제DB_산안법_허용기준이하물질!$B:$D,3,FALSE),"")</f>
        <v/>
      </c>
      <c r="BL71" s="13"/>
      <c r="BM71" s="13" t="str">
        <f>IFERROR(VLOOKUP(표1[[#This Row],[CAS No.]], [1]규제DB_산안법_노출기준설정물질!$B:$K,3,FALSE),"")</f>
        <v/>
      </c>
      <c r="BN71" s="13" t="str">
        <f>IFERROR(VLOOKUP(표1[[#This Row],[CAS No.]], [1]규제DB_산안법_노출기준설정물질!$B:$K,4,FALSE),"")</f>
        <v/>
      </c>
      <c r="BO71" s="13" t="str">
        <f>IFERROR(VLOOKUP(표1[[#This Row],[CAS No.]], [1]규제DB_산안법_노출기준설정물질!$B:$K,5,FALSE),"")</f>
        <v/>
      </c>
      <c r="BP71" s="13" t="str">
        <f>IFERROR(VLOOKUP(표1[[#This Row],[CAS No.]], [1]규제DB_산안법_노출기준설정물질!$B:$K,7,FALSE),"")</f>
        <v/>
      </c>
      <c r="BQ71" s="13" t="str">
        <f>IFERROR(VLOOKUP(표1[[#This Row],[CAS No.]], [1]규제DB_산안법_노출기준설정물질!$B:$K,8,FALSE),"")</f>
        <v/>
      </c>
      <c r="BR71" s="13" t="str">
        <f>IFERROR(VLOOKUP(표1[[#This Row],[CAS No.]], [1]규제DB_산안법_노출기준설정물질!$B:$K,9,FALSE),"")</f>
        <v/>
      </c>
      <c r="BS71" s="13" t="str">
        <f>IFERROR(VLOOKUP(표1[[#This Row],[CAS No.]], [1]규제DB_산안법_노출기준설정물질!$B:$K,10,FALSE),"")</f>
        <v/>
      </c>
      <c r="BT71" s="13" t="str">
        <f>IFERROR(IF(표1[[#This Row],[함량(W%)]]&gt;=VLOOKUP(표1[[#This Row],[CAS No.]], [1]규제DB_산안법_작업환경측정대상유해인자!$B:$F,5,FALSE), "제품 작업환경측정대상유해인자",""),"")</f>
        <v/>
      </c>
      <c r="BU71" s="13" t="str">
        <f>IFERROR(IF(표1[[#This Row],[CAS No.]]=VLOOKUP(표1[[#This Row],[CAS No.]], [1]규제DB_산안법_특수건강진단대상유해인자!$B:$C,1,FALSE), "제품 특수건강진단대상유해인자",""),"")</f>
        <v/>
      </c>
      <c r="BV71" s="13"/>
      <c r="BW71" s="13"/>
      <c r="BX71" s="13"/>
      <c r="BY71" s="13"/>
      <c r="BZ71" s="13"/>
      <c r="CA71" s="13" t="str">
        <f>IFERROR(IF(표1[[#This Row],[CAS No.]]=VLOOKUP(표1[[#This Row],[CAS No.]],[1]규제DB_고압법_가연성가스!$B:$D,1,FALSE),"가연성가스",""),"")</f>
        <v/>
      </c>
      <c r="CB71" s="13" t="str">
        <f>IFERROR(IF(표1[[#This Row],[CAS No.]]=VLOOKUP(표1[[#This Row],[CAS No.]],[1]규제DB_고압법_특수고압가스!$B:$D,1,FALSE),"특수고압가스",""),"")</f>
        <v/>
      </c>
      <c r="CC71" s="13" t="str">
        <f>IFERROR(IF(표1[[#This Row],[CAS No.]]=VLOOKUP(표1[[#This Row],[CAS No.]],[1]규제DB_고압법_특정고압가스!$B:$D,1,FALSE),"특정고압가스",""),"")</f>
        <v/>
      </c>
      <c r="CD71" s="13" t="str">
        <f>IFERROR(IF(표1[[#This Row],[함량(W%)]]&gt;=VLOOKUP(표1[[#This Row],[CAS No.]],[1]규제DB_화관법_개별취급기준!$B:$G,5,FALSE),VLOOKUP(표1[[#This Row],[CAS No.]],[1]규제DB_화관법_개별취급기준!$B:$G,6,FALSE),""),"")</f>
        <v/>
      </c>
    </row>
    <row r="72" spans="1:82" ht="27.95" customHeight="1">
      <c r="A72" s="13">
        <v>71</v>
      </c>
      <c r="B72" s="2"/>
      <c r="C72" s="3" t="s">
        <v>103</v>
      </c>
      <c r="D72" s="14"/>
      <c r="E72" s="50" t="s">
        <v>123</v>
      </c>
      <c r="F72" s="3" t="s">
        <v>90</v>
      </c>
      <c r="G72" s="5" t="s">
        <v>78</v>
      </c>
      <c r="H72" s="3" t="s">
        <v>91</v>
      </c>
      <c r="I72" s="50" t="s">
        <v>102</v>
      </c>
      <c r="J72" s="3" t="s">
        <v>166</v>
      </c>
      <c r="K72" s="3" t="s">
        <v>166</v>
      </c>
      <c r="L72" s="3"/>
      <c r="M72" s="5" t="s">
        <v>80</v>
      </c>
      <c r="N72" s="5" t="s">
        <v>179</v>
      </c>
      <c r="O72" s="53" t="s">
        <v>92</v>
      </c>
      <c r="P72" s="55" t="s">
        <v>98</v>
      </c>
      <c r="Q72" s="54">
        <v>292</v>
      </c>
      <c r="R72" s="6">
        <v>292</v>
      </c>
      <c r="S72" s="17"/>
      <c r="T72" s="17"/>
      <c r="U72" s="6">
        <v>292</v>
      </c>
      <c r="V72" s="6">
        <v>292</v>
      </c>
      <c r="W72" s="8" t="str">
        <f>표1[[#This Row],[자재코드]]&amp;"_"&amp;표1[[#This Row],[자재명]]&amp;"_"&amp;표1[[#This Row],[공급업체명]]</f>
        <v>_BEST IMPACT_한국특수잉크공업</v>
      </c>
      <c r="X72" s="51" t="s">
        <v>163</v>
      </c>
      <c r="Y72" s="2"/>
      <c r="Z72" s="2"/>
      <c r="AA72" s="2"/>
      <c r="AB72" s="50">
        <v>20</v>
      </c>
      <c r="AC72" s="9" t="s">
        <v>86</v>
      </c>
      <c r="AD72" s="9" t="s">
        <v>83</v>
      </c>
      <c r="AE72" s="10" t="s">
        <v>89</v>
      </c>
      <c r="AF72" s="10" t="s">
        <v>89</v>
      </c>
      <c r="AG72" s="11"/>
      <c r="AH72" s="50" t="s">
        <v>206</v>
      </c>
      <c r="AI72" s="12">
        <f>IFERROR(표1[[#This Row],[사용량(kg)]]*표1[[#This Row],[함량(W%)]]/100,"")</f>
        <v>58.4</v>
      </c>
      <c r="AJ72" s="13"/>
      <c r="AK72" s="13"/>
      <c r="AL72" s="14"/>
      <c r="AM72" s="15"/>
      <c r="AN72" s="13"/>
      <c r="AO72" s="13"/>
      <c r="AP72" s="13"/>
      <c r="AQ72" s="13"/>
      <c r="AR72" s="13" t="str">
        <f>IFERROR(IF(표1[[#This Row],[함량(W%)]]&gt;=VLOOKUP(표1[[#This Row],[CAS No.]],[1]규제DB_유해법_유독물!B:F,5,FALSE),"유독물질 제품",""),"")</f>
        <v/>
      </c>
      <c r="AS72" s="13" t="str">
        <f>IFERROR(VLOOKUP(표1[[#This Row],[CAS No.]],[1]규제DB_유해법_금지물질!B:G,3,FALSE),"")</f>
        <v/>
      </c>
      <c r="AT72" s="13" t="str">
        <f>IFERROR(VLOOKUP(표1[[#This Row],[CAS No.]],[1]규제DB_유해법_금지물질!B:G,4,FALSE)&amp;" 인지 확인하세요","")</f>
        <v/>
      </c>
      <c r="AU72" s="13" t="str">
        <f>IFERROR(VLOOKUP(표1[[#This Row],[CAS No.]],[1]규제DB_유해법_제한물질!B:G,3,FALSE),"")</f>
        <v/>
      </c>
      <c r="AV72" s="13" t="str">
        <f>IFERROR(IF(표1[[#This Row],[함량(W%)]]&gt;=VLOOKUP(표1[[#This Row],[CAS No.]],[1]규제DB_유해법_제한물질!$B:$G,5,FALSE),"제한 제품",""),"")</f>
        <v/>
      </c>
      <c r="AW72" s="13" t="str">
        <f>IFERROR(VLOOKUP(표1[[#This Row],[CAS No.]],[1]규제DB_유해법_사고대비물질!B:J,2,FALSE),"")</f>
        <v/>
      </c>
      <c r="AX72" s="13" t="str">
        <f>IFERROR(IF(표1[[#This Row],[함량(W%)]]&gt;=VLOOKUP(표1[[#This Row],[CAS No.]],[1]규제DB_유해법_사고대비물질!$B:$J,4,FALSE),"사고대비물질 제품",""),"")</f>
        <v/>
      </c>
      <c r="AY72" s="16" t="str">
        <f>IFERROR(VLOOKUP(표1[[#This Row],[CAS No.]],[1]규제DB_유해법_사고대비물질!$B:$J,5,FALSE),"")</f>
        <v/>
      </c>
      <c r="AZ72" s="16" t="str">
        <f>IFERROR(VLOOKUP(표1[[#This Row],[CAS No.]],[1]규제DB_유해법_사고대비물질!$B:$J,6,FALSE),"")</f>
        <v/>
      </c>
      <c r="BA72" s="17" t="str">
        <f>IFERROR(IF(표1[[#This Row],[함량(W%)]]&gt;=VLOOKUP(표1[[#This Row],[CAS No.]],[1]규제DB_유해법_사고대비물질!$B:$J,4,FALSE),VLOOKUP(표1[[#This Row],[CAS No.]],[1]규제DB_유해법_사고대비물질!$B$2:$J$70,7,FALSE),""),"")</f>
        <v/>
      </c>
      <c r="BB72" s="17" t="str">
        <f>IFERROR(IF(표1[[#This Row],[함량(W%)]]&gt;=VLOOKUP(표1[[#This Row],[CAS No.]],[1]규제DB_유해법_사고대비물질!$B:$J,4,FALSE),VLOOKUP(표1[[#This Row],[CAS No.]],[1]규제DB_유해법_사고대비물질!$B$2:$J$70,8,FALSE),""),"")</f>
        <v/>
      </c>
      <c r="BC72" s="17" t="str">
        <f>IFERROR(IF(표1[[#This Row],[함량(W%)]]&gt;=VLOOKUP(표1[[#This Row],[CAS No.]],[1]규제DB_유해법_사고대비물질!$B:$J,4,FALSE),VLOOKUP(표1[[#This Row],[CAS No.]],[1]규제DB_유해법_사고대비물질!$B$2:$J$70,9,FALSE),""),"")</f>
        <v/>
      </c>
      <c r="BD72" s="18" t="str">
        <f>IFERROR(IF(표1[[#This Row],[함량(W%)]]&gt;=VLOOKUP(표1[[#This Row],[CAS No.]],'[1]규제DB_유해법_배출량조사 I'!$B:$D,3,FALSE),IF(VLOOKUP(표1[[#This Row],[CAS No.]],[1]기초자료!$A:$C,3,FALSE)&gt;=1000,"배출량조사 I 물질",""),""),"")</f>
        <v/>
      </c>
      <c r="BE72" s="18" t="str">
        <f>IFERROR(IF(표1[[#This Row],[함량(W%)]]&gt;=VLOOKUP(표1[[#This Row],[CAS No.]],'[1]규제DB_유해법_배출량조사 II'!B:D,3,FALSE),IF(VLOOKUP(표1[[#This Row],[CAS No.]],[1]기초자료!$A:$C,3,FALSE)&gt;=10000,"배출량조사 II 물질",""),""),"")</f>
        <v/>
      </c>
      <c r="BF72" s="13" t="str">
        <f>IFERROR(IF(표1[[#This Row],[함량(W%)]]&gt;=VLOOKUP(표1[[#This Row],[CAS No.]],[1]규제DB_산안법_금지물질!$B:$E,4,FALSE), VLOOKUP(표1[[#This Row],[CAS No.]],[1]규제DB_산안법_금지물질!$B:$E,2,FALSE)&amp;" : "&amp;VLOOKUP(표1[[#This Row],[CAS No.]],[1]규제DB_산안법_금지물질!$B:$E,3,FALSE)&amp;" 인지 확인하세요",""),"")</f>
        <v/>
      </c>
      <c r="BG72" s="13" t="str">
        <f>IFERROR(IF(표1[[#This Row],[함량(W%)]]&gt;=VLOOKUP(표1[[#This Row],[CAS No.]],[1]규제DB_산안법_허가물질!$B:$E,4,FALSE), "제품 허가물질",""),"")</f>
        <v/>
      </c>
      <c r="BH72" s="13" t="str">
        <f>IFERROR(IF(표1[[#This Row],[함량(W%)]]&gt;=VLOOKUP(표1[[#This Row],[CAS No.]], [1]규제DB_산안법_특별관리물질!$B:$E,4,FALSE), "제품 특별관리물질",""),"")</f>
        <v/>
      </c>
      <c r="BI72" s="13" t="str">
        <f>IFERROR(IF(표1[[#This Row],[함량(W%)]]&gt;=VLOOKUP(표1[[#This Row],[CAS No.]], [1]규제DB_산안법_관리대상유해물질!$B:$E,4,FALSE), "제품 관리대상유해물질",""),"")</f>
        <v/>
      </c>
      <c r="BJ72" s="13" t="str">
        <f>IFERROR(IF(표1[[#This Row],[CAS No.]]=VLOOKUP(표1[[#This Row],[CAS No.]], [1]규제DB_산안법_허용기준이하물질!$B:$D,1,FALSE),"제품 허용기준이하물질",""),"")</f>
        <v/>
      </c>
      <c r="BK72" s="13" t="str">
        <f>IFERROR(VLOOKUP(표1[[#This Row],[CAS No.]], [1]규제DB_산안법_허용기준이하물질!$B:$D,3,FALSE),"")</f>
        <v/>
      </c>
      <c r="BL72" s="13"/>
      <c r="BM72" s="13" t="str">
        <f>IFERROR(VLOOKUP(표1[[#This Row],[CAS No.]], [1]규제DB_산안법_노출기준설정물질!$B:$K,3,FALSE),"")</f>
        <v/>
      </c>
      <c r="BN72" s="13" t="str">
        <f>IFERROR(VLOOKUP(표1[[#This Row],[CAS No.]], [1]규제DB_산안법_노출기준설정물질!$B:$K,4,FALSE),"")</f>
        <v/>
      </c>
      <c r="BO72" s="13" t="str">
        <f>IFERROR(VLOOKUP(표1[[#This Row],[CAS No.]], [1]규제DB_산안법_노출기준설정물질!$B:$K,5,FALSE),"")</f>
        <v/>
      </c>
      <c r="BP72" s="13" t="str">
        <f>IFERROR(VLOOKUP(표1[[#This Row],[CAS No.]], [1]규제DB_산안법_노출기준설정물질!$B:$K,7,FALSE),"")</f>
        <v/>
      </c>
      <c r="BQ72" s="13" t="str">
        <f>IFERROR(VLOOKUP(표1[[#This Row],[CAS No.]], [1]규제DB_산안법_노출기준설정물질!$B:$K,8,FALSE),"")</f>
        <v/>
      </c>
      <c r="BR72" s="13" t="str">
        <f>IFERROR(VLOOKUP(표1[[#This Row],[CAS No.]], [1]규제DB_산안법_노출기준설정물질!$B:$K,9,FALSE),"")</f>
        <v/>
      </c>
      <c r="BS72" s="13" t="str">
        <f>IFERROR(VLOOKUP(표1[[#This Row],[CAS No.]], [1]규제DB_산안법_노출기준설정물질!$B:$K,10,FALSE),"")</f>
        <v/>
      </c>
      <c r="BT72" s="13" t="str">
        <f>IFERROR(IF(표1[[#This Row],[함량(W%)]]&gt;=VLOOKUP(표1[[#This Row],[CAS No.]], [1]규제DB_산안법_작업환경측정대상유해인자!$B:$F,5,FALSE), "제품 작업환경측정대상유해인자",""),"")</f>
        <v/>
      </c>
      <c r="BU72" s="13" t="str">
        <f>IFERROR(IF(표1[[#This Row],[CAS No.]]=VLOOKUP(표1[[#This Row],[CAS No.]], [1]규제DB_산안법_특수건강진단대상유해인자!$B:$C,1,FALSE), "제품 특수건강진단대상유해인자",""),"")</f>
        <v/>
      </c>
      <c r="BV72" s="13" t="str">
        <f>IFERROR(IF(VLOOKUP(표1[[#This Row],[CAS No.]],[1]규제DB_고용노동부고시_CMR!$B:$J,3,FALSE)="구분1A", IF(표1[[#This Row],[함량(W%)]]&gt;=VLOOKUP(표1[[#This Row],[CAS No.]],[1]규제DB_고용노동부고시_CMR!$B:$J,4,FALSE),"제품 발암성물질",""), IF(VLOOKUP(표1[[#This Row],[CAS No.]],[1]규제DB_고용노동부고시_CMR!$B:$J,3,FALSE)="구분1B", IF(표1[[#This Row],[함량(W%)]]&gt;=VLOOKUP(표1[[#This Row],[CAS No.]],[1]규제DB_고용노동부고시_CMR!$B:$J,4,FALSE),"제품 발암성물질",""), IF(VLOOKUP(표1[[#This Row],[CAS No.]],[1]규제DB_고용노동부고시_CMR!$B:$J,3,FALSE)="구분2", IF(표1[[#This Row],[함량(W%)]]&gt;=VLOOKUP(표1[[#This Row],[CAS No.]],[1]규제DB_고용노동부고시_CMR!$B:$J,4,FALSE),"제품 발암성물질",""),""))),"")</f>
        <v/>
      </c>
      <c r="BW72" s="13" t="str">
        <f>IFERROR(IF(VLOOKUP(표1[[#This Row],[CAS No.]],[1]규제DB_고용노동부고시_CMR!$B:$J,5,FALSE)="구분1A", IF(표1[[#This Row],[함량(W%)]]&gt;=VLOOKUP(표1[[#This Row],[CAS No.]],[1]규제DB_고용노동부고시_CMR!$B:$J,6,FALSE),"제품 생식세포변이원성물질",""), IF(VLOOKUP(표1[[#This Row],[CAS No.]],[1]규제DB_고용노동부고시_CMR!$B:$J,5,FALSE)="구분1B", IF(표1[[#This Row],[함량(W%)]]&gt;=VLOOKUP(표1[[#This Row],[CAS No.]],[1]규제DB_고용노동부고시_CMR!$B:$J,6,FALSE),"제품 생식세포변이원성물질",""), IF(VLOOKUP(표1[[#This Row],[CAS No.]],[1]규제DB_고용노동부고시_CMR!$B:$J,5,FALSE)="구분2", IF(표1[[#This Row],[함량(W%)]]&gt;=VLOOKUP(표1[[#This Row],[CAS No.]],[1]규제DB_고용노동부고시_CMR!$B:$J,6,FALSE),"제품 생식세포변이원성물질",""),""))),"")</f>
        <v/>
      </c>
      <c r="BX72" s="13" t="str">
        <f>IFERROR(IF(VLOOKUP(표1[[#This Row],[CAS No.]],[1]규제DB_고용노동부고시_CMR!$B:$J,7,FALSE)="구분1A", IF(표1[[#This Row],[함량(W%)]]&gt;=VLOOKUP(표1[[#This Row],[CAS No.]],[1]규제DB_고용노동부고시_CMR!$B:$J,8,FALSE),"제품 생식독성물질",""), IF(VLOOKUP(표1[[#This Row],[CAS No.]],[1]규제DB_고용노동부고시_CMR!$B:$J,7,FALSE)="구분1B", IF(표1[[#This Row],[함량(W%)]]&gt;=VLOOKUP(표1[[#This Row],[CAS No.]],[1]규제DB_고용노동부고시_CMR!$B:$J,8,FALSE),"제품 생식독성물질",""), IF(VLOOKUP(표1[[#This Row],[CAS No.]],[1]규제DB_고용노동부고시_CMR!$B:$J,7,FALSE)="구분2", IF(표1[[#This Row],[함량(W%)]]&gt;=VLOOKUP(표1[[#This Row],[CAS No.]],[1]규제DB_고용노동부고시_CMR!$B:$J,8,FALSE),"제품 생식독성물질",""),""))),"")</f>
        <v/>
      </c>
      <c r="BY72" s="13" t="str">
        <f>IFERROR(VLOOKUP(표1[[#This Row],[CAS No.]],[1]규제DB_위험물안전관리법_위험물!$B:$F,3,FALSE),"")</f>
        <v/>
      </c>
      <c r="BZ72" s="13" t="str">
        <f>IFERROR(IF(표1[[#This Row],[CAS No.]]=VLOOKUP(표1[[#This Row],[CAS No.]],[1]규제DB_고압법_독성가스!$B:$D,1,FALSE),"독성가스",""),"")</f>
        <v/>
      </c>
      <c r="CA72" s="13" t="str">
        <f>IFERROR(IF(표1[[#This Row],[CAS No.]]=VLOOKUP(표1[[#This Row],[CAS No.]],[1]규제DB_고압법_가연성가스!$B:$D,1,FALSE),"가연성가스",""),"")</f>
        <v/>
      </c>
      <c r="CB72" s="13" t="str">
        <f>IFERROR(IF(표1[[#This Row],[CAS No.]]=VLOOKUP(표1[[#This Row],[CAS No.]],[1]규제DB_고압법_특수고압가스!$B:$D,1,FALSE),"특수고압가스",""),"")</f>
        <v/>
      </c>
      <c r="CC72" s="13" t="str">
        <f>IFERROR(IF(표1[[#This Row],[CAS No.]]=VLOOKUP(표1[[#This Row],[CAS No.]],[1]규제DB_고압법_특정고압가스!$B:$D,1,FALSE),"특정고압가스",""),"")</f>
        <v/>
      </c>
      <c r="CD72" s="13" t="str">
        <f>IFERROR(IF(표1[[#This Row],[함량(W%)]]&gt;=VLOOKUP(표1[[#This Row],[CAS No.]],[1]규제DB_화관법_개별취급기준!$B:$G,5,FALSE),VLOOKUP(표1[[#This Row],[CAS No.]],[1]규제DB_화관법_개별취급기준!$B:$G,6,FALSE),""),"")</f>
        <v/>
      </c>
    </row>
    <row r="73" spans="1:82" ht="27.95" customHeight="1">
      <c r="A73" s="13">
        <v>72</v>
      </c>
      <c r="B73" s="2"/>
      <c r="C73" s="3" t="s">
        <v>103</v>
      </c>
      <c r="D73" s="14"/>
      <c r="E73" s="50" t="s">
        <v>122</v>
      </c>
      <c r="F73" s="3" t="s">
        <v>77</v>
      </c>
      <c r="G73" s="5" t="s">
        <v>78</v>
      </c>
      <c r="H73" s="3" t="s">
        <v>79</v>
      </c>
      <c r="I73" s="50" t="s">
        <v>102</v>
      </c>
      <c r="J73" s="3" t="s">
        <v>166</v>
      </c>
      <c r="K73" s="3" t="s">
        <v>166</v>
      </c>
      <c r="L73" s="3"/>
      <c r="M73" s="5" t="s">
        <v>80</v>
      </c>
      <c r="N73" s="5" t="s">
        <v>179</v>
      </c>
      <c r="O73" s="53" t="s">
        <v>81</v>
      </c>
      <c r="P73" s="55" t="s">
        <v>95</v>
      </c>
      <c r="Q73" s="54">
        <v>397.11944444444401</v>
      </c>
      <c r="R73" s="6">
        <v>367.86111111111097</v>
      </c>
      <c r="S73" s="17"/>
      <c r="T73" s="17"/>
      <c r="U73" s="6">
        <v>397.08333333333297</v>
      </c>
      <c r="V73" s="6">
        <v>397.08333333333297</v>
      </c>
      <c r="W73" s="8" t="str">
        <f>표1[[#This Row],[자재코드]]&amp;"_"&amp;표1[[#This Row],[자재명]]&amp;"_"&amp;표1[[#This Row],[공급업체명]]</f>
        <v>_BEST SG MAT OP 니스_한국특수잉크공업</v>
      </c>
      <c r="X73" s="51" t="s">
        <v>147</v>
      </c>
      <c r="Y73" s="13"/>
      <c r="Z73" s="13"/>
      <c r="AA73" s="13"/>
      <c r="AB73" s="50">
        <v>64.4444444444444</v>
      </c>
      <c r="AC73" s="20" t="s">
        <v>86</v>
      </c>
      <c r="AD73" s="9" t="s">
        <v>83</v>
      </c>
      <c r="AE73" s="10" t="s">
        <v>84</v>
      </c>
      <c r="AF73" s="10" t="s">
        <v>84</v>
      </c>
      <c r="AG73" s="11"/>
      <c r="AH73" s="50" t="s">
        <v>207</v>
      </c>
      <c r="AI73" s="12">
        <f>IFERROR(표1[[#This Row],[사용량(kg)]]*표1[[#This Row],[함량(W%)]]/100,"")</f>
        <v>255.89814814814773</v>
      </c>
      <c r="AJ73" s="13"/>
      <c r="AK73" s="13"/>
      <c r="AL73" s="14"/>
      <c r="AM73" s="15"/>
      <c r="AN73" s="13"/>
      <c r="AO73" s="13"/>
      <c r="AP73" s="13"/>
      <c r="AQ73" s="13"/>
      <c r="AR73" s="13" t="str">
        <f>IFERROR(IF(표1[[#This Row],[함량(W%)]]&gt;=VLOOKUP(표1[[#This Row],[CAS No.]],[1]규제DB_유해법_유독물!B:F,5,FALSE),"유독물질 제품",""),"")</f>
        <v/>
      </c>
      <c r="AS73" s="13" t="str">
        <f>IFERROR(VLOOKUP(표1[[#This Row],[CAS No.]],[1]규제DB_유해법_금지물질!B:G,3,FALSE),"")</f>
        <v/>
      </c>
      <c r="AT73" s="13" t="str">
        <f>IFERROR(VLOOKUP(표1[[#This Row],[CAS No.]],[1]규제DB_유해법_금지물질!B:G,4,FALSE)&amp;" 인지 확인하세요","")</f>
        <v/>
      </c>
      <c r="AU73" s="13" t="str">
        <f>IFERROR(VLOOKUP(표1[[#This Row],[CAS No.]],[1]규제DB_유해법_제한물질!B:G,3,FALSE),"")</f>
        <v/>
      </c>
      <c r="AV73" s="13" t="str">
        <f>IFERROR(IF(표1[[#This Row],[함량(W%)]]&gt;=VLOOKUP(표1[[#This Row],[CAS No.]],[1]규제DB_유해법_제한물질!$B:$G,5,FALSE),"제한 제품",""),"")</f>
        <v/>
      </c>
      <c r="AW73" s="13" t="str">
        <f>IFERROR(VLOOKUP(표1[[#This Row],[CAS No.]],[1]규제DB_유해법_사고대비물질!B:J,2,FALSE),"")</f>
        <v/>
      </c>
      <c r="AX73" s="13" t="str">
        <f>IFERROR(IF(표1[[#This Row],[함량(W%)]]&gt;=VLOOKUP(표1[[#This Row],[CAS No.]],[1]규제DB_유해법_사고대비물질!$B:$J,4,FALSE),"사고대비물질 제품",""),"")</f>
        <v/>
      </c>
      <c r="AY73" s="16" t="str">
        <f>IFERROR(VLOOKUP(표1[[#This Row],[CAS No.]],[1]규제DB_유해법_사고대비물질!$B:$J,5,FALSE),"")</f>
        <v/>
      </c>
      <c r="AZ73" s="16" t="str">
        <f>IFERROR(VLOOKUP(표1[[#This Row],[CAS No.]],[1]규제DB_유해법_사고대비물질!$B:$J,6,FALSE),"")</f>
        <v/>
      </c>
      <c r="BA73" s="17" t="str">
        <f>IFERROR(IF(표1[[#This Row],[함량(W%)]]&gt;=VLOOKUP(표1[[#This Row],[CAS No.]],[1]규제DB_유해법_사고대비물질!$B:$J,4,FALSE),VLOOKUP(표1[[#This Row],[CAS No.]],[1]규제DB_유해법_사고대비물질!$B$2:$J$70,7,FALSE),""),"")</f>
        <v/>
      </c>
      <c r="BB73" s="17" t="str">
        <f>IFERROR(IF(표1[[#This Row],[함량(W%)]]&gt;=VLOOKUP(표1[[#This Row],[CAS No.]],[1]규제DB_유해법_사고대비물질!$B:$J,4,FALSE),VLOOKUP(표1[[#This Row],[CAS No.]],[1]규제DB_유해법_사고대비물질!$B$2:$J$70,8,FALSE),""),"")</f>
        <v/>
      </c>
      <c r="BC73" s="17" t="str">
        <f>IFERROR(IF(표1[[#This Row],[함량(W%)]]&gt;=VLOOKUP(표1[[#This Row],[CAS No.]],[1]규제DB_유해법_사고대비물질!$B:$J,4,FALSE),VLOOKUP(표1[[#This Row],[CAS No.]],[1]규제DB_유해법_사고대비물질!$B$2:$J$70,9,FALSE),""),"")</f>
        <v/>
      </c>
      <c r="BD73" s="18" t="str">
        <f>IFERROR(IF(표1[[#This Row],[함량(W%)]]&gt;=VLOOKUP(표1[[#This Row],[CAS No.]],'[1]규제DB_유해법_배출량조사 I'!$B:$D,3,FALSE),IF(VLOOKUP(표1[[#This Row],[CAS No.]],[1]기초자료!$A:$C,3,FALSE)&gt;=1000,"배출량조사 I 물질",""),""),"")</f>
        <v/>
      </c>
      <c r="BE73" s="18" t="str">
        <f>IFERROR(IF(표1[[#This Row],[함량(W%)]]&gt;=VLOOKUP(표1[[#This Row],[CAS No.]],'[1]규제DB_유해법_배출량조사 II'!B:D,3,FALSE),IF(VLOOKUP(표1[[#This Row],[CAS No.]],[1]기초자료!$A:$C,3,FALSE)&gt;=10000,"배출량조사 II 물질",""),""),"")</f>
        <v/>
      </c>
      <c r="BF73" s="13" t="str">
        <f>IFERROR(IF(표1[[#This Row],[함량(W%)]]&gt;=VLOOKUP(표1[[#This Row],[CAS No.]],[1]규제DB_산안법_금지물질!$B:$E,4,FALSE), VLOOKUP(표1[[#This Row],[CAS No.]],[1]규제DB_산안법_금지물질!$B:$E,2,FALSE)&amp;" : "&amp;VLOOKUP(표1[[#This Row],[CAS No.]],[1]규제DB_산안법_금지물질!$B:$E,3,FALSE)&amp;" 인지 확인하세요",""),"")</f>
        <v/>
      </c>
      <c r="BG73" s="13" t="str">
        <f>IFERROR(IF(표1[[#This Row],[함량(W%)]]&gt;=VLOOKUP(표1[[#This Row],[CAS No.]],[1]규제DB_산안법_허가물질!$B:$E,4,FALSE), "제품 허가물질",""),"")</f>
        <v/>
      </c>
      <c r="BH73" s="13" t="str">
        <f>IFERROR(IF(표1[[#This Row],[함량(W%)]]&gt;=VLOOKUP(표1[[#This Row],[CAS No.]], [1]규제DB_산안법_특별관리물질!$B:$E,4,FALSE), "제품 특별관리물질",""),"")</f>
        <v/>
      </c>
      <c r="BI73" s="13" t="str">
        <f>IFERROR(IF(표1[[#This Row],[함량(W%)]]&gt;=VLOOKUP(표1[[#This Row],[CAS No.]], [1]규제DB_산안법_관리대상유해물질!$B:$E,4,FALSE), "제품 관리대상유해물질",""),"")</f>
        <v/>
      </c>
      <c r="BJ73" s="13" t="str">
        <f>IFERROR(IF(표1[[#This Row],[CAS No.]]=VLOOKUP(표1[[#This Row],[CAS No.]], [1]규제DB_산안법_허용기준이하물질!$B:$D,1,FALSE),"제품 허용기준이하물질",""),"")</f>
        <v/>
      </c>
      <c r="BK73" s="13" t="str">
        <f>IFERROR(VLOOKUP(표1[[#This Row],[CAS No.]], [1]규제DB_산안법_허용기준이하물질!$B:$D,3,FALSE),"")</f>
        <v/>
      </c>
      <c r="BL73" s="13"/>
      <c r="BM73" s="13" t="str">
        <f>IFERROR(VLOOKUP(표1[[#This Row],[CAS No.]], [1]규제DB_산안법_노출기준설정물질!$B:$K,3,FALSE),"")</f>
        <v/>
      </c>
      <c r="BN73" s="13" t="str">
        <f>IFERROR(VLOOKUP(표1[[#This Row],[CAS No.]], [1]규제DB_산안법_노출기준설정물질!$B:$K,4,FALSE),"")</f>
        <v/>
      </c>
      <c r="BO73" s="13" t="str">
        <f>IFERROR(VLOOKUP(표1[[#This Row],[CAS No.]], [1]규제DB_산안법_노출기준설정물질!$B:$K,5,FALSE),"")</f>
        <v/>
      </c>
      <c r="BP73" s="13" t="str">
        <f>IFERROR(VLOOKUP(표1[[#This Row],[CAS No.]], [1]규제DB_산안법_노출기준설정물질!$B:$K,7,FALSE),"")</f>
        <v/>
      </c>
      <c r="BQ73" s="13" t="str">
        <f>IFERROR(VLOOKUP(표1[[#This Row],[CAS No.]], [1]규제DB_산안법_노출기준설정물질!$B:$K,8,FALSE),"")</f>
        <v/>
      </c>
      <c r="BR73" s="13" t="str">
        <f>IFERROR(VLOOKUP(표1[[#This Row],[CAS No.]], [1]규제DB_산안법_노출기준설정물질!$B:$K,9,FALSE),"")</f>
        <v/>
      </c>
      <c r="BS73" s="13" t="str">
        <f>IFERROR(VLOOKUP(표1[[#This Row],[CAS No.]], [1]규제DB_산안법_노출기준설정물질!$B:$K,10,FALSE),"")</f>
        <v/>
      </c>
      <c r="BT73" s="13" t="str">
        <f>IFERROR(IF(표1[[#This Row],[함량(W%)]]&gt;=VLOOKUP(표1[[#This Row],[CAS No.]], [1]규제DB_산안법_작업환경측정대상유해인자!$B:$F,5,FALSE), "제품 작업환경측정대상유해인자",""),"")</f>
        <v/>
      </c>
      <c r="BU73" s="13" t="str">
        <f>IFERROR(IF(표1[[#This Row],[CAS No.]]=VLOOKUP(표1[[#This Row],[CAS No.]], [1]규제DB_산안법_특수건강진단대상유해인자!$B:$C,1,FALSE), "제품 특수건강진단대상유해인자",""),"")</f>
        <v/>
      </c>
      <c r="BV73" s="13"/>
      <c r="BW73" s="13"/>
      <c r="BX73" s="13"/>
      <c r="BY73" s="13"/>
      <c r="BZ73" s="13"/>
      <c r="CA73" s="13" t="str">
        <f>IFERROR(IF(표1[[#This Row],[CAS No.]]=VLOOKUP(표1[[#This Row],[CAS No.]],[1]규제DB_고압법_가연성가스!$B:$D,1,FALSE),"가연성가스",""),"")</f>
        <v/>
      </c>
      <c r="CB73" s="13" t="str">
        <f>IFERROR(IF(표1[[#This Row],[CAS No.]]=VLOOKUP(표1[[#This Row],[CAS No.]],[1]규제DB_고압법_특수고압가스!$B:$D,1,FALSE),"특수고압가스",""),"")</f>
        <v/>
      </c>
      <c r="CC73" s="13" t="str">
        <f>IFERROR(IF(표1[[#This Row],[CAS No.]]=VLOOKUP(표1[[#This Row],[CAS No.]],[1]규제DB_고압법_특정고압가스!$B:$D,1,FALSE),"특정고압가스",""),"")</f>
        <v/>
      </c>
      <c r="CD73" s="13" t="str">
        <f>IFERROR(IF(표1[[#This Row],[함량(W%)]]&gt;=VLOOKUP(표1[[#This Row],[CAS No.]],[1]규제DB_화관법_개별취급기준!$B:$G,5,FALSE),VLOOKUP(표1[[#This Row],[CAS No.]],[1]규제DB_화관법_개별취급기준!$B:$G,6,FALSE),""),"")</f>
        <v/>
      </c>
    </row>
    <row r="74" spans="1:82" ht="27.95" customHeight="1">
      <c r="A74" s="13">
        <v>73</v>
      </c>
      <c r="B74" s="2"/>
      <c r="C74" s="3" t="s">
        <v>103</v>
      </c>
      <c r="D74" s="14"/>
      <c r="E74" s="50" t="s">
        <v>122</v>
      </c>
      <c r="F74" s="3" t="s">
        <v>77</v>
      </c>
      <c r="G74" s="5" t="s">
        <v>78</v>
      </c>
      <c r="H74" s="3" t="s">
        <v>79</v>
      </c>
      <c r="I74" s="50" t="s">
        <v>102</v>
      </c>
      <c r="J74" s="3" t="s">
        <v>166</v>
      </c>
      <c r="K74" s="3" t="s">
        <v>166</v>
      </c>
      <c r="L74" s="3"/>
      <c r="M74" s="5" t="s">
        <v>80</v>
      </c>
      <c r="N74" s="5" t="s">
        <v>179</v>
      </c>
      <c r="O74" s="53" t="s">
        <v>81</v>
      </c>
      <c r="P74" s="55" t="s">
        <v>95</v>
      </c>
      <c r="Q74" s="54">
        <v>431.081111111111</v>
      </c>
      <c r="R74" s="6">
        <v>431</v>
      </c>
      <c r="S74" s="17"/>
      <c r="T74" s="17"/>
      <c r="U74" s="6">
        <v>431.03333333333302</v>
      </c>
      <c r="V74" s="6">
        <v>431.03333333333302</v>
      </c>
      <c r="W74" s="8" t="str">
        <f>표1[[#This Row],[자재코드]]&amp;"_"&amp;표1[[#This Row],[자재명]]&amp;"_"&amp;표1[[#This Row],[공급업체명]]</f>
        <v>_BEST SG MAT OP 니스_한국특수잉크공업</v>
      </c>
      <c r="X74" s="51" t="s">
        <v>149</v>
      </c>
      <c r="Y74" s="13"/>
      <c r="Z74" s="13"/>
      <c r="AA74" s="13"/>
      <c r="AB74" s="50">
        <v>59.1111111111111</v>
      </c>
      <c r="AC74" s="20" t="s">
        <v>86</v>
      </c>
      <c r="AD74" s="9" t="s">
        <v>83</v>
      </c>
      <c r="AE74" s="10" t="s">
        <v>84</v>
      </c>
      <c r="AF74" s="10" t="s">
        <v>84</v>
      </c>
      <c r="AG74" s="11"/>
      <c r="AH74" s="50" t="s">
        <v>208</v>
      </c>
      <c r="AI74" s="12">
        <f>IFERROR(표1[[#This Row],[사용량(kg)]]*표1[[#This Row],[함량(W%)]]/100,"")</f>
        <v>254.78859259259235</v>
      </c>
      <c r="AJ74" s="13"/>
      <c r="AK74" s="13"/>
      <c r="AL74" s="14"/>
      <c r="AM74" s="15"/>
      <c r="AN74" s="13"/>
      <c r="AO74" s="13"/>
      <c r="AP74" s="13"/>
      <c r="AQ74" s="13"/>
      <c r="AR74" s="13" t="str">
        <f>IFERROR(IF(표1[[#This Row],[함량(W%)]]&gt;=VLOOKUP(표1[[#This Row],[CAS No.]],[1]규제DB_유해법_유독물!B:F,5,FALSE),"유독물질 제품",""),"")</f>
        <v/>
      </c>
      <c r="AS74" s="13" t="str">
        <f>IFERROR(VLOOKUP(표1[[#This Row],[CAS No.]],[1]규제DB_유해법_금지물질!B:G,3,FALSE),"")</f>
        <v/>
      </c>
      <c r="AT74" s="13" t="str">
        <f>IFERROR(VLOOKUP(표1[[#This Row],[CAS No.]],[1]규제DB_유해법_금지물질!B:G,4,FALSE)&amp;" 인지 확인하세요","")</f>
        <v/>
      </c>
      <c r="AU74" s="13" t="str">
        <f>IFERROR(VLOOKUP(표1[[#This Row],[CAS No.]],[1]규제DB_유해법_제한물질!B:G,3,FALSE),"")</f>
        <v/>
      </c>
      <c r="AV74" s="13" t="str">
        <f>IFERROR(IF(표1[[#This Row],[함량(W%)]]&gt;=VLOOKUP(표1[[#This Row],[CAS No.]],[1]규제DB_유해법_제한물질!$B:$G,5,FALSE),"제한 제품",""),"")</f>
        <v/>
      </c>
      <c r="AW74" s="13" t="str">
        <f>IFERROR(VLOOKUP(표1[[#This Row],[CAS No.]],[1]규제DB_유해법_사고대비물질!B:J,2,FALSE),"")</f>
        <v/>
      </c>
      <c r="AX74" s="13" t="str">
        <f>IFERROR(IF(표1[[#This Row],[함량(W%)]]&gt;=VLOOKUP(표1[[#This Row],[CAS No.]],[1]규제DB_유해법_사고대비물질!$B:$J,4,FALSE),"사고대비물질 제품",""),"")</f>
        <v/>
      </c>
      <c r="AY74" s="16" t="str">
        <f>IFERROR(VLOOKUP(표1[[#This Row],[CAS No.]],[1]규제DB_유해법_사고대비물질!$B:$J,5,FALSE),"")</f>
        <v/>
      </c>
      <c r="AZ74" s="16" t="str">
        <f>IFERROR(VLOOKUP(표1[[#This Row],[CAS No.]],[1]규제DB_유해법_사고대비물질!$B:$J,6,FALSE),"")</f>
        <v/>
      </c>
      <c r="BA74" s="17" t="str">
        <f>IFERROR(IF(표1[[#This Row],[함량(W%)]]&gt;=VLOOKUP(표1[[#This Row],[CAS No.]],[1]규제DB_유해법_사고대비물질!$B:$J,4,FALSE),VLOOKUP(표1[[#This Row],[CAS No.]],[1]규제DB_유해법_사고대비물질!$B$2:$J$70,7,FALSE),""),"")</f>
        <v/>
      </c>
      <c r="BB74" s="17" t="str">
        <f>IFERROR(IF(표1[[#This Row],[함량(W%)]]&gt;=VLOOKUP(표1[[#This Row],[CAS No.]],[1]규제DB_유해법_사고대비물질!$B:$J,4,FALSE),VLOOKUP(표1[[#This Row],[CAS No.]],[1]규제DB_유해법_사고대비물질!$B$2:$J$70,8,FALSE),""),"")</f>
        <v/>
      </c>
      <c r="BC74" s="17" t="str">
        <f>IFERROR(IF(표1[[#This Row],[함량(W%)]]&gt;=VLOOKUP(표1[[#This Row],[CAS No.]],[1]규제DB_유해법_사고대비물질!$B:$J,4,FALSE),VLOOKUP(표1[[#This Row],[CAS No.]],[1]규제DB_유해법_사고대비물질!$B$2:$J$70,9,FALSE),""),"")</f>
        <v/>
      </c>
      <c r="BD74" s="18" t="str">
        <f>IFERROR(IF(표1[[#This Row],[함량(W%)]]&gt;=VLOOKUP(표1[[#This Row],[CAS No.]],'[1]규제DB_유해법_배출량조사 I'!$B:$D,3,FALSE),IF(VLOOKUP(표1[[#This Row],[CAS No.]],[1]기초자료!$A:$C,3,FALSE)&gt;=1000,"배출량조사 I 물질",""),""),"")</f>
        <v/>
      </c>
      <c r="BE74" s="18" t="str">
        <f>IFERROR(IF(표1[[#This Row],[함량(W%)]]&gt;=VLOOKUP(표1[[#This Row],[CAS No.]],'[1]규제DB_유해법_배출량조사 II'!B:D,3,FALSE),IF(VLOOKUP(표1[[#This Row],[CAS No.]],[1]기초자료!$A:$C,3,FALSE)&gt;=10000,"배출량조사 II 물질",""),""),"")</f>
        <v/>
      </c>
      <c r="BF74" s="13" t="str">
        <f>IFERROR(IF(표1[[#This Row],[함량(W%)]]&gt;=VLOOKUP(표1[[#This Row],[CAS No.]],[1]규제DB_산안법_금지물질!$B:$E,4,FALSE), VLOOKUP(표1[[#This Row],[CAS No.]],[1]규제DB_산안법_금지물질!$B:$E,2,FALSE)&amp;" : "&amp;VLOOKUP(표1[[#This Row],[CAS No.]],[1]규제DB_산안법_금지물질!$B:$E,3,FALSE)&amp;" 인지 확인하세요",""),"")</f>
        <v/>
      </c>
      <c r="BG74" s="13" t="str">
        <f>IFERROR(IF(표1[[#This Row],[함량(W%)]]&gt;=VLOOKUP(표1[[#This Row],[CAS No.]],[1]규제DB_산안법_허가물질!$B:$E,4,FALSE), "제품 허가물질",""),"")</f>
        <v/>
      </c>
      <c r="BH74" s="13" t="str">
        <f>IFERROR(IF(표1[[#This Row],[함량(W%)]]&gt;=VLOOKUP(표1[[#This Row],[CAS No.]], [1]규제DB_산안법_특별관리물질!$B:$E,4,FALSE), "제품 특별관리물질",""),"")</f>
        <v/>
      </c>
      <c r="BI74" s="13" t="str">
        <f>IFERROR(IF(표1[[#This Row],[함량(W%)]]&gt;=VLOOKUP(표1[[#This Row],[CAS No.]], [1]규제DB_산안법_관리대상유해물질!$B:$E,4,FALSE), "제품 관리대상유해물질",""),"")</f>
        <v/>
      </c>
      <c r="BJ74" s="13" t="str">
        <f>IFERROR(IF(표1[[#This Row],[CAS No.]]=VLOOKUP(표1[[#This Row],[CAS No.]], [1]규제DB_산안법_허용기준이하물질!$B:$D,1,FALSE),"제품 허용기준이하물질",""),"")</f>
        <v/>
      </c>
      <c r="BK74" s="13" t="str">
        <f>IFERROR(VLOOKUP(표1[[#This Row],[CAS No.]], [1]규제DB_산안법_허용기준이하물질!$B:$D,3,FALSE),"")</f>
        <v/>
      </c>
      <c r="BL74" s="13"/>
      <c r="BM74" s="13" t="str">
        <f>IFERROR(VLOOKUP(표1[[#This Row],[CAS No.]], [1]규제DB_산안법_노출기준설정물질!$B:$K,3,FALSE),"")</f>
        <v/>
      </c>
      <c r="BN74" s="13" t="str">
        <f>IFERROR(VLOOKUP(표1[[#This Row],[CAS No.]], [1]규제DB_산안법_노출기준설정물질!$B:$K,4,FALSE),"")</f>
        <v/>
      </c>
      <c r="BO74" s="13" t="str">
        <f>IFERROR(VLOOKUP(표1[[#This Row],[CAS No.]], [1]규제DB_산안법_노출기준설정물질!$B:$K,5,FALSE),"")</f>
        <v/>
      </c>
      <c r="BP74" s="13" t="str">
        <f>IFERROR(VLOOKUP(표1[[#This Row],[CAS No.]], [1]규제DB_산안법_노출기준설정물질!$B:$K,7,FALSE),"")</f>
        <v/>
      </c>
      <c r="BQ74" s="13" t="str">
        <f>IFERROR(VLOOKUP(표1[[#This Row],[CAS No.]], [1]규제DB_산안법_노출기준설정물질!$B:$K,8,FALSE),"")</f>
        <v/>
      </c>
      <c r="BR74" s="13" t="str">
        <f>IFERROR(VLOOKUP(표1[[#This Row],[CAS No.]], [1]규제DB_산안법_노출기준설정물질!$B:$K,9,FALSE),"")</f>
        <v/>
      </c>
      <c r="BS74" s="13" t="str">
        <f>IFERROR(VLOOKUP(표1[[#This Row],[CAS No.]], [1]규제DB_산안법_노출기준설정물질!$B:$K,10,FALSE),"")</f>
        <v/>
      </c>
      <c r="BT74" s="13" t="str">
        <f>IFERROR(IF(표1[[#This Row],[함량(W%)]]&gt;=VLOOKUP(표1[[#This Row],[CAS No.]], [1]규제DB_산안법_작업환경측정대상유해인자!$B:$F,5,FALSE), "제품 작업환경측정대상유해인자",""),"")</f>
        <v/>
      </c>
      <c r="BU74" s="13" t="str">
        <f>IFERROR(IF(표1[[#This Row],[CAS No.]]=VLOOKUP(표1[[#This Row],[CAS No.]], [1]규제DB_산안법_특수건강진단대상유해인자!$B:$C,1,FALSE), "제품 특수건강진단대상유해인자",""),"")</f>
        <v/>
      </c>
      <c r="BV74" s="13"/>
      <c r="BW74" s="13"/>
      <c r="BX74" s="13"/>
      <c r="BY74" s="13"/>
      <c r="BZ74" s="13"/>
      <c r="CA74" s="13" t="str">
        <f>IFERROR(IF(표1[[#This Row],[CAS No.]]=VLOOKUP(표1[[#This Row],[CAS No.]],[1]규제DB_고압법_가연성가스!$B:$D,1,FALSE),"가연성가스",""),"")</f>
        <v/>
      </c>
      <c r="CB74" s="13" t="str">
        <f>IFERROR(IF(표1[[#This Row],[CAS No.]]=VLOOKUP(표1[[#This Row],[CAS No.]],[1]규제DB_고압법_특수고압가스!$B:$D,1,FALSE),"특수고압가스",""),"")</f>
        <v/>
      </c>
      <c r="CC74" s="13" t="str">
        <f>IFERROR(IF(표1[[#This Row],[CAS No.]]=VLOOKUP(표1[[#This Row],[CAS No.]],[1]규제DB_고압법_특정고압가스!$B:$D,1,FALSE),"특정고압가스",""),"")</f>
        <v/>
      </c>
      <c r="CD74" s="13" t="str">
        <f>IFERROR(IF(표1[[#This Row],[함량(W%)]]&gt;=VLOOKUP(표1[[#This Row],[CAS No.]],[1]규제DB_화관법_개별취급기준!$B:$G,5,FALSE),VLOOKUP(표1[[#This Row],[CAS No.]],[1]규제DB_화관법_개별취급기준!$B:$G,6,FALSE),""),"")</f>
        <v/>
      </c>
    </row>
    <row r="75" spans="1:82" ht="27.95" customHeight="1">
      <c r="A75" s="13">
        <v>74</v>
      </c>
      <c r="B75" s="2"/>
      <c r="C75" s="3" t="s">
        <v>103</v>
      </c>
      <c r="D75" s="14"/>
      <c r="E75" s="56" t="s">
        <v>211</v>
      </c>
      <c r="F75" s="3" t="s">
        <v>77</v>
      </c>
      <c r="G75" s="5" t="s">
        <v>78</v>
      </c>
      <c r="H75" s="3" t="s">
        <v>79</v>
      </c>
      <c r="I75" s="50" t="s">
        <v>102</v>
      </c>
      <c r="J75" s="3" t="s">
        <v>212</v>
      </c>
      <c r="K75" s="3" t="s">
        <v>212</v>
      </c>
      <c r="L75" s="3"/>
      <c r="M75" s="5" t="s">
        <v>80</v>
      </c>
      <c r="N75" s="5" t="s">
        <v>179</v>
      </c>
      <c r="O75" s="53" t="s">
        <v>81</v>
      </c>
      <c r="P75" s="55" t="s">
        <v>213</v>
      </c>
      <c r="Q75" s="54">
        <v>280</v>
      </c>
      <c r="R75" s="6">
        <v>280</v>
      </c>
      <c r="S75" s="17"/>
      <c r="T75" s="17"/>
      <c r="U75" s="6">
        <v>280</v>
      </c>
      <c r="V75" s="6">
        <v>280</v>
      </c>
      <c r="W75" s="8" t="str">
        <f>표1[[#This Row],[자재코드]]&amp;"_"&amp;표1[[#This Row],[자재명]]&amp;"_"&amp;표1[[#This Row],[공급업체명]]</f>
        <v>_중질 등유_S-OIL</v>
      </c>
      <c r="X75" s="57" t="s">
        <v>216</v>
      </c>
      <c r="Y75" s="2"/>
      <c r="Z75" s="2"/>
      <c r="AA75" s="2"/>
      <c r="AB75" s="50">
        <v>100</v>
      </c>
      <c r="AC75" s="9" t="s">
        <v>86</v>
      </c>
      <c r="AD75" s="9" t="s">
        <v>83</v>
      </c>
      <c r="AE75" s="10" t="s">
        <v>84</v>
      </c>
      <c r="AF75" s="10" t="s">
        <v>84</v>
      </c>
      <c r="AG75" s="11"/>
      <c r="AH75" s="50" t="s">
        <v>209</v>
      </c>
      <c r="AI75" s="12">
        <f>IFERROR(표1[[#This Row],[사용량(kg)]]*표1[[#This Row],[함량(W%)]]/100,"")</f>
        <v>280</v>
      </c>
      <c r="AJ75" s="13"/>
      <c r="AK75" s="13"/>
      <c r="AL75" s="14"/>
      <c r="AM75" s="15"/>
      <c r="AN75" s="13"/>
      <c r="AO75" s="13"/>
      <c r="AP75" s="13"/>
      <c r="AQ75" s="13"/>
      <c r="AR75" s="13" t="str">
        <f>IFERROR(IF(표1[[#This Row],[함량(W%)]]&gt;=VLOOKUP(표1[[#This Row],[CAS No.]],[1]규제DB_유해법_유독물!B:F,5,FALSE),"유독물질 제품",""),"")</f>
        <v/>
      </c>
      <c r="AS75" s="13" t="str">
        <f>IFERROR(VLOOKUP(표1[[#This Row],[CAS No.]],[1]규제DB_유해법_금지물질!B:G,3,FALSE),"")</f>
        <v/>
      </c>
      <c r="AT75" s="13" t="str">
        <f>IFERROR(VLOOKUP(표1[[#This Row],[CAS No.]],[1]규제DB_유해법_금지물질!B:G,4,FALSE)&amp;" 인지 확인하세요","")</f>
        <v/>
      </c>
      <c r="AU75" s="13" t="str">
        <f>IFERROR(VLOOKUP(표1[[#This Row],[CAS No.]],[1]규제DB_유해법_제한물질!B:G,3,FALSE),"")</f>
        <v/>
      </c>
      <c r="AV75" s="13" t="str">
        <f>IFERROR(IF(표1[[#This Row],[함량(W%)]]&gt;=VLOOKUP(표1[[#This Row],[CAS No.]],[1]규제DB_유해법_제한물질!$B:$G,5,FALSE),"제한 제품",""),"")</f>
        <v/>
      </c>
      <c r="AW75" s="13" t="str">
        <f>IFERROR(VLOOKUP(표1[[#This Row],[CAS No.]],[1]규제DB_유해법_사고대비물질!B:J,2,FALSE),"")</f>
        <v/>
      </c>
      <c r="AX75" s="13" t="str">
        <f>IFERROR(IF(표1[[#This Row],[함량(W%)]]&gt;=VLOOKUP(표1[[#This Row],[CAS No.]],[1]규제DB_유해법_사고대비물질!$B:$J,4,FALSE),"사고대비물질 제품",""),"")</f>
        <v/>
      </c>
      <c r="AY75" s="16" t="str">
        <f>IFERROR(VLOOKUP(표1[[#This Row],[CAS No.]],[1]규제DB_유해법_사고대비물질!$B:$J,5,FALSE),"")</f>
        <v/>
      </c>
      <c r="AZ75" s="16" t="str">
        <f>IFERROR(VLOOKUP(표1[[#This Row],[CAS No.]],[1]규제DB_유해법_사고대비물질!$B:$J,6,FALSE),"")</f>
        <v/>
      </c>
      <c r="BA75" s="17" t="str">
        <f>IFERROR(IF(표1[[#This Row],[함량(W%)]]&gt;=VLOOKUP(표1[[#This Row],[CAS No.]],[1]규제DB_유해법_사고대비물질!$B:$J,4,FALSE),VLOOKUP(표1[[#This Row],[CAS No.]],[1]규제DB_유해법_사고대비물질!$B$2:$J$70,7,FALSE),""),"")</f>
        <v/>
      </c>
      <c r="BB75" s="17" t="str">
        <f>IFERROR(IF(표1[[#This Row],[함량(W%)]]&gt;=VLOOKUP(표1[[#This Row],[CAS No.]],[1]규제DB_유해법_사고대비물질!$B:$J,4,FALSE),VLOOKUP(표1[[#This Row],[CAS No.]],[1]규제DB_유해법_사고대비물질!$B$2:$J$70,8,FALSE),""),"")</f>
        <v/>
      </c>
      <c r="BC75" s="17" t="str">
        <f>IFERROR(IF(표1[[#This Row],[함량(W%)]]&gt;=VLOOKUP(표1[[#This Row],[CAS No.]],[1]규제DB_유해법_사고대비물질!$B:$J,4,FALSE),VLOOKUP(표1[[#This Row],[CAS No.]],[1]규제DB_유해법_사고대비물질!$B$2:$J$70,9,FALSE),""),"")</f>
        <v/>
      </c>
      <c r="BD75" s="18" t="str">
        <f>IFERROR(IF(표1[[#This Row],[함량(W%)]]&gt;=VLOOKUP(표1[[#This Row],[CAS No.]],'[1]규제DB_유해법_배출량조사 I'!$B:$D,3,FALSE),IF(VLOOKUP(표1[[#This Row],[CAS No.]],[1]기초자료!$A:$C,3,FALSE)&gt;=1000,"배출량조사 I 물질",""),""),"")</f>
        <v/>
      </c>
      <c r="BE75" s="18" t="str">
        <f>IFERROR(IF(표1[[#This Row],[함량(W%)]]&gt;=VLOOKUP(표1[[#This Row],[CAS No.]],'[1]규제DB_유해법_배출량조사 II'!B:D,3,FALSE),IF(VLOOKUP(표1[[#This Row],[CAS No.]],[1]기초자료!$A:$C,3,FALSE)&gt;=10000,"배출량조사 II 물질",""),""),"")</f>
        <v/>
      </c>
      <c r="BF75" s="13" t="str">
        <f>IFERROR(IF(표1[[#This Row],[함량(W%)]]&gt;=VLOOKUP(표1[[#This Row],[CAS No.]],[1]규제DB_산안법_금지물질!$B:$E,4,FALSE), VLOOKUP(표1[[#This Row],[CAS No.]],[1]규제DB_산안법_금지물질!$B:$E,2,FALSE)&amp;" : "&amp;VLOOKUP(표1[[#This Row],[CAS No.]],[1]규제DB_산안법_금지물질!$B:$E,3,FALSE)&amp;" 인지 확인하세요",""),"")</f>
        <v/>
      </c>
      <c r="BG75" s="13" t="str">
        <f>IFERROR(IF(표1[[#This Row],[함량(W%)]]&gt;=VLOOKUP(표1[[#This Row],[CAS No.]],[1]규제DB_산안법_허가물질!$B:$E,4,FALSE), "제품 허가물질",""),"")</f>
        <v/>
      </c>
      <c r="BH75" s="13" t="str">
        <f>IFERROR(IF(표1[[#This Row],[함량(W%)]]&gt;=VLOOKUP(표1[[#This Row],[CAS No.]], [1]규제DB_산안법_특별관리물질!$B:$E,4,FALSE), "제품 특별관리물질",""),"")</f>
        <v/>
      </c>
      <c r="BI75" s="13" t="str">
        <f>IFERROR(IF(표1[[#This Row],[함량(W%)]]&gt;=VLOOKUP(표1[[#This Row],[CAS No.]], [1]규제DB_산안법_관리대상유해물질!$B:$E,4,FALSE), "제품 관리대상유해물질",""),"")</f>
        <v/>
      </c>
      <c r="BJ75" s="13" t="str">
        <f>IFERROR(IF(표1[[#This Row],[CAS No.]]=VLOOKUP(표1[[#This Row],[CAS No.]], [1]규제DB_산안법_허용기준이하물질!$B:$D,1,FALSE),"제품 허용기준이하물질",""),"")</f>
        <v/>
      </c>
      <c r="BK75" s="13" t="str">
        <f>IFERROR(VLOOKUP(표1[[#This Row],[CAS No.]], [1]규제DB_산안법_허용기준이하물질!$B:$D,3,FALSE),"")</f>
        <v/>
      </c>
      <c r="BL75" s="13"/>
      <c r="BM75" s="13" t="str">
        <f>IFERROR(VLOOKUP(표1[[#This Row],[CAS No.]], [1]규제DB_산안법_노출기준설정물질!$B:$K,3,FALSE),"")</f>
        <v/>
      </c>
      <c r="BN75" s="13"/>
      <c r="BO75" s="13" t="str">
        <f>IFERROR(VLOOKUP(표1[[#This Row],[CAS No.]], [1]규제DB_산안법_노출기준설정물질!$B:$K,5,FALSE),"")</f>
        <v/>
      </c>
      <c r="BP75" s="13" t="str">
        <f>IFERROR(VLOOKUP(표1[[#This Row],[CAS No.]], [1]규제DB_산안법_노출기준설정물질!$B:$K,7,FALSE),"")</f>
        <v/>
      </c>
      <c r="BQ75" s="13" t="str">
        <f>IFERROR(VLOOKUP(표1[[#This Row],[CAS No.]], [1]규제DB_산안법_노출기준설정물질!$B:$K,8,FALSE),"")</f>
        <v/>
      </c>
      <c r="BR75" s="13" t="str">
        <f>IFERROR(VLOOKUP(표1[[#This Row],[CAS No.]], [1]규제DB_산안법_노출기준설정물질!$B:$K,9,FALSE),"")</f>
        <v/>
      </c>
      <c r="BS75" s="13" t="str">
        <f>IFERROR(VLOOKUP(표1[[#This Row],[CAS No.]], [1]규제DB_산안법_노출기준설정물질!$B:$K,10,FALSE),"")</f>
        <v/>
      </c>
      <c r="BT75" s="13" t="str">
        <f>IFERROR(IF(표1[[#This Row],[함량(W%)]]&gt;=VLOOKUP(표1[[#This Row],[CAS No.]], [1]규제DB_산안법_작업환경측정대상유해인자!$B:$F,5,FALSE), "제품 작업환경측정대상유해인자",""),"")</f>
        <v/>
      </c>
      <c r="BU75" s="13" t="str">
        <f>IFERROR(IF(표1[[#This Row],[CAS No.]]=VLOOKUP(표1[[#This Row],[CAS No.]], [1]규제DB_산안법_특수건강진단대상유해인자!$B:$C,1,FALSE), "제품 특수건강진단대상유해인자",""),"")</f>
        <v/>
      </c>
      <c r="BV75" s="13"/>
      <c r="BW75" s="13"/>
      <c r="BX75" s="13"/>
      <c r="BY75" s="13"/>
      <c r="BZ75" s="13"/>
      <c r="CA75" s="13" t="str">
        <f>IFERROR(IF(표1[[#This Row],[CAS No.]]=VLOOKUP(표1[[#This Row],[CAS No.]],[1]규제DB_고압법_가연성가스!$B:$D,1,FALSE),"가연성가스",""),"")</f>
        <v/>
      </c>
      <c r="CB75" s="13" t="str">
        <f>IFERROR(IF(표1[[#This Row],[CAS No.]]=VLOOKUP(표1[[#This Row],[CAS No.]],[1]규제DB_고압법_특수고압가스!$B:$D,1,FALSE),"특수고압가스",""),"")</f>
        <v/>
      </c>
      <c r="CC75" s="13" t="str">
        <f>IFERROR(IF(표1[[#This Row],[CAS No.]]=VLOOKUP(표1[[#This Row],[CAS No.]],[1]규제DB_고압법_특정고압가스!$B:$D,1,FALSE),"특정고압가스",""),"")</f>
        <v/>
      </c>
      <c r="CD75" s="13" t="str">
        <f>IFERROR(IF(표1[[#This Row],[함량(W%)]]&gt;=VLOOKUP(표1[[#This Row],[CAS No.]],[1]규제DB_화관법_개별취급기준!$B:$G,5,FALSE),VLOOKUP(표1[[#This Row],[CAS No.]],[1]규제DB_화관법_개별취급기준!$B:$G,6,FALSE),""),"")</f>
        <v/>
      </c>
    </row>
    <row r="76" spans="1:82" ht="27.95" customHeight="1">
      <c r="A76" s="13">
        <v>75</v>
      </c>
      <c r="B76" s="2"/>
      <c r="C76" s="3" t="s">
        <v>103</v>
      </c>
      <c r="D76" s="14"/>
      <c r="E76" s="56" t="s">
        <v>215</v>
      </c>
      <c r="F76" s="3" t="s">
        <v>77</v>
      </c>
      <c r="G76" s="5" t="s">
        <v>78</v>
      </c>
      <c r="H76" s="3" t="s">
        <v>79</v>
      </c>
      <c r="I76" s="50" t="s">
        <v>102</v>
      </c>
      <c r="J76" s="3" t="s">
        <v>212</v>
      </c>
      <c r="K76" s="3" t="s">
        <v>212</v>
      </c>
      <c r="L76" s="3"/>
      <c r="M76" s="5" t="s">
        <v>80</v>
      </c>
      <c r="N76" s="5" t="s">
        <v>179</v>
      </c>
      <c r="O76" s="53" t="s">
        <v>81</v>
      </c>
      <c r="P76" s="55" t="s">
        <v>213</v>
      </c>
      <c r="Q76" s="54">
        <v>2</v>
      </c>
      <c r="R76" s="6">
        <v>2</v>
      </c>
      <c r="S76" s="17"/>
      <c r="T76" s="17"/>
      <c r="U76" s="6">
        <v>2</v>
      </c>
      <c r="V76" s="6">
        <v>2</v>
      </c>
      <c r="W76" s="8" t="str">
        <f>표1[[#This Row],[자재코드]]&amp;"_"&amp;표1[[#This Row],[자재명]]&amp;"_"&amp;표1[[#This Row],[공급업체명]]</f>
        <v>_저 유황 등유_S-OIL</v>
      </c>
      <c r="X76" s="57" t="s">
        <v>217</v>
      </c>
      <c r="Y76" s="2"/>
      <c r="Z76" s="2"/>
      <c r="AA76" s="2"/>
      <c r="AB76" s="50">
        <v>5.0000000000000001E-3</v>
      </c>
      <c r="AC76" s="9" t="s">
        <v>86</v>
      </c>
      <c r="AD76" s="9" t="s">
        <v>83</v>
      </c>
      <c r="AE76" s="10" t="s">
        <v>84</v>
      </c>
      <c r="AF76" s="10" t="s">
        <v>84</v>
      </c>
      <c r="AG76" s="11"/>
      <c r="AH76" s="50" t="s">
        <v>210</v>
      </c>
      <c r="AI76" s="12">
        <f>IFERROR(표1[[#This Row],[사용량(kg)]]*표1[[#This Row],[함량(W%)]]/100,"")</f>
        <v>1E-4</v>
      </c>
      <c r="AJ76" s="13"/>
      <c r="AK76" s="13"/>
      <c r="AL76" s="14"/>
      <c r="AM76" s="15"/>
      <c r="AN76" s="13"/>
      <c r="AO76" s="13"/>
      <c r="AP76" s="13"/>
      <c r="AQ76" s="13"/>
      <c r="AR76" s="13" t="str">
        <f>IFERROR(IF(표1[[#This Row],[함량(W%)]]&gt;=VLOOKUP(표1[[#This Row],[CAS No.]],[1]규제DB_유해법_유독물!B:F,5,FALSE),"유독물질 제품",""),"")</f>
        <v/>
      </c>
      <c r="AS76" s="13" t="str">
        <f>IFERROR(VLOOKUP(표1[[#This Row],[CAS No.]],[1]규제DB_유해법_금지물질!B:G,3,FALSE),"")</f>
        <v/>
      </c>
      <c r="AT76" s="13" t="str">
        <f>IFERROR(VLOOKUP(표1[[#This Row],[CAS No.]],[1]규제DB_유해법_금지물질!B:G,4,FALSE)&amp;" 인지 확인하세요","")</f>
        <v/>
      </c>
      <c r="AU76" s="13" t="str">
        <f>IFERROR(VLOOKUP(표1[[#This Row],[CAS No.]],[1]규제DB_유해법_제한물질!B:G,3,FALSE),"")</f>
        <v/>
      </c>
      <c r="AV76" s="13" t="str">
        <f>IFERROR(IF(표1[[#This Row],[함량(W%)]]&gt;=VLOOKUP(표1[[#This Row],[CAS No.]],[1]규제DB_유해법_제한물질!$B:$G,5,FALSE),"제한 제품",""),"")</f>
        <v/>
      </c>
      <c r="AW76" s="13" t="str">
        <f>IFERROR(VLOOKUP(표1[[#This Row],[CAS No.]],[1]규제DB_유해법_사고대비물질!B:J,2,FALSE),"")</f>
        <v/>
      </c>
      <c r="AX76" s="13" t="str">
        <f>IFERROR(IF(표1[[#This Row],[함량(W%)]]&gt;=VLOOKUP(표1[[#This Row],[CAS No.]],[1]규제DB_유해법_사고대비물질!$B:$J,4,FALSE),"사고대비물질 제품",""),"")</f>
        <v/>
      </c>
      <c r="AY76" s="16" t="str">
        <f>IFERROR(VLOOKUP(표1[[#This Row],[CAS No.]],[1]규제DB_유해법_사고대비물질!$B:$J,5,FALSE),"")</f>
        <v/>
      </c>
      <c r="AZ76" s="16" t="str">
        <f>IFERROR(VLOOKUP(표1[[#This Row],[CAS No.]],[1]규제DB_유해법_사고대비물질!$B:$J,6,FALSE),"")</f>
        <v/>
      </c>
      <c r="BA76" s="17" t="str">
        <f>IFERROR(IF(표1[[#This Row],[함량(W%)]]&gt;=VLOOKUP(표1[[#This Row],[CAS No.]],[1]규제DB_유해법_사고대비물질!$B:$J,4,FALSE),VLOOKUP(표1[[#This Row],[CAS No.]],[1]규제DB_유해법_사고대비물질!$B$2:$J$70,7,FALSE),""),"")</f>
        <v/>
      </c>
      <c r="BB76" s="17" t="str">
        <f>IFERROR(IF(표1[[#This Row],[함량(W%)]]&gt;=VLOOKUP(표1[[#This Row],[CAS No.]],[1]규제DB_유해법_사고대비물질!$B:$J,4,FALSE),VLOOKUP(표1[[#This Row],[CAS No.]],[1]규제DB_유해법_사고대비물질!$B$2:$J$70,8,FALSE),""),"")</f>
        <v/>
      </c>
      <c r="BC76" s="17" t="str">
        <f>IFERROR(IF(표1[[#This Row],[함량(W%)]]&gt;=VLOOKUP(표1[[#This Row],[CAS No.]],[1]규제DB_유해법_사고대비물질!$B:$J,4,FALSE),VLOOKUP(표1[[#This Row],[CAS No.]],[1]규제DB_유해법_사고대비물질!$B$2:$J$70,9,FALSE),""),"")</f>
        <v/>
      </c>
      <c r="BD76" s="18" t="str">
        <f>IFERROR(IF(표1[[#This Row],[함량(W%)]]&gt;=VLOOKUP(표1[[#This Row],[CAS No.]],'[1]규제DB_유해법_배출량조사 I'!$B:$D,3,FALSE),IF(VLOOKUP(표1[[#This Row],[CAS No.]],[1]기초자료!$A:$C,3,FALSE)&gt;=1000,"배출량조사 I 물질",""),""),"")</f>
        <v/>
      </c>
      <c r="BE76" s="18"/>
      <c r="BF76" s="13" t="str">
        <f>IFERROR(IF(표1[[#This Row],[함량(W%)]]&gt;=VLOOKUP(표1[[#This Row],[CAS No.]],[1]규제DB_산안법_금지물질!$B:$E,4,FALSE), VLOOKUP(표1[[#This Row],[CAS No.]],[1]규제DB_산안법_금지물질!$B:$E,2,FALSE)&amp;" : "&amp;VLOOKUP(표1[[#This Row],[CAS No.]],[1]규제DB_산안법_금지물질!$B:$E,3,FALSE)&amp;" 인지 확인하세요",""),"")</f>
        <v/>
      </c>
      <c r="BG76" s="13" t="str">
        <f>IFERROR(IF(표1[[#This Row],[함량(W%)]]&gt;=VLOOKUP(표1[[#This Row],[CAS No.]],[1]규제DB_산안법_허가물질!$B:$E,4,FALSE), "제품 허가물질",""),"")</f>
        <v/>
      </c>
      <c r="BH76" s="13" t="str">
        <f>IFERROR(IF(표1[[#This Row],[함량(W%)]]&gt;=VLOOKUP(표1[[#This Row],[CAS No.]], [1]규제DB_산안법_특별관리물질!$B:$E,4,FALSE), "제품 특별관리물질",""),"")</f>
        <v/>
      </c>
      <c r="BI76" s="13" t="str">
        <f>IFERROR(IF(표1[[#This Row],[함량(W%)]]&gt;=VLOOKUP(표1[[#This Row],[CAS No.]], [1]규제DB_산안법_관리대상유해물질!$B:$E,4,FALSE), "제품 관리대상유해물질",""),"")</f>
        <v/>
      </c>
      <c r="BJ76" s="13" t="str">
        <f>IFERROR(IF(표1[[#This Row],[CAS No.]]=VLOOKUP(표1[[#This Row],[CAS No.]], [1]규제DB_산안법_허용기준이하물질!$B:$D,1,FALSE),"제품 허용기준이하물질",""),"")</f>
        <v/>
      </c>
      <c r="BK76" s="13" t="str">
        <f>IFERROR(VLOOKUP(표1[[#This Row],[CAS No.]], [1]규제DB_산안법_허용기준이하물질!$B:$D,3,FALSE),"")</f>
        <v/>
      </c>
      <c r="BL76" s="13"/>
      <c r="BM76" s="13" t="str">
        <f>IFERROR(VLOOKUP(표1[[#This Row],[CAS No.]], [1]규제DB_산안법_노출기준설정물질!$B:$K,3,FALSE),"")</f>
        <v/>
      </c>
      <c r="BN76" s="13" t="str">
        <f>IFERROR(VLOOKUP(표1[[#This Row],[CAS No.]], [1]규제DB_산안법_노출기준설정물질!$B:$K,4,FALSE),"")</f>
        <v/>
      </c>
      <c r="BO76" s="13" t="str">
        <f>IFERROR(VLOOKUP(표1[[#This Row],[CAS No.]], [1]규제DB_산안법_노출기준설정물질!$B:$K,5,FALSE),"")</f>
        <v/>
      </c>
      <c r="BP76" s="13" t="str">
        <f>IFERROR(VLOOKUP(표1[[#This Row],[CAS No.]], [1]규제DB_산안법_노출기준설정물질!$B:$K,7,FALSE),"")</f>
        <v/>
      </c>
      <c r="BQ76" s="13" t="str">
        <f>IFERROR(VLOOKUP(표1[[#This Row],[CAS No.]], [1]규제DB_산안법_노출기준설정물질!$B:$K,8,FALSE),"")</f>
        <v/>
      </c>
      <c r="BR76" s="13" t="str">
        <f>IFERROR(VLOOKUP(표1[[#This Row],[CAS No.]], [1]규제DB_산안법_노출기준설정물질!$B:$K,9,FALSE),"")</f>
        <v/>
      </c>
      <c r="BS76" s="13" t="str">
        <f>IFERROR(VLOOKUP(표1[[#This Row],[CAS No.]], [1]규제DB_산안법_노출기준설정물질!$B:$K,10,FALSE),"")</f>
        <v/>
      </c>
      <c r="BT76" s="13" t="str">
        <f>IFERROR(IF(표1[[#This Row],[함량(W%)]]&gt;=VLOOKUP(표1[[#This Row],[CAS No.]], [1]규제DB_산안법_작업환경측정대상유해인자!$B:$F,5,FALSE), "제품 작업환경측정대상유해인자",""),"")</f>
        <v/>
      </c>
      <c r="BU76" s="13" t="str">
        <f>IFERROR(IF(표1[[#This Row],[CAS No.]]=VLOOKUP(표1[[#This Row],[CAS No.]], [1]규제DB_산안법_특수건강진단대상유해인자!$B:$C,1,FALSE), "제품 특수건강진단대상유해인자",""),"")</f>
        <v/>
      </c>
      <c r="BV76" s="13"/>
      <c r="BW76" s="13"/>
      <c r="BX76" s="13"/>
      <c r="BY76" s="13"/>
      <c r="BZ76" s="13"/>
      <c r="CA76" s="13" t="str">
        <f>IFERROR(IF(표1[[#This Row],[CAS No.]]=VLOOKUP(표1[[#This Row],[CAS No.]],[1]규제DB_고압법_가연성가스!$B:$D,1,FALSE),"가연성가스",""),"")</f>
        <v/>
      </c>
      <c r="CB76" s="13" t="str">
        <f>IFERROR(IF(표1[[#This Row],[CAS No.]]=VLOOKUP(표1[[#This Row],[CAS No.]],[1]규제DB_고압법_특수고압가스!$B:$D,1,FALSE),"특수고압가스",""),"")</f>
        <v/>
      </c>
      <c r="CC76" s="13" t="str">
        <f>IFERROR(IF(표1[[#This Row],[CAS No.]]=VLOOKUP(표1[[#This Row],[CAS No.]],[1]규제DB_고압법_특정고압가스!$B:$D,1,FALSE),"특정고압가스",""),"")</f>
        <v/>
      </c>
      <c r="CD76" s="13" t="str">
        <f>IFERROR(IF(표1[[#This Row],[함량(W%)]]&gt;=VLOOKUP(표1[[#This Row],[CAS No.]],[1]규제DB_화관법_개별취급기준!$B:$G,5,FALSE),VLOOKUP(표1[[#This Row],[CAS No.]],[1]규제DB_화관법_개별취급기준!$B:$G,6,FALSE),""),"")</f>
        <v/>
      </c>
    </row>
    <row r="77" spans="1:82" ht="27.95" customHeight="1">
      <c r="A77" s="13">
        <v>76</v>
      </c>
      <c r="B77" s="2"/>
      <c r="C77" s="3" t="s">
        <v>103</v>
      </c>
      <c r="D77" s="14"/>
      <c r="E77" s="56" t="s">
        <v>215</v>
      </c>
      <c r="F77" s="3" t="s">
        <v>77</v>
      </c>
      <c r="G77" s="5" t="s">
        <v>78</v>
      </c>
      <c r="H77" s="3" t="s">
        <v>79</v>
      </c>
      <c r="I77" s="50" t="s">
        <v>102</v>
      </c>
      <c r="J77" s="3" t="s">
        <v>212</v>
      </c>
      <c r="K77" s="3" t="s">
        <v>212</v>
      </c>
      <c r="L77" s="3"/>
      <c r="M77" s="5" t="s">
        <v>80</v>
      </c>
      <c r="N77" s="5" t="s">
        <v>179</v>
      </c>
      <c r="O77" s="53" t="s">
        <v>81</v>
      </c>
      <c r="P77" s="55" t="s">
        <v>213</v>
      </c>
      <c r="Q77" s="54">
        <v>40</v>
      </c>
      <c r="R77" s="6">
        <v>40</v>
      </c>
      <c r="S77" s="17"/>
      <c r="T77" s="17"/>
      <c r="U77" s="6">
        <v>40</v>
      </c>
      <c r="V77" s="6">
        <v>40</v>
      </c>
      <c r="W77" s="8" t="str">
        <f>표1[[#This Row],[자재코드]]&amp;"_"&amp;표1[[#This Row],[자재명]]&amp;"_"&amp;표1[[#This Row],[공급업체명]]</f>
        <v>_저 유황 등유_S-OIL</v>
      </c>
      <c r="X77" s="57" t="s">
        <v>216</v>
      </c>
      <c r="Y77" s="13"/>
      <c r="Z77" s="13"/>
      <c r="AA77" s="13"/>
      <c r="AB77" s="50">
        <v>99.95</v>
      </c>
      <c r="AC77" s="20" t="s">
        <v>86</v>
      </c>
      <c r="AD77" s="9" t="s">
        <v>83</v>
      </c>
      <c r="AE77" s="10" t="s">
        <v>84</v>
      </c>
      <c r="AF77" s="10" t="s">
        <v>84</v>
      </c>
      <c r="AG77" s="11"/>
      <c r="AH77" s="52">
        <v>1234987</v>
      </c>
      <c r="AI77" s="12">
        <f>IFERROR(표1[[#This Row],[사용량(kg)]]*표1[[#This Row],[함량(W%)]]/100,"")</f>
        <v>39.979999999999997</v>
      </c>
      <c r="AJ77" s="13"/>
      <c r="AK77" s="13"/>
      <c r="AL77" s="14"/>
      <c r="AM77" s="15"/>
      <c r="AN77" s="13"/>
      <c r="AO77" s="13"/>
      <c r="AP77" s="13"/>
      <c r="AQ77" s="13"/>
      <c r="AR77" s="13" t="str">
        <f>IFERROR(IF(표1[[#This Row],[함량(W%)]]&gt;=VLOOKUP(표1[[#This Row],[CAS No.]],[1]규제DB_유해법_유독물!B:F,5,FALSE),"유독물질 제품",""),"")</f>
        <v/>
      </c>
      <c r="AS77" s="13" t="str">
        <f>IFERROR(VLOOKUP(표1[[#This Row],[CAS No.]],[1]규제DB_유해법_금지물질!B:G,3,FALSE),"")</f>
        <v/>
      </c>
      <c r="AT77" s="13" t="str">
        <f>IFERROR(VLOOKUP(표1[[#This Row],[CAS No.]],[1]규제DB_유해법_금지물질!B:G,4,FALSE)&amp;" 인지 확인하세요","")</f>
        <v/>
      </c>
      <c r="AU77" s="13" t="str">
        <f>IFERROR(VLOOKUP(표1[[#This Row],[CAS No.]],[1]규제DB_유해법_제한물질!B:G,3,FALSE),"")</f>
        <v/>
      </c>
      <c r="AV77" s="13" t="str">
        <f>IFERROR(IF(표1[[#This Row],[함량(W%)]]&gt;=VLOOKUP(표1[[#This Row],[CAS No.]],[1]규제DB_유해법_제한물질!$B:$G,5,FALSE),"제한 제품",""),"")</f>
        <v/>
      </c>
      <c r="AW77" s="13" t="str">
        <f>IFERROR(VLOOKUP(표1[[#This Row],[CAS No.]],[1]규제DB_유해법_사고대비물질!B:J,2,FALSE),"")</f>
        <v/>
      </c>
      <c r="AX77" s="13" t="str">
        <f>IFERROR(IF(표1[[#This Row],[함량(W%)]]&gt;=VLOOKUP(표1[[#This Row],[CAS No.]],[1]규제DB_유해법_사고대비물질!$B:$J,4,FALSE),"사고대비물질 제품",""),"")</f>
        <v/>
      </c>
      <c r="AY77" s="16" t="str">
        <f>IFERROR(VLOOKUP(표1[[#This Row],[CAS No.]],[1]규제DB_유해법_사고대비물질!$B:$J,5,FALSE),"")</f>
        <v/>
      </c>
      <c r="AZ77" s="16" t="str">
        <f>IFERROR(VLOOKUP(표1[[#This Row],[CAS No.]],[1]규제DB_유해법_사고대비물질!$B:$J,6,FALSE),"")</f>
        <v/>
      </c>
      <c r="BA77" s="17" t="str">
        <f>IFERROR(IF(표1[[#This Row],[함량(W%)]]&gt;=VLOOKUP(표1[[#This Row],[CAS No.]],[1]규제DB_유해법_사고대비물질!$B:$J,4,FALSE),VLOOKUP(표1[[#This Row],[CAS No.]],[1]규제DB_유해법_사고대비물질!$B$2:$J$70,7,FALSE),""),"")</f>
        <v/>
      </c>
      <c r="BB77" s="17" t="str">
        <f>IFERROR(IF(표1[[#This Row],[함량(W%)]]&gt;=VLOOKUP(표1[[#This Row],[CAS No.]],[1]규제DB_유해법_사고대비물질!$B:$J,4,FALSE),VLOOKUP(표1[[#This Row],[CAS No.]],[1]규제DB_유해법_사고대비물질!$B$2:$J$70,8,FALSE),""),"")</f>
        <v/>
      </c>
      <c r="BC77" s="17" t="str">
        <f>IFERROR(IF(표1[[#This Row],[함량(W%)]]&gt;=VLOOKUP(표1[[#This Row],[CAS No.]],[1]규제DB_유해법_사고대비물질!$B:$J,4,FALSE),VLOOKUP(표1[[#This Row],[CAS No.]],[1]규제DB_유해법_사고대비물질!$B$2:$J$70,9,FALSE),""),"")</f>
        <v/>
      </c>
      <c r="BD77" s="18" t="str">
        <f>IFERROR(IF(표1[[#This Row],[함량(W%)]]&gt;=VLOOKUP(표1[[#This Row],[CAS No.]],'[1]규제DB_유해법_배출량조사 I'!$B:$D,3,FALSE),IF(VLOOKUP(표1[[#This Row],[CAS No.]],[1]기초자료!$A:$C,3,FALSE)&gt;=1000,"배출량조사 I 물질",""),""),"")</f>
        <v/>
      </c>
      <c r="BE77" s="18" t="str">
        <f>IFERROR(IF(표1[[#This Row],[함량(W%)]]&gt;=VLOOKUP(표1[[#This Row],[CAS No.]],'[1]규제DB_유해법_배출량조사 II'!B:D,3,FALSE),IF(VLOOKUP(표1[[#This Row],[CAS No.]],[1]기초자료!$A:$C,3,FALSE)&gt;=10000,"배출량조사 II 물질",""),""),"")</f>
        <v/>
      </c>
      <c r="BF77" s="13" t="str">
        <f>IFERROR(IF(표1[[#This Row],[함량(W%)]]&gt;=VLOOKUP(표1[[#This Row],[CAS No.]],[1]규제DB_산안법_금지물질!$B:$E,4,FALSE), VLOOKUP(표1[[#This Row],[CAS No.]],[1]규제DB_산안법_금지물질!$B:$E,2,FALSE)&amp;" : "&amp;VLOOKUP(표1[[#This Row],[CAS No.]],[1]규제DB_산안법_금지물질!$B:$E,3,FALSE)&amp;" 인지 확인하세요",""),"")</f>
        <v/>
      </c>
      <c r="BG77" s="13" t="str">
        <f>IFERROR(IF(표1[[#This Row],[함량(W%)]]&gt;=VLOOKUP(표1[[#This Row],[CAS No.]],[1]규제DB_산안법_허가물질!$B:$E,4,FALSE), "제품 허가물질",""),"")</f>
        <v/>
      </c>
      <c r="BH77" s="13" t="str">
        <f>IFERROR(IF(표1[[#This Row],[함량(W%)]]&gt;=VLOOKUP(표1[[#This Row],[CAS No.]], [1]규제DB_산안법_특별관리물질!$B:$E,4,FALSE), "제품 특별관리물질",""),"")</f>
        <v/>
      </c>
      <c r="BI77" s="13" t="str">
        <f>IFERROR(IF(표1[[#This Row],[함량(W%)]]&gt;=VLOOKUP(표1[[#This Row],[CAS No.]], [1]규제DB_산안법_관리대상유해물질!$B:$E,4,FALSE), "제품 관리대상유해물질",""),"")</f>
        <v/>
      </c>
      <c r="BJ77" s="13" t="str">
        <f>IFERROR(IF(표1[[#This Row],[CAS No.]]=VLOOKUP(표1[[#This Row],[CAS No.]], [1]규제DB_산안법_허용기준이하물질!$B:$D,1,FALSE),"제품 허용기준이하물질",""),"")</f>
        <v/>
      </c>
      <c r="BK77" s="13" t="str">
        <f>IFERROR(VLOOKUP(표1[[#This Row],[CAS No.]], [1]규제DB_산안법_허용기준이하물질!$B:$D,3,FALSE),"")</f>
        <v/>
      </c>
      <c r="BL77" s="13"/>
      <c r="BM77" s="13" t="str">
        <f>IFERROR(VLOOKUP(표1[[#This Row],[CAS No.]], [1]규제DB_산안법_노출기준설정물질!$B:$K,3,FALSE),"")</f>
        <v/>
      </c>
      <c r="BN77" s="13" t="str">
        <f>IFERROR(VLOOKUP(표1[[#This Row],[CAS No.]], [1]규제DB_산안법_노출기준설정물질!$B:$K,4,FALSE),"")</f>
        <v/>
      </c>
      <c r="BO77" s="13" t="str">
        <f>IFERROR(VLOOKUP(표1[[#This Row],[CAS No.]], [1]규제DB_산안법_노출기준설정물질!$B:$K,5,FALSE),"")</f>
        <v/>
      </c>
      <c r="BP77" s="13" t="str">
        <f>IFERROR(VLOOKUP(표1[[#This Row],[CAS No.]], [1]규제DB_산안법_노출기준설정물질!$B:$K,7,FALSE),"")</f>
        <v/>
      </c>
      <c r="BQ77" s="13" t="str">
        <f>IFERROR(VLOOKUP(표1[[#This Row],[CAS No.]], [1]규제DB_산안법_노출기준설정물질!$B:$K,8,FALSE),"")</f>
        <v/>
      </c>
      <c r="BR77" s="13" t="str">
        <f>IFERROR(VLOOKUP(표1[[#This Row],[CAS No.]], [1]규제DB_산안법_노출기준설정물질!$B:$K,9,FALSE),"")</f>
        <v/>
      </c>
      <c r="BS77" s="13" t="str">
        <f>IFERROR(VLOOKUP(표1[[#This Row],[CAS No.]], [1]규제DB_산안법_노출기준설정물질!$B:$K,10,FALSE),"")</f>
        <v/>
      </c>
      <c r="BT77" s="13" t="str">
        <f>IFERROR(IF(표1[[#This Row],[함량(W%)]]&gt;=VLOOKUP(표1[[#This Row],[CAS No.]], [1]규제DB_산안법_작업환경측정대상유해인자!$B:$F,5,FALSE), "제품 작업환경측정대상유해인자",""),"")</f>
        <v/>
      </c>
      <c r="BU77" s="13" t="str">
        <f>IFERROR(IF(표1[[#This Row],[CAS No.]]=VLOOKUP(표1[[#This Row],[CAS No.]], [1]규제DB_산안법_특수건강진단대상유해인자!$B:$C,1,FALSE), "제품 특수건강진단대상유해인자",""),"")</f>
        <v/>
      </c>
      <c r="BV77" s="13"/>
      <c r="BW77" s="13"/>
      <c r="BX77" s="13"/>
      <c r="BY77" s="13"/>
      <c r="BZ77" s="13"/>
      <c r="CA77" s="13" t="str">
        <f>IFERROR(IF(표1[[#This Row],[CAS No.]]=VLOOKUP(표1[[#This Row],[CAS No.]],[1]규제DB_고압법_가연성가스!$B:$D,1,FALSE),"가연성가스",""),"")</f>
        <v/>
      </c>
      <c r="CB77" s="13" t="str">
        <f>IFERROR(IF(표1[[#This Row],[CAS No.]]=VLOOKUP(표1[[#This Row],[CAS No.]],[1]규제DB_고압법_특수고압가스!$B:$D,1,FALSE),"특수고압가스",""),"")</f>
        <v/>
      </c>
      <c r="CC77" s="13" t="str">
        <f>IFERROR(IF(표1[[#This Row],[CAS No.]]=VLOOKUP(표1[[#This Row],[CAS No.]],[1]규제DB_고압법_특정고압가스!$B:$D,1,FALSE),"특정고압가스",""),"")</f>
        <v/>
      </c>
      <c r="CD77" s="13" t="str">
        <f>IFERROR(IF(표1[[#This Row],[함량(W%)]]&gt;=VLOOKUP(표1[[#This Row],[CAS No.]],[1]규제DB_화관법_개별취급기준!$B:$G,5,FALSE),VLOOKUP(표1[[#This Row],[CAS No.]],[1]규제DB_화관법_개별취급기준!$B:$G,6,FALSE),""),"")</f>
        <v/>
      </c>
    </row>
  </sheetData>
  <sheetProtection formatCells="0" deleteColumns="0" deleteRows="0"/>
  <dataConsolidate/>
  <phoneticPr fontId="3" type="noConversion"/>
  <conditionalFormatting sqref="AN1:AN77">
    <cfRule type="containsText" dxfId="10" priority="1" operator="containsText" text="신규물질">
      <formula>NOT(ISERROR(SEARCH("신규물질",AN1)))</formula>
    </cfRule>
  </conditionalFormatting>
  <conditionalFormatting sqref="AR2:AR77">
    <cfRule type="containsText" dxfId="9" priority="2" operator="containsText" text="유독물질 제품">
      <formula>NOT(ISERROR(SEARCH("유독물질 제품",AR2)))</formula>
    </cfRule>
    <cfRule type="expression" dxfId="8" priority="3">
      <formula>"유독물질"</formula>
    </cfRule>
    <cfRule type="containsText" dxfId="7" priority="9" operator="containsText" text="유독물 제품">
      <formula>NOT(ISERROR(SEARCH("유독물 제품",AR2)))</formula>
    </cfRule>
    <cfRule type="cellIs" dxfId="6" priority="10" operator="equal">
      <formula>"""유독물 제품"""</formula>
    </cfRule>
    <cfRule type="expression" dxfId="5" priority="11">
      <formula>"(VLOOKUP([@[CAS No.]],규제DB_유해법_유독물!$B$2:$F$1743,3,FALSE)"</formula>
    </cfRule>
  </conditionalFormatting>
  <conditionalFormatting sqref="AT1:AT77 BF1:BF77">
    <cfRule type="containsText" dxfId="4" priority="8" operator="containsText" text="확인하세요">
      <formula>NOT(ISERROR(SEARCH("확인하세요",AT1)))</formula>
    </cfRule>
  </conditionalFormatting>
  <conditionalFormatting sqref="AV1:AV77">
    <cfRule type="containsText" dxfId="3" priority="7" operator="containsText" text="제한 제품">
      <formula>NOT(ISERROR(SEARCH("제한 제품",AV1)))</formula>
    </cfRule>
  </conditionalFormatting>
  <conditionalFormatting sqref="AX1:AY77">
    <cfRule type="containsText" dxfId="2" priority="6" operator="containsText" text="사고대비물질 제품">
      <formula>NOT(ISERROR(SEARCH("사고대비물질 제품",AX1)))</formula>
    </cfRule>
  </conditionalFormatting>
  <conditionalFormatting sqref="BD1:BD77 BE2:BE77 BG78:BG1048576">
    <cfRule type="containsText" dxfId="1" priority="5" operator="containsText" text="배출량조사 I 물질">
      <formula>NOT(ISERROR(SEARCH("배출량조사 I 물질",BD1)))</formula>
    </cfRule>
  </conditionalFormatting>
  <conditionalFormatting sqref="BE1:BE77">
    <cfRule type="containsText" dxfId="0" priority="4" operator="containsText" text="배출량조사 II 물질">
      <formula>NOT(ISERROR(SEARCH("배출량조사 II 물질",BE1)))</formula>
    </cfRule>
  </conditionalFormatting>
  <dataValidations count="2">
    <dataValidation type="whole" operator="lessThan" allowBlank="1" showErrorMessage="1" prompt="_x000a_" sqref="AH7:AH10 AH16:AH18" xr:uid="{00000000-0002-0000-0000-000000000000}">
      <formula1>10</formula1>
    </dataValidation>
    <dataValidation allowBlank="1" showErrorMessage="1" prompt="_x000a_" sqref="AH12:AH15 AH2:AH6" xr:uid="{00000000-0002-0000-0000-000001000000}"/>
  </dataValidations>
  <printOptions horizontalCentered="1" verticalCentered="1"/>
  <pageMargins left="0" right="0" top="0.74803149606299213" bottom="0.74803149606299213" header="0.31496062992125984" footer="0.31496062992125984"/>
  <pageSetup paperSize="9" scale="50" orientation="landscape" r:id="rId1"/>
  <drawing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vt:i4>
      </vt:variant>
      <vt:variant>
        <vt:lpstr>이름 지정된 범위</vt:lpstr>
      </vt:variant>
      <vt:variant>
        <vt:i4>1</vt:i4>
      </vt:variant>
    </vt:vector>
  </HeadingPairs>
  <TitlesOfParts>
    <vt:vector size="2" baseType="lpstr">
      <vt:lpstr>조사양식</vt:lpstr>
      <vt:lpstr>조사양식!Criteria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양오창(Ohchang Yang) 과장</dc:creator>
  <cp:lastModifiedBy>기태 김</cp:lastModifiedBy>
  <cp:lastPrinted>2023-06-21T07:08:53Z</cp:lastPrinted>
  <dcterms:created xsi:type="dcterms:W3CDTF">2017-03-23T01:19:30Z</dcterms:created>
  <dcterms:modified xsi:type="dcterms:W3CDTF">2025-08-11T02:13:30Z</dcterms:modified>
</cp:coreProperties>
</file>